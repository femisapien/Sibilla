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101510\root\"/>
    </mc:Choice>
  </mc:AlternateContent>
  <xr:revisionPtr revIDLastSave="0" documentId="13_ncr:1_{AEB7A826-6695-4FDD-8934-41488B18AF9E}" xr6:coauthVersionLast="47" xr6:coauthVersionMax="47" xr10:uidLastSave="{00000000-0000-0000-0000-000000000000}"/>
  <bookViews>
    <workbookView xWindow="7155" yWindow="3720" windowWidth="25320" windowHeight="23280" xr2:uid="{DC556B6D-D23D-401C-B52B-0009168D9211}"/>
  </bookViews>
  <sheets>
    <sheet name="STOCKS" sheetId="2" r:id="rId1"/>
    <sheet name="AC" sheetId="3" r:id="rId2"/>
    <sheet name="HOLDINGS" sheetId="4" r:id="rId3"/>
    <sheet name="PIVOT" sheetId="5" r:id="rId4"/>
  </sheets>
  <definedNames>
    <definedName name="_xlnm._FilterDatabase" localSheetId="1" hidden="1">AC!$A$1:$BJ$353</definedName>
    <definedName name="_xlnm._FilterDatabase" localSheetId="0" hidden="1">STOCKS!$A$1:$BQ$101</definedName>
  </definedNames>
  <calcPr calcId="191029"/>
  <pivotCaches>
    <pivotCache cacheId="4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89" i="2" l="1" a="1"/>
  <c r="AD89" i="2"/>
  <c r="AD37" i="2" a="1"/>
  <c r="AD37" i="2"/>
  <c r="AD43" i="2" a="1"/>
  <c r="AD43" i="2"/>
  <c r="AD65" i="2" a="1"/>
  <c r="AD65" i="2"/>
  <c r="AD29" i="2" a="1"/>
  <c r="AD29" i="2"/>
  <c r="AD13" i="2" a="1"/>
  <c r="AD13" i="2"/>
  <c r="AD30" i="2" a="1"/>
  <c r="AD30" i="2"/>
  <c r="AD94" i="2" a="1"/>
  <c r="AD94" i="2"/>
  <c r="AD97" i="2" a="1"/>
  <c r="AD97" i="2"/>
  <c r="AD11" i="2" a="1"/>
  <c r="AD11" i="2"/>
  <c r="AD92" i="2" a="1"/>
  <c r="AD92" i="2"/>
  <c r="AD81" i="2" a="1"/>
  <c r="AD81" i="2"/>
  <c r="AD99" i="2" a="1"/>
  <c r="AD99" i="2"/>
  <c r="AD85" i="2" a="1"/>
  <c r="AD85" i="2"/>
  <c r="AD74" i="2" a="1"/>
  <c r="AD74" i="2"/>
  <c r="AD63" i="2" a="1"/>
  <c r="AD63" i="2"/>
  <c r="AD49" i="2" a="1"/>
  <c r="AD49" i="2"/>
  <c r="AD33" i="2" a="1"/>
  <c r="AD33" i="2"/>
  <c r="AD83" i="2" a="1"/>
  <c r="AD83" i="2"/>
  <c r="AD50" i="2" a="1"/>
  <c r="AD50" i="2"/>
  <c r="AD23" i="2" a="1"/>
  <c r="AD23" i="2"/>
  <c r="AD70" i="2" a="1"/>
  <c r="AD70" i="2"/>
  <c r="AD93" i="2" a="1"/>
  <c r="AD93" i="2"/>
  <c r="AD24" i="2" a="1"/>
  <c r="AD24" i="2"/>
  <c r="AD56" i="2" a="1"/>
  <c r="AD56" i="2"/>
  <c r="AD75" i="2" a="1"/>
  <c r="AD75" i="2"/>
  <c r="AD39" i="2" a="1"/>
  <c r="AD39" i="2"/>
  <c r="AD91" i="2" a="1"/>
  <c r="AD91" i="2"/>
  <c r="AD40" i="2" a="1"/>
  <c r="AD40" i="2"/>
  <c r="AD80" i="2" a="1"/>
  <c r="AD80" i="2"/>
  <c r="AD15" i="2" a="1"/>
  <c r="AD15" i="2"/>
  <c r="AD61" i="2" a="1"/>
  <c r="AD61" i="2"/>
  <c r="AD95" i="2" a="1"/>
  <c r="AD95" i="2"/>
  <c r="AD73" i="2" a="1"/>
  <c r="AD73" i="2"/>
  <c r="AD79" i="2" a="1"/>
  <c r="AD79" i="2"/>
  <c r="AD41" i="2" a="1"/>
  <c r="AD41" i="2"/>
  <c r="AD78" i="2" a="1"/>
  <c r="AD78" i="2"/>
  <c r="AD35" i="2" a="1"/>
  <c r="AD35" i="2"/>
  <c r="AD21" i="2" a="1"/>
  <c r="AD21" i="2"/>
  <c r="AD64" i="2" a="1"/>
  <c r="AD64" i="2"/>
  <c r="AD54" i="2" a="1"/>
  <c r="AD54" i="2"/>
  <c r="AD68" i="2" a="1"/>
  <c r="AD68" i="2"/>
  <c r="AD32" i="2" a="1"/>
  <c r="AD32" i="2"/>
  <c r="AD57" i="2" a="1"/>
  <c r="AD57" i="2"/>
  <c r="AD62" i="2" a="1"/>
  <c r="AD62" i="2"/>
  <c r="AD96" i="2" a="1"/>
  <c r="AD96" i="2"/>
  <c r="AD47" i="2" a="1"/>
  <c r="AD47" i="2"/>
  <c r="AD18" i="2" a="1"/>
  <c r="AD18" i="2"/>
  <c r="AD25" i="2" a="1"/>
  <c r="AD25" i="2"/>
  <c r="AD51" i="2" a="1"/>
  <c r="AD51" i="2"/>
  <c r="AD44" i="2" a="1"/>
  <c r="AD44" i="2"/>
  <c r="AD101" i="2" a="1"/>
  <c r="AD101" i="2"/>
  <c r="AD69" i="2" a="1"/>
  <c r="AD69" i="2"/>
  <c r="AD84" i="2" a="1"/>
  <c r="AD84" i="2"/>
  <c r="AD58" i="2" a="1"/>
  <c r="AD58" i="2"/>
  <c r="AD19" i="2" a="1"/>
  <c r="AD19" i="2"/>
  <c r="AD90" i="2" a="1"/>
  <c r="AD90" i="2"/>
  <c r="AD88" i="2" a="1"/>
  <c r="AD88" i="2"/>
  <c r="AD45" i="2" a="1"/>
  <c r="AD45" i="2"/>
  <c r="AD86" i="2" a="1"/>
  <c r="AD86" i="2"/>
  <c r="AD60" i="2" a="1"/>
  <c r="AD60" i="2"/>
  <c r="AD82" i="2" a="1"/>
  <c r="AD82" i="2"/>
  <c r="AD48" i="2" a="1"/>
  <c r="AD48" i="2"/>
  <c r="AD26" i="2" a="1"/>
  <c r="AD26" i="2"/>
  <c r="AD67" i="2" a="1"/>
  <c r="AD67" i="2"/>
  <c r="AD76" i="2" a="1"/>
  <c r="AD76" i="2"/>
  <c r="AD98" i="2" a="1"/>
  <c r="AD98" i="2"/>
  <c r="AO29" i="2" a="1"/>
  <c r="AO29" i="2"/>
  <c r="AO92" i="2" a="1"/>
  <c r="AO92" i="2"/>
  <c r="AO32" i="2" a="1"/>
  <c r="AO32" i="2"/>
  <c r="AO97" i="2" a="1"/>
  <c r="AO97" i="2"/>
  <c r="AO59" i="2" a="1"/>
  <c r="AO59" i="2"/>
  <c r="AO60" i="2" a="1"/>
  <c r="AO60" i="2"/>
  <c r="AO98" i="2" a="1"/>
  <c r="AO98" i="2"/>
  <c r="AO55" i="2" a="1"/>
  <c r="AO55" i="2"/>
  <c r="AO94" i="2" a="1"/>
  <c r="AO94" i="2"/>
  <c r="AO89" i="2" a="1"/>
  <c r="AO89" i="2"/>
  <c r="AD46" i="2" a="1"/>
  <c r="AD46" i="2"/>
  <c r="AD27" i="2" a="1"/>
  <c r="AD27" i="2"/>
  <c r="AD72" i="2" a="1"/>
  <c r="AD72" i="2"/>
  <c r="AD100" i="2" a="1"/>
  <c r="AD100" i="2"/>
  <c r="AD87" i="2" a="1"/>
  <c r="AD87" i="2"/>
  <c r="AD38" i="2" a="1"/>
  <c r="AD38" i="2"/>
  <c r="AD77" i="2" a="1"/>
  <c r="AD77" i="2"/>
  <c r="AD12" i="2" a="1"/>
  <c r="AD12" i="2"/>
  <c r="AD31" i="2" a="1"/>
  <c r="AD31" i="2"/>
  <c r="AD53" i="2" a="1"/>
  <c r="AD53" i="2"/>
  <c r="AO13" i="2" a="1"/>
  <c r="AO13" i="2"/>
  <c r="AO27" i="2" a="1"/>
  <c r="AO27" i="2"/>
  <c r="AO78" i="2" a="1"/>
  <c r="AO78" i="2"/>
  <c r="AO63" i="2" a="1"/>
  <c r="AO63" i="2"/>
  <c r="AO26" i="2" a="1"/>
  <c r="AO26" i="2"/>
  <c r="AO54" i="2" a="1"/>
  <c r="AO54" i="2"/>
  <c r="AO48" i="2" a="1"/>
  <c r="AO48" i="2"/>
  <c r="AD14" i="2" a="1"/>
  <c r="AD14" i="2"/>
  <c r="AD28" i="2" a="1"/>
  <c r="AD28" i="2"/>
  <c r="AD20" i="2" a="1"/>
  <c r="AD20" i="2"/>
  <c r="AD42" i="2" a="1"/>
  <c r="AD42" i="2"/>
  <c r="AD66" i="2" a="1"/>
  <c r="AD66" i="2"/>
  <c r="AD55" i="2" a="1"/>
  <c r="AD55" i="2"/>
  <c r="AD34" i="2" a="1"/>
  <c r="AD34" i="2"/>
  <c r="AD59" i="2" a="1"/>
  <c r="AD59" i="2"/>
  <c r="AD36" i="2" a="1"/>
  <c r="AD36" i="2"/>
  <c r="AD52" i="2" a="1"/>
  <c r="AD52" i="2"/>
  <c r="BF64" i="2" a="1"/>
  <c r="BF64" i="2"/>
  <c r="BF33" i="2" a="1"/>
  <c r="BF33" i="2"/>
  <c r="BF100" i="2" a="1"/>
  <c r="BF100" i="2"/>
  <c r="BF99" i="2" a="1"/>
  <c r="BF99" i="2"/>
  <c r="BF86" i="2" a="1"/>
  <c r="BF86" i="2"/>
  <c r="BF53" i="2" a="1"/>
  <c r="BF53" i="2"/>
  <c r="BF36" i="2" a="1"/>
  <c r="BF36" i="2"/>
  <c r="BF57" i="2" a="1"/>
  <c r="BF57" i="2"/>
  <c r="BF13" i="2" a="1"/>
  <c r="BF13" i="2"/>
  <c r="BF34" i="2" a="1"/>
  <c r="BF34" i="2"/>
  <c r="AO83" i="2" a="1"/>
  <c r="AO83" i="2"/>
  <c r="AO74" i="2" a="1"/>
  <c r="AO74" i="2"/>
  <c r="AO69" i="2" a="1"/>
  <c r="AO69" i="2"/>
  <c r="AO95" i="2" a="1"/>
  <c r="AO95" i="2"/>
  <c r="AO96" i="2" a="1"/>
  <c r="AO96" i="2"/>
  <c r="AO91" i="2" a="1"/>
  <c r="AO91" i="2"/>
  <c r="AO79" i="2" a="1"/>
  <c r="AO79" i="2"/>
  <c r="AO64" i="2" a="1"/>
  <c r="AO64" i="2"/>
  <c r="AO99" i="2" a="1"/>
  <c r="AO99" i="2"/>
  <c r="AO93" i="2" a="1"/>
  <c r="AO93" i="2"/>
  <c r="AO42" i="2" a="1"/>
  <c r="AO42" i="2"/>
  <c r="AO47" i="2" a="1"/>
  <c r="AO47" i="2"/>
  <c r="AO37" i="2" a="1"/>
  <c r="AO37" i="2"/>
  <c r="AO77" i="2" a="1"/>
  <c r="AO77" i="2"/>
  <c r="AO84" i="2" a="1"/>
  <c r="AO84" i="2"/>
  <c r="AO38" i="2" a="1"/>
  <c r="AO38" i="2"/>
  <c r="AO56" i="2" a="1"/>
  <c r="AO56" i="2"/>
  <c r="AO80" i="2" a="1"/>
  <c r="AO80" i="2"/>
  <c r="AO35" i="2" a="1"/>
  <c r="AO35" i="2"/>
  <c r="AO76" i="2" a="1"/>
  <c r="AO76" i="2"/>
  <c r="AO45" i="2" a="1"/>
  <c r="AO45" i="2"/>
  <c r="AO15" i="2" a="1"/>
  <c r="AO15" i="2"/>
  <c r="AO18" i="2" a="1"/>
  <c r="AO18" i="2"/>
  <c r="AO25" i="2" a="1"/>
  <c r="AO25" i="2"/>
  <c r="AO23" i="2" a="1"/>
  <c r="AO23" i="2"/>
  <c r="AO85" i="2" a="1"/>
  <c r="AO85" i="2"/>
  <c r="AO14" i="2" a="1"/>
  <c r="AO14" i="2"/>
  <c r="AO88" i="2" a="1"/>
  <c r="AO88" i="2"/>
  <c r="AO34" i="2" a="1"/>
  <c r="AO34" i="2"/>
  <c r="AO65" i="2" a="1"/>
  <c r="AO65" i="2"/>
  <c r="AO72" i="2" a="1"/>
  <c r="AO72" i="2"/>
  <c r="AO61" i="2" a="1"/>
  <c r="AO61" i="2"/>
  <c r="AO11" i="2" a="1"/>
  <c r="AO11" i="2"/>
  <c r="AO49" i="2" a="1"/>
  <c r="AO49" i="2"/>
  <c r="AO57" i="2" a="1"/>
  <c r="AO57" i="2"/>
  <c r="AO43" i="2" a="1"/>
  <c r="AO43" i="2"/>
  <c r="AO101" i="2" a="1"/>
  <c r="AO101" i="2"/>
  <c r="AO19" i="2" a="1"/>
  <c r="AO19" i="2"/>
  <c r="AO12" i="2" a="1"/>
  <c r="AO12" i="2"/>
  <c r="AO28" i="2" a="1"/>
  <c r="AO28" i="2"/>
  <c r="BG72" i="2" a="1"/>
  <c r="BG72" i="2"/>
  <c r="BG35" i="2" a="1"/>
  <c r="BG35" i="2"/>
  <c r="BG31" i="2" a="1"/>
  <c r="BG31" i="2"/>
  <c r="BG53" i="2" a="1"/>
  <c r="BG53" i="2"/>
  <c r="BG39" i="2" a="1"/>
  <c r="BG39" i="2"/>
  <c r="BG17" i="2" a="1"/>
  <c r="BG17" i="2"/>
  <c r="BG90" i="2" a="1"/>
  <c r="BG90" i="2"/>
  <c r="BG67" i="2" a="1"/>
  <c r="BG67" i="2"/>
  <c r="BG58" i="2" a="1"/>
  <c r="BG58" i="2"/>
  <c r="BG41" i="2" a="1"/>
  <c r="BG41" i="2"/>
  <c r="BG48" i="2" a="1"/>
  <c r="BG48" i="2"/>
  <c r="BG40" i="2" a="1"/>
  <c r="BG40" i="2"/>
  <c r="BG86" i="2" a="1"/>
  <c r="BG86" i="2"/>
  <c r="BG61" i="2" a="1"/>
  <c r="BG61" i="2"/>
  <c r="BG94" i="2" a="1"/>
  <c r="BG94" i="2"/>
  <c r="BG36" i="2" a="1"/>
  <c r="BG36" i="2"/>
  <c r="BG46" i="2" a="1"/>
  <c r="BG46" i="2"/>
  <c r="BG55" i="2" a="1"/>
  <c r="BG55" i="2"/>
  <c r="BG98" i="2" a="1"/>
  <c r="BG98" i="2"/>
  <c r="BG64" i="2" a="1"/>
  <c r="BG64" i="2"/>
  <c r="BG25" i="2" a="1"/>
  <c r="BG25" i="2"/>
  <c r="BG43" i="2" a="1"/>
  <c r="BG43" i="2"/>
  <c r="BG12" i="2" a="1"/>
  <c r="BG12" i="2"/>
  <c r="BG37" i="2" a="1"/>
  <c r="BG37" i="2"/>
  <c r="BG99" i="2" a="1"/>
  <c r="BG99" i="2"/>
  <c r="BG69" i="2" a="1"/>
  <c r="BG69" i="2"/>
  <c r="BG44" i="2" a="1"/>
  <c r="BG44" i="2"/>
  <c r="BG20" i="2" a="1"/>
  <c r="BG20" i="2"/>
  <c r="BG14" i="2" a="1"/>
  <c r="BG14" i="2"/>
  <c r="BG24" i="2" a="1"/>
  <c r="BG24" i="2"/>
  <c r="AO86" i="2" a="1"/>
  <c r="AO86" i="2"/>
  <c r="AO73" i="2" a="1"/>
  <c r="AO73" i="2"/>
  <c r="AO30" i="2" a="1"/>
  <c r="AO30" i="2"/>
  <c r="AO67" i="2" a="1"/>
  <c r="AO67" i="2"/>
  <c r="AO50" i="2" a="1"/>
  <c r="AO50" i="2"/>
  <c r="AO52" i="2" a="1"/>
  <c r="AO52" i="2"/>
  <c r="AO46" i="2" a="1"/>
  <c r="AO46" i="2"/>
  <c r="AO21" i="2" a="1"/>
  <c r="AO21" i="2"/>
  <c r="AO70" i="2" a="1"/>
  <c r="AO70" i="2"/>
  <c r="AO75" i="2" a="1"/>
  <c r="AO75" i="2"/>
  <c r="AO53" i="2" a="1"/>
  <c r="AO53" i="2"/>
  <c r="AO90" i="2" a="1"/>
  <c r="AO90" i="2"/>
  <c r="AO68" i="2" a="1"/>
  <c r="AO68" i="2"/>
  <c r="AO39" i="2" a="1"/>
  <c r="AO39" i="2"/>
  <c r="AO51" i="2" a="1"/>
  <c r="AO51" i="2"/>
  <c r="AO100" i="2" a="1"/>
  <c r="AO100" i="2"/>
  <c r="AO87" i="2" a="1"/>
  <c r="AO87" i="2"/>
  <c r="AO66" i="2" a="1"/>
  <c r="AO66" i="2"/>
  <c r="AO58" i="2" a="1"/>
  <c r="AO58" i="2"/>
  <c r="AO20" i="2" a="1"/>
  <c r="AO20" i="2"/>
  <c r="BG77" i="2" a="1"/>
  <c r="BG77" i="2"/>
  <c r="BG60" i="2" a="1"/>
  <c r="BG60" i="2"/>
  <c r="BG57" i="2" a="1"/>
  <c r="BG57" i="2"/>
  <c r="BG71" i="2" a="1"/>
  <c r="BG71" i="2"/>
  <c r="BG93" i="2" a="1"/>
  <c r="BG93" i="2"/>
  <c r="BG66" i="2" a="1"/>
  <c r="BG66" i="2"/>
  <c r="BG33" i="2" a="1"/>
  <c r="BG33" i="2"/>
  <c r="BG34" i="2" a="1"/>
  <c r="BG34" i="2"/>
  <c r="BG89" i="2" a="1"/>
  <c r="BG89" i="2"/>
  <c r="BG13" i="2" a="1"/>
  <c r="BG13" i="2"/>
  <c r="BG59" i="2" a="1"/>
  <c r="BG59" i="2"/>
  <c r="BG11" i="2" a="1"/>
  <c r="BG11" i="2"/>
  <c r="BG73" i="2" a="1"/>
  <c r="BG73" i="2"/>
  <c r="BG100" i="2" a="1"/>
  <c r="BG100" i="2"/>
  <c r="BG28" i="2" a="1"/>
  <c r="BG28" i="2"/>
  <c r="BG47" i="2" a="1"/>
  <c r="BG47" i="2"/>
  <c r="BG23" i="2" a="1"/>
  <c r="BG23" i="2"/>
  <c r="BG26" i="2" a="1"/>
  <c r="BG26" i="2"/>
  <c r="BG52" i="2" a="1"/>
  <c r="BG52" i="2"/>
  <c r="BG51" i="2" a="1"/>
  <c r="BG51" i="2"/>
  <c r="AO31" i="2" a="1"/>
  <c r="AO31" i="2"/>
  <c r="AO41" i="2" a="1"/>
  <c r="AO41" i="2"/>
  <c r="AO40" i="2" a="1"/>
  <c r="AO40" i="2"/>
  <c r="AO81" i="2" a="1"/>
  <c r="AO81" i="2"/>
  <c r="AO24" i="2" a="1"/>
  <c r="AO24" i="2"/>
  <c r="AO33" i="2" a="1"/>
  <c r="AO33" i="2"/>
  <c r="AO62" i="2" a="1"/>
  <c r="AO62" i="2"/>
  <c r="AO44" i="2" a="1"/>
  <c r="AO44" i="2"/>
  <c r="AO36" i="2" a="1"/>
  <c r="AO36" i="2"/>
  <c r="AO82" i="2" a="1"/>
  <c r="AO82" i="2"/>
  <c r="BG85" i="2" a="1"/>
  <c r="BG85" i="2"/>
  <c r="BG96" i="2" a="1"/>
  <c r="BG96" i="2"/>
  <c r="BG81" i="2" a="1"/>
  <c r="BG81" i="2"/>
  <c r="BG70" i="2" a="1"/>
  <c r="BG70" i="2"/>
  <c r="BG78" i="2" a="1"/>
  <c r="BG78" i="2"/>
  <c r="BG82" i="2" a="1"/>
  <c r="BG82" i="2"/>
  <c r="BG91" i="2" a="1"/>
  <c r="BG91" i="2"/>
  <c r="BG76" i="2" a="1"/>
  <c r="BG76" i="2"/>
  <c r="BG62" i="2" a="1"/>
  <c r="BG62" i="2"/>
  <c r="BG87" i="2" a="1"/>
  <c r="BG87" i="2"/>
  <c r="BF40" i="2" a="1"/>
  <c r="BF40" i="2"/>
  <c r="BF83" i="2" a="1"/>
  <c r="BF83" i="2"/>
  <c r="BF98" i="2" a="1"/>
  <c r="BF98" i="2"/>
  <c r="BF81" i="2" a="1"/>
  <c r="BF81" i="2"/>
  <c r="BF80" i="2" a="1"/>
  <c r="BF80" i="2"/>
  <c r="BF42" i="2" a="1"/>
  <c r="BF42" i="2"/>
  <c r="BF21" i="2" a="1"/>
  <c r="BF21" i="2"/>
  <c r="BF95" i="2" a="1"/>
  <c r="BF95" i="2"/>
  <c r="BF32" i="2" a="1"/>
  <c r="BF32" i="2"/>
  <c r="BF52" i="2" a="1"/>
  <c r="BF52" i="2"/>
  <c r="BF12" i="2" a="1"/>
  <c r="BF12" i="2"/>
  <c r="BF89" i="2" a="1"/>
  <c r="BF89" i="2"/>
  <c r="BF90" i="2" a="1"/>
  <c r="BF90" i="2"/>
  <c r="BF76" i="2" a="1"/>
  <c r="BF76" i="2"/>
  <c r="BF55" i="2" a="1"/>
  <c r="BF55" i="2"/>
  <c r="BF93" i="2" a="1"/>
  <c r="BF93" i="2"/>
  <c r="BF17" i="2" a="1"/>
  <c r="BF17" i="2"/>
  <c r="BF20" i="2" a="1"/>
  <c r="BF20" i="2"/>
  <c r="BF25" i="2" a="1"/>
  <c r="BF25" i="2"/>
  <c r="BF19" i="2" a="1"/>
  <c r="BF19" i="2"/>
  <c r="BG83" i="2" a="1"/>
  <c r="BG83" i="2"/>
  <c r="BG50" i="2" a="1"/>
  <c r="BG50" i="2"/>
  <c r="BG88" i="2" a="1"/>
  <c r="BG88" i="2"/>
  <c r="BG65" i="2" a="1"/>
  <c r="BG65" i="2"/>
  <c r="BG45" i="2" a="1"/>
  <c r="BG45" i="2"/>
  <c r="BG42" i="2" a="1"/>
  <c r="BG42" i="2"/>
  <c r="BG32" i="2" a="1"/>
  <c r="BG32" i="2"/>
  <c r="BG68" i="2" a="1"/>
  <c r="BG68" i="2"/>
  <c r="BG15" i="2" a="1"/>
  <c r="BG15" i="2"/>
  <c r="BG16" i="2" a="1"/>
  <c r="BG16" i="2"/>
  <c r="BF61" i="2" a="1"/>
  <c r="BF61" i="2"/>
  <c r="BF82" i="2" a="1"/>
  <c r="BF82" i="2"/>
  <c r="BF29" i="2" a="1"/>
  <c r="BF29" i="2"/>
  <c r="BF18" i="2" a="1"/>
  <c r="BF18" i="2"/>
  <c r="BF47" i="2" a="1"/>
  <c r="BF47" i="2"/>
  <c r="BF31" i="2" a="1"/>
  <c r="BF31" i="2"/>
  <c r="BF68" i="2" a="1"/>
  <c r="BF68" i="2"/>
  <c r="BF58" i="2" a="1"/>
  <c r="BF58" i="2"/>
  <c r="BF24" i="2" a="1"/>
  <c r="BF24" i="2"/>
  <c r="BF62" i="2" a="1"/>
  <c r="BF62" i="2"/>
  <c r="BF35" i="2" a="1"/>
  <c r="BF35" i="2"/>
  <c r="BF63" i="2" a="1"/>
  <c r="BF63" i="2"/>
  <c r="BF66" i="2" a="1"/>
  <c r="BF66" i="2"/>
  <c r="BF92" i="2" a="1"/>
  <c r="BF92" i="2"/>
  <c r="BF27" i="2" a="1"/>
  <c r="BF27" i="2"/>
  <c r="BF65" i="2" a="1"/>
  <c r="BF65" i="2"/>
  <c r="BF22" i="2" a="1"/>
  <c r="BF22" i="2"/>
  <c r="BF78" i="2" a="1"/>
  <c r="BF78" i="2"/>
  <c r="BF96" i="2" a="1"/>
  <c r="BF96" i="2"/>
  <c r="BF91" i="2" a="1"/>
  <c r="BF91" i="2"/>
  <c r="BG27" i="2" a="1"/>
  <c r="BG27" i="2"/>
  <c r="BG63" i="2" a="1"/>
  <c r="BG63" i="2"/>
  <c r="BG92" i="2" a="1"/>
  <c r="BG92" i="2"/>
  <c r="BG38" i="2" a="1"/>
  <c r="BG38" i="2"/>
  <c r="BG22" i="2" a="1"/>
  <c r="BG22" i="2"/>
  <c r="BG97" i="2" a="1"/>
  <c r="BG97" i="2"/>
  <c r="BG80" i="2" a="1"/>
  <c r="BG80" i="2"/>
  <c r="BG29" i="2" a="1"/>
  <c r="BG29" i="2"/>
  <c r="BG95" i="2" a="1"/>
  <c r="BG95" i="2"/>
  <c r="BG75" i="2" a="1"/>
  <c r="BG75" i="2"/>
  <c r="BG84" i="2" a="1"/>
  <c r="BG84" i="2"/>
  <c r="BG49" i="2" a="1"/>
  <c r="BG49" i="2"/>
  <c r="BG18" i="2" a="1"/>
  <c r="BG18" i="2"/>
  <c r="BG21" i="2" a="1"/>
  <c r="BG21" i="2"/>
  <c r="BG19" i="2" a="1"/>
  <c r="BG19" i="2"/>
  <c r="BG79" i="2" a="1"/>
  <c r="BG79" i="2"/>
  <c r="BG74" i="2" a="1"/>
  <c r="BG74" i="2"/>
  <c r="BG54" i="2" a="1"/>
  <c r="BG54" i="2"/>
  <c r="BG56" i="2" a="1"/>
  <c r="BG56" i="2"/>
  <c r="BG101" i="2" a="1"/>
  <c r="BG101" i="2"/>
  <c r="BF70" i="2" a="1"/>
  <c r="BF70" i="2"/>
  <c r="BF75" i="2" a="1"/>
  <c r="BF75" i="2"/>
  <c r="BF74" i="2" a="1"/>
  <c r="BF74" i="2"/>
  <c r="BF51" i="2" a="1"/>
  <c r="BF51" i="2"/>
  <c r="BF94" i="2" a="1"/>
  <c r="BF94" i="2"/>
  <c r="BF49" i="2" a="1"/>
  <c r="BF49" i="2"/>
  <c r="BF73" i="2" a="1"/>
  <c r="BF73" i="2"/>
  <c r="BF15" i="2" a="1"/>
  <c r="BF15" i="2"/>
  <c r="BF67" i="2" a="1"/>
  <c r="BF67" i="2"/>
  <c r="BF77" i="2" a="1"/>
  <c r="BF77" i="2"/>
  <c r="BF54" i="2" a="1"/>
  <c r="BF54" i="2"/>
  <c r="BF88" i="2" a="1"/>
  <c r="BF88" i="2"/>
  <c r="BF60" i="2" a="1"/>
  <c r="BF60" i="2"/>
  <c r="BF101" i="2" a="1"/>
  <c r="BF101" i="2"/>
  <c r="BF14" i="2" a="1"/>
  <c r="BF14" i="2"/>
  <c r="BF59" i="2" a="1"/>
  <c r="BF59" i="2"/>
  <c r="BF69" i="2" a="1"/>
  <c r="BF69" i="2"/>
  <c r="BF16" i="2" a="1"/>
  <c r="BF16" i="2"/>
  <c r="BF30" i="2" a="1"/>
  <c r="BF30" i="2"/>
  <c r="BF45" i="2" a="1"/>
  <c r="BF45" i="2"/>
  <c r="BF72" i="2" a="1"/>
  <c r="BF72" i="2"/>
  <c r="BF50" i="2" a="1"/>
  <c r="BF50" i="2"/>
  <c r="BF41" i="2" a="1"/>
  <c r="BF41" i="2"/>
  <c r="BF28" i="2" a="1"/>
  <c r="BF28" i="2"/>
  <c r="BF46" i="2" a="1"/>
  <c r="BF46" i="2"/>
  <c r="BF37" i="2" a="1"/>
  <c r="BF37" i="2"/>
  <c r="BF85" i="2" a="1"/>
  <c r="BF85" i="2"/>
  <c r="BF38" i="2" a="1"/>
  <c r="BF38" i="2"/>
  <c r="BF11" i="2" a="1"/>
  <c r="BF11" i="2"/>
  <c r="BF44" i="2" a="1"/>
  <c r="BF44" i="2"/>
  <c r="BL41" i="2" a="1"/>
  <c r="BL41" i="2"/>
  <c r="BK60" i="2" a="1"/>
  <c r="BK60" i="2"/>
  <c r="BK18" i="2" a="1"/>
  <c r="BK18" i="2"/>
  <c r="BL44" i="2" a="1"/>
  <c r="BL44" i="2"/>
  <c r="BK71" i="2" a="1"/>
  <c r="BK71" i="2"/>
  <c r="BK31" i="2" a="1"/>
  <c r="BK31" i="2"/>
  <c r="BK15" i="2" a="1"/>
  <c r="BK15" i="2"/>
  <c r="BL43" i="2" a="1"/>
  <c r="BL43" i="2"/>
  <c r="BK42" i="2" a="1"/>
  <c r="BK42" i="2"/>
  <c r="BK66" i="2" a="1"/>
  <c r="BK66" i="2"/>
  <c r="BL71" i="2" a="1"/>
  <c r="BL71" i="2"/>
  <c r="BL66" i="2" a="1"/>
  <c r="BL66" i="2"/>
  <c r="BL42" i="2" a="1"/>
  <c r="BL42" i="2"/>
  <c r="BK44" i="2" a="1"/>
  <c r="BK44" i="2"/>
  <c r="BK43" i="2" a="1"/>
  <c r="BK43" i="2"/>
  <c r="BK41" i="2" a="1"/>
  <c r="BK41" i="2"/>
  <c r="BL60" i="2" a="1"/>
  <c r="BL60" i="2"/>
  <c r="BL15" i="2" a="1"/>
  <c r="BL15" i="2"/>
  <c r="BL31" i="2" a="1"/>
  <c r="BL31" i="2"/>
  <c r="BL18" i="2" a="1"/>
  <c r="BL18" i="2"/>
  <c r="BF26" i="2" a="1"/>
  <c r="BF26" i="2"/>
  <c r="BF87" i="2" a="1"/>
  <c r="BF87" i="2"/>
  <c r="BF39" i="2" a="1"/>
  <c r="BF39" i="2"/>
  <c r="BF56" i="2" a="1"/>
  <c r="BF56" i="2"/>
  <c r="BF79" i="2" a="1"/>
  <c r="BF79" i="2"/>
  <c r="BF97" i="2" a="1"/>
  <c r="BF97" i="2"/>
  <c r="BF84" i="2" a="1"/>
  <c r="BF84" i="2"/>
  <c r="BF23" i="2" a="1"/>
  <c r="BF23" i="2"/>
  <c r="BF71" i="2" a="1"/>
  <c r="BF71" i="2"/>
  <c r="BF48" i="2" a="1"/>
  <c r="BF48" i="2"/>
  <c r="BL51" i="2" a="1"/>
  <c r="BL51" i="2"/>
  <c r="BK57" i="2" a="1"/>
  <c r="BK57" i="2"/>
  <c r="BL90" i="2" a="1"/>
  <c r="BL90" i="2"/>
  <c r="BL98" i="2" a="1"/>
  <c r="BL98" i="2"/>
  <c r="BL101" i="2" a="1"/>
  <c r="BL101" i="2"/>
  <c r="BK76" i="2" a="1"/>
  <c r="BK76" i="2"/>
  <c r="BK62" i="2" a="1"/>
  <c r="BK62" i="2"/>
  <c r="BL46" i="2" a="1"/>
  <c r="BL46" i="2"/>
  <c r="BL57" i="2" a="1"/>
  <c r="BL57" i="2"/>
  <c r="BK34" i="2" a="1"/>
  <c r="BK34" i="2"/>
  <c r="BL76" i="2" a="1"/>
  <c r="BL76" i="2"/>
  <c r="BK51" i="2" a="1"/>
  <c r="BK51" i="2"/>
  <c r="BK38" i="2" a="1"/>
  <c r="BK38" i="2"/>
  <c r="BL62" i="2" a="1"/>
  <c r="BL62" i="2"/>
  <c r="BK90" i="2" a="1"/>
  <c r="BK90" i="2"/>
  <c r="BK101" i="2" a="1"/>
  <c r="BK101" i="2"/>
  <c r="BK46" i="2" a="1"/>
  <c r="BK46" i="2"/>
  <c r="BK98" i="2" a="1"/>
  <c r="BK98" i="2"/>
  <c r="BL34" i="2" a="1"/>
  <c r="BL34" i="2"/>
  <c r="BL38" i="2" a="1"/>
  <c r="BL38" i="2"/>
  <c r="BK37" i="2" a="1"/>
  <c r="BK37" i="2"/>
  <c r="BL36" i="2" a="1"/>
  <c r="BL36" i="2"/>
  <c r="BL23" i="2" a="1"/>
  <c r="BL23" i="2"/>
  <c r="BL75" i="2" a="1"/>
  <c r="BL75" i="2"/>
  <c r="BL58" i="2" a="1"/>
  <c r="BL58" i="2"/>
  <c r="BK45" i="2" a="1"/>
  <c r="BK45" i="2"/>
  <c r="BK95" i="2" a="1"/>
  <c r="BK95" i="2"/>
  <c r="BL30" i="2" a="1"/>
  <c r="BL30" i="2"/>
  <c r="BL96" i="2" a="1"/>
  <c r="BL96" i="2"/>
  <c r="BL61" i="2" a="1"/>
  <c r="BL61" i="2"/>
  <c r="BK36" i="2" a="1"/>
  <c r="BK36" i="2"/>
  <c r="BK61" i="2" a="1"/>
  <c r="BK61" i="2"/>
  <c r="BK58" i="2" a="1"/>
  <c r="BK58" i="2"/>
  <c r="BK30" i="2" a="1"/>
  <c r="BK30" i="2"/>
  <c r="BK75" i="2" a="1"/>
  <c r="BK75" i="2"/>
  <c r="BK96" i="2" a="1"/>
  <c r="BK96" i="2"/>
  <c r="BL95" i="2" a="1"/>
  <c r="BL95" i="2"/>
  <c r="BL37" i="2" a="1"/>
  <c r="BL37" i="2"/>
  <c r="BL45" i="2" a="1"/>
  <c r="BL45" i="2"/>
  <c r="BK23" i="2" a="1"/>
  <c r="BK23" i="2"/>
  <c r="BL55" i="2" a="1"/>
  <c r="BL55" i="2"/>
  <c r="BK22" i="2" a="1"/>
  <c r="BK22" i="2"/>
  <c r="BL20" i="2" a="1"/>
  <c r="BL20" i="2"/>
  <c r="BL28" i="2" a="1"/>
  <c r="BL28" i="2"/>
  <c r="BL53" i="2" a="1"/>
  <c r="BL53" i="2"/>
  <c r="BL48" i="2" a="1"/>
  <c r="BL48" i="2"/>
  <c r="BL72" i="2" a="1"/>
  <c r="BL72" i="2"/>
  <c r="BK81" i="2" a="1"/>
  <c r="BK81" i="2"/>
  <c r="BK99" i="2" a="1"/>
  <c r="BK99" i="2"/>
  <c r="BL69" i="2" a="1"/>
  <c r="BL69" i="2"/>
  <c r="BK20" i="2" a="1"/>
  <c r="BK20" i="2"/>
  <c r="BK72" i="2" a="1"/>
  <c r="BK72" i="2"/>
  <c r="BK53" i="2" a="1"/>
  <c r="BK53" i="2"/>
  <c r="BK48" i="2" a="1"/>
  <c r="BK48" i="2"/>
  <c r="BL22" i="2" a="1"/>
  <c r="BL22" i="2"/>
  <c r="BK28" i="2" a="1"/>
  <c r="BK28" i="2"/>
  <c r="BL99" i="2" a="1"/>
  <c r="BL99" i="2"/>
  <c r="BK69" i="2" a="1"/>
  <c r="BK69" i="2"/>
  <c r="BL81" i="2" a="1"/>
  <c r="BL81" i="2"/>
  <c r="BK55" i="2" a="1"/>
  <c r="BK55" i="2"/>
  <c r="BK39" i="2" a="1"/>
  <c r="BK39" i="2"/>
  <c r="BK89" i="2" a="1"/>
  <c r="BK89" i="2"/>
  <c r="BK35" i="2" a="1"/>
  <c r="BK35" i="2"/>
  <c r="BK21" i="2" a="1"/>
  <c r="BK21" i="2"/>
  <c r="BK100" i="2" a="1"/>
  <c r="BK100" i="2"/>
  <c r="BK97" i="2" a="1"/>
  <c r="BK97" i="2"/>
  <c r="BL100" i="2" a="1"/>
  <c r="BL100" i="2"/>
  <c r="BK12" i="2" a="1"/>
  <c r="BK12" i="2"/>
  <c r="BL97" i="2" a="1"/>
  <c r="BL97" i="2"/>
  <c r="BL64" i="2" a="1"/>
  <c r="BL64" i="2"/>
  <c r="BL21" i="2" a="1"/>
  <c r="BL21" i="2"/>
  <c r="BL12" i="2" a="1"/>
  <c r="BL12" i="2"/>
  <c r="BL27" i="2" a="1"/>
  <c r="BL27" i="2"/>
  <c r="BK64" i="2" a="1"/>
  <c r="BK64" i="2"/>
  <c r="BL39" i="2" a="1"/>
  <c r="BL39" i="2"/>
  <c r="BK91" i="2" a="1"/>
  <c r="BK91" i="2"/>
  <c r="BL91" i="2" a="1"/>
  <c r="BL91" i="2"/>
  <c r="BL89" i="2" a="1"/>
  <c r="BL89" i="2"/>
  <c r="BL35" i="2" a="1"/>
  <c r="BL35" i="2"/>
  <c r="BK27" i="2" a="1"/>
  <c r="BK27" i="2"/>
  <c r="BG30" i="2" a="1"/>
  <c r="BG30" i="2"/>
  <c r="BL94" i="2" a="1"/>
  <c r="BL94" i="2"/>
  <c r="BK29" i="2" a="1"/>
  <c r="BK29" i="2"/>
  <c r="BL32" i="2" a="1"/>
  <c r="BL32" i="2"/>
  <c r="BL26" i="2" a="1"/>
  <c r="BL26" i="2"/>
  <c r="BL92" i="2" a="1"/>
  <c r="BL92" i="2"/>
  <c r="BK74" i="2" a="1"/>
  <c r="BK74" i="2"/>
  <c r="BL52" i="2" a="1"/>
  <c r="BL52" i="2"/>
  <c r="BK83" i="2" a="1"/>
  <c r="BK83" i="2"/>
  <c r="BL67" i="2" a="1"/>
  <c r="BL67" i="2"/>
  <c r="BL74" i="2" a="1"/>
  <c r="BL74" i="2"/>
  <c r="BK94" i="2" a="1"/>
  <c r="BK94" i="2"/>
  <c r="BK52" i="2" a="1"/>
  <c r="BK52" i="2"/>
  <c r="BL40" i="2" a="1"/>
  <c r="BL40" i="2"/>
  <c r="BK40" i="2" a="1"/>
  <c r="BK40" i="2"/>
  <c r="BL29" i="2" a="1"/>
  <c r="BL29" i="2"/>
  <c r="BL83" i="2" a="1"/>
  <c r="BL83" i="2"/>
  <c r="BK26" i="2" a="1"/>
  <c r="BK26" i="2"/>
  <c r="BK92" i="2" a="1"/>
  <c r="BK92" i="2"/>
  <c r="BK32" i="2" a="1"/>
  <c r="BK32" i="2"/>
  <c r="BK67" i="2" a="1"/>
  <c r="BK67" i="2"/>
  <c r="BN78" i="2" a="1"/>
  <c r="BN78" i="2"/>
  <c r="BN17" i="2" a="1"/>
  <c r="BN17" i="2"/>
  <c r="BN69" i="2" a="1"/>
  <c r="BN69" i="2"/>
  <c r="BM59" i="2" a="1"/>
  <c r="BM59" i="2"/>
  <c r="BM39" i="2" a="1"/>
  <c r="BM39" i="2"/>
  <c r="BM52" i="2" a="1"/>
  <c r="BM52" i="2"/>
  <c r="BN36" i="2" a="1"/>
  <c r="BN36" i="2"/>
  <c r="BN39" i="2" a="1"/>
  <c r="BN39" i="2"/>
  <c r="BM40" i="2" a="1"/>
  <c r="BM40" i="2"/>
  <c r="BN40" i="2" a="1"/>
  <c r="BN40" i="2"/>
  <c r="BM78" i="2" a="1"/>
  <c r="BM78" i="2"/>
  <c r="BM36" i="2" a="1"/>
  <c r="BM36" i="2"/>
  <c r="BN59" i="2" a="1"/>
  <c r="BN59" i="2"/>
  <c r="BN23" i="2" a="1"/>
  <c r="BN23" i="2"/>
  <c r="BM53" i="2" a="1"/>
  <c r="BM53" i="2"/>
  <c r="BN52" i="2" a="1"/>
  <c r="BN52" i="2"/>
  <c r="BM17" i="2" a="1"/>
  <c r="BM17" i="2"/>
  <c r="BN53" i="2" a="1"/>
  <c r="BN53" i="2"/>
  <c r="BM23" i="2" a="1"/>
  <c r="BM23" i="2"/>
  <c r="BM69" i="2" a="1"/>
  <c r="BM69" i="2"/>
  <c r="BF43" i="2" a="1"/>
  <c r="BF43" i="2"/>
  <c r="BL86" i="2" a="1"/>
  <c r="BL86" i="2"/>
  <c r="BL49" i="2" a="1"/>
  <c r="BL49" i="2"/>
  <c r="BK25" i="2" a="1"/>
  <c r="BK25" i="2"/>
  <c r="BL17" i="2" a="1"/>
  <c r="BL17" i="2"/>
  <c r="BK50" i="2" a="1"/>
  <c r="BK50" i="2"/>
  <c r="BL77" i="2" a="1"/>
  <c r="BL77" i="2"/>
  <c r="BK85" i="2" a="1"/>
  <c r="BK85" i="2"/>
  <c r="BK56" i="2" a="1"/>
  <c r="BK56" i="2"/>
  <c r="BK33" i="2" a="1"/>
  <c r="BK33" i="2"/>
  <c r="BL85" i="2" a="1"/>
  <c r="BL85" i="2"/>
  <c r="BK17" i="2" a="1"/>
  <c r="BK17" i="2"/>
  <c r="BK49" i="2" a="1"/>
  <c r="BK49" i="2"/>
  <c r="BL33" i="2" a="1"/>
  <c r="BL33" i="2"/>
  <c r="BL25" i="2" a="1"/>
  <c r="BL25" i="2"/>
  <c r="BL19" i="2" a="1"/>
  <c r="BL19" i="2"/>
  <c r="BL56" i="2" a="1"/>
  <c r="BL56" i="2"/>
  <c r="BK77" i="2" a="1"/>
  <c r="BK77" i="2"/>
  <c r="BK19" i="2" a="1"/>
  <c r="BK19" i="2"/>
  <c r="BK86" i="2" a="1"/>
  <c r="BK86" i="2"/>
  <c r="BL50" i="2" a="1"/>
  <c r="BL50" i="2"/>
  <c r="BM91" i="2" a="1"/>
  <c r="BM91" i="2"/>
  <c r="BM77" i="2" a="1"/>
  <c r="BM77" i="2"/>
  <c r="BN22" i="2" a="1"/>
  <c r="BN22" i="2"/>
  <c r="BM68" i="2" a="1"/>
  <c r="BM68" i="2"/>
  <c r="BN63" i="2" a="1"/>
  <c r="BN63" i="2"/>
  <c r="BN79" i="2" a="1"/>
  <c r="BN79" i="2"/>
  <c r="BM13" i="2" a="1"/>
  <c r="BM13" i="2"/>
  <c r="BN81" i="2" a="1"/>
  <c r="BN81" i="2"/>
  <c r="BM55" i="2" a="1"/>
  <c r="BM55" i="2"/>
  <c r="BN77" i="2" a="1"/>
  <c r="BN77" i="2"/>
  <c r="BM79" i="2" a="1"/>
  <c r="BM79" i="2"/>
  <c r="BN13" i="2" a="1"/>
  <c r="BN13" i="2"/>
  <c r="BM63" i="2" a="1"/>
  <c r="BM63" i="2"/>
  <c r="BN91" i="2" a="1"/>
  <c r="BN91" i="2"/>
  <c r="BN55" i="2" a="1"/>
  <c r="BN55" i="2"/>
  <c r="BM22" i="2" a="1"/>
  <c r="BM22" i="2"/>
  <c r="BN68" i="2" a="1"/>
  <c r="BN68" i="2"/>
  <c r="BM43" i="2" a="1"/>
  <c r="BM43" i="2"/>
  <c r="BN43" i="2" a="1"/>
  <c r="BN43" i="2"/>
  <c r="BM81" i="2" a="1"/>
  <c r="BM81" i="2"/>
  <c r="AX89" i="2" a="1"/>
  <c r="AX89" i="2"/>
  <c r="AX36" i="2" a="1"/>
  <c r="AX36" i="2"/>
  <c r="AX11" i="2" a="1"/>
  <c r="AX11" i="2"/>
  <c r="AX46" i="2" a="1"/>
  <c r="AX46" i="2"/>
  <c r="AX32" i="2" a="1"/>
  <c r="AX32" i="2"/>
  <c r="AX31" i="2" a="1"/>
  <c r="AX31" i="2"/>
  <c r="AX14" i="2" a="1"/>
  <c r="AX14" i="2"/>
  <c r="AX55" i="2" a="1"/>
  <c r="AX55" i="2"/>
  <c r="AX101" i="2" a="1"/>
  <c r="AX101" i="2"/>
  <c r="AX45" i="2" a="1"/>
  <c r="AX45" i="2"/>
  <c r="BL59" i="2" a="1"/>
  <c r="BL59" i="2"/>
  <c r="BL63" i="2" a="1"/>
  <c r="BL63" i="2"/>
  <c r="BK93" i="2" a="1"/>
  <c r="BK93" i="2"/>
  <c r="BK82" i="2" a="1"/>
  <c r="BK82" i="2"/>
  <c r="BL80" i="2" a="1"/>
  <c r="BL80" i="2"/>
  <c r="BK11" i="2" a="1"/>
  <c r="BK11" i="2"/>
  <c r="BL78" i="2" a="1"/>
  <c r="BL78" i="2"/>
  <c r="BN30" i="2" a="1"/>
  <c r="BN30" i="2"/>
  <c r="BM58" i="2" a="1"/>
  <c r="BM58" i="2"/>
  <c r="BM66" i="2" a="1"/>
  <c r="BM66" i="2"/>
  <c r="BL87" i="2" a="1"/>
  <c r="BL87" i="2"/>
  <c r="BN80" i="2" a="1"/>
  <c r="BN80" i="2"/>
  <c r="BM85" i="2" a="1"/>
  <c r="BM85" i="2"/>
  <c r="BM32" i="2" a="1"/>
  <c r="BM32" i="2"/>
  <c r="BK73" i="2" a="1"/>
  <c r="BK73" i="2"/>
  <c r="BN15" i="2" a="1"/>
  <c r="BN15" i="2"/>
  <c r="BM80" i="2" a="1"/>
  <c r="BM80" i="2"/>
  <c r="BM24" i="2" a="1"/>
  <c r="BM24" i="2"/>
  <c r="BN21" i="2" a="1"/>
  <c r="BN21" i="2"/>
  <c r="BN24" i="2" a="1"/>
  <c r="BN24" i="2"/>
  <c r="BL84" i="2" a="1"/>
  <c r="BL84" i="2"/>
  <c r="BL11" i="2" a="1"/>
  <c r="BL11" i="2"/>
  <c r="BM15" i="2" a="1"/>
  <c r="BM15" i="2"/>
  <c r="BN32" i="2" a="1"/>
  <c r="BN32" i="2"/>
  <c r="BN66" i="2" a="1"/>
  <c r="BN66" i="2"/>
  <c r="BL93" i="2" a="1"/>
  <c r="BL93" i="2"/>
  <c r="BM56" i="2" a="1"/>
  <c r="BM56" i="2"/>
  <c r="BK59" i="2" a="1"/>
  <c r="BK59" i="2"/>
  <c r="BN58" i="2" a="1"/>
  <c r="BN58" i="2"/>
  <c r="BN85" i="2" a="1"/>
  <c r="BN85" i="2"/>
  <c r="BN56" i="2" a="1"/>
  <c r="BN56" i="2"/>
  <c r="BK78" i="2" a="1"/>
  <c r="BK78" i="2"/>
  <c r="BL73" i="2" a="1"/>
  <c r="BL73" i="2"/>
  <c r="BK84" i="2" a="1"/>
  <c r="BK84" i="2"/>
  <c r="BK80" i="2" a="1"/>
  <c r="BK80" i="2"/>
  <c r="BL82" i="2" a="1"/>
  <c r="BL82" i="2"/>
  <c r="BM30" i="2" a="1"/>
  <c r="BM30" i="2"/>
  <c r="BK87" i="2" a="1"/>
  <c r="BK87" i="2"/>
  <c r="BM21" i="2" a="1"/>
  <c r="BM21" i="2"/>
  <c r="BK63" i="2" a="1"/>
  <c r="BK63" i="2"/>
  <c r="BM47" i="2" a="1"/>
  <c r="BM47" i="2"/>
  <c r="BM42" i="2" a="1"/>
  <c r="BM42" i="2"/>
  <c r="BN60" i="2" a="1"/>
  <c r="BN60" i="2"/>
  <c r="BM101" i="2" a="1"/>
  <c r="BM101" i="2"/>
  <c r="BN50" i="2" a="1"/>
  <c r="BN50" i="2"/>
  <c r="BN38" i="2" a="1"/>
  <c r="BN38" i="2"/>
  <c r="BM65" i="2" a="1"/>
  <c r="BM65" i="2"/>
  <c r="BN94" i="2" a="1"/>
  <c r="BN94" i="2"/>
  <c r="BM64" i="2" a="1"/>
  <c r="BM64" i="2"/>
  <c r="BN71" i="2" a="1"/>
  <c r="BN71" i="2"/>
  <c r="BM38" i="2" a="1"/>
  <c r="BM38" i="2"/>
  <c r="BN65" i="2" a="1"/>
  <c r="BN65" i="2"/>
  <c r="BM71" i="2" a="1"/>
  <c r="BM71" i="2"/>
  <c r="BN101" i="2" a="1"/>
  <c r="BN101" i="2"/>
  <c r="BN64" i="2" a="1"/>
  <c r="BN64" i="2"/>
  <c r="BN42" i="2" a="1"/>
  <c r="BN42" i="2"/>
  <c r="BM50" i="2" a="1"/>
  <c r="BM50" i="2"/>
  <c r="BN47" i="2" a="1"/>
  <c r="BN47" i="2"/>
  <c r="BM94" i="2" a="1"/>
  <c r="BM94" i="2"/>
  <c r="BM60" i="2" a="1"/>
  <c r="BM60" i="2"/>
  <c r="BK47" i="2" a="1"/>
  <c r="BK47" i="2"/>
  <c r="BK68" i="2" a="1"/>
  <c r="BK68" i="2"/>
  <c r="BK24" i="2" a="1"/>
  <c r="BK24" i="2"/>
  <c r="BK13" i="2" a="1"/>
  <c r="BK13" i="2"/>
  <c r="BL14" i="2" a="1"/>
  <c r="BL14" i="2"/>
  <c r="BL54" i="2" a="1"/>
  <c r="BL54" i="2"/>
  <c r="BK88" i="2" a="1"/>
  <c r="BK88" i="2"/>
  <c r="BL16" i="2" a="1"/>
  <c r="BL16" i="2"/>
  <c r="BL65" i="2" a="1"/>
  <c r="BL65" i="2"/>
  <c r="BK70" i="2" a="1"/>
  <c r="BK70" i="2"/>
  <c r="BL24" i="2" a="1"/>
  <c r="BL24" i="2"/>
  <c r="BK14" i="2" a="1"/>
  <c r="BK14" i="2"/>
  <c r="BK16" i="2" a="1"/>
  <c r="BK16" i="2"/>
  <c r="BL68" i="2" a="1"/>
  <c r="BL68" i="2"/>
  <c r="BK65" i="2" a="1"/>
  <c r="BK65" i="2"/>
  <c r="BL70" i="2" a="1"/>
  <c r="BL70" i="2"/>
  <c r="BK54" i="2" a="1"/>
  <c r="BK54" i="2"/>
  <c r="BL47" i="2" a="1"/>
  <c r="BL47" i="2"/>
  <c r="BL88" i="2" a="1"/>
  <c r="BL88" i="2"/>
  <c r="BL13" i="2" a="1"/>
  <c r="BL13" i="2"/>
  <c r="BN83" i="2" a="1"/>
  <c r="BN83" i="2"/>
  <c r="BM67" i="2" a="1"/>
  <c r="BM67" i="2"/>
  <c r="BN48" i="2" a="1"/>
  <c r="BN48" i="2"/>
  <c r="BM70" i="2" a="1"/>
  <c r="BM70" i="2"/>
  <c r="BM99" i="2" a="1"/>
  <c r="BM99" i="2"/>
  <c r="BM86" i="2" a="1"/>
  <c r="BM86" i="2"/>
  <c r="BN67" i="2" a="1"/>
  <c r="BN67" i="2"/>
  <c r="BN86" i="2" a="1"/>
  <c r="BN86" i="2"/>
  <c r="BM48" i="2" a="1"/>
  <c r="BM48" i="2"/>
  <c r="BM41" i="2" a="1"/>
  <c r="BM41" i="2"/>
  <c r="BN70" i="2" a="1"/>
  <c r="BN70" i="2"/>
  <c r="BM83" i="2" a="1"/>
  <c r="BM83" i="2"/>
  <c r="BM51" i="2" a="1"/>
  <c r="BM51" i="2"/>
  <c r="BN51" i="2" a="1"/>
  <c r="BN51" i="2"/>
  <c r="BN16" i="2" a="1"/>
  <c r="BN16" i="2"/>
  <c r="BN99" i="2" a="1"/>
  <c r="BN99" i="2"/>
  <c r="BM35" i="2" a="1"/>
  <c r="BM35" i="2"/>
  <c r="BM16" i="2" a="1"/>
  <c r="BM16" i="2"/>
  <c r="BN35" i="2" a="1"/>
  <c r="BN35" i="2"/>
  <c r="BN41" i="2" a="1"/>
  <c r="BN41" i="2"/>
  <c r="AX57" i="2" a="1"/>
  <c r="AX57" i="2"/>
  <c r="AX98" i="2" a="1"/>
  <c r="AX98" i="2"/>
  <c r="AX49" i="2" a="1"/>
  <c r="AX49" i="2"/>
  <c r="AX23" i="2" a="1"/>
  <c r="AX23" i="2"/>
  <c r="AX13" i="2" a="1"/>
  <c r="AX13" i="2"/>
  <c r="AX47" i="2" a="1"/>
  <c r="AX47" i="2"/>
  <c r="AX68" i="2" a="1"/>
  <c r="AX68" i="2"/>
  <c r="AX95" i="2" a="1"/>
  <c r="AX95" i="2"/>
  <c r="AX92" i="2" a="1"/>
  <c r="AX92" i="2"/>
  <c r="AX38" i="2" a="1"/>
  <c r="AX38" i="2"/>
  <c r="BM20" i="2" a="1"/>
  <c r="BM20" i="2"/>
  <c r="BN90" i="2" a="1"/>
  <c r="BN90" i="2"/>
  <c r="BM62" i="2" a="1"/>
  <c r="BM62" i="2"/>
  <c r="BM100" i="2" a="1"/>
  <c r="BM100" i="2"/>
  <c r="BM84" i="2" a="1"/>
  <c r="BM84" i="2"/>
  <c r="BN82" i="2" a="1"/>
  <c r="BN82" i="2"/>
  <c r="BN11" i="2" a="1"/>
  <c r="BN11" i="2"/>
  <c r="BM89" i="2" a="1"/>
  <c r="BM89" i="2"/>
  <c r="BN18" i="2" a="1"/>
  <c r="BN18" i="2"/>
  <c r="BM14" i="2" a="1"/>
  <c r="BM14" i="2"/>
  <c r="BN84" i="2" a="1"/>
  <c r="BN84" i="2"/>
  <c r="BN20" i="2" a="1"/>
  <c r="BN20" i="2"/>
  <c r="BN89" i="2" a="1"/>
  <c r="BN89" i="2"/>
  <c r="BM90" i="2" a="1"/>
  <c r="BM90" i="2"/>
  <c r="BN62" i="2" a="1"/>
  <c r="BN62" i="2"/>
  <c r="BM18" i="2" a="1"/>
  <c r="BM18" i="2"/>
  <c r="BM11" i="2" a="1"/>
  <c r="BM11" i="2"/>
  <c r="BN100" i="2" a="1"/>
  <c r="BN100" i="2"/>
  <c r="BN14" i="2" a="1"/>
  <c r="BN14" i="2"/>
  <c r="BM82" i="2" a="1"/>
  <c r="BM82" i="2"/>
  <c r="BM88" i="2" a="1"/>
  <c r="BM88" i="2"/>
  <c r="BN31" i="2" a="1"/>
  <c r="BN31" i="2"/>
  <c r="BM45" i="2" a="1"/>
  <c r="BM45" i="2"/>
  <c r="BM26" i="2" a="1"/>
  <c r="BM26" i="2"/>
  <c r="BM92" i="2" a="1"/>
  <c r="BM92" i="2"/>
  <c r="BN34" i="2" a="1"/>
  <c r="BN34" i="2"/>
  <c r="BN72" i="2" a="1"/>
  <c r="BN72" i="2"/>
  <c r="BN97" i="2" a="1"/>
  <c r="BN97" i="2"/>
  <c r="BN98" i="2" a="1"/>
  <c r="BN98" i="2"/>
  <c r="BM74" i="2" a="1"/>
  <c r="BM74" i="2"/>
  <c r="BM72" i="2" a="1"/>
  <c r="BM72" i="2"/>
  <c r="BM98" i="2" a="1"/>
  <c r="BM98" i="2"/>
  <c r="BM31" i="2" a="1"/>
  <c r="BM31" i="2"/>
  <c r="BN92" i="2" a="1"/>
  <c r="BN92" i="2"/>
  <c r="BN45" i="2" a="1"/>
  <c r="BN45" i="2"/>
  <c r="BN74" i="2" a="1"/>
  <c r="BN74" i="2"/>
  <c r="BM34" i="2" a="1"/>
  <c r="BM34" i="2"/>
  <c r="BM97" i="2" a="1"/>
  <c r="BM97" i="2"/>
  <c r="BN88" i="2" a="1"/>
  <c r="BN88" i="2"/>
  <c r="BN26" i="2" a="1"/>
  <c r="BN26" i="2"/>
  <c r="BM28" i="2" a="1"/>
  <c r="BM28" i="2"/>
  <c r="BM49" i="2" a="1"/>
  <c r="BM49" i="2"/>
  <c r="BN25" i="2" a="1"/>
  <c r="BN25" i="2"/>
  <c r="BM75" i="2" a="1"/>
  <c r="BM75" i="2"/>
  <c r="BN46" i="2" a="1"/>
  <c r="BN46" i="2"/>
  <c r="BM93" i="2" a="1"/>
  <c r="BM93" i="2"/>
  <c r="BN27" i="2" a="1"/>
  <c r="BN27" i="2"/>
  <c r="BN29" i="2" a="1"/>
  <c r="BN29" i="2"/>
  <c r="BM12" i="2" a="1"/>
  <c r="BM12" i="2"/>
  <c r="BM46" i="2" a="1"/>
  <c r="BM46" i="2"/>
  <c r="BM25" i="2" a="1"/>
  <c r="BM25" i="2"/>
  <c r="BM95" i="2" a="1"/>
  <c r="BM95" i="2"/>
  <c r="BN49" i="2" a="1"/>
  <c r="BN49" i="2"/>
  <c r="BN93" i="2" a="1"/>
  <c r="BN93" i="2"/>
  <c r="BN75" i="2" a="1"/>
  <c r="BN75" i="2"/>
  <c r="BN12" i="2" a="1"/>
  <c r="BN12" i="2"/>
  <c r="BN95" i="2" a="1"/>
  <c r="BN95" i="2"/>
  <c r="BN28" i="2" a="1"/>
  <c r="BN28" i="2"/>
  <c r="BM29" i="2" a="1"/>
  <c r="BM29" i="2"/>
  <c r="BM27" i="2" a="1"/>
  <c r="BM27" i="2"/>
  <c r="BN61" i="2" a="1"/>
  <c r="BN61" i="2"/>
  <c r="BM96" i="2" a="1"/>
  <c r="BM96" i="2"/>
  <c r="BM73" i="2" a="1"/>
  <c r="BM73" i="2"/>
  <c r="BM19" i="2" a="1"/>
  <c r="BM19" i="2"/>
  <c r="BN54" i="2" a="1"/>
  <c r="BN54" i="2"/>
  <c r="BN57" i="2" a="1"/>
  <c r="BN57" i="2"/>
  <c r="BM76" i="2" a="1"/>
  <c r="BM76" i="2"/>
  <c r="BN44" i="2" a="1"/>
  <c r="BN44" i="2"/>
  <c r="BN37" i="2" a="1"/>
  <c r="BN37" i="2"/>
  <c r="BM44" i="2" a="1"/>
  <c r="BM44" i="2"/>
  <c r="BN76" i="2" a="1"/>
  <c r="BN76" i="2"/>
  <c r="BM33" i="2" a="1"/>
  <c r="BM33" i="2"/>
  <c r="BM37" i="2" a="1"/>
  <c r="BM37" i="2"/>
  <c r="BN19" i="2" a="1"/>
  <c r="BN19" i="2"/>
  <c r="BM61" i="2" a="1"/>
  <c r="BM61" i="2"/>
  <c r="BN33" i="2" a="1"/>
  <c r="BN33" i="2"/>
  <c r="BM54" i="2" a="1"/>
  <c r="BM54" i="2"/>
  <c r="BN96" i="2" a="1"/>
  <c r="BN96" i="2"/>
  <c r="BN73" i="2" a="1"/>
  <c r="BN73" i="2"/>
  <c r="BM57" i="2" a="1"/>
  <c r="BM57" i="2"/>
  <c r="K38" i="2"/>
  <c r="K74" i="2"/>
  <c r="K57" i="2"/>
  <c r="K100" i="2"/>
  <c r="K18" i="2"/>
  <c r="K49" i="2"/>
  <c r="K65" i="2"/>
  <c r="K73" i="2"/>
  <c r="K82" i="2"/>
  <c r="K94" i="2"/>
  <c r="BK79" i="2" a="1"/>
  <c r="BK79" i="2"/>
  <c r="BL79" i="2" a="1"/>
  <c r="BL79" i="2"/>
  <c r="K11" i="2"/>
  <c r="K91" i="2"/>
  <c r="K93" i="2"/>
  <c r="K12" i="2"/>
  <c r="K66" i="2"/>
  <c r="K79" i="2"/>
  <c r="K53" i="2"/>
  <c r="K55" i="2"/>
  <c r="K56" i="2"/>
  <c r="K46" i="2"/>
  <c r="K68" i="2"/>
  <c r="K32" i="2"/>
  <c r="K58" i="2"/>
  <c r="K34" i="2"/>
  <c r="K35" i="2"/>
  <c r="K84" i="2"/>
  <c r="K37" i="2"/>
  <c r="K50" i="2"/>
  <c r="K76" i="2"/>
  <c r="K97" i="2"/>
  <c r="K86" i="2"/>
  <c r="K95" i="2"/>
  <c r="K59" i="2"/>
  <c r="K63" i="2"/>
  <c r="K85" i="2"/>
  <c r="K41" i="2"/>
  <c r="K15" i="2"/>
  <c r="K24" i="2"/>
  <c r="K75" i="2"/>
  <c r="K89" i="2"/>
  <c r="K92" i="2"/>
  <c r="K43" i="2"/>
  <c r="K45" i="2"/>
  <c r="K27" i="2"/>
  <c r="K26" i="2"/>
  <c r="K64" i="2"/>
  <c r="K23" i="2"/>
  <c r="K25" i="2"/>
  <c r="K31" i="2"/>
  <c r="K70" i="2"/>
  <c r="K44" i="2"/>
  <c r="K19" i="2"/>
  <c r="K33" i="2"/>
  <c r="K60" i="2"/>
  <c r="K40" i="2"/>
  <c r="K51" i="2"/>
  <c r="K80" i="2"/>
  <c r="K69" i="2"/>
  <c r="K99" i="2"/>
  <c r="K96" i="2"/>
  <c r="K47" i="2"/>
  <c r="K72" i="2"/>
  <c r="K39" i="2"/>
  <c r="K90" i="2"/>
  <c r="K48" i="2"/>
  <c r="K88" i="2"/>
  <c r="K87" i="2"/>
  <c r="AX30" i="2" a="1"/>
  <c r="AX30" i="2"/>
  <c r="AX80" i="2" a="1"/>
  <c r="AX80" i="2"/>
  <c r="AX72" i="2" a="1"/>
  <c r="AX72" i="2"/>
  <c r="AX99" i="2" a="1"/>
  <c r="AX99" i="2"/>
  <c r="AX18" i="2" a="1"/>
  <c r="AX18" i="2"/>
  <c r="AX74" i="2" a="1"/>
  <c r="AX74" i="2"/>
  <c r="AX78" i="2" a="1"/>
  <c r="AX78" i="2"/>
  <c r="AX59" i="2" a="1"/>
  <c r="AX59" i="2"/>
  <c r="AX63" i="2" a="1"/>
  <c r="AX63" i="2"/>
  <c r="AX73" i="2" a="1"/>
  <c r="AX73" i="2"/>
  <c r="AX81" i="2" a="1"/>
  <c r="AX81" i="2"/>
  <c r="AX56" i="2" a="1"/>
  <c r="AX56" i="2"/>
  <c r="AX62" i="2" a="1"/>
  <c r="AX62" i="2"/>
  <c r="AX86" i="2" a="1"/>
  <c r="AX86" i="2"/>
  <c r="AX91" i="2" a="1"/>
  <c r="AX91" i="2"/>
  <c r="AX70" i="2" a="1"/>
  <c r="AX70" i="2"/>
  <c r="AX28" i="2" a="1"/>
  <c r="AX28" i="2"/>
  <c r="K28" i="2"/>
  <c r="K81" i="2"/>
  <c r="K52" i="2"/>
  <c r="K30" i="2"/>
  <c r="K101" i="2"/>
  <c r="K98" i="2"/>
  <c r="K77" i="2"/>
  <c r="K78" i="2"/>
  <c r="K20" i="2"/>
  <c r="K83" i="2"/>
  <c r="AX65" i="2" a="1"/>
  <c r="AX65" i="2"/>
  <c r="AX53" i="2" a="1"/>
  <c r="AX53" i="2"/>
  <c r="AX19" i="2" a="1"/>
  <c r="AX19" i="2"/>
  <c r="AX25" i="2" a="1"/>
  <c r="AX25" i="2"/>
  <c r="AX24" i="2" a="1"/>
  <c r="AX24" i="2"/>
  <c r="AX67" i="2" a="1"/>
  <c r="AX67" i="2"/>
  <c r="AX88" i="2" a="1"/>
  <c r="AX88" i="2"/>
  <c r="AX21" i="2" a="1"/>
  <c r="AX21" i="2"/>
  <c r="AX58" i="2" a="1"/>
  <c r="AX58" i="2"/>
  <c r="AX41" i="2" a="1"/>
  <c r="AX41" i="2"/>
  <c r="AX97" i="2" a="1"/>
  <c r="AX97" i="2"/>
  <c r="AX43" i="2" a="1"/>
  <c r="AX43" i="2"/>
  <c r="AX44" i="2" a="1"/>
  <c r="AX44" i="2"/>
  <c r="AX83" i="2" a="1"/>
  <c r="AX83" i="2"/>
  <c r="AX50" i="2" a="1"/>
  <c r="AX50" i="2"/>
  <c r="AX87" i="2" a="1"/>
  <c r="AX87" i="2"/>
  <c r="AX94" i="2" a="1"/>
  <c r="AX94" i="2"/>
  <c r="AX64" i="2" a="1"/>
  <c r="AX64" i="2"/>
  <c r="AX54" i="2" a="1"/>
  <c r="AX54" i="2"/>
  <c r="AX34" i="2" a="1"/>
  <c r="AX34" i="2"/>
  <c r="K61" i="2"/>
  <c r="K29" i="2"/>
  <c r="K21" i="2"/>
  <c r="K62" i="2"/>
  <c r="K54" i="2"/>
  <c r="K67" i="2"/>
  <c r="K36" i="2"/>
  <c r="K14" i="2"/>
  <c r="K13" i="2"/>
  <c r="K42" i="2"/>
  <c r="BM87" i="2" a="1"/>
  <c r="BM87" i="2"/>
  <c r="BN87" i="2" a="1"/>
  <c r="BN87" i="2"/>
  <c r="AX12" i="2" a="1"/>
  <c r="AX12" i="2"/>
  <c r="AX84" i="2" a="1"/>
  <c r="AX84" i="2"/>
  <c r="AX79" i="2" a="1"/>
  <c r="AX79" i="2"/>
  <c r="AX69" i="2" a="1"/>
  <c r="AX69" i="2"/>
  <c r="AX75" i="2" a="1"/>
  <c r="AX75" i="2"/>
  <c r="AX77" i="2" a="1"/>
  <c r="AX77" i="2"/>
  <c r="AX42" i="2" a="1"/>
  <c r="AX42" i="2"/>
  <c r="AX82" i="2" a="1"/>
  <c r="AX82" i="2"/>
  <c r="AX61" i="2" a="1"/>
  <c r="AX61" i="2"/>
  <c r="AX60" i="2" a="1"/>
  <c r="AX60" i="2"/>
  <c r="AX100" i="2" a="1"/>
  <c r="AX100" i="2"/>
  <c r="AX66" i="2" a="1"/>
  <c r="AX66" i="2"/>
  <c r="AX20" i="2" a="1"/>
  <c r="AX20" i="2"/>
  <c r="AX33" i="2" a="1"/>
  <c r="AX33" i="2"/>
  <c r="AX29" i="2" a="1"/>
  <c r="AX29" i="2"/>
  <c r="AX76" i="2" a="1"/>
  <c r="AX76" i="2"/>
  <c r="AX37" i="2" a="1"/>
  <c r="AX37" i="2"/>
  <c r="AX52" i="2" a="1"/>
  <c r="AX52" i="2"/>
  <c r="AX48" i="2" a="1"/>
  <c r="AX48" i="2"/>
  <c r="AX40" i="2" a="1"/>
  <c r="AX40" i="2"/>
  <c r="AX27" i="2" a="1"/>
  <c r="AX27" i="2"/>
  <c r="AX93" i="2" a="1"/>
  <c r="AX93" i="2"/>
  <c r="AX35" i="2" a="1"/>
  <c r="AX35" i="2"/>
  <c r="AX26" i="2" a="1"/>
  <c r="AX26" i="2"/>
  <c r="AX85" i="2" a="1"/>
  <c r="AX85" i="2"/>
  <c r="AX15" i="2" a="1"/>
  <c r="AX15" i="2"/>
  <c r="AX51" i="2" a="1"/>
  <c r="AX51" i="2"/>
  <c r="AX39" i="2" a="1"/>
  <c r="AX39" i="2"/>
  <c r="AX96" i="2" a="1"/>
  <c r="AX96" i="2"/>
  <c r="AX90" i="2" a="1"/>
  <c r="AX90" i="2"/>
  <c r="BE72" i="2" a="1"/>
  <c r="BE72" i="2"/>
  <c r="BE18" i="2" a="1"/>
  <c r="BE18" i="2"/>
  <c r="BE85" i="2" a="1"/>
  <c r="BE85" i="2"/>
  <c r="BE88" i="2" a="1"/>
  <c r="BE88" i="2"/>
  <c r="BE50" i="2" a="1"/>
  <c r="BE50" i="2"/>
  <c r="BE86" i="2" a="1"/>
  <c r="BE86" i="2"/>
  <c r="BE57" i="2" a="1"/>
  <c r="BE57" i="2"/>
  <c r="BE45" i="2" a="1"/>
  <c r="BE45" i="2"/>
  <c r="BE38" i="2" a="1"/>
  <c r="BE38" i="2"/>
  <c r="BE77" i="2" a="1"/>
  <c r="BE77" i="2"/>
  <c r="BE49" i="2" a="1"/>
  <c r="BE49" i="2"/>
  <c r="BE67" i="2" a="1"/>
  <c r="BE67" i="2"/>
  <c r="BE61" i="2" a="1"/>
  <c r="BE61" i="2"/>
  <c r="BE65" i="2" a="1"/>
  <c r="BE65" i="2"/>
  <c r="BE27" i="2" a="1"/>
  <c r="BE27" i="2"/>
  <c r="BE101" i="2" a="1"/>
  <c r="BE101" i="2"/>
  <c r="BE36" i="2" a="1"/>
  <c r="BE36" i="2"/>
  <c r="BE90" i="2" a="1"/>
  <c r="BE90" i="2"/>
  <c r="BE94" i="2" a="1"/>
  <c r="BE94" i="2"/>
  <c r="BE98" i="2" a="1"/>
  <c r="BE98" i="2"/>
  <c r="AV69" i="2" a="1"/>
  <c r="AV69" i="2"/>
  <c r="AV76" i="2" a="1"/>
  <c r="AV76" i="2"/>
  <c r="AV44" i="2" a="1"/>
  <c r="AV44" i="2"/>
  <c r="AV78" i="2" a="1"/>
  <c r="AV78" i="2"/>
  <c r="AV98" i="2" a="1"/>
  <c r="AV98" i="2"/>
  <c r="AV41" i="2" a="1"/>
  <c r="AV41" i="2"/>
  <c r="AV40" i="2" a="1"/>
  <c r="AV40" i="2"/>
  <c r="AV15" i="2" a="1"/>
  <c r="AV15" i="2"/>
  <c r="AV70" i="2" a="1"/>
  <c r="AV70" i="2"/>
  <c r="AV45" i="2" a="1"/>
  <c r="AV45" i="2"/>
  <c r="BE81" i="2" a="1"/>
  <c r="BE81" i="2"/>
  <c r="BE15" i="2" a="1"/>
  <c r="BE15" i="2"/>
  <c r="BE58" i="2" a="1"/>
  <c r="BE58" i="2"/>
  <c r="BE28" i="2" a="1"/>
  <c r="BE28" i="2"/>
  <c r="BE24" i="2" a="1"/>
  <c r="BE24" i="2"/>
  <c r="BE43" i="2" a="1"/>
  <c r="BE43" i="2"/>
  <c r="BE11" i="2" a="1"/>
  <c r="BE11" i="2"/>
  <c r="BE47" i="2" a="1"/>
  <c r="BE47" i="2"/>
  <c r="BE69" i="2" a="1"/>
  <c r="BE69" i="2"/>
  <c r="BE55" i="2" a="1"/>
  <c r="BE55" i="2"/>
  <c r="BE92" i="2" a="1"/>
  <c r="BE92" i="2"/>
  <c r="BE63" i="2" a="1"/>
  <c r="BE63" i="2"/>
  <c r="BE12" i="2" a="1"/>
  <c r="BE12" i="2"/>
  <c r="BE23" i="2" a="1"/>
  <c r="BE23" i="2"/>
  <c r="BE31" i="2" a="1"/>
  <c r="BE31" i="2"/>
  <c r="BE97" i="2" a="1"/>
  <c r="BE97" i="2"/>
  <c r="BE44" i="2" a="1"/>
  <c r="BE44" i="2"/>
  <c r="BE39" i="2" a="1"/>
  <c r="BE39" i="2"/>
  <c r="BE19" i="2" a="1"/>
  <c r="BE19" i="2"/>
  <c r="BE87" i="2" a="1"/>
  <c r="BE87" i="2"/>
  <c r="N14" i="2" a="1"/>
  <c r="N14" i="2"/>
  <c r="P59" i="2" a="1"/>
  <c r="P59" i="2"/>
  <c r="N62" i="2" a="1"/>
  <c r="N62" i="2"/>
  <c r="P58" i="2" a="1"/>
  <c r="P58" i="2"/>
  <c r="P53" i="2" a="1"/>
  <c r="P53" i="2"/>
  <c r="P64" i="2" a="1"/>
  <c r="P64" i="2"/>
  <c r="N15" i="2" a="1"/>
  <c r="N15" i="2"/>
  <c r="P92" i="2" a="1"/>
  <c r="P92" i="2"/>
  <c r="P91" i="2" a="1"/>
  <c r="P91" i="2"/>
  <c r="N58" i="2" a="1"/>
  <c r="N58" i="2"/>
  <c r="N53" i="2" a="1"/>
  <c r="N53" i="2"/>
  <c r="N92" i="2" a="1"/>
  <c r="N92" i="2"/>
  <c r="N64" i="2" a="1"/>
  <c r="N64" i="2"/>
  <c r="N91" i="2" a="1"/>
  <c r="N91" i="2"/>
  <c r="P98" i="2" a="1"/>
  <c r="P98" i="2"/>
  <c r="P15" i="2" a="1"/>
  <c r="P15" i="2"/>
  <c r="P14" i="2" a="1"/>
  <c r="P14" i="2"/>
  <c r="N59" i="2" a="1"/>
  <c r="N59" i="2"/>
  <c r="N98" i="2" a="1"/>
  <c r="N98" i="2"/>
  <c r="P62" i="2" a="1"/>
  <c r="P62" i="2"/>
  <c r="BE95" i="2" a="1"/>
  <c r="BE95" i="2"/>
  <c r="BE52" i="2" a="1"/>
  <c r="BE52" i="2"/>
  <c r="BE91" i="2" a="1"/>
  <c r="BE91" i="2"/>
  <c r="BE89" i="2" a="1"/>
  <c r="BE89" i="2"/>
  <c r="BE78" i="2" a="1"/>
  <c r="BE78" i="2"/>
  <c r="BE41" i="2" a="1"/>
  <c r="BE41" i="2"/>
  <c r="BE37" i="2" a="1"/>
  <c r="BE37" i="2"/>
  <c r="AV11" i="2" a="1"/>
  <c r="AV11" i="2"/>
  <c r="AV34" i="2" a="1"/>
  <c r="AV34" i="2"/>
  <c r="AV66" i="2" a="1"/>
  <c r="AV66" i="2"/>
  <c r="AV47" i="2" a="1"/>
  <c r="AV47" i="2"/>
  <c r="AV72" i="2" a="1"/>
  <c r="AV72" i="2"/>
  <c r="AV61" i="2" a="1"/>
  <c r="AV61" i="2"/>
  <c r="AV89" i="2" a="1"/>
  <c r="AV89" i="2"/>
  <c r="AV48" i="2" a="1"/>
  <c r="AV48" i="2"/>
  <c r="AV92" i="2" a="1"/>
  <c r="AV92" i="2"/>
  <c r="AV93" i="2" a="1"/>
  <c r="AV93" i="2"/>
  <c r="V36" i="2" a="1"/>
  <c r="V36" i="2"/>
  <c r="V88" i="2" a="1"/>
  <c r="V88" i="2"/>
  <c r="V98" i="2" a="1"/>
  <c r="V98" i="2"/>
  <c r="V77" i="2" a="1"/>
  <c r="V77" i="2"/>
  <c r="V47" i="2" a="1"/>
  <c r="V47" i="2"/>
  <c r="V73" i="2" a="1"/>
  <c r="V73" i="2"/>
  <c r="V62" i="2" a="1"/>
  <c r="V62" i="2"/>
  <c r="V75" i="2" a="1"/>
  <c r="V75" i="2"/>
  <c r="V64" i="2" a="1"/>
  <c r="V64" i="2"/>
  <c r="V78" i="2" a="1"/>
  <c r="V78" i="2"/>
  <c r="BE20" i="2" a="1"/>
  <c r="BE20" i="2"/>
  <c r="BE76" i="2" a="1"/>
  <c r="BE76" i="2"/>
  <c r="BE60" i="2" a="1"/>
  <c r="BE60" i="2"/>
  <c r="BE59" i="2" a="1"/>
  <c r="BE59" i="2"/>
  <c r="BE62" i="2" a="1"/>
  <c r="BE62" i="2"/>
  <c r="BE79" i="2" a="1"/>
  <c r="BE79" i="2"/>
  <c r="BE66" i="2" a="1"/>
  <c r="BE66" i="2"/>
  <c r="BE56" i="2" a="1"/>
  <c r="BE56" i="2"/>
  <c r="BE13" i="2" a="1"/>
  <c r="BE13" i="2"/>
  <c r="BE42" i="2" a="1"/>
  <c r="BE42" i="2"/>
  <c r="AV73" i="2" a="1"/>
  <c r="AV73" i="2"/>
  <c r="AV56" i="2" a="1"/>
  <c r="AV56" i="2"/>
  <c r="AV19" i="2" a="1"/>
  <c r="AV19" i="2"/>
  <c r="AV58" i="2" a="1"/>
  <c r="AV58" i="2"/>
  <c r="AV14" i="2" a="1"/>
  <c r="AV14" i="2"/>
  <c r="AV42" i="2" a="1"/>
  <c r="AV42" i="2"/>
  <c r="AV32" i="2" a="1"/>
  <c r="AV32" i="2"/>
  <c r="AV75" i="2" a="1"/>
  <c r="AV75" i="2"/>
  <c r="AV84" i="2" a="1"/>
  <c r="AV84" i="2"/>
  <c r="AV101" i="2" a="1"/>
  <c r="AV101" i="2"/>
  <c r="V52" i="2" a="1"/>
  <c r="V52" i="2"/>
  <c r="V57" i="2" a="1"/>
  <c r="V57" i="2"/>
  <c r="V49" i="2" a="1"/>
  <c r="V49" i="2"/>
  <c r="V38" i="2" a="1"/>
  <c r="V38" i="2"/>
  <c r="V56" i="2" a="1"/>
  <c r="V56" i="2"/>
  <c r="V39" i="2" a="1"/>
  <c r="V39" i="2"/>
  <c r="V90" i="2" a="1"/>
  <c r="V90" i="2"/>
  <c r="V50" i="2" a="1"/>
  <c r="V50" i="2"/>
  <c r="V92" i="2" a="1"/>
  <c r="V92" i="2"/>
  <c r="V96" i="2" a="1"/>
  <c r="V96" i="2"/>
  <c r="AV95" i="2" a="1"/>
  <c r="AV95" i="2"/>
  <c r="AV12" i="2" a="1"/>
  <c r="AV12" i="2"/>
  <c r="AV64" i="2" a="1"/>
  <c r="AV64" i="2"/>
  <c r="AV100" i="2" a="1"/>
  <c r="AV100" i="2"/>
  <c r="AV23" i="2" a="1"/>
  <c r="AV23" i="2"/>
  <c r="AV96" i="2" a="1"/>
  <c r="AV96" i="2"/>
  <c r="AV74" i="2" a="1"/>
  <c r="AV74" i="2"/>
  <c r="AV37" i="2" a="1"/>
  <c r="AV37" i="2"/>
  <c r="AV80" i="2" a="1"/>
  <c r="AV80" i="2"/>
  <c r="AV29" i="2" a="1"/>
  <c r="AV29" i="2"/>
  <c r="AV53" i="2" a="1"/>
  <c r="AV53" i="2"/>
  <c r="AV85" i="2" a="1"/>
  <c r="AV85" i="2"/>
  <c r="AV60" i="2" a="1"/>
  <c r="AV60" i="2"/>
  <c r="AV59" i="2" a="1"/>
  <c r="AV59" i="2"/>
  <c r="AV36" i="2" a="1"/>
  <c r="AV36" i="2"/>
  <c r="AV25" i="2" a="1"/>
  <c r="AV25" i="2"/>
  <c r="AV39" i="2" a="1"/>
  <c r="AV39" i="2"/>
  <c r="BE34" i="2" a="1"/>
  <c r="BE34" i="2"/>
  <c r="BE99" i="2" a="1"/>
  <c r="BE99" i="2"/>
  <c r="BE100" i="2" a="1"/>
  <c r="BE100" i="2"/>
  <c r="BE64" i="2" a="1"/>
  <c r="BE64" i="2"/>
  <c r="BE26" i="2" a="1"/>
  <c r="BE26" i="2"/>
  <c r="BE53" i="2" a="1"/>
  <c r="BE53" i="2"/>
  <c r="BE96" i="2" a="1"/>
  <c r="BE96" i="2"/>
  <c r="BE32" i="2" a="1"/>
  <c r="BE32" i="2"/>
  <c r="BE54" i="2" a="1"/>
  <c r="BE54" i="2"/>
  <c r="BE33" i="2" a="1"/>
  <c r="BE33" i="2"/>
  <c r="AV91" i="2" a="1"/>
  <c r="AV91" i="2"/>
  <c r="AV65" i="2" a="1"/>
  <c r="AV65" i="2"/>
  <c r="AV94" i="2" a="1"/>
  <c r="AV94" i="2"/>
  <c r="AV30" i="2" a="1"/>
  <c r="AV30" i="2"/>
  <c r="AV82" i="2" a="1"/>
  <c r="AV82" i="2"/>
  <c r="AV88" i="2" a="1"/>
  <c r="AV88" i="2"/>
  <c r="AV83" i="2" a="1"/>
  <c r="AV83" i="2"/>
  <c r="AV20" i="2" a="1"/>
  <c r="AV20" i="2"/>
  <c r="AV46" i="2" a="1"/>
  <c r="AV46" i="2"/>
  <c r="AV18" i="2" a="1"/>
  <c r="AV18" i="2"/>
  <c r="BE83" i="2" a="1"/>
  <c r="BE83" i="2"/>
  <c r="BE75" i="2" a="1"/>
  <c r="BE75" i="2"/>
  <c r="BE80" i="2" a="1"/>
  <c r="BE80" i="2"/>
  <c r="BE70" i="2" a="1"/>
  <c r="BE70" i="2"/>
  <c r="BE51" i="2" a="1"/>
  <c r="BE51" i="2"/>
  <c r="BE30" i="2" a="1"/>
  <c r="BE30" i="2"/>
  <c r="BE84" i="2" a="1"/>
  <c r="BE84" i="2"/>
  <c r="BE40" i="2" a="1"/>
  <c r="BE40" i="2"/>
  <c r="BE93" i="2" a="1"/>
  <c r="BE93" i="2"/>
  <c r="BE25" i="2" a="1"/>
  <c r="BE25" i="2"/>
  <c r="AV81" i="2" a="1"/>
  <c r="AV81" i="2"/>
  <c r="AV77" i="2" a="1"/>
  <c r="AV77" i="2"/>
  <c r="AV62" i="2" a="1"/>
  <c r="AV62" i="2"/>
  <c r="AV31" i="2" a="1"/>
  <c r="AV31" i="2"/>
  <c r="AV33" i="2" a="1"/>
  <c r="AV33" i="2"/>
  <c r="AV38" i="2" a="1"/>
  <c r="AV38" i="2"/>
  <c r="AV21" i="2" a="1"/>
  <c r="AV21" i="2"/>
  <c r="AV63" i="2" a="1"/>
  <c r="AV63" i="2"/>
  <c r="AV51" i="2" a="1"/>
  <c r="AV51" i="2"/>
  <c r="AV55" i="2" a="1"/>
  <c r="AV55" i="2"/>
  <c r="V87" i="2" a="1"/>
  <c r="V87" i="2"/>
  <c r="V48" i="2" a="1"/>
  <c r="V48" i="2"/>
  <c r="V69" i="2" a="1"/>
  <c r="V69" i="2"/>
  <c r="V65" i="2" a="1"/>
  <c r="V65" i="2"/>
  <c r="V33" i="2" a="1"/>
  <c r="V33" i="2"/>
  <c r="V23" i="2" a="1"/>
  <c r="V23" i="2"/>
  <c r="V83" i="2" a="1"/>
  <c r="V83" i="2"/>
  <c r="V84" i="2" a="1"/>
  <c r="V84" i="2"/>
  <c r="V100" i="2" a="1"/>
  <c r="V100" i="2"/>
  <c r="V25" i="2" a="1"/>
  <c r="V25" i="2"/>
  <c r="BE48" i="2" a="1"/>
  <c r="BE48" i="2"/>
  <c r="BE35" i="2" a="1"/>
  <c r="BE35" i="2"/>
  <c r="BE68" i="2" a="1"/>
  <c r="BE68" i="2"/>
  <c r="BE21" i="2" a="1"/>
  <c r="BE21" i="2"/>
  <c r="BE82" i="2" a="1"/>
  <c r="BE82" i="2"/>
  <c r="BE73" i="2" a="1"/>
  <c r="BE73" i="2"/>
  <c r="BE46" i="2" a="1"/>
  <c r="BE46" i="2"/>
  <c r="BE14" i="2" a="1"/>
  <c r="BE14" i="2"/>
  <c r="BE74" i="2" a="1"/>
  <c r="BE74" i="2"/>
  <c r="BE29" i="2" a="1"/>
  <c r="BE29" i="2"/>
  <c r="AV68" i="2" a="1"/>
  <c r="AV68" i="2"/>
  <c r="AV24" i="2" a="1"/>
  <c r="AV24" i="2"/>
  <c r="AV99" i="2" a="1"/>
  <c r="AV99" i="2"/>
  <c r="AV28" i="2" a="1"/>
  <c r="AV28" i="2"/>
  <c r="AV50" i="2" a="1"/>
  <c r="AV50" i="2"/>
  <c r="AV86" i="2" a="1"/>
  <c r="AV86" i="2"/>
  <c r="AV27" i="2" a="1"/>
  <c r="AV27" i="2"/>
  <c r="AV52" i="2" a="1"/>
  <c r="AV52" i="2"/>
  <c r="AV79" i="2" a="1"/>
  <c r="AV79" i="2"/>
  <c r="AV67" i="2" a="1"/>
  <c r="AV67" i="2"/>
  <c r="P81" i="2" a="1"/>
  <c r="P81" i="2"/>
  <c r="N29" i="2" a="1"/>
  <c r="N29" i="2"/>
  <c r="N44" i="2" a="1"/>
  <c r="N44" i="2"/>
  <c r="P78" i="2" a="1"/>
  <c r="P78" i="2"/>
  <c r="N46" i="2" a="1"/>
  <c r="N46" i="2"/>
  <c r="N28" i="2" a="1"/>
  <c r="N28" i="2"/>
  <c r="P51" i="2" a="1"/>
  <c r="P51" i="2"/>
  <c r="N72" i="2" a="1"/>
  <c r="N72" i="2"/>
  <c r="P49" i="2" a="1"/>
  <c r="P49" i="2"/>
  <c r="P46" i="2" a="1"/>
  <c r="P46" i="2"/>
  <c r="P29" i="2" a="1"/>
  <c r="P29" i="2"/>
  <c r="P28" i="2" a="1"/>
  <c r="P28" i="2"/>
  <c r="N49" i="2" a="1"/>
  <c r="N49" i="2"/>
  <c r="N78" i="2" a="1"/>
  <c r="N78" i="2"/>
  <c r="P72" i="2" a="1"/>
  <c r="P72" i="2"/>
  <c r="P44" i="2" a="1"/>
  <c r="P44" i="2"/>
  <c r="N81" i="2" a="1"/>
  <c r="N81" i="2"/>
  <c r="N82" i="2" a="1"/>
  <c r="N82" i="2"/>
  <c r="N51" i="2" a="1"/>
  <c r="N51" i="2"/>
  <c r="P82" i="2" a="1"/>
  <c r="P82" i="2"/>
  <c r="N31" i="2" a="1"/>
  <c r="N31" i="2"/>
  <c r="P31" i="2" a="1"/>
  <c r="P31" i="2"/>
  <c r="N27" i="2" a="1"/>
  <c r="N27" i="2"/>
  <c r="N41" i="2" a="1"/>
  <c r="N41" i="2"/>
  <c r="N68" i="2" a="1"/>
  <c r="N68" i="2"/>
  <c r="N54" i="2" a="1"/>
  <c r="N54" i="2"/>
  <c r="P27" i="2" a="1"/>
  <c r="P27" i="2"/>
  <c r="P68" i="2" a="1"/>
  <c r="P68" i="2"/>
  <c r="N37" i="2" a="1"/>
  <c r="N37" i="2"/>
  <c r="P37" i="2" a="1"/>
  <c r="P37" i="2"/>
  <c r="P54" i="2" a="1"/>
  <c r="P54" i="2"/>
  <c r="N66" i="2" a="1"/>
  <c r="N66" i="2"/>
  <c r="P66" i="2" a="1"/>
  <c r="P66" i="2"/>
  <c r="P41" i="2" a="1"/>
  <c r="P41" i="2"/>
  <c r="P18" i="2" a="1"/>
  <c r="P18" i="2"/>
  <c r="N57" i="2" a="1"/>
  <c r="N57" i="2"/>
  <c r="N87" i="2" a="1"/>
  <c r="N87" i="2"/>
  <c r="N40" i="2" a="1"/>
  <c r="N40" i="2"/>
  <c r="P85" i="2" a="1"/>
  <c r="P85" i="2"/>
  <c r="N61" i="2" a="1"/>
  <c r="N61" i="2"/>
  <c r="P26" i="2" a="1"/>
  <c r="P26" i="2"/>
  <c r="P94" i="2" a="1"/>
  <c r="P94" i="2"/>
  <c r="N23" i="2" a="1"/>
  <c r="N23" i="2"/>
  <c r="P80" i="2" a="1"/>
  <c r="P80" i="2"/>
  <c r="P57" i="2" a="1"/>
  <c r="P57" i="2"/>
  <c r="N85" i="2" a="1"/>
  <c r="N85" i="2"/>
  <c r="N80" i="2" a="1"/>
  <c r="N80" i="2"/>
  <c r="P61" i="2" a="1"/>
  <c r="P61" i="2"/>
  <c r="P87" i="2" a="1"/>
  <c r="P87" i="2"/>
  <c r="N18" i="2" a="1"/>
  <c r="N18" i="2"/>
  <c r="N94" i="2" a="1"/>
  <c r="N94" i="2"/>
  <c r="N26" i="2" a="1"/>
  <c r="N26" i="2"/>
  <c r="P23" i="2" a="1"/>
  <c r="P23" i="2"/>
  <c r="P40" i="2" a="1"/>
  <c r="P40" i="2"/>
  <c r="N75" i="2" a="1"/>
  <c r="N75" i="2"/>
  <c r="P55" i="2" a="1"/>
  <c r="P55" i="2"/>
  <c r="N76" i="2" a="1"/>
  <c r="N76" i="2"/>
  <c r="N79" i="2" a="1"/>
  <c r="N79" i="2"/>
  <c r="P90" i="2" a="1"/>
  <c r="P90" i="2"/>
  <c r="N89" i="2" a="1"/>
  <c r="N89" i="2"/>
  <c r="N25" i="2" a="1"/>
  <c r="N25" i="2"/>
  <c r="P88" i="2" a="1"/>
  <c r="P88" i="2"/>
  <c r="N74" i="2" a="1"/>
  <c r="N74" i="2"/>
  <c r="P13" i="2" a="1"/>
  <c r="P13" i="2"/>
  <c r="P25" i="2" a="1"/>
  <c r="P25" i="2"/>
  <c r="P79" i="2" a="1"/>
  <c r="P79" i="2"/>
  <c r="N13" i="2" a="1"/>
  <c r="N13" i="2"/>
  <c r="N55" i="2" a="1"/>
  <c r="N55" i="2"/>
  <c r="P74" i="2" a="1"/>
  <c r="P74" i="2"/>
  <c r="N88" i="2" a="1"/>
  <c r="N88" i="2"/>
  <c r="P76" i="2" a="1"/>
  <c r="P76" i="2"/>
  <c r="P75" i="2" a="1"/>
  <c r="P75" i="2"/>
  <c r="N90" i="2" a="1"/>
  <c r="N90" i="2"/>
  <c r="P89" i="2" a="1"/>
  <c r="P89" i="2"/>
  <c r="N47" i="2" a="1"/>
  <c r="N47" i="2"/>
  <c r="N77" i="2" a="1"/>
  <c r="N77" i="2"/>
  <c r="P52" i="2" a="1"/>
  <c r="P52" i="2"/>
  <c r="N70" i="2" a="1"/>
  <c r="N70" i="2"/>
  <c r="P21" i="2" a="1"/>
  <c r="P21" i="2"/>
  <c r="P43" i="2" a="1"/>
  <c r="P43" i="2"/>
  <c r="N24" i="2" a="1"/>
  <c r="N24" i="2"/>
  <c r="P47" i="2" a="1"/>
  <c r="P47" i="2"/>
  <c r="P73" i="2" a="1"/>
  <c r="P73" i="2"/>
  <c r="P42" i="2" a="1"/>
  <c r="P42" i="2"/>
  <c r="P24" i="2" a="1"/>
  <c r="P24" i="2"/>
  <c r="N52" i="2" a="1"/>
  <c r="N52" i="2"/>
  <c r="P70" i="2" a="1"/>
  <c r="P70" i="2"/>
  <c r="P77" i="2" a="1"/>
  <c r="P77" i="2"/>
  <c r="P20" i="2" a="1"/>
  <c r="P20" i="2"/>
  <c r="N43" i="2" a="1"/>
  <c r="N43" i="2"/>
  <c r="N20" i="2" a="1"/>
  <c r="N20" i="2"/>
  <c r="N42" i="2" a="1"/>
  <c r="N42" i="2"/>
  <c r="N73" i="2" a="1"/>
  <c r="N73" i="2"/>
  <c r="N21" i="2" a="1"/>
  <c r="N21" i="2"/>
  <c r="AV57" i="2" a="1"/>
  <c r="AV57" i="2"/>
  <c r="AV87" i="2" a="1"/>
  <c r="AV87" i="2"/>
  <c r="AV49" i="2" a="1"/>
  <c r="AV49" i="2"/>
  <c r="AV97" i="2" a="1"/>
  <c r="AV97" i="2"/>
  <c r="AV35" i="2" a="1"/>
  <c r="AV35" i="2"/>
  <c r="AV26" i="2" a="1"/>
  <c r="AV26" i="2"/>
  <c r="AV90" i="2" a="1"/>
  <c r="AV90" i="2"/>
  <c r="AV43" i="2" a="1"/>
  <c r="AV43" i="2"/>
  <c r="AV54" i="2" a="1"/>
  <c r="AV54" i="2"/>
  <c r="AV13" i="2" a="1"/>
  <c r="AV13" i="2"/>
  <c r="V67" i="2" a="1"/>
  <c r="V67" i="2"/>
  <c r="V29" i="2" a="1"/>
  <c r="V29" i="2"/>
  <c r="V70" i="2" a="1"/>
  <c r="V70" i="2"/>
  <c r="V45" i="2" a="1"/>
  <c r="V45" i="2"/>
  <c r="V89" i="2" a="1"/>
  <c r="V89" i="2"/>
  <c r="V54" i="2" a="1"/>
  <c r="V54" i="2"/>
  <c r="V46" i="2" a="1"/>
  <c r="V46" i="2"/>
  <c r="P19" i="2" a="1"/>
  <c r="P19" i="2"/>
  <c r="P38" i="2" a="1"/>
  <c r="P38" i="2"/>
  <c r="P48" i="2" a="1"/>
  <c r="P48" i="2"/>
  <c r="P39" i="2" a="1"/>
  <c r="P39" i="2"/>
  <c r="N86" i="2" a="1"/>
  <c r="N86" i="2"/>
  <c r="P93" i="2" a="1"/>
  <c r="P93" i="2"/>
  <c r="N83" i="2" a="1"/>
  <c r="N83" i="2"/>
  <c r="N99" i="2" a="1"/>
  <c r="N99" i="2"/>
  <c r="P96" i="2" a="1"/>
  <c r="P96" i="2"/>
  <c r="P83" i="2" a="1"/>
  <c r="P83" i="2"/>
  <c r="N50" i="2" a="1"/>
  <c r="N50" i="2"/>
  <c r="N93" i="2" a="1"/>
  <c r="N93" i="2"/>
  <c r="N48" i="2" a="1"/>
  <c r="N48" i="2"/>
  <c r="N39" i="2" a="1"/>
  <c r="N39" i="2"/>
  <c r="P99" i="2" a="1"/>
  <c r="P99" i="2"/>
  <c r="N19" i="2" a="1"/>
  <c r="N19" i="2"/>
  <c r="P86" i="2" a="1"/>
  <c r="P86" i="2"/>
  <c r="N96" i="2" a="1"/>
  <c r="N96" i="2"/>
  <c r="N38" i="2" a="1"/>
  <c r="N38" i="2"/>
  <c r="P50" i="2" a="1"/>
  <c r="P50" i="2"/>
  <c r="N45" i="2" a="1"/>
  <c r="N45" i="2"/>
  <c r="P34" i="2" a="1"/>
  <c r="P34" i="2"/>
  <c r="N101" i="2" a="1"/>
  <c r="N101" i="2"/>
  <c r="N56" i="2" a="1"/>
  <c r="N56" i="2"/>
  <c r="P95" i="2" a="1"/>
  <c r="P95" i="2"/>
  <c r="P33" i="2" a="1"/>
  <c r="P33" i="2"/>
  <c r="P69" i="2" a="1"/>
  <c r="P69" i="2"/>
  <c r="N60" i="2" a="1"/>
  <c r="N60" i="2"/>
  <c r="P84" i="2" a="1"/>
  <c r="P84" i="2"/>
  <c r="N35" i="2" a="1"/>
  <c r="N35" i="2"/>
  <c r="N69" i="2" a="1"/>
  <c r="N69" i="2"/>
  <c r="P45" i="2" a="1"/>
  <c r="P45" i="2"/>
  <c r="P35" i="2" a="1"/>
  <c r="P35" i="2"/>
  <c r="N95" i="2" a="1"/>
  <c r="N95" i="2"/>
  <c r="P56" i="2" a="1"/>
  <c r="P56" i="2"/>
  <c r="N33" i="2" a="1"/>
  <c r="N33" i="2"/>
  <c r="N84" i="2" a="1"/>
  <c r="N84" i="2"/>
  <c r="N34" i="2" a="1"/>
  <c r="N34" i="2"/>
  <c r="P101" i="2" a="1"/>
  <c r="P101" i="2"/>
  <c r="P60" i="2" a="1"/>
  <c r="P60" i="2"/>
  <c r="AF69" i="2" a="1"/>
  <c r="AF69" i="2"/>
  <c r="AF95" i="2" a="1"/>
  <c r="AF95" i="2"/>
  <c r="AF48" i="2" a="1"/>
  <c r="AF48" i="2"/>
  <c r="AF74" i="2" a="1"/>
  <c r="AF74" i="2"/>
  <c r="AF42" i="2" a="1"/>
  <c r="AF42" i="2"/>
  <c r="AF39" i="2" a="1"/>
  <c r="AF39" i="2"/>
  <c r="AF28" i="2" a="1"/>
  <c r="AF28" i="2"/>
  <c r="AF35" i="2" a="1"/>
  <c r="AF35" i="2"/>
  <c r="AF51" i="2" a="1"/>
  <c r="AF51" i="2"/>
  <c r="AF30" i="2" a="1"/>
  <c r="AF30" i="2"/>
  <c r="N36" i="2" a="1"/>
  <c r="N36" i="2"/>
  <c r="N11" i="2" a="1"/>
  <c r="N11" i="2"/>
  <c r="N97" i="2" a="1"/>
  <c r="N97" i="2"/>
  <c r="P30" i="2" a="1"/>
  <c r="P30" i="2"/>
  <c r="N67" i="2" a="1"/>
  <c r="N67" i="2"/>
  <c r="N12" i="2" a="1"/>
  <c r="N12" i="2"/>
  <c r="N65" i="2" a="1"/>
  <c r="N65" i="2"/>
  <c r="P63" i="2" a="1"/>
  <c r="P63" i="2"/>
  <c r="N32" i="2" a="1"/>
  <c r="N32" i="2"/>
  <c r="P65" i="2" a="1"/>
  <c r="P65" i="2"/>
  <c r="P11" i="2" a="1"/>
  <c r="P11" i="2"/>
  <c r="P36" i="2" a="1"/>
  <c r="P36" i="2"/>
  <c r="P97" i="2" a="1"/>
  <c r="P97" i="2"/>
  <c r="N30" i="2" a="1"/>
  <c r="N30" i="2"/>
  <c r="P32" i="2" a="1"/>
  <c r="P32" i="2"/>
  <c r="P100" i="2" a="1"/>
  <c r="P100" i="2"/>
  <c r="N63" i="2" a="1"/>
  <c r="N63" i="2"/>
  <c r="N100" i="2" a="1"/>
  <c r="N100" i="2"/>
  <c r="P12" i="2" a="1"/>
  <c r="P12" i="2"/>
  <c r="P67" i="2" a="1"/>
  <c r="P67" i="2"/>
  <c r="AF54" i="2" a="1"/>
  <c r="AF54" i="2"/>
  <c r="AF85" i="2" a="1"/>
  <c r="AF85" i="2"/>
  <c r="AF34" i="2" a="1"/>
  <c r="AF34" i="2"/>
  <c r="AF58" i="2" a="1"/>
  <c r="AF58" i="2"/>
  <c r="AF47" i="2" a="1"/>
  <c r="AF47" i="2"/>
  <c r="AF49" i="2" a="1"/>
  <c r="AF49" i="2"/>
  <c r="AF60" i="2" a="1"/>
  <c r="AF60" i="2"/>
  <c r="AF36" i="2" a="1"/>
  <c r="AF36" i="2"/>
  <c r="AF25" i="2" a="1"/>
  <c r="AF25" i="2"/>
  <c r="AF97" i="2" a="1"/>
  <c r="AF97" i="2"/>
  <c r="T54" i="2" a="1"/>
  <c r="T54" i="2"/>
  <c r="T95" i="2" a="1"/>
  <c r="T95" i="2"/>
  <c r="T97" i="2" a="1"/>
  <c r="T97" i="2"/>
  <c r="T57" i="2" a="1"/>
  <c r="T57" i="2"/>
  <c r="T60" i="2" a="1"/>
  <c r="T60" i="2"/>
  <c r="T56" i="2" a="1"/>
  <c r="T56" i="2"/>
  <c r="T83" i="2" a="1"/>
  <c r="T83" i="2"/>
  <c r="T98" i="2" a="1"/>
  <c r="T98" i="2"/>
  <c r="T64" i="2" a="1"/>
  <c r="T64" i="2"/>
  <c r="T99" i="2" a="1"/>
  <c r="T99" i="2"/>
  <c r="V24" i="2" a="1"/>
  <c r="V24" i="2"/>
  <c r="V51" i="2" a="1"/>
  <c r="V51" i="2"/>
  <c r="V31" i="2" a="1"/>
  <c r="V31" i="2"/>
  <c r="V58" i="2" a="1"/>
  <c r="V58" i="2"/>
  <c r="V68" i="2" a="1"/>
  <c r="V68" i="2"/>
  <c r="V85" i="2" a="1"/>
  <c r="V85" i="2"/>
  <c r="V44" i="2" a="1"/>
  <c r="V44" i="2"/>
  <c r="V86" i="2" a="1"/>
  <c r="V86" i="2"/>
  <c r="V80" i="2" a="1"/>
  <c r="V80" i="2"/>
  <c r="V37" i="2" a="1"/>
  <c r="V37" i="2"/>
  <c r="T41" i="2" a="1"/>
  <c r="T41" i="2"/>
  <c r="T100" i="2" a="1"/>
  <c r="T100" i="2"/>
  <c r="T28" i="2" a="1"/>
  <c r="T28" i="2"/>
  <c r="T42" i="2" a="1"/>
  <c r="T42" i="2"/>
  <c r="T93" i="2" a="1"/>
  <c r="T93" i="2"/>
  <c r="T94" i="2" a="1"/>
  <c r="T94" i="2"/>
  <c r="T69" i="2" a="1"/>
  <c r="T69" i="2"/>
  <c r="T30" i="2" a="1"/>
  <c r="T30" i="2"/>
  <c r="T62" i="2" a="1"/>
  <c r="T62" i="2"/>
  <c r="T31" i="2" a="1"/>
  <c r="T31" i="2"/>
  <c r="V40" i="2" a="1"/>
  <c r="V40" i="2"/>
  <c r="V59" i="2" a="1"/>
  <c r="V59" i="2"/>
  <c r="V91" i="2" a="1"/>
  <c r="V91" i="2"/>
  <c r="V97" i="2" a="1"/>
  <c r="V97" i="2"/>
  <c r="V99" i="2" a="1"/>
  <c r="V99" i="2"/>
  <c r="V72" i="2" a="1"/>
  <c r="V72" i="2"/>
  <c r="V74" i="2" a="1"/>
  <c r="V74" i="2"/>
  <c r="V94" i="2" a="1"/>
  <c r="V94" i="2"/>
  <c r="V27" i="2" a="1"/>
  <c r="V27" i="2"/>
  <c r="V28" i="2" a="1"/>
  <c r="V28" i="2"/>
  <c r="AM15" i="2" a="1"/>
  <c r="AM15" i="2"/>
  <c r="AM51" i="2" a="1"/>
  <c r="AM51" i="2"/>
  <c r="AM41" i="2" a="1"/>
  <c r="AM41" i="2"/>
  <c r="AM99" i="2" a="1"/>
  <c r="AM99" i="2"/>
  <c r="T96" i="2" a="1"/>
  <c r="T96" i="2"/>
  <c r="T12" i="2" a="1"/>
  <c r="T12" i="2"/>
  <c r="AM55" i="2" a="1"/>
  <c r="AM55" i="2"/>
  <c r="AM61" i="2" a="1"/>
  <c r="AM61" i="2"/>
  <c r="AM76" i="2" a="1"/>
  <c r="AM76" i="2"/>
  <c r="T63" i="2" a="1"/>
  <c r="T63" i="2"/>
  <c r="T61" i="2" a="1"/>
  <c r="T61" i="2"/>
  <c r="AM63" i="2" a="1"/>
  <c r="AM63" i="2"/>
  <c r="AM50" i="2" a="1"/>
  <c r="AM50" i="2"/>
  <c r="T34" i="2" a="1"/>
  <c r="T34" i="2"/>
  <c r="T19" i="2" a="1"/>
  <c r="T19" i="2"/>
  <c r="AM94" i="2" a="1"/>
  <c r="AM94" i="2"/>
  <c r="T89" i="2" a="1"/>
  <c r="T89" i="2"/>
  <c r="T82" i="2" a="1"/>
  <c r="T82" i="2"/>
  <c r="T76" i="2" a="1"/>
  <c r="T76" i="2"/>
  <c r="T66" i="2" a="1"/>
  <c r="T66" i="2"/>
  <c r="AM47" i="2" a="1"/>
  <c r="AM47" i="2"/>
  <c r="AM33" i="2" a="1"/>
  <c r="AM33" i="2"/>
  <c r="AM75" i="2" a="1"/>
  <c r="AM75" i="2"/>
  <c r="AM18" i="2" a="1"/>
  <c r="AM18" i="2"/>
  <c r="AM60" i="2" a="1"/>
  <c r="AM60" i="2"/>
  <c r="AM27" i="2" a="1"/>
  <c r="AM27" i="2"/>
  <c r="AM56" i="2" a="1"/>
  <c r="AM56" i="2"/>
  <c r="AM66" i="2" a="1"/>
  <c r="AM66" i="2"/>
  <c r="AM21" i="2" a="1"/>
  <c r="AM21" i="2"/>
  <c r="AM97" i="2" a="1"/>
  <c r="AM97" i="2"/>
  <c r="AM86" i="2" a="1"/>
  <c r="AM86" i="2"/>
  <c r="AM83" i="2" a="1"/>
  <c r="AM83" i="2"/>
  <c r="AM64" i="2" a="1"/>
  <c r="AM64" i="2"/>
  <c r="AM28" i="2" a="1"/>
  <c r="AM28" i="2"/>
  <c r="AM91" i="2" a="1"/>
  <c r="AM91" i="2"/>
  <c r="AM11" i="2" a="1"/>
  <c r="AM11" i="2"/>
  <c r="AM32" i="2" a="1"/>
  <c r="AM32" i="2"/>
  <c r="AF65" i="2" a="1"/>
  <c r="AF65" i="2"/>
  <c r="AF37" i="2" a="1"/>
  <c r="AF37" i="2"/>
  <c r="AF86" i="2" a="1"/>
  <c r="AF86" i="2"/>
  <c r="AF68" i="2" a="1"/>
  <c r="AF68" i="2"/>
  <c r="AF55" i="2" a="1"/>
  <c r="AF55" i="2"/>
  <c r="AF77" i="2" a="1"/>
  <c r="AF77" i="2"/>
  <c r="AF90" i="2" a="1"/>
  <c r="AF90" i="2"/>
  <c r="AF43" i="2" a="1"/>
  <c r="AF43" i="2"/>
  <c r="AF88" i="2" a="1"/>
  <c r="AF88" i="2"/>
  <c r="AF80" i="2" a="1"/>
  <c r="AF80" i="2"/>
  <c r="V14" i="2" a="1"/>
  <c r="V14" i="2"/>
  <c r="V42" i="2" a="1"/>
  <c r="V42" i="2"/>
  <c r="V55" i="2" a="1"/>
  <c r="V55" i="2"/>
  <c r="V101" i="2" a="1"/>
  <c r="V101" i="2"/>
  <c r="V15" i="2" a="1"/>
  <c r="V15" i="2"/>
  <c r="V34" i="2" a="1"/>
  <c r="V34" i="2"/>
  <c r="V61" i="2" a="1"/>
  <c r="V61" i="2"/>
  <c r="V53" i="2" a="1"/>
  <c r="V53" i="2"/>
  <c r="V79" i="2" a="1"/>
  <c r="V79" i="2"/>
  <c r="V20" i="2" a="1"/>
  <c r="V20" i="2"/>
  <c r="T39" i="2" a="1"/>
  <c r="T39" i="2"/>
  <c r="T24" i="2" a="1"/>
  <c r="T24" i="2"/>
  <c r="T32" i="2" a="1"/>
  <c r="T32" i="2"/>
  <c r="T91" i="2" a="1"/>
  <c r="T91" i="2"/>
  <c r="T72" i="2" a="1"/>
  <c r="T72" i="2"/>
  <c r="T33" i="2" a="1"/>
  <c r="T33" i="2"/>
  <c r="T38" i="2" a="1"/>
  <c r="T38" i="2"/>
  <c r="T35" i="2" a="1"/>
  <c r="T35" i="2"/>
  <c r="T65" i="2" a="1"/>
  <c r="T65" i="2"/>
  <c r="T59" i="2" a="1"/>
  <c r="T59" i="2"/>
  <c r="AF44" i="2" a="1"/>
  <c r="AF44" i="2"/>
  <c r="AF53" i="2" a="1"/>
  <c r="AF53" i="2"/>
  <c r="AF18" i="2" a="1"/>
  <c r="AF18" i="2"/>
  <c r="AF79" i="2" a="1"/>
  <c r="AF79" i="2"/>
  <c r="AF76" i="2" a="1"/>
  <c r="AF76" i="2"/>
  <c r="AF81" i="2" a="1"/>
  <c r="AF81" i="2"/>
  <c r="AF59" i="2" a="1"/>
  <c r="AF59" i="2"/>
  <c r="AF73" i="2" a="1"/>
  <c r="AF73" i="2"/>
  <c r="AF78" i="2" a="1"/>
  <c r="AF78" i="2"/>
  <c r="AF40" i="2" a="1"/>
  <c r="AF40" i="2"/>
  <c r="AF52" i="2" a="1"/>
  <c r="AF52" i="2"/>
  <c r="AF89" i="2" a="1"/>
  <c r="AF89" i="2"/>
  <c r="AF14" i="2" a="1"/>
  <c r="AF14" i="2"/>
  <c r="AF26" i="2" a="1"/>
  <c r="AF26" i="2"/>
  <c r="AF75" i="2" a="1"/>
  <c r="AF75" i="2"/>
  <c r="AF67" i="2" a="1"/>
  <c r="AF67" i="2"/>
  <c r="AF84" i="2" a="1"/>
  <c r="AF84" i="2"/>
  <c r="AF57" i="2" a="1"/>
  <c r="AF57" i="2"/>
  <c r="AF46" i="2" a="1"/>
  <c r="AF46" i="2"/>
  <c r="AF98" i="2" a="1"/>
  <c r="AF98" i="2"/>
  <c r="AF19" i="2" a="1"/>
  <c r="AF19" i="2"/>
  <c r="AF66" i="2" a="1"/>
  <c r="AF66" i="2"/>
  <c r="AF29" i="2" a="1"/>
  <c r="AF29" i="2"/>
  <c r="AF70" i="2" a="1"/>
  <c r="AF70" i="2"/>
  <c r="AF56" i="2" a="1"/>
  <c r="AF56" i="2"/>
  <c r="AF100" i="2" a="1"/>
  <c r="AF100" i="2"/>
  <c r="AF72" i="2" a="1"/>
  <c r="AF72" i="2"/>
  <c r="AM65" i="2" a="1"/>
  <c r="AM65" i="2"/>
  <c r="AM59" i="2" a="1"/>
  <c r="AM59" i="2"/>
  <c r="AM62" i="2" a="1"/>
  <c r="AM62" i="2"/>
  <c r="AM34" i="2" a="1"/>
  <c r="AM34" i="2"/>
  <c r="AM88" i="2" a="1"/>
  <c r="AM88" i="2"/>
  <c r="AM19" i="2" a="1"/>
  <c r="AM19" i="2"/>
  <c r="AM68" i="2" a="1"/>
  <c r="AM68" i="2"/>
  <c r="AM40" i="2" a="1"/>
  <c r="AM40" i="2"/>
  <c r="AM31" i="2" a="1"/>
  <c r="AM31" i="2"/>
  <c r="AM82" i="2" a="1"/>
  <c r="AM82" i="2"/>
  <c r="AF20" i="2" a="1"/>
  <c r="AF20" i="2"/>
  <c r="AF21" i="2" a="1"/>
  <c r="AF21" i="2"/>
  <c r="AF41" i="2" a="1"/>
  <c r="AF41" i="2"/>
  <c r="AF64" i="2" a="1"/>
  <c r="AF64" i="2"/>
  <c r="AF99" i="2" a="1"/>
  <c r="AF99" i="2"/>
  <c r="AF96" i="2" a="1"/>
  <c r="AF96" i="2"/>
  <c r="AF63" i="2" a="1"/>
  <c r="AF63" i="2"/>
  <c r="AF11" i="2" a="1"/>
  <c r="AF11" i="2"/>
  <c r="AF24" i="2" a="1"/>
  <c r="AF24" i="2"/>
  <c r="AF62" i="2" a="1"/>
  <c r="AF62" i="2"/>
  <c r="V21" i="2" a="1"/>
  <c r="V21" i="2"/>
  <c r="V63" i="2" a="1"/>
  <c r="V63" i="2"/>
  <c r="V35" i="2" a="1"/>
  <c r="V35" i="2"/>
  <c r="V19" i="2" a="1"/>
  <c r="V19" i="2"/>
  <c r="V95" i="2" a="1"/>
  <c r="V95" i="2"/>
  <c r="V82" i="2" a="1"/>
  <c r="V82" i="2"/>
  <c r="V41" i="2" a="1"/>
  <c r="V41" i="2"/>
  <c r="V81" i="2" a="1"/>
  <c r="V81" i="2"/>
  <c r="V13" i="2" a="1"/>
  <c r="V13" i="2"/>
  <c r="V60" i="2" a="1"/>
  <c r="V60" i="2"/>
  <c r="T48" i="2" a="1"/>
  <c r="T48" i="2"/>
  <c r="T47" i="2" a="1"/>
  <c r="T47" i="2"/>
  <c r="T21" i="2" a="1"/>
  <c r="T21" i="2"/>
  <c r="T86" i="2" a="1"/>
  <c r="T86" i="2"/>
  <c r="T85" i="2" a="1"/>
  <c r="T85" i="2"/>
  <c r="T46" i="2" a="1"/>
  <c r="T46" i="2"/>
  <c r="T75" i="2" a="1"/>
  <c r="T75" i="2"/>
  <c r="T73" i="2" a="1"/>
  <c r="T73" i="2"/>
  <c r="T55" i="2" a="1"/>
  <c r="T55" i="2"/>
  <c r="T23" i="2" a="1"/>
  <c r="T23" i="2"/>
  <c r="T101" i="2" a="1"/>
  <c r="T101" i="2"/>
  <c r="T49" i="2" a="1"/>
  <c r="T49" i="2"/>
  <c r="T43" i="2" a="1"/>
  <c r="T43" i="2"/>
  <c r="T14" i="2" a="1"/>
  <c r="T14" i="2"/>
  <c r="T88" i="2" a="1"/>
  <c r="T88" i="2"/>
  <c r="T67" i="2" a="1"/>
  <c r="T67" i="2"/>
  <c r="T44" i="2" a="1"/>
  <c r="T44" i="2"/>
  <c r="T87" i="2" a="1"/>
  <c r="T87" i="2"/>
  <c r="T25" i="2" a="1"/>
  <c r="T25" i="2"/>
  <c r="T79" i="2" a="1"/>
  <c r="T79" i="2"/>
  <c r="AF101" i="2" a="1"/>
  <c r="AF101" i="2"/>
  <c r="AF82" i="2" a="1"/>
  <c r="AF82" i="2"/>
  <c r="AF45" i="2" a="1"/>
  <c r="AF45" i="2"/>
  <c r="AF31" i="2" a="1"/>
  <c r="AF31" i="2"/>
  <c r="AF91" i="2" a="1"/>
  <c r="AF91" i="2"/>
  <c r="AF61" i="2" a="1"/>
  <c r="AF61" i="2"/>
  <c r="AF15" i="2" a="1"/>
  <c r="AF15" i="2"/>
  <c r="AF94" i="2" a="1"/>
  <c r="AF94" i="2"/>
  <c r="AF27" i="2" a="1"/>
  <c r="AF27" i="2"/>
  <c r="AF13" i="2" a="1"/>
  <c r="AF13" i="2"/>
  <c r="AM69" i="2" a="1"/>
  <c r="AM69" i="2"/>
  <c r="AM35" i="2" a="1"/>
  <c r="AM35" i="2"/>
  <c r="AM37" i="2" a="1"/>
  <c r="AM37" i="2"/>
  <c r="AM79" i="2" a="1"/>
  <c r="AM79" i="2"/>
  <c r="AM38" i="2" a="1"/>
  <c r="AM38" i="2"/>
  <c r="AM85" i="2" a="1"/>
  <c r="AM85" i="2"/>
  <c r="AM101" i="2" a="1"/>
  <c r="AM101" i="2"/>
  <c r="AM36" i="2" a="1"/>
  <c r="AM36" i="2"/>
  <c r="AM52" i="2" a="1"/>
  <c r="AM52" i="2"/>
  <c r="AM57" i="2" a="1"/>
  <c r="AM57" i="2"/>
  <c r="V18" i="2" a="1"/>
  <c r="V18" i="2"/>
  <c r="V26" i="2" a="1"/>
  <c r="V26" i="2"/>
  <c r="V66" i="2" a="1"/>
  <c r="V66" i="2"/>
  <c r="V43" i="2" a="1"/>
  <c r="V43" i="2"/>
  <c r="V76" i="2" a="1"/>
  <c r="V76" i="2"/>
  <c r="V32" i="2" a="1"/>
  <c r="V32" i="2"/>
  <c r="V12" i="2" a="1"/>
  <c r="V12" i="2"/>
  <c r="V30" i="2" a="1"/>
  <c r="V30" i="2"/>
  <c r="V93" i="2" a="1"/>
  <c r="V93" i="2"/>
  <c r="V11" i="2" a="1"/>
  <c r="V11" i="2"/>
  <c r="AM53" i="2" a="1"/>
  <c r="AM53" i="2"/>
  <c r="AM77" i="2" a="1"/>
  <c r="AM77" i="2"/>
  <c r="AM67" i="2" a="1"/>
  <c r="AM67" i="2"/>
  <c r="AM90" i="2" a="1"/>
  <c r="AM90" i="2"/>
  <c r="AM87" i="2" a="1"/>
  <c r="AM87" i="2"/>
  <c r="AM39" i="2" a="1"/>
  <c r="AM39" i="2"/>
  <c r="AM30" i="2" a="1"/>
  <c r="AM30" i="2"/>
  <c r="AM92" i="2" a="1"/>
  <c r="AM92" i="2"/>
  <c r="AM49" i="2" a="1"/>
  <c r="AM49" i="2"/>
  <c r="AM74" i="2" a="1"/>
  <c r="AM74" i="2"/>
  <c r="AF93" i="2" a="1"/>
  <c r="AF93" i="2"/>
  <c r="AF50" i="2" a="1"/>
  <c r="AF50" i="2"/>
  <c r="AF38" i="2" a="1"/>
  <c r="AF38" i="2"/>
  <c r="AF12" i="2" a="1"/>
  <c r="AF12" i="2"/>
  <c r="AF87" i="2" a="1"/>
  <c r="AF87" i="2"/>
  <c r="AF32" i="2" a="1"/>
  <c r="AF32" i="2"/>
  <c r="AF92" i="2" a="1"/>
  <c r="AF92" i="2"/>
  <c r="AF33" i="2" a="1"/>
  <c r="AF33" i="2"/>
  <c r="AF23" i="2" a="1"/>
  <c r="AF23" i="2"/>
  <c r="AF83" i="2" a="1"/>
  <c r="AF83" i="2"/>
  <c r="T77" i="2" a="1"/>
  <c r="T77" i="2"/>
  <c r="T13" i="2" a="1"/>
  <c r="T13" i="2"/>
  <c r="T18" i="2" a="1"/>
  <c r="T18" i="2"/>
  <c r="T36" i="2" a="1"/>
  <c r="T36" i="2"/>
  <c r="T40" i="2" a="1"/>
  <c r="T40" i="2"/>
  <c r="T81" i="2" a="1"/>
  <c r="T81" i="2"/>
  <c r="T52" i="2" a="1"/>
  <c r="T52" i="2"/>
  <c r="T90" i="2" a="1"/>
  <c r="T90" i="2"/>
  <c r="T45" i="2" a="1"/>
  <c r="T45" i="2"/>
  <c r="T27" i="2" a="1"/>
  <c r="T27" i="2"/>
  <c r="AM70" i="2" a="1"/>
  <c r="AM70" i="2"/>
  <c r="AM98" i="2" a="1"/>
  <c r="AM98" i="2"/>
  <c r="AM29" i="2" a="1"/>
  <c r="AM29" i="2"/>
  <c r="AM95" i="2" a="1"/>
  <c r="AM95" i="2"/>
  <c r="AM100" i="2" a="1"/>
  <c r="AM100" i="2"/>
  <c r="AM58" i="2" a="1"/>
  <c r="AM58" i="2"/>
  <c r="AM23" i="2" a="1"/>
  <c r="AM23" i="2"/>
  <c r="AM80" i="2" a="1"/>
  <c r="AM80" i="2"/>
  <c r="AM44" i="2" a="1"/>
  <c r="AM44" i="2"/>
  <c r="AM72" i="2" a="1"/>
  <c r="AM72" i="2"/>
  <c r="T51" i="2" a="1"/>
  <c r="T51" i="2"/>
  <c r="T70" i="2" a="1"/>
  <c r="T70" i="2"/>
  <c r="T11" i="2" a="1"/>
  <c r="T11" i="2"/>
  <c r="T50" i="2" a="1"/>
  <c r="T50" i="2"/>
  <c r="T92" i="2" a="1"/>
  <c r="T92" i="2"/>
  <c r="T37" i="2" a="1"/>
  <c r="T37" i="2"/>
  <c r="T84" i="2" a="1"/>
  <c r="T84" i="2"/>
  <c r="T15" i="2" a="1"/>
  <c r="T15" i="2"/>
  <c r="T20" i="2" a="1"/>
  <c r="T20" i="2"/>
  <c r="T58" i="2" a="1"/>
  <c r="T58" i="2"/>
  <c r="T29" i="2" a="1"/>
  <c r="T29" i="2"/>
  <c r="T74" i="2" a="1"/>
  <c r="T74" i="2"/>
  <c r="T80" i="2" a="1"/>
  <c r="T80" i="2"/>
  <c r="T78" i="2" a="1"/>
  <c r="T78" i="2"/>
  <c r="T68" i="2" a="1"/>
  <c r="T68" i="2"/>
  <c r="T26" i="2" a="1"/>
  <c r="T26" i="2"/>
  <c r="T53" i="2" a="1"/>
  <c r="T53" i="2"/>
  <c r="AM43" i="2" a="1"/>
  <c r="AM43" i="2"/>
  <c r="AM48" i="2" a="1"/>
  <c r="AM48" i="2"/>
  <c r="AM84" i="2" a="1"/>
  <c r="AM84" i="2"/>
  <c r="AM24" i="2" a="1"/>
  <c r="AM24" i="2"/>
  <c r="AM20" i="2" a="1"/>
  <c r="AM20" i="2"/>
  <c r="AM42" i="2" a="1"/>
  <c r="AM42" i="2"/>
  <c r="AM12" i="2" a="1"/>
  <c r="AM12" i="2"/>
  <c r="AM81" i="2" a="1"/>
  <c r="AM81" i="2"/>
  <c r="AM96" i="2" a="1"/>
  <c r="AM96" i="2"/>
  <c r="AM89" i="2" a="1"/>
  <c r="AM89" i="2"/>
  <c r="AM45" i="2" a="1"/>
  <c r="AM45" i="2"/>
  <c r="AM26" i="2" a="1"/>
  <c r="AM26" i="2"/>
  <c r="AM54" i="2" a="1"/>
  <c r="AM54" i="2"/>
  <c r="AM78" i="2" a="1"/>
  <c r="AM78" i="2"/>
  <c r="AM13" i="2" a="1"/>
  <c r="AM13" i="2"/>
  <c r="AM73" i="2" a="1"/>
  <c r="AM73" i="2"/>
  <c r="AM14" i="2" a="1"/>
  <c r="AM14" i="2"/>
  <c r="AM93" i="2" a="1"/>
  <c r="AM93" i="2"/>
  <c r="AM25" i="2" a="1"/>
  <c r="AM25" i="2"/>
  <c r="AM46" i="2" a="1"/>
  <c r="AM46" i="2"/>
  <c r="E49" i="4" l="1"/>
  <c r="H49" i="4"/>
  <c r="J49" i="4"/>
  <c r="N49" i="4"/>
  <c r="P49" i="4"/>
  <c r="X49" i="4"/>
  <c r="Z49" i="4"/>
  <c r="AG49" i="4"/>
  <c r="AI49" i="4"/>
  <c r="AP49" i="4"/>
  <c r="AR49" i="4"/>
  <c r="E50" i="4"/>
  <c r="H50" i="4"/>
  <c r="J50" i="4"/>
  <c r="N50" i="4"/>
  <c r="P50" i="4"/>
  <c r="X50" i="4"/>
  <c r="Z50" i="4"/>
  <c r="AG50" i="4"/>
  <c r="AI50" i="4"/>
  <c r="AP50" i="4"/>
  <c r="AR50" i="4"/>
  <c r="E51" i="4"/>
  <c r="H51" i="4"/>
  <c r="J51" i="4"/>
  <c r="N51" i="4"/>
  <c r="P51" i="4"/>
  <c r="X51" i="4"/>
  <c r="Z51" i="4"/>
  <c r="AG51" i="4"/>
  <c r="AI51" i="4"/>
  <c r="AP51" i="4"/>
  <c r="AR51" i="4"/>
  <c r="D49" i="4"/>
  <c r="I50" i="4" a="1"/>
  <c r="M50" i="4" a="1"/>
  <c r="M49" i="4" a="1"/>
  <c r="Y51" i="4" a="1"/>
  <c r="AF51" i="4" a="1"/>
  <c r="AO51" i="4" a="1"/>
  <c r="AH49" i="4" a="1"/>
  <c r="O50" i="4" a="1"/>
  <c r="AQ50" i="4" a="1"/>
  <c r="AQ49" i="4" a="1"/>
  <c r="AH51" i="4" a="1"/>
  <c r="AF49" i="4" a="1"/>
  <c r="O51" i="4" a="1"/>
  <c r="I49" i="4" a="1"/>
  <c r="W51" i="4" a="1"/>
  <c r="AO49" i="4" a="1"/>
  <c r="W49" i="4" a="1"/>
  <c r="G49" i="4" a="1"/>
  <c r="AO50" i="4" a="1"/>
  <c r="AX51" i="4" a="1"/>
  <c r="O49" i="4" a="1"/>
  <c r="W50" i="4" a="1"/>
  <c r="AX50" i="4" a="1"/>
  <c r="D51" i="4"/>
  <c r="AX49" i="4" a="1"/>
  <c r="AQ51" i="4" a="1"/>
  <c r="Y50" i="4" a="1"/>
  <c r="AH50" i="4" a="1"/>
  <c r="AF50" i="4" a="1"/>
  <c r="G51" i="4" a="1"/>
  <c r="I51" i="4" a="1"/>
  <c r="G50" i="4" a="1"/>
  <c r="M51" i="4" a="1"/>
  <c r="Y49" i="4" a="1"/>
  <c r="D50" i="4"/>
  <c r="D6" i="4"/>
  <c r="AO6" i="4" a="1"/>
  <c r="F50" i="4" l="1"/>
  <c r="S50" i="4" s="1"/>
  <c r="Y49" i="4"/>
  <c r="AB49" i="4" s="1"/>
  <c r="M51" i="4"/>
  <c r="Q51" i="4" s="1"/>
  <c r="G50" i="4"/>
  <c r="K50" i="4" s="1"/>
  <c r="I51" i="4"/>
  <c r="G51" i="4"/>
  <c r="K51" i="4" s="1"/>
  <c r="AF50" i="4"/>
  <c r="AH50" i="4"/>
  <c r="AK50" i="4" s="1"/>
  <c r="Y50" i="4"/>
  <c r="AB50" i="4" s="1"/>
  <c r="AQ51" i="4"/>
  <c r="AT51" i="4" s="1"/>
  <c r="AX49" i="4"/>
  <c r="F51" i="4"/>
  <c r="S51" i="4" s="1"/>
  <c r="AX50" i="4"/>
  <c r="W50" i="4"/>
  <c r="O49" i="4"/>
  <c r="R49" i="4" s="1"/>
  <c r="AX51" i="4"/>
  <c r="AO50" i="4"/>
  <c r="G49" i="4"/>
  <c r="K49" i="4" s="1"/>
  <c r="W49" i="4"/>
  <c r="AO49" i="4"/>
  <c r="W51" i="4"/>
  <c r="I49" i="4"/>
  <c r="O51" i="4"/>
  <c r="R51" i="4" s="1"/>
  <c r="AF49" i="4"/>
  <c r="AH51" i="4"/>
  <c r="AK51" i="4" s="1"/>
  <c r="AQ49" i="4"/>
  <c r="AT49" i="4" s="1"/>
  <c r="AQ50" i="4"/>
  <c r="AT50" i="4" s="1"/>
  <c r="O50" i="4"/>
  <c r="R50" i="4" s="1"/>
  <c r="AH49" i="4"/>
  <c r="AK49" i="4" s="1"/>
  <c r="AO51" i="4"/>
  <c r="AF51" i="4"/>
  <c r="Y51" i="4"/>
  <c r="AB51" i="4" s="1"/>
  <c r="M49" i="4"/>
  <c r="Q49" i="4" s="1"/>
  <c r="M50" i="4"/>
  <c r="Q50" i="4" s="1"/>
  <c r="I50" i="4"/>
  <c r="F49" i="4"/>
  <c r="S49" i="4" s="1"/>
  <c r="AO6" i="4"/>
  <c r="AH6" i="4" a="1"/>
  <c r="AL50" i="4" l="1"/>
  <c r="AJ50" i="4"/>
  <c r="AM50" i="4" s="1"/>
  <c r="T51" i="4"/>
  <c r="L51" i="4"/>
  <c r="L50" i="4"/>
  <c r="T50" i="4"/>
  <c r="U51" i="4"/>
  <c r="AJ49" i="4"/>
  <c r="AM49" i="4" s="1"/>
  <c r="AL49" i="4"/>
  <c r="AS49" i="4"/>
  <c r="AV49" i="4" s="1"/>
  <c r="AU49" i="4"/>
  <c r="U50" i="4"/>
  <c r="AJ51" i="4"/>
  <c r="AM51" i="4" s="1"/>
  <c r="AL51" i="4"/>
  <c r="AU51" i="4"/>
  <c r="AS51" i="4"/>
  <c r="AV51" i="4" s="1"/>
  <c r="L49" i="4"/>
  <c r="T49" i="4"/>
  <c r="AA51" i="4"/>
  <c r="AD51" i="4" s="1"/>
  <c r="AC51" i="4"/>
  <c r="AA49" i="4"/>
  <c r="AD49" i="4" s="1"/>
  <c r="AC49" i="4"/>
  <c r="AS50" i="4"/>
  <c r="AV50" i="4" s="1"/>
  <c r="AU50" i="4"/>
  <c r="AA50" i="4"/>
  <c r="AD50" i="4" s="1"/>
  <c r="AC50" i="4"/>
  <c r="U49" i="4"/>
  <c r="AH6" i="4"/>
  <c r="O6" i="4" a="1"/>
  <c r="AE49" i="4" l="1"/>
  <c r="AN49" i="4"/>
  <c r="V49" i="4"/>
  <c r="AW49" i="4"/>
  <c r="AW50" i="4"/>
  <c r="AN50" i="4"/>
  <c r="V50" i="4"/>
  <c r="AE50" i="4"/>
  <c r="AN51" i="4"/>
  <c r="AE51" i="4"/>
  <c r="V51" i="4"/>
  <c r="AW51" i="4"/>
  <c r="O6" i="4"/>
  <c r="W6" i="4" a="1"/>
  <c r="W6" i="4"/>
  <c r="M6" i="4" a="1"/>
  <c r="M6" i="4"/>
  <c r="AQ6" i="4" a="1"/>
  <c r="AQ6" i="4"/>
  <c r="AF6" i="4" a="1"/>
  <c r="AF6" i="4"/>
  <c r="AX6" i="4" a="1"/>
  <c r="AX6" i="4"/>
  <c r="Y6" i="4" a="1"/>
  <c r="Y6" i="4"/>
  <c r="G6" i="4" a="1"/>
  <c r="G6" i="4"/>
  <c r="I6" i="4" a="1"/>
  <c r="I6" i="4"/>
  <c r="AF22" i="2" l="1" a="1"/>
  <c r="AF22" i="2"/>
  <c r="AF7" i="2" l="1" a="1"/>
  <c r="AF7" i="2"/>
  <c r="AF8" i="2" a="1"/>
  <c r="AF8" i="2"/>
  <c r="AF9" i="2" l="1" a="1"/>
  <c r="AF9" i="2"/>
  <c r="AF5" i="2" l="1" a="1"/>
  <c r="AF5" i="2"/>
  <c r="AF71" i="2" a="1"/>
  <c r="AF71" i="2"/>
  <c r="AF6" i="2" l="1" a="1"/>
  <c r="AF6" i="2" l="1"/>
  <c r="AF17" i="2" a="1"/>
  <c r="AF17" i="2"/>
  <c r="AF16" i="2" l="1" a="1"/>
  <c r="AF16" i="2" l="1"/>
  <c r="AF10" i="2" l="1" a="1"/>
  <c r="AF10" i="2" l="1"/>
  <c r="AM7" i="2" l="1" a="1"/>
  <c r="AM7" i="2" l="1"/>
  <c r="AM5" i="2" l="1" a="1"/>
  <c r="AM5" i="2" l="1"/>
  <c r="AM8" i="2" l="1" a="1"/>
  <c r="AM8" i="2" l="1"/>
  <c r="AM6" i="2" a="1"/>
  <c r="AM6" i="2"/>
  <c r="AM71" i="2" l="1" a="1"/>
  <c r="AM71" i="2"/>
  <c r="AM22" i="2" a="1"/>
  <c r="AM22" i="2" l="1"/>
  <c r="AM9" i="2" l="1" a="1"/>
  <c r="AM9" i="2" l="1"/>
  <c r="AM17" i="2" l="1" a="1"/>
  <c r="AM17" i="2" l="1"/>
  <c r="AM16" i="2" l="1" a="1"/>
  <c r="AM16" i="2" l="1"/>
  <c r="AM10" i="2" a="1"/>
  <c r="AM10" i="2"/>
  <c r="T8" i="2" l="1" a="1"/>
  <c r="T8" i="2" l="1"/>
  <c r="T17" i="2" a="1"/>
  <c r="T17" i="2"/>
  <c r="T10" i="2" a="1"/>
  <c r="T10" i="2"/>
  <c r="T6" i="2" l="1" a="1"/>
  <c r="T6" i="2" l="1"/>
  <c r="T71" i="2" l="1" a="1"/>
  <c r="T71" i="2" l="1"/>
  <c r="T16" i="2" l="1" a="1"/>
  <c r="T16" i="2" l="1"/>
  <c r="T5" i="2" a="1"/>
  <c r="T5" i="2"/>
  <c r="T7" i="2" l="1" a="1"/>
  <c r="T7" i="2" l="1"/>
  <c r="T22" i="2" l="1" a="1"/>
  <c r="T22" i="2"/>
  <c r="T9" i="2" a="1"/>
  <c r="T9" i="2"/>
  <c r="V5" i="2" l="1" a="1"/>
  <c r="V5" i="2"/>
  <c r="V71" i="2" a="1"/>
  <c r="V71" i="2"/>
  <c r="V7" i="2" l="1" a="1"/>
  <c r="V7" i="2" l="1"/>
  <c r="V22" i="2" a="1"/>
  <c r="V22" i="2"/>
  <c r="V17" i="2" l="1" a="1"/>
  <c r="V17" i="2" l="1"/>
  <c r="V6" i="2" l="1" a="1"/>
  <c r="V6" i="2" l="1"/>
  <c r="V8" i="2" l="1" a="1"/>
  <c r="V8" i="2" l="1"/>
  <c r="V9" i="2" l="1" a="1"/>
  <c r="V9" i="2" l="1"/>
  <c r="V16" i="2" l="1" a="1"/>
  <c r="V16" i="2"/>
  <c r="AA62" i="3" l="1" a="1"/>
  <c r="AA62" i="3" l="1"/>
  <c r="AA75" i="3" a="1"/>
  <c r="AA75" i="3"/>
  <c r="AA217" i="3" a="1"/>
  <c r="AA217" i="3"/>
  <c r="AA52" i="3" a="1"/>
  <c r="AA52" i="3"/>
  <c r="AA116" i="3" a="1"/>
  <c r="AA116" i="3"/>
  <c r="AA69" i="3" a="1"/>
  <c r="AA69" i="3"/>
  <c r="AA349" i="3" a="1"/>
  <c r="AA349" i="3"/>
  <c r="AA30" i="3" a="1"/>
  <c r="AA30" i="3"/>
  <c r="AA22" i="3" a="1"/>
  <c r="AA22" i="3"/>
  <c r="I173" i="3" a="1"/>
  <c r="I173" i="3"/>
  <c r="K173" i="3" a="1"/>
  <c r="K173" i="3"/>
  <c r="I77" i="3" a="1"/>
  <c r="I77" i="3"/>
  <c r="G9" i="4" a="1"/>
  <c r="G9" i="4"/>
  <c r="I9" i="4" a="1"/>
  <c r="I9" i="4"/>
  <c r="K77" i="3" a="1"/>
  <c r="K77" i="3"/>
  <c r="I24" i="3" a="1"/>
  <c r="I24" i="3"/>
  <c r="I85" i="3" a="1"/>
  <c r="I85" i="3"/>
  <c r="K24" i="3" a="1"/>
  <c r="K24" i="3"/>
  <c r="K85" i="3" a="1"/>
  <c r="K85" i="3"/>
  <c r="K92" i="3" a="1"/>
  <c r="K92" i="3" l="1"/>
  <c r="I92" i="3" a="1"/>
  <c r="I92" i="3"/>
  <c r="K263" i="3" a="1"/>
  <c r="K263" i="3" l="1"/>
  <c r="K335" i="3" a="1"/>
  <c r="K335" i="3"/>
  <c r="K104" i="3" a="1"/>
  <c r="K104" i="3"/>
  <c r="I104" i="3" a="1"/>
  <c r="I104" i="3"/>
  <c r="I263" i="3" a="1"/>
  <c r="I263" i="3"/>
  <c r="I335" i="3" a="1"/>
  <c r="I335" i="3"/>
  <c r="I206" i="3" a="1"/>
  <c r="I206" i="3"/>
  <c r="P2" i="2" a="1"/>
  <c r="P2" i="2"/>
  <c r="I2" i="4" a="1"/>
  <c r="I2" i="4"/>
  <c r="K2" i="3" a="1"/>
  <c r="K2" i="3"/>
  <c r="N2" i="2" a="1"/>
  <c r="N2" i="2"/>
  <c r="G2" i="4" a="1"/>
  <c r="G2" i="4"/>
  <c r="I2" i="3" a="1"/>
  <c r="I2" i="3"/>
  <c r="K206" i="3" a="1"/>
  <c r="K206" i="3"/>
  <c r="I342" i="3" a="1"/>
  <c r="I342" i="3"/>
  <c r="I28" i="4" a="1"/>
  <c r="I28" i="4"/>
  <c r="G28" i="4" a="1"/>
  <c r="G28" i="4"/>
  <c r="K342" i="3" a="1"/>
  <c r="K342" i="3"/>
  <c r="K13" i="3" a="1"/>
  <c r="K13" i="3"/>
  <c r="K352" i="3" a="1"/>
  <c r="K352" i="3"/>
  <c r="I13" i="3" a="1"/>
  <c r="I13" i="3"/>
  <c r="I352" i="3" a="1"/>
  <c r="I352" i="3"/>
  <c r="I24" i="4" a="1"/>
  <c r="I24" i="4"/>
  <c r="I347" i="3" a="1"/>
  <c r="I347" i="3"/>
  <c r="I59" i="3" a="1"/>
  <c r="I59" i="3"/>
  <c r="K347" i="3" a="1"/>
  <c r="K347" i="3"/>
  <c r="K59" i="3" a="1"/>
  <c r="K59" i="3"/>
  <c r="G24" i="4" a="1"/>
  <c r="G24" i="4"/>
  <c r="G3" i="4" a="1"/>
  <c r="G3" i="4"/>
  <c r="I3" i="4" a="1"/>
  <c r="I3" i="4"/>
  <c r="K128" i="3" a="1"/>
  <c r="K128" i="3"/>
  <c r="I250" i="3" a="1"/>
  <c r="I250" i="3"/>
  <c r="K250" i="3" a="1"/>
  <c r="K250" i="3"/>
  <c r="I128" i="3" a="1"/>
  <c r="I128" i="3"/>
  <c r="I177" i="3" a="1"/>
  <c r="I177" i="3"/>
  <c r="K175" i="3" a="1"/>
  <c r="K175" i="3"/>
  <c r="I175" i="3" a="1"/>
  <c r="I175" i="3"/>
  <c r="K177" i="3" a="1"/>
  <c r="K177" i="3"/>
  <c r="K136" i="3" a="1"/>
  <c r="K136" i="3"/>
  <c r="K60" i="3" a="1"/>
  <c r="K60" i="3"/>
  <c r="G19" i="4" a="1"/>
  <c r="G19" i="4"/>
  <c r="I60" i="3" a="1"/>
  <c r="I60" i="3"/>
  <c r="I136" i="3" a="1"/>
  <c r="I136" i="3"/>
  <c r="I19" i="4" a="1"/>
  <c r="I19" i="4"/>
  <c r="I17" i="3" a="1"/>
  <c r="I17" i="3"/>
  <c r="G12" i="4" a="1"/>
  <c r="G12" i="4"/>
  <c r="K230" i="3" a="1"/>
  <c r="K230" i="3"/>
  <c r="K17" i="3" a="1"/>
  <c r="K17" i="3"/>
  <c r="I12" i="4" a="1"/>
  <c r="I12" i="4"/>
  <c r="I230" i="3" a="1"/>
  <c r="I230" i="3"/>
  <c r="K210" i="3" a="1"/>
  <c r="K210" i="3"/>
  <c r="K70" i="3" a="1"/>
  <c r="K70" i="3"/>
  <c r="I210" i="3" a="1"/>
  <c r="I210" i="3"/>
  <c r="I70" i="3" a="1"/>
  <c r="I70" i="3"/>
  <c r="K152" i="3" a="1"/>
  <c r="K152" i="3"/>
  <c r="I152" i="3" a="1"/>
  <c r="I152" i="3"/>
  <c r="I14" i="3" a="1"/>
  <c r="I14" i="3"/>
  <c r="I28" i="3" a="1"/>
  <c r="I28" i="3"/>
  <c r="I296" i="3" a="1"/>
  <c r="I296" i="3"/>
  <c r="K14" i="3" a="1"/>
  <c r="K14" i="3" l="1"/>
  <c r="K296" i="3" a="1"/>
  <c r="K296" i="3"/>
  <c r="K28" i="3" a="1"/>
  <c r="K28" i="3"/>
  <c r="I32" i="3" a="1"/>
  <c r="I32" i="3" l="1"/>
  <c r="K32" i="3" a="1"/>
  <c r="K32" i="3"/>
  <c r="K19" i="3" a="1"/>
  <c r="K19" i="3"/>
  <c r="I19" i="3" a="1"/>
  <c r="I19" i="3"/>
  <c r="K277" i="3" a="1"/>
  <c r="K277" i="3"/>
  <c r="I277" i="3" a="1"/>
  <c r="I277" i="3" l="1"/>
  <c r="I273" i="3" a="1"/>
  <c r="I273" i="3" l="1"/>
  <c r="K273" i="3" a="1"/>
  <c r="K273" i="3" l="1"/>
  <c r="I272" i="3" a="1"/>
  <c r="I272" i="3" l="1"/>
  <c r="K208" i="3" a="1"/>
  <c r="K208" i="3"/>
  <c r="K272" i="3" a="1"/>
  <c r="K272" i="3"/>
  <c r="I208" i="3" a="1"/>
  <c r="I208" i="3"/>
  <c r="K339" i="3" a="1"/>
  <c r="K339" i="3"/>
  <c r="I339" i="3" l="1" a="1"/>
  <c r="I339" i="3" l="1"/>
  <c r="K294" i="3" a="1"/>
  <c r="K294" i="3"/>
  <c r="I294" i="3" a="1"/>
  <c r="I294" i="3"/>
  <c r="K276" i="3" a="1"/>
  <c r="K276" i="3"/>
  <c r="K349" i="3" a="1"/>
  <c r="K349" i="3"/>
  <c r="K328" i="3" a="1"/>
  <c r="K328" i="3"/>
  <c r="I145" i="3" a="1"/>
  <c r="I145" i="3"/>
  <c r="I276" i="3" a="1"/>
  <c r="I276" i="3"/>
  <c r="K145" i="3" a="1"/>
  <c r="K145" i="3"/>
  <c r="I349" i="3" a="1"/>
  <c r="I349" i="3"/>
  <c r="I328" i="3" a="1"/>
  <c r="I328" i="3"/>
  <c r="I344" i="3" a="1"/>
  <c r="I344" i="3"/>
  <c r="K344" i="3" a="1"/>
  <c r="K344" i="3"/>
  <c r="K207" i="3" a="1"/>
  <c r="K207" i="3"/>
  <c r="I207" i="3" a="1"/>
  <c r="I207" i="3"/>
  <c r="I226" i="3" a="1"/>
  <c r="I226" i="3"/>
  <c r="K226" i="3" a="1"/>
  <c r="K226" i="3"/>
  <c r="I41" i="3" l="1" a="1"/>
  <c r="I41" i="3" l="1"/>
  <c r="K41" i="3" a="1"/>
  <c r="K41" i="3"/>
  <c r="I353" i="3" a="1"/>
  <c r="I353" i="3"/>
  <c r="K353" i="3" a="1"/>
  <c r="K353" i="3"/>
  <c r="G45" i="4" a="1"/>
  <c r="G45" i="4"/>
  <c r="I45" i="4" a="1"/>
  <c r="I45" i="4"/>
  <c r="I243" i="3" a="1"/>
  <c r="I243" i="3" l="1"/>
  <c r="K243" i="3" a="1"/>
  <c r="K243" i="3"/>
  <c r="I201" i="3" a="1"/>
  <c r="I201" i="3"/>
  <c r="G46" i="4" a="1"/>
  <c r="G46" i="4"/>
  <c r="I258" i="3" a="1"/>
  <c r="I258" i="3"/>
  <c r="I46" i="4" a="1"/>
  <c r="I46" i="4" l="1"/>
  <c r="K258" i="3" a="1"/>
  <c r="K258" i="3"/>
  <c r="K201" i="3" a="1"/>
  <c r="K201" i="3"/>
  <c r="K113" i="3" a="1"/>
  <c r="K113" i="3"/>
  <c r="K153" i="3" a="1"/>
  <c r="K153" i="3"/>
  <c r="I55" i="4" a="1"/>
  <c r="I55" i="4"/>
  <c r="I143" i="3" a="1"/>
  <c r="I143" i="3" l="1"/>
  <c r="K143" i="3" a="1"/>
  <c r="K143" i="3"/>
  <c r="G55" i="4" a="1"/>
  <c r="G55" i="4"/>
  <c r="I153" i="3" a="1"/>
  <c r="I153" i="3" l="1"/>
  <c r="I113" i="3" a="1"/>
  <c r="I113" i="3"/>
  <c r="K216" i="3" a="1"/>
  <c r="K216" i="3"/>
  <c r="I129" i="3" a="1"/>
  <c r="I129" i="3"/>
  <c r="K129" i="3" a="1"/>
  <c r="K129" i="3"/>
  <c r="I216" i="3" a="1"/>
  <c r="I216" i="3"/>
  <c r="I236" i="3" a="1"/>
  <c r="I236" i="3"/>
  <c r="K236" i="3" l="1" a="1"/>
  <c r="K236" i="3" l="1"/>
  <c r="K312" i="3" a="1"/>
  <c r="K312" i="3"/>
  <c r="I312" i="3" a="1"/>
  <c r="I312" i="3"/>
  <c r="G8" i="4" a="1"/>
  <c r="G8" i="4"/>
  <c r="I322" i="3" a="1"/>
  <c r="I322" i="3"/>
  <c r="I8" i="4" a="1"/>
  <c r="I8" i="4"/>
  <c r="K322" i="3" a="1"/>
  <c r="K322" i="3"/>
  <c r="I283" i="3" a="1"/>
  <c r="I283" i="3"/>
  <c r="K158" i="3" a="1"/>
  <c r="K158" i="3"/>
  <c r="I93" i="3" a="1"/>
  <c r="I93" i="3"/>
  <c r="K266" i="3" a="1"/>
  <c r="K266" i="3"/>
  <c r="K93" i="3" a="1"/>
  <c r="K93" i="3"/>
  <c r="I266" i="3" a="1"/>
  <c r="I266" i="3"/>
  <c r="I158" i="3" a="1"/>
  <c r="I158" i="3"/>
  <c r="K283" i="3" a="1"/>
  <c r="K283" i="3"/>
  <c r="I40" i="4" a="1"/>
  <c r="I40" i="4"/>
  <c r="G40" i="4" a="1"/>
  <c r="G40" i="4"/>
  <c r="G13" i="4" a="1"/>
  <c r="G13" i="4"/>
  <c r="I13" i="4" a="1"/>
  <c r="I13" i="4"/>
  <c r="I209" i="3" a="1"/>
  <c r="I209" i="3"/>
  <c r="K165" i="3" a="1"/>
  <c r="K165" i="3" l="1"/>
  <c r="K209" i="3" a="1"/>
  <c r="K209" i="3" l="1"/>
  <c r="I165" i="3" a="1"/>
  <c r="I165" i="3"/>
  <c r="K195" i="3" a="1"/>
  <c r="K195" i="3" l="1"/>
  <c r="I195" i="3" a="1"/>
  <c r="I195" i="3"/>
  <c r="K193" i="3" a="1"/>
  <c r="K193" i="3" l="1"/>
  <c r="I193" i="3" a="1"/>
  <c r="I193" i="3"/>
  <c r="K45" i="3" l="1" a="1"/>
  <c r="K45" i="3" l="1"/>
  <c r="K246" i="3" a="1"/>
  <c r="K246" i="3"/>
  <c r="N9" i="2" a="1"/>
  <c r="N9" i="2"/>
  <c r="I246" i="3" a="1"/>
  <c r="I246" i="3"/>
  <c r="I45" i="3" a="1"/>
  <c r="I45" i="3"/>
  <c r="P9" i="2" a="1"/>
  <c r="P9" i="2"/>
  <c r="I4" i="3" a="1"/>
  <c r="I4" i="3" l="1"/>
  <c r="K4" i="3" a="1"/>
  <c r="K4" i="3" l="1"/>
  <c r="I103" i="3" a="1"/>
  <c r="I103" i="3"/>
  <c r="K103" i="3" a="1"/>
  <c r="K103" i="3"/>
  <c r="I232" i="3" a="1"/>
  <c r="I232" i="3"/>
  <c r="K232" i="3" a="1"/>
  <c r="K232" i="3"/>
  <c r="I189" i="3" a="1"/>
  <c r="I189" i="3" l="1"/>
  <c r="K189" i="3" a="1"/>
  <c r="K189" i="3"/>
  <c r="K133" i="3" a="1"/>
  <c r="K133" i="3" l="1"/>
  <c r="I133" i="3" a="1"/>
  <c r="I133" i="3"/>
  <c r="I11" i="4" a="1"/>
  <c r="I11" i="4"/>
  <c r="K186" i="3" a="1"/>
  <c r="K186" i="3"/>
  <c r="I186" i="3" a="1"/>
  <c r="I186" i="3"/>
  <c r="G11" i="4" a="1"/>
  <c r="G11" i="4"/>
  <c r="N6" i="2" a="1"/>
  <c r="N6" i="2"/>
  <c r="K184" i="3" a="1"/>
  <c r="K184" i="3"/>
  <c r="I184" i="3" a="1"/>
  <c r="I184" i="3"/>
  <c r="P6" i="2" a="1"/>
  <c r="P6" i="2"/>
  <c r="I127" i="3" a="1"/>
  <c r="I127" i="3"/>
  <c r="K127" i="3" a="1"/>
  <c r="K127" i="3"/>
  <c r="I269" i="3" a="1"/>
  <c r="I269" i="3"/>
  <c r="K309" i="3" a="1"/>
  <c r="K309" i="3"/>
  <c r="I157" i="3" a="1"/>
  <c r="I157" i="3"/>
  <c r="K269" i="3" a="1"/>
  <c r="K269" i="3"/>
  <c r="K157" i="3" a="1"/>
  <c r="K157" i="3"/>
  <c r="I309" i="3" a="1"/>
  <c r="I309" i="3"/>
  <c r="K87" i="3" a="1"/>
  <c r="K87" i="3"/>
  <c r="I87" i="3" a="1"/>
  <c r="I87" i="3"/>
  <c r="I242" i="3" a="1"/>
  <c r="I242" i="3"/>
  <c r="K242" i="3" a="1"/>
  <c r="K242" i="3"/>
  <c r="K247" i="3" a="1"/>
  <c r="K247" i="3"/>
  <c r="I94" i="3" a="1"/>
  <c r="I94" i="3"/>
  <c r="I247" i="3" a="1"/>
  <c r="I247" i="3"/>
  <c r="K94" i="3" a="1"/>
  <c r="K94" i="3"/>
  <c r="K336" i="3" a="1"/>
  <c r="K336" i="3"/>
  <c r="I336" i="3" a="1"/>
  <c r="I336" i="3"/>
  <c r="I271" i="3" a="1"/>
  <c r="I271" i="3"/>
  <c r="I69" i="3" a="1"/>
  <c r="I69" i="3"/>
  <c r="K271" i="3" a="1"/>
  <c r="K271" i="3"/>
  <c r="K69" i="3" a="1"/>
  <c r="K69" i="3"/>
  <c r="K26" i="3" a="1"/>
  <c r="K26" i="3"/>
  <c r="I71" i="3" a="1"/>
  <c r="I71" i="3"/>
  <c r="I26" i="3" a="1"/>
  <c r="I26" i="3"/>
  <c r="K71" i="3" a="1"/>
  <c r="K71" i="3"/>
  <c r="I350" i="3" a="1"/>
  <c r="I350" i="3"/>
  <c r="K350" i="3" a="1"/>
  <c r="K350" i="3"/>
  <c r="K100" i="3" a="1"/>
  <c r="K100" i="3"/>
  <c r="I100" i="3" a="1"/>
  <c r="I100" i="3"/>
  <c r="I141" i="3" a="1"/>
  <c r="I141" i="3" l="1"/>
  <c r="K141" i="3" a="1"/>
  <c r="K141" i="3" l="1"/>
  <c r="K10" i="3" a="1"/>
  <c r="K10" i="3"/>
  <c r="I119" i="3" a="1"/>
  <c r="I119" i="3"/>
  <c r="I10" i="3" a="1"/>
  <c r="I10" i="3"/>
  <c r="K119" i="3" a="1"/>
  <c r="K119" i="3"/>
  <c r="K227" i="3" a="1"/>
  <c r="K227" i="3"/>
  <c r="I227" i="3" a="1"/>
  <c r="I227" i="3"/>
  <c r="I188" i="3" a="1"/>
  <c r="I188" i="3"/>
  <c r="K188" i="3" a="1"/>
  <c r="K188" i="3"/>
  <c r="K11" i="3" a="1"/>
  <c r="K11" i="3"/>
  <c r="I11" i="3" a="1"/>
  <c r="I11" i="3"/>
  <c r="I233" i="3" a="1"/>
  <c r="I233" i="3"/>
  <c r="I18" i="4" a="1"/>
  <c r="I18" i="4"/>
  <c r="I238" i="3" a="1"/>
  <c r="I238" i="3"/>
  <c r="G18" i="4" a="1"/>
  <c r="G18" i="4"/>
  <c r="K238" i="3" a="1"/>
  <c r="K238" i="3"/>
  <c r="K233" i="3" a="1"/>
  <c r="K233" i="3"/>
  <c r="I256" i="3" a="1"/>
  <c r="I256" i="3"/>
  <c r="K256" i="3" a="1"/>
  <c r="K256" i="3"/>
  <c r="I111" i="3" a="1"/>
  <c r="I111" i="3"/>
  <c r="K241" i="3" a="1"/>
  <c r="K241" i="3"/>
  <c r="I241" i="3" a="1"/>
  <c r="I241" i="3"/>
  <c r="K111" i="3" a="1"/>
  <c r="K111" i="3"/>
  <c r="K321" i="3" a="1"/>
  <c r="K321" i="3"/>
  <c r="G38" i="4" a="1"/>
  <c r="G38" i="4"/>
  <c r="I321" i="3" a="1"/>
  <c r="I321" i="3"/>
  <c r="I91" i="3" a="1"/>
  <c r="I91" i="3"/>
  <c r="K91" i="3" a="1"/>
  <c r="K91" i="3"/>
  <c r="I38" i="4" a="1"/>
  <c r="I38" i="4"/>
  <c r="K115" i="3" a="1"/>
  <c r="K115" i="3"/>
  <c r="I297" i="3" a="1"/>
  <c r="I297" i="3"/>
  <c r="I138" i="3" a="1"/>
  <c r="I138" i="3"/>
  <c r="K297" i="3" a="1"/>
  <c r="K297" i="3"/>
  <c r="I115" i="3" a="1"/>
  <c r="I115" i="3"/>
  <c r="K138" i="3" a="1"/>
  <c r="K138" i="3"/>
  <c r="K259" i="3" a="1"/>
  <c r="K259" i="3"/>
  <c r="I259" i="3" a="1"/>
  <c r="I259" i="3"/>
  <c r="K54" i="3" a="1"/>
  <c r="K54" i="3"/>
  <c r="I54" i="3" a="1"/>
  <c r="I54" i="3"/>
  <c r="K164" i="3" a="1"/>
  <c r="K164" i="3"/>
  <c r="I164" i="3" a="1"/>
  <c r="I164" i="3"/>
  <c r="I348" i="3" a="1"/>
  <c r="I348" i="3"/>
  <c r="I36" i="4" a="1"/>
  <c r="I36" i="4"/>
  <c r="G36" i="4" a="1"/>
  <c r="G36" i="4"/>
  <c r="K348" i="3" a="1"/>
  <c r="K348" i="3"/>
  <c r="K229" i="3" a="1"/>
  <c r="K229" i="3"/>
  <c r="I166" i="3" a="1"/>
  <c r="I166" i="3"/>
  <c r="K166" i="3" a="1"/>
  <c r="K166" i="3"/>
  <c r="I229" i="3" a="1"/>
  <c r="I229" i="3"/>
  <c r="G20" i="4" a="1"/>
  <c r="G20" i="4"/>
  <c r="I20" i="4" a="1"/>
  <c r="I20" i="4"/>
  <c r="K3" i="3" a="1"/>
  <c r="K3" i="3"/>
  <c r="I3" i="3" a="1"/>
  <c r="I3" i="3"/>
  <c r="I134" i="3" a="1"/>
  <c r="I134" i="3"/>
  <c r="K134" i="3" a="1"/>
  <c r="K134" i="3"/>
  <c r="K124" i="3" a="1"/>
  <c r="K124" i="3"/>
  <c r="G34" i="4" a="1"/>
  <c r="G34" i="4"/>
  <c r="I124" i="3" a="1"/>
  <c r="I124" i="3"/>
  <c r="I34" i="4" a="1"/>
  <c r="I34" i="4"/>
  <c r="G59" i="4" a="1"/>
  <c r="G59" i="4"/>
  <c r="I187" i="3" a="1"/>
  <c r="I187" i="3" l="1"/>
  <c r="K187" i="3" a="1"/>
  <c r="K187" i="3" l="1"/>
  <c r="I59" i="4" a="1"/>
  <c r="I59" i="4"/>
  <c r="K318" i="3" a="1"/>
  <c r="K318" i="3"/>
  <c r="I292" i="3" a="1"/>
  <c r="I292" i="3"/>
  <c r="I60" i="4" a="1"/>
  <c r="I60" i="4"/>
  <c r="K292" i="3" a="1"/>
  <c r="K292" i="3"/>
  <c r="I318" i="3" a="1"/>
  <c r="I318" i="3"/>
  <c r="G60" i="4" a="1"/>
  <c r="G60" i="4"/>
  <c r="K334" i="3" a="1"/>
  <c r="K334" i="3"/>
  <c r="I334" i="3" a="1"/>
  <c r="I334" i="3"/>
  <c r="K116" i="3" a="1"/>
  <c r="K116" i="3"/>
  <c r="I135" i="3" a="1"/>
  <c r="I135" i="3"/>
  <c r="K135" i="3" a="1"/>
  <c r="K135" i="3"/>
  <c r="I116" i="3" a="1"/>
  <c r="I116" i="3"/>
  <c r="K126" i="3" a="1"/>
  <c r="K126" i="3"/>
  <c r="I126" i="3" a="1"/>
  <c r="I126" i="3"/>
  <c r="K89" i="3" a="1"/>
  <c r="K89" i="3"/>
  <c r="I163" i="3" a="1"/>
  <c r="I163" i="3"/>
  <c r="K163" i="3" a="1"/>
  <c r="K163" i="3"/>
  <c r="I89" i="3" a="1"/>
  <c r="I89" i="3"/>
  <c r="I5" i="3" a="1"/>
  <c r="I5" i="3"/>
  <c r="K5" i="3" a="1"/>
  <c r="K5" i="3"/>
  <c r="K154" i="3" a="1"/>
  <c r="K154" i="3"/>
  <c r="I154" i="3" a="1"/>
  <c r="I154" i="3"/>
  <c r="I288" i="3" a="1"/>
  <c r="I288" i="3"/>
  <c r="K288" i="3" a="1"/>
  <c r="K288" i="3"/>
  <c r="G61" i="4" a="1"/>
  <c r="G61" i="4"/>
  <c r="I61" i="4" a="1"/>
  <c r="I61" i="4"/>
  <c r="K308" i="3" a="1"/>
  <c r="K308" i="3"/>
  <c r="I125" i="3" a="1"/>
  <c r="I125" i="3"/>
  <c r="K78" i="3" a="1"/>
  <c r="K78" i="3"/>
  <c r="I308" i="3" a="1"/>
  <c r="I308" i="3"/>
  <c r="K125" i="3" a="1"/>
  <c r="K125" i="3"/>
  <c r="I78" i="3" a="1"/>
  <c r="I78" i="3"/>
  <c r="K33" i="3" a="1"/>
  <c r="K33" i="3"/>
  <c r="I16" i="3" a="1"/>
  <c r="I16" i="3"/>
  <c r="I33" i="3" a="1"/>
  <c r="I33" i="3"/>
  <c r="K16" i="3" a="1"/>
  <c r="K16" i="3"/>
  <c r="K305" i="3" a="1"/>
  <c r="K305" i="3"/>
  <c r="I305" i="3" a="1"/>
  <c r="I305" i="3"/>
  <c r="K112" i="3" a="1"/>
  <c r="K112" i="3"/>
  <c r="I112" i="3" a="1"/>
  <c r="I112" i="3"/>
  <c r="I50" i="3" a="1"/>
  <c r="I50" i="3"/>
  <c r="I12" i="3" a="1"/>
  <c r="I12" i="3"/>
  <c r="K12" i="3" a="1"/>
  <c r="K12" i="3"/>
  <c r="K50" i="3" a="1"/>
  <c r="K50" i="3"/>
  <c r="I191" i="3" a="1"/>
  <c r="I191" i="3"/>
  <c r="I162" i="3" a="1"/>
  <c r="I162" i="3"/>
  <c r="K191" i="3" a="1"/>
  <c r="K191" i="3"/>
  <c r="K162" i="3" a="1"/>
  <c r="K162" i="3"/>
  <c r="K161" i="3" a="1"/>
  <c r="K161" i="3"/>
  <c r="I47" i="3" a="1"/>
  <c r="I47" i="3"/>
  <c r="I161" i="3" a="1"/>
  <c r="I161" i="3"/>
  <c r="K47" i="3" a="1"/>
  <c r="K47" i="3"/>
  <c r="K8" i="3" a="1"/>
  <c r="K8" i="3"/>
  <c r="I279" i="3" a="1"/>
  <c r="I279" i="3"/>
  <c r="K279" i="3" a="1"/>
  <c r="K279" i="3"/>
  <c r="I8" i="3" a="1"/>
  <c r="I8" i="3"/>
  <c r="I40" i="3" a="1"/>
  <c r="I40" i="3"/>
  <c r="K40" i="3" a="1"/>
  <c r="K40" i="3"/>
  <c r="G47" i="4" a="1"/>
  <c r="G47" i="4"/>
  <c r="I268" i="3" a="1"/>
  <c r="I268" i="3"/>
  <c r="I47" i="4" a="1"/>
  <c r="I47" i="4"/>
  <c r="K268" i="3" a="1"/>
  <c r="K268" i="3"/>
  <c r="K240" i="3" a="1"/>
  <c r="K240" i="3"/>
  <c r="I240" i="3" a="1"/>
  <c r="I240" i="3"/>
  <c r="K284" i="3" a="1"/>
  <c r="K284" i="3"/>
  <c r="I284" i="3" a="1"/>
  <c r="I284" i="3"/>
  <c r="K64" i="3" a="1"/>
  <c r="K64" i="3"/>
  <c r="I64" i="3" a="1"/>
  <c r="I64" i="3"/>
  <c r="I32" i="4" a="1"/>
  <c r="I32" i="4"/>
  <c r="I343" i="3" a="1"/>
  <c r="I343" i="3" l="1"/>
  <c r="G32" i="4" a="1"/>
  <c r="G32" i="4"/>
  <c r="K343" i="3" a="1"/>
  <c r="K343" i="3" l="1"/>
  <c r="K114" i="3" a="1"/>
  <c r="K114" i="3"/>
  <c r="I114" i="3" a="1"/>
  <c r="I114" i="3"/>
  <c r="G37" i="4" a="1"/>
  <c r="G37" i="4" l="1"/>
  <c r="I37" i="4" a="1"/>
  <c r="I37" i="4"/>
  <c r="I30" i="3" l="1" a="1"/>
  <c r="I30" i="3" l="1"/>
  <c r="K30" i="3" a="1"/>
  <c r="K30" i="3" l="1"/>
  <c r="K81" i="3" a="1"/>
  <c r="K81" i="3"/>
  <c r="I81" i="3" a="1"/>
  <c r="I81" i="3"/>
  <c r="K293" i="3" a="1"/>
  <c r="K293" i="3"/>
  <c r="I293" i="3" a="1"/>
  <c r="I293" i="3"/>
  <c r="I29" i="4" a="1"/>
  <c r="I29" i="4"/>
  <c r="G29" i="4" a="1"/>
  <c r="G29" i="4"/>
  <c r="K302" i="3" a="1"/>
  <c r="K302" i="3"/>
  <c r="K137" i="3" a="1"/>
  <c r="K137" i="3"/>
  <c r="I137" i="3" a="1"/>
  <c r="I137" i="3"/>
  <c r="I302" i="3" a="1"/>
  <c r="I302" i="3"/>
  <c r="K25" i="3" a="1"/>
  <c r="K25" i="3"/>
  <c r="G15" i="4" a="1"/>
  <c r="G15" i="4"/>
  <c r="I25" i="3" a="1"/>
  <c r="I25" i="3"/>
  <c r="I15" i="4" a="1"/>
  <c r="I15" i="4"/>
  <c r="K102" i="3" a="1"/>
  <c r="K102" i="3"/>
  <c r="I102" i="3" a="1"/>
  <c r="I102" i="3"/>
  <c r="I148" i="3" a="1"/>
  <c r="I148" i="3"/>
  <c r="K9" i="3" a="1"/>
  <c r="K9" i="3"/>
  <c r="I55" i="3" a="1"/>
  <c r="I55" i="3"/>
  <c r="K55" i="3" a="1"/>
  <c r="K55" i="3"/>
  <c r="I9" i="3" a="1"/>
  <c r="I9" i="3"/>
  <c r="K148" i="3" a="1"/>
  <c r="K148" i="3"/>
  <c r="I39" i="4" a="1"/>
  <c r="I39" i="4"/>
  <c r="I14" i="4" a="1"/>
  <c r="I14" i="4"/>
  <c r="P5" i="2" a="1"/>
  <c r="P5" i="2" l="1"/>
  <c r="G39" i="4" a="1"/>
  <c r="G39" i="4" l="1"/>
  <c r="N5" i="2" a="1"/>
  <c r="N5" i="2"/>
  <c r="G14" i="4" a="1"/>
  <c r="G14" i="4"/>
  <c r="I110" i="3" a="1"/>
  <c r="I110" i="3"/>
  <c r="K110" i="3" a="1"/>
  <c r="K110" i="3"/>
  <c r="I179" i="3" a="1"/>
  <c r="I179" i="3"/>
  <c r="I196" i="3" a="1"/>
  <c r="I196" i="3"/>
  <c r="K179" i="3" a="1"/>
  <c r="K179" i="3"/>
  <c r="K196" i="3" a="1"/>
  <c r="K196" i="3"/>
  <c r="G35" i="4" a="1"/>
  <c r="G35" i="4"/>
  <c r="I35" i="4" a="1"/>
  <c r="I35" i="4"/>
  <c r="K262" i="3" a="1"/>
  <c r="K262" i="3"/>
  <c r="K121" i="3" a="1"/>
  <c r="K121" i="3"/>
  <c r="I262" i="3" a="1"/>
  <c r="I262" i="3"/>
  <c r="I121" i="3" a="1"/>
  <c r="I121" i="3"/>
  <c r="G26" i="4" a="1"/>
  <c r="G26" i="4"/>
  <c r="I197" i="3" a="1"/>
  <c r="I197" i="3"/>
  <c r="I68" i="3" a="1"/>
  <c r="I68" i="3"/>
  <c r="I26" i="4" a="1"/>
  <c r="I26" i="4"/>
  <c r="K197" i="3" a="1"/>
  <c r="K197" i="3"/>
  <c r="K68" i="3" a="1"/>
  <c r="K68" i="3"/>
  <c r="K130" i="3" a="1"/>
  <c r="K130" i="3"/>
  <c r="I130" i="3" a="1"/>
  <c r="I130" i="3"/>
  <c r="K204" i="3" a="1"/>
  <c r="K204" i="3"/>
  <c r="I204" i="3" l="1" a="1"/>
  <c r="I204" i="3" l="1"/>
  <c r="I301" i="3" a="1"/>
  <c r="I301" i="3" l="1"/>
  <c r="K301" i="3" a="1"/>
  <c r="K301" i="3"/>
  <c r="K274" i="3" a="1"/>
  <c r="K274" i="3"/>
  <c r="K300" i="3" a="1"/>
  <c r="K300" i="3"/>
  <c r="I338" i="3" a="1"/>
  <c r="I338" i="3"/>
  <c r="K338" i="3" a="1"/>
  <c r="K338" i="3"/>
  <c r="I274" i="3" a="1"/>
  <c r="I274" i="3"/>
  <c r="I300" i="3" a="1"/>
  <c r="I300" i="3"/>
  <c r="I313" i="3" a="1"/>
  <c r="I313" i="3"/>
  <c r="K313" i="3" a="1"/>
  <c r="K313" i="3"/>
  <c r="I95" i="3" a="1"/>
  <c r="I95" i="3"/>
  <c r="K345" i="3" a="1"/>
  <c r="K345" i="3"/>
  <c r="K95" i="3" a="1"/>
  <c r="K95" i="3"/>
  <c r="I345" i="3" a="1"/>
  <c r="I345" i="3"/>
  <c r="K74" i="3" a="1"/>
  <c r="K74" i="3"/>
  <c r="I25" i="4" a="1"/>
  <c r="I25" i="4"/>
  <c r="I74" i="3" l="1" a="1"/>
  <c r="I74" i="3" l="1"/>
  <c r="G25" i="4" a="1"/>
  <c r="G25" i="4"/>
  <c r="K23" i="3" a="1"/>
  <c r="K23" i="3"/>
  <c r="I132" i="3" a="1"/>
  <c r="I132" i="3"/>
  <c r="K132" i="3" a="1"/>
  <c r="K132" i="3"/>
  <c r="I23" i="3" a="1"/>
  <c r="I23" i="3"/>
  <c r="K106" i="3" a="1"/>
  <c r="K106" i="3"/>
  <c r="I21" i="4" a="1"/>
  <c r="I21" i="4"/>
  <c r="K278" i="3" a="1"/>
  <c r="K278" i="3"/>
  <c r="I278" i="3" a="1"/>
  <c r="I278" i="3"/>
  <c r="G21" i="4" a="1"/>
  <c r="G21" i="4"/>
  <c r="I106" i="3" a="1"/>
  <c r="I106" i="3"/>
  <c r="K333" i="3" a="1"/>
  <c r="K333" i="3"/>
  <c r="I333" i="3" a="1"/>
  <c r="I333" i="3"/>
  <c r="K307" i="3" a="1"/>
  <c r="K307" i="3"/>
  <c r="I174" i="3" a="1"/>
  <c r="I174" i="3"/>
  <c r="I307" i="3" a="1"/>
  <c r="I307" i="3"/>
  <c r="K174" i="3" a="1"/>
  <c r="K174" i="3"/>
  <c r="K244" i="3" a="1"/>
  <c r="K244" i="3"/>
  <c r="K260" i="3" a="1"/>
  <c r="K260" i="3"/>
  <c r="I244" i="3" a="1"/>
  <c r="I244" i="3"/>
  <c r="I260" i="3" a="1"/>
  <c r="I260" i="3"/>
  <c r="K341" i="3" a="1"/>
  <c r="K341" i="3"/>
  <c r="I341" i="3" a="1"/>
  <c r="I341" i="3"/>
  <c r="I291" i="3" a="1"/>
  <c r="I291" i="3"/>
  <c r="K170" i="3" a="1"/>
  <c r="K170" i="3"/>
  <c r="K291" i="3" l="1" a="1"/>
  <c r="K291" i="3"/>
  <c r="I170" i="3" a="1"/>
  <c r="I170" i="3"/>
  <c r="I52" i="3" a="1"/>
  <c r="I52" i="3" l="1"/>
  <c r="K52" i="3" a="1"/>
  <c r="K52" i="3"/>
  <c r="I149" i="3" a="1"/>
  <c r="I149" i="3"/>
  <c r="I42" i="4" a="1"/>
  <c r="I42" i="4"/>
  <c r="G42" i="4" a="1"/>
  <c r="G42" i="4"/>
  <c r="K149" i="3" a="1"/>
  <c r="K149" i="3"/>
  <c r="K117" i="3" a="1"/>
  <c r="K117" i="3"/>
  <c r="I117" i="3" a="1"/>
  <c r="I117" i="3"/>
  <c r="K107" i="3" a="1"/>
  <c r="K107" i="3"/>
  <c r="I107" i="3" a="1"/>
  <c r="I107" i="3"/>
  <c r="K265" i="3" a="1"/>
  <c r="K265" i="3"/>
  <c r="G43" i="4" a="1"/>
  <c r="G43" i="4"/>
  <c r="I265" i="3" a="1"/>
  <c r="I265" i="3"/>
  <c r="I43" i="4" a="1"/>
  <c r="I43" i="4"/>
  <c r="I53" i="4" a="1"/>
  <c r="I53" i="4"/>
  <c r="I190" i="3" a="1"/>
  <c r="I190" i="3"/>
  <c r="K190" i="3" a="1"/>
  <c r="K190" i="3"/>
  <c r="G53" i="4" a="1"/>
  <c r="G53" i="4"/>
  <c r="I123" i="3" a="1"/>
  <c r="I123" i="3"/>
  <c r="K65" i="3" a="1"/>
  <c r="K65" i="3"/>
  <c r="I65" i="3" a="1"/>
  <c r="I65" i="3"/>
  <c r="K123" i="3" a="1"/>
  <c r="K123" i="3"/>
  <c r="K287" i="3" l="1" a="1"/>
  <c r="K287" i="3"/>
  <c r="K88" i="3" a="1"/>
  <c r="K88" i="3"/>
  <c r="I287" i="3" a="1"/>
  <c r="I287" i="3"/>
  <c r="I88" i="3" a="1"/>
  <c r="I88" i="3"/>
  <c r="G7" i="4" a="1"/>
  <c r="G7" i="4"/>
  <c r="K222" i="3" a="1"/>
  <c r="K222" i="3"/>
  <c r="I222" i="3" a="1"/>
  <c r="I222" i="3"/>
  <c r="I7" i="4" a="1"/>
  <c r="I7" i="4"/>
  <c r="I224" i="3" a="1"/>
  <c r="I224" i="3"/>
  <c r="K224" i="3" a="1"/>
  <c r="K224" i="3"/>
  <c r="G4" i="4" a="1"/>
  <c r="G4" i="4"/>
  <c r="I4" i="4" a="1"/>
  <c r="I4" i="4"/>
  <c r="I168" i="3" a="1"/>
  <c r="I168" i="3"/>
  <c r="K168" i="3" a="1"/>
  <c r="K168" i="3"/>
  <c r="I228" i="3" a="1"/>
  <c r="I228" i="3"/>
  <c r="K228" i="3" a="1"/>
  <c r="K228" i="3"/>
  <c r="K73" i="3" l="1" a="1"/>
  <c r="K73" i="3" l="1"/>
  <c r="I73" i="3" a="1"/>
  <c r="I73" i="3"/>
  <c r="I96" i="3" a="1"/>
  <c r="I96" i="3" l="1"/>
  <c r="K96" i="3" a="1"/>
  <c r="K96" i="3"/>
  <c r="I146" i="3" a="1"/>
  <c r="I146" i="3" l="1"/>
  <c r="K299" i="3" a="1"/>
  <c r="K299" i="3"/>
  <c r="K146" i="3" a="1"/>
  <c r="K146" i="3"/>
  <c r="I299" i="3" a="1"/>
  <c r="I299" i="3"/>
  <c r="I131" i="3" l="1" a="1"/>
  <c r="I131" i="3" l="1"/>
  <c r="K131" i="3" a="1"/>
  <c r="K131" i="3"/>
  <c r="I58" i="4" a="1"/>
  <c r="I58" i="4"/>
  <c r="G58" i="4" a="1"/>
  <c r="G58" i="4"/>
  <c r="K86" i="3" a="1"/>
  <c r="K86" i="3"/>
  <c r="K337" i="3" a="1"/>
  <c r="K337" i="3"/>
  <c r="K144" i="3" a="1"/>
  <c r="K144" i="3"/>
  <c r="I337" i="3" a="1"/>
  <c r="I337" i="3"/>
  <c r="I144" i="3" a="1"/>
  <c r="I144" i="3"/>
  <c r="I86" i="3" a="1"/>
  <c r="I86" i="3"/>
  <c r="K220" i="3" a="1"/>
  <c r="K220" i="3"/>
  <c r="I220" i="3" a="1"/>
  <c r="I220" i="3"/>
  <c r="K118" i="3" l="1" a="1"/>
  <c r="K118" i="3" l="1"/>
  <c r="K351" i="3" a="1"/>
  <c r="K351" i="3"/>
  <c r="I118" i="3" a="1"/>
  <c r="I118" i="3"/>
  <c r="I351" i="3" a="1"/>
  <c r="I351" i="3"/>
  <c r="K147" i="3" a="1"/>
  <c r="K147" i="3"/>
  <c r="I147" i="3" a="1"/>
  <c r="I147" i="3"/>
  <c r="I51" i="3" a="1"/>
  <c r="I51" i="3"/>
  <c r="K181" i="3" a="1"/>
  <c r="K181" i="3"/>
  <c r="I181" i="3" a="1"/>
  <c r="I181" i="3" l="1"/>
  <c r="K51" i="3" a="1"/>
  <c r="K51" i="3" l="1"/>
  <c r="I53" i="3" a="1"/>
  <c r="I53" i="3"/>
  <c r="K53" i="3" a="1"/>
  <c r="K53" i="3"/>
  <c r="I48" i="4" a="1"/>
  <c r="I48" i="4"/>
  <c r="G48" i="4" a="1"/>
  <c r="G48" i="4"/>
  <c r="K35" i="3" a="1"/>
  <c r="K35" i="3"/>
  <c r="I212" i="3" a="1"/>
  <c r="I212" i="3"/>
  <c r="K212" i="3" a="1"/>
  <c r="K212" i="3"/>
  <c r="I35" i="3" a="1"/>
  <c r="I35" i="3"/>
  <c r="I317" i="3" a="1"/>
  <c r="I317" i="3"/>
  <c r="K317" i="3" l="1" a="1"/>
  <c r="K317" i="3" l="1"/>
  <c r="K289" i="3" a="1"/>
  <c r="K289" i="3"/>
  <c r="K109" i="3" a="1"/>
  <c r="K109" i="3"/>
  <c r="I289" i="3" a="1"/>
  <c r="I289" i="3"/>
  <c r="I109" i="3" a="1"/>
  <c r="I109" i="3"/>
  <c r="I267" i="3" a="1"/>
  <c r="I267" i="3"/>
  <c r="K159" i="3" a="1"/>
  <c r="K159" i="3"/>
  <c r="K267" i="3" a="1"/>
  <c r="K267" i="3"/>
  <c r="I159" i="3" a="1"/>
  <c r="I159" i="3"/>
  <c r="I213" i="3" a="1"/>
  <c r="I213" i="3"/>
  <c r="K324" i="3" a="1"/>
  <c r="K324" i="3"/>
  <c r="K213" i="3" a="1"/>
  <c r="K213" i="3"/>
  <c r="I324" i="3" a="1"/>
  <c r="I324" i="3"/>
  <c r="K62" i="3" a="1"/>
  <c r="K62" i="3"/>
  <c r="I62" i="3" a="1"/>
  <c r="I62" i="3"/>
  <c r="K290" i="3" a="1"/>
  <c r="K290" i="3"/>
  <c r="K199" i="3" a="1"/>
  <c r="K199" i="3"/>
  <c r="I199" i="3" a="1"/>
  <c r="I199" i="3"/>
  <c r="I290" i="3" a="1"/>
  <c r="I290" i="3"/>
  <c r="I38" i="3" a="1"/>
  <c r="I38" i="3"/>
  <c r="I142" i="3" a="1"/>
  <c r="I142" i="3"/>
  <c r="G22" i="4" a="1"/>
  <c r="G22" i="4"/>
  <c r="K142" i="3" a="1"/>
  <c r="K142" i="3"/>
  <c r="K38" i="3" a="1"/>
  <c r="K38" i="3"/>
  <c r="I22" i="4" a="1"/>
  <c r="I22" i="4"/>
  <c r="K44" i="3" a="1"/>
  <c r="K44" i="3"/>
  <c r="I44" i="3" a="1"/>
  <c r="I44" i="3"/>
  <c r="G33" i="4" a="1"/>
  <c r="G33" i="4"/>
  <c r="I257" i="3" a="1"/>
  <c r="I257" i="3"/>
  <c r="I44" i="4" a="1"/>
  <c r="I44" i="4"/>
  <c r="K257" i="3" a="1"/>
  <c r="K257" i="3"/>
  <c r="I33" i="4" a="1"/>
  <c r="I33" i="4"/>
  <c r="G44" i="4" a="1"/>
  <c r="G44" i="4"/>
  <c r="G10" i="4" a="1"/>
  <c r="G10" i="4"/>
  <c r="I252" i="3" a="1"/>
  <c r="I252" i="3"/>
  <c r="I10" i="4" a="1"/>
  <c r="I10" i="4"/>
  <c r="K252" i="3" a="1"/>
  <c r="K252" i="3"/>
  <c r="I36" i="3" a="1"/>
  <c r="I36" i="3"/>
  <c r="K97" i="3" a="1"/>
  <c r="K97" i="3"/>
  <c r="I97" i="3" a="1"/>
  <c r="I97" i="3"/>
  <c r="K36" i="3" a="1"/>
  <c r="K36" i="3"/>
  <c r="I282" i="3" a="1"/>
  <c r="I282" i="3"/>
  <c r="K282" i="3" a="1"/>
  <c r="K282" i="3"/>
  <c r="G31" i="4" a="1"/>
  <c r="G31" i="4"/>
  <c r="I31" i="4" a="1"/>
  <c r="I31" i="4"/>
  <c r="K34" i="3" a="1"/>
  <c r="K34" i="3"/>
  <c r="I34" i="3" a="1"/>
  <c r="I34" i="3"/>
  <c r="I49" i="3" a="1"/>
  <c r="I49" i="3"/>
  <c r="K49" i="3" a="1"/>
  <c r="K49" i="3"/>
  <c r="K120" i="3" a="1"/>
  <c r="K120" i="3"/>
  <c r="K315" i="3" a="1"/>
  <c r="K315" i="3"/>
  <c r="I120" i="3" a="1"/>
  <c r="I120" i="3"/>
  <c r="I315" i="3" a="1"/>
  <c r="I315" i="3"/>
  <c r="P71" i="2" l="1" a="1"/>
  <c r="P71" i="2" l="1"/>
  <c r="N71" i="2" a="1"/>
  <c r="N71" i="2" l="1"/>
  <c r="K101" i="3" l="1" a="1"/>
  <c r="K101" i="3" l="1"/>
  <c r="I101" i="3" a="1"/>
  <c r="I101" i="3"/>
  <c r="K83" i="3" a="1"/>
  <c r="K83" i="3"/>
  <c r="I83" i="3" a="1"/>
  <c r="I83" i="3"/>
  <c r="I41" i="4" a="1"/>
  <c r="I41" i="4"/>
  <c r="G41" i="4" a="1"/>
  <c r="G41" i="4"/>
  <c r="I27" i="3" a="1"/>
  <c r="I27" i="3"/>
  <c r="I42" i="3" a="1"/>
  <c r="I42" i="3"/>
  <c r="K27" i="3" l="1" a="1"/>
  <c r="K27" i="3" l="1"/>
  <c r="K42" i="3" a="1"/>
  <c r="K42" i="3"/>
  <c r="I192" i="3" a="1"/>
  <c r="I192" i="3"/>
  <c r="K310" i="3" a="1"/>
  <c r="K310" i="3"/>
  <c r="I75" i="3" a="1"/>
  <c r="I75" i="3"/>
  <c r="K75" i="3" a="1"/>
  <c r="K75" i="3"/>
  <c r="K192" i="3" a="1"/>
  <c r="K192" i="3"/>
  <c r="I310" i="3" a="1"/>
  <c r="I310" i="3"/>
  <c r="K200" i="3" a="1"/>
  <c r="K200" i="3"/>
  <c r="I200" i="3" a="1"/>
  <c r="I200" i="3"/>
  <c r="K319" i="3" l="1" a="1"/>
  <c r="K319" i="3"/>
  <c r="I319" i="3" a="1"/>
  <c r="I319" i="3"/>
  <c r="K261" i="3" a="1"/>
  <c r="K261" i="3"/>
  <c r="I261" i="3" a="1"/>
  <c r="I261" i="3"/>
  <c r="I235" i="3" a="1"/>
  <c r="I235" i="3"/>
  <c r="K235" i="3" l="1" a="1"/>
  <c r="K235" i="3" l="1"/>
  <c r="K253" i="3" a="1"/>
  <c r="K253" i="3"/>
  <c r="I253" i="3" a="1"/>
  <c r="I253" i="3"/>
  <c r="I108" i="3" a="1"/>
  <c r="I108" i="3"/>
  <c r="K108" i="3" a="1"/>
  <c r="K108" i="3"/>
  <c r="K264" i="3" a="1"/>
  <c r="K264" i="3"/>
  <c r="I264" i="3" a="1"/>
  <c r="I264" i="3"/>
  <c r="K215" i="3" a="1"/>
  <c r="K215" i="3"/>
  <c r="I331" i="3" a="1"/>
  <c r="I331" i="3"/>
  <c r="I6" i="3" a="1"/>
  <c r="I6" i="3"/>
  <c r="I215" i="3" a="1"/>
  <c r="I215" i="3"/>
  <c r="K6" i="3" a="1"/>
  <c r="K6" i="3"/>
  <c r="K331" i="3" a="1"/>
  <c r="K331" i="3"/>
  <c r="I43" i="3" a="1"/>
  <c r="I43" i="3"/>
  <c r="K281" i="3" a="1"/>
  <c r="K281" i="3"/>
  <c r="I281" i="3" a="1"/>
  <c r="I281" i="3"/>
  <c r="K43" i="3" a="1"/>
  <c r="K43" i="3"/>
  <c r="K194" i="3" a="1"/>
  <c r="K194" i="3" l="1"/>
  <c r="I194" i="3" a="1"/>
  <c r="I194" i="3"/>
  <c r="I31" i="3" a="1"/>
  <c r="I31" i="3" l="1"/>
  <c r="K31" i="3" a="1"/>
  <c r="K31" i="3"/>
  <c r="K58" i="3" a="1"/>
  <c r="K58" i="3"/>
  <c r="G23" i="4" a="1"/>
  <c r="G23" i="4"/>
  <c r="G57" i="4" a="1"/>
  <c r="G57" i="4"/>
  <c r="I58" i="3" a="1"/>
  <c r="I58" i="3"/>
  <c r="I23" i="4" a="1"/>
  <c r="I23" i="4"/>
  <c r="I57" i="4" a="1"/>
  <c r="I57" i="4"/>
  <c r="K98" i="3" a="1"/>
  <c r="K98" i="3"/>
  <c r="I98" i="3" a="1"/>
  <c r="I98" i="3"/>
  <c r="K326" i="3" a="1"/>
  <c r="K326" i="3"/>
  <c r="I326" i="3" a="1"/>
  <c r="I326" i="3"/>
  <c r="K323" i="3" a="1"/>
  <c r="K323" i="3"/>
  <c r="I323" i="3" a="1"/>
  <c r="I323" i="3"/>
  <c r="I320" i="3" a="1"/>
  <c r="I320" i="3"/>
  <c r="K320" i="3" a="1"/>
  <c r="K320" i="3"/>
  <c r="K234" i="3" a="1"/>
  <c r="K234" i="3"/>
  <c r="I346" i="3" a="1"/>
  <c r="I346" i="3"/>
  <c r="N16" i="2" a="1"/>
  <c r="N16" i="2"/>
  <c r="K171" i="3" a="1"/>
  <c r="K171" i="3"/>
  <c r="P16" i="2" a="1"/>
  <c r="P16" i="2"/>
  <c r="I234" i="3" a="1"/>
  <c r="I234" i="3"/>
  <c r="K346" i="3" a="1"/>
  <c r="K346" i="3"/>
  <c r="I171" i="3" a="1"/>
  <c r="I171" i="3"/>
  <c r="K237" i="3" a="1"/>
  <c r="K237" i="3"/>
  <c r="I237" i="3" a="1"/>
  <c r="I237" i="3"/>
  <c r="K325" i="3" a="1"/>
  <c r="K325" i="3"/>
  <c r="I325" i="3" a="1"/>
  <c r="I325" i="3"/>
  <c r="K275" i="3" a="1"/>
  <c r="K275" i="3"/>
  <c r="K18" i="3" a="1"/>
  <c r="K18" i="3"/>
  <c r="K239" i="3" a="1"/>
  <c r="K239" i="3"/>
  <c r="K218" i="3" a="1"/>
  <c r="K218" i="3"/>
  <c r="I218" i="3" a="1"/>
  <c r="I218" i="3"/>
  <c r="I275" i="3" a="1"/>
  <c r="I275" i="3"/>
  <c r="I239" i="3" a="1"/>
  <c r="I239" i="3"/>
  <c r="I18" i="3" a="1"/>
  <c r="I18" i="3"/>
  <c r="I182" i="3" a="1"/>
  <c r="I182" i="3"/>
  <c r="K182" i="3" a="1"/>
  <c r="K182" i="3"/>
  <c r="G54" i="4" a="1"/>
  <c r="G54" i="4"/>
  <c r="I54" i="4" a="1"/>
  <c r="I54" i="4"/>
  <c r="I122" i="3" a="1"/>
  <c r="I122" i="3" l="1"/>
  <c r="I340" i="3" a="1"/>
  <c r="I340" i="3"/>
  <c r="K151" i="3" a="1"/>
  <c r="K151" i="3"/>
  <c r="I151" i="3" a="1"/>
  <c r="I151" i="3"/>
  <c r="K122" i="3" a="1"/>
  <c r="K122" i="3" l="1"/>
  <c r="K340" i="3" a="1"/>
  <c r="K340" i="3"/>
  <c r="G17" i="4" a="1"/>
  <c r="G17" i="4"/>
  <c r="I17" i="4" a="1"/>
  <c r="I17" i="4" l="1"/>
  <c r="K270" i="3" a="1"/>
  <c r="K270" i="3" l="1"/>
  <c r="K82" i="3" a="1"/>
  <c r="K82" i="3"/>
  <c r="I82" i="3" a="1"/>
  <c r="I82" i="3" l="1"/>
  <c r="I270" i="3" a="1"/>
  <c r="I270" i="3" l="1"/>
  <c r="K155" i="3" a="1"/>
  <c r="K155" i="3"/>
  <c r="K176" i="3" a="1"/>
  <c r="K176" i="3"/>
  <c r="I155" i="3" a="1"/>
  <c r="I155" i="3" l="1"/>
  <c r="I176" i="3" a="1"/>
  <c r="I176" i="3"/>
  <c r="K156" i="3" a="1"/>
  <c r="K156" i="3" l="1"/>
  <c r="I156" i="3" a="1"/>
  <c r="I156" i="3"/>
  <c r="I303" i="3" a="1"/>
  <c r="I303" i="3"/>
  <c r="P22" i="2" a="1"/>
  <c r="P22" i="2"/>
  <c r="K303" i="3" a="1"/>
  <c r="K303" i="3"/>
  <c r="N22" i="2" a="1"/>
  <c r="N22" i="2"/>
  <c r="I180" i="3" a="1"/>
  <c r="I180" i="3"/>
  <c r="P10" i="2" a="1"/>
  <c r="P10" i="2"/>
  <c r="N10" i="2" a="1"/>
  <c r="N10" i="2"/>
  <c r="K180" i="3" a="1"/>
  <c r="K180" i="3"/>
  <c r="I219" i="3" a="1"/>
  <c r="I219" i="3"/>
  <c r="I183" i="3" a="1"/>
  <c r="I183" i="3"/>
  <c r="K219" i="3" a="1"/>
  <c r="K219" i="3"/>
  <c r="K183" i="3" a="1"/>
  <c r="K183" i="3"/>
  <c r="I298" i="3" a="1"/>
  <c r="I298" i="3"/>
  <c r="K245" i="3" a="1"/>
  <c r="K245" i="3"/>
  <c r="K298" i="3" a="1"/>
  <c r="K298" i="3"/>
  <c r="I245" i="3" a="1"/>
  <c r="I245" i="3"/>
  <c r="K90" i="3" a="1"/>
  <c r="K90" i="3"/>
  <c r="I90" i="3" a="1"/>
  <c r="I90" i="3"/>
  <c r="I66" i="3" a="1"/>
  <c r="I66" i="3" l="1"/>
  <c r="K66" i="3" a="1"/>
  <c r="K66" i="3" l="1"/>
  <c r="I214" i="3" a="1"/>
  <c r="I214" i="3"/>
  <c r="P7" i="2" a="1"/>
  <c r="P7" i="2"/>
  <c r="N7" i="2" a="1"/>
  <c r="N7" i="2"/>
  <c r="K214" i="3" a="1"/>
  <c r="K214" i="3"/>
  <c r="P8" i="2" a="1"/>
  <c r="P8" i="2"/>
  <c r="I21" i="3" a="1"/>
  <c r="I21" i="3"/>
  <c r="I160" i="3" a="1"/>
  <c r="I160" i="3"/>
  <c r="N8" i="2" a="1"/>
  <c r="N8" i="2"/>
  <c r="K160" i="3" a="1"/>
  <c r="K160" i="3"/>
  <c r="K21" i="3" a="1"/>
  <c r="K21" i="3"/>
  <c r="I251" i="3" a="1"/>
  <c r="I251" i="3"/>
  <c r="K251" i="3" a="1"/>
  <c r="K251" i="3" l="1"/>
  <c r="G16" i="4" a="1"/>
  <c r="G16" i="4" l="1"/>
  <c r="I27" i="4" a="1"/>
  <c r="I27" i="4"/>
  <c r="I16" i="4" a="1"/>
  <c r="I16" i="4"/>
  <c r="G27" i="4" a="1"/>
  <c r="G27" i="4"/>
  <c r="I314" i="3" a="1"/>
  <c r="I314" i="3"/>
  <c r="K314" i="3" a="1"/>
  <c r="K314" i="3"/>
  <c r="I140" i="3" a="1"/>
  <c r="I140" i="3"/>
  <c r="I20" i="3" a="1"/>
  <c r="I20" i="3"/>
  <c r="I255" i="3" a="1"/>
  <c r="I255" i="3"/>
  <c r="K140" i="3" a="1"/>
  <c r="K140" i="3"/>
  <c r="K20" i="3" a="1"/>
  <c r="K20" i="3"/>
  <c r="K255" i="3" a="1"/>
  <c r="K255" i="3"/>
  <c r="K223" i="3" a="1"/>
  <c r="K223" i="3"/>
  <c r="I223" i="3" a="1"/>
  <c r="I223" i="3"/>
  <c r="N17" i="2" a="1"/>
  <c r="N17" i="2"/>
  <c r="P17" i="2" a="1"/>
  <c r="P17" i="2"/>
  <c r="I198" i="3" a="1"/>
  <c r="I198" i="3"/>
  <c r="K280" i="3" a="1"/>
  <c r="K280" i="3"/>
  <c r="I79" i="3" a="1"/>
  <c r="I79" i="3"/>
  <c r="K198" i="3" a="1"/>
  <c r="K198" i="3"/>
  <c r="I280" i="3" a="1"/>
  <c r="I280" i="3"/>
  <c r="K79" i="3" a="1"/>
  <c r="K79" i="3"/>
  <c r="K29" i="3" a="1"/>
  <c r="K29" i="3"/>
  <c r="I29" i="3" a="1"/>
  <c r="I29" i="3"/>
  <c r="K330" i="3" a="1"/>
  <c r="K330" i="3" l="1"/>
  <c r="I330" i="3" a="1"/>
  <c r="I330" i="3" l="1"/>
  <c r="I172" i="3" a="1"/>
  <c r="I172" i="3"/>
  <c r="K286" i="3" a="1"/>
  <c r="K286" i="3"/>
  <c r="K172" i="3" a="1"/>
  <c r="K172" i="3" l="1"/>
  <c r="I286" i="3" a="1"/>
  <c r="I286" i="3" l="1"/>
  <c r="I76" i="3" a="1"/>
  <c r="I76" i="3"/>
  <c r="K76" i="3" a="1"/>
  <c r="K76" i="3"/>
  <c r="K205" i="3" a="1"/>
  <c r="K205" i="3"/>
  <c r="K306" i="3" a="1"/>
  <c r="K306" i="3"/>
  <c r="I306" i="3" l="1" a="1"/>
  <c r="I306" i="3" l="1"/>
  <c r="I205" i="3" a="1"/>
  <c r="I205" i="3"/>
  <c r="I80" i="3" a="1"/>
  <c r="I80" i="3"/>
  <c r="K139" i="3" a="1"/>
  <c r="K139" i="3"/>
  <c r="K80" i="3" a="1"/>
  <c r="K80" i="3"/>
  <c r="I139" i="3" a="1"/>
  <c r="I139" i="3"/>
  <c r="K46" i="3" a="1"/>
  <c r="K46" i="3"/>
  <c r="K185" i="3" a="1"/>
  <c r="K185" i="3"/>
  <c r="I46" i="3" a="1"/>
  <c r="I46" i="3"/>
  <c r="I185" i="3" a="1"/>
  <c r="I185" i="3"/>
  <c r="I72" i="3" l="1" a="1"/>
  <c r="I72" i="3"/>
  <c r="K72" i="3" a="1"/>
  <c r="K72" i="3"/>
  <c r="I56" i="3" l="1" a="1"/>
  <c r="I56" i="3"/>
  <c r="K56" i="3" a="1"/>
  <c r="K56" i="3"/>
  <c r="K48" i="3" a="1"/>
  <c r="K48" i="3"/>
  <c r="I48" i="3" a="1"/>
  <c r="I48" i="3"/>
  <c r="K332" i="3" a="1"/>
  <c r="K332" i="3"/>
  <c r="I332" i="3" a="1"/>
  <c r="I332" i="3"/>
  <c r="I304" i="3" a="1"/>
  <c r="I304" i="3" l="1"/>
  <c r="K304" i="3" a="1"/>
  <c r="K304" i="3"/>
  <c r="K37" i="3" a="1"/>
  <c r="K37" i="3" l="1"/>
  <c r="I37" i="3" a="1"/>
  <c r="I37" i="3"/>
  <c r="K249" i="3" a="1"/>
  <c r="K249" i="3"/>
  <c r="I249" i="3" a="1"/>
  <c r="I249" i="3"/>
  <c r="I221" i="3" a="1"/>
  <c r="I221" i="3"/>
  <c r="K221" i="3" a="1"/>
  <c r="K221" i="3"/>
  <c r="I217" i="3" a="1"/>
  <c r="I217" i="3"/>
  <c r="K217" i="3" a="1"/>
  <c r="K217" i="3"/>
  <c r="AQ28" i="3" a="1"/>
  <c r="AQ28" i="3"/>
  <c r="AQ98" i="3" a="1"/>
  <c r="AQ98" i="3"/>
  <c r="AQ262" i="3" a="1"/>
  <c r="AQ262" i="3"/>
  <c r="K203" i="3" a="1"/>
  <c r="K203" i="3"/>
  <c r="I203" i="3" a="1"/>
  <c r="I203" i="3"/>
  <c r="I105" i="3" a="1"/>
  <c r="I105" i="3"/>
  <c r="K105" i="3" a="1"/>
  <c r="K105" i="3"/>
  <c r="K295" i="3" a="1"/>
  <c r="K295" i="3"/>
  <c r="I30" i="4" a="1"/>
  <c r="I30" i="4"/>
  <c r="I295" i="3" a="1"/>
  <c r="I295" i="3" l="1"/>
  <c r="G30" i="4" a="1"/>
  <c r="G30" i="4" l="1"/>
  <c r="K67" i="3" a="1"/>
  <c r="K67" i="3"/>
  <c r="I67" i="3" a="1"/>
  <c r="I67" i="3"/>
  <c r="K167" i="3" a="1"/>
  <c r="K167" i="3"/>
  <c r="K150" i="3" a="1"/>
  <c r="K150" i="3"/>
  <c r="K84" i="3" a="1"/>
  <c r="K84" i="3"/>
  <c r="I84" i="3" a="1"/>
  <c r="I84" i="3"/>
  <c r="I150" i="3" a="1"/>
  <c r="I150" i="3"/>
  <c r="I167" i="3" a="1"/>
  <c r="I167" i="3"/>
  <c r="K285" i="3" a="1"/>
  <c r="K285" i="3"/>
  <c r="I202" i="3" a="1"/>
  <c r="I202" i="3"/>
  <c r="I285" i="3" a="1"/>
  <c r="I285" i="3"/>
  <c r="K202" i="3" a="1"/>
  <c r="K202" i="3"/>
  <c r="AO9" i="4" a="1"/>
  <c r="AO9" i="4"/>
  <c r="AQ336" i="3" a="1"/>
  <c r="AQ336" i="3"/>
  <c r="K231" i="3" a="1"/>
  <c r="K231" i="3"/>
  <c r="I231" i="3" a="1"/>
  <c r="I231" i="3"/>
  <c r="AQ202" i="3" a="1"/>
  <c r="AQ202" i="3"/>
  <c r="AQ152" i="3" a="1"/>
  <c r="AQ152" i="3"/>
  <c r="I211" i="3" a="1"/>
  <c r="I211" i="3"/>
  <c r="K211" i="3" a="1"/>
  <c r="K211" i="3"/>
  <c r="G5" i="4" a="1"/>
  <c r="G5" i="4"/>
  <c r="I57" i="3" a="1"/>
  <c r="I57" i="3"/>
  <c r="K57" i="3" a="1"/>
  <c r="K57" i="3"/>
  <c r="I5" i="4" a="1"/>
  <c r="I5" i="4"/>
  <c r="AQ172" i="3" a="1"/>
  <c r="AQ172" i="3"/>
  <c r="AQ225" i="3" a="1"/>
  <c r="AQ225" i="3"/>
  <c r="I39" i="3" a="1"/>
  <c r="I39" i="3"/>
  <c r="I7" i="3" a="1"/>
  <c r="I7" i="3"/>
  <c r="K39" i="3" a="1"/>
  <c r="K39" i="3"/>
  <c r="K7" i="3" a="1"/>
  <c r="K7" i="3"/>
  <c r="I22" i="3" a="1"/>
  <c r="I22" i="3"/>
  <c r="I52" i="4" a="1"/>
  <c r="I52" i="4"/>
  <c r="K22" i="3" a="1"/>
  <c r="K22" i="3"/>
  <c r="G52" i="4" a="1"/>
  <c r="G52" i="4"/>
  <c r="AQ124" i="3" a="1"/>
  <c r="AQ124" i="3"/>
  <c r="AQ25" i="3" a="1"/>
  <c r="AQ25" i="3" l="1"/>
  <c r="K15" i="3" a="1"/>
  <c r="K15" i="3"/>
  <c r="K63" i="3" a="1"/>
  <c r="K63" i="3"/>
  <c r="I63" i="3" a="1"/>
  <c r="I63" i="3"/>
  <c r="I15" i="3" a="1"/>
  <c r="I15" i="3"/>
  <c r="I254" i="3" a="1"/>
  <c r="I254" i="3"/>
  <c r="I56" i="4" a="1"/>
  <c r="I56" i="4"/>
  <c r="K254" i="3" a="1"/>
  <c r="K254" i="3"/>
  <c r="G56" i="4" a="1"/>
  <c r="G56" i="4"/>
  <c r="K327" i="3" a="1"/>
  <c r="K327" i="3"/>
  <c r="I327" i="3" a="1"/>
  <c r="I327" i="3"/>
  <c r="AQ53" i="3" a="1"/>
  <c r="AQ53" i="3"/>
  <c r="K99" i="3" a="1"/>
  <c r="K99" i="3" l="1"/>
  <c r="K169" i="3" a="1"/>
  <c r="K169" i="3"/>
  <c r="I99" i="3" a="1"/>
  <c r="I99" i="3"/>
  <c r="I169" i="3" a="1"/>
  <c r="I169" i="3"/>
  <c r="I61" i="3" a="1"/>
  <c r="I61" i="3"/>
  <c r="K225" i="3" a="1"/>
  <c r="K225" i="3"/>
  <c r="I225" i="3" a="1"/>
  <c r="I225" i="3"/>
  <c r="K61" i="3" a="1"/>
  <c r="K61" i="3"/>
  <c r="AQ300" i="3" a="1"/>
  <c r="AQ300" i="3"/>
  <c r="AQ285" i="3" a="1"/>
  <c r="AQ285" i="3"/>
  <c r="AQ80" i="3" a="1"/>
  <c r="AQ80" i="3"/>
  <c r="AQ31" i="3" a="1"/>
  <c r="AQ31" i="3"/>
  <c r="AQ203" i="3" a="1"/>
  <c r="AQ203" i="3"/>
  <c r="K329" i="3" a="1"/>
  <c r="K329" i="3"/>
  <c r="K311" i="3" a="1"/>
  <c r="K311" i="3"/>
  <c r="I311" i="3" a="1"/>
  <c r="I311" i="3"/>
  <c r="I329" i="3" a="1"/>
  <c r="I329" i="3"/>
  <c r="AQ191" i="3" a="1"/>
  <c r="AQ191" i="3"/>
  <c r="AQ104" i="3" a="1"/>
  <c r="AQ104" i="3"/>
  <c r="AO15" i="4" a="1"/>
  <c r="AO15" i="4"/>
  <c r="I178" i="3" a="1"/>
  <c r="I178" i="3"/>
  <c r="K178" i="3" a="1"/>
  <c r="K178" i="3"/>
  <c r="AQ137" i="3" a="1"/>
  <c r="AQ137" i="3"/>
  <c r="AQ214" i="3" a="1"/>
  <c r="AQ214" i="3"/>
  <c r="AQ257" i="3" a="1"/>
  <c r="AQ257" i="3" l="1"/>
  <c r="AQ298" i="3" a="1"/>
  <c r="AQ298" i="3" l="1"/>
  <c r="AQ112" i="3" a="1"/>
  <c r="AQ112" i="3"/>
  <c r="AQ215" i="3" a="1"/>
  <c r="AQ215" i="3"/>
  <c r="AQ276" i="3" a="1"/>
  <c r="AQ276" i="3"/>
  <c r="AO11" i="4" a="1"/>
  <c r="AO11" i="4"/>
  <c r="AQ292" i="3" a="1"/>
  <c r="AQ292" i="3"/>
  <c r="AQ8" i="3" a="1"/>
  <c r="AQ8" i="3"/>
  <c r="AQ46" i="3" a="1"/>
  <c r="AQ46" i="3"/>
  <c r="AO45" i="4" a="1"/>
  <c r="AO45" i="4"/>
  <c r="AQ349" i="3" a="1"/>
  <c r="AQ349" i="3" l="1"/>
  <c r="AQ256" i="3" a="1"/>
  <c r="AQ256" i="3"/>
  <c r="AO43" i="4" a="1"/>
  <c r="AO43" i="4"/>
  <c r="AQ64" i="3" a="1"/>
  <c r="AQ64" i="3" l="1"/>
  <c r="AQ347" i="3" a="1"/>
  <c r="AQ347" i="3" l="1"/>
  <c r="AQ138" i="3" a="1"/>
  <c r="AQ138" i="3"/>
  <c r="AQ187" i="3" a="1"/>
  <c r="AQ187" i="3"/>
  <c r="AQ237" i="3" a="1"/>
  <c r="AQ237" i="3"/>
  <c r="AQ241" i="3" a="1"/>
  <c r="AQ241" i="3"/>
  <c r="AQ85" i="3" a="1"/>
  <c r="AQ85" i="3"/>
  <c r="AQ19" i="3" a="1"/>
  <c r="AQ19" i="3"/>
  <c r="AQ315" i="3" a="1"/>
  <c r="AQ315" i="3"/>
  <c r="AO40" i="4" a="1"/>
  <c r="AO40" i="4"/>
  <c r="AQ24" i="3" a="1"/>
  <c r="AQ24" i="3"/>
  <c r="AO37" i="4" a="1"/>
  <c r="AO37" i="4"/>
  <c r="AQ193" i="3" a="1"/>
  <c r="AQ193" i="3" l="1"/>
  <c r="AQ317" i="3" a="1"/>
  <c r="AQ317" i="3"/>
  <c r="AQ47" i="3" a="1"/>
  <c r="AQ47" i="3"/>
  <c r="AQ89" i="3" a="1"/>
  <c r="AQ89" i="3"/>
  <c r="AQ233" i="3" l="1" a="1"/>
  <c r="AQ233" i="3"/>
  <c r="AO16" i="4" a="1"/>
  <c r="AO16" i="4"/>
  <c r="AQ244" i="3" a="1"/>
  <c r="AQ244" i="3"/>
  <c r="AQ109" i="3" a="1"/>
  <c r="AQ109" i="3"/>
  <c r="AQ329" i="3" a="1"/>
  <c r="AQ329" i="3"/>
  <c r="AQ207" i="3" l="1" a="1"/>
  <c r="AQ207" i="3"/>
  <c r="AQ220" i="3" l="1" a="1"/>
  <c r="AQ220" i="3"/>
  <c r="AQ182" i="3" a="1"/>
  <c r="AQ182" i="3"/>
  <c r="AQ178" i="3" a="1"/>
  <c r="AQ178" i="3"/>
  <c r="AQ119" i="3" a="1"/>
  <c r="AQ119" i="3"/>
  <c r="AQ165" i="3" a="1"/>
  <c r="AQ165" i="3"/>
  <c r="AQ12" i="3" a="1"/>
  <c r="AQ12" i="3"/>
  <c r="AQ290" i="3" a="1"/>
  <c r="AQ290" i="3" l="1"/>
  <c r="AQ305" i="3" a="1"/>
  <c r="AQ305" i="3"/>
  <c r="AQ185" i="3" a="1"/>
  <c r="AQ185" i="3" l="1"/>
  <c r="AQ35" i="3" a="1"/>
  <c r="AQ35" i="3"/>
  <c r="AQ260" i="3" a="1"/>
  <c r="AQ260" i="3"/>
  <c r="AO38" i="4" a="1"/>
  <c r="AO38" i="4"/>
  <c r="AQ74" i="3" a="1"/>
  <c r="AQ74" i="3"/>
  <c r="AO18" i="4" a="1"/>
  <c r="AO18" i="4"/>
  <c r="AQ97" i="3" l="1" a="1"/>
  <c r="AQ97" i="3" l="1"/>
  <c r="AQ339" i="3" a="1"/>
  <c r="AQ339" i="3"/>
  <c r="AQ299" i="3" a="1"/>
  <c r="AQ299" i="3"/>
  <c r="AQ194" i="3" a="1"/>
  <c r="AQ194" i="3"/>
  <c r="AQ255" i="3" a="1"/>
  <c r="AQ255" i="3"/>
  <c r="AQ38" i="3" a="1"/>
  <c r="AQ38" i="3"/>
  <c r="AO33" i="4" a="1"/>
  <c r="AO33" i="4"/>
  <c r="AQ342" i="3" a="1"/>
  <c r="AQ342" i="3"/>
  <c r="AQ96" i="3" a="1"/>
  <c r="AQ96" i="3"/>
  <c r="AQ130" i="3" a="1"/>
  <c r="AQ130" i="3"/>
  <c r="AQ26" i="3" a="1"/>
  <c r="AQ26" i="3"/>
  <c r="AQ227" i="3" a="1"/>
  <c r="AQ227" i="3" l="1"/>
  <c r="AQ113" i="3" a="1"/>
  <c r="AQ113" i="3"/>
  <c r="AQ135" i="3" a="1"/>
  <c r="AQ135" i="3"/>
  <c r="AQ100" i="3" l="1" a="1"/>
  <c r="AQ100" i="3" l="1"/>
  <c r="AQ169" i="3" a="1"/>
  <c r="AQ169" i="3"/>
  <c r="AQ5" i="3" a="1"/>
  <c r="AQ5" i="3"/>
  <c r="AQ189" i="3" a="1"/>
  <c r="AQ189" i="3"/>
  <c r="AV16" i="2" a="1"/>
  <c r="AV16" i="2"/>
  <c r="AQ123" i="3" a="1"/>
  <c r="AQ123" i="3"/>
  <c r="AQ116" i="3" a="1"/>
  <c r="AQ116" i="3"/>
  <c r="AQ32" i="3" a="1"/>
  <c r="AQ32" i="3"/>
  <c r="AO35" i="4" a="1"/>
  <c r="AO35" i="4"/>
  <c r="AQ3" i="3" a="1"/>
  <c r="AQ3" i="3"/>
  <c r="AV22" i="2" a="1"/>
  <c r="AV22" i="2"/>
  <c r="AQ145" i="3" a="1"/>
  <c r="AQ145" i="3"/>
  <c r="AQ27" i="3" a="1"/>
  <c r="AQ27" i="3"/>
  <c r="AQ154" i="3" a="1"/>
  <c r="AQ154" i="3" l="1"/>
  <c r="AQ84" i="3" a="1"/>
  <c r="AQ84" i="3"/>
  <c r="AQ271" i="3" a="1"/>
  <c r="AQ271" i="3"/>
  <c r="AQ94" i="3" a="1"/>
  <c r="AQ94" i="3"/>
  <c r="AQ318" i="3" a="1"/>
  <c r="AQ318" i="3"/>
  <c r="AQ306" i="3" a="1"/>
  <c r="AQ306" i="3"/>
  <c r="AQ21" i="3" a="1"/>
  <c r="AQ21" i="3"/>
  <c r="AQ208" i="3" a="1"/>
  <c r="AQ208" i="3"/>
  <c r="AQ177" i="3" a="1"/>
  <c r="AQ177" i="3"/>
  <c r="AO31" i="4" a="1"/>
  <c r="AO31" i="4"/>
  <c r="AV6" i="2" a="1"/>
  <c r="AV6" i="2"/>
  <c r="AO7" i="4" a="1"/>
  <c r="AO7" i="4"/>
  <c r="AQ125" i="3" a="1"/>
  <c r="AQ125" i="3"/>
  <c r="AQ216" i="3" a="1"/>
  <c r="AQ216" i="3"/>
  <c r="AQ57" i="3" a="1"/>
  <c r="AQ57" i="3"/>
  <c r="AQ310" i="3" a="1"/>
  <c r="AQ310" i="3"/>
  <c r="AQ221" i="3" a="1"/>
  <c r="AQ221" i="3"/>
  <c r="AQ245" i="3" a="1"/>
  <c r="AQ245" i="3"/>
  <c r="AQ43" i="3" a="1"/>
  <c r="AQ43" i="3"/>
  <c r="AQ319" i="3" a="1"/>
  <c r="AQ319" i="3" l="1"/>
  <c r="AQ335" i="3" a="1"/>
  <c r="AQ335" i="3"/>
  <c r="AQ83" i="3" a="1"/>
  <c r="AQ83" i="3"/>
  <c r="AQ240" i="3" a="1"/>
  <c r="AQ240" i="3"/>
  <c r="AQ259" i="3" a="1"/>
  <c r="AQ259" i="3"/>
  <c r="AQ6" i="3" a="1"/>
  <c r="AQ6" i="3"/>
  <c r="AQ103" i="3" a="1"/>
  <c r="AQ103" i="3"/>
  <c r="AQ81" i="3" a="1"/>
  <c r="AQ81" i="3"/>
  <c r="AQ195" i="3" a="1"/>
  <c r="AQ195" i="3"/>
  <c r="AQ173" i="3" a="1"/>
  <c r="AQ173" i="3"/>
  <c r="AQ235" i="3" a="1"/>
  <c r="AQ235" i="3"/>
  <c r="AQ108" i="3" a="1"/>
  <c r="AQ108" i="3"/>
  <c r="AQ263" i="3" a="1"/>
  <c r="AQ263" i="3"/>
  <c r="AO23" i="4" a="1"/>
  <c r="AO23" i="4"/>
  <c r="AV2" i="2" a="1"/>
  <c r="AV2" i="2"/>
  <c r="AO2" i="4" a="1"/>
  <c r="AO2" i="4"/>
  <c r="AQ2" i="3" a="1"/>
  <c r="AQ2" i="3"/>
  <c r="AQ198" i="3" a="1"/>
  <c r="AQ198" i="3"/>
  <c r="AQ93" i="3" a="1"/>
  <c r="AQ93" i="3" l="1"/>
  <c r="AQ302" i="3" a="1"/>
  <c r="AQ302" i="3"/>
  <c r="AQ22" i="3" a="1"/>
  <c r="AQ22" i="3"/>
  <c r="AQ76" i="3" a="1"/>
  <c r="AQ76" i="3"/>
  <c r="AQ312" i="3" a="1"/>
  <c r="AQ312" i="3"/>
  <c r="AQ348" i="3" a="1"/>
  <c r="AQ348" i="3"/>
  <c r="AV3" i="2" a="1"/>
  <c r="AV3" i="2"/>
  <c r="AQ316" i="3" a="1"/>
  <c r="AQ316" i="3"/>
  <c r="AQ238" i="3" a="1"/>
  <c r="AQ238" i="3"/>
  <c r="AQ117" i="3" a="1"/>
  <c r="AQ117" i="3"/>
  <c r="AQ249" i="3" a="1"/>
  <c r="AQ249" i="3"/>
  <c r="AV7" i="2" a="1"/>
  <c r="AV7" i="2"/>
  <c r="AQ334" i="3" a="1"/>
  <c r="AQ334" i="3"/>
  <c r="AQ236" i="3" a="1"/>
  <c r="AQ236" i="3"/>
  <c r="AQ114" i="3" a="1"/>
  <c r="AQ114" i="3" l="1"/>
  <c r="AV5" i="2" a="1"/>
  <c r="AV5" i="2"/>
  <c r="AQ251" i="3" a="1"/>
  <c r="AQ251" i="3"/>
  <c r="AQ127" i="3" a="1"/>
  <c r="AQ127" i="3"/>
  <c r="AQ72" i="3" a="1"/>
  <c r="AQ72" i="3"/>
  <c r="AQ42" i="3" a="1"/>
  <c r="AQ42" i="3"/>
  <c r="AQ41" i="3" a="1"/>
  <c r="AQ41" i="3"/>
  <c r="AQ157" i="3" a="1"/>
  <c r="AQ157" i="3"/>
  <c r="AQ148" i="3" a="1"/>
  <c r="AQ148" i="3" l="1"/>
  <c r="AO48" i="4" a="1"/>
  <c r="AO48" i="4"/>
  <c r="AQ330" i="3" a="1"/>
  <c r="AQ330" i="3"/>
  <c r="AQ65" i="3" a="1"/>
  <c r="AQ65" i="3"/>
  <c r="AQ210" i="3" a="1"/>
  <c r="AQ210" i="3"/>
  <c r="AQ153" i="3" a="1"/>
  <c r="AQ153" i="3"/>
  <c r="AQ304" i="3" a="1"/>
  <c r="AQ304" i="3"/>
  <c r="AQ228" i="3" a="1"/>
  <c r="AQ228" i="3"/>
  <c r="AQ230" i="3" a="1"/>
  <c r="AQ230" i="3"/>
  <c r="AQ170" i="3" a="1"/>
  <c r="AQ170" i="3"/>
  <c r="AQ275" i="3" a="1"/>
  <c r="AQ275" i="3"/>
  <c r="AQ222" i="3" a="1"/>
  <c r="AQ222" i="3"/>
  <c r="AO30" i="4" a="1"/>
  <c r="AO30" i="4"/>
  <c r="AQ13" i="3" a="1"/>
  <c r="AQ13" i="3"/>
  <c r="AO52" i="4" a="1"/>
  <c r="AO52" i="4" l="1"/>
  <c r="AQ91" i="3" a="1"/>
  <c r="AQ91" i="3"/>
  <c r="AQ320" i="3" a="1"/>
  <c r="AQ320" i="3" l="1"/>
  <c r="AQ246" i="3" a="1"/>
  <c r="AQ246" i="3"/>
  <c r="AQ200" i="3" a="1"/>
  <c r="AQ200" i="3"/>
  <c r="AQ333" i="3" a="1"/>
  <c r="AQ333" i="3"/>
  <c r="AQ162" i="3" a="1"/>
  <c r="AQ162" i="3"/>
  <c r="AQ183" i="3" a="1"/>
  <c r="AQ183" i="3"/>
  <c r="AQ90" i="3" a="1"/>
  <c r="AQ90" i="3"/>
  <c r="AQ59" i="3" a="1"/>
  <c r="AQ59" i="3"/>
  <c r="AQ341" i="3" a="1"/>
  <c r="AQ341" i="3"/>
  <c r="AO57" i="4" a="1"/>
  <c r="AO57" i="4"/>
  <c r="AQ86" i="3" a="1"/>
  <c r="AQ86" i="3" l="1"/>
  <c r="AQ82" i="3" a="1"/>
  <c r="AQ82" i="3"/>
  <c r="AQ268" i="3" a="1"/>
  <c r="AQ268" i="3"/>
  <c r="AQ181" i="3" a="1"/>
  <c r="AQ181" i="3"/>
  <c r="AO14" i="4" a="1"/>
  <c r="AO14" i="4" l="1"/>
  <c r="AQ239" i="3" a="1"/>
  <c r="AQ239" i="3"/>
  <c r="AQ49" i="3" a="1"/>
  <c r="AQ49" i="3"/>
  <c r="AQ150" i="3" a="1"/>
  <c r="AQ150" i="3"/>
  <c r="AV71" i="2" a="1"/>
  <c r="AV71" i="2"/>
  <c r="AQ40" i="3" a="1"/>
  <c r="AQ40" i="3" l="1"/>
  <c r="AQ274" i="3" a="1"/>
  <c r="AQ274" i="3"/>
  <c r="AO4" i="4" a="1"/>
  <c r="AO4" i="4"/>
  <c r="AQ229" i="3" a="1"/>
  <c r="AQ229" i="3" l="1"/>
  <c r="AO26" i="4" a="1"/>
  <c r="AO26" i="4"/>
  <c r="AQ197" i="3" a="1"/>
  <c r="AQ197" i="3"/>
  <c r="AQ199" i="3" a="1"/>
  <c r="AQ199" i="3"/>
  <c r="AQ17" i="3" a="1"/>
  <c r="AQ17" i="3" l="1"/>
  <c r="AQ77" i="3" a="1"/>
  <c r="AQ77" i="3"/>
  <c r="AQ217" i="3" a="1"/>
  <c r="AQ217" i="3"/>
  <c r="AQ149" i="3" a="1"/>
  <c r="AQ149" i="3"/>
  <c r="AQ67" i="3" a="1"/>
  <c r="AQ67" i="3"/>
  <c r="AQ352" i="3" a="1"/>
  <c r="AQ352" i="3"/>
  <c r="AQ63" i="3" a="1"/>
  <c r="AQ63" i="3"/>
  <c r="AQ132" i="3" a="1"/>
  <c r="AQ132" i="3"/>
  <c r="AQ351" i="3" a="1"/>
  <c r="AQ351" i="3"/>
  <c r="AQ14" i="3" a="1"/>
  <c r="AQ14" i="3"/>
  <c r="AQ196" i="3" a="1"/>
  <c r="AQ196" i="3"/>
  <c r="AQ294" i="3" a="1"/>
  <c r="AQ294" i="3"/>
  <c r="AQ184" i="3" a="1"/>
  <c r="AQ184" i="3" l="1"/>
  <c r="AQ52" i="3" a="1"/>
  <c r="AQ52" i="3"/>
  <c r="AQ278" i="3" a="1"/>
  <c r="AQ278" i="3"/>
  <c r="AQ20" i="3" a="1"/>
  <c r="AQ20" i="3"/>
  <c r="AQ61" i="3" a="1"/>
  <c r="AQ61" i="3"/>
  <c r="AQ99" i="3" a="1"/>
  <c r="AQ99" i="3"/>
  <c r="AO47" i="4" a="1"/>
  <c r="AO47" i="4"/>
  <c r="AQ15" i="3" a="1"/>
  <c r="AQ15" i="3"/>
  <c r="AQ71" i="3" a="1"/>
  <c r="AQ71" i="3"/>
  <c r="AQ102" i="3" a="1"/>
  <c r="AQ102" i="3"/>
  <c r="AO46" i="4" a="1"/>
  <c r="AO46" i="4"/>
  <c r="AQ258" i="3" a="1"/>
  <c r="AQ258" i="3"/>
  <c r="AQ252" i="3" a="1"/>
  <c r="AQ252" i="3"/>
  <c r="AQ179" i="3" a="1"/>
  <c r="AQ179" i="3"/>
  <c r="AQ9" i="3" a="1"/>
  <c r="AQ9" i="3"/>
  <c r="AQ175" i="3" a="1"/>
  <c r="AQ175" i="3"/>
  <c r="AQ270" i="3" a="1"/>
  <c r="AQ270" i="3"/>
  <c r="AO10" i="4" a="1"/>
  <c r="AO10" i="4"/>
  <c r="AQ188" i="3" a="1"/>
  <c r="AQ188" i="3"/>
  <c r="AQ314" i="3" a="1"/>
  <c r="AQ314" i="3"/>
  <c r="AQ143" i="3" a="1"/>
  <c r="AQ143" i="3"/>
  <c r="AQ234" i="3" a="1"/>
  <c r="AQ234" i="3"/>
  <c r="AQ92" i="3" a="1"/>
  <c r="AQ92" i="3"/>
  <c r="AQ293" i="3" a="1"/>
  <c r="AQ293" i="3"/>
  <c r="AQ16" i="3" a="1"/>
  <c r="AQ16" i="3"/>
  <c r="AO8" i="4" a="1"/>
  <c r="AO8" i="4"/>
  <c r="AQ87" i="3" a="1"/>
  <c r="AQ87" i="3"/>
  <c r="AQ36" i="3" a="1"/>
  <c r="AQ36" i="3"/>
  <c r="AQ129" i="3" a="1"/>
  <c r="AQ129" i="3"/>
  <c r="AO12" i="4" a="1"/>
  <c r="AO12" i="4"/>
  <c r="AQ111" i="3" a="1"/>
  <c r="AQ111" i="3"/>
  <c r="AQ301" i="3" a="1"/>
  <c r="AQ301" i="3"/>
  <c r="AQ326" i="3" a="1"/>
  <c r="AQ326" i="3"/>
  <c r="AQ122" i="3" a="1"/>
  <c r="AQ122" i="3"/>
  <c r="AQ48" i="3" l="1" a="1"/>
  <c r="AQ48" i="3"/>
  <c r="AQ337" i="3" a="1"/>
  <c r="AQ337" i="3" l="1"/>
  <c r="AQ142" i="3" a="1"/>
  <c r="AQ142" i="3"/>
  <c r="AQ266" i="3" a="1"/>
  <c r="AQ266" i="3"/>
  <c r="AQ253" i="3" a="1"/>
  <c r="AQ253" i="3"/>
  <c r="AO25" i="4" a="1"/>
  <c r="AO25" i="4"/>
  <c r="AQ105" i="3" a="1"/>
  <c r="AQ105" i="3"/>
  <c r="AO39" i="4" a="1"/>
  <c r="AO39" i="4"/>
  <c r="AQ115" i="3" a="1"/>
  <c r="AQ115" i="3"/>
  <c r="AQ254" i="3" a="1"/>
  <c r="AQ254" i="3"/>
  <c r="AV17" i="2" a="1"/>
  <c r="AV17" i="2"/>
  <c r="AQ141" i="3" a="1"/>
  <c r="AQ141" i="3"/>
  <c r="AQ353" i="3" a="1"/>
  <c r="AQ353" i="3"/>
  <c r="AQ180" i="3" a="1"/>
  <c r="AQ180" i="3" l="1"/>
  <c r="AQ332" i="3" a="1"/>
  <c r="AQ332" i="3"/>
  <c r="AQ18" i="3" a="1"/>
  <c r="AQ18" i="3"/>
  <c r="AQ344" i="3" a="1"/>
  <c r="AQ344" i="3"/>
  <c r="AQ282" i="3" a="1"/>
  <c r="AQ282" i="3"/>
  <c r="AQ226" i="3" a="1"/>
  <c r="AQ226" i="3"/>
  <c r="AQ289" i="3" a="1"/>
  <c r="AQ289" i="3"/>
  <c r="AQ307" i="3" a="1"/>
  <c r="AQ307" i="3" l="1"/>
  <c r="AQ75" i="3" a="1"/>
  <c r="AQ75" i="3"/>
  <c r="AQ166" i="3" a="1"/>
  <c r="AQ166" i="3"/>
  <c r="AO5" i="4" l="1" a="1"/>
  <c r="AO5" i="4"/>
  <c r="AQ321" i="3" a="1"/>
  <c r="AQ321" i="3"/>
  <c r="AQ126" i="3" a="1"/>
  <c r="AQ126" i="3"/>
  <c r="AQ34" i="3" a="1"/>
  <c r="AQ34" i="3"/>
  <c r="AQ120" i="3" a="1"/>
  <c r="AQ120" i="3"/>
  <c r="AQ322" i="3" a="1"/>
  <c r="AQ322" i="3"/>
  <c r="AQ164" i="3" a="1"/>
  <c r="AQ164" i="3"/>
  <c r="AQ155" i="3" a="1"/>
  <c r="AQ155" i="3" l="1"/>
  <c r="AQ287" i="3" a="1"/>
  <c r="AQ287" i="3"/>
  <c r="AQ128" i="3" a="1"/>
  <c r="AQ128" i="3" l="1"/>
  <c r="AQ134" i="3" a="1"/>
  <c r="AQ134" i="3"/>
  <c r="AV10" i="2" a="1"/>
  <c r="AV10" i="2"/>
  <c r="AQ212" i="3" a="1"/>
  <c r="AQ212" i="3"/>
  <c r="AQ176" i="3" a="1"/>
  <c r="AQ176" i="3"/>
  <c r="AQ44" i="3" a="1"/>
  <c r="AQ44" i="3"/>
  <c r="AQ211" i="3" a="1"/>
  <c r="AQ211" i="3"/>
  <c r="AQ324" i="3" l="1" a="1"/>
  <c r="AQ324" i="3"/>
  <c r="AQ242" i="3" a="1"/>
  <c r="AQ242" i="3" l="1"/>
  <c r="AQ338" i="3" a="1"/>
  <c r="AQ338" i="3"/>
  <c r="AQ272" i="3" a="1"/>
  <c r="AQ272" i="3"/>
  <c r="AQ133" i="3" a="1"/>
  <c r="AQ133" i="3"/>
  <c r="AQ23" i="3" a="1"/>
  <c r="AQ23" i="3"/>
  <c r="AQ328" i="3" a="1"/>
  <c r="AQ328" i="3"/>
  <c r="AQ29" i="3" a="1"/>
  <c r="AQ29" i="3"/>
  <c r="AQ280" i="3" a="1"/>
  <c r="AQ280" i="3"/>
  <c r="AQ139" i="3" a="1"/>
  <c r="AQ139" i="3"/>
  <c r="AQ121" i="3" a="1"/>
  <c r="AQ121" i="3"/>
  <c r="AQ146" i="3" a="1"/>
  <c r="AQ146" i="3"/>
  <c r="AO44" i="4" a="1"/>
  <c r="AO44" i="4"/>
  <c r="AQ340" i="3" a="1"/>
  <c r="AQ340" i="3"/>
  <c r="AQ107" i="3" a="1"/>
  <c r="AQ107" i="3"/>
  <c r="AQ323" i="3" a="1"/>
  <c r="AQ323" i="3"/>
  <c r="AO59" i="4" a="1"/>
  <c r="AO59" i="4"/>
  <c r="AQ232" i="3" a="1"/>
  <c r="AQ232" i="3"/>
  <c r="AQ156" i="3" a="1"/>
  <c r="AQ156" i="3"/>
  <c r="AQ350" i="3" a="1"/>
  <c r="AQ350" i="3"/>
  <c r="AQ247" i="3" a="1"/>
  <c r="AQ247" i="3"/>
  <c r="AQ158" i="3" a="1"/>
  <c r="AQ158" i="3"/>
  <c r="AO13" i="4" a="1"/>
  <c r="AO13" i="4"/>
  <c r="AQ106" i="3" a="1"/>
  <c r="AQ106" i="3"/>
  <c r="AQ345" i="3" a="1"/>
  <c r="AQ345" i="3"/>
  <c r="AO54" i="4" a="1"/>
  <c r="AO54" i="4"/>
  <c r="AO29" i="4" a="1"/>
  <c r="AO29" i="4"/>
  <c r="AQ167" i="3" a="1"/>
  <c r="AQ167" i="3"/>
  <c r="AQ144" i="3" a="1"/>
  <c r="AQ144" i="3"/>
  <c r="AQ171" i="3" a="1"/>
  <c r="AQ171" i="3"/>
  <c r="AQ224" i="3" a="1"/>
  <c r="AQ224" i="3"/>
  <c r="AQ283" i="3" a="1"/>
  <c r="AQ283" i="3"/>
  <c r="AQ265" i="3" a="1"/>
  <c r="AQ265" i="3"/>
  <c r="AQ7" i="3" a="1"/>
  <c r="AQ7" i="3"/>
  <c r="AQ79" i="3" a="1"/>
  <c r="AQ79" i="3"/>
  <c r="AQ273" i="3" a="1"/>
  <c r="AQ273" i="3"/>
  <c r="AQ30" i="3" a="1"/>
  <c r="AQ30" i="3"/>
  <c r="AV8" i="2" a="1"/>
  <c r="AV8" i="2"/>
  <c r="AQ201" i="3" a="1"/>
  <c r="AQ201" i="3"/>
  <c r="AO19" i="4" a="1"/>
  <c r="AO19" i="4"/>
  <c r="AQ325" i="3" a="1"/>
  <c r="AQ325" i="3"/>
  <c r="AQ66" i="3" a="1"/>
  <c r="AQ66" i="3" l="1"/>
  <c r="AQ50" i="3" a="1"/>
  <c r="AQ50" i="3"/>
  <c r="AQ118" i="3" a="1"/>
  <c r="AQ118" i="3"/>
  <c r="AQ346" i="3" a="1"/>
  <c r="AQ346" i="3"/>
  <c r="AQ186" i="3" a="1"/>
  <c r="AQ186" i="3"/>
  <c r="AQ209" i="3" a="1"/>
  <c r="AQ209" i="3"/>
  <c r="AO55" i="4" a="1"/>
  <c r="AO55" i="4"/>
  <c r="AQ343" i="3" a="1"/>
  <c r="AQ343" i="3" l="1"/>
  <c r="AQ303" i="3" a="1"/>
  <c r="AQ303" i="3"/>
  <c r="AQ54" i="3" a="1"/>
  <c r="AQ54" i="3"/>
  <c r="AQ131" i="3" a="1"/>
  <c r="AQ131" i="3"/>
  <c r="AQ288" i="3" a="1"/>
  <c r="AQ288" i="3"/>
  <c r="AO32" i="4" a="1"/>
  <c r="AO32" i="4"/>
  <c r="AQ88" i="3" a="1"/>
  <c r="AQ88" i="3"/>
  <c r="AQ192" i="3" a="1"/>
  <c r="AQ192" i="3"/>
  <c r="AQ58" i="3" a="1"/>
  <c r="AQ58" i="3"/>
  <c r="AO34" i="4" a="1"/>
  <c r="AO34" i="4"/>
  <c r="AO24" i="4" a="1"/>
  <c r="AO24" i="4"/>
  <c r="AQ206" i="3" a="1"/>
  <c r="AQ206" i="3" l="1"/>
  <c r="AQ218" i="3" a="1"/>
  <c r="AQ218" i="3"/>
  <c r="AQ231" i="3" a="1"/>
  <c r="AQ231" i="3"/>
  <c r="AQ291" i="3" a="1"/>
  <c r="AQ291" i="3" l="1"/>
  <c r="AQ11" i="3" a="1"/>
  <c r="AQ11" i="3"/>
  <c r="AQ140" i="3" a="1"/>
  <c r="AQ140" i="3" l="1"/>
  <c r="AQ161" i="3" a="1"/>
  <c r="AQ161" i="3"/>
  <c r="AQ311" i="3" a="1"/>
  <c r="AQ311" i="3"/>
  <c r="AQ204" i="3" a="1"/>
  <c r="AQ204" i="3"/>
  <c r="AQ151" i="3" a="1"/>
  <c r="AQ151" i="3"/>
  <c r="AQ73" i="3" a="1"/>
  <c r="AQ73" i="3"/>
  <c r="AQ60" i="3" a="1"/>
  <c r="AQ60" i="3"/>
  <c r="AQ69" i="3" a="1"/>
  <c r="AQ69" i="3"/>
  <c r="AQ101" i="3" a="1"/>
  <c r="AQ101" i="3"/>
  <c r="AQ174" i="3" a="1"/>
  <c r="AQ174" i="3"/>
  <c r="AO20" i="4" a="1"/>
  <c r="AO20" i="4"/>
  <c r="AO61" i="4" a="1"/>
  <c r="AO61" i="4"/>
  <c r="AO36" i="4" a="1"/>
  <c r="AO36" i="4"/>
  <c r="AQ190" i="3" a="1"/>
  <c r="AQ190" i="3"/>
  <c r="AO53" i="4" a="1"/>
  <c r="AO53" i="4"/>
  <c r="AQ147" i="3" a="1"/>
  <c r="AQ147" i="3"/>
  <c r="AQ68" i="3" a="1"/>
  <c r="AQ68" i="3"/>
  <c r="AQ55" i="3" a="1"/>
  <c r="AQ55" i="3"/>
  <c r="AQ261" i="3" a="1"/>
  <c r="AQ261" i="3"/>
  <c r="AQ110" i="3" a="1"/>
  <c r="AQ110" i="3"/>
  <c r="AQ277" i="3" a="1"/>
  <c r="AQ277" i="3"/>
  <c r="AO41" i="4" a="1"/>
  <c r="AO41" i="4"/>
  <c r="AQ313" i="3" a="1"/>
  <c r="AQ313" i="3"/>
  <c r="AO22" i="4" a="1"/>
  <c r="AO22" i="4"/>
  <c r="AQ213" i="3" a="1"/>
  <c r="AQ213" i="3"/>
  <c r="AO17" i="4" a="1"/>
  <c r="AO17" i="4" l="1"/>
  <c r="AV4" i="2" a="1"/>
  <c r="AV4" i="2"/>
  <c r="AQ248" i="3" a="1"/>
  <c r="AQ248" i="3"/>
  <c r="AQ219" i="3" a="1"/>
  <c r="AQ219" i="3" l="1"/>
  <c r="AQ136" i="3" a="1"/>
  <c r="AQ136" i="3"/>
  <c r="AQ78" i="3" a="1"/>
  <c r="AQ78" i="3"/>
  <c r="AQ159" i="3" a="1"/>
  <c r="AQ159" i="3"/>
  <c r="AQ331" i="3" l="1" a="1"/>
  <c r="AQ331" i="3"/>
  <c r="AQ205" i="3" a="1"/>
  <c r="AQ205" i="3"/>
  <c r="AQ297" i="3" a="1"/>
  <c r="AQ297" i="3"/>
  <c r="AQ62" i="3" a="1"/>
  <c r="AQ62" i="3" l="1"/>
  <c r="AQ267" i="3" a="1"/>
  <c r="AQ267" i="3"/>
  <c r="AQ168" i="3" a="1"/>
  <c r="AQ168" i="3"/>
  <c r="AQ264" i="3" a="1"/>
  <c r="AQ264" i="3"/>
  <c r="AQ296" i="3" a="1"/>
  <c r="AQ296" i="3"/>
  <c r="AO42" i="4" a="1"/>
  <c r="AO42" i="4"/>
  <c r="AQ243" i="3" a="1"/>
  <c r="AQ243" i="3"/>
  <c r="AQ284" i="3" a="1"/>
  <c r="AQ284" i="3"/>
  <c r="AO56" i="4" a="1"/>
  <c r="AO56" i="4"/>
  <c r="AQ37" i="3" a="1"/>
  <c r="AQ37" i="3"/>
  <c r="AQ308" i="3" a="1"/>
  <c r="AQ308" i="3"/>
  <c r="AQ70" i="3" a="1"/>
  <c r="AQ70" i="3"/>
  <c r="AO27" i="4" a="1"/>
  <c r="AO27" i="4"/>
  <c r="AO28" i="4" a="1"/>
  <c r="AO28" i="4"/>
  <c r="AO58" i="4" a="1"/>
  <c r="AO58" i="4"/>
  <c r="AQ250" i="3" a="1"/>
  <c r="AQ250" i="3"/>
  <c r="AO60" i="4" a="1"/>
  <c r="AO60" i="4" l="1"/>
  <c r="AQ4" i="3" a="1"/>
  <c r="AQ4" i="3"/>
  <c r="AV9" i="2" a="1"/>
  <c r="AV9" i="2"/>
  <c r="AQ95" i="3" a="1"/>
  <c r="AQ95" i="3"/>
  <c r="AQ33" i="3" a="1"/>
  <c r="AQ33" i="3"/>
  <c r="AQ163" i="3" a="1"/>
  <c r="AQ163" i="3"/>
  <c r="AQ160" i="3" a="1"/>
  <c r="AQ160" i="3"/>
  <c r="AZ69" i="3" a="1"/>
  <c r="AZ69" i="3"/>
  <c r="AZ34" i="3" a="1"/>
  <c r="AZ34" i="3"/>
  <c r="AZ278" i="3" a="1"/>
  <c r="AZ278" i="3"/>
  <c r="AQ309" i="3" l="1" a="1"/>
  <c r="AQ309" i="3" l="1"/>
  <c r="AQ45" i="3" a="1"/>
  <c r="AQ45" i="3"/>
  <c r="AQ51" i="3" a="1"/>
  <c r="AQ51" i="3"/>
  <c r="AQ56" i="3" a="1"/>
  <c r="AQ56" i="3"/>
  <c r="AQ279" i="3" a="1"/>
  <c r="AQ279" i="3"/>
  <c r="AO21" i="4" a="1"/>
  <c r="AO21" i="4"/>
  <c r="AZ159" i="3" a="1"/>
  <c r="AZ159" i="3" l="1"/>
  <c r="AQ223" i="3" a="1"/>
  <c r="AQ223" i="3"/>
  <c r="AQ269" i="3" a="1"/>
  <c r="AQ269" i="3" l="1"/>
  <c r="AZ243" i="3" a="1"/>
  <c r="AZ243" i="3"/>
  <c r="AQ10" i="3" a="1"/>
  <c r="AQ10" i="3"/>
  <c r="AO3" i="4" a="1"/>
  <c r="AO3" i="4"/>
  <c r="AQ286" i="3" a="1"/>
  <c r="AQ286" i="3"/>
  <c r="AQ39" i="3" a="1"/>
  <c r="AQ39" i="3"/>
  <c r="AZ149" i="3" a="1"/>
  <c r="AZ149" i="3"/>
  <c r="AQ295" i="3" a="1"/>
  <c r="AQ295" i="3"/>
  <c r="AQ327" i="3" a="1"/>
  <c r="AQ327" i="3"/>
  <c r="AQ281" i="3" a="1"/>
  <c r="AQ281" i="3"/>
  <c r="AZ43" i="3" a="1"/>
  <c r="AZ43" i="3" l="1"/>
  <c r="AZ246" i="3" a="1"/>
  <c r="AZ246" i="3"/>
  <c r="AX48" i="4" a="1"/>
  <c r="AX48" i="4"/>
  <c r="AZ123" i="3" a="1"/>
  <c r="AZ123" i="3"/>
  <c r="AZ194" i="3" a="1"/>
  <c r="AZ194" i="3" l="1"/>
  <c r="AZ292" i="3" a="1"/>
  <c r="AZ292" i="3"/>
  <c r="AZ230" i="3" a="1"/>
  <c r="AZ230" i="3"/>
  <c r="AZ259" i="3" a="1"/>
  <c r="AZ259" i="3" l="1"/>
  <c r="AZ46" i="3" a="1"/>
  <c r="AZ46" i="3" l="1"/>
  <c r="AZ163" i="3" a="1"/>
  <c r="AZ163" i="3"/>
  <c r="AX32" i="4" a="1"/>
  <c r="AX32" i="4"/>
  <c r="AZ335" i="3" a="1"/>
  <c r="AZ335" i="3"/>
  <c r="AX36" i="4" a="1"/>
  <c r="AX36" i="4"/>
  <c r="AZ63" i="3" a="1"/>
  <c r="AZ63" i="3"/>
  <c r="AZ175" i="3" a="1"/>
  <c r="AZ175" i="3"/>
  <c r="AZ251" i="3" a="1"/>
  <c r="AZ251" i="3"/>
  <c r="AZ126" i="3" a="1"/>
  <c r="AZ126" i="3"/>
  <c r="AZ3" i="3" a="1"/>
  <c r="AZ3" i="3"/>
  <c r="AZ310" i="3" a="1"/>
  <c r="AZ310" i="3"/>
  <c r="AZ185" i="3" a="1"/>
  <c r="AZ185" i="3"/>
  <c r="AX60" i="4" a="1"/>
  <c r="AX60" i="4"/>
  <c r="AZ340" i="3" a="1"/>
  <c r="AZ340" i="3"/>
  <c r="AZ42" i="3" a="1"/>
  <c r="AZ42" i="3"/>
  <c r="AZ148" i="3" a="1"/>
  <c r="AZ148" i="3"/>
  <c r="AZ107" i="3" a="1"/>
  <c r="AZ107" i="3"/>
  <c r="AZ54" i="3" a="1"/>
  <c r="AZ54" i="3"/>
  <c r="AZ38" i="3" a="1"/>
  <c r="AZ38" i="3"/>
  <c r="AZ342" i="3" a="1"/>
  <c r="AZ342" i="3"/>
  <c r="AX57" i="4" a="1"/>
  <c r="AX57" i="4"/>
  <c r="AZ73" i="3" a="1"/>
  <c r="AZ73" i="3"/>
  <c r="AX29" i="4" a="1"/>
  <c r="AX29" i="4"/>
  <c r="AZ29" i="3" a="1"/>
  <c r="AZ29" i="3"/>
  <c r="AZ295" i="3" a="1"/>
  <c r="AZ295" i="3"/>
  <c r="AX33" i="4" a="1"/>
  <c r="AX33" i="4"/>
  <c r="AX18" i="4" a="1"/>
  <c r="AX18" i="4"/>
  <c r="AZ113" i="3" a="1"/>
  <c r="AZ113" i="3"/>
  <c r="AZ56" i="3" a="1"/>
  <c r="AZ56" i="3"/>
  <c r="AZ290" i="3" a="1"/>
  <c r="AZ290" i="3"/>
  <c r="AX61" i="4" a="1"/>
  <c r="AX61" i="4"/>
  <c r="AZ302" i="3" a="1"/>
  <c r="AZ302" i="3"/>
  <c r="AZ209" i="3" a="1"/>
  <c r="AZ209" i="3"/>
  <c r="AZ89" i="3" a="1"/>
  <c r="AZ89" i="3"/>
  <c r="AZ318" i="3" a="1"/>
  <c r="AZ318" i="3" l="1"/>
  <c r="AZ332" i="3" a="1"/>
  <c r="AZ332" i="3"/>
  <c r="AX12" i="4" a="1"/>
  <c r="AX12" i="4"/>
  <c r="AZ214" i="3" a="1"/>
  <c r="AZ214" i="3"/>
  <c r="AZ200" i="3" a="1"/>
  <c r="AZ200" i="3"/>
  <c r="AZ169" i="3" a="1"/>
  <c r="AZ169" i="3"/>
  <c r="AZ30" i="3" a="1"/>
  <c r="AZ30" i="3"/>
  <c r="AX7" i="4" a="1"/>
  <c r="AX7" i="4"/>
  <c r="BE10" i="2" a="1"/>
  <c r="BE10" i="2"/>
  <c r="AX47" i="4" a="1"/>
  <c r="AX47" i="4"/>
  <c r="AZ218" i="3" a="1"/>
  <c r="AZ218" i="3"/>
  <c r="AZ183" i="3" a="1"/>
  <c r="AZ183" i="3"/>
  <c r="AZ124" i="3" a="1"/>
  <c r="AZ124" i="3"/>
  <c r="AZ238" i="3" a="1"/>
  <c r="AZ238" i="3"/>
  <c r="AZ181" i="3" a="1"/>
  <c r="AZ181" i="3" l="1"/>
  <c r="AZ47" i="3" a="1"/>
  <c r="AZ47" i="3"/>
  <c r="AZ293" i="3" a="1"/>
  <c r="AZ293" i="3"/>
  <c r="AZ24" i="3" a="1"/>
  <c r="AZ24" i="3"/>
  <c r="AZ35" i="3" a="1"/>
  <c r="AZ35" i="3"/>
  <c r="AZ187" i="3" a="1"/>
  <c r="AZ187" i="3"/>
  <c r="AZ86" i="3" a="1"/>
  <c r="AZ86" i="3"/>
  <c r="AZ60" i="3" a="1"/>
  <c r="AZ60" i="3"/>
  <c r="AZ253" i="3" a="1"/>
  <c r="AZ253" i="3"/>
  <c r="AZ49" i="3" a="1"/>
  <c r="AZ49" i="3"/>
  <c r="AZ203" i="3" a="1"/>
  <c r="AZ203" i="3"/>
  <c r="AZ254" i="3" a="1"/>
  <c r="AZ254" i="3"/>
  <c r="AZ100" i="3" a="1"/>
  <c r="AZ100" i="3" l="1"/>
  <c r="AZ289" i="3" a="1"/>
  <c r="AZ289" i="3"/>
  <c r="AX8" i="4" a="1"/>
  <c r="AX8" i="4"/>
  <c r="AZ207" i="3" l="1" a="1"/>
  <c r="AZ207" i="3" l="1"/>
  <c r="AZ164" i="3" a="1"/>
  <c r="AZ164" i="3"/>
  <c r="AZ4" i="3" a="1"/>
  <c r="AZ4" i="3"/>
  <c r="AZ328" i="3" a="1"/>
  <c r="AZ328" i="3"/>
  <c r="AZ247" i="3" a="1"/>
  <c r="AZ247" i="3"/>
  <c r="AZ263" i="3" a="1"/>
  <c r="AZ263" i="3"/>
  <c r="BE2" i="2" a="1"/>
  <c r="BE2" i="2"/>
  <c r="AX2" i="4" a="1"/>
  <c r="AX2" i="4"/>
  <c r="AZ2" i="3" a="1"/>
  <c r="AZ2" i="3"/>
  <c r="AZ257" i="3" a="1"/>
  <c r="AZ257" i="3"/>
  <c r="AZ179" i="3" a="1"/>
  <c r="AZ179" i="3"/>
  <c r="BE22" i="2" a="1"/>
  <c r="BE22" i="2"/>
  <c r="AZ241" i="3" a="1"/>
  <c r="AZ241" i="3"/>
  <c r="AX55" i="4" a="1"/>
  <c r="AX55" i="4"/>
  <c r="AZ153" i="3" a="1"/>
  <c r="AZ153" i="3"/>
  <c r="BE3" i="2" a="1"/>
  <c r="BE3" i="2"/>
  <c r="AZ316" i="3" a="1"/>
  <c r="AZ316" i="3"/>
  <c r="AZ231" i="3" a="1"/>
  <c r="AZ231" i="3"/>
  <c r="AZ71" i="3" a="1"/>
  <c r="AZ71" i="3"/>
  <c r="AZ298" i="3" a="1"/>
  <c r="AZ298" i="3"/>
  <c r="AZ264" i="3" a="1"/>
  <c r="AZ264" i="3"/>
  <c r="AZ174" i="3" a="1"/>
  <c r="AZ174" i="3"/>
  <c r="AZ341" i="3" a="1"/>
  <c r="AZ341" i="3"/>
  <c r="AZ92" i="3" a="1"/>
  <c r="AZ92" i="3"/>
  <c r="AZ279" i="3" a="1"/>
  <c r="AZ279" i="3"/>
  <c r="AZ196" i="3" l="1" a="1"/>
  <c r="AZ196" i="3" l="1"/>
  <c r="AZ348" i="3" a="1"/>
  <c r="AZ348" i="3"/>
  <c r="AZ283" i="3" a="1"/>
  <c r="AZ283" i="3"/>
  <c r="AX21" i="4" a="1"/>
  <c r="AX21" i="4"/>
  <c r="AX22" i="4" a="1"/>
  <c r="AX22" i="4"/>
  <c r="AZ18" i="3" a="1"/>
  <c r="AZ18" i="3"/>
  <c r="AX58" i="4" a="1"/>
  <c r="AX58" i="4"/>
  <c r="BE7" i="2" a="1"/>
  <c r="BE7" i="2"/>
  <c r="AZ319" i="3" l="1" a="1"/>
  <c r="AZ319" i="3"/>
  <c r="AX37" i="4" a="1"/>
  <c r="AX37" i="4" l="1"/>
  <c r="AZ237" i="3" a="1"/>
  <c r="AZ237" i="3"/>
  <c r="AZ10" i="3" a="1"/>
  <c r="AZ10" i="3"/>
  <c r="AZ168" i="3" a="1"/>
  <c r="AZ168" i="3"/>
  <c r="AZ78" i="3" a="1"/>
  <c r="AZ78" i="3"/>
  <c r="AZ84" i="3" a="1"/>
  <c r="AZ84" i="3"/>
  <c r="AZ338" i="3" a="1"/>
  <c r="AZ338" i="3"/>
  <c r="BE6" i="2" a="1"/>
  <c r="BE6" i="2"/>
  <c r="AZ72" i="3" l="1" a="1"/>
  <c r="AZ72" i="3"/>
  <c r="AZ223" i="3" a="1"/>
  <c r="AZ223" i="3"/>
  <c r="AZ235" i="3" a="1"/>
  <c r="AZ235" i="3"/>
  <c r="AZ190" i="3" a="1"/>
  <c r="AZ190" i="3"/>
  <c r="AZ201" i="3" a="1"/>
  <c r="AZ201" i="3"/>
  <c r="AZ176" i="3" a="1"/>
  <c r="AZ176" i="3"/>
  <c r="AZ82" i="3" a="1"/>
  <c r="AZ82" i="3"/>
  <c r="AZ165" i="3" a="1"/>
  <c r="AZ165" i="3"/>
  <c r="AZ266" i="3" a="1"/>
  <c r="AZ266" i="3"/>
  <c r="AZ45" i="3" a="1"/>
  <c r="AZ45" i="3"/>
  <c r="AZ327" i="3" a="1"/>
  <c r="AZ327" i="3"/>
  <c r="AZ353" i="3" a="1"/>
  <c r="AZ353" i="3"/>
  <c r="AZ347" i="3" a="1"/>
  <c r="AZ347" i="3"/>
  <c r="AZ95" i="3" a="1"/>
  <c r="AZ95" i="3"/>
  <c r="AZ19" i="3" a="1"/>
  <c r="AZ19" i="3"/>
  <c r="AZ324" i="3" a="1"/>
  <c r="AZ324" i="3"/>
  <c r="AZ166" i="3" a="1"/>
  <c r="AZ166" i="3"/>
  <c r="AZ116" i="3" a="1"/>
  <c r="AZ116" i="3"/>
  <c r="AZ21" i="3" a="1"/>
  <c r="AZ21" i="3"/>
  <c r="AX44" i="4" a="1"/>
  <c r="AX44" i="4"/>
  <c r="AX13" i="4" a="1"/>
  <c r="AX13" i="4"/>
  <c r="AX31" i="4" a="1"/>
  <c r="AX31" i="4"/>
  <c r="AZ118" i="3" a="1"/>
  <c r="AZ118" i="3"/>
  <c r="AX25" i="4" a="1"/>
  <c r="AX25" i="4"/>
  <c r="AZ311" i="3" a="1"/>
  <c r="AZ311" i="3"/>
  <c r="AZ315" i="3" a="1"/>
  <c r="AZ315" i="3"/>
  <c r="AZ85" i="3" a="1"/>
  <c r="AZ85" i="3"/>
  <c r="AZ312" i="3" a="1"/>
  <c r="AZ312" i="3"/>
  <c r="AZ28" i="3" a="1"/>
  <c r="AZ28" i="3"/>
  <c r="AZ331" i="3" a="1"/>
  <c r="AZ331" i="3"/>
  <c r="AZ20" i="3" a="1"/>
  <c r="AZ20" i="3"/>
  <c r="AX41" i="4" a="1"/>
  <c r="AX41" i="4"/>
  <c r="AZ173" i="3" a="1"/>
  <c r="AZ173" i="3"/>
  <c r="AZ273" i="3" a="1"/>
  <c r="AZ273" i="3"/>
  <c r="AZ129" i="3" a="1"/>
  <c r="AZ129" i="3"/>
  <c r="AZ88" i="3" a="1"/>
  <c r="AZ88" i="3"/>
  <c r="AZ125" i="3" a="1"/>
  <c r="AZ125" i="3"/>
  <c r="AZ22" i="3" a="1"/>
  <c r="AZ22" i="3"/>
  <c r="AZ320" i="3" a="1"/>
  <c r="AZ320" i="3"/>
  <c r="AZ119" i="3" a="1"/>
  <c r="AZ119" i="3" l="1"/>
  <c r="AZ186" i="3" a="1"/>
  <c r="AZ186" i="3" l="1"/>
  <c r="AZ287" i="3" a="1"/>
  <c r="AZ287" i="3"/>
  <c r="AZ322" i="3" a="1"/>
  <c r="AZ322" i="3"/>
  <c r="AZ228" i="3" a="1"/>
  <c r="AZ228" i="3" l="1"/>
  <c r="AZ151" i="3" a="1"/>
  <c r="AZ151" i="3"/>
  <c r="AZ64" i="3" a="1"/>
  <c r="AZ64" i="3"/>
  <c r="AZ112" i="3" a="1"/>
  <c r="AZ112" i="3"/>
  <c r="AZ31" i="3" a="1"/>
  <c r="AZ31" i="3"/>
  <c r="AZ345" i="3" a="1"/>
  <c r="AZ345" i="3"/>
  <c r="AZ91" i="3" a="1"/>
  <c r="AZ91" i="3"/>
  <c r="AZ192" i="3" a="1"/>
  <c r="AZ192" i="3"/>
  <c r="AZ83" i="3" a="1"/>
  <c r="AZ83" i="3"/>
  <c r="AZ281" i="3" a="1"/>
  <c r="AZ281" i="3"/>
  <c r="BE5" i="2" a="1"/>
  <c r="BE5" i="2"/>
  <c r="AZ308" i="3" a="1"/>
  <c r="AZ308" i="3" l="1"/>
  <c r="AZ330" i="3" a="1"/>
  <c r="AZ330" i="3"/>
  <c r="AZ36" i="3" a="1"/>
  <c r="AZ36" i="3"/>
  <c r="AZ204" i="3" a="1"/>
  <c r="AZ204" i="3"/>
  <c r="AZ131" i="3" a="1"/>
  <c r="AZ131" i="3"/>
  <c r="AZ242" i="3" a="1"/>
  <c r="AZ242" i="3"/>
  <c r="AZ269" i="3" l="1" a="1"/>
  <c r="AZ269" i="3"/>
  <c r="AZ144" i="3" a="1"/>
  <c r="AZ144" i="3"/>
  <c r="BE8" i="2" a="1"/>
  <c r="BE8" i="2"/>
  <c r="AZ41" i="3" a="1"/>
  <c r="AZ41" i="3"/>
  <c r="AZ26" i="3" a="1"/>
  <c r="AZ26" i="3"/>
  <c r="AZ70" i="3" a="1"/>
  <c r="AZ70" i="3"/>
  <c r="AZ178" i="3" a="1"/>
  <c r="AZ178" i="3"/>
  <c r="BE17" i="2" a="1"/>
  <c r="BE17" i="2"/>
  <c r="AZ271" i="3" a="1"/>
  <c r="AZ271" i="3"/>
  <c r="AZ101" i="3" a="1"/>
  <c r="AZ101" i="3"/>
  <c r="AZ66" i="3" a="1"/>
  <c r="AZ66" i="3"/>
  <c r="AZ336" i="3" a="1"/>
  <c r="AZ336" i="3"/>
  <c r="AZ265" i="3" a="1"/>
  <c r="AZ265" i="3"/>
  <c r="AZ59" i="3" a="1"/>
  <c r="AZ59" i="3"/>
  <c r="AZ111" i="3" a="1"/>
  <c r="AZ111" i="3"/>
  <c r="AZ133" i="3" a="1"/>
  <c r="AZ133" i="3"/>
  <c r="AZ205" i="3" a="1"/>
  <c r="AZ205" i="3" l="1"/>
  <c r="AZ233" i="3" a="1"/>
  <c r="AZ233" i="3"/>
  <c r="AZ301" i="3" a="1"/>
  <c r="AZ301" i="3" l="1"/>
  <c r="AZ161" i="3" a="1"/>
  <c r="AZ161" i="3"/>
  <c r="AZ184" i="3" a="1"/>
  <c r="AZ184" i="3"/>
  <c r="AZ232" i="3" a="1"/>
  <c r="AZ232" i="3"/>
  <c r="AX28" i="4" a="1"/>
  <c r="AX28" i="4"/>
  <c r="AZ105" i="3" a="1"/>
  <c r="AZ105" i="3"/>
  <c r="AZ154" i="3" a="1"/>
  <c r="AZ154" i="3" l="1"/>
  <c r="AZ325" i="3" a="1"/>
  <c r="AZ325" i="3"/>
  <c r="AZ291" i="3" a="1"/>
  <c r="AZ291" i="3"/>
  <c r="AZ97" i="3" a="1"/>
  <c r="AZ97" i="3"/>
  <c r="AZ212" i="3" a="1"/>
  <c r="AZ212" i="3"/>
  <c r="AZ12" i="3" a="1"/>
  <c r="AZ12" i="3"/>
  <c r="AX43" i="4" a="1"/>
  <c r="AX43" i="4"/>
  <c r="AZ296" i="3" a="1"/>
  <c r="AZ296" i="3"/>
  <c r="AZ180" i="3" a="1"/>
  <c r="AZ180" i="3" l="1"/>
  <c r="AX46" i="4" a="1"/>
  <c r="AX46" i="4"/>
  <c r="AZ258" i="3" a="1"/>
  <c r="AZ258" i="3"/>
  <c r="AZ321" i="3" a="1"/>
  <c r="AZ321" i="3"/>
  <c r="AZ158" i="3" a="1"/>
  <c r="AZ158" i="3"/>
  <c r="AX27" i="4" a="1"/>
  <c r="AX27" i="4"/>
  <c r="AZ15" i="3" a="1"/>
  <c r="AZ15" i="3"/>
  <c r="AZ67" i="3" a="1"/>
  <c r="AZ67" i="3"/>
  <c r="AZ267" i="3" a="1"/>
  <c r="AZ267" i="3"/>
  <c r="AZ221" i="3" a="1"/>
  <c r="AZ221" i="3"/>
  <c r="AX11" i="4" a="1"/>
  <c r="AX11" i="4"/>
  <c r="AZ229" i="3" a="1"/>
  <c r="AZ229" i="3"/>
  <c r="BE9" i="2" a="1"/>
  <c r="BE9" i="2"/>
  <c r="AX15" i="4" a="1"/>
  <c r="AX15" i="4"/>
  <c r="AZ234" i="3" a="1"/>
  <c r="AZ234" i="3"/>
  <c r="AZ172" i="3" l="1" a="1"/>
  <c r="AZ172" i="3" l="1"/>
  <c r="AZ94" i="3" a="1"/>
  <c r="AZ94" i="3"/>
  <c r="AZ39" i="3" a="1"/>
  <c r="AZ39" i="3"/>
  <c r="AZ53" i="3" a="1"/>
  <c r="AZ53" i="3" l="1"/>
  <c r="AZ128" i="3" a="1"/>
  <c r="AZ128" i="3"/>
  <c r="AZ275" i="3" a="1"/>
  <c r="AZ275" i="3"/>
  <c r="AZ352" i="3" a="1"/>
  <c r="AZ352" i="3"/>
  <c r="AX38" i="4" a="1"/>
  <c r="AX38" i="4" l="1"/>
  <c r="AX53" i="4" a="1"/>
  <c r="AX53" i="4"/>
  <c r="AZ80" i="3" a="1"/>
  <c r="AZ80" i="3" l="1"/>
  <c r="AZ351" i="3" a="1"/>
  <c r="AZ351" i="3"/>
  <c r="AZ74" i="3" a="1"/>
  <c r="AZ74" i="3"/>
  <c r="AZ162" i="3" a="1"/>
  <c r="AZ162" i="3"/>
  <c r="AZ303" i="3" a="1"/>
  <c r="AZ303" i="3"/>
  <c r="AZ227" i="3" a="1"/>
  <c r="AZ227" i="3"/>
  <c r="AX5" i="4" a="1"/>
  <c r="AX5" i="4"/>
  <c r="AZ61" i="3" a="1"/>
  <c r="AZ61" i="3"/>
  <c r="AZ268" i="3" l="1" a="1"/>
  <c r="AZ268" i="3"/>
  <c r="AZ262" i="3" a="1"/>
  <c r="AZ262" i="3"/>
  <c r="AZ222" i="3" a="1"/>
  <c r="AZ222" i="3"/>
  <c r="AZ337" i="3" a="1"/>
  <c r="AZ337" i="3"/>
  <c r="AZ108" i="3" a="1"/>
  <c r="AZ108" i="3"/>
  <c r="AZ294" i="3" a="1"/>
  <c r="AZ294" i="3"/>
  <c r="AZ25" i="3" a="1"/>
  <c r="AZ25" i="3"/>
  <c r="AZ114" i="3" l="1" a="1"/>
  <c r="AZ114" i="3" l="1"/>
  <c r="AZ260" i="3" a="1"/>
  <c r="AZ260" i="3"/>
  <c r="AZ171" i="3" a="1"/>
  <c r="AZ171" i="3"/>
  <c r="AZ139" i="3" a="1"/>
  <c r="AZ139" i="3"/>
  <c r="AZ93" i="3" l="1" a="1"/>
  <c r="AZ93" i="3" l="1"/>
  <c r="AZ68" i="3" a="1"/>
  <c r="AZ68" i="3"/>
  <c r="AZ272" i="3" a="1"/>
  <c r="AZ272" i="3"/>
  <c r="AZ32" i="3" a="1"/>
  <c r="AZ32" i="3"/>
  <c r="AZ313" i="3" a="1"/>
  <c r="AZ313" i="3"/>
  <c r="AZ300" i="3" a="1"/>
  <c r="AZ300" i="3"/>
  <c r="AZ11" i="3" a="1"/>
  <c r="AZ11" i="3"/>
  <c r="AZ76" i="3" a="1"/>
  <c r="AZ76" i="3"/>
  <c r="AZ323" i="3" a="1"/>
  <c r="AZ323" i="3"/>
  <c r="AX23" i="4" a="1"/>
  <c r="AX23" i="4"/>
  <c r="AZ8" i="3" a="1"/>
  <c r="AZ8" i="3"/>
  <c r="AZ55" i="3" a="1"/>
  <c r="AZ55" i="3" l="1"/>
  <c r="AZ115" i="3" a="1"/>
  <c r="AZ115" i="3"/>
  <c r="AZ314" i="3" a="1"/>
  <c r="AZ314" i="3"/>
  <c r="AZ145" i="3" a="1"/>
  <c r="AZ145" i="3"/>
  <c r="AZ299" i="3" a="1"/>
  <c r="AZ299" i="3"/>
  <c r="AX56" i="4" a="1"/>
  <c r="AX56" i="4"/>
  <c r="AZ236" i="3" a="1"/>
  <c r="AZ236" i="3"/>
  <c r="AZ270" i="3" a="1"/>
  <c r="AZ270" i="3"/>
  <c r="AX10" i="4" a="1"/>
  <c r="AX10" i="4"/>
  <c r="AZ117" i="3" a="1"/>
  <c r="AZ117" i="3" l="1"/>
  <c r="AX19" i="4" a="1"/>
  <c r="AX19" i="4"/>
  <c r="AZ142" i="3" a="1"/>
  <c r="AZ142" i="3"/>
  <c r="AZ27" i="3" a="1"/>
  <c r="AZ27" i="3"/>
  <c r="AZ120" i="3" a="1"/>
  <c r="AZ120" i="3"/>
  <c r="AZ58" i="3" a="1"/>
  <c r="AZ58" i="3"/>
  <c r="AZ333" i="3" a="1"/>
  <c r="AZ333" i="3"/>
  <c r="AZ87" i="3" a="1"/>
  <c r="AZ87" i="3"/>
  <c r="AZ182" i="3" a="1"/>
  <c r="AZ182" i="3"/>
  <c r="AZ245" i="3" a="1"/>
  <c r="AZ245" i="3"/>
  <c r="AZ202" i="3" a="1"/>
  <c r="AZ202" i="3"/>
  <c r="AZ213" i="3" a="1"/>
  <c r="AZ213" i="3"/>
  <c r="AZ326" i="3" a="1"/>
  <c r="AZ326" i="3"/>
  <c r="AZ284" i="3" a="1"/>
  <c r="AZ284" i="3"/>
  <c r="AZ167" i="3" a="1"/>
  <c r="AZ167" i="3"/>
  <c r="AZ7" i="3" a="1"/>
  <c r="AZ7" i="3"/>
  <c r="AZ110" i="3" a="1"/>
  <c r="AZ110" i="3" l="1"/>
  <c r="AX34" i="4" a="1"/>
  <c r="AX34" i="4"/>
  <c r="AX59" i="4" a="1"/>
  <c r="AX59" i="4"/>
  <c r="AZ146" i="3" a="1"/>
  <c r="AZ146" i="3" l="1"/>
  <c r="AZ239" i="3" a="1"/>
  <c r="AZ239" i="3"/>
  <c r="AZ121" i="3" a="1"/>
  <c r="AZ121" i="3"/>
  <c r="AX16" i="4" a="1"/>
  <c r="AX16" i="4"/>
  <c r="AZ329" i="3" a="1"/>
  <c r="AZ329" i="3"/>
  <c r="AZ334" i="3" a="1"/>
  <c r="AZ334" i="3"/>
  <c r="AZ130" i="3" a="1"/>
  <c r="AZ130" i="3"/>
  <c r="AZ193" i="3" a="1"/>
  <c r="AZ193" i="3"/>
  <c r="AZ306" i="3" a="1"/>
  <c r="AZ306" i="3"/>
  <c r="AZ349" i="3" a="1"/>
  <c r="AZ349" i="3"/>
  <c r="AZ122" i="3" a="1"/>
  <c r="AZ122" i="3"/>
  <c r="AZ104" i="3" a="1"/>
  <c r="AZ104" i="3"/>
  <c r="AZ217" i="3" a="1"/>
  <c r="AZ217" i="3"/>
  <c r="AX24" i="4" a="1"/>
  <c r="AX24" i="4"/>
  <c r="AZ103" i="3" a="1"/>
  <c r="AZ103" i="3"/>
  <c r="AZ206" i="3" a="1"/>
  <c r="AZ206" i="3"/>
  <c r="AZ350" i="3" a="1"/>
  <c r="AZ350" i="3"/>
  <c r="AZ305" i="3" a="1"/>
  <c r="AZ305" i="3" l="1"/>
  <c r="AZ317" i="3" a="1"/>
  <c r="AZ317" i="3"/>
  <c r="AZ6" i="3" a="1"/>
  <c r="AZ6" i="3"/>
  <c r="AX9" i="4" a="1"/>
  <c r="AX9" i="4"/>
  <c r="AZ50" i="3" a="1"/>
  <c r="AZ50" i="3"/>
  <c r="AZ134" i="3" a="1"/>
  <c r="AZ134" i="3"/>
  <c r="AZ220" i="3" a="1"/>
  <c r="AZ220" i="3"/>
  <c r="AZ40" i="3" a="1"/>
  <c r="AZ40" i="3"/>
  <c r="BE71" i="2" a="1"/>
  <c r="BE71" i="2" l="1"/>
  <c r="AZ102" i="3" a="1"/>
  <c r="AZ102" i="3" l="1"/>
  <c r="AZ155" i="3" a="1"/>
  <c r="AZ155" i="3"/>
  <c r="AZ208" i="3" a="1"/>
  <c r="AZ208" i="3"/>
  <c r="AZ65" i="3" a="1"/>
  <c r="AZ65" i="3"/>
  <c r="AZ138" i="3" a="1"/>
  <c r="AZ138" i="3"/>
  <c r="AZ141" i="3" a="1"/>
  <c r="AZ141" i="3"/>
  <c r="AX4" i="4" a="1"/>
  <c r="AX4" i="4"/>
  <c r="AZ170" i="3" a="1"/>
  <c r="AZ170" i="3"/>
  <c r="AZ157" i="3" a="1"/>
  <c r="AZ157" i="3"/>
  <c r="AZ199" i="3" a="1"/>
  <c r="AZ199" i="3"/>
  <c r="AZ277" i="3" a="1"/>
  <c r="AZ277" i="3"/>
  <c r="AX52" i="4" a="1"/>
  <c r="AX52" i="4"/>
  <c r="AZ44" i="3" a="1"/>
  <c r="AZ44" i="3"/>
  <c r="AZ13" i="3" a="1"/>
  <c r="AZ13" i="3"/>
  <c r="AZ219" i="3" a="1"/>
  <c r="AZ219" i="3"/>
  <c r="BE4" i="2" a="1"/>
  <c r="BE4" i="2"/>
  <c r="AZ248" i="3" a="1"/>
  <c r="AZ248" i="3"/>
  <c r="AZ177" i="3" a="1"/>
  <c r="AZ177" i="3"/>
  <c r="AX20" i="4" a="1"/>
  <c r="AX20" i="4"/>
  <c r="AZ57" i="3" a="1"/>
  <c r="AZ57" i="3"/>
  <c r="AZ211" i="3" a="1"/>
  <c r="AZ211" i="3"/>
  <c r="AX39" i="4" a="1"/>
  <c r="AX39" i="4"/>
  <c r="AZ224" i="3" a="1"/>
  <c r="AZ224" i="3"/>
  <c r="AZ135" i="3" a="1"/>
  <c r="AZ135" i="3"/>
  <c r="AZ339" i="3" a="1"/>
  <c r="AZ339" i="3"/>
  <c r="AX17" i="4" a="1"/>
  <c r="AX17" i="4"/>
  <c r="AZ216" i="3" a="1"/>
  <c r="AZ216" i="3"/>
  <c r="AZ132" i="3" a="1"/>
  <c r="AZ132" i="3"/>
  <c r="AZ48" i="3" a="1"/>
  <c r="AZ48" i="3"/>
  <c r="AX14" i="4" a="1"/>
  <c r="AX14" i="4" l="1"/>
  <c r="AZ150" i="3" a="1"/>
  <c r="AZ150" i="3"/>
  <c r="AZ106" i="3" a="1"/>
  <c r="AZ106" i="3"/>
  <c r="AZ90" i="3" a="1"/>
  <c r="AZ90" i="3"/>
  <c r="AZ346" i="3" a="1"/>
  <c r="AZ346" i="3"/>
  <c r="AZ152" i="3" a="1"/>
  <c r="AZ152" i="3" l="1"/>
  <c r="AZ255" i="3" a="1"/>
  <c r="AZ255" i="3"/>
  <c r="AZ79" i="3" a="1"/>
  <c r="AZ79" i="3" l="1"/>
  <c r="AZ297" i="3" a="1"/>
  <c r="AZ297" i="3" l="1"/>
  <c r="AZ62" i="3" a="1"/>
  <c r="AZ62" i="3"/>
  <c r="AZ286" i="3" a="1"/>
  <c r="AZ286" i="3"/>
  <c r="AZ81" i="3" a="1"/>
  <c r="AZ81" i="3"/>
  <c r="AZ188" i="3" a="1"/>
  <c r="AZ188" i="3"/>
  <c r="AZ99" i="3" a="1"/>
  <c r="AZ99" i="3"/>
  <c r="AZ282" i="3" a="1"/>
  <c r="AZ282" i="3"/>
  <c r="AZ198" i="3" a="1"/>
  <c r="AZ198" i="3"/>
  <c r="AZ37" i="3" a="1"/>
  <c r="AZ37" i="3"/>
  <c r="AZ250" i="3" a="1"/>
  <c r="AZ250" i="3"/>
  <c r="AZ16" i="3" a="1"/>
  <c r="AZ16" i="3"/>
  <c r="AZ195" i="3" a="1"/>
  <c r="AZ195" i="3"/>
  <c r="AZ252" i="3" a="1"/>
  <c r="AZ252" i="3"/>
  <c r="AZ276" i="3" a="1"/>
  <c r="AZ276" i="3"/>
  <c r="AZ256" i="3" a="1"/>
  <c r="AZ256" i="3"/>
  <c r="AZ309" i="3" a="1"/>
  <c r="AZ309" i="3"/>
  <c r="AZ17" i="3" a="1"/>
  <c r="AZ17" i="3"/>
  <c r="AZ215" i="3" a="1"/>
  <c r="AZ215" i="3" l="1"/>
  <c r="AZ5" i="3" a="1"/>
  <c r="AZ5" i="3" l="1"/>
  <c r="AZ288" i="3" a="1"/>
  <c r="AZ288" i="3"/>
  <c r="AX42" i="4" a="1"/>
  <c r="AX42" i="4"/>
  <c r="AZ98" i="3" a="1"/>
  <c r="AZ98" i="3"/>
  <c r="AZ240" i="3" a="1"/>
  <c r="AZ240" i="3"/>
  <c r="AZ280" i="3" a="1"/>
  <c r="AZ280" i="3"/>
  <c r="AZ127" i="3" a="1"/>
  <c r="AZ127" i="3"/>
  <c r="AZ52" i="3" a="1"/>
  <c r="AZ52" i="3"/>
  <c r="AZ210" i="3" a="1"/>
  <c r="AZ210" i="3"/>
  <c r="AZ75" i="3" a="1"/>
  <c r="AZ75" i="3"/>
  <c r="AX35" i="4" a="1"/>
  <c r="AX35" i="4"/>
  <c r="AZ136" i="3" a="1"/>
  <c r="AZ136" i="3"/>
  <c r="AX3" i="4" l="1" a="1"/>
  <c r="AX3" i="4"/>
  <c r="AS24" i="3" a="1"/>
  <c r="AS24" i="3"/>
  <c r="AZ225" i="3" a="1"/>
  <c r="AZ225" i="3"/>
  <c r="AZ147" i="3" a="1"/>
  <c r="AZ147" i="3"/>
  <c r="AZ140" i="3" a="1"/>
  <c r="AZ140" i="3"/>
  <c r="AZ244" i="3" a="1"/>
  <c r="AZ244" i="3"/>
  <c r="AZ96" i="3" a="1"/>
  <c r="AZ96" i="3"/>
  <c r="AZ189" i="3" a="1"/>
  <c r="AZ189" i="3"/>
  <c r="AZ307" i="3" a="1"/>
  <c r="AZ307" i="3"/>
  <c r="AZ156" i="3" a="1"/>
  <c r="AZ156" i="3"/>
  <c r="AZ285" i="3" a="1"/>
  <c r="AZ285" i="3"/>
  <c r="AX45" i="4" a="1"/>
  <c r="AX45" i="4"/>
  <c r="AZ274" i="3" a="1"/>
  <c r="AZ274" i="3"/>
  <c r="AZ51" i="3" a="1"/>
  <c r="AZ51" i="3" l="1"/>
  <c r="AX30" i="4" a="1"/>
  <c r="AX30" i="4"/>
  <c r="AZ77" i="3" a="1"/>
  <c r="AZ77" i="3"/>
  <c r="AZ9" i="3" a="1"/>
  <c r="AZ9" i="3"/>
  <c r="AZ23" i="3" a="1"/>
  <c r="AZ23" i="3"/>
  <c r="BE16" i="2" a="1"/>
  <c r="BE16" i="2"/>
  <c r="AZ249" i="3" a="1"/>
  <c r="AZ249" i="3"/>
  <c r="AZ14" i="3" a="1"/>
  <c r="AZ14" i="3"/>
  <c r="AZ304" i="3" a="1"/>
  <c r="AZ304" i="3"/>
  <c r="AZ137" i="3" a="1"/>
  <c r="AZ137" i="3"/>
  <c r="AZ160" i="3" a="1"/>
  <c r="AZ160" i="3"/>
  <c r="AZ33" i="3" a="1"/>
  <c r="AZ33" i="3" l="1"/>
  <c r="AZ191" i="3" a="1"/>
  <c r="AZ191" i="3"/>
  <c r="AX54" i="4" a="1"/>
  <c r="AX54" i="4"/>
  <c r="AZ344" i="3" a="1"/>
  <c r="AZ344" i="3"/>
  <c r="AZ343" i="3" a="1"/>
  <c r="AZ343" i="3"/>
  <c r="AX40" i="4" a="1"/>
  <c r="AX40" i="4"/>
  <c r="AZ261" i="3" a="1"/>
  <c r="AZ261" i="3"/>
  <c r="AS52" i="3" a="1"/>
  <c r="AS52" i="3"/>
  <c r="AS178" i="3" a="1"/>
  <c r="AS178" i="3"/>
  <c r="AZ143" i="3" a="1"/>
  <c r="AZ143" i="3"/>
  <c r="AZ109" i="3" a="1"/>
  <c r="AZ109" i="3"/>
  <c r="AX26" i="4" a="1"/>
  <c r="AX26" i="4"/>
  <c r="AZ197" i="3" a="1"/>
  <c r="AZ197" i="3"/>
  <c r="AZ226" i="3" a="1"/>
  <c r="AZ226" i="3"/>
  <c r="AQ3" i="4" a="1"/>
  <c r="AQ3" i="4"/>
  <c r="AS225" i="3" a="1"/>
  <c r="AS225" i="3"/>
  <c r="AS207" i="3" a="1"/>
  <c r="AS207" i="3"/>
  <c r="AS70" i="3" l="1" a="1"/>
  <c r="AS70" i="3"/>
  <c r="AS350" i="3" a="1"/>
  <c r="AS350" i="3"/>
  <c r="AS320" i="3" a="1"/>
  <c r="AS320" i="3" l="1"/>
  <c r="AS326" i="3" a="1"/>
  <c r="AS326" i="3"/>
  <c r="AS48" i="3" a="1"/>
  <c r="AS48" i="3"/>
  <c r="AS272" i="3" a="1"/>
  <c r="AS272" i="3" l="1"/>
  <c r="AQ35" i="4" a="1"/>
  <c r="AQ35" i="4"/>
  <c r="AS76" i="3" a="1"/>
  <c r="AS76" i="3"/>
  <c r="AQ26" i="4" a="1"/>
  <c r="AQ26" i="4"/>
  <c r="AS197" i="3" a="1"/>
  <c r="AS197" i="3"/>
  <c r="AQ18" i="4" a="1"/>
  <c r="AQ18" i="4"/>
  <c r="AS61" i="3" a="1"/>
  <c r="AS61" i="3"/>
  <c r="AQ27" i="4" a="1"/>
  <c r="AQ27" i="4"/>
  <c r="AQ33" i="4" a="1"/>
  <c r="AQ33" i="4"/>
  <c r="AS19" i="3" a="1"/>
  <c r="AS19" i="3"/>
  <c r="AS9" i="3" a="1"/>
  <c r="AS9" i="3"/>
  <c r="AS80" i="3" a="1"/>
  <c r="AS80" i="3"/>
  <c r="AS322" i="3" a="1"/>
  <c r="AS322" i="3"/>
  <c r="AS276" i="3" a="1"/>
  <c r="AS276" i="3"/>
  <c r="AS302" i="3" a="1"/>
  <c r="AS302" i="3" l="1"/>
  <c r="AS233" i="3" a="1"/>
  <c r="AS233" i="3"/>
  <c r="AQ43" i="4" a="1"/>
  <c r="AQ43" i="4"/>
  <c r="AS196" i="3" a="1"/>
  <c r="AS196" i="3"/>
  <c r="AS209" i="3" a="1"/>
  <c r="AS209" i="3"/>
  <c r="AS107" i="3" a="1"/>
  <c r="AS107" i="3"/>
  <c r="AS87" i="3" a="1"/>
  <c r="AS87" i="3"/>
  <c r="AS115" i="3" a="1"/>
  <c r="AS115" i="3"/>
  <c r="AS74" i="3" a="1"/>
  <c r="AS74" i="3"/>
  <c r="AS289" i="3" a="1"/>
  <c r="AS289" i="3"/>
  <c r="AS254" i="3" a="1"/>
  <c r="AS254" i="3"/>
  <c r="AX3" i="2" a="1"/>
  <c r="AX3" i="2" l="1"/>
  <c r="AS316" i="3" a="1"/>
  <c r="AS316" i="3"/>
  <c r="AS113" i="3" a="1"/>
  <c r="AS113" i="3"/>
  <c r="AS327" i="3" a="1"/>
  <c r="AS327" i="3"/>
  <c r="AS169" i="3" a="1"/>
  <c r="AS169" i="3"/>
  <c r="AS172" i="3" a="1"/>
  <c r="AS172" i="3"/>
  <c r="AS183" i="3" a="1"/>
  <c r="AS183" i="3"/>
  <c r="AS33" i="3" a="1"/>
  <c r="AS33" i="3"/>
  <c r="AS208" i="3" a="1"/>
  <c r="AS208" i="3"/>
  <c r="AS15" i="3" a="1"/>
  <c r="AS15" i="3"/>
  <c r="AS318" i="3" a="1"/>
  <c r="AS318" i="3"/>
  <c r="AS122" i="3" a="1"/>
  <c r="AS122" i="3"/>
  <c r="AX5" i="2" a="1"/>
  <c r="AX5" i="2"/>
  <c r="AS214" i="3" a="1"/>
  <c r="AS214" i="3"/>
  <c r="AX6" i="2" a="1"/>
  <c r="AX6" i="2" l="1"/>
  <c r="AS93" i="3" a="1"/>
  <c r="AS93" i="3"/>
  <c r="AS171" i="3" a="1"/>
  <c r="AS171" i="3"/>
  <c r="AS116" i="3" a="1"/>
  <c r="AS116" i="3"/>
  <c r="AQ15" i="4" a="1"/>
  <c r="AQ15" i="4" l="1"/>
  <c r="AS157" i="3" a="1"/>
  <c r="AS157" i="3"/>
  <c r="AS103" i="3" a="1"/>
  <c r="AS103" i="3" l="1"/>
  <c r="AS84" i="3" a="1"/>
  <c r="AS84" i="3"/>
  <c r="AS278" i="3" a="1"/>
  <c r="AS278" i="3"/>
  <c r="AS293" i="3" a="1"/>
  <c r="AS293" i="3"/>
  <c r="AS67" i="3" a="1"/>
  <c r="AS67" i="3"/>
  <c r="AQ34" i="4" a="1"/>
  <c r="AQ34" i="4"/>
  <c r="AX10" i="2" a="1"/>
  <c r="AX10" i="2"/>
  <c r="AS306" i="3" a="1"/>
  <c r="AS306" i="3"/>
  <c r="AS297" i="3" a="1"/>
  <c r="AS297" i="3"/>
  <c r="AS112" i="3" a="1"/>
  <c r="AS112" i="3"/>
  <c r="AS26" i="3" a="1"/>
  <c r="AS26" i="3"/>
  <c r="AS244" i="3" a="1"/>
  <c r="AS244" i="3"/>
  <c r="AS260" i="3" a="1"/>
  <c r="AS260" i="3"/>
  <c r="AS88" i="3" a="1"/>
  <c r="AS88" i="3"/>
  <c r="AS154" i="3" a="1"/>
  <c r="AS154" i="3"/>
  <c r="AS138" i="3" a="1"/>
  <c r="AS138" i="3"/>
  <c r="AS35" i="3" a="1"/>
  <c r="AS35" i="3"/>
  <c r="AS246" i="3" a="1"/>
  <c r="AS246" i="3"/>
  <c r="AQ25" i="4" a="1"/>
  <c r="AQ25" i="4" l="1"/>
  <c r="AS349" i="3" l="1" a="1"/>
  <c r="AS349" i="3" l="1"/>
  <c r="AS89" i="3" a="1"/>
  <c r="AS89" i="3" l="1"/>
  <c r="AS51" i="3" a="1"/>
  <c r="AS51" i="3"/>
  <c r="AS137" i="3" a="1"/>
  <c r="AS137" i="3"/>
  <c r="AS10" i="3" a="1"/>
  <c r="AS10" i="3"/>
  <c r="AQ17" i="4" a="1"/>
  <c r="AQ17" i="4" l="1"/>
  <c r="AS282" i="3" a="1"/>
  <c r="AS282" i="3"/>
  <c r="AX8" i="2" a="1"/>
  <c r="AX8" i="2"/>
  <c r="AS333" i="3" a="1"/>
  <c r="AS333" i="3"/>
  <c r="AS337" i="3" a="1"/>
  <c r="AS337" i="3"/>
  <c r="AS340" i="3" a="1"/>
  <c r="AS340" i="3"/>
  <c r="AX22" i="2" a="1"/>
  <c r="AX22" i="2"/>
  <c r="AS6" i="3" a="1"/>
  <c r="AS6" i="3" l="1"/>
  <c r="AS50" i="3" a="1"/>
  <c r="AS50" i="3"/>
  <c r="AQ36" i="4" a="1"/>
  <c r="AQ36" i="4"/>
  <c r="AS300" i="3" a="1"/>
  <c r="AS300" i="3"/>
  <c r="AS345" i="3" a="1"/>
  <c r="AS345" i="3"/>
  <c r="AS30" i="3" a="1"/>
  <c r="AS30" i="3"/>
  <c r="AS294" i="3" a="1"/>
  <c r="AS294" i="3"/>
  <c r="AS195" i="3" a="1"/>
  <c r="AS195" i="3"/>
  <c r="AS42" i="3" a="1"/>
  <c r="AS42" i="3"/>
  <c r="AS141" i="3" a="1"/>
  <c r="AS141" i="3" l="1"/>
  <c r="AS144" i="3" a="1"/>
  <c r="AS144" i="3"/>
  <c r="AS170" i="3" a="1"/>
  <c r="AS170" i="3"/>
  <c r="AQ11" i="4" a="1"/>
  <c r="AQ11" i="4"/>
  <c r="AQ28" i="4" a="1"/>
  <c r="AQ28" i="4"/>
  <c r="AS267" i="3" a="1"/>
  <c r="AS267" i="3"/>
  <c r="AS236" i="3" a="1"/>
  <c r="AS236" i="3"/>
  <c r="AS139" i="3" a="1"/>
  <c r="AS139" i="3" l="1"/>
  <c r="AQ23" i="4" a="1"/>
  <c r="AQ23" i="4"/>
  <c r="AS12" i="3" a="1"/>
  <c r="AS12" i="3"/>
  <c r="AS204" i="3" a="1"/>
  <c r="AS204" i="3"/>
  <c r="AS277" i="3" a="1"/>
  <c r="AS277" i="3"/>
  <c r="AS298" i="3" a="1"/>
  <c r="AS298" i="3"/>
  <c r="AS143" i="3" a="1"/>
  <c r="AS143" i="3"/>
  <c r="AS339" i="3" a="1"/>
  <c r="AS339" i="3"/>
  <c r="AS136" i="3" a="1"/>
  <c r="AS136" i="3"/>
  <c r="AS191" i="3" a="1"/>
  <c r="AS191" i="3"/>
  <c r="AS149" i="3" a="1"/>
  <c r="AS149" i="3"/>
  <c r="AQ54" i="4" a="1"/>
  <c r="AQ54" i="4"/>
  <c r="AQ29" i="4" a="1"/>
  <c r="AQ29" i="4"/>
  <c r="AS309" i="3" a="1"/>
  <c r="AS309" i="3"/>
  <c r="AQ56" i="4" a="1"/>
  <c r="AQ56" i="4"/>
  <c r="AS228" i="3" a="1"/>
  <c r="AS228" i="3"/>
  <c r="AQ4" i="4" a="1"/>
  <c r="AQ4" i="4"/>
  <c r="AS125" i="3" a="1"/>
  <c r="AS125" i="3"/>
  <c r="AS335" i="3" a="1"/>
  <c r="AS335" i="3"/>
  <c r="AQ13" i="4" a="1"/>
  <c r="AQ13" i="4"/>
  <c r="AS152" i="3" a="1"/>
  <c r="AS152" i="3"/>
  <c r="AS232" i="3" a="1"/>
  <c r="AS232" i="3"/>
  <c r="AS256" i="3" a="1"/>
  <c r="AS256" i="3"/>
  <c r="AS218" i="3" a="1"/>
  <c r="AS218" i="3"/>
  <c r="AS268" i="3" a="1"/>
  <c r="AS268" i="3"/>
  <c r="AS158" i="3" a="1"/>
  <c r="AS158" i="3"/>
  <c r="AS155" i="3" a="1"/>
  <c r="AS155" i="3" l="1"/>
  <c r="AS184" i="3" a="1"/>
  <c r="AS184" i="3"/>
  <c r="AS286" i="3" l="1" a="1"/>
  <c r="AS286" i="3" l="1"/>
  <c r="AS237" i="3" a="1"/>
  <c r="AS237" i="3"/>
  <c r="AX9" i="2" a="1"/>
  <c r="AX9" i="2"/>
  <c r="AS13" i="3" a="1"/>
  <c r="AS13" i="3" l="1"/>
  <c r="AS106" i="3" a="1"/>
  <c r="AS106" i="3"/>
  <c r="AS240" i="3" a="1"/>
  <c r="AS240" i="3"/>
  <c r="AS210" i="3" a="1"/>
  <c r="AS210" i="3"/>
  <c r="AX4" i="2" a="1"/>
  <c r="AX4" i="2"/>
  <c r="AS248" i="3" a="1"/>
  <c r="AS248" i="3"/>
  <c r="AS303" i="3" a="1"/>
  <c r="AS303" i="3"/>
  <c r="AQ60" i="4" a="1"/>
  <c r="AQ60" i="4" l="1"/>
  <c r="AS79" i="3" a="1"/>
  <c r="AS79" i="3"/>
  <c r="AS156" i="3" a="1"/>
  <c r="AS156" i="3"/>
  <c r="AS81" i="3" a="1"/>
  <c r="AS81" i="3" l="1"/>
  <c r="AS270" i="3" a="1"/>
  <c r="AS270" i="3"/>
  <c r="AS271" i="3" a="1"/>
  <c r="AS271" i="3"/>
  <c r="AS227" i="3" a="1"/>
  <c r="AS227" i="3" l="1"/>
  <c r="AS215" i="3" a="1"/>
  <c r="AS215" i="3"/>
  <c r="AS205" i="3" a="1"/>
  <c r="AS205" i="3"/>
  <c r="AS201" i="3" a="1"/>
  <c r="AS201" i="3"/>
  <c r="AS192" i="3" a="1"/>
  <c r="AS192" i="3"/>
  <c r="AS347" i="3" a="1"/>
  <c r="AS347" i="3"/>
  <c r="AS323" i="3" a="1"/>
  <c r="AS323" i="3"/>
  <c r="AS140" i="3" a="1"/>
  <c r="AS140" i="3"/>
  <c r="AX17" i="2" a="1"/>
  <c r="AX17" i="2" l="1"/>
  <c r="AS280" i="3" a="1"/>
  <c r="AS280" i="3"/>
  <c r="AS94" i="3" a="1"/>
  <c r="AS94" i="3"/>
  <c r="AS174" i="3" a="1"/>
  <c r="AS174" i="3"/>
  <c r="AS135" i="3" a="1"/>
  <c r="AS135" i="3"/>
  <c r="AS20" i="3" a="1"/>
  <c r="AS20" i="3" l="1"/>
  <c r="AQ38" i="4" a="1"/>
  <c r="AQ38" i="4"/>
  <c r="AS324" i="3" a="1"/>
  <c r="AS324" i="3"/>
  <c r="AQ12" i="4" a="1"/>
  <c r="AQ12" i="4" l="1"/>
  <c r="AQ48" i="4" a="1"/>
  <c r="AQ48" i="4"/>
  <c r="AS153" i="3" a="1"/>
  <c r="AS153" i="3"/>
  <c r="AS114" i="3" a="1"/>
  <c r="AS114" i="3"/>
  <c r="AS304" i="3" a="1"/>
  <c r="AS304" i="3"/>
  <c r="AS255" i="3" a="1"/>
  <c r="AS255" i="3"/>
  <c r="AS221" i="3" a="1"/>
  <c r="AS221" i="3"/>
  <c r="AS78" i="3" a="1"/>
  <c r="AS78" i="3"/>
  <c r="AS216" i="3" a="1"/>
  <c r="AS216" i="3"/>
  <c r="AS119" i="3" a="1"/>
  <c r="AS119" i="3"/>
  <c r="AS91" i="3" a="1"/>
  <c r="AS91" i="3"/>
  <c r="AS124" i="3" a="1"/>
  <c r="AS124" i="3"/>
  <c r="AQ44" i="4" a="1"/>
  <c r="AQ44" i="4"/>
  <c r="AS164" i="3" a="1"/>
  <c r="AS164" i="3"/>
  <c r="AS97" i="3" a="1"/>
  <c r="AS97" i="3" l="1"/>
  <c r="AS264" i="3" a="1"/>
  <c r="AS264" i="3"/>
  <c r="AS64" i="3" a="1"/>
  <c r="AS64" i="3"/>
  <c r="AQ8" i="4" a="1"/>
  <c r="AQ8" i="4"/>
  <c r="AS351" i="3" a="1"/>
  <c r="AS351" i="3" l="1"/>
  <c r="AS53" i="3" a="1"/>
  <c r="AS53" i="3"/>
  <c r="AS231" i="3" a="1"/>
  <c r="AS231" i="3"/>
  <c r="AS328" i="3" a="1"/>
  <c r="AS328" i="3"/>
  <c r="AQ9" i="4" a="1"/>
  <c r="AQ9" i="4"/>
  <c r="AS54" i="3" a="1"/>
  <c r="AS54" i="3"/>
  <c r="AS311" i="3" a="1"/>
  <c r="AS311" i="3" l="1"/>
  <c r="AQ45" i="4" a="1"/>
  <c r="AQ45" i="4"/>
  <c r="AS305" i="3" a="1"/>
  <c r="AS305" i="3"/>
  <c r="AS8" i="3" a="1"/>
  <c r="AS8" i="3"/>
  <c r="AS45" i="3" a="1"/>
  <c r="AS45" i="3" l="1"/>
  <c r="AS287" i="3" a="1"/>
  <c r="AS287" i="3"/>
  <c r="AS32" i="3" a="1"/>
  <c r="AS32" i="3"/>
  <c r="AS95" i="3" a="1"/>
  <c r="AS95" i="3"/>
  <c r="AS285" i="3" a="1"/>
  <c r="AS285" i="3"/>
  <c r="AS73" i="3" a="1"/>
  <c r="AS73" i="3"/>
  <c r="AS239" i="3" a="1"/>
  <c r="AS239" i="3"/>
  <c r="AS62" i="3" a="1"/>
  <c r="AS62" i="3"/>
  <c r="AS100" i="3" a="1"/>
  <c r="AS100" i="3"/>
  <c r="AX7" i="2" a="1"/>
  <c r="AX7" i="2"/>
  <c r="AS257" i="3" a="1"/>
  <c r="AS257" i="3"/>
  <c r="AS187" i="3" a="1"/>
  <c r="AS187" i="3"/>
  <c r="AS41" i="3" a="1"/>
  <c r="AS41" i="3"/>
  <c r="AS238" i="3" a="1"/>
  <c r="AS238" i="3"/>
  <c r="AS134" i="3" a="1"/>
  <c r="AS134" i="3"/>
  <c r="AQ5" i="4" a="1"/>
  <c r="AQ5" i="4"/>
  <c r="AS160" i="3" a="1"/>
  <c r="AS160" i="3"/>
  <c r="AQ39" i="4" a="1"/>
  <c r="AQ39" i="4"/>
  <c r="AS329" i="3" a="1"/>
  <c r="AS329" i="3"/>
  <c r="AS104" i="3" a="1"/>
  <c r="AS104" i="3"/>
  <c r="AS315" i="3" a="1"/>
  <c r="AS315" i="3"/>
  <c r="AS203" i="3" a="1"/>
  <c r="AS203" i="3"/>
  <c r="AS241" i="3" a="1"/>
  <c r="AS241" i="3"/>
  <c r="AS146" i="3" a="1"/>
  <c r="AS146" i="3"/>
  <c r="AS5" i="3" a="1"/>
  <c r="AS5" i="3"/>
  <c r="AS3" i="3" a="1"/>
  <c r="AS3" i="3"/>
  <c r="AS110" i="3" a="1"/>
  <c r="AS110" i="3"/>
  <c r="AS263" i="3" a="1"/>
  <c r="AS263" i="3"/>
  <c r="AS105" i="3" a="1"/>
  <c r="AS105" i="3"/>
  <c r="AQ47" i="4" a="1"/>
  <c r="AQ47" i="4"/>
  <c r="AQ20" i="4" a="1"/>
  <c r="AQ20" i="4"/>
  <c r="AS352" i="3" a="1"/>
  <c r="AS352" i="3"/>
  <c r="AS148" i="3" a="1"/>
  <c r="AS148" i="3"/>
  <c r="AS346" i="3" a="1"/>
  <c r="AS346" i="3"/>
  <c r="AS98" i="3" a="1"/>
  <c r="AS98" i="3"/>
  <c r="AS75" i="3" a="1"/>
  <c r="AS75" i="3"/>
  <c r="AS310" i="3" a="1"/>
  <c r="AS310" i="3"/>
  <c r="AS186" i="3" a="1"/>
  <c r="AS186" i="3"/>
  <c r="AQ10" i="4" a="1"/>
  <c r="AQ10" i="4" l="1"/>
  <c r="AS299" i="3" a="1"/>
  <c r="AS299" i="3" l="1"/>
  <c r="AS334" i="3" a="1"/>
  <c r="AS334" i="3" l="1"/>
  <c r="AS128" i="3" a="1"/>
  <c r="AS128" i="3"/>
  <c r="AS71" i="3" a="1"/>
  <c r="AS71" i="3"/>
  <c r="AS274" i="3" a="1"/>
  <c r="AS274" i="3"/>
  <c r="AS175" i="3" a="1"/>
  <c r="AS175" i="3"/>
  <c r="AS145" i="3" a="1"/>
  <c r="AS145" i="3"/>
  <c r="AS177" i="3" a="1"/>
  <c r="AS177" i="3"/>
  <c r="AS253" i="3" a="1"/>
  <c r="AS253" i="3"/>
  <c r="AS47" i="3" a="1"/>
  <c r="AS47" i="3"/>
  <c r="AS325" i="3" a="1"/>
  <c r="AS325" i="3"/>
  <c r="AS129" i="3" a="1"/>
  <c r="AS129" i="3"/>
  <c r="AS23" i="3" a="1"/>
  <c r="AS23" i="3"/>
  <c r="AS60" i="3" a="1"/>
  <c r="AS60" i="3"/>
  <c r="AS245" i="3" a="1"/>
  <c r="AS245" i="3"/>
  <c r="AS90" i="3" a="1"/>
  <c r="AS90" i="3"/>
  <c r="AS292" i="3" a="1"/>
  <c r="AS292" i="3"/>
  <c r="AS46" i="3" a="1"/>
  <c r="AS46" i="3"/>
  <c r="AS261" i="3" a="1"/>
  <c r="AS261" i="3"/>
  <c r="AS181" i="3" a="1"/>
  <c r="AS181" i="3"/>
  <c r="AQ40" i="4" a="1"/>
  <c r="AQ40" i="4"/>
  <c r="AS86" i="3" a="1"/>
  <c r="AS86" i="3"/>
  <c r="AS159" i="3" a="1"/>
  <c r="AS159" i="3"/>
  <c r="AS29" i="3" a="1"/>
  <c r="AS29" i="3"/>
  <c r="AS111" i="3" a="1"/>
  <c r="AS111" i="3" l="1"/>
  <c r="AQ14" i="4" a="1"/>
  <c r="AQ14" i="4"/>
  <c r="AS312" i="3" a="1"/>
  <c r="AS312" i="3"/>
  <c r="AS342" i="3" a="1"/>
  <c r="AS342" i="3"/>
  <c r="AS49" i="3" a="1"/>
  <c r="AS49" i="3"/>
  <c r="AX16" i="2" a="1"/>
  <c r="AX16" i="2"/>
  <c r="AS43" i="3" a="1"/>
  <c r="AS43" i="3" l="1"/>
  <c r="AS179" i="3" a="1"/>
  <c r="AS179" i="3"/>
  <c r="AS123" i="3" a="1"/>
  <c r="AS123" i="3"/>
  <c r="AS321" i="3" a="1"/>
  <c r="AS321" i="3"/>
  <c r="AS348" i="3" a="1"/>
  <c r="AS348" i="3"/>
  <c r="AS190" i="3" a="1"/>
  <c r="AS190" i="3"/>
  <c r="AS217" i="3" a="1"/>
  <c r="AS217" i="3" l="1"/>
  <c r="AS336" i="3" a="1"/>
  <c r="AS336" i="3"/>
  <c r="AQ46" i="4" a="1"/>
  <c r="AQ46" i="4"/>
  <c r="AS258" i="3" a="1"/>
  <c r="AS258" i="3"/>
  <c r="AS344" i="3" a="1"/>
  <c r="AS344" i="3"/>
  <c r="AQ58" i="4" a="1"/>
  <c r="AQ58" i="4"/>
  <c r="AS85" i="3" a="1"/>
  <c r="AS85" i="3"/>
  <c r="AQ32" i="4" a="1"/>
  <c r="AQ32" i="4"/>
  <c r="AS213" i="3" a="1"/>
  <c r="AS213" i="3"/>
  <c r="AS130" i="3" a="1"/>
  <c r="AS130" i="3"/>
  <c r="AS17" i="3" a="1"/>
  <c r="AS17" i="3"/>
  <c r="AS101" i="3" a="1"/>
  <c r="AS101" i="3"/>
  <c r="AS266" i="3" a="1"/>
  <c r="AS266" i="3"/>
  <c r="AS7" i="3" a="1"/>
  <c r="AS7" i="3"/>
  <c r="AQ55" i="4" a="1"/>
  <c r="AQ55" i="4"/>
  <c r="AS291" i="3" a="1"/>
  <c r="AS291" i="3" l="1"/>
  <c r="AS69" i="3" a="1"/>
  <c r="AS69" i="3"/>
  <c r="AS82" i="3" a="1"/>
  <c r="AS82" i="3"/>
  <c r="AS235" i="3" a="1"/>
  <c r="AS235" i="3" l="1"/>
  <c r="AQ41" i="4" a="1"/>
  <c r="AQ41" i="4"/>
  <c r="AS57" i="3" a="1"/>
  <c r="AS57" i="3"/>
  <c r="AS142" i="3" a="1"/>
  <c r="AS142" i="3"/>
  <c r="AS55" i="3" a="1"/>
  <c r="AS55" i="3"/>
  <c r="AS226" i="3" a="1"/>
  <c r="AS226" i="3"/>
  <c r="AS108" i="3" a="1"/>
  <c r="AS108" i="3"/>
  <c r="AS200" i="3" a="1"/>
  <c r="AS200" i="3"/>
  <c r="AQ24" i="4" a="1"/>
  <c r="AQ24" i="4" l="1"/>
  <c r="AS353" i="3" a="1"/>
  <c r="AS353" i="3"/>
  <c r="AS59" i="3" a="1"/>
  <c r="AS59" i="3"/>
  <c r="AQ22" i="4" a="1"/>
  <c r="AQ22" i="4"/>
  <c r="AS31" i="3" a="1"/>
  <c r="AS31" i="3"/>
  <c r="AS36" i="3" a="1"/>
  <c r="AS36" i="3"/>
  <c r="AQ16" i="4" a="1"/>
  <c r="AQ16" i="4"/>
  <c r="AS242" i="3" a="1"/>
  <c r="AS242" i="3"/>
  <c r="AS16" i="3" a="1"/>
  <c r="AS16" i="3"/>
  <c r="AS11" i="3" a="1"/>
  <c r="AS11" i="3"/>
  <c r="AS243" i="3" a="1"/>
  <c r="AS243" i="3"/>
  <c r="AS83" i="3" a="1"/>
  <c r="AS83" i="3"/>
  <c r="AS343" i="3" a="1"/>
  <c r="AS343" i="3"/>
  <c r="AS290" i="3" a="1"/>
  <c r="AS290" i="3"/>
  <c r="AQ52" i="4" a="1"/>
  <c r="AQ52" i="4"/>
  <c r="AS189" i="3" a="1"/>
  <c r="AS189" i="3"/>
  <c r="AS96" i="3" a="1"/>
  <c r="AS96" i="3"/>
  <c r="AS265" i="3" a="1"/>
  <c r="AS265" i="3"/>
  <c r="AS166" i="3" a="1"/>
  <c r="AS166" i="3"/>
  <c r="AS34" i="3" a="1"/>
  <c r="AS34" i="3"/>
  <c r="AS58" i="3" a="1"/>
  <c r="AS58" i="3"/>
  <c r="AS223" i="3" a="1"/>
  <c r="AS223" i="3"/>
  <c r="AS165" i="3" a="1"/>
  <c r="AS165" i="3"/>
  <c r="AS283" i="3" a="1"/>
  <c r="AS283" i="3"/>
  <c r="AS147" i="3" a="1"/>
  <c r="AS147" i="3"/>
  <c r="AQ42" i="4" a="1"/>
  <c r="AQ42" i="4"/>
  <c r="AS295" i="3" a="1"/>
  <c r="AS295" i="3"/>
  <c r="AS194" i="3" a="1"/>
  <c r="AS194" i="3"/>
  <c r="AS176" i="3" a="1"/>
  <c r="AS176" i="3"/>
  <c r="AS222" i="3" a="1"/>
  <c r="AS222" i="3"/>
  <c r="AS307" i="3" a="1"/>
  <c r="AS307" i="3"/>
  <c r="AS250" i="3" a="1"/>
  <c r="AS250" i="3"/>
  <c r="AS314" i="3" a="1"/>
  <c r="AS314" i="3"/>
  <c r="AS281" i="3" a="1"/>
  <c r="AS281" i="3"/>
  <c r="AS211" i="3" a="1"/>
  <c r="AS211" i="3"/>
  <c r="AQ19" i="4" a="1"/>
  <c r="AQ19" i="4"/>
  <c r="AS133" i="3" a="1"/>
  <c r="AS133" i="3"/>
  <c r="AS230" i="3" a="1"/>
  <c r="AS230" i="3"/>
  <c r="AS117" i="3" a="1"/>
  <c r="AS117" i="3"/>
  <c r="AS68" i="3" a="1"/>
  <c r="AS68" i="3"/>
  <c r="AS168" i="3" a="1"/>
  <c r="AS168" i="3"/>
  <c r="AS185" i="3" a="1"/>
  <c r="AS185" i="3"/>
  <c r="AS279" i="3" a="1"/>
  <c r="AS279" i="3" l="1"/>
  <c r="AS319" i="3" l="1" a="1"/>
  <c r="AS319" i="3" l="1"/>
  <c r="AS341" i="3" a="1"/>
  <c r="AS341" i="3"/>
  <c r="AS173" i="3" a="1"/>
  <c r="AS173" i="3"/>
  <c r="AS180" i="3" a="1"/>
  <c r="AS180" i="3"/>
  <c r="AQ7" i="4" a="1"/>
  <c r="AQ7" i="4"/>
  <c r="AS284" i="3" a="1"/>
  <c r="AS284" i="3"/>
  <c r="AQ31" i="4" a="1"/>
  <c r="AQ31" i="4"/>
  <c r="AS247" i="3" a="1"/>
  <c r="AS247" i="3" l="1"/>
  <c r="AS27" i="3" a="1"/>
  <c r="AS27" i="3"/>
  <c r="AS39" i="3" l="1" a="1"/>
  <c r="AS39" i="3" l="1"/>
  <c r="AS338" i="3" a="1"/>
  <c r="AS338" i="3"/>
  <c r="AS163" i="3" a="1"/>
  <c r="AS163" i="3"/>
  <c r="AS25" i="3" a="1"/>
  <c r="AS25" i="3"/>
  <c r="AS72" i="3" a="1"/>
  <c r="AS72" i="3"/>
  <c r="AS18" i="3" a="1"/>
  <c r="AS18" i="3"/>
  <c r="AS40" i="3" a="1"/>
  <c r="AS40" i="3"/>
  <c r="AS77" i="3" a="1"/>
  <c r="AS77" i="3"/>
  <c r="AS182" i="3" a="1"/>
  <c r="AS182" i="3"/>
  <c r="AS198" i="3" a="1"/>
  <c r="AS198" i="3"/>
  <c r="AS296" i="3" a="1"/>
  <c r="AS296" i="3"/>
  <c r="AS126" i="3" a="1"/>
  <c r="AS126" i="3"/>
  <c r="AS224" i="3" a="1"/>
  <c r="AS224" i="3"/>
  <c r="AS37" i="3" a="1"/>
  <c r="AS37" i="3"/>
  <c r="AS301" i="3" a="1"/>
  <c r="AS301" i="3"/>
  <c r="AS193" i="3" a="1"/>
  <c r="AS193" i="3"/>
  <c r="AQ37" i="4" a="1"/>
  <c r="AQ37" i="4"/>
  <c r="AS249" i="3" a="1"/>
  <c r="AS249" i="3"/>
  <c r="AS150" i="3" a="1"/>
  <c r="AS150" i="3"/>
  <c r="AS308" i="3" a="1"/>
  <c r="AS308" i="3"/>
  <c r="AS251" i="3" a="1"/>
  <c r="AS251" i="3"/>
  <c r="AS206" i="3" a="1"/>
  <c r="AS206" i="3"/>
  <c r="AQ57" i="4" a="1"/>
  <c r="AQ57" i="4"/>
  <c r="AQ21" i="4" a="1"/>
  <c r="AQ21" i="4"/>
  <c r="AX71" i="2" a="1"/>
  <c r="AX71" i="2"/>
  <c r="AS120" i="3" a="1"/>
  <c r="AS120" i="3" l="1"/>
  <c r="AS331" i="3" a="1"/>
  <c r="AS331" i="3" l="1"/>
  <c r="AS131" i="3" a="1"/>
  <c r="AS131" i="3"/>
  <c r="AS229" i="3" a="1"/>
  <c r="AS229" i="3"/>
  <c r="AS102" i="3" a="1"/>
  <c r="AS102" i="3" l="1"/>
  <c r="AS121" i="3" a="1"/>
  <c r="AS121" i="3"/>
  <c r="AS14" i="3" a="1"/>
  <c r="AS14" i="3"/>
  <c r="AS132" i="3" a="1"/>
  <c r="AS132" i="3"/>
  <c r="AS262" i="3" a="1"/>
  <c r="AS262" i="3"/>
  <c r="AS66" i="3" a="1"/>
  <c r="AS66" i="3"/>
  <c r="AS330" i="3" a="1"/>
  <c r="AS330" i="3"/>
  <c r="AS259" i="3" a="1"/>
  <c r="AS259" i="3"/>
  <c r="AX2" i="2" a="1"/>
  <c r="AX2" i="2"/>
  <c r="AQ2" i="4" a="1"/>
  <c r="AQ2" i="4"/>
  <c r="AS2" i="3" a="1"/>
  <c r="AS2" i="3"/>
  <c r="AS44" i="3" a="1"/>
  <c r="AS44" i="3"/>
  <c r="AS56" i="3" a="1"/>
  <c r="AS56" i="3"/>
  <c r="AS269" i="3" a="1"/>
  <c r="AS269" i="3"/>
  <c r="AS21" i="3" a="1"/>
  <c r="AS21" i="3"/>
  <c r="AQ30" i="4" a="1"/>
  <c r="AQ30" i="4"/>
  <c r="AS212" i="3" a="1"/>
  <c r="AS212" i="3"/>
  <c r="AS118" i="3" a="1"/>
  <c r="AS118" i="3" l="1"/>
  <c r="AS199" i="3" a="1"/>
  <c r="AS199" i="3"/>
  <c r="AQ59" i="4" a="1"/>
  <c r="AQ59" i="4"/>
  <c r="AS109" i="3" a="1"/>
  <c r="AS109" i="3"/>
  <c r="AS161" i="3" a="1"/>
  <c r="AS161" i="3" l="1"/>
  <c r="AS151" i="3" a="1"/>
  <c r="AS151" i="3"/>
  <c r="AS65" i="3" a="1"/>
  <c r="AS65" i="3"/>
  <c r="AQ53" i="4" a="1"/>
  <c r="AQ53" i="4"/>
  <c r="AS273" i="3" a="1"/>
  <c r="AS273" i="3"/>
  <c r="AS99" i="3" a="1"/>
  <c r="AS99" i="3"/>
  <c r="AQ61" i="4" a="1"/>
  <c r="AQ61" i="4"/>
  <c r="AS202" i="3" a="1"/>
  <c r="AS202" i="3"/>
  <c r="AS28" i="3" a="1"/>
  <c r="AS28" i="3"/>
  <c r="AS63" i="3" a="1"/>
  <c r="AS63" i="3"/>
  <c r="AS92" i="3" a="1"/>
  <c r="AS92" i="3"/>
  <c r="AS275" i="3" a="1"/>
  <c r="AS275" i="3"/>
  <c r="AS162" i="3" a="1"/>
  <c r="AS162" i="3"/>
  <c r="AS188" i="3" a="1"/>
  <c r="AS188" i="3"/>
  <c r="AS22" i="3" a="1"/>
  <c r="AS22" i="3"/>
  <c r="AS252" i="3" a="1"/>
  <c r="AS252" i="3"/>
  <c r="AS317" i="3" a="1"/>
  <c r="AS317" i="3"/>
  <c r="AS332" i="3" a="1"/>
  <c r="AS332" i="3"/>
  <c r="AS4" i="3" a="1"/>
  <c r="AS4" i="3" l="1"/>
  <c r="AS234" i="3" a="1"/>
  <c r="AS234" i="3"/>
  <c r="AS38" i="3" a="1"/>
  <c r="AS38" i="3"/>
  <c r="AS288" i="3" a="1"/>
  <c r="AS288" i="3"/>
  <c r="AS167" i="3" a="1"/>
  <c r="AS167" i="3"/>
  <c r="AS313" i="3" a="1"/>
  <c r="AS313" i="3"/>
  <c r="AS127" i="3" a="1"/>
  <c r="AS127" i="3"/>
  <c r="AS219" i="3" a="1"/>
  <c r="AS219" i="3"/>
  <c r="F245" i="3"/>
  <c r="AS220" i="3" l="1" a="1"/>
  <c r="AS220" i="3"/>
  <c r="F208" i="3"/>
  <c r="F169" i="3"/>
  <c r="F15" i="3"/>
  <c r="F272" i="3"/>
  <c r="F154" i="3"/>
  <c r="F79" i="3"/>
  <c r="K6" i="2"/>
  <c r="F192" i="3"/>
  <c r="D39" i="4"/>
  <c r="D37" i="4"/>
  <c r="F267" i="3"/>
  <c r="F273" i="3"/>
  <c r="F244" i="3"/>
  <c r="F210" i="3"/>
  <c r="D45" i="4"/>
  <c r="D27" i="4"/>
  <c r="F123" i="3"/>
  <c r="F353" i="3"/>
  <c r="F64" i="3"/>
  <c r="F5" i="3"/>
  <c r="F110" i="3"/>
  <c r="K3" i="2"/>
  <c r="F316" i="3"/>
  <c r="F222" i="3"/>
  <c r="F111" i="3"/>
  <c r="F249" i="3"/>
  <c r="D20" i="4"/>
  <c r="F122" i="3"/>
  <c r="F230" i="3"/>
  <c r="D14" i="4"/>
  <c r="D46" i="4"/>
  <c r="F258" i="3"/>
  <c r="F313" i="3"/>
  <c r="F17" i="3"/>
  <c r="D48" i="4"/>
  <c r="F135" i="3"/>
  <c r="F341" i="3"/>
  <c r="F335" i="3"/>
  <c r="F237" i="3"/>
  <c r="F63" i="3"/>
  <c r="F86" i="3"/>
  <c r="F271" i="3"/>
  <c r="F290" i="3"/>
  <c r="F226" i="3"/>
  <c r="F14" i="3"/>
  <c r="F312" i="3"/>
  <c r="D11" i="4"/>
  <c r="F46" i="3"/>
  <c r="F121" i="3"/>
  <c r="F206" i="3"/>
  <c r="F298" i="3"/>
  <c r="F114" i="3"/>
  <c r="F12" i="3"/>
  <c r="F266" i="3"/>
  <c r="F302" i="3"/>
  <c r="F182" i="3"/>
  <c r="F278" i="3"/>
  <c r="F198" i="3"/>
  <c r="K10" i="2"/>
  <c r="D17" i="4"/>
  <c r="F58" i="3"/>
  <c r="F130" i="3"/>
  <c r="F188" i="3"/>
  <c r="K16" i="2"/>
  <c r="D56" i="4"/>
  <c r="F33" i="3"/>
  <c r="F115" i="3"/>
  <c r="F317" i="3"/>
  <c r="F170" i="3"/>
  <c r="F339" i="3"/>
  <c r="F288" i="3"/>
  <c r="F334" i="3"/>
  <c r="F65" i="3"/>
  <c r="F174" i="3"/>
  <c r="D32" i="4"/>
  <c r="F7" i="3"/>
  <c r="F11" i="3"/>
  <c r="F44" i="3"/>
  <c r="F172" i="3"/>
  <c r="F132" i="3"/>
  <c r="K2" i="2"/>
  <c r="D2" i="4"/>
  <c r="F2" i="3"/>
  <c r="F205" i="3"/>
  <c r="F225" i="3"/>
  <c r="F16" i="3"/>
  <c r="K8" i="2"/>
  <c r="F309" i="3"/>
  <c r="F163" i="3"/>
  <c r="F51" i="3"/>
  <c r="F109" i="3"/>
  <c r="F159" i="3"/>
  <c r="F231" i="3"/>
  <c r="F276" i="3"/>
  <c r="F97" i="3"/>
  <c r="F128" i="3"/>
  <c r="F137" i="3"/>
  <c r="F144" i="3"/>
  <c r="F294" i="3"/>
  <c r="F34" i="3"/>
  <c r="F234" i="3"/>
  <c r="F60" i="3"/>
  <c r="D10" i="4"/>
  <c r="F191" i="3"/>
  <c r="F214" i="3"/>
  <c r="F74" i="3"/>
  <c r="F22" i="3"/>
  <c r="F165" i="3"/>
  <c r="F102" i="3"/>
  <c r="F324" i="3"/>
  <c r="K71" i="2"/>
  <c r="F136" i="3"/>
  <c r="F209" i="3"/>
  <c r="K9" i="2"/>
  <c r="F220" i="3"/>
  <c r="F90" i="3"/>
  <c r="F179" i="3"/>
  <c r="F50" i="3"/>
  <c r="F349" i="3"/>
  <c r="F183" i="3"/>
  <c r="D33" i="4"/>
  <c r="F47" i="3"/>
  <c r="F345" i="3"/>
  <c r="F55" i="3"/>
  <c r="F142" i="3"/>
  <c r="K7" i="2"/>
  <c r="F242" i="3"/>
  <c r="F304" i="3"/>
  <c r="F29" i="3"/>
  <c r="F83" i="3"/>
  <c r="F167" i="3"/>
  <c r="F307" i="3"/>
  <c r="D47" i="4"/>
  <c r="F88" i="3"/>
  <c r="F59" i="3"/>
  <c r="F227" i="3"/>
  <c r="F246" i="3"/>
  <c r="F281" i="3"/>
  <c r="F269" i="3"/>
  <c r="D4" i="4"/>
  <c r="F280" i="3"/>
  <c r="D55" i="4"/>
  <c r="D58" i="4"/>
  <c r="F207" i="3"/>
  <c r="F218" i="3"/>
  <c r="F82" i="3"/>
  <c r="F77" i="3"/>
  <c r="F279" i="3"/>
  <c r="F250" i="3"/>
  <c r="F69" i="3"/>
  <c r="D12" i="4"/>
  <c r="D5" i="4"/>
  <c r="D21" i="4"/>
  <c r="D16" i="4"/>
  <c r="F39" i="3"/>
  <c r="F152" i="3"/>
  <c r="F38" i="3"/>
  <c r="F215" i="3"/>
  <c r="F3" i="3"/>
  <c r="F224" i="3"/>
  <c r="F251" i="3"/>
  <c r="F315" i="3"/>
  <c r="F67" i="3"/>
  <c r="F261" i="3"/>
  <c r="D26" i="4"/>
  <c r="F197" i="3"/>
  <c r="F45" i="3"/>
  <c r="F23" i="3"/>
  <c r="F93" i="3"/>
  <c r="F116" i="3"/>
  <c r="F166" i="3"/>
  <c r="F145" i="3"/>
  <c r="F54" i="3"/>
  <c r="F26" i="3"/>
  <c r="F129" i="3"/>
  <c r="D15" i="4"/>
  <c r="F194" i="3"/>
  <c r="F95" i="3"/>
  <c r="F303" i="3"/>
  <c r="F286" i="3"/>
  <c r="D28" i="4"/>
  <c r="D7" i="4"/>
  <c r="F274" i="3"/>
  <c r="F25" i="3"/>
  <c r="F283" i="3"/>
  <c r="K5" i="2"/>
  <c r="F101" i="3"/>
  <c r="F270" i="3"/>
  <c r="F134" i="3"/>
  <c r="D60" i="4"/>
  <c r="F265" i="3"/>
  <c r="D35" i="4"/>
  <c r="F310" i="3"/>
  <c r="F30" i="3"/>
  <c r="F202" i="3"/>
  <c r="F4" i="3"/>
  <c r="F305" i="3"/>
  <c r="F117" i="3"/>
  <c r="D52" i="4"/>
  <c r="D41" i="4"/>
  <c r="F94" i="3"/>
  <c r="F306" i="3"/>
  <c r="F238" i="3"/>
  <c r="F78" i="3"/>
  <c r="F127" i="3"/>
  <c r="F293" i="3"/>
  <c r="D42" i="4"/>
  <c r="D9" i="4"/>
  <c r="F256" i="3"/>
  <c r="D30" i="4"/>
  <c r="F156" i="3"/>
  <c r="F178" i="3"/>
  <c r="F240" i="3"/>
  <c r="F118" i="3"/>
  <c r="F321" i="3"/>
  <c r="F72" i="3"/>
  <c r="F203" i="3"/>
  <c r="F255" i="3"/>
  <c r="F254" i="3"/>
  <c r="F18" i="3"/>
  <c r="F327" i="3"/>
  <c r="D38" i="4"/>
  <c r="F13" i="3"/>
  <c r="F106" i="3"/>
  <c r="F326" i="3"/>
  <c r="F89" i="3"/>
  <c r="D44" i="4"/>
  <c r="F330" i="3"/>
  <c r="F155" i="3"/>
  <c r="F232" i="3"/>
  <c r="F131" i="3"/>
  <c r="F344" i="3"/>
  <c r="D25" i="4"/>
  <c r="F268" i="3"/>
  <c r="F146" i="3"/>
  <c r="F158" i="3"/>
  <c r="F68" i="3"/>
  <c r="F200" i="3"/>
  <c r="F343" i="3"/>
  <c r="F332" i="3"/>
  <c r="F35" i="3"/>
  <c r="F347" i="3"/>
  <c r="F260" i="3"/>
  <c r="F282" i="3"/>
  <c r="F185" i="3"/>
  <c r="F41" i="3"/>
  <c r="F151" i="3"/>
  <c r="F284" i="3"/>
  <c r="F352" i="3"/>
  <c r="F212" i="3"/>
  <c r="F31" i="3"/>
  <c r="F85" i="3"/>
  <c r="D19" i="4"/>
  <c r="F138" i="3"/>
  <c r="F311" i="3"/>
  <c r="F348" i="3"/>
  <c r="F338" i="3"/>
  <c r="F108" i="3"/>
  <c r="F318" i="3"/>
  <c r="F221" i="3"/>
  <c r="F21" i="3"/>
  <c r="F37" i="3"/>
  <c r="F103" i="3"/>
  <c r="D3" i="4"/>
  <c r="F243" i="3"/>
  <c r="F28" i="3"/>
  <c r="D31" i="4"/>
  <c r="F199" i="3"/>
  <c r="F340" i="3"/>
  <c r="F99" i="3"/>
  <c r="F336" i="3"/>
  <c r="F8" i="3"/>
  <c r="F112" i="3"/>
  <c r="D34" i="4"/>
  <c r="F87" i="3"/>
  <c r="F236" i="3"/>
  <c r="F262" i="3"/>
  <c r="F168" i="3"/>
  <c r="F299" i="3"/>
  <c r="F19" i="3"/>
  <c r="F149" i="3"/>
  <c r="K4" i="2"/>
  <c r="F248" i="3"/>
  <c r="D8" i="4"/>
  <c r="F70" i="3"/>
  <c r="F323" i="3"/>
  <c r="F239" i="3"/>
  <c r="F228" i="3"/>
  <c r="F36" i="3"/>
  <c r="D53" i="4"/>
  <c r="F331" i="3"/>
  <c r="F113" i="3"/>
  <c r="K17" i="2"/>
  <c r="F337" i="3"/>
  <c r="F80" i="3"/>
  <c r="F229" i="3"/>
  <c r="D40" i="4"/>
  <c r="F346" i="3"/>
  <c r="F171" i="3"/>
  <c r="F43" i="3"/>
  <c r="F329" i="3"/>
  <c r="F124" i="3"/>
  <c r="F73" i="3"/>
  <c r="F275" i="3"/>
  <c r="F126" i="3"/>
  <c r="F264" i="3"/>
  <c r="F287" i="3"/>
  <c r="F297" i="3"/>
  <c r="F289" i="3"/>
  <c r="F263" i="3"/>
  <c r="F141" i="3"/>
  <c r="F139" i="3"/>
  <c r="F186" i="3"/>
  <c r="D59" i="4"/>
  <c r="F285" i="3"/>
  <c r="F66" i="3"/>
  <c r="D36" i="4"/>
  <c r="F180" i="3"/>
  <c r="F342" i="3"/>
  <c r="F56" i="3"/>
  <c r="F32" i="3"/>
  <c r="F48" i="3"/>
  <c r="F235" i="3"/>
  <c r="F216" i="3"/>
  <c r="F195" i="3"/>
  <c r="D43" i="4"/>
  <c r="F196" i="3"/>
  <c r="F62" i="3"/>
  <c r="D13" i="4"/>
  <c r="F259" i="3"/>
  <c r="F81" i="3"/>
  <c r="F98" i="3"/>
  <c r="F148" i="3"/>
  <c r="F75" i="3"/>
  <c r="F291" i="3"/>
  <c r="F76" i="3"/>
  <c r="F175" i="3"/>
  <c r="F219" i="3"/>
  <c r="F150" i="3"/>
  <c r="F247" i="3"/>
  <c r="F92" i="3"/>
  <c r="F314" i="3"/>
  <c r="F223" i="3"/>
  <c r="F84" i="3"/>
  <c r="F143" i="3"/>
  <c r="F252" i="3"/>
  <c r="F91" i="3"/>
  <c r="F96" i="3"/>
  <c r="F6" i="3"/>
  <c r="F173" i="3"/>
  <c r="F211" i="3"/>
  <c r="F296" i="3"/>
  <c r="F160" i="3"/>
  <c r="F107" i="3"/>
  <c r="F61" i="3"/>
  <c r="F10" i="3"/>
  <c r="D24" i="4"/>
  <c r="F133" i="3"/>
  <c r="F176" i="3"/>
  <c r="F100" i="3"/>
  <c r="F140" i="3"/>
  <c r="D54" i="4"/>
  <c r="F53" i="3"/>
  <c r="F319" i="3"/>
  <c r="F190" i="3"/>
  <c r="F157" i="3"/>
  <c r="F295" i="3"/>
  <c r="F162" i="3"/>
  <c r="D18" i="4"/>
  <c r="F147" i="3"/>
  <c r="F181" i="3"/>
  <c r="F40" i="3"/>
  <c r="F241" i="3"/>
  <c r="D23" i="4"/>
  <c r="F204" i="3"/>
  <c r="F187" i="3"/>
  <c r="F161" i="3"/>
  <c r="F57" i="3"/>
  <c r="F9" i="3"/>
  <c r="F277" i="3"/>
  <c r="K22" i="2"/>
  <c r="F153" i="3"/>
  <c r="F49" i="3"/>
  <c r="F104" i="3"/>
  <c r="F322" i="3"/>
  <c r="F189" i="3"/>
  <c r="F213" i="3"/>
  <c r="F24" i="3"/>
  <c r="F125" i="3"/>
  <c r="F300" i="3"/>
  <c r="D61" i="4"/>
  <c r="F292" i="3"/>
  <c r="D22" i="4"/>
  <c r="F217" i="3"/>
  <c r="F233" i="3"/>
  <c r="F27" i="3"/>
  <c r="F20" i="3"/>
  <c r="F351" i="3"/>
  <c r="F253" i="3"/>
  <c r="F320" i="3"/>
  <c r="F42" i="3"/>
  <c r="F257" i="3"/>
  <c r="D57" i="4"/>
  <c r="F164" i="3"/>
  <c r="F119" i="3"/>
  <c r="F350" i="3"/>
  <c r="F71" i="3"/>
  <c r="F308" i="3"/>
  <c r="D29" i="4"/>
  <c r="F201" i="3"/>
  <c r="BI21" i="3" a="1"/>
  <c r="BI21" i="3" l="1"/>
  <c r="BH21" i="3" a="1"/>
  <c r="BH21" i="3" l="1"/>
  <c r="F193" i="3"/>
  <c r="F177" i="3"/>
  <c r="F184" i="3"/>
  <c r="F105" i="3"/>
  <c r="BI121" i="3" a="1"/>
  <c r="BI121" i="3" l="1"/>
  <c r="BH121" i="3" a="1"/>
  <c r="BH121" i="3" l="1"/>
  <c r="BH156" i="3" a="1"/>
  <c r="BH156" i="3" l="1"/>
  <c r="BI333" i="3" a="1"/>
  <c r="BI333" i="3" l="1"/>
  <c r="BH333" i="3" a="1"/>
  <c r="BH333" i="3"/>
  <c r="BI156" i="3" a="1"/>
  <c r="BI156" i="3"/>
  <c r="F333" i="3"/>
  <c r="F325" i="3"/>
  <c r="F301" i="3"/>
  <c r="F52" i="3"/>
  <c r="F328" i="3"/>
  <c r="BH189" i="3" a="1"/>
  <c r="BH189" i="3" l="1"/>
  <c r="BN5" i="2" a="1"/>
  <c r="BN5" i="2" l="1"/>
  <c r="BM5" i="2" a="1"/>
  <c r="BM5" i="2"/>
  <c r="BI189" i="3" a="1"/>
  <c r="BI189" i="3"/>
  <c r="F120" i="3"/>
  <c r="BH167" i="3" l="1" a="1"/>
  <c r="BH167" i="3" l="1"/>
  <c r="BI167" i="3" a="1"/>
  <c r="BI167" i="3"/>
  <c r="BI145" i="3" a="1"/>
  <c r="BI145" i="3"/>
  <c r="BH145" i="3" a="1"/>
  <c r="BH145" i="3"/>
  <c r="BI270" i="3" a="1"/>
  <c r="BI270" i="3"/>
  <c r="BI139" i="3" a="1"/>
  <c r="BI139" i="3"/>
  <c r="BH139" i="3" a="1"/>
  <c r="BH139" i="3"/>
  <c r="BH270" i="3" a="1"/>
  <c r="BH270" i="3"/>
  <c r="BH285" i="3" a="1"/>
  <c r="BH285" i="3"/>
  <c r="BI285" i="3" a="1"/>
  <c r="BI285" i="3"/>
  <c r="BI315" i="3" a="1"/>
  <c r="BI315" i="3"/>
  <c r="BH315" i="3" a="1"/>
  <c r="BH315" i="3"/>
  <c r="BI183" i="3" a="1"/>
  <c r="BI183" i="3"/>
  <c r="BH183" i="3" a="1"/>
  <c r="BH183" i="3"/>
  <c r="BI249" i="3" a="1"/>
  <c r="BI249" i="3"/>
  <c r="BH249" i="3" a="1"/>
  <c r="BH249" i="3"/>
  <c r="BH113" i="3" a="1"/>
  <c r="BH113" i="3"/>
  <c r="BI113" i="3" a="1"/>
  <c r="BI113" i="3"/>
  <c r="BH7" i="3" a="1"/>
  <c r="BH7" i="3"/>
  <c r="BI7" i="3" a="1"/>
  <c r="BI7" i="3"/>
  <c r="BI202" i="3" a="1"/>
  <c r="BI202" i="3"/>
  <c r="BH186" i="3" a="1"/>
  <c r="BH186" i="3"/>
  <c r="BH202" i="3" a="1"/>
  <c r="BH202" i="3"/>
  <c r="BI186" i="3" a="1"/>
  <c r="BI186" i="3"/>
  <c r="BI165" i="3" a="1"/>
  <c r="BI165" i="3"/>
  <c r="BH165" i="3" a="1"/>
  <c r="BH165" i="3"/>
  <c r="BH349" i="3" a="1"/>
  <c r="BH349" i="3"/>
  <c r="BI349" i="3" a="1"/>
  <c r="BI349" i="3"/>
  <c r="BH290" i="3" a="1"/>
  <c r="BH290" i="3"/>
  <c r="BI88" i="3" a="1"/>
  <c r="BI88" i="3"/>
  <c r="BH83" i="3" a="1"/>
  <c r="BH83" i="3"/>
  <c r="BI83" i="3" a="1"/>
  <c r="BI83" i="3"/>
  <c r="BI290" i="3" a="1"/>
  <c r="BI290" i="3"/>
  <c r="BH88" i="3" a="1"/>
  <c r="BH88" i="3"/>
  <c r="BH87" i="3" a="1"/>
  <c r="BH87" i="3"/>
  <c r="BH31" i="3" a="1"/>
  <c r="BH31" i="3"/>
  <c r="BI87" i="3" a="1"/>
  <c r="BI87" i="3"/>
  <c r="BI31" i="3" a="1"/>
  <c r="BI31" i="3"/>
  <c r="BI326" i="3" a="1"/>
  <c r="BI326" i="3"/>
  <c r="BH326" i="3" a="1"/>
  <c r="BH326" i="3"/>
  <c r="BH265" i="3" a="1"/>
  <c r="BH265" i="3"/>
  <c r="BI265" i="3" a="1"/>
  <c r="BI265" i="3"/>
  <c r="BI67" i="3" a="1"/>
  <c r="BI67" i="3"/>
  <c r="BH115" i="3" a="1"/>
  <c r="BH115" i="3"/>
  <c r="BI115" i="3" a="1"/>
  <c r="BI115" i="3"/>
  <c r="BH67" i="3" a="1"/>
  <c r="BH67" i="3"/>
  <c r="BH49" i="3" a="1"/>
  <c r="BH49" i="3"/>
  <c r="BH234" i="3" a="1"/>
  <c r="BH234" i="3"/>
  <c r="BI49" i="3" a="1"/>
  <c r="BI49" i="3"/>
  <c r="BI234" i="3" a="1"/>
  <c r="BI234" i="3"/>
  <c r="BI295" i="3" a="1"/>
  <c r="BI295" i="3"/>
  <c r="BH295" i="3" a="1"/>
  <c r="BH295" i="3"/>
  <c r="BH135" i="3" a="1"/>
  <c r="BH135" i="3"/>
  <c r="BI135" i="3" a="1"/>
  <c r="BI135" i="3"/>
  <c r="BH160" i="3" a="1"/>
  <c r="BH160" i="3"/>
  <c r="BH86" i="3" a="1"/>
  <c r="BH86" i="3"/>
  <c r="BH206" i="3" a="1"/>
  <c r="BH206" i="3"/>
  <c r="BI206" i="3" a="1"/>
  <c r="BI206" i="3"/>
  <c r="BI160" i="3" a="1"/>
  <c r="BI160" i="3"/>
  <c r="BI86" i="3" a="1"/>
  <c r="BI86" i="3"/>
  <c r="BI251" i="3" a="1"/>
  <c r="BI251" i="3"/>
  <c r="BH299" i="3" a="1"/>
  <c r="BH299" i="3"/>
  <c r="BH251" i="3" a="1"/>
  <c r="BH251" i="3"/>
  <c r="BI299" i="3" a="1"/>
  <c r="BI299" i="3"/>
  <c r="BH133" i="3" a="1"/>
  <c r="BH133" i="3"/>
  <c r="BI133" i="3" a="1"/>
  <c r="BI133" i="3"/>
  <c r="BH151" i="3" a="1"/>
  <c r="BH151" i="3"/>
  <c r="BI151" i="3" a="1"/>
  <c r="BI151" i="3"/>
  <c r="BH129" i="3" a="1"/>
  <c r="BH129" i="3"/>
  <c r="BI129" i="3" a="1"/>
  <c r="BI129" i="3"/>
  <c r="BH343" i="3" a="1"/>
  <c r="BH343" i="3"/>
  <c r="BI307" i="3" a="1"/>
  <c r="BI307" i="3"/>
  <c r="BI343" i="3" a="1"/>
  <c r="BI343" i="3"/>
  <c r="BH307" i="3" a="1"/>
  <c r="BH307" i="3"/>
  <c r="BM3" i="2" a="1"/>
  <c r="BM3" i="2"/>
  <c r="BH316" i="3" a="1"/>
  <c r="BH316" i="3"/>
  <c r="BN3" i="2" a="1"/>
  <c r="BN3" i="2"/>
  <c r="BI316" i="3" a="1"/>
  <c r="BI316" i="3"/>
  <c r="BI339" i="3" a="1"/>
  <c r="BI339" i="3"/>
  <c r="BH339" i="3" a="1"/>
  <c r="BH339" i="3"/>
  <c r="BI143" i="3" a="1"/>
  <c r="BI143" i="3"/>
  <c r="BH143" i="3" a="1"/>
  <c r="BH143" i="3"/>
  <c r="BH353" i="3" a="1"/>
  <c r="BH353" i="3"/>
  <c r="BI353" i="3" a="1"/>
  <c r="BI353" i="3"/>
  <c r="BH72" i="3" a="1"/>
  <c r="BH72" i="3"/>
  <c r="BH268" i="3" a="1"/>
  <c r="BH268" i="3"/>
  <c r="BI63" i="3" a="1"/>
  <c r="BI63" i="3"/>
  <c r="BI179" i="3" a="1"/>
  <c r="BI179" i="3"/>
  <c r="BH336" i="3" a="1"/>
  <c r="BH336" i="3"/>
  <c r="BH63" i="3" a="1"/>
  <c r="BH63" i="3"/>
  <c r="BI336" i="3" a="1"/>
  <c r="BI336" i="3"/>
  <c r="BI72" i="3" a="1"/>
  <c r="BI72" i="3"/>
  <c r="BH179" i="3" a="1"/>
  <c r="BH179" i="3"/>
  <c r="BI268" i="3" a="1"/>
  <c r="BI268" i="3"/>
  <c r="BI134" i="3" a="1"/>
  <c r="BI134" i="3"/>
  <c r="BI17" i="3" a="1"/>
  <c r="BI17" i="3"/>
  <c r="BH134" i="3" a="1"/>
  <c r="BH134" i="3"/>
  <c r="BH17" i="3" a="1"/>
  <c r="BH17" i="3"/>
  <c r="BH170" i="3" a="1"/>
  <c r="BH170" i="3"/>
  <c r="BI344" i="3" a="1"/>
  <c r="BI344" i="3"/>
  <c r="BI170" i="3" a="1"/>
  <c r="BI170" i="3"/>
  <c r="BH344" i="3" a="1"/>
  <c r="BH344" i="3"/>
  <c r="BI3" i="3" a="1"/>
  <c r="BI3" i="3"/>
  <c r="BI330" i="3" a="1"/>
  <c r="BI330" i="3"/>
  <c r="BH3" i="3" a="1"/>
  <c r="BH3" i="3"/>
  <c r="BH330" i="3" a="1"/>
  <c r="BH330" i="3"/>
  <c r="BI188" i="3" a="1"/>
  <c r="BI188" i="3"/>
  <c r="BH188" i="3" a="1"/>
  <c r="BH188" i="3"/>
  <c r="BH64" i="3" a="1"/>
  <c r="BH64" i="3"/>
  <c r="BI64" i="3" a="1"/>
  <c r="BI64" i="3"/>
  <c r="BI32" i="3" a="1"/>
  <c r="BI32" i="3"/>
  <c r="BH32" i="3" a="1"/>
  <c r="BH32" i="3"/>
  <c r="BI309" i="3" a="1"/>
  <c r="BI309" i="3"/>
  <c r="BH309" i="3" a="1"/>
  <c r="BH309" i="3"/>
  <c r="BH228" i="3" a="1"/>
  <c r="BH228" i="3"/>
  <c r="BI228" i="3" a="1"/>
  <c r="BI228" i="3"/>
  <c r="BI146" i="3" a="1"/>
  <c r="BI146" i="3"/>
  <c r="BH146" i="3" a="1"/>
  <c r="BH146" i="3"/>
  <c r="BH119" i="3" a="1"/>
  <c r="BH119" i="3"/>
  <c r="BI119" i="3" a="1"/>
  <c r="BI119" i="3"/>
  <c r="BH112" i="3" a="1"/>
  <c r="BH112" i="3"/>
  <c r="BI112" i="3" a="1"/>
  <c r="BI112" i="3"/>
  <c r="BI289" i="3" a="1"/>
  <c r="BI289" i="3"/>
  <c r="BH289" i="3" a="1"/>
  <c r="BH289" i="3"/>
  <c r="BI317" i="3" a="1"/>
  <c r="BI317" i="3"/>
  <c r="BH317" i="3" a="1"/>
  <c r="BH317" i="3"/>
  <c r="BH216" i="3" a="1"/>
  <c r="BH216" i="3"/>
  <c r="BI216" i="3" a="1"/>
  <c r="BI216" i="3"/>
  <c r="BH253" i="3" a="1"/>
  <c r="BH253" i="3"/>
  <c r="BH114" i="3" a="1"/>
  <c r="BH114" i="3"/>
  <c r="BI114" i="3" a="1"/>
  <c r="BI114" i="3"/>
  <c r="BI253" i="3" a="1"/>
  <c r="BI253" i="3"/>
  <c r="BH106" i="3" a="1"/>
  <c r="BH106" i="3"/>
  <c r="BH137" i="3" a="1"/>
  <c r="BH137" i="3"/>
  <c r="BI106" i="3" a="1"/>
  <c r="BI106" i="3"/>
  <c r="BI137" i="3" a="1"/>
  <c r="BI137" i="3"/>
  <c r="BI93" i="3" a="1"/>
  <c r="BI93" i="3"/>
  <c r="BH125" i="3" a="1"/>
  <c r="BH125" i="3"/>
  <c r="BI125" i="3" a="1"/>
  <c r="BI125" i="3"/>
  <c r="BH93" i="3" a="1"/>
  <c r="BH93" i="3"/>
  <c r="BI159" i="3" a="1"/>
  <c r="BI159" i="3"/>
  <c r="BH159" i="3" a="1"/>
  <c r="BH159" i="3"/>
  <c r="BI116" i="3" a="1"/>
  <c r="BI116" i="3"/>
  <c r="BH116" i="3" a="1"/>
  <c r="BH116" i="3"/>
  <c r="BH13" i="3" a="1"/>
  <c r="BH13" i="3"/>
  <c r="BI13" i="3" a="1"/>
  <c r="BI13" i="3"/>
  <c r="BI69" i="3" a="1"/>
  <c r="BI69" i="3"/>
  <c r="BH69" i="3" a="1"/>
  <c r="BH69" i="3"/>
  <c r="BH292" i="3" a="1"/>
  <c r="BH292" i="3"/>
  <c r="BI292" i="3" a="1"/>
  <c r="BI292" i="3"/>
  <c r="BH103" i="3" a="1"/>
  <c r="BH103" i="3"/>
  <c r="BI236" i="3" a="1"/>
  <c r="BI236" i="3"/>
  <c r="BH293" i="3" a="1"/>
  <c r="BH293" i="3"/>
  <c r="BI293" i="3" a="1"/>
  <c r="BI293" i="3"/>
  <c r="BH236" i="3" a="1"/>
  <c r="BH236" i="3"/>
  <c r="BI103" i="3" a="1"/>
  <c r="BI103" i="3"/>
  <c r="BI10" i="3" a="1"/>
  <c r="BI10" i="3"/>
  <c r="BH10" i="3" a="1"/>
  <c r="BH10" i="3"/>
  <c r="BH287" i="3" a="1"/>
  <c r="BH287" i="3"/>
  <c r="BI287" i="3" a="1"/>
  <c r="BI287" i="3"/>
  <c r="BH222" i="3" a="1"/>
  <c r="BH222" i="3"/>
  <c r="BI345" i="3" a="1"/>
  <c r="BI345" i="3"/>
  <c r="BI222" i="3" a="1"/>
  <c r="BI222" i="3"/>
  <c r="BH345" i="3" a="1"/>
  <c r="BH345" i="3"/>
  <c r="BI331" i="3" a="1"/>
  <c r="BI331" i="3"/>
  <c r="BH331" i="3" a="1"/>
  <c r="BH331" i="3"/>
  <c r="BI211" i="3" a="1"/>
  <c r="BI211" i="3"/>
  <c r="BI120" i="3" a="1"/>
  <c r="BI120" i="3"/>
  <c r="BH211" i="3" a="1"/>
  <c r="BH211" i="3"/>
  <c r="BH120" i="3" a="1"/>
  <c r="BH120" i="3"/>
  <c r="BI175" i="3" a="1"/>
  <c r="BI175" i="3"/>
  <c r="BH175" i="3" a="1"/>
  <c r="BH175" i="3"/>
  <c r="BI308" i="3" a="1"/>
  <c r="BI308" i="3"/>
  <c r="BH308" i="3" a="1"/>
  <c r="BH308" i="3"/>
  <c r="BI53" i="3" a="1"/>
  <c r="BI53" i="3"/>
  <c r="BH53" i="3" a="1"/>
  <c r="BH53" i="3"/>
  <c r="BI314" i="3" a="1"/>
  <c r="BI314" i="3"/>
  <c r="BI328" i="3" a="1"/>
  <c r="BI328" i="3"/>
  <c r="BI155" i="3" a="1"/>
  <c r="BI155" i="3"/>
  <c r="BH155" i="3" a="1"/>
  <c r="BH155" i="3"/>
  <c r="BH328" i="3" a="1"/>
  <c r="BH328" i="3"/>
  <c r="BH314" i="3" a="1"/>
  <c r="BH314" i="3"/>
  <c r="BH197" i="3" a="1"/>
  <c r="BH197" i="3"/>
  <c r="BI197" i="3" a="1"/>
  <c r="BI197" i="3"/>
  <c r="BH58" i="3" a="1"/>
  <c r="BH58" i="3"/>
  <c r="BI58" i="3" a="1"/>
  <c r="BI58" i="3"/>
  <c r="BI12" i="3" a="1"/>
  <c r="BI12" i="3"/>
  <c r="BH351" i="3" a="1"/>
  <c r="BH351" i="3"/>
  <c r="BH12" i="3" a="1"/>
  <c r="BH12" i="3"/>
  <c r="BI351" i="3" a="1"/>
  <c r="BI351" i="3"/>
  <c r="BH269" i="3" a="1"/>
  <c r="BH269" i="3"/>
  <c r="BI269" i="3" a="1"/>
  <c r="BI269" i="3"/>
  <c r="BI149" i="3" a="1"/>
  <c r="BI149" i="3"/>
  <c r="BH149" i="3" a="1"/>
  <c r="BH149" i="3"/>
  <c r="BH25" i="3" a="1"/>
  <c r="BH25" i="3"/>
  <c r="BI25" i="3" a="1"/>
  <c r="BI25" i="3"/>
  <c r="BH104" i="3" a="1"/>
  <c r="BH104" i="3"/>
  <c r="BI104" i="3" a="1"/>
  <c r="BI104" i="3"/>
  <c r="BH138" i="3" a="1"/>
  <c r="BH138" i="3"/>
  <c r="BH37" i="3" a="1"/>
  <c r="BH37" i="3"/>
  <c r="BI138" i="3" a="1"/>
  <c r="BI138" i="3"/>
  <c r="BI37" i="3" a="1"/>
  <c r="BI37" i="3"/>
  <c r="BH252" i="3" a="1"/>
  <c r="BH252" i="3"/>
  <c r="BI252" i="3" a="1"/>
  <c r="BI252" i="3"/>
  <c r="BM10" i="2" a="1"/>
  <c r="BM10" i="2"/>
  <c r="BI40" i="3" a="1"/>
  <c r="BI40" i="3"/>
  <c r="BH40" i="3" a="1"/>
  <c r="BH40" i="3"/>
  <c r="BN10" i="2" a="1"/>
  <c r="BN10" i="2"/>
  <c r="BH66" i="3" a="1"/>
  <c r="BH66" i="3"/>
  <c r="BH247" i="3" a="1"/>
  <c r="BH247" i="3"/>
  <c r="BI247" i="3" a="1"/>
  <c r="BI247" i="3"/>
  <c r="BI66" i="3" a="1"/>
  <c r="BI66" i="3"/>
  <c r="BI171" i="3" a="1"/>
  <c r="BI171" i="3"/>
  <c r="BH144" i="3" a="1"/>
  <c r="BH144" i="3"/>
  <c r="BH171" i="3" a="1"/>
  <c r="BH171" i="3"/>
  <c r="BI144" i="3" a="1"/>
  <c r="BI144" i="3"/>
  <c r="BH305" i="3" a="1"/>
  <c r="BH305" i="3"/>
  <c r="BI305" i="3" a="1"/>
  <c r="BI305" i="3"/>
  <c r="BN6" i="2" a="1"/>
  <c r="BN6" i="2"/>
  <c r="BI334" i="3" a="1"/>
  <c r="BI334" i="3"/>
  <c r="BM6" i="2" a="1"/>
  <c r="BM6" i="2"/>
  <c r="BH334" i="3" a="1"/>
  <c r="BH334" i="3"/>
  <c r="BI68" i="3" a="1"/>
  <c r="BI68" i="3"/>
  <c r="BH68" i="3" a="1"/>
  <c r="BH68" i="3"/>
  <c r="BM4" i="2" a="1"/>
  <c r="BM4" i="2"/>
  <c r="BH248" i="3" a="1"/>
  <c r="BH248" i="3"/>
  <c r="BN4" i="2" a="1"/>
  <c r="BN4" i="2"/>
  <c r="BI248" i="3" a="1"/>
  <c r="BI248" i="3"/>
  <c r="BI291" i="3" a="1"/>
  <c r="BI291" i="3"/>
  <c r="BH71" i="3" a="1"/>
  <c r="BH71" i="3"/>
  <c r="BH291" i="3" a="1"/>
  <c r="BH291" i="3"/>
  <c r="BI71" i="3" a="1"/>
  <c r="BI71" i="3"/>
  <c r="BI26" i="3" a="1"/>
  <c r="BI26" i="3"/>
  <c r="BH26" i="3" a="1"/>
  <c r="BH26" i="3"/>
  <c r="BI162" i="3" a="1"/>
  <c r="BI162" i="3"/>
  <c r="BH162" i="3" a="1"/>
  <c r="BH162" i="3"/>
  <c r="BH42" i="3" a="1"/>
  <c r="BH42" i="3"/>
  <c r="BI42" i="3" a="1"/>
  <c r="BI42" i="3"/>
  <c r="BI220" i="3" a="1"/>
  <c r="BI220" i="3"/>
  <c r="BH220" i="3" a="1"/>
  <c r="BH220" i="3"/>
  <c r="BI350" i="3" a="1"/>
  <c r="BI350" i="3"/>
  <c r="BH65" i="3" a="1"/>
  <c r="BH65" i="3"/>
  <c r="BH350" i="3" a="1"/>
  <c r="BH350" i="3"/>
  <c r="BI65" i="3" a="1"/>
  <c r="BI65" i="3"/>
  <c r="BI256" i="3" a="1"/>
  <c r="BI256" i="3"/>
  <c r="BH256" i="3" a="1"/>
  <c r="BH256" i="3"/>
  <c r="BH140" i="3" a="1"/>
  <c r="BH140" i="3"/>
  <c r="BI348" i="3" a="1"/>
  <c r="BI348" i="3"/>
  <c r="BI60" i="3" a="1"/>
  <c r="BI60" i="3"/>
  <c r="BI56" i="3" a="1"/>
  <c r="BI56" i="3"/>
  <c r="BI140" i="3" a="1"/>
  <c r="BI140" i="3"/>
  <c r="BH348" i="3" a="1"/>
  <c r="BH348" i="3"/>
  <c r="BH60" i="3" a="1"/>
  <c r="BH60" i="3"/>
  <c r="BH56" i="3" a="1"/>
  <c r="BH56" i="3"/>
  <c r="BI55" i="3" a="1"/>
  <c r="BI55" i="3"/>
  <c r="BH55" i="3" a="1"/>
  <c r="BH55" i="3"/>
  <c r="BH264" i="3" a="1"/>
  <c r="BH264" i="3"/>
  <c r="BI264" i="3" a="1"/>
  <c r="BI264" i="3"/>
  <c r="BI221" i="3" a="1"/>
  <c r="BI221" i="3"/>
  <c r="BH229" i="3" a="1"/>
  <c r="BH229" i="3"/>
  <c r="BI229" i="3" a="1"/>
  <c r="BI229" i="3"/>
  <c r="BH221" i="3" a="1"/>
  <c r="BH221" i="3"/>
  <c r="BI131" i="3" a="1"/>
  <c r="BI131" i="3"/>
  <c r="BH281" i="3" a="1"/>
  <c r="BH281" i="3"/>
  <c r="BI122" i="3" a="1"/>
  <c r="BI122" i="3"/>
  <c r="BH131" i="3" a="1"/>
  <c r="BH131" i="3"/>
  <c r="BH122" i="3" a="1"/>
  <c r="BH122" i="3"/>
  <c r="BI281" i="3" a="1"/>
  <c r="BI281" i="3"/>
  <c r="BI341" i="3" a="1"/>
  <c r="BI341" i="3"/>
  <c r="BH173" i="3" a="1"/>
  <c r="BH173" i="3"/>
  <c r="BI173" i="3" a="1"/>
  <c r="BI173" i="3"/>
  <c r="BH341" i="3" a="1"/>
  <c r="BH341" i="3"/>
  <c r="BI185" i="3" a="1"/>
  <c r="BI185" i="3"/>
  <c r="BH185" i="3" a="1"/>
  <c r="BH185" i="3"/>
  <c r="BH154" i="3" a="1"/>
  <c r="BH154" i="3"/>
  <c r="BI154" i="3" a="1"/>
  <c r="BI154" i="3"/>
  <c r="BI272" i="3" a="1"/>
  <c r="BI272" i="3"/>
  <c r="BH272" i="3" a="1"/>
  <c r="BH272" i="3"/>
  <c r="BI322" i="3" a="1"/>
  <c r="BI322" i="3"/>
  <c r="BH322" i="3" a="1"/>
  <c r="BH322" i="3"/>
  <c r="BI74" i="3" a="1"/>
  <c r="BI74" i="3"/>
  <c r="BH74" i="3" a="1"/>
  <c r="BH74" i="3"/>
  <c r="BH255" i="3" a="1"/>
  <c r="BH255" i="3"/>
  <c r="BI255" i="3" a="1"/>
  <c r="BI255" i="3"/>
  <c r="BH38" i="3" a="1"/>
  <c r="BH38" i="3"/>
  <c r="BI38" i="3" a="1"/>
  <c r="BI38" i="3"/>
  <c r="BH262" i="3" a="1"/>
  <c r="BH262" i="3"/>
  <c r="BH8" i="3" a="1"/>
  <c r="BH8" i="3"/>
  <c r="BI262" i="3" a="1"/>
  <c r="BI262" i="3"/>
  <c r="BI8" i="3" a="1"/>
  <c r="BI8" i="3"/>
  <c r="BH208" i="3" a="1"/>
  <c r="BH208" i="3"/>
  <c r="BI279" i="3" a="1"/>
  <c r="BI279" i="3"/>
  <c r="BI208" i="3" a="1"/>
  <c r="BI208" i="3"/>
  <c r="BH279" i="3" a="1"/>
  <c r="BH279" i="3"/>
  <c r="BH210" i="3" a="1"/>
  <c r="BH210" i="3"/>
  <c r="BI210" i="3" a="1"/>
  <c r="BI210" i="3"/>
  <c r="BH203" i="3" a="1"/>
  <c r="BH203" i="3"/>
  <c r="BH266" i="3" a="1"/>
  <c r="BH266" i="3"/>
  <c r="BI203" i="3" a="1"/>
  <c r="BI203" i="3"/>
  <c r="BI266" i="3" a="1"/>
  <c r="BI266" i="3"/>
  <c r="BI302" i="3" a="1"/>
  <c r="BI302" i="3"/>
  <c r="BH302" i="3" a="1"/>
  <c r="BH302" i="3"/>
  <c r="BH16" i="3" a="1"/>
  <c r="BH16" i="3"/>
  <c r="BI16" i="3" a="1"/>
  <c r="BI16" i="3"/>
  <c r="BH329" i="3" a="1"/>
  <c r="BH329" i="3"/>
  <c r="BI329" i="3" a="1"/>
  <c r="BI329" i="3"/>
  <c r="BI337" i="3" a="1"/>
  <c r="BI337" i="3"/>
  <c r="BH337" i="3" a="1"/>
  <c r="BH337" i="3"/>
  <c r="BH233" i="3" a="1"/>
  <c r="BH233" i="3"/>
  <c r="BH98" i="3" a="1"/>
  <c r="BH98" i="3"/>
  <c r="BI233" i="3" a="1"/>
  <c r="BI233" i="3"/>
  <c r="BI98" i="3" a="1"/>
  <c r="BI98" i="3"/>
  <c r="BI85" i="3" a="1"/>
  <c r="BI85" i="3"/>
  <c r="BH85" i="3" a="1"/>
  <c r="BH85" i="3"/>
  <c r="BH94" i="3" a="1"/>
  <c r="BH94" i="3"/>
  <c r="BI94" i="3" a="1"/>
  <c r="BI94" i="3"/>
  <c r="BI89" i="3" a="1"/>
  <c r="BI89" i="3"/>
  <c r="BH89" i="3" a="1"/>
  <c r="BH89" i="3"/>
  <c r="BI271" i="3" a="1"/>
  <c r="BI271" i="3"/>
  <c r="BH123" i="3" a="1"/>
  <c r="BH123" i="3"/>
  <c r="BH271" i="3" a="1"/>
  <c r="BH271" i="3"/>
  <c r="BI123" i="3" a="1"/>
  <c r="BI123" i="3"/>
  <c r="BH187" i="3" a="1"/>
  <c r="BH187" i="3"/>
  <c r="BI187" i="3" a="1"/>
  <c r="BI187" i="3"/>
  <c r="BH324" i="3" a="1"/>
  <c r="BH324" i="3"/>
  <c r="BI324" i="3" a="1"/>
  <c r="BI324" i="3"/>
  <c r="BH19" i="3" a="1"/>
  <c r="BH19" i="3"/>
  <c r="BI19" i="3" a="1"/>
  <c r="BI19" i="3"/>
  <c r="BM2" i="2" a="1"/>
  <c r="BM2" i="2"/>
  <c r="BH2" i="3" a="1"/>
  <c r="BH2" i="3"/>
  <c r="BH288" i="3" a="1"/>
  <c r="BH288" i="3"/>
  <c r="BI288" i="3" a="1"/>
  <c r="BI288" i="3"/>
  <c r="BN2" i="2" a="1"/>
  <c r="BN2" i="2"/>
  <c r="BI2" i="3" a="1"/>
  <c r="BI2" i="3"/>
  <c r="BH352" i="3" a="1"/>
  <c r="BH352" i="3"/>
  <c r="BI352" i="3" a="1"/>
  <c r="BI352" i="3"/>
  <c r="BH176" i="3" a="1"/>
  <c r="BH176" i="3"/>
  <c r="BI176" i="3" a="1"/>
  <c r="BI176" i="3"/>
  <c r="BI182" i="3" a="1"/>
  <c r="BI182" i="3"/>
  <c r="BI99" i="3" a="1"/>
  <c r="BI99" i="3"/>
  <c r="BH99" i="3" a="1"/>
  <c r="BH99" i="3"/>
  <c r="BH182" i="3" a="1"/>
  <c r="BH182" i="3"/>
  <c r="BI273" i="3" a="1"/>
  <c r="BI273" i="3"/>
  <c r="BH273" i="3" a="1"/>
  <c r="BH273" i="3"/>
  <c r="BH127" i="3" a="1"/>
  <c r="BH127" i="3"/>
  <c r="BH20" i="3" a="1"/>
  <c r="BH20" i="3"/>
  <c r="BI20" i="3" a="1"/>
  <c r="BI20" i="3"/>
  <c r="BI127" i="3" a="1"/>
  <c r="BI127" i="3"/>
  <c r="BH250" i="3" a="1"/>
  <c r="BH250" i="3"/>
  <c r="BI276" i="3" a="1"/>
  <c r="BI276" i="3"/>
  <c r="BH276" i="3" a="1"/>
  <c r="BH276" i="3"/>
  <c r="BI250" i="3" a="1"/>
  <c r="BI250" i="3"/>
  <c r="BH191" i="3" a="1"/>
  <c r="BH191" i="3"/>
  <c r="BI108" i="3" a="1"/>
  <c r="BI108" i="3"/>
  <c r="BH108" i="3" a="1"/>
  <c r="BH108" i="3"/>
  <c r="BI191" i="3" a="1"/>
  <c r="BI191" i="3"/>
  <c r="BI61" i="3" a="1"/>
  <c r="BI61" i="3"/>
  <c r="BI237" i="3" a="1"/>
  <c r="BI237" i="3"/>
  <c r="BH237" i="3" a="1"/>
  <c r="BH237" i="3"/>
  <c r="BH61" i="3" a="1"/>
  <c r="BH61" i="3"/>
  <c r="BI325" i="3" a="1"/>
  <c r="BI325" i="3"/>
  <c r="BH325" i="3" a="1"/>
  <c r="BH325" i="3"/>
  <c r="BH33" i="3" a="1"/>
  <c r="BH33" i="3"/>
  <c r="BI33" i="3" a="1"/>
  <c r="BI33" i="3"/>
  <c r="BI5" i="3" a="1"/>
  <c r="BI5" i="3"/>
  <c r="BI163" i="3" a="1"/>
  <c r="BI163" i="3"/>
  <c r="BH5" i="3" a="1"/>
  <c r="BH5" i="3"/>
  <c r="BH163" i="3" a="1"/>
  <c r="BH163" i="3"/>
  <c r="BH303" i="3" a="1"/>
  <c r="BH303" i="3"/>
  <c r="BI303" i="3" a="1"/>
  <c r="BI303" i="3"/>
  <c r="BI313" i="3" a="1"/>
  <c r="BI313" i="3"/>
  <c r="BI109" i="3" a="1"/>
  <c r="BI109" i="3"/>
  <c r="BH109" i="3" a="1"/>
  <c r="BH109" i="3"/>
  <c r="BH313" i="3" a="1"/>
  <c r="BH313" i="3"/>
  <c r="BH14" i="3" a="1"/>
  <c r="BH14" i="3"/>
  <c r="BI14" i="3" a="1"/>
  <c r="BI14" i="3"/>
  <c r="BH180" i="3" a="1"/>
  <c r="BH180" i="3"/>
  <c r="BI180" i="3" a="1"/>
  <c r="BI180" i="3"/>
  <c r="BI214" i="3" a="1"/>
  <c r="BI214" i="3"/>
  <c r="BH214" i="3" a="1"/>
  <c r="BH214" i="3"/>
  <c r="BI195" i="3" a="1"/>
  <c r="BI195" i="3"/>
  <c r="BH100" i="3" a="1"/>
  <c r="BH100" i="3"/>
  <c r="BH195" i="3" a="1"/>
  <c r="BH195" i="3"/>
  <c r="BI100" i="3" a="1"/>
  <c r="BI100" i="3"/>
  <c r="BH230" i="3" a="1"/>
  <c r="BH230" i="3"/>
  <c r="BI230" i="3" a="1"/>
  <c r="BI230" i="3"/>
  <c r="BH22" i="3" a="1"/>
  <c r="BH22" i="3"/>
  <c r="BI22" i="3" a="1"/>
  <c r="BI22" i="3"/>
  <c r="BH181" i="3" a="1"/>
  <c r="BH181" i="3"/>
  <c r="BI181" i="3" a="1"/>
  <c r="BI181" i="3"/>
  <c r="BI257" i="3" a="1"/>
  <c r="BI257" i="3"/>
  <c r="BH257" i="3" a="1"/>
  <c r="BH257" i="3"/>
  <c r="BH75" i="3" a="1"/>
  <c r="BH75" i="3"/>
  <c r="BI75" i="3" a="1"/>
  <c r="BI75" i="3"/>
  <c r="BI278" i="3" a="1"/>
  <c r="BI278" i="3"/>
  <c r="BH278" i="3" a="1"/>
  <c r="BH278" i="3"/>
  <c r="BH47" i="3" a="1"/>
  <c r="BH47" i="3"/>
  <c r="BI47" i="3" a="1"/>
  <c r="BI47" i="3"/>
  <c r="BH130" i="3" a="1"/>
  <c r="BH130" i="3"/>
  <c r="BH283" i="3" a="1"/>
  <c r="BH283" i="3"/>
  <c r="BI283" i="3" a="1"/>
  <c r="BI283" i="3"/>
  <c r="BI130" i="3" a="1"/>
  <c r="BI130" i="3"/>
  <c r="BM9" i="2" a="1"/>
  <c r="BM9" i="2"/>
  <c r="BH132" i="3" a="1"/>
  <c r="BH132" i="3"/>
  <c r="BI132" i="3" a="1"/>
  <c r="BI132" i="3"/>
  <c r="BN9" i="2" a="1"/>
  <c r="BN9" i="2"/>
  <c r="BI304" i="3" a="1"/>
  <c r="BI304" i="3"/>
  <c r="BH304" i="3" a="1"/>
  <c r="BH304" i="3"/>
  <c r="BI223" i="3" a="1"/>
  <c r="BI223" i="3"/>
  <c r="BH223" i="3" a="1"/>
  <c r="BH223" i="3"/>
  <c r="BH286" i="3" a="1"/>
  <c r="BH286" i="3"/>
  <c r="BH215" i="3" a="1"/>
  <c r="BH215" i="3"/>
  <c r="BI286" i="3" a="1"/>
  <c r="BI286" i="3"/>
  <c r="BI215" i="3" a="1"/>
  <c r="BI215" i="3"/>
  <c r="BI174" i="3" a="1"/>
  <c r="BI174" i="3"/>
  <c r="BH35" i="3" a="1"/>
  <c r="BH35" i="3"/>
  <c r="BH24" i="3" a="1"/>
  <c r="BH24" i="3"/>
  <c r="BI35" i="3" a="1"/>
  <c r="BI35" i="3"/>
  <c r="BH174" i="3" a="1"/>
  <c r="BH174" i="3"/>
  <c r="BI24" i="3" a="1"/>
  <c r="BI24" i="3"/>
  <c r="BH320" i="3" a="1"/>
  <c r="BH320" i="3"/>
  <c r="BI320" i="3" a="1"/>
  <c r="BI320" i="3"/>
  <c r="BH311" i="3" a="1"/>
  <c r="BH311" i="3"/>
  <c r="BI311" i="3" a="1"/>
  <c r="BI311" i="3"/>
  <c r="BH184" i="3" a="1"/>
  <c r="BH184" i="3"/>
  <c r="BI184" i="3" a="1"/>
  <c r="BI184" i="3"/>
  <c r="BI91" i="3" a="1"/>
  <c r="BI91" i="3"/>
  <c r="BI201" i="3" a="1"/>
  <c r="BI201" i="3"/>
  <c r="BH201" i="3" a="1"/>
  <c r="BH201" i="3"/>
  <c r="BH91" i="3" a="1"/>
  <c r="BH91" i="3"/>
  <c r="BH27" i="3" a="1"/>
  <c r="BH27" i="3"/>
  <c r="BI27" i="3" a="1"/>
  <c r="BI27" i="3"/>
  <c r="BI194" i="3" a="1"/>
  <c r="BI194" i="3"/>
  <c r="BH194" i="3" a="1"/>
  <c r="BH194" i="3"/>
  <c r="BI226" i="3" a="1"/>
  <c r="BI226" i="3"/>
  <c r="BH226" i="3" a="1"/>
  <c r="BH226" i="3"/>
  <c r="BI44" i="3" a="1"/>
  <c r="BI44" i="3"/>
  <c r="BH44" i="3" a="1"/>
  <c r="BH44" i="3"/>
  <c r="BH96" i="3" a="1"/>
  <c r="BH96" i="3"/>
  <c r="BI96" i="3" a="1"/>
  <c r="BI96" i="3"/>
  <c r="BI231" i="3" a="1"/>
  <c r="BI231" i="3"/>
  <c r="BH231" i="3" a="1"/>
  <c r="BH231" i="3"/>
  <c r="BH15" i="3" a="1"/>
  <c r="BH15" i="3"/>
  <c r="BH148" i="3" a="1"/>
  <c r="BH148" i="3"/>
  <c r="BI15" i="3" a="1"/>
  <c r="BI15" i="3"/>
  <c r="BI148" i="3" a="1"/>
  <c r="BI148" i="3"/>
  <c r="BI152" i="3" a="1"/>
  <c r="BI152" i="3"/>
  <c r="BH152" i="3" a="1"/>
  <c r="BH152" i="3"/>
  <c r="BH319" i="3" a="1"/>
  <c r="BH319" i="3"/>
  <c r="BI111" i="3" a="1"/>
  <c r="BI111" i="3"/>
  <c r="BI319" i="3" a="1"/>
  <c r="BI319" i="3"/>
  <c r="BH111" i="3" a="1"/>
  <c r="BH111" i="3"/>
  <c r="BI102" i="3" a="1"/>
  <c r="BI102" i="3"/>
  <c r="BH102" i="3" a="1"/>
  <c r="BH102" i="3"/>
  <c r="BI327" i="3" a="1"/>
  <c r="BI327" i="3"/>
  <c r="BH46" i="3" a="1"/>
  <c r="BH46" i="3"/>
  <c r="BI126" i="3" a="1"/>
  <c r="BI126" i="3"/>
  <c r="BH245" i="3" a="1"/>
  <c r="BH245" i="3"/>
  <c r="BI46" i="3" a="1"/>
  <c r="BI46" i="3"/>
  <c r="BI245" i="3" a="1"/>
  <c r="BI245" i="3"/>
  <c r="BH327" i="3" a="1"/>
  <c r="BH327" i="3"/>
  <c r="BH126" i="3" a="1"/>
  <c r="BH126" i="3"/>
  <c r="BI254" i="3" a="1"/>
  <c r="BI254" i="3"/>
  <c r="BH254" i="3" a="1"/>
  <c r="BH254" i="3"/>
  <c r="BI45" i="3" a="1"/>
  <c r="BI45" i="3"/>
  <c r="BI95" i="3" a="1"/>
  <c r="BI95" i="3"/>
  <c r="BH95" i="3" a="1"/>
  <c r="BH95" i="3"/>
  <c r="BH45" i="3" a="1"/>
  <c r="BH45" i="3"/>
  <c r="BH41" i="3" a="1"/>
  <c r="BH41" i="3"/>
  <c r="BH232" i="3" a="1"/>
  <c r="BH232" i="3"/>
  <c r="BI232" i="3" a="1"/>
  <c r="BI232" i="3"/>
  <c r="BI41" i="3" a="1"/>
  <c r="BI41" i="3"/>
  <c r="BH267" i="3" a="1"/>
  <c r="BH267" i="3"/>
  <c r="BI267" i="3" a="1"/>
  <c r="BI267" i="3"/>
  <c r="BI284" i="3" a="1"/>
  <c r="BI284" i="3"/>
  <c r="BH92" i="3" a="1"/>
  <c r="BH92" i="3"/>
  <c r="BH342" i="3" a="1"/>
  <c r="BH342" i="3"/>
  <c r="BH284" i="3" a="1"/>
  <c r="BH284" i="3"/>
  <c r="BI342" i="3" a="1"/>
  <c r="BI342" i="3"/>
  <c r="BI92" i="3" a="1"/>
  <c r="BI92" i="3"/>
  <c r="BI260" i="3" a="1"/>
  <c r="BI260" i="3"/>
  <c r="BH101" i="3" a="1"/>
  <c r="BH101" i="3"/>
  <c r="BH260" i="3" a="1"/>
  <c r="BH260" i="3"/>
  <c r="BI101" i="3" a="1"/>
  <c r="BI101" i="3"/>
  <c r="BI136" i="3" a="1"/>
  <c r="BI136" i="3"/>
  <c r="BH136" i="3" a="1"/>
  <c r="BH136" i="3"/>
  <c r="BH90" i="3" a="1"/>
  <c r="BH90" i="3"/>
  <c r="BI296" i="3" a="1"/>
  <c r="BI296" i="3"/>
  <c r="BI90" i="3" a="1"/>
  <c r="BI90" i="3"/>
  <c r="BH296" i="3" a="1"/>
  <c r="BH296" i="3"/>
  <c r="BH298" i="3" a="1"/>
  <c r="BH298" i="3"/>
  <c r="BI298" i="3" a="1"/>
  <c r="BI298" i="3"/>
  <c r="BH166" i="3" a="1"/>
  <c r="BH166" i="3"/>
  <c r="BI166" i="3" a="1"/>
  <c r="BI166" i="3"/>
  <c r="BI52" i="3" a="1"/>
  <c r="BI52" i="3"/>
  <c r="BH52" i="3" a="1"/>
  <c r="BH52" i="3"/>
  <c r="BH50" i="3" a="1"/>
  <c r="BH50" i="3"/>
  <c r="BI50" i="3" a="1"/>
  <c r="BI50" i="3"/>
  <c r="BI196" i="3" a="1"/>
  <c r="BI196" i="3"/>
  <c r="BH200" i="3" a="1"/>
  <c r="BH200" i="3"/>
  <c r="BI300" i="3" a="1"/>
  <c r="BI300" i="3"/>
  <c r="BI200" i="3" a="1"/>
  <c r="BI200" i="3"/>
  <c r="BH196" i="3" a="1"/>
  <c r="BH196" i="3"/>
  <c r="BH300" i="3" a="1"/>
  <c r="BH300" i="3"/>
  <c r="BI43" i="3" a="1"/>
  <c r="BI43" i="3"/>
  <c r="BH43" i="3" a="1"/>
  <c r="BH43" i="3"/>
  <c r="BH282" i="3" a="1"/>
  <c r="BH282" i="3"/>
  <c r="BI282" i="3" a="1"/>
  <c r="BI282" i="3"/>
  <c r="BI306" i="3" a="1"/>
  <c r="BI306" i="3"/>
  <c r="BH306" i="3" a="1"/>
  <c r="BH306" i="3"/>
  <c r="BH117" i="3" a="1"/>
  <c r="BH117" i="3"/>
  <c r="BI117" i="3" a="1"/>
  <c r="BI117" i="3"/>
  <c r="BH259" i="3" a="1"/>
  <c r="BH259" i="3"/>
  <c r="BI259" i="3" a="1"/>
  <c r="BI259" i="3"/>
  <c r="BI29" i="3" a="1"/>
  <c r="BI29" i="3"/>
  <c r="BH70" i="3" a="1"/>
  <c r="BH70" i="3"/>
  <c r="BI70" i="3" a="1"/>
  <c r="BI70" i="3"/>
  <c r="BH29" i="3" a="1"/>
  <c r="BH29" i="3"/>
  <c r="BH107" i="3" a="1"/>
  <c r="BH107" i="3"/>
  <c r="BI107" i="3" a="1"/>
  <c r="BI107" i="3"/>
  <c r="BI105" i="3" a="1"/>
  <c r="BI105" i="3"/>
  <c r="BH310" i="3" a="1"/>
  <c r="BH310" i="3"/>
  <c r="BI310" i="3" a="1"/>
  <c r="BI310" i="3"/>
  <c r="BH105" i="3" a="1"/>
  <c r="BH105" i="3"/>
  <c r="BH219" i="3" a="1"/>
  <c r="BH219" i="3"/>
  <c r="BI219" i="3" a="1"/>
  <c r="BI219" i="3"/>
  <c r="BH57" i="3" a="1"/>
  <c r="BH57" i="3"/>
  <c r="BH11" i="3" a="1"/>
  <c r="BH11" i="3"/>
  <c r="BI11" i="3" a="1"/>
  <c r="BI11" i="3"/>
  <c r="BI57" i="3" a="1"/>
  <c r="BI57" i="3"/>
  <c r="BI118" i="3" a="1"/>
  <c r="BI118" i="3"/>
  <c r="BH118" i="3" a="1"/>
  <c r="BH118" i="3"/>
  <c r="BH346" i="3" a="1"/>
  <c r="BH346" i="3"/>
  <c r="BI346" i="3" a="1"/>
  <c r="BI346" i="3"/>
  <c r="BH79" i="3" a="1"/>
  <c r="BH79" i="3"/>
  <c r="BI79" i="3" a="1"/>
  <c r="BI79" i="3"/>
  <c r="BI164" i="3" a="1"/>
  <c r="BI164" i="3"/>
  <c r="BH164" i="3" a="1"/>
  <c r="BH164" i="3"/>
  <c r="BI297" i="3" a="1"/>
  <c r="BI297" i="3"/>
  <c r="BH297" i="3" a="1"/>
  <c r="BH297" i="3"/>
  <c r="BI277" i="3" a="1"/>
  <c r="BI277" i="3"/>
  <c r="BH277" i="3" a="1"/>
  <c r="BH277" i="3"/>
  <c r="BI335" i="3" a="1"/>
  <c r="BI335" i="3"/>
  <c r="BI141" i="3" a="1"/>
  <c r="BI141" i="3"/>
  <c r="BH141" i="3" a="1"/>
  <c r="BH141" i="3"/>
  <c r="BH335" i="3" a="1"/>
  <c r="BH335" i="3"/>
  <c r="BI321" i="3" a="1"/>
  <c r="BI321" i="3"/>
  <c r="BH321" i="3" a="1"/>
  <c r="BH321" i="3"/>
  <c r="BI235" i="3" a="1"/>
  <c r="BI235" i="3"/>
  <c r="BH172" i="3" a="1"/>
  <c r="BH172" i="3"/>
  <c r="BH235" i="3" a="1"/>
  <c r="BH235" i="3"/>
  <c r="BI172" i="3" a="1"/>
  <c r="BI172" i="3"/>
  <c r="BI62" i="3" a="1"/>
  <c r="BI62" i="3"/>
  <c r="BH62" i="3" a="1"/>
  <c r="BH62" i="3"/>
  <c r="BM7" i="2" a="1"/>
  <c r="BM7" i="2"/>
  <c r="BI338" i="3" a="1"/>
  <c r="BI338" i="3"/>
  <c r="BH338" i="3" a="1"/>
  <c r="BH338" i="3"/>
  <c r="BN7" i="2" a="1"/>
  <c r="BN7" i="2"/>
  <c r="BH23" i="3" a="1"/>
  <c r="BH23" i="3"/>
  <c r="BI23" i="3" a="1"/>
  <c r="BI23" i="3"/>
  <c r="BH207" i="3" a="1"/>
  <c r="BH207" i="3"/>
  <c r="BI204" i="3" a="1"/>
  <c r="BI204" i="3"/>
  <c r="BH142" i="3" a="1"/>
  <c r="BH142" i="3"/>
  <c r="BI207" i="3" a="1"/>
  <c r="BI207" i="3"/>
  <c r="BI142" i="3" a="1"/>
  <c r="BI142" i="3"/>
  <c r="BH204" i="3" a="1"/>
  <c r="BH204" i="3"/>
  <c r="BI239" i="3" a="1"/>
  <c r="BI239" i="3"/>
  <c r="BH239" i="3" a="1"/>
  <c r="BH239" i="3"/>
  <c r="BI209" i="3" a="1"/>
  <c r="BI209" i="3"/>
  <c r="BH209" i="3" a="1"/>
  <c r="BH209" i="3"/>
  <c r="BH294" i="3" a="1"/>
  <c r="BH294" i="3"/>
  <c r="BI294" i="3" a="1"/>
  <c r="BI294" i="3"/>
  <c r="BH169" i="3" a="1"/>
  <c r="BH169" i="3"/>
  <c r="BI169" i="3" a="1"/>
  <c r="BI169" i="3"/>
  <c r="BH280" i="3" a="1"/>
  <c r="BH280" i="3"/>
  <c r="BI280" i="3" a="1"/>
  <c r="BI280" i="3"/>
  <c r="BH240" i="3" a="1"/>
  <c r="BH240" i="3"/>
  <c r="BI213" i="3" a="1"/>
  <c r="BI213" i="3"/>
  <c r="BH213" i="3" a="1"/>
  <c r="BH213" i="3"/>
  <c r="BI240" i="3" a="1"/>
  <c r="BI240" i="3"/>
  <c r="BI128" i="3" a="1"/>
  <c r="BI128" i="3"/>
  <c r="BH128" i="3" a="1"/>
  <c r="BH128" i="3"/>
  <c r="BI198" i="3" a="1"/>
  <c r="BI198" i="3"/>
  <c r="BH198" i="3" a="1"/>
  <c r="BH198" i="3"/>
  <c r="BI205" i="3" a="1"/>
  <c r="BI205" i="3"/>
  <c r="BH205" i="3" a="1"/>
  <c r="BH205" i="3"/>
  <c r="BH227" i="3" a="1"/>
  <c r="BH227" i="3"/>
  <c r="BM8" i="2" a="1"/>
  <c r="BM8" i="2"/>
  <c r="BN8" i="2" a="1"/>
  <c r="BN8" i="2"/>
  <c r="BI227" i="3" a="1"/>
  <c r="BI227" i="3"/>
  <c r="BH9" i="3" a="1"/>
  <c r="BH9" i="3"/>
  <c r="BI9" i="3" a="1"/>
  <c r="BI9" i="3"/>
  <c r="BI263" i="3" a="1"/>
  <c r="BI263" i="3"/>
  <c r="BH263" i="3" a="1"/>
  <c r="BH263" i="3"/>
  <c r="BH244" i="3" a="1"/>
  <c r="BH244" i="3"/>
  <c r="BI244" i="3" a="1"/>
  <c r="BI244" i="3"/>
  <c r="BI82" i="3" a="1"/>
  <c r="BI82" i="3"/>
  <c r="BH82" i="3" a="1"/>
  <c r="BH82" i="3"/>
  <c r="BH217" i="3" a="1"/>
  <c r="BH217" i="3"/>
  <c r="BI217" i="3" a="1"/>
  <c r="BI217" i="3"/>
  <c r="BI225" i="3" a="1"/>
  <c r="BI225" i="3"/>
  <c r="BH274" i="3" a="1"/>
  <c r="BH274" i="3"/>
  <c r="BI274" i="3" a="1"/>
  <c r="BI274" i="3"/>
  <c r="BH225" i="3" a="1"/>
  <c r="BH225" i="3"/>
  <c r="BI80" i="3" a="1"/>
  <c r="BI80" i="3"/>
  <c r="BH80" i="3" a="1"/>
  <c r="BH80" i="3"/>
  <c r="BH124" i="3" a="1"/>
  <c r="BH124" i="3"/>
  <c r="BI124" i="3" a="1"/>
  <c r="BI124" i="3"/>
  <c r="BH218" i="3" a="1"/>
  <c r="BH218" i="3"/>
  <c r="BI218" i="3" a="1"/>
  <c r="BI218" i="3"/>
  <c r="BI4" i="3" a="1"/>
  <c r="BI4" i="3"/>
  <c r="BH4" i="3" a="1"/>
  <c r="BH4" i="3"/>
  <c r="BH312" i="3" a="1"/>
  <c r="BH312" i="3"/>
  <c r="BI323" i="3" a="1"/>
  <c r="BI323" i="3"/>
  <c r="BH323" i="3" a="1"/>
  <c r="BH323" i="3"/>
  <c r="BI312" i="3" a="1"/>
  <c r="BI312" i="3"/>
  <c r="BI59" i="3" a="1"/>
  <c r="BI59" i="3"/>
  <c r="BH59" i="3" a="1"/>
  <c r="BH59" i="3"/>
  <c r="BI18" i="3" a="1"/>
  <c r="BI18" i="3"/>
  <c r="BH18" i="3" a="1"/>
  <c r="BH18" i="3"/>
  <c r="BI73" i="3" a="1"/>
  <c r="BI73" i="3"/>
  <c r="BH73" i="3" a="1"/>
  <c r="BH73" i="3"/>
  <c r="BH76" i="3" a="1"/>
  <c r="BH76" i="3"/>
  <c r="BI76" i="3" a="1"/>
  <c r="BI76" i="3"/>
  <c r="BH81" i="3" a="1"/>
  <c r="BH81" i="3"/>
  <c r="BI81" i="3" a="1"/>
  <c r="BI81" i="3"/>
  <c r="BH6" i="3" a="1"/>
  <c r="BH6" i="3"/>
  <c r="BI6" i="3" a="1"/>
  <c r="BI6" i="3"/>
  <c r="BH241" i="3" a="1"/>
  <c r="BH241" i="3"/>
  <c r="BI241" i="3" a="1"/>
  <c r="BI241" i="3"/>
  <c r="BI30" i="3" a="1"/>
  <c r="BI30" i="3"/>
  <c r="BH30" i="3" a="1"/>
  <c r="BH30" i="3"/>
  <c r="BI178" i="3" a="1"/>
  <c r="BI178" i="3"/>
  <c r="BH224" i="3" a="1"/>
  <c r="BH224" i="3"/>
  <c r="BH178" i="3" a="1"/>
  <c r="BH178" i="3"/>
  <c r="BI224" i="3" a="1"/>
  <c r="BI224" i="3"/>
  <c r="BH54" i="3" a="1"/>
  <c r="BH54" i="3"/>
  <c r="BI34" i="3" a="1"/>
  <c r="BI34" i="3"/>
  <c r="BI190" i="3" a="1"/>
  <c r="BI190" i="3"/>
  <c r="BH190" i="3" a="1"/>
  <c r="BH190" i="3"/>
  <c r="BH34" i="3" a="1"/>
  <c r="BH34" i="3"/>
  <c r="BI54" i="3" a="1"/>
  <c r="BI54" i="3"/>
  <c r="BH153" i="3" a="1"/>
  <c r="BH153" i="3"/>
  <c r="BI147" i="3" a="1"/>
  <c r="BI147" i="3"/>
  <c r="BH28" i="3" a="1"/>
  <c r="BH28" i="3"/>
  <c r="BI28" i="3" a="1"/>
  <c r="BI28" i="3"/>
  <c r="BI153" i="3" a="1"/>
  <c r="BI153" i="3"/>
  <c r="BH147" i="3" a="1"/>
  <c r="BH147" i="3"/>
  <c r="BH157" i="3" a="1"/>
  <c r="BH157" i="3"/>
  <c r="BI157" i="3" a="1"/>
  <c r="BI157" i="3"/>
  <c r="BH332" i="3" a="1"/>
  <c r="BH332" i="3"/>
  <c r="BI332" i="3" a="1"/>
  <c r="BI332" i="3"/>
  <c r="BI193" i="3" a="1"/>
  <c r="BI193" i="3"/>
  <c r="BI110" i="3" a="1"/>
  <c r="BI110" i="3"/>
  <c r="BH193" i="3" a="1"/>
  <c r="BH193" i="3"/>
  <c r="BH110" i="3" a="1"/>
  <c r="BH110" i="3"/>
  <c r="BI238" i="3" a="1"/>
  <c r="BI238" i="3"/>
  <c r="BH238" i="3" a="1"/>
  <c r="BH238" i="3"/>
  <c r="BI212" i="3" a="1"/>
  <c r="BI212" i="3"/>
  <c r="BH258" i="3" a="1"/>
  <c r="BH258" i="3"/>
  <c r="BH212" i="3" a="1"/>
  <c r="BH212" i="3"/>
  <c r="BI258" i="3" a="1"/>
  <c r="BI258" i="3"/>
  <c r="BI39" i="3" a="1"/>
  <c r="BI39" i="3"/>
  <c r="BH39" i="3" a="1"/>
  <c r="BH39" i="3"/>
  <c r="BI261" i="3" a="1"/>
  <c r="BI261" i="3"/>
  <c r="BH261" i="3" a="1"/>
  <c r="BH261" i="3"/>
  <c r="BI161" i="3" a="1"/>
  <c r="BI161" i="3"/>
  <c r="BI150" i="3" a="1"/>
  <c r="BI150" i="3"/>
  <c r="BH150" i="3" a="1"/>
  <c r="BH150" i="3"/>
  <c r="BH161" i="3" a="1"/>
  <c r="BH161" i="3"/>
  <c r="BH48" i="3" a="1"/>
  <c r="BH48" i="3"/>
  <c r="BI48" i="3" a="1"/>
  <c r="BI48" i="3"/>
  <c r="BI78" i="3" a="1"/>
  <c r="BI78" i="3"/>
  <c r="BH78" i="3" a="1"/>
  <c r="BH78" i="3"/>
  <c r="BI246" i="3" a="1"/>
  <c r="BI246" i="3"/>
  <c r="BI301" i="3" a="1"/>
  <c r="BI301" i="3"/>
  <c r="BH246" i="3" a="1"/>
  <c r="BH246" i="3"/>
  <c r="BH301" i="3" a="1"/>
  <c r="BH301" i="3"/>
  <c r="BH36" i="3" a="1"/>
  <c r="BH36" i="3"/>
  <c r="BI36" i="3" a="1"/>
  <c r="BI36" i="3"/>
  <c r="BH275" i="3" a="1"/>
  <c r="BH275" i="3"/>
  <c r="BH347" i="3" a="1"/>
  <c r="BH347" i="3"/>
  <c r="BI347" i="3" a="1"/>
  <c r="BI347" i="3"/>
  <c r="BI275" i="3" a="1"/>
  <c r="BI275" i="3"/>
  <c r="BH318" i="3" a="1"/>
  <c r="BH318" i="3"/>
  <c r="BI318" i="3" a="1"/>
  <c r="BI318" i="3"/>
  <c r="BI77" i="3" a="1"/>
  <c r="BI77" i="3"/>
  <c r="BI168" i="3" a="1"/>
  <c r="BI168" i="3"/>
  <c r="BH168" i="3" a="1"/>
  <c r="BH168" i="3"/>
  <c r="BH77" i="3" a="1"/>
  <c r="BH77" i="3"/>
  <c r="BH242" i="3" a="1"/>
  <c r="BH242" i="3"/>
  <c r="BH243" i="3" a="1"/>
  <c r="BH243" i="3"/>
  <c r="BH177" i="3" a="1"/>
  <c r="BH177" i="3"/>
  <c r="BI242" i="3" a="1"/>
  <c r="BI242" i="3"/>
  <c r="BI243" i="3" a="1"/>
  <c r="BI243" i="3"/>
  <c r="BI177" i="3" a="1"/>
  <c r="BI177" i="3"/>
  <c r="BI340" i="3" a="1"/>
  <c r="BI340" i="3"/>
  <c r="BI199" i="3" a="1"/>
  <c r="BI199" i="3"/>
  <c r="BH199" i="3" a="1"/>
  <c r="BH199" i="3"/>
  <c r="BH340" i="3" a="1"/>
  <c r="BH340" i="3"/>
  <c r="BH97" i="3" a="1"/>
  <c r="BH97" i="3"/>
  <c r="BH158" i="3" a="1"/>
  <c r="BH158" i="3"/>
  <c r="BI158" i="3" a="1"/>
  <c r="BI158" i="3"/>
  <c r="BI97" i="3" a="1"/>
  <c r="BI97" i="3"/>
  <c r="BI51" i="3" a="1"/>
  <c r="BI51" i="3"/>
  <c r="BH51" i="3" a="1"/>
  <c r="BH51" i="3"/>
  <c r="BH192" i="3" a="1"/>
  <c r="BH192" i="3"/>
  <c r="BI84" i="3" a="1"/>
  <c r="BI84" i="3"/>
  <c r="BH84" i="3" a="1"/>
  <c r="BH84" i="3"/>
  <c r="BI192" i="3" a="1"/>
  <c r="BI192" i="3"/>
  <c r="BF336" i="3" a="1"/>
  <c r="BF336" i="3"/>
  <c r="BK2" i="2" a="1"/>
  <c r="BK2" i="2"/>
  <c r="BF2" i="3" a="1"/>
  <c r="BF2" i="3"/>
  <c r="BG336" i="3" a="1"/>
  <c r="BG336" i="3"/>
  <c r="BL2" i="2" a="1"/>
  <c r="BL2" i="2"/>
  <c r="BG2" i="3" a="1"/>
  <c r="BG2" i="3"/>
  <c r="BF48" i="3" a="1"/>
  <c r="BF48" i="3"/>
  <c r="BG48" i="3" a="1"/>
  <c r="BG48" i="3"/>
  <c r="BG302" i="3" a="1"/>
  <c r="BG302" i="3"/>
  <c r="BF145" i="3" a="1"/>
  <c r="BF145" i="3"/>
  <c r="BF302" i="3" a="1"/>
  <c r="BF302" i="3"/>
  <c r="BG145" i="3" a="1"/>
  <c r="BG145" i="3"/>
  <c r="BG101" i="3" a="1"/>
  <c r="BG101" i="3"/>
  <c r="BF101" i="3" a="1"/>
  <c r="BF101" i="3"/>
  <c r="BF153" i="3" a="1"/>
  <c r="BF153" i="3"/>
  <c r="BG153" i="3" a="1"/>
  <c r="BG153" i="3"/>
  <c r="BG353" i="3" a="1"/>
  <c r="BG353" i="3"/>
  <c r="BF353" i="3" a="1"/>
  <c r="BF353" i="3"/>
  <c r="BF124" i="3" a="1"/>
  <c r="BF124" i="3"/>
  <c r="BG124" i="3" a="1"/>
  <c r="BG124" i="3"/>
  <c r="BF33" i="3" a="1"/>
  <c r="BF33" i="3"/>
  <c r="BG179" i="3" a="1"/>
  <c r="BG179" i="3"/>
  <c r="BF233" i="3" a="1"/>
  <c r="BF233" i="3"/>
  <c r="BG233" i="3" a="1"/>
  <c r="BG233" i="3"/>
  <c r="BG33" i="3" a="1"/>
  <c r="BG33" i="3"/>
  <c r="BF179" i="3" a="1"/>
  <c r="BF179" i="3"/>
  <c r="BF296" i="3" a="1"/>
  <c r="BF296" i="3"/>
  <c r="BG296" i="3" a="1"/>
  <c r="BG296" i="3"/>
  <c r="BF198" i="3" a="1"/>
  <c r="BF198" i="3"/>
  <c r="BG198" i="3" a="1"/>
  <c r="BG198" i="3"/>
  <c r="BG92" i="3" a="1"/>
  <c r="BG92" i="3"/>
  <c r="BG120" i="3" a="1"/>
  <c r="BG120" i="3"/>
  <c r="BF92" i="3" a="1"/>
  <c r="BF92" i="3"/>
  <c r="BF120" i="3" a="1"/>
  <c r="BF120" i="3"/>
  <c r="BF65" i="3" a="1"/>
  <c r="BF65" i="3"/>
  <c r="BF18" i="3" a="1"/>
  <c r="BF18" i="3"/>
  <c r="BG18" i="3" a="1"/>
  <c r="BG18" i="3"/>
  <c r="BG65" i="3" a="1"/>
  <c r="BG65" i="3"/>
  <c r="BF326" i="3" a="1"/>
  <c r="BF326" i="3"/>
  <c r="BG326" i="3" a="1"/>
  <c r="BG326" i="3"/>
  <c r="BF244" i="3" a="1"/>
  <c r="BF244" i="3"/>
  <c r="BG244" i="3" a="1"/>
  <c r="BG244" i="3"/>
  <c r="BG123" i="3" a="1"/>
  <c r="BG123" i="3"/>
  <c r="BF123" i="3" a="1"/>
  <c r="BF123" i="3"/>
  <c r="BF318" i="3" a="1"/>
  <c r="BF318" i="3"/>
  <c r="BF283" i="3" a="1"/>
  <c r="BF283" i="3"/>
  <c r="BG318" i="3" a="1"/>
  <c r="BG318" i="3"/>
  <c r="BG283" i="3" a="1"/>
  <c r="BG283" i="3"/>
  <c r="BF254" i="3" a="1"/>
  <c r="BF254" i="3"/>
  <c r="BG330" i="3" a="1"/>
  <c r="BG330" i="3"/>
  <c r="BF330" i="3" a="1"/>
  <c r="BF330" i="3"/>
  <c r="BG254" i="3" a="1"/>
  <c r="BG254" i="3"/>
  <c r="BG329" i="3" a="1"/>
  <c r="BG329" i="3"/>
  <c r="BF329" i="3" a="1"/>
  <c r="BF329" i="3"/>
  <c r="BL4" i="2" a="1"/>
  <c r="BL4" i="2"/>
  <c r="BG248" i="3" a="1"/>
  <c r="BG248" i="3"/>
  <c r="BG41" i="3" a="1"/>
  <c r="BG41" i="3"/>
  <c r="BK4" i="2" a="1"/>
  <c r="BK4" i="2"/>
  <c r="BF248" i="3" a="1"/>
  <c r="BF248" i="3"/>
  <c r="BF41" i="3" a="1"/>
  <c r="BF41" i="3"/>
  <c r="BG109" i="3" a="1"/>
  <c r="BG109" i="3"/>
  <c r="BG185" i="3" a="1"/>
  <c r="BG185" i="3"/>
  <c r="BF214" i="3" a="1"/>
  <c r="BF214" i="3"/>
  <c r="BF109" i="3" a="1"/>
  <c r="BF109" i="3"/>
  <c r="BF185" i="3" a="1"/>
  <c r="BF185" i="3"/>
  <c r="BG214" i="3" a="1"/>
  <c r="BG214" i="3"/>
  <c r="BG275" i="3" a="1"/>
  <c r="BG275" i="3"/>
  <c r="BF275" i="3" a="1"/>
  <c r="BF275" i="3"/>
  <c r="BF76" i="3" a="1"/>
  <c r="BF76" i="3"/>
  <c r="BF288" i="3" a="1"/>
  <c r="BF288" i="3"/>
  <c r="BG288" i="3" a="1"/>
  <c r="BG288" i="3"/>
  <c r="BG76" i="3" a="1"/>
  <c r="BG76" i="3"/>
  <c r="BG286" i="3" a="1"/>
  <c r="BG286" i="3"/>
  <c r="BF286" i="3" a="1"/>
  <c r="BF286" i="3"/>
  <c r="BF301" i="3" a="1"/>
  <c r="BF301" i="3"/>
  <c r="BG3" i="3" a="1"/>
  <c r="BG3" i="3"/>
  <c r="BF3" i="3" a="1"/>
  <c r="BF3" i="3"/>
  <c r="BG301" i="3" a="1"/>
  <c r="BG301" i="3"/>
  <c r="BF207" i="3" a="1"/>
  <c r="BF207" i="3"/>
  <c r="BG207" i="3" a="1"/>
  <c r="BG207" i="3"/>
  <c r="BG171" i="3" a="1"/>
  <c r="BG171" i="3"/>
  <c r="BF171" i="3" a="1"/>
  <c r="BF171" i="3"/>
  <c r="BF57" i="3" a="1"/>
  <c r="BF57" i="3"/>
  <c r="BG57" i="3" a="1"/>
  <c r="BG57" i="3"/>
  <c r="BF271" i="3" a="1"/>
  <c r="BF271" i="3"/>
  <c r="BG271" i="3" a="1"/>
  <c r="BG271" i="3"/>
  <c r="BG144" i="3" a="1"/>
  <c r="BG144" i="3"/>
  <c r="BF144" i="3" a="1"/>
  <c r="BF144" i="3"/>
  <c r="BG174" i="3" a="1"/>
  <c r="BG174" i="3"/>
  <c r="BG30" i="3" a="1"/>
  <c r="BG30" i="3"/>
  <c r="BG26" i="3" a="1"/>
  <c r="BG26" i="3"/>
  <c r="BF174" i="3" a="1"/>
  <c r="BF174" i="3"/>
  <c r="BF26" i="3" a="1"/>
  <c r="BF26" i="3"/>
  <c r="BF30" i="3" a="1"/>
  <c r="BF30" i="3"/>
  <c r="BF20" i="3" a="1"/>
  <c r="BF20" i="3"/>
  <c r="BF70" i="3" a="1"/>
  <c r="BF70" i="3"/>
  <c r="BG70" i="3" a="1"/>
  <c r="BG70" i="3"/>
  <c r="BG20" i="3" a="1"/>
  <c r="BG20" i="3"/>
  <c r="BG89" i="3" a="1"/>
  <c r="BG89" i="3"/>
  <c r="BG199" i="3" a="1"/>
  <c r="BG199" i="3"/>
  <c r="BF199" i="3" a="1"/>
  <c r="BF199" i="3"/>
  <c r="BF89" i="3" a="1"/>
  <c r="BF89" i="3"/>
  <c r="BG22" i="3" a="1"/>
  <c r="BG22" i="3"/>
  <c r="BF22" i="3" a="1"/>
  <c r="BF22" i="3"/>
  <c r="BG58" i="3" a="1"/>
  <c r="BG58" i="3"/>
  <c r="BF58" i="3" a="1"/>
  <c r="BF58" i="3"/>
  <c r="BF28" i="3" a="1"/>
  <c r="BF28" i="3"/>
  <c r="BG28" i="3" a="1"/>
  <c r="BG28" i="3"/>
  <c r="BG260" i="3" a="1"/>
  <c r="BG260" i="3"/>
  <c r="BF260" i="3" a="1"/>
  <c r="BF260" i="3"/>
  <c r="BF205" i="3" a="1"/>
  <c r="BF205" i="3"/>
  <c r="BG205" i="3" a="1"/>
  <c r="BG205" i="3"/>
  <c r="BG149" i="3" a="1"/>
  <c r="BG149" i="3"/>
  <c r="BF149" i="3" a="1"/>
  <c r="BF149" i="3"/>
  <c r="BF5" i="3" a="1"/>
  <c r="BF5" i="3"/>
  <c r="BG5" i="3" a="1"/>
  <c r="BG5" i="3"/>
  <c r="BF211" i="3" a="1"/>
  <c r="BF211" i="3"/>
  <c r="BG119" i="3" a="1"/>
  <c r="BG119" i="3"/>
  <c r="BG211" i="3" a="1"/>
  <c r="BG211" i="3"/>
  <c r="BF119" i="3" a="1"/>
  <c r="BF119" i="3"/>
  <c r="BF180" i="3" a="1"/>
  <c r="BF180" i="3"/>
  <c r="BG180" i="3" a="1"/>
  <c r="BG180" i="3"/>
  <c r="BG236" i="3" a="1"/>
  <c r="BG236" i="3"/>
  <c r="BF236" i="3" a="1"/>
  <c r="BF236" i="3"/>
  <c r="BG281" i="3" a="1"/>
  <c r="BG281" i="3"/>
  <c r="BF281" i="3" a="1"/>
  <c r="BF281" i="3"/>
  <c r="BG314" i="3" a="1"/>
  <c r="BG314" i="3"/>
  <c r="BF314" i="3" a="1"/>
  <c r="BF314" i="3"/>
  <c r="BF116" i="3" a="1"/>
  <c r="BF116" i="3"/>
  <c r="BG116" i="3" a="1"/>
  <c r="BG116" i="3"/>
  <c r="BF273" i="3" a="1"/>
  <c r="BF273" i="3"/>
  <c r="BG315" i="3" a="1"/>
  <c r="BG315" i="3"/>
  <c r="BG148" i="3" a="1"/>
  <c r="BG148" i="3"/>
  <c r="BF315" i="3" a="1"/>
  <c r="BF315" i="3"/>
  <c r="BG273" i="3" a="1"/>
  <c r="BG273" i="3"/>
  <c r="BF148" i="3" a="1"/>
  <c r="BF148" i="3"/>
  <c r="BG110" i="3" a="1"/>
  <c r="BG110" i="3"/>
  <c r="BF110" i="3" a="1"/>
  <c r="BF110" i="3"/>
  <c r="BF169" i="3" a="1"/>
  <c r="BF169" i="3"/>
  <c r="BG232" i="3" a="1"/>
  <c r="BG232" i="3"/>
  <c r="BG169" i="3" a="1"/>
  <c r="BG169" i="3"/>
  <c r="BF232" i="3" a="1"/>
  <c r="BF232" i="3"/>
  <c r="BF340" i="3" a="1"/>
  <c r="BF340" i="3"/>
  <c r="BG340" i="3" a="1"/>
  <c r="BG340" i="3"/>
  <c r="BG121" i="3" a="1"/>
  <c r="BG121" i="3"/>
  <c r="BF121" i="3" a="1"/>
  <c r="BF121" i="3"/>
  <c r="BF43" i="3" a="1"/>
  <c r="BF43" i="3"/>
  <c r="BG43" i="3" a="1"/>
  <c r="BG43" i="3"/>
  <c r="BK6" i="2" a="1"/>
  <c r="BK6" i="2"/>
  <c r="BG306" i="3" a="1"/>
  <c r="BG306" i="3"/>
  <c r="BL6" i="2" a="1"/>
  <c r="BL6" i="2"/>
  <c r="BF306" i="3" a="1"/>
  <c r="BF306" i="3"/>
  <c r="BG292" i="3" a="1"/>
  <c r="BG292" i="3"/>
  <c r="BF292" i="3" a="1"/>
  <c r="BF292" i="3"/>
  <c r="BG113" i="3" a="1"/>
  <c r="BG113" i="3"/>
  <c r="BG294" i="3" a="1"/>
  <c r="BG294" i="3"/>
  <c r="BF166" i="3" a="1"/>
  <c r="BF166" i="3"/>
  <c r="BF113" i="3" a="1"/>
  <c r="BF113" i="3"/>
  <c r="BF294" i="3" a="1"/>
  <c r="BF294" i="3"/>
  <c r="BG166" i="3" a="1"/>
  <c r="BG166" i="3"/>
  <c r="BG345" i="3" a="1"/>
  <c r="BG345" i="3"/>
  <c r="BF345" i="3" a="1"/>
  <c r="BF345" i="3"/>
  <c r="BF342" i="3" a="1"/>
  <c r="BF342" i="3"/>
  <c r="BG349" i="3" a="1"/>
  <c r="BG349" i="3"/>
  <c r="BF349" i="3" a="1"/>
  <c r="BF349" i="3"/>
  <c r="BG342" i="3" a="1"/>
  <c r="BG342" i="3"/>
  <c r="BG299" i="3" a="1"/>
  <c r="BG299" i="3"/>
  <c r="BG221" i="3" a="1"/>
  <c r="BG221" i="3"/>
  <c r="BF299" i="3" a="1"/>
  <c r="BF299" i="3"/>
  <c r="BF221" i="3" a="1"/>
  <c r="BF221" i="3"/>
  <c r="BF162" i="3" a="1"/>
  <c r="BF162" i="3"/>
  <c r="BG230" i="3" a="1"/>
  <c r="BG230" i="3"/>
  <c r="BG162" i="3" a="1"/>
  <c r="BG162" i="3"/>
  <c r="BF230" i="3" a="1"/>
  <c r="BF230" i="3"/>
  <c r="BF201" i="3" a="1"/>
  <c r="BF201" i="3"/>
  <c r="BG201" i="3" a="1"/>
  <c r="BG201" i="3"/>
  <c r="BG209" i="3" a="1"/>
  <c r="BG209" i="3"/>
  <c r="BF209" i="3" a="1"/>
  <c r="BF209" i="3"/>
  <c r="BG45" i="3" a="1"/>
  <c r="BG45" i="3"/>
  <c r="BF45" i="3" a="1"/>
  <c r="BF45" i="3"/>
  <c r="BK9" i="2" a="1"/>
  <c r="BK9" i="2"/>
  <c r="BG193" i="3" a="1"/>
  <c r="BG193" i="3"/>
  <c r="BL9" i="2" a="1"/>
  <c r="BL9" i="2"/>
  <c r="BF193" i="3" a="1"/>
  <c r="BF193" i="3"/>
  <c r="BG175" i="3" a="1"/>
  <c r="BG175" i="3"/>
  <c r="BG238" i="3" a="1"/>
  <c r="BG238" i="3"/>
  <c r="BF175" i="3" a="1"/>
  <c r="BF175" i="3"/>
  <c r="BF238" i="3" a="1"/>
  <c r="BF238" i="3"/>
  <c r="BG40" i="3" a="1"/>
  <c r="BG40" i="3"/>
  <c r="BF40" i="3" a="1"/>
  <c r="BF40" i="3"/>
  <c r="BG278" i="3" a="1"/>
  <c r="BG278" i="3"/>
  <c r="BF278" i="3" a="1"/>
  <c r="BF278" i="3"/>
  <c r="BG195" i="3" a="1"/>
  <c r="BG195" i="3"/>
  <c r="BL10" i="2" a="1"/>
  <c r="BL10" i="2"/>
  <c r="BG341" i="3" a="1"/>
  <c r="BG341" i="3"/>
  <c r="BF195" i="3" a="1"/>
  <c r="BF195" i="3"/>
  <c r="BF341" i="3" a="1"/>
  <c r="BF341" i="3"/>
  <c r="BK10" i="2" a="1"/>
  <c r="BK10" i="2"/>
  <c r="BF157" i="3" a="1"/>
  <c r="BF157" i="3"/>
  <c r="BF246" i="3" a="1"/>
  <c r="BF246" i="3"/>
  <c r="BG246" i="3" a="1"/>
  <c r="BG246" i="3"/>
  <c r="BG157" i="3" a="1"/>
  <c r="BG157" i="3"/>
  <c r="BF168" i="3" a="1"/>
  <c r="BF168" i="3"/>
  <c r="BG168" i="3" a="1"/>
  <c r="BG168" i="3"/>
  <c r="BG59" i="3" a="1"/>
  <c r="BG59" i="3"/>
  <c r="BG223" i="3" a="1"/>
  <c r="BG223" i="3"/>
  <c r="BF223" i="3" a="1"/>
  <c r="BF223" i="3"/>
  <c r="BF59" i="3" a="1"/>
  <c r="BF59" i="3"/>
  <c r="BG264" i="3" a="1"/>
  <c r="BG264" i="3"/>
  <c r="BG344" i="3" a="1"/>
  <c r="BG344" i="3"/>
  <c r="BF264" i="3" a="1"/>
  <c r="BF264" i="3"/>
  <c r="BF344" i="3" a="1"/>
  <c r="BF344" i="3"/>
  <c r="BK3" i="2" a="1"/>
  <c r="BK3" i="2"/>
  <c r="BF316" i="3" a="1"/>
  <c r="BF316" i="3"/>
  <c r="BG87" i="3" a="1"/>
  <c r="BG87" i="3"/>
  <c r="BL3" i="2" a="1"/>
  <c r="BL3" i="2"/>
  <c r="BG316" i="3" a="1"/>
  <c r="BG316" i="3"/>
  <c r="BF87" i="3" a="1"/>
  <c r="BF87" i="3"/>
  <c r="BF50" i="3" a="1"/>
  <c r="BF50" i="3"/>
  <c r="BG50" i="3" a="1"/>
  <c r="BG50" i="3"/>
  <c r="BF234" i="3" a="1"/>
  <c r="BF234" i="3"/>
  <c r="BG234" i="3" a="1"/>
  <c r="BG234" i="3"/>
  <c r="BF343" i="3" a="1"/>
  <c r="BF343" i="3"/>
  <c r="BG343" i="3" a="1"/>
  <c r="BG343" i="3"/>
  <c r="BF137" i="3" a="1"/>
  <c r="BF137" i="3"/>
  <c r="BG137" i="3" a="1"/>
  <c r="BG137" i="3"/>
  <c r="BG200" i="3" a="1"/>
  <c r="BG200" i="3"/>
  <c r="BF200" i="3" a="1"/>
  <c r="BF200" i="3"/>
  <c r="BG241" i="3" a="1"/>
  <c r="BG241" i="3"/>
  <c r="BG304" i="3" a="1"/>
  <c r="BG304" i="3"/>
  <c r="BF304" i="3" a="1"/>
  <c r="BF304" i="3"/>
  <c r="BF241" i="3" a="1"/>
  <c r="BF241" i="3"/>
  <c r="BG287" i="3" a="1"/>
  <c r="BG287" i="3"/>
  <c r="BG111" i="3" a="1"/>
  <c r="BG111" i="3"/>
  <c r="BF13" i="3" a="1"/>
  <c r="BF13" i="3"/>
  <c r="BF56" i="3" a="1"/>
  <c r="BF56" i="3"/>
  <c r="BF287" i="3" a="1"/>
  <c r="BF287" i="3"/>
  <c r="BG13" i="3" a="1"/>
  <c r="BG13" i="3"/>
  <c r="BG56" i="3" a="1"/>
  <c r="BG56" i="3"/>
  <c r="BF111" i="3" a="1"/>
  <c r="BF111" i="3"/>
  <c r="BF94" i="3" a="1"/>
  <c r="BF94" i="3"/>
  <c r="BG94" i="3" a="1"/>
  <c r="BG94" i="3"/>
  <c r="BF37" i="3" a="1"/>
  <c r="BF37" i="3"/>
  <c r="BG37" i="3" a="1"/>
  <c r="BG37" i="3"/>
  <c r="BF308" i="3" a="1"/>
  <c r="BF308" i="3"/>
  <c r="BG308" i="3" a="1"/>
  <c r="BG308" i="3"/>
  <c r="BG25" i="3" a="1"/>
  <c r="BG25" i="3"/>
  <c r="BF25" i="3" a="1"/>
  <c r="BF25" i="3"/>
  <c r="BF118" i="3" a="1"/>
  <c r="BF118" i="3"/>
  <c r="BG118" i="3" a="1"/>
  <c r="BG118" i="3"/>
  <c r="BG47" i="3" a="1"/>
  <c r="BG47" i="3"/>
  <c r="BF47" i="3" a="1"/>
  <c r="BF47" i="3"/>
  <c r="BF226" i="3" a="1"/>
  <c r="BF226" i="3"/>
  <c r="BG226" i="3" a="1"/>
  <c r="BG226" i="3"/>
  <c r="BF49" i="3" a="1"/>
  <c r="BF49" i="3"/>
  <c r="BG49" i="3" a="1"/>
  <c r="BG49" i="3"/>
  <c r="BF8" i="3" a="1"/>
  <c r="BF8" i="3"/>
  <c r="BG8" i="3" a="1"/>
  <c r="BG8" i="3"/>
  <c r="BG35" i="3" a="1"/>
  <c r="BG35" i="3"/>
  <c r="BG217" i="3" a="1"/>
  <c r="BG217" i="3"/>
  <c r="BF217" i="3" a="1"/>
  <c r="BF217" i="3"/>
  <c r="BF35" i="3" a="1"/>
  <c r="BF35" i="3"/>
  <c r="BF235" i="3" a="1"/>
  <c r="BF235" i="3"/>
  <c r="BG235" i="3" a="1"/>
  <c r="BG235" i="3"/>
  <c r="BF243" i="3" a="1"/>
  <c r="BF243" i="3"/>
  <c r="BG243" i="3" a="1"/>
  <c r="BG243" i="3"/>
  <c r="BG173" i="3" a="1"/>
  <c r="BG173" i="3"/>
  <c r="BF98" i="3" a="1"/>
  <c r="BF98" i="3"/>
  <c r="BG222" i="3" a="1"/>
  <c r="BG222" i="3"/>
  <c r="BF173" i="3" a="1"/>
  <c r="BF173" i="3"/>
  <c r="BF222" i="3" a="1"/>
  <c r="BF222" i="3"/>
  <c r="BG98" i="3" a="1"/>
  <c r="BG98" i="3"/>
  <c r="BG115" i="3" a="1"/>
  <c r="BG115" i="3"/>
  <c r="BF115" i="3" a="1"/>
  <c r="BF115" i="3"/>
  <c r="BG257" i="3" a="1"/>
  <c r="BG257" i="3"/>
  <c r="BF257" i="3" a="1"/>
  <c r="BF257" i="3"/>
  <c r="BG73" i="3" a="1"/>
  <c r="BG73" i="3"/>
  <c r="BF73" i="3" a="1"/>
  <c r="BF73" i="3"/>
  <c r="BF249" i="3" a="1"/>
  <c r="BF249" i="3"/>
  <c r="BG249" i="3" a="1"/>
  <c r="BG249" i="3"/>
  <c r="BG206" i="3" a="1"/>
  <c r="BG206" i="3"/>
  <c r="BF160" i="3" a="1"/>
  <c r="BF160" i="3"/>
  <c r="BG36" i="3" a="1"/>
  <c r="BG36" i="3"/>
  <c r="BF206" i="3" a="1"/>
  <c r="BF206" i="3"/>
  <c r="BF36" i="3" a="1"/>
  <c r="BF36" i="3"/>
  <c r="BG160" i="3" a="1"/>
  <c r="BG160" i="3"/>
  <c r="BF279" i="3" a="1"/>
  <c r="BF279" i="3"/>
  <c r="BG279" i="3" a="1"/>
  <c r="BG279" i="3"/>
  <c r="BG231" i="3" a="1"/>
  <c r="BG231" i="3"/>
  <c r="BF231" i="3" a="1"/>
  <c r="BF231" i="3"/>
  <c r="BG190" i="3" a="1"/>
  <c r="BG190" i="3"/>
  <c r="BF190" i="3" a="1"/>
  <c r="BF190" i="3"/>
  <c r="BF187" i="3" a="1"/>
  <c r="BF187" i="3"/>
  <c r="BG187" i="3" a="1"/>
  <c r="BG187" i="3"/>
  <c r="BG97" i="3" a="1"/>
  <c r="BG97" i="3"/>
  <c r="BF23" i="3" a="1"/>
  <c r="BF23" i="3"/>
  <c r="BG23" i="3" a="1"/>
  <c r="BG23" i="3"/>
  <c r="BF97" i="3" a="1"/>
  <c r="BF97" i="3"/>
  <c r="BF216" i="3" a="1"/>
  <c r="BF216" i="3"/>
  <c r="BG313" i="3" a="1"/>
  <c r="BG313" i="3"/>
  <c r="BG216" i="3" a="1"/>
  <c r="BG216" i="3"/>
  <c r="BF313" i="3" a="1"/>
  <c r="BF313" i="3"/>
  <c r="BF54" i="3" a="1"/>
  <c r="BF54" i="3"/>
  <c r="BG54" i="3" a="1"/>
  <c r="BG54" i="3"/>
  <c r="BG272" i="3" a="1"/>
  <c r="BG272" i="3"/>
  <c r="BF272" i="3" a="1"/>
  <c r="BF272" i="3"/>
  <c r="BF141" i="3" a="1"/>
  <c r="BF141" i="3"/>
  <c r="BG141" i="3" a="1"/>
  <c r="BG141" i="3"/>
  <c r="BG245" i="3" a="1"/>
  <c r="BG245" i="3"/>
  <c r="BF245" i="3" a="1"/>
  <c r="BF245" i="3"/>
  <c r="BF132" i="3" a="1"/>
  <c r="BF132" i="3"/>
  <c r="BG69" i="3" a="1"/>
  <c r="BG69" i="3"/>
  <c r="BG86" i="3" a="1"/>
  <c r="BG86" i="3"/>
  <c r="BG132" i="3" a="1"/>
  <c r="BG132" i="3"/>
  <c r="BF69" i="3" a="1"/>
  <c r="BF69" i="3"/>
  <c r="BF86" i="3" a="1"/>
  <c r="BF86" i="3"/>
  <c r="BG274" i="3" a="1"/>
  <c r="BG274" i="3"/>
  <c r="BF274" i="3" a="1"/>
  <c r="BF274" i="3"/>
  <c r="BG328" i="3" a="1"/>
  <c r="BG328" i="3"/>
  <c r="BF219" i="3" a="1"/>
  <c r="BF219" i="3"/>
  <c r="BF61" i="3" a="1"/>
  <c r="BF61" i="3"/>
  <c r="BF328" i="3" a="1"/>
  <c r="BF328" i="3"/>
  <c r="BG61" i="3" a="1"/>
  <c r="BG61" i="3"/>
  <c r="BG219" i="3" a="1"/>
  <c r="BG219" i="3"/>
  <c r="BG165" i="3" a="1"/>
  <c r="BG165" i="3"/>
  <c r="BF165" i="3" a="1"/>
  <c r="BF165" i="3"/>
  <c r="BG95" i="3" a="1"/>
  <c r="BG95" i="3"/>
  <c r="BF284" i="3" a="1"/>
  <c r="BF284" i="3"/>
  <c r="BG53" i="3" a="1"/>
  <c r="BG53" i="3"/>
  <c r="BF277" i="3" a="1"/>
  <c r="BF277" i="3"/>
  <c r="BF17" i="3" a="1"/>
  <c r="BF17" i="3"/>
  <c r="BF53" i="3" a="1"/>
  <c r="BF53" i="3"/>
  <c r="BG17" i="3" a="1"/>
  <c r="BG17" i="3"/>
  <c r="BG277" i="3" a="1"/>
  <c r="BG277" i="3"/>
  <c r="BF95" i="3" a="1"/>
  <c r="BF95" i="3"/>
  <c r="BG284" i="3" a="1"/>
  <c r="BG284" i="3"/>
  <c r="BF208" i="3" a="1"/>
  <c r="BF208" i="3"/>
  <c r="BG208" i="3" a="1"/>
  <c r="BG208" i="3"/>
  <c r="BG154" i="3" a="1"/>
  <c r="BG154" i="3"/>
  <c r="BF154" i="3" a="1"/>
  <c r="BF154" i="3"/>
  <c r="BG60" i="3" a="1"/>
  <c r="BG60" i="3"/>
  <c r="BG107" i="3" a="1"/>
  <c r="BG107" i="3"/>
  <c r="BF60" i="3" a="1"/>
  <c r="BF60" i="3"/>
  <c r="BF107" i="3" a="1"/>
  <c r="BF107" i="3"/>
  <c r="BF68" i="3" a="1"/>
  <c r="BF68" i="3"/>
  <c r="BG38" i="3" a="1"/>
  <c r="BG38" i="3"/>
  <c r="BF7" i="3" a="1"/>
  <c r="BF7" i="3"/>
  <c r="BG68" i="3" a="1"/>
  <c r="BG68" i="3"/>
  <c r="BF38" i="3" a="1"/>
  <c r="BF38" i="3"/>
  <c r="BG7" i="3" a="1"/>
  <c r="BG7" i="3"/>
  <c r="BG104" i="3" a="1"/>
  <c r="BG104" i="3"/>
  <c r="BF104" i="3" a="1"/>
  <c r="BF104" i="3"/>
  <c r="BF258" i="3" a="1"/>
  <c r="BF258" i="3"/>
  <c r="BG258" i="3" a="1"/>
  <c r="BG258" i="3"/>
  <c r="BG347" i="3" a="1"/>
  <c r="BG347" i="3"/>
  <c r="BF347" i="3" a="1"/>
  <c r="BF347" i="3"/>
  <c r="BF303" i="3" a="1"/>
  <c r="BF303" i="3"/>
  <c r="BG303" i="3" a="1"/>
  <c r="BG303" i="3"/>
  <c r="BF322" i="3" a="1"/>
  <c r="BF322" i="3"/>
  <c r="BG322" i="3" a="1"/>
  <c r="BG322" i="3"/>
  <c r="BF339" i="3" a="1"/>
  <c r="BF339" i="3"/>
  <c r="BG339" i="3" a="1"/>
  <c r="BG339" i="3"/>
  <c r="BG114" i="3" a="1"/>
  <c r="BG114" i="3"/>
  <c r="BF29" i="3" a="1"/>
  <c r="BF29" i="3"/>
  <c r="BG29" i="3" a="1"/>
  <c r="BG29" i="3"/>
  <c r="BF114" i="3" a="1"/>
  <c r="BF114" i="3"/>
  <c r="BG105" i="3" a="1"/>
  <c r="BG105" i="3"/>
  <c r="BF105" i="3" a="1"/>
  <c r="BF105" i="3"/>
  <c r="BG146" i="3" a="1"/>
  <c r="BG146" i="3"/>
  <c r="BF135" i="3" a="1"/>
  <c r="BF135" i="3"/>
  <c r="BF146" i="3" a="1"/>
  <c r="BF146" i="3"/>
  <c r="BG135" i="3" a="1"/>
  <c r="BG135" i="3"/>
  <c r="BG267" i="3" a="1"/>
  <c r="BG267" i="3"/>
  <c r="BF267" i="3" a="1"/>
  <c r="BF267" i="3"/>
  <c r="BG63" i="3" a="1"/>
  <c r="BG63" i="3"/>
  <c r="BF63" i="3" a="1"/>
  <c r="BF63" i="3"/>
  <c r="BG204" i="3" a="1"/>
  <c r="BG204" i="3"/>
  <c r="BF204" i="3" a="1"/>
  <c r="BF204" i="3"/>
  <c r="BF251" i="3" a="1"/>
  <c r="BF251" i="3"/>
  <c r="BG251" i="3" a="1"/>
  <c r="BG251" i="3"/>
  <c r="BG282" i="3" a="1"/>
  <c r="BG282" i="3"/>
  <c r="BG139" i="3" a="1"/>
  <c r="BG139" i="3"/>
  <c r="BF282" i="3" a="1"/>
  <c r="BF282" i="3"/>
  <c r="BF139" i="3" a="1"/>
  <c r="BF139" i="3"/>
  <c r="BG255" i="3" a="1"/>
  <c r="BG255" i="3"/>
  <c r="BG227" i="3" a="1"/>
  <c r="BG227" i="3"/>
  <c r="BF255" i="3" a="1"/>
  <c r="BF255" i="3"/>
  <c r="BF227" i="3" a="1"/>
  <c r="BF227" i="3"/>
  <c r="BF295" i="3" a="1"/>
  <c r="BF295" i="3"/>
  <c r="BG295" i="3" a="1"/>
  <c r="BG295" i="3"/>
  <c r="BG88" i="3" a="1"/>
  <c r="BG88" i="3"/>
  <c r="BF88" i="3" a="1"/>
  <c r="BF88" i="3"/>
  <c r="BG15" i="3" a="1"/>
  <c r="BG15" i="3"/>
  <c r="BF15" i="3" a="1"/>
  <c r="BF15" i="3"/>
  <c r="BF311" i="3" a="1"/>
  <c r="BF311" i="3"/>
  <c r="BG311" i="3" a="1"/>
  <c r="BG311" i="3"/>
  <c r="BG181" i="3" a="1"/>
  <c r="BG181" i="3"/>
  <c r="BF194" i="3" a="1"/>
  <c r="BF194" i="3"/>
  <c r="BG194" i="3" a="1"/>
  <c r="BG194" i="3"/>
  <c r="BF181" i="3" a="1"/>
  <c r="BF181" i="3"/>
  <c r="BF213" i="3" a="1"/>
  <c r="BF213" i="3"/>
  <c r="BG213" i="3" a="1"/>
  <c r="BG213" i="3"/>
  <c r="BF161" i="3" a="1"/>
  <c r="BF161" i="3"/>
  <c r="BG161" i="3" a="1"/>
  <c r="BG161" i="3"/>
  <c r="BG9" i="3" a="1"/>
  <c r="BG9" i="3"/>
  <c r="BF9" i="3" a="1"/>
  <c r="BF9" i="3"/>
  <c r="BF186" i="3" a="1"/>
  <c r="BF186" i="3"/>
  <c r="BG186" i="3" a="1"/>
  <c r="BG186" i="3"/>
  <c r="BF42" i="3" a="1"/>
  <c r="BF42" i="3"/>
  <c r="BG42" i="3" a="1"/>
  <c r="BG42" i="3"/>
  <c r="BF225" i="3" a="1"/>
  <c r="BF225" i="3"/>
  <c r="BG225" i="3" a="1"/>
  <c r="BG225" i="3"/>
  <c r="BF196" i="3" a="1"/>
  <c r="BF196" i="3"/>
  <c r="BG46" i="3" a="1"/>
  <c r="BG46" i="3"/>
  <c r="BG196" i="3" a="1"/>
  <c r="BG196" i="3"/>
  <c r="BF46" i="3" a="1"/>
  <c r="BF46" i="3"/>
  <c r="BF16" i="3" a="1"/>
  <c r="BF16" i="3"/>
  <c r="BG16" i="3" a="1"/>
  <c r="BG16" i="3"/>
  <c r="BG334" i="3" a="1"/>
  <c r="BG334" i="3"/>
  <c r="BF334" i="3" a="1"/>
  <c r="BF334" i="3"/>
  <c r="BF32" i="3" a="1"/>
  <c r="BF32" i="3"/>
  <c r="BG300" i="3" a="1"/>
  <c r="BG300" i="3"/>
  <c r="BG32" i="3" a="1"/>
  <c r="BG32" i="3"/>
  <c r="BF300" i="3" a="1"/>
  <c r="BF300" i="3"/>
  <c r="BF268" i="3" a="1"/>
  <c r="BF268" i="3"/>
  <c r="BG268" i="3" a="1"/>
  <c r="BG268" i="3"/>
  <c r="BG333" i="3" a="1"/>
  <c r="BG333" i="3"/>
  <c r="BF325" i="3" a="1"/>
  <c r="BF325" i="3"/>
  <c r="BF320" i="3" a="1"/>
  <c r="BF320" i="3"/>
  <c r="BG325" i="3" a="1"/>
  <c r="BG325" i="3"/>
  <c r="BF333" i="3" a="1"/>
  <c r="BF333" i="3"/>
  <c r="BG320" i="3" a="1"/>
  <c r="BG320" i="3"/>
  <c r="BG332" i="3" a="1"/>
  <c r="BG332" i="3"/>
  <c r="BF332" i="3" a="1"/>
  <c r="BF332" i="3"/>
  <c r="BG319" i="3" a="1"/>
  <c r="BG319" i="3"/>
  <c r="BF319" i="3" a="1"/>
  <c r="BF319" i="3"/>
  <c r="BG337" i="3" a="1"/>
  <c r="BG337" i="3"/>
  <c r="BF337" i="3" a="1"/>
  <c r="BF337" i="3"/>
  <c r="BG133" i="3" a="1"/>
  <c r="BG133" i="3"/>
  <c r="BF265" i="3" a="1"/>
  <c r="BF265" i="3"/>
  <c r="BF133" i="3" a="1"/>
  <c r="BF133" i="3"/>
  <c r="BG265" i="3" a="1"/>
  <c r="BG265" i="3"/>
  <c r="BF44" i="3" a="1"/>
  <c r="BF44" i="3"/>
  <c r="BG44" i="3" a="1"/>
  <c r="BG44" i="3"/>
  <c r="BF261" i="3" a="1"/>
  <c r="BF261" i="3"/>
  <c r="BG261" i="3" a="1"/>
  <c r="BG261" i="3"/>
  <c r="BF62" i="3" a="1"/>
  <c r="BF62" i="3"/>
  <c r="BG62" i="3" a="1"/>
  <c r="BG62" i="3"/>
  <c r="BF67" i="3" a="1"/>
  <c r="BF67" i="3"/>
  <c r="BG67" i="3" a="1"/>
  <c r="BG67" i="3"/>
  <c r="BG177" i="3" a="1"/>
  <c r="BG177" i="3"/>
  <c r="BF177" i="3" a="1"/>
  <c r="BF177" i="3"/>
  <c r="BG270" i="3" a="1"/>
  <c r="BG270" i="3"/>
  <c r="BF270" i="3" a="1"/>
  <c r="BF270" i="3"/>
  <c r="BG93" i="3" a="1"/>
  <c r="BG93" i="3"/>
  <c r="BF93" i="3" a="1"/>
  <c r="BF93" i="3"/>
  <c r="BF182" i="3" a="1"/>
  <c r="BF182" i="3"/>
  <c r="BF108" i="3" a="1"/>
  <c r="BF108" i="3"/>
  <c r="BG182" i="3" a="1"/>
  <c r="BG182" i="3"/>
  <c r="BG108" i="3" a="1"/>
  <c r="BG108" i="3"/>
  <c r="BG34" i="3" a="1"/>
  <c r="BG34" i="3"/>
  <c r="BF323" i="3" a="1"/>
  <c r="BF323" i="3"/>
  <c r="BG323" i="3" a="1"/>
  <c r="BG323" i="3"/>
  <c r="BF34" i="3" a="1"/>
  <c r="BF34" i="3"/>
  <c r="BF184" i="3" a="1"/>
  <c r="BF184" i="3"/>
  <c r="BG250" i="3" a="1"/>
  <c r="BG250" i="3"/>
  <c r="BG184" i="3" a="1"/>
  <c r="BG184" i="3"/>
  <c r="BF250" i="3" a="1"/>
  <c r="BF250" i="3"/>
  <c r="BF14" i="3" a="1"/>
  <c r="BF14" i="3"/>
  <c r="BG14" i="3" a="1"/>
  <c r="BG14" i="3"/>
  <c r="BF188" i="3" a="1"/>
  <c r="BF188" i="3"/>
  <c r="BG188" i="3" a="1"/>
  <c r="BG188" i="3"/>
  <c r="BG191" i="3" a="1"/>
  <c r="BG191" i="3"/>
  <c r="BL8" i="2" a="1"/>
  <c r="BL8" i="2"/>
  <c r="BK8" i="2" a="1"/>
  <c r="BK8" i="2"/>
  <c r="BF191" i="3" a="1"/>
  <c r="BF191" i="3"/>
  <c r="BF83" i="3" a="1"/>
  <c r="BF83" i="3"/>
  <c r="BG83" i="3" a="1"/>
  <c r="BG83" i="3"/>
  <c r="BG136" i="3" a="1"/>
  <c r="BG136" i="3"/>
  <c r="BF136" i="3" a="1"/>
  <c r="BF136" i="3"/>
  <c r="BF240" i="3" a="1"/>
  <c r="BF240" i="3"/>
  <c r="BF11" i="3" a="1"/>
  <c r="BF11" i="3"/>
  <c r="BG11" i="3" a="1"/>
  <c r="BG11" i="3"/>
  <c r="BG240" i="3" a="1"/>
  <c r="BG240" i="3"/>
  <c r="BF24" i="3" a="1"/>
  <c r="BF24" i="3"/>
  <c r="BG24" i="3" a="1"/>
  <c r="BG24" i="3"/>
  <c r="BF103" i="3" a="1"/>
  <c r="BF103" i="3"/>
  <c r="BG103" i="3" a="1"/>
  <c r="BG103" i="3"/>
  <c r="BF142" i="3" a="1"/>
  <c r="BF142" i="3"/>
  <c r="BG142" i="3" a="1"/>
  <c r="BG142" i="3"/>
  <c r="BG331" i="3" a="1"/>
  <c r="BG331" i="3"/>
  <c r="BF331" i="3" a="1"/>
  <c r="BF331" i="3"/>
  <c r="BL7" i="2" a="1"/>
  <c r="BL7" i="2"/>
  <c r="BK7" i="2" a="1"/>
  <c r="BK7" i="2"/>
  <c r="BF130" i="3" a="1"/>
  <c r="BF130" i="3"/>
  <c r="BG130" i="3" a="1"/>
  <c r="BG130" i="3"/>
  <c r="BF100" i="3" a="1"/>
  <c r="BF100" i="3"/>
  <c r="BG100" i="3" a="1"/>
  <c r="BG100" i="3"/>
  <c r="BF289" i="3" a="1"/>
  <c r="BF289" i="3"/>
  <c r="BG289" i="3" a="1"/>
  <c r="BG289" i="3"/>
  <c r="BG338" i="3" a="1"/>
  <c r="BG338" i="3"/>
  <c r="BF338" i="3" a="1"/>
  <c r="BF338" i="3"/>
  <c r="BF6" i="3" a="1"/>
  <c r="BF6" i="3"/>
  <c r="BG6" i="3" a="1"/>
  <c r="BG6" i="3"/>
  <c r="BG324" i="3" a="1"/>
  <c r="BG324" i="3"/>
  <c r="BF131" i="3" a="1"/>
  <c r="BF131" i="3"/>
  <c r="BF324" i="3" a="1"/>
  <c r="BF324" i="3"/>
  <c r="BG131" i="3" a="1"/>
  <c r="BG131" i="3"/>
  <c r="BG106" i="3" a="1"/>
  <c r="BG106" i="3"/>
  <c r="BF106" i="3" a="1"/>
  <c r="BF106" i="3"/>
  <c r="BG80" i="3" a="1"/>
  <c r="BG80" i="3"/>
  <c r="BF80" i="3" a="1"/>
  <c r="BF80" i="3"/>
  <c r="BG71" i="3" a="1"/>
  <c r="BG71" i="3"/>
  <c r="BF71" i="3" a="1"/>
  <c r="BF71" i="3"/>
  <c r="BG10" i="3" a="1"/>
  <c r="BG10" i="3"/>
  <c r="BF10" i="3" a="1"/>
  <c r="BF10" i="3"/>
  <c r="BG202" i="3" a="1"/>
  <c r="BG202" i="3"/>
  <c r="BF202" i="3" a="1"/>
  <c r="BF202" i="3"/>
  <c r="BF350" i="3" a="1"/>
  <c r="BF350" i="3"/>
  <c r="BF51" i="3" a="1"/>
  <c r="BF51" i="3"/>
  <c r="BG51" i="3" a="1"/>
  <c r="BG51" i="3"/>
  <c r="BG350" i="3" a="1"/>
  <c r="BG350" i="3"/>
  <c r="BG290" i="3" a="1"/>
  <c r="BG290" i="3"/>
  <c r="BF290" i="3" a="1"/>
  <c r="BF290" i="3"/>
  <c r="BG102" i="3" a="1"/>
  <c r="BG102" i="3"/>
  <c r="BF102" i="3" a="1"/>
  <c r="BF102" i="3"/>
  <c r="BG134" i="3" a="1"/>
  <c r="BG134" i="3"/>
  <c r="BG126" i="3" a="1"/>
  <c r="BG126" i="3"/>
  <c r="BF134" i="3" a="1"/>
  <c r="BF134" i="3"/>
  <c r="BF126" i="3" a="1"/>
  <c r="BF126" i="3"/>
  <c r="BG237" i="3" a="1"/>
  <c r="BG237" i="3"/>
  <c r="BG309" i="3" a="1"/>
  <c r="BG309" i="3"/>
  <c r="BF309" i="3" a="1"/>
  <c r="BF309" i="3"/>
  <c r="BF237" i="3" a="1"/>
  <c r="BF237" i="3"/>
  <c r="BG129" i="3" a="1"/>
  <c r="BG129" i="3"/>
  <c r="BF129" i="3" a="1"/>
  <c r="BF129" i="3"/>
  <c r="BG84" i="3" a="1"/>
  <c r="BG84" i="3"/>
  <c r="BG117" i="3" a="1"/>
  <c r="BG117" i="3"/>
  <c r="BF117" i="3" a="1"/>
  <c r="BF117" i="3"/>
  <c r="BF84" i="3" a="1"/>
  <c r="BF84" i="3"/>
  <c r="BF351" i="3" a="1"/>
  <c r="BF351" i="3"/>
  <c r="BF197" i="3" a="1"/>
  <c r="BF197" i="3"/>
  <c r="BG351" i="3" a="1"/>
  <c r="BG351" i="3"/>
  <c r="BG197" i="3" a="1"/>
  <c r="BG197" i="3"/>
  <c r="BG298" i="3" a="1"/>
  <c r="BG298" i="3"/>
  <c r="BF298" i="3" a="1"/>
  <c r="BF298" i="3"/>
  <c r="BF215" i="3" a="1"/>
  <c r="BF215" i="3"/>
  <c r="BG215" i="3" a="1"/>
  <c r="BG215" i="3"/>
  <c r="BG276" i="3" a="1"/>
  <c r="BG276" i="3"/>
  <c r="BF276" i="3" a="1"/>
  <c r="BF276" i="3"/>
  <c r="BF159" i="3" a="1"/>
  <c r="BF159" i="3"/>
  <c r="BF77" i="3" a="1"/>
  <c r="BF77" i="3"/>
  <c r="BG77" i="3" a="1"/>
  <c r="BG77" i="3"/>
  <c r="BG159" i="3" a="1"/>
  <c r="BG159" i="3"/>
  <c r="BF4" i="3" a="1"/>
  <c r="BF4" i="3"/>
  <c r="BG4" i="3" a="1"/>
  <c r="BG4" i="3"/>
  <c r="BF85" i="3" a="1"/>
  <c r="BF85" i="3"/>
  <c r="BG252" i="3" a="1"/>
  <c r="BG252" i="3"/>
  <c r="BF252" i="3" a="1"/>
  <c r="BF252" i="3"/>
  <c r="BG85" i="3" a="1"/>
  <c r="BG85" i="3"/>
  <c r="BG55" i="3" a="1"/>
  <c r="BG55" i="3"/>
  <c r="BF55" i="3" a="1"/>
  <c r="BF55" i="3"/>
  <c r="BG346" i="3" a="1"/>
  <c r="BG346" i="3"/>
  <c r="BG12" i="3" a="1"/>
  <c r="BG12" i="3"/>
  <c r="BF346" i="3" a="1"/>
  <c r="BF346" i="3"/>
  <c r="BF12" i="3" a="1"/>
  <c r="BF12" i="3"/>
  <c r="BF75" i="3" a="1"/>
  <c r="BF75" i="3"/>
  <c r="BF82" i="3" a="1"/>
  <c r="BF82" i="3"/>
  <c r="BG64" i="3" a="1"/>
  <c r="BG64" i="3"/>
  <c r="BF64" i="3" a="1"/>
  <c r="BF64" i="3"/>
  <c r="BG82" i="3" a="1"/>
  <c r="BG82" i="3"/>
  <c r="BG75" i="3" a="1"/>
  <c r="BG75" i="3"/>
  <c r="BF52" i="3" a="1"/>
  <c r="BF52" i="3"/>
  <c r="BG127" i="3" a="1"/>
  <c r="BG127" i="3"/>
  <c r="BG79" i="3" a="1"/>
  <c r="BG79" i="3"/>
  <c r="BG52" i="3" a="1"/>
  <c r="BG52" i="3"/>
  <c r="BF79" i="3" a="1"/>
  <c r="BF79" i="3"/>
  <c r="BF127" i="3" a="1"/>
  <c r="BF127" i="3"/>
  <c r="BF312" i="3" a="1"/>
  <c r="BF312" i="3"/>
  <c r="BF112" i="3" a="1"/>
  <c r="BF112" i="3"/>
  <c r="BG112" i="3" a="1"/>
  <c r="BG112" i="3"/>
  <c r="BG312" i="3" a="1"/>
  <c r="BG312" i="3"/>
  <c r="BF335" i="3" a="1"/>
  <c r="BF335" i="3"/>
  <c r="BG335" i="3" a="1"/>
  <c r="BG335" i="3"/>
  <c r="BF151" i="3" a="1"/>
  <c r="BF151" i="3"/>
  <c r="BG151" i="3" a="1"/>
  <c r="BG151" i="3"/>
  <c r="BF128" i="3" a="1"/>
  <c r="BF128" i="3"/>
  <c r="BG128" i="3" a="1"/>
  <c r="BG128" i="3"/>
  <c r="BF212" i="3" a="1"/>
  <c r="BF212" i="3"/>
  <c r="BG212" i="3" a="1"/>
  <c r="BG212" i="3"/>
  <c r="BF138" i="3" a="1"/>
  <c r="BF138" i="3"/>
  <c r="BG138" i="3" a="1"/>
  <c r="BG138" i="3"/>
  <c r="BG307" i="3" a="1"/>
  <c r="BG307" i="3"/>
  <c r="BF307" i="3" a="1"/>
  <c r="BF307" i="3"/>
  <c r="BF269" i="3" a="1"/>
  <c r="BF269" i="3"/>
  <c r="BG269" i="3" a="1"/>
  <c r="BG269" i="3"/>
  <c r="BG140" i="3" a="1"/>
  <c r="BG140" i="3"/>
  <c r="BF140" i="3" a="1"/>
  <c r="BF140" i="3"/>
  <c r="BG285" i="3" a="1"/>
  <c r="BG285" i="3"/>
  <c r="BF285" i="3" a="1"/>
  <c r="BF285" i="3"/>
  <c r="BG99" i="3" a="1"/>
  <c r="BG99" i="3"/>
  <c r="BF99" i="3" a="1"/>
  <c r="BF99" i="3"/>
  <c r="BG72" i="3" a="1"/>
  <c r="BG72" i="3"/>
  <c r="BF158" i="3" a="1"/>
  <c r="BF158" i="3"/>
  <c r="BF72" i="3" a="1"/>
  <c r="BF72" i="3"/>
  <c r="BG158" i="3" a="1"/>
  <c r="BG158" i="3"/>
  <c r="BF150" i="3" a="1"/>
  <c r="BF150" i="3"/>
  <c r="BG150" i="3" a="1"/>
  <c r="BG150" i="3"/>
  <c r="BG224" i="3" a="1"/>
  <c r="BG224" i="3"/>
  <c r="BG242" i="3" a="1"/>
  <c r="BG242" i="3"/>
  <c r="BF224" i="3" a="1"/>
  <c r="BF224" i="3"/>
  <c r="BF242" i="3" a="1"/>
  <c r="BF242" i="3"/>
  <c r="BF19" i="3" a="1"/>
  <c r="BF19" i="3"/>
  <c r="BG178" i="3" a="1"/>
  <c r="BG178" i="3"/>
  <c r="BG90" i="3" a="1"/>
  <c r="BG90" i="3"/>
  <c r="BF90" i="3" a="1"/>
  <c r="BF90" i="3"/>
  <c r="BF178" i="3" a="1"/>
  <c r="BF178" i="3"/>
  <c r="BG19" i="3" a="1"/>
  <c r="BG19" i="3"/>
  <c r="BG218" i="3" a="1"/>
  <c r="BG218" i="3"/>
  <c r="BG183" i="3" a="1"/>
  <c r="BG183" i="3"/>
  <c r="BF218" i="3" a="1"/>
  <c r="BF218" i="3"/>
  <c r="BF183" i="3" a="1"/>
  <c r="BF183" i="3"/>
  <c r="BF189" i="3" a="1"/>
  <c r="BF189" i="3"/>
  <c r="BG189" i="3" a="1"/>
  <c r="BG189" i="3"/>
  <c r="BF66" i="3" a="1"/>
  <c r="BF66" i="3"/>
  <c r="BG81" i="3" a="1"/>
  <c r="BG81" i="3"/>
  <c r="BF81" i="3" a="1"/>
  <c r="BF81" i="3"/>
  <c r="BG66" i="3" a="1"/>
  <c r="BG66" i="3"/>
  <c r="BL5" i="2" a="1"/>
  <c r="BL5" i="2"/>
  <c r="BK5" i="2" a="1"/>
  <c r="BK5" i="2"/>
  <c r="BG163" i="3" a="1"/>
  <c r="BG163" i="3"/>
  <c r="BF163" i="3" a="1"/>
  <c r="BF163" i="3"/>
  <c r="BF210" i="3" a="1"/>
  <c r="BF210" i="3"/>
  <c r="BG210" i="3" a="1"/>
  <c r="BG210" i="3"/>
  <c r="BF317" i="3" a="1"/>
  <c r="BF317" i="3"/>
  <c r="BG317" i="3" a="1"/>
  <c r="BG317" i="3"/>
  <c r="BG280" i="3" a="1"/>
  <c r="BG280" i="3"/>
  <c r="BG327" i="3" a="1"/>
  <c r="BG327" i="3"/>
  <c r="BF280" i="3" a="1"/>
  <c r="BF280" i="3"/>
  <c r="BF327" i="3" a="1"/>
  <c r="BF327" i="3"/>
  <c r="BF263" i="3" a="1"/>
  <c r="BF263" i="3"/>
  <c r="BG263" i="3" a="1"/>
  <c r="BG263" i="3"/>
  <c r="BG352" i="3" a="1"/>
  <c r="BG352" i="3"/>
  <c r="BG203" i="3" a="1"/>
  <c r="BG203" i="3"/>
  <c r="BF203" i="3" a="1"/>
  <c r="BF203" i="3"/>
  <c r="BF352" i="3" a="1"/>
  <c r="BF352" i="3"/>
  <c r="BG239" i="3" a="1"/>
  <c r="BG239" i="3"/>
  <c r="BF239" i="3" a="1"/>
  <c r="BF239" i="3"/>
  <c r="BG147" i="3" a="1"/>
  <c r="BG147" i="3"/>
  <c r="BF147" i="3" a="1"/>
  <c r="BF147" i="3"/>
  <c r="BF78" i="3" a="1"/>
  <c r="BF78" i="3"/>
  <c r="BG78" i="3" a="1"/>
  <c r="BG78" i="3"/>
  <c r="BF176" i="3" a="1"/>
  <c r="BF176" i="3"/>
  <c r="BG176" i="3" a="1"/>
  <c r="BG176" i="3"/>
  <c r="BF310" i="3" a="1"/>
  <c r="BF310" i="3"/>
  <c r="BG310" i="3" a="1"/>
  <c r="BG310" i="3"/>
  <c r="BG259" i="3" a="1"/>
  <c r="BG259" i="3"/>
  <c r="BG293" i="3" a="1"/>
  <c r="BG293" i="3"/>
  <c r="BF293" i="3" a="1"/>
  <c r="BF293" i="3"/>
  <c r="BF259" i="3" a="1"/>
  <c r="BF259" i="3"/>
  <c r="BG122" i="3" a="1"/>
  <c r="BG122" i="3"/>
  <c r="BF122" i="3" a="1"/>
  <c r="BF122" i="3"/>
  <c r="BF253" i="3" a="1"/>
  <c r="BF253" i="3"/>
  <c r="BG253" i="3" a="1"/>
  <c r="BG253" i="3"/>
  <c r="BG228" i="3" a="1"/>
  <c r="BG228" i="3"/>
  <c r="BF228" i="3" a="1"/>
  <c r="BF228" i="3"/>
  <c r="BF27" i="3" a="1"/>
  <c r="BF27" i="3"/>
  <c r="BG27" i="3" a="1"/>
  <c r="BG27" i="3"/>
  <c r="BG39" i="3" a="1"/>
  <c r="BG39" i="3"/>
  <c r="BF39" i="3" a="1"/>
  <c r="BF39" i="3"/>
  <c r="BG21" i="3" a="1"/>
  <c r="BG21" i="3"/>
  <c r="BF21" i="3" a="1"/>
  <c r="BF21" i="3"/>
  <c r="BF172" i="3" a="1"/>
  <c r="BF172" i="3"/>
  <c r="BF291" i="3" a="1"/>
  <c r="BF291" i="3"/>
  <c r="BG172" i="3" a="1"/>
  <c r="BG172" i="3"/>
  <c r="BG291" i="3" a="1"/>
  <c r="BG291" i="3"/>
  <c r="BG266" i="3" a="1"/>
  <c r="BG266" i="3"/>
  <c r="BF266" i="3" a="1"/>
  <c r="BF266" i="3"/>
  <c r="BF297" i="3" a="1"/>
  <c r="BF297" i="3"/>
  <c r="BF96" i="3" a="1"/>
  <c r="BF96" i="3"/>
  <c r="BF192" i="3" a="1"/>
  <c r="BF192" i="3"/>
  <c r="BG297" i="3" a="1"/>
  <c r="BG297" i="3"/>
  <c r="BG96" i="3" a="1"/>
  <c r="BG96" i="3"/>
  <c r="BG192" i="3" a="1"/>
  <c r="BG192" i="3"/>
  <c r="BF220" i="3" a="1"/>
  <c r="BF220" i="3"/>
  <c r="BG170" i="3" a="1"/>
  <c r="BG170" i="3"/>
  <c r="BG220" i="3" a="1"/>
  <c r="BG220" i="3"/>
  <c r="BF170" i="3" a="1"/>
  <c r="BF170" i="3"/>
  <c r="BG256" i="3" a="1"/>
  <c r="BG256" i="3"/>
  <c r="BG348" i="3" a="1"/>
  <c r="BG348" i="3"/>
  <c r="BF256" i="3" a="1"/>
  <c r="BF256" i="3"/>
  <c r="BF348" i="3" a="1"/>
  <c r="BF348" i="3"/>
  <c r="BF164" i="3" a="1"/>
  <c r="BF164" i="3"/>
  <c r="BG164" i="3" a="1"/>
  <c r="BG164" i="3"/>
  <c r="BF91" i="3" a="1"/>
  <c r="BF91" i="3"/>
  <c r="BG91" i="3" a="1"/>
  <c r="BG91" i="3"/>
  <c r="BG74" i="3" a="1"/>
  <c r="BG74" i="3"/>
  <c r="BF155" i="3" a="1"/>
  <c r="BF155" i="3"/>
  <c r="BF74" i="3" a="1"/>
  <c r="BF74" i="3"/>
  <c r="BG155" i="3" a="1"/>
  <c r="BG155" i="3"/>
  <c r="BG167" i="3" a="1"/>
  <c r="BG167" i="3"/>
  <c r="BG156" i="3" a="1"/>
  <c r="BG156" i="3"/>
  <c r="BF167" i="3" a="1"/>
  <c r="BF167" i="3"/>
  <c r="BF156" i="3" a="1"/>
  <c r="BF156" i="3"/>
  <c r="BF152" i="3" a="1"/>
  <c r="BF152" i="3"/>
  <c r="BG152" i="3" a="1"/>
  <c r="BG152" i="3"/>
  <c r="BF229" i="3" a="1"/>
  <c r="BF229" i="3"/>
  <c r="BF143" i="3" a="1"/>
  <c r="BF143" i="3"/>
  <c r="BG143" i="3" a="1"/>
  <c r="BG143" i="3"/>
  <c r="BG229" i="3" a="1"/>
  <c r="BG229" i="3"/>
  <c r="BF31" i="3" a="1"/>
  <c r="BF31" i="3"/>
  <c r="BF321" i="3" a="1"/>
  <c r="BF321" i="3"/>
  <c r="BG31" i="3" a="1"/>
  <c r="BG31" i="3"/>
  <c r="BG321" i="3" a="1"/>
  <c r="BG321" i="3"/>
  <c r="BG305" i="3" a="1"/>
  <c r="BG305" i="3"/>
  <c r="BF305" i="3" a="1"/>
  <c r="BF305" i="3"/>
  <c r="BF262" i="3" a="1"/>
  <c r="BF262" i="3"/>
  <c r="BG262" i="3" a="1"/>
  <c r="BG262" i="3"/>
  <c r="BA12" i="3" a="1"/>
  <c r="BA12" i="3"/>
  <c r="BA165" i="3" a="1"/>
  <c r="BA165" i="3"/>
  <c r="BA26" i="3" a="1"/>
  <c r="BA26" i="3"/>
  <c r="BF2" i="2" a="1"/>
  <c r="BF2" i="2"/>
  <c r="BA2" i="3" a="1"/>
  <c r="BA2" i="3"/>
  <c r="BF125" i="3" a="1"/>
  <c r="BF125" i="3"/>
  <c r="BF247" i="3" a="1"/>
  <c r="BF247" i="3"/>
  <c r="BG125" i="3" a="1"/>
  <c r="BG125" i="3"/>
  <c r="BG247" i="3" a="1"/>
  <c r="BG247" i="3"/>
  <c r="BA173" i="3" a="1"/>
  <c r="BA173" i="3"/>
  <c r="BA283" i="3" a="1"/>
  <c r="BA283" i="3"/>
  <c r="BA199" i="3" a="1"/>
  <c r="BA199" i="3"/>
  <c r="BA353" i="3" a="1"/>
  <c r="BA353" i="3"/>
  <c r="BA250" i="3" a="1"/>
  <c r="BA250" i="3" l="1"/>
  <c r="BA240" i="3" a="1"/>
  <c r="BA240" i="3"/>
  <c r="BA27" i="3" a="1"/>
  <c r="BA27" i="3"/>
  <c r="BA151" i="3" a="1"/>
  <c r="BA151" i="3"/>
  <c r="BA289" i="3" a="1"/>
  <c r="BA289" i="3"/>
  <c r="BA213" i="3" a="1"/>
  <c r="BA213" i="3" l="1"/>
  <c r="BA72" i="3" a="1"/>
  <c r="BA72" i="3"/>
  <c r="BA53" i="3" a="1"/>
  <c r="BA53" i="3"/>
  <c r="BA186" i="3" a="1"/>
  <c r="BA186" i="3"/>
  <c r="BA197" i="3" a="1"/>
  <c r="BA197" i="3" l="1"/>
  <c r="BF4" i="2" a="1"/>
  <c r="BF4" i="2"/>
  <c r="BA248" i="3" a="1"/>
  <c r="BA248" i="3"/>
  <c r="BA346" i="3" a="1"/>
  <c r="BA346" i="3"/>
  <c r="BA313" i="3" a="1"/>
  <c r="BA313" i="3"/>
  <c r="BA76" i="3" a="1"/>
  <c r="BA76" i="3"/>
  <c r="BA74" i="3" a="1"/>
  <c r="BA74" i="3"/>
  <c r="BA179" i="3" a="1"/>
  <c r="BA179" i="3"/>
  <c r="BA98" i="3" a="1"/>
  <c r="BA98" i="3"/>
  <c r="BA184" i="3" a="1"/>
  <c r="BA184" i="3"/>
  <c r="BA137" i="3" a="1"/>
  <c r="BA137" i="3"/>
  <c r="BA139" i="3" a="1"/>
  <c r="BA139" i="3"/>
  <c r="BA78" i="3" a="1"/>
  <c r="BA78" i="3"/>
  <c r="BA215" i="3" a="1"/>
  <c r="BA215" i="3"/>
  <c r="BA73" i="3" a="1"/>
  <c r="BA73" i="3"/>
  <c r="BA69" i="3" a="1"/>
  <c r="BA69" i="3"/>
  <c r="BA206" i="3" a="1"/>
  <c r="BA206" i="3"/>
  <c r="BA164" i="3" a="1"/>
  <c r="BA164" i="3" l="1"/>
  <c r="BA274" i="3" a="1"/>
  <c r="BA274" i="3"/>
  <c r="BA113" i="3" a="1"/>
  <c r="BA113" i="3"/>
  <c r="BA245" i="3" a="1"/>
  <c r="BA245" i="3"/>
  <c r="BA200" i="3" a="1"/>
  <c r="BA200" i="3"/>
  <c r="BA136" i="3" a="1"/>
  <c r="BA136" i="3" l="1"/>
  <c r="BA3" i="3" a="1"/>
  <c r="BA3" i="3"/>
  <c r="BA329" i="3" a="1"/>
  <c r="BA329" i="3" l="1"/>
  <c r="BA269" i="3" a="1"/>
  <c r="BA269" i="3"/>
  <c r="BA24" i="3" a="1"/>
  <c r="BA24" i="3"/>
  <c r="BA327" i="3" a="1"/>
  <c r="BA327" i="3"/>
  <c r="BA31" i="3" a="1"/>
  <c r="BA31" i="3"/>
  <c r="BA135" i="3" a="1"/>
  <c r="BA135" i="3"/>
  <c r="BA111" i="3" a="1"/>
  <c r="BA111" i="3"/>
  <c r="BA180" i="3" a="1"/>
  <c r="BA180" i="3"/>
  <c r="BA103" i="3" a="1"/>
  <c r="BA103" i="3"/>
  <c r="BA247" i="3" a="1"/>
  <c r="BA247" i="3"/>
  <c r="BA56" i="3" a="1"/>
  <c r="BA56" i="3" l="1"/>
  <c r="BA310" i="3" a="1"/>
  <c r="BA310" i="3"/>
  <c r="BA280" i="3" a="1"/>
  <c r="BA280" i="3"/>
  <c r="BA68" i="3" a="1"/>
  <c r="BA68" i="3"/>
  <c r="BA238" i="3" a="1"/>
  <c r="BA238" i="3"/>
  <c r="BA319" i="3" a="1"/>
  <c r="BA319" i="3"/>
  <c r="BA150" i="3" a="1"/>
  <c r="BA150" i="3"/>
  <c r="BA255" i="3" a="1"/>
  <c r="BA255" i="3"/>
  <c r="BA306" i="3" a="1"/>
  <c r="BA306" i="3"/>
  <c r="BA49" i="3" a="1"/>
  <c r="BA49" i="3"/>
  <c r="BA84" i="3" a="1"/>
  <c r="BA84" i="3"/>
  <c r="BA177" i="3" a="1"/>
  <c r="BA177" i="3"/>
  <c r="BA128" i="3" a="1"/>
  <c r="BA128" i="3"/>
  <c r="BA192" i="3" a="1"/>
  <c r="BA192" i="3"/>
  <c r="BA62" i="3" a="1"/>
  <c r="BA62" i="3"/>
  <c r="BA304" i="3" a="1"/>
  <c r="BA304" i="3"/>
  <c r="BA211" i="3" a="1"/>
  <c r="BA211" i="3"/>
  <c r="BA333" i="3" l="1" a="1"/>
  <c r="BA333" i="3" l="1"/>
  <c r="BA6" i="3" a="1"/>
  <c r="BA6" i="3"/>
  <c r="BA106" i="3" a="1"/>
  <c r="BA106" i="3"/>
  <c r="BA265" i="3" a="1"/>
  <c r="BA265" i="3" l="1"/>
  <c r="BA203" i="3" a="1"/>
  <c r="BA203" i="3"/>
  <c r="BA243" i="3" a="1"/>
  <c r="BA243" i="3"/>
  <c r="BA155" i="3" a="1"/>
  <c r="BA155" i="3"/>
  <c r="BA273" i="3" a="1"/>
  <c r="BA273" i="3"/>
  <c r="BA143" i="3" a="1"/>
  <c r="BA143" i="3"/>
  <c r="BA231" i="3" a="1"/>
  <c r="BA231" i="3"/>
  <c r="BA272" i="3" a="1"/>
  <c r="BA272" i="3"/>
  <c r="BA217" i="3" a="1"/>
  <c r="BA217" i="3"/>
  <c r="BA259" i="3" a="1"/>
  <c r="BA259" i="3"/>
  <c r="BA303" i="3" a="1"/>
  <c r="BA303" i="3"/>
  <c r="BA191" i="3" a="1"/>
  <c r="BA191" i="3"/>
  <c r="BA8" i="3" a="1"/>
  <c r="BA8" i="3"/>
  <c r="BA169" i="3" a="1"/>
  <c r="BA169" i="3"/>
  <c r="BA88" i="3" a="1"/>
  <c r="BA88" i="3"/>
  <c r="BA201" i="3" a="1"/>
  <c r="BA201" i="3"/>
  <c r="BA168" i="3" a="1"/>
  <c r="BA168" i="3" l="1"/>
  <c r="BA33" i="3" a="1"/>
  <c r="BA33" i="3"/>
  <c r="BA34" i="3" a="1"/>
  <c r="BA34" i="3" l="1"/>
  <c r="BA37" i="3" a="1"/>
  <c r="BA37" i="3"/>
  <c r="BA130" i="3" a="1"/>
  <c r="BA130" i="3"/>
  <c r="BA96" i="3" a="1"/>
  <c r="BA96" i="3"/>
  <c r="BA210" i="3" a="1"/>
  <c r="BA210" i="3" l="1"/>
  <c r="BA45" i="3" a="1"/>
  <c r="BA45" i="3"/>
  <c r="BA140" i="3" a="1"/>
  <c r="BA140" i="3"/>
  <c r="BA307" i="3" a="1"/>
  <c r="BA307" i="3"/>
  <c r="BA328" i="3" a="1"/>
  <c r="BA328" i="3"/>
  <c r="BA348" i="3" a="1"/>
  <c r="BA348" i="3"/>
  <c r="BA341" i="3" a="1"/>
  <c r="BA341" i="3"/>
  <c r="BA244" i="3" a="1"/>
  <c r="BA244" i="3"/>
  <c r="BA300" i="3" a="1"/>
  <c r="BA300" i="3"/>
  <c r="BA54" i="3" a="1"/>
  <c r="BA54" i="3"/>
  <c r="BA229" i="3" a="1"/>
  <c r="BA229" i="3"/>
  <c r="BA205" i="3" a="1"/>
  <c r="BA205" i="3"/>
  <c r="BA335" i="3" a="1"/>
  <c r="BA335" i="3"/>
  <c r="BA261" i="3" a="1"/>
  <c r="BA261" i="3"/>
  <c r="BA153" i="3" a="1"/>
  <c r="BA153" i="3" l="1"/>
  <c r="BA71" i="3" a="1"/>
  <c r="BA71" i="3"/>
  <c r="BA218" i="3" a="1"/>
  <c r="BA218" i="3"/>
  <c r="BA4" i="3" a="1"/>
  <c r="BA4" i="3"/>
  <c r="BA311" i="3" a="1"/>
  <c r="BA311" i="3"/>
  <c r="BA124" i="3" a="1"/>
  <c r="BA124" i="3"/>
  <c r="BA36" i="3" a="1"/>
  <c r="BA36" i="3"/>
  <c r="BA330" i="3" a="1"/>
  <c r="BA330" i="3"/>
  <c r="BA77" i="3" a="1"/>
  <c r="BA77" i="3"/>
  <c r="BA30" i="3" a="1"/>
  <c r="BA30" i="3" l="1"/>
  <c r="BA29" i="3" a="1"/>
  <c r="BA29" i="3"/>
  <c r="BA315" i="3" a="1"/>
  <c r="BA315" i="3"/>
  <c r="BA252" i="3" a="1"/>
  <c r="BA252" i="3"/>
  <c r="BA279" i="3" a="1"/>
  <c r="BA279" i="3" l="1"/>
  <c r="BA196" i="3" a="1"/>
  <c r="BA196" i="3" l="1"/>
  <c r="BF10" i="2" a="1"/>
  <c r="BF10" i="2"/>
  <c r="BA292" i="3" a="1"/>
  <c r="BA292" i="3"/>
  <c r="BA343" i="3" a="1"/>
  <c r="BA343" i="3"/>
  <c r="BA337" i="3" a="1"/>
  <c r="BA337" i="3"/>
  <c r="BA323" i="3" a="1"/>
  <c r="BA323" i="3"/>
  <c r="BA256" i="3" a="1"/>
  <c r="BA256" i="3"/>
  <c r="BA322" i="3" a="1"/>
  <c r="BA322" i="3"/>
  <c r="BA146" i="3" a="1"/>
  <c r="BA146" i="3"/>
  <c r="BA295" i="3" a="1"/>
  <c r="BA295" i="3"/>
  <c r="BA11" i="3" a="1"/>
  <c r="BA11" i="3"/>
  <c r="BA10" i="3" a="1"/>
  <c r="BA10" i="3"/>
  <c r="BA117" i="3" a="1"/>
  <c r="BA117" i="3"/>
  <c r="BA138" i="3" a="1"/>
  <c r="BA138" i="3"/>
  <c r="BA339" i="3" a="1"/>
  <c r="BA339" i="3"/>
  <c r="BA188" i="3" a="1"/>
  <c r="BA188" i="3"/>
  <c r="BA207" i="3" a="1"/>
  <c r="BA207" i="3"/>
  <c r="BA268" i="3" a="1"/>
  <c r="BA268" i="3"/>
  <c r="BF5" i="2" a="1"/>
  <c r="BF5" i="2"/>
  <c r="BA236" i="3" a="1"/>
  <c r="BA236" i="3"/>
  <c r="BA91" i="3" a="1"/>
  <c r="BA91" i="3"/>
  <c r="BA212" i="3" a="1"/>
  <c r="BA212" i="3"/>
  <c r="BA132" i="3" a="1"/>
  <c r="BA132" i="3"/>
  <c r="BA67" i="3" a="1"/>
  <c r="BA67" i="3"/>
  <c r="BA232" i="3" a="1"/>
  <c r="BA232" i="3"/>
  <c r="BA92" i="3" a="1"/>
  <c r="BA92" i="3"/>
  <c r="BA154" i="3" a="1"/>
  <c r="BA154" i="3"/>
  <c r="BA235" i="3" l="1" a="1"/>
  <c r="BA235" i="3"/>
  <c r="BA286" i="3" a="1"/>
  <c r="BA286" i="3"/>
  <c r="BA263" i="3" a="1"/>
  <c r="BA263" i="3"/>
  <c r="BA350" i="3" a="1"/>
  <c r="BA350" i="3"/>
  <c r="BA309" i="3" a="1"/>
  <c r="BA309" i="3"/>
  <c r="BA145" i="3" a="1"/>
  <c r="BA145" i="3"/>
  <c r="BA190" i="3" a="1"/>
  <c r="BA190" i="3"/>
  <c r="BA15" i="3" a="1"/>
  <c r="BA15" i="3"/>
  <c r="BA249" i="3" a="1"/>
  <c r="BA249" i="3"/>
  <c r="BA25" i="3" a="1"/>
  <c r="BA25" i="3"/>
  <c r="BA55" i="3" a="1"/>
  <c r="BA55" i="3"/>
  <c r="BA104" i="3" a="1"/>
  <c r="BA104" i="3"/>
  <c r="BA242" i="3" a="1"/>
  <c r="BA242" i="3"/>
  <c r="BA233" i="3" a="1"/>
  <c r="BA233" i="3"/>
  <c r="BA108" i="3" a="1"/>
  <c r="BA108" i="3"/>
  <c r="BA334" i="3" a="1"/>
  <c r="BA334" i="3"/>
  <c r="BA35" i="3" a="1"/>
  <c r="BA35" i="3"/>
  <c r="BA85" i="3" a="1"/>
  <c r="BA85" i="3"/>
  <c r="BA41" i="3" a="1"/>
  <c r="BA41" i="3"/>
  <c r="BA80" i="3" l="1" a="1"/>
  <c r="BA80" i="3"/>
  <c r="BA158" i="3" a="1"/>
  <c r="BA158" i="3"/>
  <c r="BA97" i="3" a="1"/>
  <c r="BA97" i="3"/>
  <c r="BA262" i="3" a="1"/>
  <c r="BA262" i="3"/>
  <c r="BA59" i="3" a="1"/>
  <c r="BA59" i="3"/>
  <c r="BA66" i="3" a="1"/>
  <c r="BA66" i="3"/>
  <c r="BA21" i="3" a="1"/>
  <c r="BA21" i="3" l="1"/>
  <c r="BA296" i="3" a="1"/>
  <c r="BA296" i="3"/>
  <c r="BA119" i="3" a="1"/>
  <c r="BA119" i="3"/>
  <c r="BA246" i="3" a="1"/>
  <c r="BA246" i="3"/>
  <c r="BA147" i="3" a="1"/>
  <c r="BA147" i="3"/>
  <c r="BA102" i="3" a="1"/>
  <c r="BA102" i="3"/>
  <c r="BA9" i="3" a="1"/>
  <c r="BA9" i="3"/>
  <c r="BA182" i="3" a="1"/>
  <c r="BA182" i="3" l="1"/>
  <c r="BA129" i="3" a="1"/>
  <c r="BA129" i="3"/>
  <c r="BA120" i="3" a="1"/>
  <c r="BA120" i="3"/>
  <c r="BA118" i="3" a="1"/>
  <c r="BA118" i="3"/>
  <c r="BA163" i="3" a="1"/>
  <c r="BA163" i="3"/>
  <c r="BA349" i="3" a="1"/>
  <c r="BA349" i="3" l="1"/>
  <c r="BA50" i="3" a="1"/>
  <c r="BA50" i="3"/>
  <c r="BA148" i="3" a="1"/>
  <c r="BA148" i="3"/>
  <c r="BA294" i="3" a="1"/>
  <c r="BA294" i="3"/>
  <c r="BA342" i="3" a="1"/>
  <c r="BA342" i="3"/>
  <c r="BA267" i="3" a="1"/>
  <c r="BA267" i="3"/>
  <c r="BA101" i="3" a="1"/>
  <c r="BA101" i="3"/>
  <c r="BA65" i="3" a="1"/>
  <c r="BA65" i="3"/>
  <c r="BA254" i="3" a="1"/>
  <c r="BA254" i="3"/>
  <c r="BA228" i="3" a="1"/>
  <c r="BA228" i="3" l="1"/>
  <c r="BA239" i="3" a="1"/>
  <c r="BA239" i="3" l="1"/>
  <c r="BA48" i="3" a="1"/>
  <c r="BA48" i="3"/>
  <c r="BA344" i="3" a="1"/>
  <c r="BA344" i="3"/>
  <c r="BA321" i="3" a="1"/>
  <c r="BA321" i="3"/>
  <c r="BA5" i="3" a="1"/>
  <c r="BA5" i="3"/>
  <c r="BA39" i="3" a="1"/>
  <c r="BA39" i="3"/>
  <c r="BA183" i="3" a="1"/>
  <c r="BA183" i="3"/>
  <c r="BA94" i="3" a="1"/>
  <c r="BA94" i="3"/>
  <c r="BA20" i="3" a="1"/>
  <c r="BA20" i="3"/>
  <c r="BA156" i="3" a="1"/>
  <c r="BA156" i="3"/>
  <c r="BA221" i="3" a="1"/>
  <c r="BA221" i="3"/>
  <c r="BA133" i="3" a="1"/>
  <c r="BA133" i="3" l="1"/>
  <c r="BA305" i="3" a="1"/>
  <c r="BA305" i="3"/>
  <c r="BA225" i="3" a="1"/>
  <c r="BA225" i="3"/>
  <c r="BA258" i="3" a="1"/>
  <c r="BA258" i="3" l="1"/>
  <c r="BA116" i="3" a="1"/>
  <c r="BA116" i="3"/>
  <c r="BA100" i="3" a="1"/>
  <c r="BA100" i="3"/>
  <c r="BA257" i="3" a="1"/>
  <c r="BA257" i="3"/>
  <c r="BA162" i="3" a="1"/>
  <c r="BA162" i="3"/>
  <c r="BA202" i="3" a="1"/>
  <c r="BA202" i="3"/>
  <c r="BA181" i="3" a="1"/>
  <c r="BA181" i="3"/>
  <c r="BA89" i="3" a="1"/>
  <c r="BA89" i="3"/>
  <c r="BA149" i="3" a="1"/>
  <c r="BA149" i="3"/>
  <c r="BA324" i="3" a="1"/>
  <c r="BA324" i="3"/>
  <c r="BA318" i="3" a="1"/>
  <c r="BA318" i="3"/>
  <c r="BA308" i="3" a="1"/>
  <c r="BA308" i="3"/>
  <c r="BA121" i="3" a="1"/>
  <c r="BA121" i="3"/>
  <c r="BA82" i="3" a="1"/>
  <c r="BA82" i="3"/>
  <c r="BA99" i="3" a="1"/>
  <c r="BA99" i="3"/>
  <c r="BA109" i="3" a="1"/>
  <c r="BA109" i="3"/>
  <c r="BA178" i="3" a="1"/>
  <c r="BA178" i="3"/>
  <c r="BA7" i="3" a="1"/>
  <c r="BA7" i="3" l="1"/>
  <c r="BA134" i="3" a="1"/>
  <c r="BA134" i="3" l="1"/>
  <c r="BA142" i="3" a="1"/>
  <c r="BA142" i="3"/>
  <c r="BA282" i="3" a="1"/>
  <c r="BA282" i="3"/>
  <c r="BA226" i="3" a="1"/>
  <c r="BA226" i="3"/>
  <c r="BA216" i="3" a="1"/>
  <c r="BA216" i="3"/>
  <c r="BA51" i="3" a="1"/>
  <c r="BA51" i="3"/>
  <c r="BA63" i="3" a="1"/>
  <c r="BA63" i="3"/>
  <c r="BA126" i="3" a="1"/>
  <c r="BA126" i="3"/>
  <c r="BA189" i="3" a="1"/>
  <c r="BA189" i="3"/>
  <c r="BA125" i="3" l="1" a="1"/>
  <c r="BA125" i="3" l="1"/>
  <c r="BA123" i="3" a="1"/>
  <c r="BA123" i="3" l="1"/>
  <c r="BA301" i="3" a="1"/>
  <c r="BA301" i="3"/>
  <c r="BA60" i="3" a="1"/>
  <c r="BA60" i="3"/>
  <c r="BA79" i="3" a="1"/>
  <c r="BA79" i="3"/>
  <c r="BA227" i="3" a="1"/>
  <c r="BA227" i="3" l="1"/>
  <c r="BA297" i="3" a="1"/>
  <c r="BA297" i="3"/>
  <c r="BA95" i="3" a="1"/>
  <c r="BA95" i="3"/>
  <c r="BA175" i="3" a="1"/>
  <c r="BA175" i="3"/>
  <c r="BA253" i="3" a="1"/>
  <c r="BA253" i="3"/>
  <c r="BA331" i="3" a="1"/>
  <c r="BA331" i="3"/>
  <c r="BA87" i="3" a="1"/>
  <c r="BA87" i="3"/>
  <c r="BA284" i="3" a="1"/>
  <c r="BA284" i="3"/>
  <c r="BA338" i="3" a="1"/>
  <c r="BA338" i="3"/>
  <c r="BA166" i="3" a="1"/>
  <c r="BA166" i="3"/>
  <c r="BA208" i="3" a="1"/>
  <c r="BA208" i="3"/>
  <c r="BA340" i="3" a="1"/>
  <c r="BA340" i="3"/>
  <c r="BA23" i="3" a="1"/>
  <c r="BA23" i="3"/>
  <c r="BA298" i="3" a="1"/>
  <c r="BA298" i="3"/>
  <c r="BA19" i="3" l="1" a="1"/>
  <c r="BA19" i="3"/>
  <c r="BA57" i="3" a="1"/>
  <c r="BA57" i="3"/>
  <c r="BA86" i="3" a="1"/>
  <c r="BA86" i="3"/>
  <c r="BA144" i="3" a="1"/>
  <c r="BA144" i="3"/>
  <c r="BA115" i="3" a="1"/>
  <c r="BA115" i="3"/>
  <c r="BA278" i="3" a="1"/>
  <c r="BA278" i="3"/>
  <c r="BA185" i="3" a="1"/>
  <c r="BA185" i="3"/>
  <c r="BA107" i="3" a="1"/>
  <c r="BA107" i="3"/>
  <c r="BA47" i="3" a="1"/>
  <c r="BA47" i="3"/>
  <c r="BA302" i="3" a="1"/>
  <c r="BA302" i="3"/>
  <c r="BA28" i="3" a="1"/>
  <c r="BA28" i="3" l="1"/>
  <c r="BA275" i="3" a="1"/>
  <c r="BA275" i="3" l="1"/>
  <c r="BA276" i="3" a="1"/>
  <c r="BA276" i="3"/>
  <c r="BA161" i="3" l="1" a="1"/>
  <c r="BA161" i="3" l="1"/>
  <c r="BA157" i="3" a="1"/>
  <c r="BA157" i="3"/>
  <c r="BA46" i="3" a="1"/>
  <c r="BA46" i="3"/>
  <c r="BA122" i="3" a="1"/>
  <c r="BA122" i="3"/>
  <c r="BA110" i="3" a="1"/>
  <c r="BA110" i="3"/>
  <c r="BA209" i="3" a="1"/>
  <c r="BA209" i="3"/>
  <c r="BA223" i="3" a="1"/>
  <c r="BA223" i="3"/>
  <c r="BA204" i="3" a="1"/>
  <c r="BA204" i="3"/>
  <c r="BA345" i="3" a="1"/>
  <c r="BA345" i="3"/>
  <c r="BA64" i="3" a="1"/>
  <c r="BA64" i="3"/>
  <c r="BA193" i="3" a="1"/>
  <c r="BA193" i="3"/>
  <c r="BA347" i="3" a="1"/>
  <c r="BA347" i="3"/>
  <c r="BA16" i="3" a="1"/>
  <c r="BA16" i="3"/>
  <c r="BA251" i="3" a="1"/>
  <c r="BA251" i="3"/>
  <c r="BA277" i="3" a="1"/>
  <c r="BA277" i="3" l="1"/>
  <c r="BA314" i="3" a="1"/>
  <c r="BA314" i="3"/>
  <c r="BA114" i="3" a="1"/>
  <c r="BA114" i="3"/>
  <c r="BA152" i="3" l="1" a="1"/>
  <c r="BA152" i="3"/>
  <c r="BA285" i="3" a="1"/>
  <c r="BA285" i="3"/>
  <c r="BA172" i="3" a="1"/>
  <c r="BA172" i="3"/>
  <c r="BA131" i="3" a="1"/>
  <c r="BA131" i="3"/>
  <c r="BF7" i="2" a="1"/>
  <c r="BF7" i="2"/>
  <c r="BA237" i="3" a="1"/>
  <c r="BA237" i="3"/>
  <c r="BA43" i="3" a="1"/>
  <c r="BA43" i="3"/>
  <c r="BA52" i="3" a="1"/>
  <c r="BA52" i="3" l="1"/>
  <c r="BA141" i="3" a="1"/>
  <c r="BA141" i="3"/>
  <c r="BA326" i="3" a="1"/>
  <c r="BA326" i="3"/>
  <c r="BA290" i="3" a="1"/>
  <c r="BA290" i="3"/>
  <c r="BA241" i="3" a="1"/>
  <c r="BA241" i="3"/>
  <c r="BA288" i="3" a="1"/>
  <c r="BA288" i="3"/>
  <c r="BA351" i="3" a="1"/>
  <c r="BA351" i="3"/>
  <c r="BA90" i="3" a="1"/>
  <c r="BA90" i="3"/>
  <c r="BA281" i="3" a="1"/>
  <c r="BA281" i="3"/>
  <c r="BA312" i="3" a="1"/>
  <c r="BA312" i="3"/>
  <c r="BA93" i="3" a="1"/>
  <c r="BA93" i="3" l="1"/>
  <c r="BA187" i="3" a="1"/>
  <c r="BA187" i="3"/>
  <c r="BA167" i="3" l="1" a="1"/>
  <c r="BA167" i="3"/>
  <c r="BA13" i="3" a="1"/>
  <c r="BA13" i="3"/>
  <c r="BA325" i="3" a="1"/>
  <c r="BA325" i="3"/>
  <c r="BA222" i="3" a="1"/>
  <c r="BA222" i="3"/>
  <c r="BA83" i="3" a="1"/>
  <c r="BA83" i="3"/>
  <c r="BF9" i="2" a="1"/>
  <c r="BF9" i="2"/>
  <c r="BA18" i="3" a="1"/>
  <c r="BA18" i="3"/>
  <c r="BF8" i="2" a="1"/>
  <c r="BF8" i="2"/>
  <c r="BA352" i="3" a="1"/>
  <c r="BA352" i="3" l="1"/>
  <c r="BA320" i="3" a="1"/>
  <c r="BA320" i="3" l="1"/>
  <c r="BA194" i="3" a="1"/>
  <c r="BA194" i="3"/>
  <c r="BA75" i="3" a="1"/>
  <c r="BA75" i="3"/>
  <c r="BA234" i="3" a="1"/>
  <c r="BA234" i="3"/>
  <c r="BA220" i="3" a="1"/>
  <c r="BA220" i="3"/>
  <c r="BA159" i="3" a="1"/>
  <c r="BA159" i="3"/>
  <c r="BA170" i="3" a="1"/>
  <c r="BA170" i="3"/>
  <c r="BA105" i="3" a="1"/>
  <c r="BA105" i="3"/>
  <c r="BA291" i="3" a="1"/>
  <c r="BA291" i="3"/>
  <c r="BA22" i="3" a="1"/>
  <c r="BA22" i="3"/>
  <c r="BA336" i="3" a="1"/>
  <c r="BA336" i="3"/>
  <c r="BA230" i="3" l="1" a="1"/>
  <c r="BA230" i="3" l="1"/>
  <c r="BA270" i="3" a="1"/>
  <c r="BA270" i="3"/>
  <c r="BA214" i="3" a="1"/>
  <c r="BA214" i="3"/>
  <c r="BA32" i="3" a="1"/>
  <c r="BA32" i="3"/>
  <c r="BA17" i="3" a="1"/>
  <c r="BA17" i="3"/>
  <c r="BA58" i="3" l="1" a="1"/>
  <c r="BA58" i="3"/>
  <c r="BA127" i="3" a="1"/>
  <c r="BA127" i="3"/>
  <c r="BA14" i="3" a="1"/>
  <c r="BA14" i="3"/>
  <c r="BA219" i="3" a="1"/>
  <c r="BA219" i="3"/>
  <c r="BA38" i="3" a="1"/>
  <c r="BA38" i="3"/>
  <c r="BA287" i="3" a="1"/>
  <c r="BA287" i="3" l="1"/>
  <c r="BA70" i="3" a="1"/>
  <c r="BA70" i="3"/>
  <c r="BA224" i="3" a="1"/>
  <c r="BA224" i="3" l="1"/>
  <c r="BA174" i="3" a="1"/>
  <c r="BA174" i="3"/>
  <c r="BA299" i="3" a="1"/>
  <c r="BA299" i="3"/>
  <c r="BA112" i="3" a="1"/>
  <c r="BA112" i="3"/>
  <c r="BA260" i="3" a="1"/>
  <c r="BA260" i="3"/>
  <c r="BA61" i="3" a="1"/>
  <c r="BA61" i="3"/>
  <c r="BA266" i="3" a="1"/>
  <c r="BA266" i="3"/>
  <c r="BA198" i="3" a="1"/>
  <c r="BA198" i="3"/>
  <c r="BB72" i="3" a="1"/>
  <c r="BB72" i="3"/>
  <c r="BB351" i="3" a="1"/>
  <c r="BB351" i="3"/>
  <c r="BA332" i="3" a="1"/>
  <c r="BA332" i="3"/>
  <c r="BA171" i="3" a="1"/>
  <c r="BA171" i="3"/>
  <c r="BA81" i="3" a="1"/>
  <c r="BA81" i="3"/>
  <c r="BA40" i="3" a="1"/>
  <c r="BA40" i="3"/>
  <c r="BA160" i="3" a="1"/>
  <c r="BA160" i="3"/>
  <c r="BF3" i="2" a="1"/>
  <c r="BF3" i="2"/>
  <c r="BA316" i="3" a="1"/>
  <c r="BA316" i="3"/>
  <c r="BA44" i="3" l="1" a="1"/>
  <c r="BA44" i="3" l="1"/>
  <c r="BA317" i="3" a="1"/>
  <c r="BA317" i="3"/>
  <c r="BF6" i="2" a="1"/>
  <c r="BF6" i="2"/>
  <c r="BB57" i="3" a="1"/>
  <c r="BB57" i="3"/>
  <c r="BB337" i="3" a="1"/>
  <c r="BB337" i="3"/>
  <c r="BA271" i="3" l="1" a="1"/>
  <c r="BA271" i="3" l="1"/>
  <c r="BA293" i="3" a="1"/>
  <c r="BA293" i="3"/>
  <c r="BA264" i="3" a="1"/>
  <c r="BA264" i="3"/>
  <c r="BA176" i="3" a="1"/>
  <c r="BA176" i="3"/>
  <c r="BA42" i="3" a="1"/>
  <c r="BA42" i="3"/>
  <c r="BB149" i="3" a="1"/>
  <c r="BB149" i="3"/>
  <c r="BB172" i="3" a="1"/>
  <c r="BB172" i="3"/>
  <c r="BB6" i="3" a="1"/>
  <c r="BB6" i="3"/>
  <c r="BB61" i="3" a="1"/>
  <c r="BB61" i="3"/>
  <c r="BB25" i="3" a="1"/>
  <c r="BB25" i="3"/>
  <c r="BB187" i="3" a="1"/>
  <c r="BB187" i="3"/>
  <c r="BG9" i="2" a="1"/>
  <c r="BG9" i="2"/>
  <c r="BA195" i="3" a="1"/>
  <c r="BA195" i="3"/>
  <c r="BB136" i="3" a="1"/>
  <c r="BB136" i="3"/>
  <c r="BB347" i="3" a="1"/>
  <c r="BB347" i="3"/>
  <c r="BB32" i="3" l="1" a="1"/>
  <c r="BB32" i="3" l="1"/>
  <c r="BB313" i="3" a="1"/>
  <c r="BB313" i="3"/>
  <c r="BB118" i="3" a="1"/>
  <c r="BB118" i="3"/>
  <c r="BB200" i="3" a="1"/>
  <c r="BB200" i="3"/>
  <c r="BJ99" i="3" l="1"/>
  <c r="BJ98" i="3"/>
  <c r="BJ97" i="3"/>
  <c r="BJ96" i="3"/>
  <c r="BJ95" i="3"/>
  <c r="BJ94" i="3"/>
  <c r="BJ93" i="3"/>
  <c r="BJ92" i="3"/>
  <c r="BJ91" i="3"/>
  <c r="BJ90" i="3"/>
  <c r="BJ9" i="3"/>
  <c r="BJ89" i="3"/>
  <c r="BJ88" i="3"/>
  <c r="BJ87" i="3"/>
  <c r="BJ86" i="3"/>
  <c r="BJ85" i="3"/>
  <c r="BJ84" i="3"/>
  <c r="BJ83" i="3"/>
  <c r="BJ82" i="3"/>
  <c r="BJ81" i="3"/>
  <c r="BJ80" i="3"/>
  <c r="BJ8" i="3"/>
  <c r="BJ79" i="3"/>
  <c r="BJ78" i="3"/>
  <c r="BJ77" i="3"/>
  <c r="BJ76" i="3"/>
  <c r="BJ75" i="3"/>
  <c r="BJ74" i="3"/>
  <c r="BJ73" i="3"/>
  <c r="BJ72" i="3"/>
  <c r="BJ71" i="3"/>
  <c r="BJ70" i="3"/>
  <c r="BJ7" i="3"/>
  <c r="BJ69" i="3"/>
  <c r="BJ68" i="3"/>
  <c r="BJ67" i="3"/>
  <c r="BJ66" i="3"/>
  <c r="BJ65" i="3"/>
  <c r="BJ64" i="3"/>
  <c r="BJ63" i="3"/>
  <c r="BJ62" i="3"/>
  <c r="BJ61" i="3"/>
  <c r="BJ60" i="3"/>
  <c r="BJ6" i="3"/>
  <c r="BJ59" i="3"/>
  <c r="BJ58" i="3"/>
  <c r="BJ57" i="3"/>
  <c r="BJ56" i="3"/>
  <c r="BJ55" i="3"/>
  <c r="BJ54" i="3"/>
  <c r="BJ53" i="3"/>
  <c r="BJ52" i="3"/>
  <c r="BJ51" i="3"/>
  <c r="BJ50" i="3"/>
  <c r="BJ5" i="3"/>
  <c r="BJ49" i="3"/>
  <c r="BJ48" i="3"/>
  <c r="BJ47" i="3"/>
  <c r="BJ46" i="3"/>
  <c r="BJ45" i="3"/>
  <c r="BJ44" i="3"/>
  <c r="BJ43" i="3"/>
  <c r="BJ42" i="3"/>
  <c r="BJ41" i="3"/>
  <c r="BJ40" i="3"/>
  <c r="BJ4" i="3"/>
  <c r="BJ39" i="3"/>
  <c r="BJ38" i="3"/>
  <c r="BJ37" i="3"/>
  <c r="BJ36" i="3"/>
  <c r="BJ353" i="3"/>
  <c r="BJ352" i="3"/>
  <c r="BJ351" i="3"/>
  <c r="BJ350" i="3"/>
  <c r="BJ35" i="3"/>
  <c r="BJ349" i="3"/>
  <c r="BJ348" i="3"/>
  <c r="BJ347" i="3"/>
  <c r="BJ346" i="3"/>
  <c r="BJ345" i="3"/>
  <c r="BJ344" i="3"/>
  <c r="BJ343" i="3"/>
  <c r="BJ342" i="3"/>
  <c r="BJ341" i="3"/>
  <c r="BJ340" i="3"/>
  <c r="BJ34" i="3"/>
  <c r="BJ339" i="3"/>
  <c r="BJ338" i="3"/>
  <c r="BJ337" i="3"/>
  <c r="BJ336" i="3"/>
  <c r="BJ335" i="3"/>
  <c r="BJ334" i="3"/>
  <c r="BJ333" i="3"/>
  <c r="BJ332" i="3"/>
  <c r="BJ331" i="3"/>
  <c r="BJ330" i="3"/>
  <c r="BJ33" i="3"/>
  <c r="BJ329" i="3"/>
  <c r="BJ328" i="3"/>
  <c r="BJ327" i="3"/>
  <c r="BJ326" i="3"/>
  <c r="BJ325" i="3"/>
  <c r="BJ324" i="3"/>
  <c r="BJ323" i="3"/>
  <c r="BJ322" i="3"/>
  <c r="BJ321" i="3"/>
  <c r="BJ320" i="3"/>
  <c r="BJ32" i="3"/>
  <c r="BJ319" i="3"/>
  <c r="BJ318" i="3"/>
  <c r="BJ317" i="3"/>
  <c r="BJ316" i="3"/>
  <c r="BJ315" i="3"/>
  <c r="BJ314" i="3"/>
  <c r="BJ313" i="3"/>
  <c r="BJ312" i="3"/>
  <c r="BJ311" i="3"/>
  <c r="BJ310" i="3"/>
  <c r="BJ31" i="3"/>
  <c r="BJ309" i="3"/>
  <c r="BJ308" i="3"/>
  <c r="BJ307" i="3"/>
  <c r="BJ306" i="3"/>
  <c r="BJ305" i="3"/>
  <c r="BJ304" i="3"/>
  <c r="BJ303" i="3"/>
  <c r="BJ302" i="3"/>
  <c r="BJ301" i="3"/>
  <c r="BJ300" i="3"/>
  <c r="BJ30" i="3"/>
  <c r="BJ3" i="3"/>
  <c r="BJ299" i="3"/>
  <c r="BJ298" i="3"/>
  <c r="BJ297" i="3"/>
  <c r="BJ296" i="3"/>
  <c r="BJ295" i="3"/>
  <c r="BJ294" i="3"/>
  <c r="BJ293" i="3"/>
  <c r="BJ292" i="3"/>
  <c r="BJ291" i="3"/>
  <c r="BJ290" i="3"/>
  <c r="BJ29" i="3"/>
  <c r="BJ289" i="3"/>
  <c r="BJ288" i="3"/>
  <c r="BJ287" i="3"/>
  <c r="BJ286" i="3"/>
  <c r="BJ285" i="3"/>
  <c r="BJ284" i="3"/>
  <c r="BJ283" i="3"/>
  <c r="BJ282" i="3"/>
  <c r="BJ281" i="3"/>
  <c r="BJ280" i="3"/>
  <c r="BJ28" i="3"/>
  <c r="BJ279" i="3"/>
  <c r="BJ278" i="3"/>
  <c r="BJ277" i="3"/>
  <c r="BJ276" i="3"/>
  <c r="BJ275" i="3"/>
  <c r="BJ274" i="3"/>
  <c r="BJ273" i="3"/>
  <c r="BJ272" i="3"/>
  <c r="BJ271" i="3"/>
  <c r="BJ270" i="3"/>
  <c r="BJ27" i="3"/>
  <c r="BJ269" i="3"/>
  <c r="BJ268" i="3"/>
  <c r="BJ267" i="3"/>
  <c r="BJ266" i="3"/>
  <c r="BJ265" i="3"/>
  <c r="BJ264" i="3"/>
  <c r="BJ263" i="3"/>
  <c r="BJ262" i="3"/>
  <c r="BJ261" i="3"/>
  <c r="BJ260" i="3"/>
  <c r="BJ26" i="3"/>
  <c r="BJ259" i="3"/>
  <c r="BJ258" i="3"/>
  <c r="BJ257" i="3"/>
  <c r="BJ256" i="3"/>
  <c r="BJ255" i="3"/>
  <c r="BJ254" i="3"/>
  <c r="BJ253" i="3"/>
  <c r="BJ252" i="3"/>
  <c r="BJ251" i="3"/>
  <c r="BJ250" i="3"/>
  <c r="BJ25" i="3"/>
  <c r="BJ249" i="3"/>
  <c r="BJ248" i="3"/>
  <c r="BJ247" i="3"/>
  <c r="BJ246" i="3"/>
  <c r="BJ245" i="3"/>
  <c r="BJ244" i="3"/>
  <c r="BJ243" i="3"/>
  <c r="BJ242" i="3"/>
  <c r="BJ241" i="3"/>
  <c r="BJ240" i="3"/>
  <c r="BJ24" i="3"/>
  <c r="BJ239" i="3"/>
  <c r="BJ238" i="3"/>
  <c r="BJ237" i="3"/>
  <c r="BJ236" i="3"/>
  <c r="BJ235" i="3"/>
  <c r="BJ234" i="3"/>
  <c r="BJ233" i="3"/>
  <c r="BJ232" i="3"/>
  <c r="BJ231" i="3"/>
  <c r="BJ230" i="3"/>
  <c r="BJ23" i="3"/>
  <c r="BJ229" i="3"/>
  <c r="BJ228" i="3"/>
  <c r="BJ227" i="3"/>
  <c r="BJ226" i="3"/>
  <c r="BJ225" i="3"/>
  <c r="BJ224" i="3"/>
  <c r="BJ223" i="3"/>
  <c r="BJ222" i="3"/>
  <c r="BJ221" i="3"/>
  <c r="BJ220" i="3"/>
  <c r="BJ22" i="3"/>
  <c r="BJ219" i="3"/>
  <c r="BJ218" i="3"/>
  <c r="BJ217" i="3"/>
  <c r="BJ216" i="3"/>
  <c r="BJ215" i="3"/>
  <c r="BJ214" i="3"/>
  <c r="BJ213" i="3"/>
  <c r="BJ212" i="3"/>
  <c r="BJ211" i="3"/>
  <c r="BJ210" i="3"/>
  <c r="BJ21" i="3"/>
  <c r="BJ209" i="3"/>
  <c r="BJ208" i="3"/>
  <c r="BJ207" i="3"/>
  <c r="BJ206" i="3"/>
  <c r="BJ205" i="3"/>
  <c r="BJ204" i="3"/>
  <c r="BJ203" i="3"/>
  <c r="BJ202" i="3"/>
  <c r="BJ201" i="3"/>
  <c r="BJ200" i="3"/>
  <c r="BJ20" i="3"/>
  <c r="BJ2" i="3"/>
  <c r="BJ199" i="3"/>
  <c r="BJ198" i="3"/>
  <c r="BJ197" i="3"/>
  <c r="BJ196" i="3"/>
  <c r="BJ195" i="3"/>
  <c r="BJ194" i="3"/>
  <c r="BJ193" i="3"/>
  <c r="BJ192" i="3"/>
  <c r="BJ191" i="3"/>
  <c r="BJ190" i="3"/>
  <c r="BJ19" i="3"/>
  <c r="BJ189" i="3"/>
  <c r="BJ188" i="3"/>
  <c r="BJ187" i="3"/>
  <c r="BJ186" i="3"/>
  <c r="BJ185" i="3"/>
  <c r="BJ184" i="3"/>
  <c r="BJ183" i="3"/>
  <c r="BJ182" i="3"/>
  <c r="BJ181" i="3"/>
  <c r="BJ180" i="3"/>
  <c r="BJ18" i="3"/>
  <c r="BJ179" i="3"/>
  <c r="BJ178" i="3"/>
  <c r="BJ177" i="3"/>
  <c r="BJ176" i="3"/>
  <c r="BJ175" i="3"/>
  <c r="BJ174" i="3"/>
  <c r="BJ173" i="3"/>
  <c r="BJ172" i="3"/>
  <c r="BJ171" i="3"/>
  <c r="BJ170" i="3"/>
  <c r="BJ17" i="3"/>
  <c r="BJ169" i="3"/>
  <c r="BJ168" i="3"/>
  <c r="BJ167" i="3"/>
  <c r="BJ166" i="3"/>
  <c r="BJ165" i="3"/>
  <c r="BJ164" i="3"/>
  <c r="BJ163" i="3"/>
  <c r="BJ162" i="3"/>
  <c r="BJ161" i="3"/>
  <c r="BJ160" i="3"/>
  <c r="BJ16" i="3"/>
  <c r="BJ159" i="3"/>
  <c r="BJ158" i="3"/>
  <c r="BJ157" i="3"/>
  <c r="BJ156" i="3"/>
  <c r="BJ155" i="3"/>
  <c r="BJ154" i="3"/>
  <c r="BJ153" i="3"/>
  <c r="BJ152" i="3"/>
  <c r="BJ151" i="3"/>
  <c r="BJ150" i="3"/>
  <c r="BJ15" i="3"/>
  <c r="BJ149" i="3"/>
  <c r="BJ148" i="3"/>
  <c r="BJ147" i="3"/>
  <c r="BJ146" i="3"/>
  <c r="BJ145" i="3"/>
  <c r="BJ144" i="3"/>
  <c r="BJ143" i="3"/>
  <c r="BJ142" i="3"/>
  <c r="BJ141" i="3"/>
  <c r="BJ140" i="3"/>
  <c r="BJ14" i="3"/>
  <c r="BJ139" i="3"/>
  <c r="BJ138" i="3"/>
  <c r="BJ137" i="3"/>
  <c r="BJ136" i="3"/>
  <c r="BJ135" i="3"/>
  <c r="BJ134" i="3"/>
  <c r="BJ133" i="3"/>
  <c r="BJ132" i="3"/>
  <c r="BJ131" i="3"/>
  <c r="BJ130" i="3"/>
  <c r="BJ13" i="3"/>
  <c r="BJ129" i="3"/>
  <c r="BJ128" i="3"/>
  <c r="BJ127" i="3"/>
  <c r="BJ126" i="3"/>
  <c r="BJ125" i="3"/>
  <c r="BJ124" i="3"/>
  <c r="BJ123" i="3"/>
  <c r="BJ122" i="3"/>
  <c r="BJ121" i="3"/>
  <c r="BJ120" i="3"/>
  <c r="BJ12" i="3"/>
  <c r="BJ119" i="3"/>
  <c r="BJ118" i="3"/>
  <c r="BJ117" i="3"/>
  <c r="BJ116" i="3"/>
  <c r="BJ115" i="3"/>
  <c r="BJ114" i="3"/>
  <c r="BJ113" i="3"/>
  <c r="BJ112" i="3"/>
  <c r="BJ111" i="3"/>
  <c r="BJ110" i="3"/>
  <c r="BJ11" i="3"/>
  <c r="BJ109" i="3"/>
  <c r="BJ108" i="3"/>
  <c r="BJ107" i="3"/>
  <c r="BJ106" i="3"/>
  <c r="BJ105" i="3"/>
  <c r="BJ104" i="3"/>
  <c r="BJ103" i="3"/>
  <c r="BJ102" i="3"/>
  <c r="BJ101" i="3"/>
  <c r="BJ100" i="3"/>
  <c r="BJ10" i="3"/>
  <c r="N3" i="2" a="1"/>
  <c r="N3" i="2"/>
  <c r="I316" i="3" a="1"/>
  <c r="I316" i="3"/>
  <c r="N4" i="2" a="1"/>
  <c r="N4" i="2"/>
  <c r="I248" i="3" a="1"/>
  <c r="I248" i="3"/>
  <c r="P4" i="2" a="1"/>
  <c r="P4" i="2"/>
  <c r="K248" i="3" a="1"/>
  <c r="K248" i="3"/>
  <c r="P3" i="2" a="1"/>
  <c r="P3" i="2"/>
  <c r="K316" i="3" a="1"/>
  <c r="K316" i="3"/>
  <c r="BB297" i="3" a="1"/>
  <c r="BB297" i="3" l="1"/>
  <c r="BB321" i="3" a="1"/>
  <c r="BB321" i="3"/>
  <c r="BB260" i="3" a="1"/>
  <c r="BB260" i="3"/>
  <c r="BB101" i="3" a="1"/>
  <c r="BB101" i="3"/>
  <c r="BB205" i="3" a="1"/>
  <c r="BB205" i="3"/>
  <c r="BB331" i="3" a="1"/>
  <c r="BB331" i="3"/>
  <c r="BB250" i="3" a="1"/>
  <c r="BB250" i="3"/>
  <c r="BB145" i="3" a="1"/>
  <c r="BB145" i="3"/>
  <c r="BB18" i="3" a="1"/>
  <c r="BB18" i="3"/>
  <c r="BB67" i="3" a="1"/>
  <c r="BB67" i="3"/>
  <c r="BB202" i="3" a="1"/>
  <c r="BB202" i="3"/>
  <c r="BB247" i="3" l="1" a="1"/>
  <c r="BB247" i="3"/>
  <c r="BB276" i="3" a="1"/>
  <c r="BB276" i="3"/>
  <c r="BB243" i="3" a="1"/>
  <c r="BB243" i="3"/>
  <c r="BB7" i="3" a="1"/>
  <c r="BB7" i="3"/>
  <c r="BB304" i="3" a="1"/>
  <c r="BB304" i="3"/>
  <c r="BB27" i="3" a="1"/>
  <c r="BB27" i="3" l="1"/>
  <c r="BB142" i="3" a="1"/>
  <c r="BB142" i="3"/>
  <c r="BB272" i="3" a="1"/>
  <c r="BB272" i="3"/>
  <c r="BB323" i="3" a="1"/>
  <c r="BB323" i="3"/>
  <c r="BB290" i="3" a="1"/>
  <c r="BB290" i="3"/>
  <c r="BB113" i="3" a="1"/>
  <c r="BB113" i="3"/>
  <c r="BB185" i="3" a="1"/>
  <c r="BB185" i="3"/>
  <c r="BB9" i="3" a="1"/>
  <c r="BB9" i="3" l="1"/>
  <c r="BB177" i="3" a="1"/>
  <c r="BB177" i="3"/>
  <c r="BB216" i="3" a="1"/>
  <c r="BB216" i="3" l="1"/>
  <c r="BB58" i="3" a="1"/>
  <c r="BB58" i="3"/>
  <c r="BB343" i="3" a="1"/>
  <c r="BB343" i="3"/>
  <c r="BB103" i="3" l="1" a="1"/>
  <c r="BB103" i="3"/>
  <c r="BB264" i="3" a="1"/>
  <c r="BB264" i="3"/>
  <c r="BB155" i="3" a="1"/>
  <c r="BB155" i="3"/>
  <c r="BB66" i="3" a="1"/>
  <c r="BB66" i="3"/>
  <c r="BB60" i="3" a="1"/>
  <c r="BB60" i="3"/>
  <c r="BB207" i="3" a="1"/>
  <c r="BB207" i="3"/>
  <c r="BB124" i="3" a="1"/>
  <c r="BB124" i="3"/>
  <c r="BB190" i="3" a="1"/>
  <c r="BB190" i="3" l="1"/>
  <c r="BB317" i="3" a="1"/>
  <c r="BB317" i="3"/>
  <c r="BB146" i="3" a="1"/>
  <c r="BB146" i="3"/>
  <c r="BB180" i="3" a="1"/>
  <c r="BB180" i="3"/>
  <c r="BB227" i="3" a="1"/>
  <c r="BB227" i="3"/>
  <c r="BB349" i="3" a="1"/>
  <c r="BB349" i="3"/>
  <c r="BB345" i="3" a="1"/>
  <c r="BB345" i="3"/>
  <c r="BB109" i="3" a="1"/>
  <c r="BB109" i="3"/>
  <c r="BB156" i="3" a="1"/>
  <c r="BB156" i="3"/>
  <c r="BB42" i="3" a="1"/>
  <c r="BB42" i="3"/>
  <c r="BB280" i="3" a="1"/>
  <c r="BB280" i="3"/>
  <c r="BB253" i="3" a="1"/>
  <c r="BB253" i="3"/>
  <c r="BB179" i="3" a="1"/>
  <c r="BB179" i="3" l="1"/>
  <c r="BB52" i="3" a="1"/>
  <c r="BB52" i="3"/>
  <c r="BB186" i="3" l="1" a="1"/>
  <c r="BB186" i="3" l="1"/>
  <c r="BB312" i="3" a="1"/>
  <c r="BB312" i="3" l="1"/>
  <c r="BB161" i="3" a="1"/>
  <c r="BB161" i="3"/>
  <c r="BB128" i="3" a="1"/>
  <c r="BB128" i="3"/>
  <c r="BB79" i="3" a="1"/>
  <c r="BB79" i="3"/>
  <c r="BB33" i="3" a="1"/>
  <c r="BB33" i="3"/>
  <c r="BB95" i="3" a="1"/>
  <c r="BB95" i="3"/>
  <c r="BB277" i="3" a="1"/>
  <c r="BB277" i="3"/>
  <c r="BB48" i="3" a="1"/>
  <c r="BB48" i="3"/>
  <c r="BB41" i="3" a="1"/>
  <c r="BB41" i="3"/>
  <c r="BB293" i="3" a="1"/>
  <c r="BB293" i="3"/>
  <c r="BB319" i="3" a="1"/>
  <c r="BB319" i="3"/>
  <c r="BB17" i="3" a="1"/>
  <c r="BB17" i="3"/>
  <c r="BB132" i="3" a="1"/>
  <c r="BB132" i="3"/>
  <c r="BB291" i="3" a="1"/>
  <c r="BB291" i="3"/>
  <c r="BB13" i="3" l="1" a="1"/>
  <c r="BB13" i="3" l="1"/>
  <c r="BB282" i="3" a="1"/>
  <c r="BB282" i="3"/>
  <c r="BB326" i="3" a="1"/>
  <c r="BB326" i="3"/>
  <c r="BB206" i="3" a="1"/>
  <c r="BB206" i="3"/>
  <c r="BB93" i="3" a="1"/>
  <c r="BB93" i="3" l="1"/>
  <c r="BB298" i="3" a="1"/>
  <c r="BB298" i="3"/>
  <c r="BB266" i="3" a="1"/>
  <c r="BB266" i="3"/>
  <c r="BB239" i="3" a="1"/>
  <c r="BB239" i="3" l="1"/>
  <c r="BB99" i="3" a="1"/>
  <c r="BB99" i="3" l="1"/>
  <c r="BB215" i="3" a="1"/>
  <c r="BB215" i="3"/>
  <c r="BB51" i="3" a="1"/>
  <c r="BB51" i="3" l="1"/>
  <c r="BB335" i="3" a="1"/>
  <c r="BB335" i="3"/>
  <c r="BB210" i="3" a="1"/>
  <c r="BB210" i="3"/>
  <c r="BB102" i="3" a="1"/>
  <c r="BB102" i="3"/>
  <c r="BB314" i="3" a="1"/>
  <c r="BB314" i="3"/>
  <c r="BB78" i="3" a="1"/>
  <c r="BB78" i="3"/>
  <c r="BB217" i="3" a="1"/>
  <c r="BB217" i="3"/>
  <c r="BB178" i="3" a="1"/>
  <c r="BB178" i="3"/>
  <c r="BB254" i="3" a="1"/>
  <c r="BB254" i="3"/>
  <c r="BB230" i="3" a="1"/>
  <c r="BB230" i="3"/>
  <c r="BB28" i="3" a="1"/>
  <c r="BB28" i="3"/>
  <c r="BB340" i="3" a="1"/>
  <c r="BB340" i="3"/>
  <c r="BB195" i="3" a="1"/>
  <c r="BB195" i="3"/>
  <c r="BB342" i="3" a="1"/>
  <c r="BB342" i="3"/>
  <c r="BB98" i="3" a="1"/>
  <c r="BB98" i="3"/>
  <c r="BB221" i="3" a="1"/>
  <c r="BB221" i="3"/>
  <c r="BB24" i="3" a="1"/>
  <c r="BB24" i="3"/>
  <c r="BB284" i="3" a="1"/>
  <c r="BB284" i="3" l="1"/>
  <c r="BB54" i="3" a="1"/>
  <c r="BB54" i="3"/>
  <c r="BB30" i="3" a="1"/>
  <c r="BB30" i="3"/>
  <c r="BB158" i="3" a="1"/>
  <c r="BB158" i="3"/>
  <c r="BB257" i="3" a="1"/>
  <c r="BB257" i="3"/>
  <c r="BB234" i="3" a="1"/>
  <c r="BB234" i="3"/>
  <c r="BB203" i="3" a="1"/>
  <c r="BB203" i="3"/>
  <c r="BG3" i="2" a="1"/>
  <c r="BG3" i="2"/>
  <c r="BB316" i="3" a="1"/>
  <c r="BB316" i="3"/>
  <c r="BB5" i="3" a="1"/>
  <c r="BB5" i="3"/>
  <c r="BB344" i="3" a="1"/>
  <c r="BB344" i="3"/>
  <c r="BB201" i="3" a="1"/>
  <c r="BB201" i="3"/>
  <c r="BB71" i="3" a="1"/>
  <c r="BB71" i="3"/>
  <c r="BB279" i="3" a="1"/>
  <c r="BB279" i="3"/>
  <c r="BB214" i="3" a="1"/>
  <c r="BB214" i="3"/>
  <c r="BG4" i="2" a="1"/>
  <c r="BG4" i="2"/>
  <c r="BB248" i="3" a="1"/>
  <c r="BB248" i="3"/>
  <c r="BB229" i="3" a="1"/>
  <c r="BB229" i="3"/>
  <c r="BB167" i="3" a="1"/>
  <c r="BB167" i="3"/>
  <c r="BB246" i="3" a="1"/>
  <c r="BB246" i="3"/>
  <c r="BB76" i="3" a="1"/>
  <c r="BB76" i="3"/>
  <c r="BB339" i="3" a="1"/>
  <c r="BB339" i="3"/>
  <c r="BB75" i="3" a="1"/>
  <c r="BB75" i="3"/>
  <c r="BB194" i="3" a="1"/>
  <c r="BB194" i="3"/>
  <c r="BB188" i="3" a="1"/>
  <c r="BB188" i="3"/>
  <c r="BB3" i="3" a="1"/>
  <c r="BB3" i="3"/>
  <c r="BB286" i="3" a="1"/>
  <c r="BB286" i="3"/>
  <c r="BB115" i="3" a="1"/>
  <c r="BB115" i="3"/>
  <c r="BG5" i="2" a="1"/>
  <c r="BG5" i="2"/>
  <c r="BB114" i="3" a="1"/>
  <c r="BB114" i="3"/>
  <c r="BB274" i="3" a="1"/>
  <c r="BB274" i="3"/>
  <c r="BB196" i="3" a="1"/>
  <c r="BB196" i="3"/>
  <c r="BB122" i="3" a="1"/>
  <c r="BB122" i="3" l="1"/>
  <c r="BB37" i="3" a="1"/>
  <c r="BB37" i="3"/>
  <c r="BB299" i="3" a="1"/>
  <c r="BB299" i="3"/>
  <c r="BB204" i="3" a="1"/>
  <c r="BB204" i="3"/>
  <c r="BB197" i="3" a="1"/>
  <c r="BB197" i="3"/>
  <c r="BB212" i="3" a="1"/>
  <c r="BB212" i="3" l="1"/>
  <c r="BB261" i="3" a="1"/>
  <c r="BB261" i="3"/>
  <c r="BB21" i="3" a="1"/>
  <c r="BB21" i="3"/>
  <c r="BB256" i="3" a="1"/>
  <c r="BB256" i="3"/>
  <c r="BB341" i="3" a="1"/>
  <c r="BB341" i="3" l="1"/>
  <c r="BB50" i="3" a="1"/>
  <c r="BB50" i="3"/>
  <c r="BB125" i="3" a="1"/>
  <c r="BB125" i="3"/>
  <c r="BB86" i="3" a="1"/>
  <c r="BB86" i="3"/>
  <c r="BB53" i="3" a="1"/>
  <c r="BB53" i="3"/>
  <c r="BB83" i="3" a="1"/>
  <c r="BB83" i="3"/>
  <c r="BG2" i="2" a="1"/>
  <c r="BG2" i="2"/>
  <c r="BB2" i="3" a="1"/>
  <c r="BB2" i="3"/>
  <c r="BB96" i="3" a="1"/>
  <c r="BB96" i="3"/>
  <c r="BB309" i="3" a="1"/>
  <c r="BB309" i="3"/>
  <c r="BB208" i="3" a="1"/>
  <c r="BB208" i="3" l="1"/>
  <c r="BB281" i="3" a="1"/>
  <c r="BB281" i="3"/>
  <c r="BB329" i="3" a="1"/>
  <c r="BB329" i="3"/>
  <c r="BB169" i="3" a="1"/>
  <c r="BB169" i="3"/>
  <c r="BB251" i="3" a="1"/>
  <c r="BB251" i="3"/>
  <c r="BB346" i="3" a="1"/>
  <c r="BB346" i="3"/>
  <c r="BB134" i="3" a="1"/>
  <c r="BB134" i="3"/>
  <c r="BB333" i="3" a="1"/>
  <c r="BB333" i="3"/>
  <c r="BB148" i="3" a="1"/>
  <c r="BB148" i="3"/>
  <c r="BB171" i="3" a="1"/>
  <c r="BB171" i="3"/>
  <c r="BB20" i="3" a="1"/>
  <c r="BB20" i="3"/>
  <c r="BB73" i="3" a="1"/>
  <c r="BB73" i="3"/>
  <c r="BB104" i="3" a="1"/>
  <c r="BB104" i="3"/>
  <c r="BB34" i="3" a="1"/>
  <c r="BB34" i="3"/>
  <c r="BB289" i="3" a="1"/>
  <c r="BB289" i="3"/>
  <c r="BB327" i="3" a="1"/>
  <c r="BB327" i="3"/>
  <c r="BB182" i="3" a="1"/>
  <c r="BB182" i="3"/>
  <c r="BB192" i="3" l="1" a="1"/>
  <c r="BB192" i="3"/>
  <c r="BB271" i="3" a="1"/>
  <c r="BB271" i="3"/>
  <c r="BB258" i="3" a="1"/>
  <c r="BB258" i="3"/>
  <c r="BB275" i="3" a="1"/>
  <c r="BB275" i="3"/>
  <c r="BB84" i="3" a="1"/>
  <c r="BB84" i="3"/>
  <c r="BB262" i="3" a="1"/>
  <c r="BB262" i="3"/>
  <c r="BB223" i="3" a="1"/>
  <c r="BB223" i="3"/>
  <c r="BB31" i="3" a="1"/>
  <c r="BB31" i="3" l="1"/>
  <c r="BB170" i="3" a="1"/>
  <c r="BB170" i="3" l="1"/>
  <c r="BB305" i="3" a="1"/>
  <c r="BB305" i="3"/>
  <c r="BB92" i="3" a="1"/>
  <c r="BB92" i="3"/>
  <c r="BB8" i="3" a="1"/>
  <c r="BB8" i="3"/>
  <c r="BB150" i="3" a="1"/>
  <c r="BB150" i="3"/>
  <c r="BB163" i="3" a="1"/>
  <c r="BB163" i="3" l="1"/>
  <c r="BB244" i="3" a="1"/>
  <c r="BB244" i="3"/>
  <c r="BB328" i="3" a="1"/>
  <c r="BB328" i="3" l="1"/>
  <c r="BB144" i="3" a="1"/>
  <c r="BB144" i="3" l="1"/>
  <c r="BB224" i="3" a="1"/>
  <c r="BB224" i="3"/>
  <c r="BB100" i="3" a="1"/>
  <c r="BB100" i="3"/>
  <c r="BB39" i="3" a="1"/>
  <c r="BB39" i="3" l="1"/>
  <c r="BB193" i="3" a="1"/>
  <c r="BB193" i="3"/>
  <c r="BG10" i="2" a="1"/>
  <c r="BG10" i="2"/>
  <c r="BB301" i="3" a="1"/>
  <c r="BB301" i="3"/>
  <c r="BB80" i="3" a="1"/>
  <c r="BB80" i="3"/>
  <c r="BB116" i="3" a="1"/>
  <c r="BB116" i="3"/>
  <c r="BB252" i="3" a="1"/>
  <c r="BB252" i="3"/>
  <c r="BB147" i="3" a="1"/>
  <c r="BB147" i="3"/>
  <c r="BB232" i="3" a="1"/>
  <c r="BB232" i="3"/>
  <c r="BB263" i="3" a="1"/>
  <c r="BB263" i="3"/>
  <c r="BB294" i="3" a="1"/>
  <c r="BB294" i="3"/>
  <c r="BB131" i="3" a="1"/>
  <c r="BB131" i="3"/>
  <c r="BB288" i="3" a="1"/>
  <c r="BB288" i="3"/>
  <c r="BB12" i="3" a="1"/>
  <c r="BB12" i="3"/>
  <c r="BB22" i="3" a="1"/>
  <c r="BB22" i="3"/>
  <c r="BB159" i="3" a="1"/>
  <c r="BB159" i="3"/>
  <c r="BB233" i="3" a="1"/>
  <c r="BB233" i="3"/>
  <c r="BB90" i="3" a="1"/>
  <c r="BB90" i="3"/>
  <c r="BB189" i="3" a="1"/>
  <c r="BB189" i="3"/>
  <c r="BB199" i="3" a="1"/>
  <c r="BB199" i="3"/>
  <c r="BB151" i="3" a="1"/>
  <c r="BB151" i="3"/>
  <c r="BB265" i="3" a="1"/>
  <c r="BB265" i="3"/>
  <c r="BB295" i="3" a="1"/>
  <c r="BB295" i="3"/>
  <c r="BB245" i="3" a="1"/>
  <c r="BB245" i="3"/>
  <c r="BB126" i="3" a="1"/>
  <c r="BB126" i="3"/>
  <c r="BB338" i="3" a="1"/>
  <c r="BB338" i="3" l="1"/>
  <c r="BB278" i="3" a="1"/>
  <c r="BB278" i="3"/>
  <c r="BB81" i="3" a="1"/>
  <c r="BB81" i="3" l="1"/>
  <c r="BB219" i="3" a="1"/>
  <c r="BB219" i="3"/>
  <c r="BB191" i="3" a="1"/>
  <c r="BB191" i="3"/>
  <c r="BB213" i="3" a="1"/>
  <c r="BB213" i="3"/>
  <c r="BB300" i="3" a="1"/>
  <c r="BB300" i="3"/>
  <c r="BB259" i="3" a="1"/>
  <c r="BB259" i="3"/>
  <c r="BB120" i="3" a="1"/>
  <c r="BB120" i="3"/>
  <c r="BB353" i="3" a="1"/>
  <c r="BB353" i="3"/>
  <c r="BG8" i="2" a="1"/>
  <c r="BG8" i="2"/>
  <c r="BB106" i="3" a="1"/>
  <c r="BB106" i="3"/>
  <c r="BB249" i="3" a="1"/>
  <c r="BB249" i="3"/>
  <c r="BB143" i="3" a="1"/>
  <c r="BB143" i="3"/>
  <c r="BB135" i="3" a="1"/>
  <c r="BB135" i="3"/>
  <c r="BB65" i="3" a="1"/>
  <c r="BB65" i="3"/>
  <c r="BB269" i="3" a="1"/>
  <c r="BB269" i="3"/>
  <c r="BB198" i="3" a="1"/>
  <c r="BB198" i="3"/>
  <c r="BB181" i="3" a="1"/>
  <c r="BB181" i="3"/>
  <c r="BB174" i="3" a="1"/>
  <c r="BB174" i="3"/>
  <c r="BB235" i="3" a="1"/>
  <c r="BB235" i="3"/>
  <c r="BB226" i="3" a="1"/>
  <c r="BB226" i="3"/>
  <c r="BB318" i="3" a="1"/>
  <c r="BB318" i="3"/>
  <c r="BB164" i="3" a="1"/>
  <c r="BB164" i="3"/>
  <c r="BB267" i="3" a="1"/>
  <c r="BB267" i="3"/>
  <c r="BB46" i="3" a="1"/>
  <c r="BB46" i="3"/>
  <c r="BB40" i="3" a="1"/>
  <c r="BB40" i="3"/>
  <c r="BB237" i="3" a="1"/>
  <c r="BB237" i="3"/>
  <c r="BB168" i="3" a="1"/>
  <c r="BB168" i="3"/>
  <c r="BB137" i="3" a="1"/>
  <c r="BB137" i="3"/>
  <c r="BB311" i="3" a="1"/>
  <c r="BB311" i="3"/>
  <c r="BB85" i="3" a="1"/>
  <c r="BB85" i="3"/>
  <c r="BB184" i="3" a="1"/>
  <c r="BB184" i="3"/>
  <c r="BB154" i="3" a="1"/>
  <c r="BB154" i="3"/>
  <c r="BB166" i="3" a="1"/>
  <c r="BB166" i="3"/>
  <c r="BB15" i="3" a="1"/>
  <c r="BB15" i="3"/>
  <c r="BB119" i="3" a="1"/>
  <c r="BB119" i="3"/>
  <c r="BB19" i="3" a="1"/>
  <c r="BB19" i="3"/>
  <c r="BB350" i="3" a="1"/>
  <c r="BB350" i="3"/>
  <c r="BB89" i="3" a="1"/>
  <c r="BB89" i="3"/>
  <c r="BB152" i="3" a="1"/>
  <c r="BB152" i="3"/>
  <c r="BB82" i="3" a="1"/>
  <c r="BB82" i="3"/>
  <c r="BB129" i="3" a="1"/>
  <c r="BB129" i="3"/>
  <c r="BB133" i="3" a="1"/>
  <c r="BB133" i="3"/>
  <c r="BB138" i="3" l="1" a="1"/>
  <c r="BB138" i="3"/>
  <c r="BB130" i="3" a="1"/>
  <c r="BB130" i="3"/>
  <c r="BB222" i="3" a="1"/>
  <c r="BB222" i="3"/>
  <c r="BB211" i="3" a="1"/>
  <c r="BB211" i="3"/>
  <c r="BB140" i="3" a="1"/>
  <c r="BB140" i="3"/>
  <c r="BB63" i="3" l="1" a="1"/>
  <c r="BB63" i="3" l="1"/>
  <c r="BB238" i="3" a="1"/>
  <c r="BB238" i="3" l="1"/>
  <c r="BB348" i="3" a="1"/>
  <c r="BB348" i="3"/>
  <c r="BB336" i="3" a="1"/>
  <c r="BB336" i="3"/>
  <c r="BB107" i="3" a="1"/>
  <c r="BB107" i="3"/>
  <c r="BB62" i="3" a="1"/>
  <c r="BB62" i="3"/>
  <c r="BB68" i="3" a="1"/>
  <c r="BB68" i="3"/>
  <c r="BB4" i="3" a="1"/>
  <c r="BB4" i="3"/>
  <c r="BB111" i="3" a="1"/>
  <c r="BB111" i="3"/>
  <c r="BB29" i="3" a="1"/>
  <c r="BB29" i="3"/>
  <c r="BB108" i="3" a="1"/>
  <c r="BB108" i="3" l="1"/>
  <c r="BB306" i="3" a="1"/>
  <c r="BB306" i="3"/>
  <c r="BB26" i="3" a="1"/>
  <c r="BB26" i="3"/>
  <c r="BB302" i="3" a="1"/>
  <c r="BB302" i="3"/>
  <c r="BB352" i="3" a="1"/>
  <c r="BB352" i="3"/>
  <c r="BB287" i="3" a="1"/>
  <c r="BB287" i="3"/>
  <c r="BB121" i="3" a="1"/>
  <c r="BB121" i="3" l="1"/>
  <c r="BB97" i="3" a="1"/>
  <c r="BB97" i="3"/>
  <c r="BB270" i="3" a="1"/>
  <c r="BB270" i="3"/>
  <c r="BB112" i="3" a="1"/>
  <c r="BB112" i="3" l="1"/>
  <c r="BB255" i="3" a="1"/>
  <c r="BB255" i="3"/>
  <c r="BB55" i="3" a="1"/>
  <c r="BB55" i="3"/>
  <c r="BB303" i="3" a="1"/>
  <c r="BB303" i="3"/>
  <c r="BB292" i="3" a="1"/>
  <c r="BB292" i="3"/>
  <c r="BB320" i="3" a="1"/>
  <c r="BB320" i="3"/>
  <c r="BB127" i="3" a="1"/>
  <c r="BB127" i="3"/>
  <c r="BB105" i="3" a="1"/>
  <c r="BB105" i="3"/>
  <c r="BB14" i="3" a="1"/>
  <c r="BB14" i="3"/>
  <c r="BB225" i="3" a="1"/>
  <c r="BB225" i="3"/>
  <c r="BB70" i="3" a="1"/>
  <c r="BB70" i="3"/>
  <c r="BG7" i="2" a="1"/>
  <c r="BG7" i="2"/>
  <c r="BB123" i="3" a="1"/>
  <c r="BB123" i="3"/>
  <c r="BB175" i="3" a="1"/>
  <c r="BB175" i="3"/>
  <c r="BB38" i="3" a="1"/>
  <c r="BB38" i="3"/>
  <c r="BB173" i="3" a="1"/>
  <c r="BB173" i="3"/>
  <c r="BB77" i="3" a="1"/>
  <c r="BB77" i="3"/>
  <c r="BB236" i="3" a="1"/>
  <c r="BB236" i="3"/>
  <c r="BB162" i="3" a="1"/>
  <c r="BB162" i="3"/>
  <c r="BB110" i="3" a="1"/>
  <c r="BB110" i="3"/>
  <c r="BB218" i="3" a="1"/>
  <c r="BB218" i="3"/>
  <c r="BB273" i="3" a="1"/>
  <c r="BB273" i="3"/>
  <c r="BB176" i="3" a="1"/>
  <c r="BB176" i="3"/>
  <c r="BB94" i="3" a="1"/>
  <c r="BB94" i="3"/>
  <c r="BB88" i="3" a="1"/>
  <c r="BB88" i="3"/>
  <c r="BG6" i="2" a="1"/>
  <c r="BG6" i="2"/>
  <c r="BB49" i="3" l="1" a="1"/>
  <c r="BB49" i="3"/>
  <c r="BB153" i="3" a="1"/>
  <c r="BB153" i="3" l="1"/>
  <c r="BB141" i="3" a="1"/>
  <c r="BB141" i="3"/>
  <c r="BB183" i="3" a="1"/>
  <c r="BB183" i="3"/>
  <c r="BB242" i="3" a="1"/>
  <c r="BB242" i="3"/>
  <c r="BB10" i="3" a="1"/>
  <c r="BB10" i="3"/>
  <c r="BB283" i="3" a="1"/>
  <c r="BB283" i="3"/>
  <c r="BB91" i="3" a="1"/>
  <c r="BB91" i="3"/>
  <c r="BB36" i="3" a="1"/>
  <c r="BB36" i="3"/>
  <c r="BB334" i="3" a="1"/>
  <c r="BB334" i="3"/>
  <c r="BB74" i="3" a="1"/>
  <c r="BB74" i="3"/>
  <c r="BB117" i="3" a="1"/>
  <c r="BB117" i="3"/>
  <c r="BB160" i="3" a="1"/>
  <c r="BB160" i="3"/>
  <c r="BB16" i="3" a="1"/>
  <c r="BB16" i="3" l="1"/>
  <c r="BB139" i="3" a="1"/>
  <c r="BB139" i="3"/>
  <c r="BB56" i="3" a="1"/>
  <c r="BB56" i="3"/>
  <c r="BB325" i="3" a="1"/>
  <c r="BB325" i="3"/>
  <c r="BB310" i="3" a="1"/>
  <c r="BB310" i="3" l="1"/>
  <c r="BB308" i="3" a="1"/>
  <c r="BB308" i="3"/>
  <c r="BB11" i="3" a="1"/>
  <c r="BB11" i="3"/>
  <c r="BB241" i="3" a="1"/>
  <c r="BB241" i="3"/>
  <c r="BB165" i="3" a="1"/>
  <c r="BB165" i="3"/>
  <c r="BB332" i="3" a="1"/>
  <c r="BB332" i="3"/>
  <c r="BB231" i="3" a="1"/>
  <c r="BB231" i="3"/>
  <c r="BB322" i="3" a="1"/>
  <c r="BB322" i="3"/>
  <c r="BB44" i="3" a="1"/>
  <c r="BB44" i="3"/>
  <c r="BB64" i="3" a="1"/>
  <c r="BB64" i="3"/>
  <c r="BB268" i="3" a="1"/>
  <c r="BB268" i="3"/>
  <c r="BB43" i="3" a="1"/>
  <c r="BB43" i="3" l="1"/>
  <c r="BB35" i="3" a="1"/>
  <c r="BB35" i="3"/>
  <c r="BB220" i="3" a="1"/>
  <c r="BB220" i="3"/>
  <c r="BB228" i="3" a="1"/>
  <c r="BB228" i="3"/>
  <c r="BB23" i="3" a="1"/>
  <c r="BB23" i="3"/>
  <c r="BB307" i="3" a="1"/>
  <c r="BB307" i="3"/>
  <c r="BB209" i="3" a="1"/>
  <c r="BB209" i="3"/>
  <c r="BB59" i="3" a="1"/>
  <c r="BB59" i="3"/>
  <c r="AJ168" i="3" a="1"/>
  <c r="AJ168" i="3"/>
  <c r="AJ343" i="3" a="1"/>
  <c r="AJ343" i="3"/>
  <c r="BB45" i="3" a="1"/>
  <c r="BB45" i="3"/>
  <c r="BB285" i="3" a="1"/>
  <c r="BB285" i="3" l="1"/>
  <c r="BB296" i="3" a="1"/>
  <c r="BB296" i="3"/>
  <c r="BB240" i="3" a="1"/>
  <c r="BB240" i="3"/>
  <c r="BB87" i="3" a="1"/>
  <c r="BB87" i="3"/>
  <c r="BB47" i="3" a="1"/>
  <c r="BB47" i="3"/>
  <c r="BB157" i="3" a="1"/>
  <c r="BB157" i="3" l="1"/>
  <c r="BB324" i="3" a="1"/>
  <c r="BB324" i="3"/>
  <c r="BB330" i="3" a="1"/>
  <c r="BB330" i="3"/>
  <c r="BB69" i="3" a="1"/>
  <c r="BB69" i="3"/>
  <c r="BB315" i="3" a="1"/>
  <c r="BB315" i="3"/>
  <c r="AJ23" i="3" a="1"/>
  <c r="AJ23" i="3" l="1"/>
  <c r="AO10" i="2" a="1"/>
  <c r="AO10" i="2"/>
  <c r="AH26" i="4" a="1"/>
  <c r="AH26" i="4" l="1"/>
  <c r="AJ197" i="3" a="1"/>
  <c r="AJ197" i="3"/>
  <c r="AJ250" i="3" a="1"/>
  <c r="AJ250" i="3"/>
  <c r="AJ188" i="3" a="1"/>
  <c r="AJ188" i="3"/>
  <c r="AJ313" i="3" a="1"/>
  <c r="AJ313" i="3"/>
  <c r="AJ296" i="3" a="1"/>
  <c r="AJ296" i="3"/>
  <c r="AH15" i="4" a="1"/>
  <c r="AH15" i="4"/>
  <c r="AJ320" i="3" a="1"/>
  <c r="AJ320" i="3"/>
  <c r="AJ57" i="3" a="1"/>
  <c r="AJ57" i="3"/>
  <c r="AJ115" i="3" a="1"/>
  <c r="AJ115" i="3"/>
  <c r="AH39" i="4" a="1"/>
  <c r="AH39" i="4"/>
  <c r="AJ140" i="3" a="1"/>
  <c r="AJ140" i="3"/>
  <c r="AJ330" i="3" a="1"/>
  <c r="AJ330" i="3"/>
  <c r="AO2" i="2" a="1"/>
  <c r="AO2" i="2"/>
  <c r="AH2" i="4" a="1"/>
  <c r="AH2" i="4"/>
  <c r="AJ2" i="3" a="1"/>
  <c r="AJ2" i="3"/>
  <c r="AJ46" i="3" a="1"/>
  <c r="AJ46" i="3" l="1"/>
  <c r="AH24" i="4" a="1"/>
  <c r="AH24" i="4"/>
  <c r="AJ162" i="3" a="1"/>
  <c r="AJ162" i="3"/>
  <c r="AH25" i="4" a="1"/>
  <c r="AH25" i="4"/>
  <c r="AH57" i="4" a="1"/>
  <c r="AH57" i="4"/>
  <c r="AJ206" i="3" a="1"/>
  <c r="AJ206" i="3"/>
  <c r="AJ74" i="3" a="1"/>
  <c r="AJ74" i="3"/>
  <c r="AJ325" i="3" a="1"/>
  <c r="AJ325" i="3"/>
  <c r="AJ249" i="3" a="1"/>
  <c r="AJ249" i="3"/>
  <c r="AJ255" i="3" a="1"/>
  <c r="AJ255" i="3"/>
  <c r="AJ264" i="3" a="1"/>
  <c r="AJ264" i="3"/>
  <c r="AJ127" i="3" a="1"/>
  <c r="AJ127" i="3"/>
  <c r="AJ317" i="3" a="1"/>
  <c r="AJ317" i="3"/>
  <c r="AJ338" i="3" a="1"/>
  <c r="AJ338" i="3"/>
  <c r="AJ12" i="3" a="1"/>
  <c r="AJ12" i="3"/>
  <c r="AJ66" i="3" a="1"/>
  <c r="AJ66" i="3" l="1"/>
  <c r="AH10" i="4" a="1"/>
  <c r="AH10" i="4"/>
  <c r="AH58" i="4" a="1"/>
  <c r="AH58" i="4"/>
  <c r="AJ116" i="3" a="1"/>
  <c r="AJ116" i="3"/>
  <c r="AJ95" i="3" l="1" a="1"/>
  <c r="AJ95" i="3" l="1"/>
  <c r="AJ44" i="3" a="1"/>
  <c r="AJ44" i="3"/>
  <c r="AH30" i="4" a="1"/>
  <c r="AH30" i="4"/>
  <c r="AJ7" i="3" a="1"/>
  <c r="AJ7" i="3"/>
  <c r="AJ277" i="3" a="1"/>
  <c r="AJ277" i="3"/>
  <c r="AJ151" i="3" a="1"/>
  <c r="AJ151" i="3"/>
  <c r="AJ22" i="3" a="1"/>
  <c r="AJ22" i="3"/>
  <c r="AJ156" i="3" a="1"/>
  <c r="AJ156" i="3"/>
  <c r="AJ93" i="3" a="1"/>
  <c r="AJ93" i="3"/>
  <c r="AJ33" i="3" a="1"/>
  <c r="AJ33" i="3"/>
  <c r="AJ285" i="3" a="1"/>
  <c r="AJ285" i="3"/>
  <c r="AJ204" i="3" a="1"/>
  <c r="AJ204" i="3"/>
  <c r="AJ230" i="3" a="1"/>
  <c r="AJ230" i="3"/>
  <c r="AJ132" i="3" a="1"/>
  <c r="AJ132" i="3"/>
  <c r="AJ243" i="3" a="1"/>
  <c r="AJ243" i="3"/>
  <c r="AH59" i="4" a="1"/>
  <c r="AH59" i="4" l="1"/>
  <c r="AJ183" i="3" a="1"/>
  <c r="AJ183" i="3"/>
  <c r="AJ69" i="3" a="1"/>
  <c r="AJ69" i="3"/>
  <c r="AJ142" i="3" a="1"/>
  <c r="AJ142" i="3"/>
  <c r="AJ226" i="3" a="1"/>
  <c r="AJ226" i="3"/>
  <c r="AJ118" i="3" a="1"/>
  <c r="AJ118" i="3"/>
  <c r="AJ307" i="3" a="1"/>
  <c r="AJ307" i="3"/>
  <c r="AJ8" i="3" a="1"/>
  <c r="AJ8" i="3" l="1"/>
  <c r="AJ18" i="3" a="1"/>
  <c r="AJ18" i="3"/>
  <c r="AJ303" i="3" a="1"/>
  <c r="AJ303" i="3"/>
  <c r="AJ304" i="3" a="1"/>
  <c r="AJ304" i="3"/>
  <c r="AJ286" i="3" a="1"/>
  <c r="AJ286" i="3"/>
  <c r="AJ252" i="3" a="1"/>
  <c r="AJ252" i="3"/>
  <c r="AO17" i="2" a="1"/>
  <c r="AO17" i="2"/>
  <c r="AJ150" i="3" a="1"/>
  <c r="AJ150" i="3"/>
  <c r="AJ245" i="3" a="1"/>
  <c r="AJ245" i="3"/>
  <c r="AH17" i="4" a="1"/>
  <c r="AH17" i="4"/>
  <c r="AH46" i="4" a="1"/>
  <c r="AH46" i="4"/>
  <c r="AJ258" i="3" a="1"/>
  <c r="AJ258" i="3"/>
  <c r="AJ126" i="3" a="1"/>
  <c r="AJ126" i="3"/>
  <c r="AJ19" i="3" a="1"/>
  <c r="AJ19" i="3"/>
  <c r="AJ98" i="3" a="1"/>
  <c r="AJ98" i="3"/>
  <c r="AJ67" i="3" a="1"/>
  <c r="AJ67" i="3" l="1"/>
  <c r="AJ149" i="3" a="1"/>
  <c r="AJ149" i="3"/>
  <c r="AJ350" i="3" a="1"/>
  <c r="AJ350" i="3" l="1"/>
  <c r="AJ121" i="3" a="1"/>
  <c r="AJ121" i="3"/>
  <c r="AJ42" i="3" a="1"/>
  <c r="AJ42" i="3"/>
  <c r="AH3" i="4" a="1"/>
  <c r="AH3" i="4"/>
  <c r="AO7" i="2" a="1"/>
  <c r="AO7" i="2"/>
  <c r="AH35" i="4" a="1"/>
  <c r="AH35" i="4"/>
  <c r="AJ43" i="3" a="1"/>
  <c r="AJ43" i="3"/>
  <c r="AH13" i="4" a="1"/>
  <c r="AH13" i="4"/>
  <c r="AJ78" i="3" a="1"/>
  <c r="AJ78" i="3"/>
  <c r="AJ312" i="3" a="1"/>
  <c r="AJ312" i="3"/>
  <c r="AJ306" i="3" a="1"/>
  <c r="AJ306" i="3" l="1"/>
  <c r="AH19" i="4" a="1"/>
  <c r="AH19" i="4"/>
  <c r="AJ148" i="3" a="1"/>
  <c r="AJ148" i="3" l="1"/>
  <c r="AJ289" i="3" a="1"/>
  <c r="AJ289" i="3"/>
  <c r="AH54" i="4" a="1"/>
  <c r="AH54" i="4"/>
  <c r="AJ337" i="3" a="1"/>
  <c r="AJ337" i="3"/>
  <c r="AJ309" i="3" l="1" a="1"/>
  <c r="AJ309" i="3"/>
  <c r="AJ55" i="3" a="1"/>
  <c r="AJ55" i="3"/>
  <c r="AJ182" i="3" a="1"/>
  <c r="AJ182" i="3"/>
  <c r="AJ265" i="3" a="1"/>
  <c r="AJ265" i="3"/>
  <c r="AH28" i="4" a="1"/>
  <c r="AH28" i="4"/>
  <c r="AH23" i="4" a="1"/>
  <c r="AH23" i="4" l="1"/>
  <c r="AJ63" i="3" a="1"/>
  <c r="AJ63" i="3"/>
  <c r="AJ27" i="3" a="1"/>
  <c r="AJ27" i="3"/>
  <c r="AJ28" i="3" a="1"/>
  <c r="AJ28" i="3"/>
  <c r="AJ59" i="3" a="1"/>
  <c r="AJ59" i="3"/>
  <c r="AJ40" i="3" a="1"/>
  <c r="AJ40" i="3"/>
  <c r="AJ336" i="3" a="1"/>
  <c r="AJ336" i="3"/>
  <c r="AJ84" i="3" a="1"/>
  <c r="AJ84" i="3"/>
  <c r="AJ266" i="3" a="1"/>
  <c r="AJ266" i="3" l="1"/>
  <c r="AJ209" i="3" a="1"/>
  <c r="AJ209" i="3"/>
  <c r="AJ227" i="3" a="1"/>
  <c r="AJ227" i="3"/>
  <c r="AJ308" i="3" a="1"/>
  <c r="AJ308" i="3"/>
  <c r="AJ232" i="3" a="1"/>
  <c r="AJ232" i="3"/>
  <c r="AJ34" i="3" a="1"/>
  <c r="AJ34" i="3"/>
  <c r="AJ257" i="3" a="1"/>
  <c r="AJ257" i="3"/>
  <c r="AO3" i="2" a="1"/>
  <c r="AO3" i="2" l="1"/>
  <c r="AJ316" i="3" a="1"/>
  <c r="AJ316" i="3"/>
  <c r="AH31" i="4" a="1"/>
  <c r="AH31" i="4"/>
  <c r="AJ112" i="3" a="1"/>
  <c r="AJ112" i="3"/>
  <c r="AJ167" i="3" a="1"/>
  <c r="AJ167" i="3"/>
  <c r="AJ208" i="3" a="1"/>
  <c r="AJ208" i="3"/>
  <c r="AJ247" i="3" a="1"/>
  <c r="AJ247" i="3"/>
  <c r="AJ158" i="3" a="1"/>
  <c r="AJ158" i="3"/>
  <c r="AJ76" i="3" a="1"/>
  <c r="AJ76" i="3"/>
  <c r="AO5" i="2" a="1"/>
  <c r="AO5" i="2"/>
  <c r="AJ45" i="3" a="1"/>
  <c r="AJ45" i="3" l="1"/>
  <c r="AJ165" i="3" a="1"/>
  <c r="AJ165" i="3"/>
  <c r="AJ53" i="3" l="1" a="1"/>
  <c r="AJ53" i="3"/>
  <c r="AJ216" i="3" a="1"/>
  <c r="AJ216" i="3"/>
  <c r="AJ100" i="3" a="1"/>
  <c r="AJ100" i="3"/>
  <c r="AJ153" i="3" a="1"/>
  <c r="AJ153" i="3"/>
  <c r="AJ292" i="3" a="1"/>
  <c r="AJ292" i="3"/>
  <c r="AJ276" i="3" a="1"/>
  <c r="AJ276" i="3"/>
  <c r="AJ293" i="3" a="1"/>
  <c r="AJ293" i="3"/>
  <c r="AJ129" i="3" a="1"/>
  <c r="AJ129" i="3"/>
  <c r="AH8" i="4" a="1"/>
  <c r="AH8" i="4"/>
  <c r="AJ207" i="3" a="1"/>
  <c r="AJ207" i="3"/>
  <c r="AH47" i="4" a="1"/>
  <c r="AH47" i="4"/>
  <c r="AJ24" i="3" a="1"/>
  <c r="AJ24" i="3" l="1"/>
  <c r="AJ86" i="3" a="1"/>
  <c r="AJ86" i="3"/>
  <c r="AJ3" i="3" a="1"/>
  <c r="AJ3" i="3"/>
  <c r="AJ341" i="3" a="1"/>
  <c r="AJ341" i="3"/>
  <c r="AJ211" i="3" a="1"/>
  <c r="AJ211" i="3"/>
  <c r="AJ14" i="3" a="1"/>
  <c r="AJ14" i="3"/>
  <c r="AJ135" i="3" a="1"/>
  <c r="AJ135" i="3"/>
  <c r="AH29" i="4" a="1"/>
  <c r="AH29" i="4"/>
  <c r="AJ114" i="3" a="1"/>
  <c r="AJ114" i="3" l="1"/>
  <c r="AJ120" i="3" a="1"/>
  <c r="AJ120" i="3"/>
  <c r="AJ161" i="3" a="1"/>
  <c r="AJ161" i="3"/>
  <c r="AJ328" i="3" a="1"/>
  <c r="AJ328" i="3"/>
  <c r="AJ56" i="3" a="1"/>
  <c r="AJ56" i="3"/>
  <c r="AJ212" i="3" a="1"/>
  <c r="AJ212" i="3" l="1"/>
  <c r="AJ103" i="3" a="1"/>
  <c r="AJ103" i="3"/>
  <c r="AH4" i="4" a="1"/>
  <c r="AH4" i="4"/>
  <c r="AJ65" i="3" a="1"/>
  <c r="AJ65" i="3"/>
  <c r="AJ169" i="3" a="1"/>
  <c r="AJ169" i="3"/>
  <c r="AJ301" i="3" a="1"/>
  <c r="AJ301" i="3"/>
  <c r="AJ61" i="3" a="1"/>
  <c r="AJ61" i="3"/>
  <c r="AJ77" i="3" a="1"/>
  <c r="AJ77" i="3"/>
  <c r="AJ331" i="3" a="1"/>
  <c r="AJ331" i="3"/>
  <c r="AJ85" i="3" a="1"/>
  <c r="AJ85" i="3"/>
  <c r="AH21" i="4" a="1"/>
  <c r="AH21" i="4"/>
  <c r="AJ88" i="3" a="1"/>
  <c r="AJ88" i="3"/>
  <c r="AJ172" i="3" a="1"/>
  <c r="AJ172" i="3"/>
  <c r="AJ107" i="3" a="1"/>
  <c r="AJ107" i="3"/>
  <c r="AJ35" i="3" a="1"/>
  <c r="AJ35" i="3"/>
  <c r="AJ152" i="3" a="1"/>
  <c r="AJ152" i="3"/>
  <c r="AJ238" i="3" a="1"/>
  <c r="AJ238" i="3"/>
  <c r="AJ323" i="3" a="1"/>
  <c r="AJ323" i="3"/>
  <c r="AJ221" i="3" a="1"/>
  <c r="AJ221" i="3"/>
  <c r="AJ179" i="3" a="1"/>
  <c r="AJ179" i="3"/>
  <c r="AO4" i="2" a="1"/>
  <c r="AO4" i="2"/>
  <c r="AJ248" i="3" a="1"/>
  <c r="AJ248" i="3"/>
  <c r="AJ271" i="3" a="1"/>
  <c r="AJ271" i="3" l="1"/>
  <c r="AJ47" i="3" a="1"/>
  <c r="AJ47" i="3"/>
  <c r="AJ136" i="3" a="1"/>
  <c r="AJ136" i="3"/>
  <c r="AJ261" i="3" a="1"/>
  <c r="AJ261" i="3"/>
  <c r="AJ291" i="3" l="1" a="1"/>
  <c r="AJ291" i="3"/>
  <c r="AJ242" i="3" a="1"/>
  <c r="AJ242" i="3"/>
  <c r="AJ345" i="3" a="1"/>
  <c r="AJ345" i="3"/>
  <c r="AJ131" i="3" a="1"/>
  <c r="AJ131" i="3"/>
  <c r="AJ275" i="3" a="1"/>
  <c r="AJ275" i="3"/>
  <c r="AJ322" i="3" a="1"/>
  <c r="AJ322" i="3"/>
  <c r="AJ236" i="3" a="1"/>
  <c r="AJ236" i="3"/>
  <c r="AJ351" i="3" a="1"/>
  <c r="AJ351" i="3"/>
  <c r="AJ318" i="3" a="1"/>
  <c r="AJ318" i="3"/>
  <c r="AJ294" i="3" a="1"/>
  <c r="AJ294" i="3"/>
  <c r="AJ143" i="3" a="1"/>
  <c r="AJ143" i="3" l="1"/>
  <c r="AJ128" i="3" a="1"/>
  <c r="AJ128" i="3"/>
  <c r="AJ299" i="3" a="1"/>
  <c r="AJ299" i="3" l="1"/>
  <c r="AJ133" i="3" a="1"/>
  <c r="AJ133" i="3"/>
  <c r="AJ189" i="3" a="1"/>
  <c r="AJ189" i="3"/>
  <c r="AJ260" i="3" a="1"/>
  <c r="AJ260" i="3"/>
  <c r="AJ192" i="3" a="1"/>
  <c r="AJ192" i="3"/>
  <c r="AJ5" i="3" a="1"/>
  <c r="AJ5" i="3"/>
  <c r="AH7" i="4" a="1"/>
  <c r="AH7" i="4"/>
  <c r="AJ68" i="3" a="1"/>
  <c r="AJ68" i="3"/>
  <c r="AJ60" i="3" a="1"/>
  <c r="AJ60" i="3"/>
  <c r="AH60" i="4" a="1"/>
  <c r="AH60" i="4"/>
  <c r="AJ87" i="3" a="1"/>
  <c r="AJ87" i="3"/>
  <c r="AJ203" i="3" a="1"/>
  <c r="AJ203" i="3"/>
  <c r="AJ229" i="3" a="1"/>
  <c r="AJ229" i="3"/>
  <c r="AJ13" i="3" a="1"/>
  <c r="AJ13" i="3"/>
  <c r="AO6" i="2" a="1"/>
  <c r="AO6" i="2"/>
  <c r="AO71" i="2" a="1"/>
  <c r="AO71" i="2"/>
  <c r="AJ344" i="3" l="1" a="1"/>
  <c r="AJ344" i="3" l="1"/>
  <c r="AJ349" i="3" a="1"/>
  <c r="AJ349" i="3"/>
  <c r="AO8" i="2" a="1"/>
  <c r="AO8" i="2"/>
  <c r="AJ146" i="3" a="1"/>
  <c r="AJ146" i="3"/>
  <c r="AJ10" i="3" a="1"/>
  <c r="AJ10" i="3" l="1"/>
  <c r="AJ282" i="3" a="1"/>
  <c r="AJ282" i="3"/>
  <c r="AJ240" i="3" a="1"/>
  <c r="AJ240" i="3"/>
  <c r="AJ123" i="3" a="1"/>
  <c r="AJ123" i="3"/>
  <c r="AJ30" i="3" a="1"/>
  <c r="AJ30" i="3"/>
  <c r="AJ335" i="3" a="1"/>
  <c r="AJ335" i="3"/>
  <c r="AH14" i="4" a="1"/>
  <c r="AH14" i="4"/>
  <c r="AH55" i="4" a="1"/>
  <c r="AH55" i="4"/>
  <c r="AJ70" i="3" a="1"/>
  <c r="AJ70" i="3"/>
  <c r="AJ72" i="3" a="1"/>
  <c r="AJ72" i="3"/>
  <c r="AJ16" i="3" a="1"/>
  <c r="AJ16" i="3"/>
  <c r="AJ124" i="3" a="1"/>
  <c r="AJ124" i="3"/>
  <c r="AJ295" i="3" a="1"/>
  <c r="AJ295" i="3"/>
  <c r="AJ187" i="3" a="1"/>
  <c r="AJ187" i="3"/>
  <c r="AJ279" i="3" a="1"/>
  <c r="AJ279" i="3"/>
  <c r="AH11" i="4" a="1"/>
  <c r="AH11" i="4"/>
  <c r="AJ54" i="3" a="1"/>
  <c r="AJ54" i="3"/>
  <c r="AJ262" i="3" a="1"/>
  <c r="AJ262" i="3"/>
  <c r="AH48" i="4" a="1"/>
  <c r="AH48" i="4"/>
  <c r="AJ263" i="3" a="1"/>
  <c r="AJ263" i="3"/>
  <c r="AJ125" i="3" a="1"/>
  <c r="AJ125" i="3"/>
  <c r="AJ311" i="3" a="1"/>
  <c r="AJ311" i="3"/>
  <c r="AJ314" i="3" a="1"/>
  <c r="AJ314" i="3"/>
  <c r="AJ90" i="3" a="1"/>
  <c r="AJ90" i="3"/>
  <c r="AJ184" i="3" a="1"/>
  <c r="AJ184" i="3"/>
  <c r="AJ348" i="3" a="1"/>
  <c r="AJ348" i="3" l="1"/>
  <c r="AJ342" i="3" a="1"/>
  <c r="AJ342" i="3" l="1"/>
  <c r="AJ15" i="3" a="1"/>
  <c r="AJ15" i="3"/>
  <c r="AJ141" i="3" a="1"/>
  <c r="AJ141" i="3" l="1"/>
  <c r="AJ239" i="3" a="1"/>
  <c r="AJ239" i="3"/>
  <c r="AJ159" i="3" a="1"/>
  <c r="AJ159" i="3"/>
  <c r="AJ145" i="3" a="1"/>
  <c r="AJ145" i="3"/>
  <c r="AJ91" i="3" a="1"/>
  <c r="AJ91" i="3"/>
  <c r="AJ195" i="3" a="1"/>
  <c r="AJ195" i="3"/>
  <c r="AJ233" i="3" a="1"/>
  <c r="AJ233" i="3"/>
  <c r="AJ321" i="3" a="1"/>
  <c r="AJ321" i="3"/>
  <c r="AJ37" i="3" a="1"/>
  <c r="AJ37" i="3"/>
  <c r="AJ41" i="3" a="1"/>
  <c r="AJ41" i="3" l="1"/>
  <c r="AJ26" i="3" a="1"/>
  <c r="AJ26" i="3"/>
  <c r="AJ191" i="3" a="1"/>
  <c r="AJ191" i="3"/>
  <c r="AJ75" i="3" a="1"/>
  <c r="AJ75" i="3" l="1"/>
  <c r="AJ319" i="3" a="1"/>
  <c r="AJ319" i="3"/>
  <c r="AJ178" i="3" a="1"/>
  <c r="AJ178" i="3"/>
  <c r="AJ193" i="3" a="1"/>
  <c r="AJ193" i="3"/>
  <c r="AJ147" i="3" a="1"/>
  <c r="AJ147" i="3"/>
  <c r="AJ81" i="3" a="1"/>
  <c r="AJ81" i="3"/>
  <c r="AJ20" i="3" a="1"/>
  <c r="AJ20" i="3"/>
  <c r="AH20" i="4" a="1"/>
  <c r="AH20" i="4"/>
  <c r="AH42" i="4" a="1"/>
  <c r="AH42" i="4" l="1"/>
  <c r="AH27" i="4" a="1"/>
  <c r="AH27" i="4"/>
  <c r="AJ9" i="3" a="1"/>
  <c r="AJ9" i="3"/>
  <c r="AJ199" i="3" a="1"/>
  <c r="AJ199" i="3"/>
  <c r="AJ155" i="3" a="1"/>
  <c r="AJ155" i="3"/>
  <c r="AJ228" i="3" a="1"/>
  <c r="AJ228" i="3"/>
  <c r="AJ213" i="3" a="1"/>
  <c r="AJ213" i="3"/>
  <c r="AH32" i="4" a="1"/>
  <c r="AH32" i="4"/>
  <c r="AJ117" i="3" a="1"/>
  <c r="AJ117" i="3"/>
  <c r="AJ130" i="3" a="1"/>
  <c r="AJ130" i="3"/>
  <c r="AO22" i="2" a="1"/>
  <c r="AO22" i="2"/>
  <c r="AJ326" i="3" a="1"/>
  <c r="AJ326" i="3"/>
  <c r="AJ64" i="3" a="1"/>
  <c r="AJ64" i="3"/>
  <c r="AJ347" i="3" a="1"/>
  <c r="AJ347" i="3"/>
  <c r="AJ202" i="3" a="1"/>
  <c r="AJ202" i="3"/>
  <c r="AJ353" i="3" a="1"/>
  <c r="AJ353" i="3"/>
  <c r="AJ281" i="3" a="1"/>
  <c r="AJ281" i="3"/>
  <c r="AH33" i="4" a="1"/>
  <c r="AH33" i="4"/>
  <c r="AJ324" i="3" a="1"/>
  <c r="AJ324" i="3" l="1"/>
  <c r="AJ48" i="3" a="1"/>
  <c r="AJ48" i="3"/>
  <c r="AH34" i="4" a="1"/>
  <c r="AH34" i="4"/>
  <c r="AJ170" i="3" a="1"/>
  <c r="AJ170" i="3" l="1"/>
  <c r="AJ269" i="3" a="1"/>
  <c r="AJ269" i="3"/>
  <c r="AJ297" i="3" a="1"/>
  <c r="AJ297" i="3"/>
  <c r="AJ139" i="3" a="1"/>
  <c r="AJ139" i="3"/>
  <c r="AJ298" i="3" a="1"/>
  <c r="AJ298" i="3"/>
  <c r="AJ49" i="3" a="1"/>
  <c r="AJ49" i="3"/>
  <c r="AJ215" i="3" a="1"/>
  <c r="AJ215" i="3"/>
  <c r="AJ200" i="3" a="1"/>
  <c r="AJ200" i="3"/>
  <c r="AJ177" i="3" a="1"/>
  <c r="AJ177" i="3"/>
  <c r="AJ163" i="3" a="1"/>
  <c r="AJ163" i="3"/>
  <c r="AJ214" i="3" a="1"/>
  <c r="AJ214" i="3"/>
  <c r="AH18" i="4" a="1"/>
  <c r="AH18" i="4"/>
  <c r="AH36" i="4" a="1"/>
  <c r="AH36" i="4" l="1"/>
  <c r="AJ346" i="3" a="1"/>
  <c r="AJ346" i="3"/>
  <c r="AH53" i="4" a="1"/>
  <c r="AH53" i="4"/>
  <c r="AJ194" i="3" a="1"/>
  <c r="AJ194" i="3"/>
  <c r="AJ164" i="3" a="1"/>
  <c r="AJ164" i="3"/>
  <c r="AJ6" i="3" a="1"/>
  <c r="AJ6" i="3"/>
  <c r="AJ171" i="3" a="1"/>
  <c r="AJ171" i="3" l="1"/>
  <c r="AO16" i="2" a="1"/>
  <c r="AO16" i="2"/>
  <c r="AJ175" i="3" a="1"/>
  <c r="AJ175" i="3"/>
  <c r="AH56" i="4" a="1"/>
  <c r="AH56" i="4"/>
  <c r="AJ4" i="3" a="1"/>
  <c r="AJ4" i="3"/>
  <c r="AJ51" i="3" a="1"/>
  <c r="AJ51" i="3"/>
  <c r="AJ160" i="3" a="1"/>
  <c r="AJ160" i="3"/>
  <c r="AJ97" i="3" a="1"/>
  <c r="AJ97" i="3"/>
  <c r="AJ217" i="3" a="1"/>
  <c r="AJ217" i="3"/>
  <c r="AH52" i="4" a="1"/>
  <c r="AH52" i="4"/>
  <c r="AJ329" i="3" a="1"/>
  <c r="AJ329" i="3"/>
  <c r="AJ201" i="3" a="1"/>
  <c r="AJ201" i="3"/>
  <c r="AJ122" i="3" a="1"/>
  <c r="AJ122" i="3"/>
  <c r="AO9" i="2" a="1"/>
  <c r="AO9" i="2"/>
  <c r="AH38" i="4" a="1"/>
  <c r="AH38" i="4"/>
  <c r="AJ241" i="3" a="1"/>
  <c r="AJ241" i="3"/>
  <c r="AJ274" i="3" a="1"/>
  <c r="AJ274" i="3"/>
  <c r="AJ102" i="3" a="1"/>
  <c r="AJ102" i="3" l="1"/>
  <c r="AJ38" i="3" l="1" a="1"/>
  <c r="AJ38" i="3"/>
  <c r="AH40" i="4" a="1"/>
  <c r="AH40" i="4"/>
  <c r="AJ253" i="3" a="1"/>
  <c r="AJ253" i="3"/>
  <c r="AJ58" i="3" a="1"/>
  <c r="AJ58" i="3"/>
  <c r="AJ173" i="3" a="1"/>
  <c r="AJ173" i="3"/>
  <c r="AJ235" i="3" a="1"/>
  <c r="AJ235" i="3"/>
  <c r="AJ105" i="3" a="1"/>
  <c r="AJ105" i="3"/>
  <c r="AJ174" i="3" a="1"/>
  <c r="AJ174" i="3"/>
  <c r="AJ92" i="3" a="1"/>
  <c r="AJ92" i="3" l="1"/>
  <c r="AJ256" i="3" a="1"/>
  <c r="AJ256" i="3"/>
  <c r="AJ273" i="3" a="1"/>
  <c r="AJ273" i="3"/>
  <c r="AJ290" i="3" a="1"/>
  <c r="AJ290" i="3"/>
  <c r="AJ267" i="3" a="1"/>
  <c r="AJ267" i="3"/>
  <c r="AJ73" i="3" a="1"/>
  <c r="AJ73" i="3"/>
  <c r="AH22" i="4" a="1"/>
  <c r="AH22" i="4"/>
  <c r="AJ52" i="3" a="1"/>
  <c r="AJ52" i="3"/>
  <c r="AJ134" i="3" a="1"/>
  <c r="AJ134" i="3"/>
  <c r="AJ210" i="3" a="1"/>
  <c r="AJ210" i="3"/>
  <c r="AJ50" i="3" a="1"/>
  <c r="AJ50" i="3"/>
  <c r="AJ223" i="3" a="1"/>
  <c r="AJ223" i="3"/>
  <c r="AH61" i="4" a="1"/>
  <c r="AH61" i="4"/>
  <c r="AJ283" i="3" a="1"/>
  <c r="AJ283" i="3"/>
  <c r="AJ31" i="3" l="1" a="1"/>
  <c r="AJ31" i="3" l="1"/>
  <c r="AJ224" i="3" a="1"/>
  <c r="AJ224" i="3"/>
  <c r="AJ80" i="3" a="1"/>
  <c r="AJ80" i="3"/>
  <c r="AJ137" i="3" a="1"/>
  <c r="AJ137" i="3"/>
  <c r="AJ196" i="3" a="1"/>
  <c r="AJ196" i="3"/>
  <c r="AJ219" i="3" a="1"/>
  <c r="AJ219" i="3"/>
  <c r="AJ225" i="3" a="1"/>
  <c r="AJ225" i="3"/>
  <c r="AJ272" i="3" a="1"/>
  <c r="AJ272" i="3"/>
  <c r="AH45" i="4" a="1"/>
  <c r="AH45" i="4"/>
  <c r="AJ268" i="3" a="1"/>
  <c r="AJ268" i="3"/>
  <c r="AJ166" i="3" a="1"/>
  <c r="AJ166" i="3"/>
  <c r="AJ29" i="3" a="1"/>
  <c r="AJ29" i="3" l="1"/>
  <c r="AJ280" i="3" a="1"/>
  <c r="AJ280" i="3"/>
  <c r="AJ119" i="3" a="1"/>
  <c r="AJ119" i="3"/>
  <c r="AJ25" i="3" a="1"/>
  <c r="AJ25" i="3"/>
  <c r="AJ310" i="3" a="1"/>
  <c r="AJ310" i="3"/>
  <c r="AJ157" i="3" a="1"/>
  <c r="AJ157" i="3"/>
  <c r="AJ83" i="3" a="1"/>
  <c r="AJ83" i="3"/>
  <c r="AJ106" i="3" a="1"/>
  <c r="AJ106" i="3"/>
  <c r="AJ17" i="3" a="1"/>
  <c r="AJ17" i="3"/>
  <c r="AJ246" i="3" a="1"/>
  <c r="AJ246" i="3"/>
  <c r="AJ79" i="3" a="1"/>
  <c r="AJ79" i="3" l="1"/>
  <c r="AJ99" i="3" a="1"/>
  <c r="AJ99" i="3"/>
  <c r="AJ108" i="3" a="1"/>
  <c r="AJ108" i="3"/>
  <c r="AJ111" i="3" a="1"/>
  <c r="AJ111" i="3"/>
  <c r="AJ186" i="3" a="1"/>
  <c r="AJ186" i="3"/>
  <c r="AJ96" i="3" a="1"/>
  <c r="AJ96" i="3"/>
  <c r="AJ288" i="3" a="1"/>
  <c r="AJ288" i="3"/>
  <c r="AJ327" i="3" a="1"/>
  <c r="AJ327" i="3"/>
  <c r="AJ71" i="3" a="1"/>
  <c r="AJ71" i="3"/>
  <c r="AJ110" i="3" a="1"/>
  <c r="AJ110" i="3"/>
  <c r="AJ231" i="3" a="1"/>
  <c r="AJ231" i="3"/>
  <c r="AJ144" i="3" a="1"/>
  <c r="AJ144" i="3"/>
  <c r="AJ244" i="3" a="1"/>
  <c r="AJ244" i="3"/>
  <c r="AJ185" i="3" l="1" a="1"/>
  <c r="AJ185" i="3" l="1"/>
  <c r="AJ205" i="3" a="1"/>
  <c r="AJ205" i="3"/>
  <c r="AJ270" i="3" a="1"/>
  <c r="AJ270" i="3"/>
  <c r="AJ180" i="3" a="1"/>
  <c r="AJ180" i="3" l="1"/>
  <c r="AJ176" i="3" a="1"/>
  <c r="AJ176" i="3"/>
  <c r="AJ113" i="3" a="1"/>
  <c r="AJ113" i="3"/>
  <c r="AJ305" i="3" a="1"/>
  <c r="AJ305" i="3"/>
  <c r="AJ340" i="3" a="1"/>
  <c r="AJ340" i="3"/>
  <c r="AJ333" i="3" a="1"/>
  <c r="AJ333" i="3"/>
  <c r="AJ300" i="3" a="1"/>
  <c r="AJ300" i="3" l="1"/>
  <c r="AH41" i="4" a="1"/>
  <c r="AH41" i="4"/>
  <c r="AJ154" i="3" a="1"/>
  <c r="AJ154" i="3"/>
  <c r="AJ39" i="3" a="1"/>
  <c r="AJ39" i="3"/>
  <c r="AJ254" i="3" a="1"/>
  <c r="AJ254" i="3"/>
  <c r="AJ332" i="3" a="1"/>
  <c r="AJ332" i="3"/>
  <c r="AH12" i="4" a="1"/>
  <c r="AH12" i="4"/>
  <c r="AH43" i="4" a="1"/>
  <c r="AH43" i="4"/>
  <c r="AJ218" i="3" a="1"/>
  <c r="AJ218" i="3"/>
  <c r="AJ352" i="3" a="1"/>
  <c r="AJ352" i="3"/>
  <c r="AJ62" i="3" a="1"/>
  <c r="AJ62" i="3"/>
  <c r="AJ234" i="3" a="1"/>
  <c r="AJ234" i="3" l="1"/>
  <c r="AJ251" i="3" a="1"/>
  <c r="AJ251" i="3"/>
  <c r="AJ11" i="3" a="1"/>
  <c r="AJ11" i="3"/>
  <c r="AH37" i="4" a="1"/>
  <c r="AH37" i="4"/>
  <c r="AJ315" i="3" a="1"/>
  <c r="AJ315" i="3"/>
  <c r="AJ198" i="3" a="1"/>
  <c r="AJ198" i="3"/>
  <c r="AH9" i="4" a="1"/>
  <c r="AH9" i="4"/>
  <c r="AJ138" i="3" a="1"/>
  <c r="AJ138" i="3"/>
  <c r="AJ82" i="3" a="1"/>
  <c r="AJ82" i="3"/>
  <c r="AJ101" i="3" a="1"/>
  <c r="AJ101" i="3"/>
  <c r="AJ36" i="3" a="1"/>
  <c r="AJ36" i="3"/>
  <c r="AH5" i="4" a="1"/>
  <c r="AH5" i="4"/>
  <c r="AJ89" i="3" a="1"/>
  <c r="AJ89" i="3"/>
  <c r="AJ220" i="3" a="1"/>
  <c r="AJ220" i="3"/>
  <c r="AJ284" i="3" a="1"/>
  <c r="AJ284" i="3"/>
  <c r="AJ32" i="3" a="1"/>
  <c r="AJ32" i="3"/>
  <c r="AH44" i="4" a="1"/>
  <c r="AH44" i="4"/>
  <c r="Y19" i="3" a="1"/>
  <c r="Y19" i="3"/>
  <c r="W21" i="4" a="1"/>
  <c r="W21" i="4"/>
  <c r="Y27" i="3" a="1"/>
  <c r="Y27" i="3"/>
  <c r="AJ339" i="3" a="1"/>
  <c r="AJ339" i="3"/>
  <c r="AJ181" i="3" a="1"/>
  <c r="AJ181" i="3"/>
  <c r="AJ21" i="3" a="1"/>
  <c r="AJ21" i="3"/>
  <c r="AH16" i="4" a="1"/>
  <c r="AH16" i="4"/>
  <c r="AJ222" i="3" a="1"/>
  <c r="AJ222" i="3"/>
  <c r="AJ104" i="3" a="1"/>
  <c r="AJ104" i="3"/>
  <c r="AJ94" i="3" a="1"/>
  <c r="AJ94" i="3"/>
  <c r="AJ302" i="3" a="1"/>
  <c r="AJ302" i="3"/>
  <c r="AJ287" i="3" a="1"/>
  <c r="AJ287" i="3"/>
  <c r="AJ109" i="3" a="1"/>
  <c r="AJ109" i="3"/>
  <c r="AJ334" i="3" a="1"/>
  <c r="AJ334" i="3"/>
  <c r="Y111" i="3" a="1"/>
  <c r="Y111" i="3"/>
  <c r="AJ278" i="3" a="1"/>
  <c r="AJ278" i="3"/>
  <c r="AJ190" i="3" a="1"/>
  <c r="AJ190" i="3"/>
  <c r="AJ259" i="3" a="1"/>
  <c r="AJ259" i="3"/>
  <c r="Y343" i="3" l="1" a="1"/>
  <c r="Y343" i="3"/>
  <c r="W35" i="4" a="1"/>
  <c r="W35" i="4"/>
  <c r="Y203" i="3" a="1"/>
  <c r="Y203" i="3"/>
  <c r="AJ237" i="3" a="1"/>
  <c r="AJ237" i="3"/>
  <c r="Y241" i="3" a="1"/>
  <c r="Y241" i="3"/>
  <c r="Y322" i="3" a="1"/>
  <c r="Y322" i="3"/>
  <c r="Y10" i="3" a="1"/>
  <c r="Y10" i="3" l="1"/>
  <c r="W13" i="4" a="1"/>
  <c r="W13" i="4"/>
  <c r="Y262" i="3" a="1"/>
  <c r="Y262" i="3"/>
  <c r="Y136" i="3" a="1"/>
  <c r="Y136" i="3"/>
  <c r="Y236" i="3" a="1"/>
  <c r="Y236" i="3"/>
  <c r="Y143" i="3" a="1"/>
  <c r="Y143" i="3"/>
  <c r="Y171" i="3" a="1"/>
  <c r="Y171" i="3"/>
  <c r="Y282" i="3" l="1" a="1"/>
  <c r="Y282" i="3"/>
  <c r="Y21" i="3" a="1"/>
  <c r="Y21" i="3"/>
  <c r="Y265" i="3" a="1"/>
  <c r="Y265" i="3"/>
  <c r="AD7" i="2" a="1"/>
  <c r="AD7" i="2"/>
  <c r="Y58" i="3" a="1"/>
  <c r="Y58" i="3" l="1"/>
  <c r="Y95" i="3" a="1"/>
  <c r="Y95" i="3"/>
  <c r="Y61" i="3" a="1"/>
  <c r="Y61" i="3"/>
  <c r="Y281" i="3" a="1"/>
  <c r="Y281" i="3"/>
  <c r="Y240" i="3" a="1"/>
  <c r="Y240" i="3"/>
  <c r="W7" i="4" a="1"/>
  <c r="W7" i="4"/>
  <c r="AD6" i="2" a="1"/>
  <c r="AD6" i="2"/>
  <c r="Y4" i="3" a="1"/>
  <c r="Y4" i="3"/>
  <c r="Y317" i="3" a="1"/>
  <c r="Y317" i="3"/>
  <c r="Y221" i="3" a="1"/>
  <c r="Y221" i="3"/>
  <c r="Y78" i="3" a="1"/>
  <c r="Y78" i="3"/>
  <c r="Y249" i="3" a="1"/>
  <c r="Y249" i="3"/>
  <c r="Y344" i="3" a="1"/>
  <c r="Y344" i="3"/>
  <c r="Y163" i="3" a="1"/>
  <c r="Y163" i="3"/>
  <c r="Y161" i="3" a="1"/>
  <c r="Y161" i="3"/>
  <c r="W58" i="4" a="1"/>
  <c r="W58" i="4"/>
  <c r="Y100" i="3" a="1"/>
  <c r="Y100" i="3"/>
  <c r="Y26" i="3" a="1"/>
  <c r="Y26" i="3" l="1"/>
  <c r="Y182" i="3" a="1"/>
  <c r="Y182" i="3"/>
  <c r="Y195" i="3" a="1"/>
  <c r="Y195" i="3"/>
  <c r="W26" i="4" a="1"/>
  <c r="W26" i="4"/>
  <c r="Y197" i="3" a="1"/>
  <c r="Y197" i="3"/>
  <c r="Y172" i="3" a="1"/>
  <c r="Y172" i="3" l="1"/>
  <c r="Y165" i="3" a="1"/>
  <c r="Y165" i="3"/>
  <c r="Y34" i="3" a="1"/>
  <c r="Y34" i="3"/>
  <c r="Y139" i="3" a="1"/>
  <c r="Y139" i="3"/>
  <c r="Y35" i="3" a="1"/>
  <c r="Y35" i="3"/>
  <c r="Y314" i="3" a="1"/>
  <c r="Y314" i="3"/>
  <c r="Y80" i="3" a="1"/>
  <c r="Y80" i="3"/>
  <c r="Y235" i="3" a="1"/>
  <c r="Y235" i="3" l="1"/>
  <c r="Y271" i="3" a="1"/>
  <c r="Y271" i="3"/>
  <c r="Y190" i="3" a="1"/>
  <c r="Y190" i="3"/>
  <c r="Y112" i="3" a="1"/>
  <c r="Y112" i="3" l="1"/>
  <c r="Y155" i="3" a="1"/>
  <c r="Y155" i="3"/>
  <c r="Y284" i="3" a="1"/>
  <c r="Y284" i="3"/>
  <c r="Y96" i="3" a="1"/>
  <c r="Y96" i="3"/>
  <c r="Y99" i="3" a="1"/>
  <c r="Y99" i="3"/>
  <c r="Y330" i="3" a="1"/>
  <c r="Y330" i="3"/>
  <c r="Y97" i="3" a="1"/>
  <c r="Y97" i="3"/>
  <c r="Y94" i="3" a="1"/>
  <c r="Y94" i="3"/>
  <c r="W36" i="4" a="1"/>
  <c r="W36" i="4"/>
  <c r="Y57" i="3" a="1"/>
  <c r="Y57" i="3"/>
  <c r="Y334" i="3" a="1"/>
  <c r="Y334" i="3"/>
  <c r="Y350" i="3" a="1"/>
  <c r="Y350" i="3" l="1"/>
  <c r="Y298" i="3" a="1"/>
  <c r="Y298" i="3"/>
  <c r="Y69" i="3" a="1"/>
  <c r="Y69" i="3" l="1"/>
  <c r="Y250" i="3" a="1"/>
  <c r="Y250" i="3"/>
  <c r="Y257" i="3" a="1"/>
  <c r="Y257" i="3"/>
  <c r="Y177" i="3" a="1"/>
  <c r="Y177" i="3"/>
  <c r="Y79" i="3" a="1"/>
  <c r="Y79" i="3"/>
  <c r="Y222" i="3" a="1"/>
  <c r="Y222" i="3"/>
  <c r="Y45" i="3" a="1"/>
  <c r="Y45" i="3"/>
  <c r="Y72" i="3" a="1"/>
  <c r="Y72" i="3"/>
  <c r="Y14" i="3" a="1"/>
  <c r="Y14" i="3"/>
  <c r="Y246" i="3" a="1"/>
  <c r="Y246" i="3"/>
  <c r="Y178" i="3" a="1"/>
  <c r="Y178" i="3"/>
  <c r="Y25" i="3" a="1"/>
  <c r="Y25" i="3"/>
  <c r="W16" i="4" a="1"/>
  <c r="W16" i="4"/>
  <c r="Y127" i="3" a="1"/>
  <c r="Y127" i="3"/>
  <c r="Y52" i="3" a="1"/>
  <c r="Y52" i="3"/>
  <c r="Y312" i="3" a="1"/>
  <c r="Y312" i="3"/>
  <c r="Y253" i="3" a="1"/>
  <c r="Y253" i="3"/>
  <c r="Y335" i="3" a="1"/>
  <c r="Y335" i="3"/>
  <c r="Y29" i="3" a="1"/>
  <c r="Y29" i="3"/>
  <c r="Y84" i="3" a="1"/>
  <c r="Y84" i="3"/>
  <c r="W40" i="4" a="1"/>
  <c r="W40" i="4"/>
  <c r="Y215" i="3" a="1"/>
  <c r="Y215" i="3"/>
  <c r="Y310" i="3" a="1"/>
  <c r="Y310" i="3"/>
  <c r="Y264" i="3" a="1"/>
  <c r="Y264" i="3"/>
  <c r="Y6" i="3" a="1"/>
  <c r="Y6" i="3"/>
  <c r="Y226" i="3" a="1"/>
  <c r="Y226" i="3"/>
  <c r="Y188" i="3" a="1"/>
  <c r="Y188" i="3"/>
  <c r="Y5" i="3" a="1"/>
  <c r="Y5" i="3"/>
  <c r="W18" i="4" a="1"/>
  <c r="W18" i="4"/>
  <c r="Y20" i="3" a="1"/>
  <c r="Y20" i="3"/>
  <c r="AD8" i="2" a="1"/>
  <c r="AD8" i="2"/>
  <c r="Y224" i="3" a="1"/>
  <c r="Y224" i="3"/>
  <c r="Y60" i="3" a="1"/>
  <c r="Y60" i="3"/>
  <c r="W10" i="4" a="1"/>
  <c r="W10" i="4"/>
  <c r="Y198" i="3" a="1"/>
  <c r="Y198" i="3"/>
  <c r="Y274" i="3" a="1"/>
  <c r="Y274" i="3"/>
  <c r="AD10" i="2" a="1"/>
  <c r="AD10" i="2"/>
  <c r="Y90" i="3" l="1" a="1"/>
  <c r="Y90" i="3"/>
  <c r="Y115" i="3" a="1"/>
  <c r="Y115" i="3"/>
  <c r="Y144" i="3" a="1"/>
  <c r="Y144" i="3"/>
  <c r="Y114" i="3" a="1"/>
  <c r="Y114" i="3"/>
  <c r="W31" i="4" a="1"/>
  <c r="W31" i="4"/>
  <c r="Y296" i="3" a="1"/>
  <c r="Y296" i="3"/>
  <c r="Y218" i="3" a="1"/>
  <c r="Y218" i="3" l="1"/>
  <c r="Y238" i="3" a="1"/>
  <c r="Y238" i="3"/>
  <c r="Y305" i="3" a="1"/>
  <c r="Y305" i="3" l="1"/>
  <c r="W29" i="4" a="1"/>
  <c r="W29" i="4"/>
  <c r="AD2" i="2" a="1"/>
  <c r="AD2" i="2"/>
  <c r="W2" i="4" a="1"/>
  <c r="W2" i="4"/>
  <c r="Y2" i="3" a="1"/>
  <c r="Y2" i="3"/>
  <c r="Y179" i="3" a="1"/>
  <c r="Y179" i="3"/>
  <c r="Y242" i="3" a="1"/>
  <c r="Y242" i="3"/>
  <c r="Y150" i="3" a="1"/>
  <c r="Y150" i="3"/>
  <c r="Y124" i="3" a="1"/>
  <c r="Y124" i="3"/>
  <c r="AD5" i="2" a="1"/>
  <c r="AD5" i="2"/>
  <c r="Y209" i="3" a="1"/>
  <c r="Y209" i="3"/>
  <c r="Y323" i="3" a="1"/>
  <c r="Y323" i="3"/>
  <c r="W48" i="4" a="1"/>
  <c r="W48" i="4"/>
  <c r="Y104" i="3" a="1"/>
  <c r="Y104" i="3"/>
  <c r="Y89" i="3" a="1"/>
  <c r="Y89" i="3"/>
  <c r="W28" i="4" a="1"/>
  <c r="W28" i="4"/>
  <c r="Y272" i="3" a="1"/>
  <c r="Y272" i="3" l="1"/>
  <c r="Y164" i="3" a="1"/>
  <c r="Y164" i="3"/>
  <c r="Y338" i="3" a="1"/>
  <c r="Y338" i="3"/>
  <c r="Y341" i="3" a="1"/>
  <c r="Y341" i="3"/>
  <c r="W45" i="4" a="1"/>
  <c r="W45" i="4"/>
  <c r="Y101" i="3" a="1"/>
  <c r="Y101" i="3"/>
  <c r="Y50" i="3" a="1"/>
  <c r="Y50" i="3" l="1"/>
  <c r="W55" i="4" a="1"/>
  <c r="W55" i="4"/>
  <c r="Y189" i="3" a="1"/>
  <c r="Y189" i="3" l="1"/>
  <c r="Y254" i="3" a="1"/>
  <c r="Y254" i="3"/>
  <c r="Y16" i="3" a="1"/>
  <c r="Y16" i="3" l="1"/>
  <c r="Y353" i="3" a="1"/>
  <c r="Y353" i="3"/>
  <c r="Y228" i="3" a="1"/>
  <c r="Y228" i="3"/>
  <c r="Y313" i="3" a="1"/>
  <c r="Y313" i="3"/>
  <c r="Y103" i="3" a="1"/>
  <c r="Y103" i="3"/>
  <c r="Y173" i="3" a="1"/>
  <c r="Y173" i="3" l="1"/>
  <c r="Y75" i="3" a="1"/>
  <c r="Y75" i="3"/>
  <c r="Y8" i="3" a="1"/>
  <c r="Y8" i="3"/>
  <c r="Y244" i="3" a="1"/>
  <c r="Y244" i="3"/>
  <c r="Y202" i="3" a="1"/>
  <c r="Y202" i="3"/>
  <c r="W54" i="4" a="1"/>
  <c r="W54" i="4"/>
  <c r="Y122" i="3" a="1"/>
  <c r="Y122" i="3"/>
  <c r="W12" i="4" a="1"/>
  <c r="W12" i="4"/>
  <c r="Y116" i="3" a="1"/>
  <c r="Y116" i="3"/>
  <c r="Y196" i="3" a="1"/>
  <c r="Y196" i="3"/>
  <c r="Y86" i="3" a="1"/>
  <c r="Y86" i="3"/>
  <c r="Y268" i="3" a="1"/>
  <c r="Y268" i="3"/>
  <c r="Y287" i="3" a="1"/>
  <c r="Y287" i="3"/>
  <c r="Y199" i="3" a="1"/>
  <c r="Y199" i="3"/>
  <c r="Y337" i="3" a="1"/>
  <c r="Y337" i="3"/>
  <c r="Y181" i="3" a="1"/>
  <c r="Y181" i="3"/>
  <c r="W38" i="4" a="1"/>
  <c r="W38" i="4" l="1"/>
  <c r="Y243" i="3" a="1"/>
  <c r="Y243" i="3"/>
  <c r="Y147" i="3" a="1"/>
  <c r="Y147" i="3"/>
  <c r="Y294" i="3" a="1"/>
  <c r="Y294" i="3"/>
  <c r="Y332" i="3" a="1"/>
  <c r="Y332" i="3"/>
  <c r="Y113" i="3" a="1"/>
  <c r="Y113" i="3"/>
  <c r="Y141" i="3" a="1"/>
  <c r="Y141" i="3"/>
  <c r="Y219" i="3" a="1"/>
  <c r="Y219" i="3" l="1"/>
  <c r="Y132" i="3" a="1"/>
  <c r="Y132" i="3"/>
  <c r="Y66" i="3" a="1"/>
  <c r="Y66" i="3"/>
  <c r="Y351" i="3" a="1"/>
  <c r="Y351" i="3"/>
  <c r="Y318" i="3" a="1"/>
  <c r="Y318" i="3"/>
  <c r="Y227" i="3" a="1"/>
  <c r="Y227" i="3"/>
  <c r="Y349" i="3" a="1"/>
  <c r="Y349" i="3"/>
  <c r="W3" i="4" a="1"/>
  <c r="W3" i="4"/>
  <c r="Y37" i="3" a="1"/>
  <c r="Y37" i="3"/>
  <c r="Y47" i="3" a="1"/>
  <c r="Y47" i="3"/>
  <c r="Y152" i="3" a="1"/>
  <c r="Y152" i="3" l="1"/>
  <c r="AD3" i="2" a="1"/>
  <c r="AD3" i="2"/>
  <c r="Y316" i="3" a="1"/>
  <c r="Y316" i="3"/>
  <c r="W30" i="4" a="1"/>
  <c r="W30" i="4"/>
  <c r="Y277" i="3" a="1"/>
  <c r="Y277" i="3"/>
  <c r="Y85" i="3" a="1"/>
  <c r="Y85" i="3"/>
  <c r="Y133" i="3" a="1"/>
  <c r="Y133" i="3"/>
  <c r="Y51" i="3" a="1"/>
  <c r="Y51" i="3"/>
  <c r="W57" i="4" a="1"/>
  <c r="W57" i="4"/>
  <c r="Y192" i="3" a="1"/>
  <c r="Y192" i="3" l="1"/>
  <c r="Y352" i="3" a="1"/>
  <c r="Y352" i="3"/>
  <c r="Y252" i="3" a="1"/>
  <c r="Y252" i="3"/>
  <c r="Y15" i="3" a="1"/>
  <c r="Y15" i="3"/>
  <c r="W60" i="4" a="1"/>
  <c r="W60" i="4"/>
  <c r="Y308" i="3" a="1"/>
  <c r="Y308" i="3"/>
  <c r="Y108" i="3" a="1"/>
  <c r="Y108" i="3"/>
  <c r="Y17" i="3" a="1"/>
  <c r="Y17" i="3"/>
  <c r="Y230" i="3" a="1"/>
  <c r="Y230" i="3"/>
  <c r="Y212" i="3" a="1"/>
  <c r="Y212" i="3"/>
  <c r="Y220" i="3" a="1"/>
  <c r="Y220" i="3"/>
  <c r="Y13" i="3" a="1"/>
  <c r="Y13" i="3"/>
  <c r="W11" i="4" a="1"/>
  <c r="W11" i="4" l="1"/>
  <c r="Y216" i="3" a="1"/>
  <c r="Y216" i="3" l="1"/>
  <c r="Y293" i="3" a="1"/>
  <c r="Y293" i="3"/>
  <c r="Y134" i="3" a="1"/>
  <c r="Y134" i="3"/>
  <c r="Y168" i="3" a="1"/>
  <c r="Y168" i="3"/>
  <c r="Y53" i="3" a="1"/>
  <c r="Y53" i="3"/>
  <c r="Y329" i="3" a="1"/>
  <c r="Y329" i="3"/>
  <c r="Y208" i="3" a="1"/>
  <c r="Y208" i="3"/>
  <c r="Y154" i="3" a="1"/>
  <c r="Y154" i="3"/>
  <c r="Y158" i="3" a="1"/>
  <c r="Y158" i="3"/>
  <c r="Y166" i="3" a="1"/>
  <c r="Y166" i="3"/>
  <c r="Y54" i="3" a="1"/>
  <c r="Y54" i="3"/>
  <c r="Y102" i="3" a="1"/>
  <c r="Y102" i="3"/>
  <c r="Y214" i="3" a="1"/>
  <c r="Y214" i="3"/>
  <c r="Y82" i="3" a="1"/>
  <c r="Y82" i="3"/>
  <c r="Y233" i="3" a="1"/>
  <c r="Y233" i="3"/>
  <c r="Y321" i="3" a="1"/>
  <c r="Y321" i="3"/>
  <c r="Y3" i="3" a="1"/>
  <c r="Y3" i="3"/>
  <c r="Y289" i="3" a="1"/>
  <c r="Y289" i="3"/>
  <c r="Y73" i="3" a="1"/>
  <c r="Y73" i="3"/>
  <c r="Y176" i="3" a="1"/>
  <c r="Y176" i="3"/>
  <c r="Y285" i="3" a="1"/>
  <c r="Y285" i="3"/>
  <c r="Y22" i="3" a="1"/>
  <c r="Y22" i="3" l="1"/>
  <c r="Y128" i="3" a="1"/>
  <c r="Y128" i="3"/>
  <c r="Y184" i="3" a="1"/>
  <c r="Y184" i="3"/>
  <c r="W8" i="4" a="1"/>
  <c r="W8" i="4"/>
  <c r="Y327" i="3" a="1"/>
  <c r="Y327" i="3" l="1"/>
  <c r="W41" i="4" a="1"/>
  <c r="W41" i="4" l="1"/>
  <c r="AD71" i="2" a="1"/>
  <c r="AD71" i="2"/>
  <c r="Y237" i="3" l="1" a="1"/>
  <c r="Y237" i="3" l="1"/>
  <c r="Y299" i="3" a="1"/>
  <c r="Y299" i="3"/>
  <c r="Y149" i="3" a="1"/>
  <c r="Y149" i="3"/>
  <c r="Y345" i="3" a="1"/>
  <c r="Y345" i="3"/>
  <c r="Y191" i="3" a="1"/>
  <c r="Y191" i="3"/>
  <c r="Y185" i="3" a="1"/>
  <c r="Y185" i="3"/>
  <c r="Y151" i="3" a="1"/>
  <c r="Y151" i="3"/>
  <c r="Y204" i="3" a="1"/>
  <c r="Y204" i="3"/>
  <c r="Y59" i="3" a="1"/>
  <c r="Y59" i="3"/>
  <c r="Y194" i="3" a="1"/>
  <c r="Y194" i="3"/>
  <c r="Y339" i="3" a="1"/>
  <c r="Y339" i="3"/>
  <c r="Y32" i="3" a="1"/>
  <c r="Y32" i="3"/>
  <c r="AD16" i="2" a="1"/>
  <c r="AD16" i="2"/>
  <c r="Y88" i="3" a="1"/>
  <c r="Y88" i="3"/>
  <c r="W17" i="4" a="1"/>
  <c r="W17" i="4"/>
  <c r="W44" i="4" a="1"/>
  <c r="W44" i="4" l="1"/>
  <c r="Y126" i="3" a="1"/>
  <c r="Y126" i="3"/>
  <c r="Y288" i="3" a="1"/>
  <c r="Y288" i="3"/>
  <c r="Y70" i="3" a="1"/>
  <c r="Y70" i="3"/>
  <c r="W20" i="4" a="1"/>
  <c r="W20" i="4"/>
  <c r="Y291" i="3" a="1"/>
  <c r="Y291" i="3"/>
  <c r="Y148" i="3" a="1"/>
  <c r="Y148" i="3"/>
  <c r="Y137" i="3" a="1"/>
  <c r="Y137" i="3"/>
  <c r="Y24" i="3" a="1"/>
  <c r="Y24" i="3"/>
  <c r="Y260" i="3" a="1"/>
  <c r="Y260" i="3"/>
  <c r="Y232" i="3" a="1"/>
  <c r="Y232" i="3"/>
  <c r="W9" i="4" a="1"/>
  <c r="W9" i="4" l="1"/>
  <c r="Y247" i="3" a="1"/>
  <c r="Y247" i="3" l="1"/>
  <c r="Y261" i="3" a="1"/>
  <c r="Y261" i="3" l="1"/>
  <c r="Y325" i="3" a="1"/>
  <c r="Y325" i="3"/>
  <c r="Y11" i="3" a="1"/>
  <c r="Y11" i="3"/>
  <c r="Y64" i="3" a="1"/>
  <c r="Y64" i="3"/>
  <c r="Y129" i="3" a="1"/>
  <c r="Y129" i="3"/>
  <c r="Y340" i="3" a="1"/>
  <c r="Y340" i="3"/>
  <c r="Y200" i="3" a="1"/>
  <c r="Y200" i="3"/>
  <c r="Y33" i="3" l="1" a="1"/>
  <c r="Y33" i="3"/>
  <c r="Y56" i="3" a="1"/>
  <c r="Y56" i="3"/>
  <c r="Y174" i="3" a="1"/>
  <c r="Y174" i="3"/>
  <c r="Y295" i="3" a="1"/>
  <c r="Y295" i="3"/>
  <c r="Y309" i="3" a="1"/>
  <c r="Y309" i="3"/>
  <c r="Y292" i="3" a="1"/>
  <c r="Y292" i="3"/>
  <c r="AD4" i="2" a="1"/>
  <c r="AD4" i="2"/>
  <c r="Y248" i="3" a="1"/>
  <c r="Y248" i="3"/>
  <c r="Y333" i="3" a="1"/>
  <c r="Y333" i="3"/>
  <c r="Y180" i="3" a="1"/>
  <c r="Y180" i="3"/>
  <c r="Y18" i="3" a="1"/>
  <c r="Y18" i="3"/>
  <c r="W15" i="4" a="1"/>
  <c r="W15" i="4"/>
  <c r="W32" i="4" a="1"/>
  <c r="W32" i="4"/>
  <c r="Y315" i="3" a="1"/>
  <c r="Y315" i="3"/>
  <c r="Y239" i="3" a="1"/>
  <c r="Y239" i="3"/>
  <c r="Y300" i="3" a="1"/>
  <c r="Y300" i="3"/>
  <c r="Y146" i="3" a="1"/>
  <c r="Y146" i="3"/>
  <c r="Y109" i="3" a="1"/>
  <c r="Y109" i="3"/>
  <c r="Y160" i="3" a="1"/>
  <c r="Y160" i="3"/>
  <c r="Y40" i="3" a="1"/>
  <c r="Y40" i="3" l="1"/>
  <c r="Y117" i="3" a="1"/>
  <c r="Y117" i="3"/>
  <c r="Y346" i="3" a="1"/>
  <c r="Y346" i="3"/>
  <c r="Y186" i="3" a="1"/>
  <c r="Y186" i="3" l="1"/>
  <c r="Y279" i="3" a="1"/>
  <c r="Y279" i="3"/>
  <c r="Y302" i="3" a="1"/>
  <c r="Y302" i="3" l="1"/>
  <c r="Y110" i="3" a="1"/>
  <c r="Y110" i="3"/>
  <c r="Y303" i="3" a="1"/>
  <c r="Y303" i="3"/>
  <c r="Y193" i="3" a="1"/>
  <c r="Y193" i="3"/>
  <c r="Y213" i="3" a="1"/>
  <c r="Y213" i="3"/>
  <c r="W19" i="4" a="1"/>
  <c r="W19" i="4" l="1"/>
  <c r="Y304" i="3" a="1"/>
  <c r="Y304" i="3" l="1"/>
  <c r="Y283" i="3" a="1"/>
  <c r="Y283" i="3"/>
  <c r="Y342" i="3" a="1"/>
  <c r="Y342" i="3"/>
  <c r="Y65" i="3" a="1"/>
  <c r="Y65" i="3"/>
  <c r="Y320" i="3" a="1"/>
  <c r="Y320" i="3"/>
  <c r="Y156" i="3" a="1"/>
  <c r="Y156" i="3"/>
  <c r="W22" i="4" a="1"/>
  <c r="W22" i="4"/>
  <c r="Y297" i="3" a="1"/>
  <c r="Y297" i="3"/>
  <c r="Y205" i="3" a="1"/>
  <c r="Y205" i="3"/>
  <c r="W25" i="4" a="1"/>
  <c r="W25" i="4"/>
  <c r="Y23" i="3" a="1"/>
  <c r="Y23" i="3"/>
  <c r="Y38" i="3" a="1"/>
  <c r="Y38" i="3" l="1"/>
  <c r="W34" i="4" a="1"/>
  <c r="W34" i="4"/>
  <c r="Y46" i="3" a="1"/>
  <c r="Y46" i="3"/>
  <c r="Y183" i="3" l="1" a="1"/>
  <c r="Y183" i="3"/>
  <c r="AD9" i="2" a="1"/>
  <c r="AD9" i="2"/>
  <c r="Y290" i="3" a="1"/>
  <c r="Y290" i="3"/>
  <c r="Y231" i="3" a="1"/>
  <c r="Y231" i="3"/>
  <c r="Y106" i="3" a="1"/>
  <c r="Y106" i="3"/>
  <c r="Y131" i="3" a="1"/>
  <c r="Y131" i="3"/>
  <c r="Y125" i="3" a="1"/>
  <c r="Y125" i="3"/>
  <c r="Y81" i="3" a="1"/>
  <c r="Y81" i="3"/>
  <c r="Y270" i="3" a="1"/>
  <c r="Y270" i="3"/>
  <c r="Y120" i="3" a="1"/>
  <c r="Y120" i="3"/>
  <c r="Y206" i="3" a="1"/>
  <c r="Y206" i="3"/>
  <c r="Y142" i="3" a="1"/>
  <c r="Y142" i="3"/>
  <c r="W5" i="4" a="1"/>
  <c r="W5" i="4"/>
  <c r="Y267" i="3" a="1"/>
  <c r="Y267" i="3"/>
  <c r="Y55" i="3" a="1"/>
  <c r="Y55" i="3" l="1"/>
  <c r="Y41" i="3" a="1"/>
  <c r="Y41" i="3"/>
  <c r="Y28" i="3" a="1"/>
  <c r="Y28" i="3"/>
  <c r="W14" i="4" a="1"/>
  <c r="W14" i="4"/>
  <c r="W46" i="4" a="1"/>
  <c r="W46" i="4"/>
  <c r="Y258" i="3" a="1"/>
  <c r="Y258" i="3"/>
  <c r="Y77" i="3" a="1"/>
  <c r="Y77" i="3"/>
  <c r="Y9" i="3" a="1"/>
  <c r="Y9" i="3"/>
  <c r="W33" i="4" a="1"/>
  <c r="W33" i="4"/>
  <c r="Y118" i="3" a="1"/>
  <c r="Y118" i="3"/>
  <c r="Y207" i="3" a="1"/>
  <c r="Y207" i="3"/>
  <c r="Y229" i="3" a="1"/>
  <c r="Y229" i="3"/>
  <c r="Y98" i="3" a="1"/>
  <c r="Y98" i="3"/>
  <c r="W61" i="4" a="1"/>
  <c r="W61" i="4"/>
  <c r="Y159" i="3" a="1"/>
  <c r="Y159" i="3"/>
  <c r="Y263" i="3" a="1"/>
  <c r="Y263" i="3"/>
  <c r="Y105" i="3" a="1"/>
  <c r="Y105" i="3"/>
  <c r="Y169" i="3" a="1"/>
  <c r="Y169" i="3"/>
  <c r="AD22" i="2" a="1"/>
  <c r="AD22" i="2" l="1"/>
  <c r="Y43" i="3" a="1"/>
  <c r="Y43" i="3"/>
  <c r="Y67" i="3" a="1"/>
  <c r="Y67" i="3"/>
  <c r="Y7" i="3" a="1"/>
  <c r="Y7" i="3"/>
  <c r="W43" i="4" a="1"/>
  <c r="W43" i="4"/>
  <c r="Y201" i="3" a="1"/>
  <c r="Y201" i="3"/>
  <c r="Y76" i="3" a="1"/>
  <c r="Y76" i="3"/>
  <c r="Y36" i="3" a="1"/>
  <c r="Y36" i="3" l="1"/>
  <c r="Y251" i="3" a="1"/>
  <c r="Y251" i="3"/>
  <c r="Y225" i="3" a="1"/>
  <c r="Y225" i="3"/>
  <c r="Y31" i="3" a="1"/>
  <c r="Y31" i="3"/>
  <c r="Y175" i="3" a="1"/>
  <c r="Y175" i="3"/>
  <c r="Y157" i="3" a="1"/>
  <c r="Y157" i="3"/>
  <c r="W56" i="4" a="1"/>
  <c r="W56" i="4"/>
  <c r="Y256" i="3" a="1"/>
  <c r="Y256" i="3"/>
  <c r="Y12" i="3" a="1"/>
  <c r="Y12" i="3"/>
  <c r="Y306" i="3" a="1"/>
  <c r="Y306" i="3"/>
  <c r="W47" i="4" a="1"/>
  <c r="W47" i="4"/>
  <c r="Y301" i="3" a="1"/>
  <c r="Y301" i="3"/>
  <c r="Y187" i="3" a="1"/>
  <c r="Y187" i="3"/>
  <c r="Y153" i="3" a="1"/>
  <c r="Y153" i="3"/>
  <c r="Y162" i="3" a="1"/>
  <c r="Y162" i="3"/>
  <c r="Y87" i="3" a="1"/>
  <c r="Y87" i="3"/>
  <c r="Y62" i="3" a="1"/>
  <c r="Y62" i="3"/>
  <c r="Y266" i="3" a="1"/>
  <c r="Y266" i="3"/>
  <c r="Y273" i="3" a="1"/>
  <c r="Y273" i="3" l="1"/>
  <c r="Y324" i="3" a="1"/>
  <c r="Y324" i="3"/>
  <c r="Y145" i="3" a="1"/>
  <c r="Y145" i="3"/>
  <c r="Y167" i="3" a="1"/>
  <c r="Y167" i="3"/>
  <c r="Y135" i="3" a="1"/>
  <c r="Y135" i="3"/>
  <c r="Y48" i="3" a="1"/>
  <c r="Y48" i="3"/>
  <c r="Y91" i="3" a="1"/>
  <c r="Y91" i="3"/>
  <c r="AD17" i="2" a="1"/>
  <c r="AD17" i="2"/>
  <c r="Y234" i="3" a="1"/>
  <c r="Y234" i="3"/>
  <c r="Y49" i="3" a="1"/>
  <c r="Y49" i="3"/>
  <c r="Y71" i="3" a="1"/>
  <c r="Y71" i="3"/>
  <c r="Y328" i="3" a="1"/>
  <c r="Y328" i="3"/>
  <c r="Y42" i="3" a="1"/>
  <c r="Y42" i="3"/>
  <c r="W24" i="4" a="1"/>
  <c r="W24" i="4"/>
  <c r="W53" i="4" a="1"/>
  <c r="W53" i="4"/>
  <c r="Y121" i="3" a="1"/>
  <c r="Y121" i="3"/>
  <c r="Y68" i="3" a="1"/>
  <c r="Y68" i="3"/>
  <c r="Y269" i="3" a="1"/>
  <c r="Y269" i="3"/>
  <c r="Y223" i="3" a="1"/>
  <c r="Y223" i="3"/>
  <c r="Y210" i="3" l="1" a="1"/>
  <c r="Y210" i="3" l="1"/>
  <c r="Y275" i="3" a="1"/>
  <c r="Y275" i="3"/>
  <c r="Y348" i="3" a="1"/>
  <c r="Y348" i="3"/>
  <c r="W37" i="4" a="1"/>
  <c r="W37" i="4"/>
  <c r="Y30" i="3" a="1"/>
  <c r="Y30" i="3"/>
  <c r="Y63" i="3" a="1"/>
  <c r="Y63" i="3" l="1"/>
  <c r="W39" i="4" a="1"/>
  <c r="W39" i="4"/>
  <c r="Y107" i="3" a="1"/>
  <c r="Y107" i="3"/>
  <c r="Y130" i="3" a="1"/>
  <c r="Y130" i="3"/>
  <c r="Y326" i="3" a="1"/>
  <c r="Y326" i="3"/>
  <c r="Y39" i="3" a="1"/>
  <c r="Y39" i="3"/>
  <c r="Y123" i="3" l="1" a="1"/>
  <c r="Y123" i="3" l="1"/>
  <c r="W59" i="4" a="1"/>
  <c r="W59" i="4"/>
  <c r="Y278" i="3" a="1"/>
  <c r="Y278" i="3"/>
  <c r="Y319" i="3" a="1"/>
  <c r="Y319" i="3"/>
  <c r="Y276" i="3" a="1"/>
  <c r="Y276" i="3"/>
  <c r="Y307" i="3" a="1"/>
  <c r="Y307" i="3"/>
  <c r="Y217" i="3" a="1"/>
  <c r="Y217" i="3"/>
  <c r="W4" i="4" a="1"/>
  <c r="W4" i="4"/>
  <c r="Y255" i="3" a="1"/>
  <c r="Y255" i="3"/>
  <c r="Y83" i="3" a="1"/>
  <c r="Y83" i="3" l="1"/>
  <c r="Y44" i="3" a="1"/>
  <c r="Y44" i="3"/>
  <c r="Y331" i="3" a="1"/>
  <c r="Y331" i="3"/>
  <c r="Y74" i="3" a="1"/>
  <c r="Y74" i="3"/>
  <c r="Y93" i="3" a="1"/>
  <c r="Y93" i="3"/>
  <c r="Y140" i="3" a="1"/>
  <c r="Y140" i="3"/>
  <c r="W52" i="4" a="1"/>
  <c r="W52" i="4" l="1"/>
  <c r="Y211" i="3" a="1"/>
  <c r="Y211" i="3"/>
  <c r="Y347" i="3" a="1"/>
  <c r="Y347" i="3"/>
  <c r="Y286" i="3" a="1"/>
  <c r="Y286" i="3"/>
  <c r="Y280" i="3" a="1"/>
  <c r="Y280" i="3"/>
  <c r="Q341" i="3" a="1"/>
  <c r="Q341" i="3"/>
  <c r="Y138" i="3" a="1"/>
  <c r="Y138" i="3"/>
  <c r="Y245" i="3" a="1"/>
  <c r="Y245" i="3"/>
  <c r="Y311" i="3" a="1"/>
  <c r="Y311" i="3"/>
  <c r="W27" i="4" a="1"/>
  <c r="W27" i="4"/>
  <c r="Y119" i="3" a="1"/>
  <c r="Y119" i="3"/>
  <c r="Y170" i="3" a="1"/>
  <c r="Y170" i="3"/>
  <c r="Q88" i="3" a="1"/>
  <c r="Q88" i="3"/>
  <c r="Q67" i="3" a="1"/>
  <c r="Q67" i="3"/>
  <c r="Y92" i="3" a="1"/>
  <c r="Y92" i="3"/>
  <c r="W42" i="4" a="1"/>
  <c r="W42" i="4"/>
  <c r="Y336" i="3" a="1"/>
  <c r="Y336" i="3"/>
  <c r="Y259" i="3" a="1"/>
  <c r="Y259" i="3"/>
  <c r="W23" i="4" a="1"/>
  <c r="W23" i="4" l="1"/>
  <c r="Q325" i="3" a="1"/>
  <c r="Q325" i="3"/>
  <c r="V10" i="2" a="1"/>
  <c r="V10" i="2"/>
  <c r="Q93" i="3" a="1"/>
  <c r="Q93" i="3"/>
  <c r="Q6" i="3" a="1"/>
  <c r="Q6" i="3"/>
  <c r="Q104" i="3" a="1"/>
  <c r="Q104" i="3"/>
  <c r="Q181" i="3" a="1"/>
  <c r="Q181" i="3" l="1"/>
  <c r="O34" i="4" a="1"/>
  <c r="O34" i="4"/>
  <c r="Q208" i="3" a="1"/>
  <c r="Q208" i="3"/>
  <c r="O16" i="4" a="1"/>
  <c r="O16" i="4"/>
  <c r="Q235" i="3" a="1"/>
  <c r="Q235" i="3" l="1"/>
  <c r="Q226" i="3" a="1"/>
  <c r="Q226" i="3"/>
  <c r="Q291" i="3" a="1"/>
  <c r="Q291" i="3"/>
  <c r="O57" i="4" a="1"/>
  <c r="O57" i="4" l="1"/>
  <c r="O26" i="4" a="1"/>
  <c r="O26" i="4" l="1"/>
  <c r="Q197" i="3" a="1"/>
  <c r="Q197" i="3"/>
  <c r="Q31" i="3" a="1"/>
  <c r="Q31" i="3"/>
  <c r="O58" i="4" a="1"/>
  <c r="O58" i="4"/>
  <c r="O54" i="4" a="1"/>
  <c r="O54" i="4" l="1"/>
  <c r="Q255" i="3" a="1"/>
  <c r="Q255" i="3"/>
  <c r="Q263" i="3" a="1"/>
  <c r="Q263" i="3"/>
  <c r="Q174" i="3" a="1"/>
  <c r="Q174" i="3"/>
  <c r="Q188" i="3" a="1"/>
  <c r="Q188" i="3"/>
  <c r="Q81" i="3" a="1"/>
  <c r="Q81" i="3"/>
  <c r="Q164" i="3" a="1"/>
  <c r="Q164" i="3"/>
  <c r="Q123" i="3" a="1"/>
  <c r="Q123" i="3"/>
  <c r="Q111" i="3" a="1"/>
  <c r="Q111" i="3"/>
  <c r="Q333" i="3" a="1"/>
  <c r="Q333" i="3"/>
  <c r="Q180" i="3" a="1"/>
  <c r="Q180" i="3"/>
  <c r="Q216" i="3" a="1"/>
  <c r="Q216" i="3"/>
  <c r="Q59" i="3" a="1"/>
  <c r="Q59" i="3"/>
  <c r="O31" i="4" a="1"/>
  <c r="O31" i="4"/>
  <c r="Q230" i="3" a="1"/>
  <c r="Q230" i="3"/>
  <c r="Q203" i="3" a="1"/>
  <c r="Q203" i="3"/>
  <c r="Q279" i="3" a="1"/>
  <c r="Q279" i="3"/>
  <c r="Q4" i="3" a="1"/>
  <c r="Q4" i="3"/>
  <c r="Q344" i="3" a="1"/>
  <c r="Q344" i="3"/>
  <c r="O7" i="4" a="1"/>
  <c r="O7" i="4"/>
  <c r="Q24" i="3" a="1"/>
  <c r="Q24" i="3"/>
  <c r="Q217" i="3" a="1"/>
  <c r="Q217" i="3"/>
  <c r="Q272" i="3" a="1"/>
  <c r="Q272" i="3"/>
  <c r="Q319" i="3" a="1"/>
  <c r="Q319" i="3"/>
  <c r="Q241" i="3" a="1"/>
  <c r="Q241" i="3"/>
  <c r="Q97" i="3" a="1"/>
  <c r="Q97" i="3"/>
  <c r="Q317" i="3" a="1"/>
  <c r="Q317" i="3"/>
  <c r="Q26" i="3" a="1"/>
  <c r="Q26" i="3" l="1"/>
  <c r="Q215" i="3" a="1"/>
  <c r="Q215" i="3"/>
  <c r="Q313" i="3" a="1"/>
  <c r="Q313" i="3"/>
  <c r="Q168" i="3" a="1"/>
  <c r="Q168" i="3"/>
  <c r="Q99" i="3" a="1"/>
  <c r="Q99" i="3"/>
  <c r="Q55" i="3" a="1"/>
  <c r="Q55" i="3"/>
  <c r="Q321" i="3" a="1"/>
  <c r="Q321" i="3"/>
  <c r="Q331" i="3" a="1"/>
  <c r="Q331" i="3"/>
  <c r="Q154" i="3" a="1"/>
  <c r="Q154" i="3"/>
  <c r="Q264" i="3" a="1"/>
  <c r="Q264" i="3" l="1"/>
  <c r="Q221" i="3" a="1"/>
  <c r="Q221" i="3"/>
  <c r="Q314" i="3" a="1"/>
  <c r="Q314" i="3"/>
  <c r="O48" i="4" a="1"/>
  <c r="O48" i="4" l="1"/>
  <c r="Q112" i="3" a="1"/>
  <c r="Q112" i="3"/>
  <c r="Q40" i="3" a="1"/>
  <c r="Q40" i="3"/>
  <c r="Q265" i="3" a="1"/>
  <c r="Q265" i="3"/>
  <c r="Q76" i="3" a="1"/>
  <c r="Q76" i="3"/>
  <c r="Q85" i="3" a="1"/>
  <c r="Q85" i="3" l="1"/>
  <c r="Q151" i="3" a="1"/>
  <c r="Q151" i="3"/>
  <c r="Q33" i="3" l="1" a="1"/>
  <c r="Q33" i="3"/>
  <c r="Q256" i="3" a="1"/>
  <c r="Q256" i="3"/>
  <c r="Q349" i="3" a="1"/>
  <c r="Q349" i="3"/>
  <c r="Q322" i="3" a="1"/>
  <c r="Q322" i="3"/>
  <c r="O37" i="4" a="1"/>
  <c r="O37" i="4"/>
  <c r="Q184" i="3" a="1"/>
  <c r="Q184" i="3"/>
  <c r="Q223" i="3" a="1"/>
  <c r="Q223" i="3"/>
  <c r="O22" i="4" a="1"/>
  <c r="O22" i="4"/>
  <c r="Q73" i="3" a="1"/>
  <c r="Q73" i="3"/>
  <c r="O12" i="4" a="1"/>
  <c r="O12" i="4"/>
  <c r="Q46" i="3" a="1"/>
  <c r="Q46" i="3"/>
  <c r="Q348" i="3" a="1"/>
  <c r="Q348" i="3"/>
  <c r="Q261" i="3" a="1"/>
  <c r="Q261" i="3"/>
  <c r="Q139" i="3" a="1"/>
  <c r="Q139" i="3"/>
  <c r="Q213" i="3" a="1"/>
  <c r="Q213" i="3"/>
  <c r="O3" i="4" a="1"/>
  <c r="O3" i="4"/>
  <c r="Q286" i="3" a="1"/>
  <c r="Q286" i="3"/>
  <c r="Q278" i="3" a="1"/>
  <c r="Q278" i="3"/>
  <c r="Q290" i="3" a="1"/>
  <c r="Q290" i="3"/>
  <c r="Q156" i="3" a="1"/>
  <c r="Q156" i="3"/>
  <c r="Q27" i="3" a="1"/>
  <c r="Q27" i="3"/>
  <c r="Q54" i="3" a="1"/>
  <c r="Q54" i="3" l="1"/>
  <c r="Q63" i="3" a="1"/>
  <c r="Q63" i="3"/>
  <c r="Q269" i="3" a="1"/>
  <c r="Q269" i="3"/>
  <c r="Q266" i="3" a="1"/>
  <c r="Q266" i="3"/>
  <c r="O5" i="4" a="1"/>
  <c r="O5" i="4"/>
  <c r="O39" i="4" a="1"/>
  <c r="O39" i="4"/>
  <c r="Q205" i="3" a="1"/>
  <c r="Q205" i="3"/>
  <c r="Q146" i="3" a="1"/>
  <c r="Q146" i="3"/>
  <c r="Q306" i="3" a="1"/>
  <c r="Q306" i="3"/>
  <c r="Q114" i="3" a="1"/>
  <c r="Q114" i="3"/>
  <c r="Q103" i="3" a="1"/>
  <c r="Q103" i="3"/>
  <c r="Q353" i="3" a="1"/>
  <c r="Q353" i="3"/>
  <c r="Q162" i="3" a="1"/>
  <c r="Q162" i="3"/>
  <c r="Q53" i="3" a="1"/>
  <c r="Q53" i="3"/>
  <c r="Q293" i="3" a="1"/>
  <c r="Q293" i="3"/>
  <c r="Q315" i="3" a="1"/>
  <c r="Q315" i="3"/>
  <c r="O19" i="4" a="1"/>
  <c r="O19" i="4"/>
  <c r="Q90" i="3" a="1"/>
  <c r="Q90" i="3"/>
  <c r="Q75" i="3" a="1"/>
  <c r="Q75" i="3"/>
  <c r="Q347" i="3" a="1"/>
  <c r="Q347" i="3" l="1"/>
  <c r="Q3" i="3" a="1"/>
  <c r="Q3" i="3"/>
  <c r="Q303" i="3" a="1"/>
  <c r="Q303" i="3"/>
  <c r="Q276" i="3" a="1"/>
  <c r="Q276" i="3"/>
  <c r="O60" i="4" a="1"/>
  <c r="O60" i="4"/>
  <c r="Q135" i="3" a="1"/>
  <c r="Q135" i="3"/>
  <c r="Q161" i="3" a="1"/>
  <c r="Q161" i="3" l="1"/>
  <c r="Q8" i="3" a="1"/>
  <c r="Q8" i="3"/>
  <c r="Q305" i="3" a="1"/>
  <c r="Q305" i="3"/>
  <c r="Q87" i="3" a="1"/>
  <c r="Q87" i="3"/>
  <c r="Q143" i="3" a="1"/>
  <c r="Q143" i="3"/>
  <c r="Q7" i="3" a="1"/>
  <c r="Q7" i="3" l="1"/>
  <c r="Q192" i="3" a="1"/>
  <c r="Q192" i="3"/>
  <c r="Q280" i="3" a="1"/>
  <c r="Q280" i="3"/>
  <c r="O36" i="4" a="1"/>
  <c r="O36" i="4"/>
  <c r="O33" i="4" a="1"/>
  <c r="O33" i="4" l="1"/>
  <c r="O46" i="4" a="1"/>
  <c r="O46" i="4"/>
  <c r="Q258" i="3" a="1"/>
  <c r="Q258" i="3"/>
  <c r="Q159" i="3" a="1"/>
  <c r="Q159" i="3"/>
  <c r="Q204" i="3" a="1"/>
  <c r="Q204" i="3"/>
  <c r="Q157" i="3" a="1"/>
  <c r="Q157" i="3"/>
  <c r="Q110" i="3" a="1"/>
  <c r="Q110" i="3"/>
  <c r="Q51" i="3" a="1"/>
  <c r="Q51" i="3"/>
  <c r="Q202" i="3" a="1"/>
  <c r="Q202" i="3"/>
  <c r="O47" i="4" a="1"/>
  <c r="O47" i="4" l="1"/>
  <c r="V3" i="2" a="1"/>
  <c r="V3" i="2"/>
  <c r="Q316" i="3" a="1"/>
  <c r="Q316" i="3"/>
  <c r="O21" i="4" a="1"/>
  <c r="O21" i="4"/>
  <c r="Q15" i="3" a="1"/>
  <c r="Q15" i="3"/>
  <c r="Q19" i="3" a="1"/>
  <c r="Q19" i="3"/>
  <c r="O43" i="4" a="1"/>
  <c r="O43" i="4"/>
  <c r="Q281" i="3" a="1"/>
  <c r="Q281" i="3"/>
  <c r="Q118" i="3" a="1"/>
  <c r="Q118" i="3"/>
  <c r="Q119" i="3" a="1"/>
  <c r="Q119" i="3"/>
  <c r="Q36" i="3" a="1"/>
  <c r="Q36" i="3"/>
  <c r="Q329" i="3" a="1"/>
  <c r="Q329" i="3"/>
  <c r="Q170" i="3" a="1"/>
  <c r="Q170" i="3"/>
  <c r="Q296" i="3" a="1"/>
  <c r="Q296" i="3"/>
  <c r="Q297" i="3" a="1"/>
  <c r="Q297" i="3"/>
  <c r="Q220" i="3" a="1"/>
  <c r="Q220" i="3"/>
  <c r="Q82" i="3" a="1"/>
  <c r="Q82" i="3" l="1"/>
  <c r="Q42" i="3" a="1"/>
  <c r="Q42" i="3" l="1"/>
  <c r="Q346" i="3" a="1"/>
  <c r="Q346" i="3"/>
  <c r="Q189" i="3" a="1"/>
  <c r="Q189" i="3"/>
  <c r="Q124" i="3" a="1"/>
  <c r="Q124" i="3"/>
  <c r="Q343" i="3" a="1"/>
  <c r="Q343" i="3"/>
  <c r="Q122" i="3" a="1"/>
  <c r="Q122" i="3"/>
  <c r="O17" i="4" a="1"/>
  <c r="O17" i="4"/>
  <c r="O32" i="4" a="1"/>
  <c r="O32" i="4"/>
  <c r="Q312" i="3" a="1"/>
  <c r="Q312" i="3"/>
  <c r="Q311" i="3" a="1"/>
  <c r="Q311" i="3" l="1"/>
  <c r="Q219" i="3" a="1"/>
  <c r="Q219" i="3"/>
  <c r="Q262" i="3" a="1"/>
  <c r="Q262" i="3"/>
  <c r="Q158" i="3" a="1"/>
  <c r="Q158" i="3"/>
  <c r="Q160" i="3" a="1"/>
  <c r="Q160" i="3"/>
  <c r="Q169" i="3" a="1"/>
  <c r="Q169" i="3"/>
  <c r="Q328" i="3" a="1"/>
  <c r="Q328" i="3"/>
  <c r="Q138" i="3" a="1"/>
  <c r="Q138" i="3"/>
  <c r="Q95" i="3" a="1"/>
  <c r="Q95" i="3"/>
  <c r="O38" i="4" a="1"/>
  <c r="O38" i="4"/>
  <c r="Q13" i="3" a="1"/>
  <c r="Q13" i="3"/>
  <c r="Q37" i="3" a="1"/>
  <c r="Q37" i="3"/>
  <c r="O45" i="4" a="1"/>
  <c r="O45" i="4"/>
  <c r="Q23" i="3" a="1"/>
  <c r="Q23" i="3"/>
  <c r="Q237" i="3" a="1"/>
  <c r="Q237" i="3"/>
  <c r="O44" i="4" a="1"/>
  <c r="O44" i="4"/>
  <c r="Q145" i="3" a="1"/>
  <c r="Q145" i="3"/>
  <c r="Q45" i="3" a="1"/>
  <c r="Q45" i="3"/>
  <c r="Q214" i="3" a="1"/>
  <c r="Q214" i="3"/>
  <c r="Q182" i="3" a="1"/>
  <c r="Q182" i="3"/>
  <c r="O18" i="4" a="1"/>
  <c r="O18" i="4"/>
  <c r="Q68" i="3" a="1"/>
  <c r="Q68" i="3"/>
  <c r="O15" i="4" a="1"/>
  <c r="O15" i="4"/>
  <c r="Q78" i="3" a="1"/>
  <c r="Q78" i="3"/>
  <c r="Q284" i="3" a="1"/>
  <c r="Q284" i="3"/>
  <c r="Q295" i="3" a="1"/>
  <c r="Q295" i="3"/>
  <c r="Q49" i="3" a="1"/>
  <c r="Q49" i="3"/>
  <c r="Q12" i="3" a="1"/>
  <c r="Q12" i="3"/>
  <c r="Q96" i="3" a="1"/>
  <c r="Q96" i="3"/>
  <c r="Q34" i="3" a="1"/>
  <c r="Q34" i="3"/>
  <c r="Q105" i="3" a="1"/>
  <c r="Q105" i="3"/>
  <c r="Q130" i="3" a="1"/>
  <c r="Q130" i="3"/>
  <c r="Q48" i="3" a="1"/>
  <c r="Q48" i="3"/>
  <c r="Q43" i="3" a="1"/>
  <c r="Q43" i="3"/>
  <c r="Q30" i="3" a="1"/>
  <c r="Q30" i="3"/>
  <c r="O53" i="4" a="1"/>
  <c r="O53" i="4"/>
  <c r="Q240" i="3" a="1"/>
  <c r="Q240" i="3"/>
  <c r="O41" i="4" a="1"/>
  <c r="O41" i="4"/>
  <c r="Q234" i="3" a="1"/>
  <c r="Q234" i="3"/>
  <c r="Q320" i="3" a="1"/>
  <c r="Q320" i="3"/>
  <c r="Q244" i="3" a="1"/>
  <c r="Q244" i="3"/>
  <c r="Q25" i="3" a="1"/>
  <c r="Q25" i="3"/>
  <c r="Q211" i="3" a="1"/>
  <c r="Q211" i="3"/>
  <c r="Q194" i="3" a="1"/>
  <c r="Q194" i="3"/>
  <c r="Q21" i="3" a="1"/>
  <c r="Q21" i="3"/>
  <c r="Q152" i="3" a="1"/>
  <c r="Q152" i="3"/>
  <c r="Q190" i="3" a="1"/>
  <c r="Q190" i="3"/>
  <c r="Q301" i="3" a="1"/>
  <c r="Q301" i="3"/>
  <c r="Q175" i="3" a="1"/>
  <c r="Q175" i="3"/>
  <c r="Q218" i="3" a="1"/>
  <c r="Q218" i="3"/>
  <c r="Q125" i="3" a="1"/>
  <c r="Q125" i="3"/>
  <c r="O55" i="4" a="1"/>
  <c r="O55" i="4"/>
  <c r="Q167" i="3" a="1"/>
  <c r="Q167" i="3"/>
  <c r="Q245" i="3" a="1"/>
  <c r="Q245" i="3"/>
  <c r="Q128" i="3" a="1"/>
  <c r="Q128" i="3"/>
  <c r="Q294" i="3" a="1"/>
  <c r="Q294" i="3"/>
  <c r="Q345" i="3" a="1"/>
  <c r="Q345" i="3"/>
  <c r="Q92" i="3" a="1"/>
  <c r="Q92" i="3"/>
  <c r="Q324" i="3" a="1"/>
  <c r="Q324" i="3"/>
  <c r="Q108" i="3" a="1"/>
  <c r="Q108" i="3"/>
  <c r="Q196" i="3" a="1"/>
  <c r="Q196" i="3"/>
  <c r="Q274" i="3" a="1"/>
  <c r="Q274" i="3"/>
  <c r="Q183" i="3" a="1"/>
  <c r="Q183" i="3"/>
  <c r="Q57" i="3" a="1"/>
  <c r="Q57" i="3"/>
  <c r="Q58" i="3" a="1"/>
  <c r="Q58" i="3"/>
  <c r="Q16" i="3" a="1"/>
  <c r="Q16" i="3"/>
  <c r="Q83" i="3" a="1"/>
  <c r="Q83" i="3"/>
  <c r="Q233" i="3" a="1"/>
  <c r="Q233" i="3"/>
  <c r="Q148" i="3" a="1"/>
  <c r="Q148" i="3"/>
  <c r="Q206" i="3" a="1"/>
  <c r="Q206" i="3"/>
  <c r="Q335" i="3" a="1"/>
  <c r="Q335" i="3"/>
  <c r="Q304" i="3" a="1"/>
  <c r="Q304" i="3"/>
  <c r="Q242" i="3" a="1"/>
  <c r="Q242" i="3"/>
  <c r="Q127" i="3" a="1"/>
  <c r="Q127" i="3"/>
  <c r="Q195" i="3" a="1"/>
  <c r="Q195" i="3"/>
  <c r="Q9" i="3" a="1"/>
  <c r="Q9" i="3"/>
  <c r="Q86" i="3" a="1"/>
  <c r="Q86" i="3"/>
  <c r="Q212" i="3" a="1"/>
  <c r="Q212" i="3"/>
  <c r="Q166" i="3" a="1"/>
  <c r="Q166" i="3"/>
  <c r="O35" i="4" a="1"/>
  <c r="O35" i="4"/>
  <c r="Q251" i="3" a="1"/>
  <c r="Q251" i="3"/>
  <c r="Q308" i="3" a="1"/>
  <c r="Q308" i="3"/>
  <c r="O13" i="4" a="1"/>
  <c r="O13" i="4"/>
  <c r="Q340" i="3" a="1"/>
  <c r="Q340" i="3"/>
  <c r="Q198" i="3" a="1"/>
  <c r="Q198" i="3"/>
  <c r="Q268" i="3" a="1"/>
  <c r="Q268" i="3"/>
  <c r="Q238" i="3" a="1"/>
  <c r="Q238" i="3"/>
  <c r="Q287" i="3" a="1"/>
  <c r="Q287" i="3"/>
  <c r="Q342" i="3" a="1"/>
  <c r="Q342" i="3"/>
  <c r="Q270" i="3" a="1"/>
  <c r="Q270" i="3"/>
  <c r="O27" i="4" a="1"/>
  <c r="O27" i="4"/>
  <c r="Q80" i="3" a="1"/>
  <c r="Q80" i="3"/>
  <c r="O20" i="4" a="1"/>
  <c r="O20" i="4"/>
  <c r="Q140" i="3" a="1"/>
  <c r="Q140" i="3"/>
  <c r="Q102" i="3" a="1"/>
  <c r="Q102" i="3"/>
  <c r="Q277" i="3" a="1"/>
  <c r="Q277" i="3"/>
  <c r="Q207" i="3" a="1"/>
  <c r="Q207" i="3"/>
  <c r="O9" i="4" a="1"/>
  <c r="O9" i="4"/>
  <c r="Q260" i="3" a="1"/>
  <c r="Q260" i="3"/>
  <c r="Q71" i="3" a="1"/>
  <c r="Q71" i="3"/>
  <c r="Q65" i="3" a="1"/>
  <c r="Q65" i="3"/>
  <c r="O28" i="4" a="1"/>
  <c r="O28" i="4"/>
  <c r="Q185" i="3" a="1"/>
  <c r="Q185" i="3"/>
  <c r="Q243" i="3" a="1"/>
  <c r="Q243" i="3"/>
  <c r="Q17" i="3" a="1"/>
  <c r="Q17" i="3"/>
  <c r="Q10" i="3" a="1"/>
  <c r="Q10" i="3"/>
  <c r="Q231" i="3" a="1"/>
  <c r="Q231" i="3"/>
  <c r="Q106" i="3" a="1"/>
  <c r="Q106" i="3"/>
  <c r="O42" i="4" a="1"/>
  <c r="O42" i="4"/>
  <c r="O23" i="4" a="1"/>
  <c r="O23" i="4"/>
  <c r="Q113" i="3" a="1"/>
  <c r="Q113" i="3"/>
  <c r="Q52" i="3" a="1"/>
  <c r="Q52" i="3"/>
  <c r="O24" i="4" a="1"/>
  <c r="O24" i="4"/>
  <c r="Q163" i="3" a="1"/>
  <c r="Q163" i="3"/>
  <c r="Q247" i="3" a="1"/>
  <c r="Q247" i="3"/>
  <c r="Q332" i="3" a="1"/>
  <c r="Q332" i="3"/>
  <c r="O25" i="4" a="1"/>
  <c r="O25" i="4"/>
  <c r="Q79" i="3" a="1"/>
  <c r="Q79" i="3"/>
  <c r="Q62" i="3" a="1"/>
  <c r="Q62" i="3"/>
  <c r="Q275" i="3" a="1"/>
  <c r="Q275" i="3"/>
  <c r="Q50" i="3" a="1"/>
  <c r="Q50" i="3"/>
  <c r="Q309" i="3" a="1"/>
  <c r="Q309" i="3"/>
  <c r="Q193" i="3" a="1"/>
  <c r="Q193" i="3"/>
  <c r="Q254" i="3" a="1"/>
  <c r="Q254" i="3"/>
  <c r="Q69" i="3" a="1"/>
  <c r="Q69" i="3"/>
  <c r="Q20" i="3" a="1"/>
  <c r="Q20" i="3"/>
  <c r="Q350" i="3" a="1"/>
  <c r="Q350" i="3"/>
  <c r="Q94" i="3" a="1"/>
  <c r="Q94" i="3"/>
  <c r="Q323" i="3" a="1"/>
  <c r="Q323" i="3"/>
  <c r="Q337" i="3" a="1"/>
  <c r="Q337" i="3"/>
  <c r="Q142" i="3" a="1"/>
  <c r="Q142" i="3"/>
  <c r="Q210" i="3" a="1"/>
  <c r="Q210" i="3"/>
  <c r="Q246" i="3" a="1"/>
  <c r="Q246" i="3"/>
  <c r="Q41" i="3" a="1"/>
  <c r="Q41" i="3"/>
  <c r="Q259" i="3" a="1"/>
  <c r="Q259" i="3"/>
  <c r="Q89" i="3" a="1"/>
  <c r="Q89" i="3"/>
  <c r="Q18" i="3" a="1"/>
  <c r="Q18" i="3"/>
  <c r="Q144" i="3" a="1"/>
  <c r="Q144" i="3"/>
  <c r="Q22" i="3" a="1"/>
  <c r="Q22" i="3"/>
  <c r="O11" i="4" a="1"/>
  <c r="O11" i="4"/>
  <c r="Q39" i="3" a="1"/>
  <c r="Q39" i="3"/>
  <c r="Q126" i="3" a="1"/>
  <c r="Q126" i="3"/>
  <c r="O29" i="4" a="1"/>
  <c r="O29" i="4"/>
  <c r="Q351" i="3" a="1"/>
  <c r="Q351" i="3"/>
  <c r="Q249" i="3" a="1"/>
  <c r="Q249" i="3"/>
  <c r="Q273" i="3" a="1"/>
  <c r="Q273" i="3"/>
  <c r="O56" i="4" a="1"/>
  <c r="O56" i="4"/>
  <c r="Q285" i="3" a="1"/>
  <c r="Q285" i="3"/>
  <c r="Q283" i="3" a="1"/>
  <c r="Q283" i="3"/>
  <c r="Q14" i="3" a="1"/>
  <c r="Q14" i="3"/>
  <c r="O14" i="4" a="1"/>
  <c r="O14" i="4"/>
  <c r="O4" i="4" a="1"/>
  <c r="O4" i="4"/>
  <c r="Q29" i="3" a="1"/>
  <c r="Q29" i="3"/>
  <c r="Q134" i="3" a="1"/>
  <c r="Q134" i="3"/>
  <c r="Q38" i="3" a="1"/>
  <c r="Q38" i="3"/>
  <c r="Q289" i="3" a="1"/>
  <c r="Q289" i="3"/>
  <c r="Q137" i="3" a="1"/>
  <c r="Q137" i="3"/>
  <c r="Q44" i="3" a="1"/>
  <c r="Q44" i="3"/>
  <c r="Q131" i="3" a="1"/>
  <c r="Q131" i="3"/>
  <c r="Q336" i="3" a="1"/>
  <c r="Q336" i="3"/>
  <c r="V2" i="2" a="1"/>
  <c r="V2" i="2"/>
  <c r="O2" i="4" a="1"/>
  <c r="O2" i="4"/>
  <c r="Q2" i="3" a="1"/>
  <c r="Q2" i="3"/>
  <c r="Q298" i="3" a="1"/>
  <c r="Q298" i="3"/>
  <c r="Q121" i="3" a="1"/>
  <c r="Q121" i="3"/>
  <c r="Q252" i="3" a="1"/>
  <c r="Q252" i="3"/>
  <c r="Q116" i="3" a="1"/>
  <c r="Q116" i="3"/>
  <c r="Q11" i="3" a="1"/>
  <c r="Q11" i="3"/>
  <c r="Q250" i="3" a="1"/>
  <c r="Q250" i="3"/>
  <c r="O30" i="4" a="1"/>
  <c r="O30" i="4"/>
  <c r="Q35" i="3" a="1"/>
  <c r="Q35" i="3"/>
  <c r="Q338" i="3" a="1"/>
  <c r="Q338" i="3"/>
  <c r="Q172" i="3" a="1"/>
  <c r="Q172" i="3"/>
  <c r="Q72" i="3" a="1"/>
  <c r="Q72" i="3"/>
  <c r="Q299" i="3" a="1"/>
  <c r="Q299" i="3"/>
  <c r="Q307" i="3" a="1"/>
  <c r="Q307" i="3"/>
  <c r="Q133" i="3" a="1"/>
  <c r="Q133" i="3"/>
  <c r="Q171" i="3" a="1"/>
  <c r="Q171" i="3"/>
  <c r="Q109" i="3" a="1"/>
  <c r="Q109" i="3"/>
  <c r="Q77" i="3" a="1"/>
  <c r="Q77" i="3"/>
  <c r="Q120" i="3" a="1"/>
  <c r="Q120" i="3"/>
  <c r="Q326" i="3" a="1"/>
  <c r="Q326" i="3"/>
  <c r="Q310" i="3" a="1"/>
  <c r="Q310" i="3"/>
  <c r="Q178" i="3" a="1"/>
  <c r="Q178" i="3"/>
  <c r="Q74" i="3" a="1"/>
  <c r="Q74" i="3"/>
  <c r="Q302" i="3" a="1"/>
  <c r="Q302" i="3"/>
  <c r="Q271" i="3" a="1"/>
  <c r="Q271" i="3"/>
  <c r="Q222" i="3" a="1"/>
  <c r="Q222" i="3"/>
  <c r="O40" i="4" a="1"/>
  <c r="O40" i="4"/>
  <c r="Q91" i="3" a="1"/>
  <c r="Q91" i="3"/>
  <c r="Q28" i="3" a="1"/>
  <c r="Q28" i="3"/>
  <c r="Q330" i="3" a="1"/>
  <c r="Q330" i="3"/>
  <c r="Q147" i="3" a="1"/>
  <c r="Q147" i="3"/>
  <c r="Q201" i="3" a="1"/>
  <c r="Q201" i="3"/>
  <c r="Q70" i="3" a="1"/>
  <c r="Q70" i="3"/>
  <c r="Q352" i="3" a="1"/>
  <c r="Q352" i="3"/>
  <c r="Q64" i="3" a="1"/>
  <c r="Q64" i="3"/>
  <c r="Q177" i="3" a="1"/>
  <c r="Q177" i="3"/>
  <c r="Q153" i="3" a="1"/>
  <c r="Q153" i="3"/>
  <c r="Q173" i="3" a="1"/>
  <c r="Q173" i="3"/>
  <c r="Q288" i="3" a="1"/>
  <c r="Q288" i="3"/>
  <c r="Q141" i="3" a="1"/>
  <c r="Q141" i="3"/>
  <c r="Q47" i="3" a="1"/>
  <c r="Q47" i="3"/>
  <c r="Q225" i="3" a="1"/>
  <c r="Q225" i="3"/>
  <c r="Q5" i="3" a="1"/>
  <c r="Q5" i="3"/>
  <c r="Q200" i="3" a="1"/>
  <c r="Q200" i="3"/>
  <c r="Q339" i="3" a="1"/>
  <c r="Q339" i="3"/>
  <c r="Q334" i="3" a="1"/>
  <c r="Q334" i="3"/>
  <c r="O52" i="4" a="1"/>
  <c r="O52" i="4"/>
  <c r="Q179" i="3" a="1"/>
  <c r="Q179" i="3"/>
  <c r="Q300" i="3" a="1"/>
  <c r="Q300" i="3"/>
  <c r="Q129" i="3" a="1"/>
  <c r="Q129" i="3"/>
  <c r="Q84" i="3" a="1"/>
  <c r="Q84" i="3"/>
  <c r="Q61" i="3" a="1"/>
  <c r="Q61" i="3"/>
  <c r="Q98" i="3" a="1"/>
  <c r="Q98" i="3"/>
  <c r="Q318" i="3" a="1"/>
  <c r="Q318" i="3"/>
  <c r="Q292" i="3" a="1"/>
  <c r="Q292" i="3"/>
  <c r="Q253" i="3" a="1"/>
  <c r="Q253" i="3"/>
  <c r="Q224" i="3" a="1"/>
  <c r="Q224" i="3"/>
  <c r="Q228" i="3" a="1"/>
  <c r="Q228" i="3"/>
  <c r="Q136" i="3" a="1"/>
  <c r="Q136" i="3"/>
  <c r="Q327" i="3" a="1"/>
  <c r="Q327" i="3"/>
  <c r="Q32" i="3" a="1"/>
  <c r="Q32" i="3"/>
  <c r="Q56" i="3" a="1"/>
  <c r="Q56" i="3"/>
  <c r="Q60" i="3" a="1"/>
  <c r="Q60" i="3"/>
  <c r="Q66" i="3" a="1"/>
  <c r="Q66" i="3"/>
  <c r="Q132" i="3" a="1"/>
  <c r="Q132" i="3"/>
  <c r="Q155" i="3" a="1"/>
  <c r="Q155" i="3"/>
  <c r="O59" i="4" a="1"/>
  <c r="O59" i="4"/>
  <c r="V4" i="2" a="1"/>
  <c r="V4" i="2"/>
  <c r="Q248" i="3" a="1"/>
  <c r="Q248" i="3"/>
  <c r="Q150" i="3" a="1"/>
  <c r="Q150" i="3"/>
  <c r="Q267" i="3" a="1"/>
  <c r="Q267" i="3"/>
  <c r="Q227" i="3" a="1"/>
  <c r="Q227" i="3"/>
  <c r="Q176" i="3" a="1"/>
  <c r="Q176" i="3"/>
  <c r="Q229" i="3" a="1"/>
  <c r="Q229" i="3"/>
  <c r="Q115" i="3" a="1"/>
  <c r="Q115" i="3"/>
  <c r="Q117" i="3" a="1"/>
  <c r="Q117" i="3"/>
  <c r="Q107" i="3" a="1"/>
  <c r="Q107" i="3"/>
  <c r="Q100" i="3" a="1"/>
  <c r="Q100" i="3"/>
  <c r="O61" i="4" a="1"/>
  <c r="O61" i="4"/>
  <c r="Q101" i="3" a="1"/>
  <c r="Q101" i="3"/>
  <c r="O8" i="4" a="1"/>
  <c r="O8" i="4"/>
  <c r="Q165" i="3" a="1"/>
  <c r="Q165" i="3"/>
  <c r="O10" i="4" a="1"/>
  <c r="O10" i="4"/>
  <c r="Q186" i="3" a="1"/>
  <c r="Q186" i="3"/>
  <c r="O46" i="3" a="1"/>
  <c r="O46" i="3"/>
  <c r="Q191" i="3" a="1"/>
  <c r="Q191" i="3"/>
  <c r="Q187" i="3" a="1"/>
  <c r="Q187" i="3"/>
  <c r="Q239" i="3" a="1"/>
  <c r="Q239" i="3"/>
  <c r="Q236" i="3" a="1"/>
  <c r="Q236" i="3"/>
  <c r="O231" i="3" a="1"/>
  <c r="O231" i="3"/>
  <c r="O24" i="3" a="1"/>
  <c r="O24" i="3"/>
  <c r="Q199" i="3" a="1"/>
  <c r="Q199" i="3"/>
  <c r="O216" i="3" a="1"/>
  <c r="O216" i="3"/>
  <c r="O250" i="3" a="1"/>
  <c r="O250" i="3"/>
  <c r="O15" i="3" a="1"/>
  <c r="O15" i="3"/>
  <c r="O110" i="3" a="1"/>
  <c r="O110" i="3"/>
  <c r="Q149" i="3" a="1"/>
  <c r="Q149" i="3"/>
  <c r="Q232" i="3" a="1"/>
  <c r="Q232" i="3"/>
  <c r="O329" i="3" a="1"/>
  <c r="O329" i="3"/>
  <c r="Q257" i="3" a="1"/>
  <c r="Q257" i="3"/>
  <c r="Q209" i="3" a="1"/>
  <c r="Q209" i="3"/>
  <c r="O145" i="3" a="1"/>
  <c r="O145" i="3"/>
  <c r="O59" i="3" a="1"/>
  <c r="O59" i="3"/>
  <c r="M42" i="4" a="1"/>
  <c r="M42" i="4"/>
  <c r="Q282" i="3" a="1"/>
  <c r="Q282" i="3"/>
  <c r="O127" i="3" a="1"/>
  <c r="O127" i="3"/>
  <c r="O349" i="3" a="1"/>
  <c r="O349" i="3"/>
  <c r="O33" i="3" a="1"/>
  <c r="O33" i="3"/>
  <c r="O111" i="3" a="1"/>
  <c r="O111" i="3"/>
  <c r="O308" i="3" a="1"/>
  <c r="O308" i="3"/>
  <c r="O174" i="3" a="1"/>
  <c r="O174" i="3"/>
  <c r="O22" i="3" a="1"/>
  <c r="O22" i="3"/>
  <c r="O222" i="3" a="1"/>
  <c r="O222" i="3"/>
  <c r="O304" i="3" a="1"/>
  <c r="O304" i="3"/>
  <c r="O182" i="3" a="1"/>
  <c r="O182" i="3"/>
  <c r="O293" i="3" a="1"/>
  <c r="O293" i="3"/>
  <c r="O245" i="3" a="1"/>
  <c r="O245" i="3"/>
  <c r="M16" i="4" a="1"/>
  <c r="M16" i="4"/>
  <c r="O338" i="3" a="1"/>
  <c r="O338" i="3"/>
  <c r="O152" i="3" a="1"/>
  <c r="O152" i="3"/>
  <c r="O34" i="3" a="1"/>
  <c r="O34" i="3"/>
  <c r="O81" i="3" a="1"/>
  <c r="O81" i="3"/>
  <c r="O147" i="3" a="1"/>
  <c r="O147" i="3"/>
  <c r="O225" i="3" a="1"/>
  <c r="O225" i="3"/>
  <c r="T2" i="2" a="1"/>
  <c r="T2" i="2"/>
  <c r="M2" i="4" a="1"/>
  <c r="M2" i="4"/>
  <c r="O2" i="3" a="1"/>
  <c r="O2" i="3"/>
  <c r="O229" i="3" a="1"/>
  <c r="O229" i="3"/>
  <c r="M36" i="4" a="1"/>
  <c r="M36" i="4"/>
  <c r="O291" i="3" a="1"/>
  <c r="O291" i="3"/>
  <c r="O181" i="3" a="1"/>
  <c r="O181" i="3"/>
  <c r="O45" i="3" a="1"/>
  <c r="O45" i="3"/>
  <c r="O307" i="3" a="1"/>
  <c r="O307" i="3"/>
  <c r="O204" i="3" a="1"/>
  <c r="O204" i="3"/>
  <c r="O142" i="3" a="1"/>
  <c r="O142" i="3"/>
  <c r="O100" i="3" a="1"/>
  <c r="O100" i="3"/>
  <c r="O261" i="3" a="1"/>
  <c r="O261" i="3"/>
  <c r="O352" i="3" a="1"/>
  <c r="O352" i="3"/>
  <c r="O128" i="3" a="1"/>
  <c r="O128" i="3"/>
  <c r="O42" i="3" a="1"/>
  <c r="O42" i="3"/>
  <c r="O203" i="3" a="1"/>
  <c r="O203" i="3"/>
  <c r="O269" i="3" a="1"/>
  <c r="O269" i="3"/>
  <c r="O273" i="3" a="1"/>
  <c r="O273" i="3"/>
  <c r="O146" i="3" a="1"/>
  <c r="O146" i="3"/>
  <c r="O262" i="3" a="1"/>
  <c r="O262" i="3"/>
  <c r="O283" i="3" a="1"/>
  <c r="O283" i="3"/>
  <c r="O259" i="3" a="1"/>
  <c r="O259" i="3"/>
  <c r="O65" i="3" a="1"/>
  <c r="O65" i="3"/>
  <c r="O39" i="3" a="1"/>
  <c r="O39" i="3"/>
  <c r="O163" i="3" a="1"/>
  <c r="O163" i="3"/>
  <c r="O254" i="3" a="1"/>
  <c r="O254" i="3"/>
  <c r="O95" i="3" a="1"/>
  <c r="O95" i="3"/>
  <c r="O112" i="3" a="1"/>
  <c r="O112" i="3"/>
  <c r="O317" i="3" a="1"/>
  <c r="O317" i="3"/>
  <c r="O185" i="3" a="1"/>
  <c r="O185" i="3"/>
  <c r="O36" i="3" a="1"/>
  <c r="O36" i="3"/>
  <c r="O140" i="3" a="1"/>
  <c r="O140" i="3"/>
  <c r="O132" i="3" a="1"/>
  <c r="O132" i="3"/>
  <c r="O239" i="3" a="1"/>
  <c r="O239" i="3"/>
  <c r="O265" i="3" a="1"/>
  <c r="O265" i="3"/>
  <c r="O6" i="3" a="1"/>
  <c r="O6" i="3"/>
  <c r="O178" i="3" a="1"/>
  <c r="O178" i="3"/>
  <c r="O214" i="3" a="1"/>
  <c r="O214" i="3"/>
  <c r="O27" i="3" a="1"/>
  <c r="O27" i="3"/>
  <c r="M38" i="4" a="1"/>
  <c r="M38" i="4"/>
  <c r="O116" i="3" a="1"/>
  <c r="O116" i="3"/>
  <c r="M5" i="4" a="1"/>
  <c r="M5" i="4"/>
  <c r="O106" i="3" a="1"/>
  <c r="O106" i="3"/>
  <c r="M58" i="4" a="1"/>
  <c r="M58" i="4"/>
  <c r="O76" i="3" a="1"/>
  <c r="O76" i="3"/>
  <c r="O129" i="3" a="1"/>
  <c r="O129" i="3"/>
  <c r="M34" i="4" a="1"/>
  <c r="M34" i="4"/>
  <c r="O94" i="3" a="1"/>
  <c r="O94" i="3"/>
  <c r="O171" i="3" a="1"/>
  <c r="O171" i="3"/>
  <c r="O44" i="3" a="1"/>
  <c r="O44" i="3"/>
  <c r="O101" i="3" a="1"/>
  <c r="O101" i="3"/>
  <c r="O166" i="3" a="1"/>
  <c r="O166" i="3"/>
  <c r="O328" i="3" a="1"/>
  <c r="O328" i="3"/>
  <c r="O324" i="3" a="1"/>
  <c r="O324" i="3"/>
  <c r="O74" i="3" a="1"/>
  <c r="O74" i="3"/>
  <c r="O125" i="3" a="1"/>
  <c r="O125" i="3"/>
  <c r="O302" i="3" a="1"/>
  <c r="O302" i="3"/>
  <c r="O40" i="3" a="1"/>
  <c r="O40" i="3"/>
  <c r="O159" i="3" a="1"/>
  <c r="O159" i="3"/>
  <c r="O224" i="3" a="1"/>
  <c r="O224" i="3"/>
  <c r="O236" i="3" a="1"/>
  <c r="O236" i="3"/>
  <c r="O144" i="3" a="1"/>
  <c r="O144" i="3"/>
  <c r="M37" i="4" a="1"/>
  <c r="M37" i="4"/>
  <c r="O327" i="3" a="1"/>
  <c r="O327" i="3"/>
  <c r="O300" i="3" a="1"/>
  <c r="O300" i="3"/>
  <c r="O105" i="3" a="1"/>
  <c r="O105" i="3"/>
  <c r="O57" i="3" a="1"/>
  <c r="O57" i="3"/>
  <c r="O123" i="3" a="1"/>
  <c r="O123" i="3"/>
  <c r="O346" i="3" a="1"/>
  <c r="O346" i="3"/>
  <c r="O66" i="3" a="1"/>
  <c r="O66" i="3"/>
  <c r="O234" i="3" a="1"/>
  <c r="O234" i="3"/>
  <c r="O86" i="3" a="1"/>
  <c r="O86" i="3"/>
  <c r="M39" i="4" a="1"/>
  <c r="M39" i="4"/>
  <c r="O190" i="3" a="1"/>
  <c r="O190" i="3"/>
  <c r="O14" i="3" a="1"/>
  <c r="O14" i="3"/>
  <c r="O43" i="3" a="1"/>
  <c r="O43" i="3"/>
  <c r="O253" i="3" a="1"/>
  <c r="O253" i="3"/>
  <c r="O189" i="3" a="1"/>
  <c r="O189" i="3"/>
  <c r="O321" i="3" a="1"/>
  <c r="O321" i="3"/>
  <c r="O281" i="3" a="1"/>
  <c r="O281" i="3"/>
  <c r="O28" i="3" a="1"/>
  <c r="O28" i="3"/>
  <c r="M56" i="4" a="1"/>
  <c r="M56" i="4"/>
  <c r="O103" i="3" a="1"/>
  <c r="O103" i="3"/>
  <c r="O249" i="3" a="1"/>
  <c r="O249" i="3"/>
  <c r="O73" i="3" a="1"/>
  <c r="O73" i="3"/>
  <c r="O134" i="3" a="1"/>
  <c r="O134" i="3"/>
  <c r="O177" i="3" a="1"/>
  <c r="O177" i="3"/>
  <c r="O164" i="3" a="1"/>
  <c r="O164" i="3"/>
  <c r="O47" i="3" a="1"/>
  <c r="O47" i="3"/>
  <c r="O51" i="3" a="1"/>
  <c r="O51" i="3"/>
  <c r="M46" i="4" a="1"/>
  <c r="M46" i="4"/>
  <c r="O258" i="3" a="1"/>
  <c r="O258" i="3"/>
  <c r="O267" i="3" a="1"/>
  <c r="O267" i="3"/>
  <c r="O213" i="3" a="1"/>
  <c r="O213" i="3"/>
  <c r="O126" i="3" a="1"/>
  <c r="O126" i="3"/>
  <c r="O230" i="3" a="1"/>
  <c r="O230" i="3"/>
  <c r="O62" i="3" a="1"/>
  <c r="O62" i="3"/>
  <c r="O196" i="3" a="1"/>
  <c r="O196" i="3"/>
  <c r="O274" i="3" a="1"/>
  <c r="O274" i="3"/>
  <c r="O219" i="3" a="1"/>
  <c r="O219" i="3"/>
  <c r="O206" i="3" a="1"/>
  <c r="O206" i="3"/>
  <c r="O223" i="3" a="1"/>
  <c r="O223" i="3"/>
  <c r="O25" i="3" a="1"/>
  <c r="O25" i="3"/>
  <c r="O173" i="3" a="1"/>
  <c r="O173" i="3"/>
  <c r="O7" i="3" a="1"/>
  <c r="O7" i="3"/>
  <c r="O246" i="3" a="1"/>
  <c r="O246" i="3"/>
  <c r="M48" i="4" a="1"/>
  <c r="M48" i="4"/>
  <c r="O279" i="3" a="1"/>
  <c r="O279" i="3"/>
  <c r="O109" i="3" a="1"/>
  <c r="O109" i="3"/>
  <c r="O227" i="3" a="1"/>
  <c r="O227" i="3"/>
  <c r="O121" i="3" a="1"/>
  <c r="O121" i="3"/>
  <c r="O68" i="3" a="1"/>
  <c r="O68" i="3"/>
  <c r="O263" i="3" a="1"/>
  <c r="O263" i="3"/>
  <c r="O20" i="3" a="1"/>
  <c r="O20" i="3"/>
  <c r="O96" i="3" a="1"/>
  <c r="O96" i="3"/>
  <c r="O199" i="3" a="1"/>
  <c r="O199" i="3"/>
  <c r="M27" i="4" a="1"/>
  <c r="M27" i="4"/>
  <c r="O271" i="3" a="1"/>
  <c r="O271" i="3"/>
  <c r="O256" i="3" a="1"/>
  <c r="O256" i="3"/>
  <c r="O276" i="3" a="1"/>
  <c r="O276" i="3"/>
  <c r="O353" i="3" a="1"/>
  <c r="O353" i="3"/>
  <c r="O215" i="3" a="1"/>
  <c r="O215" i="3"/>
  <c r="O301" i="3" a="1"/>
  <c r="O301" i="3"/>
  <c r="O54" i="3" a="1"/>
  <c r="O54" i="3"/>
  <c r="O318" i="3" a="1"/>
  <c r="O318" i="3"/>
  <c r="O35" i="3" a="1"/>
  <c r="O35" i="3"/>
  <c r="O314" i="3" a="1"/>
  <c r="O314" i="3"/>
  <c r="O117" i="3" a="1"/>
  <c r="O117" i="3"/>
  <c r="O311" i="3" a="1"/>
  <c r="O311" i="3"/>
  <c r="O292" i="3" a="1"/>
  <c r="O292" i="3"/>
  <c r="O136" i="3" a="1"/>
  <c r="O136" i="3"/>
  <c r="O90" i="3" a="1"/>
  <c r="O90" i="3"/>
  <c r="O325" i="3" a="1"/>
  <c r="O325" i="3"/>
  <c r="O19" i="3" a="1"/>
  <c r="O19" i="3"/>
  <c r="O113" i="3" a="1"/>
  <c r="O113" i="3"/>
  <c r="O55" i="3" a="1"/>
  <c r="O55" i="3"/>
  <c r="O157" i="3" a="1"/>
  <c r="O157" i="3"/>
  <c r="O4" i="3" a="1"/>
  <c r="O4" i="3"/>
  <c r="O93" i="3" a="1"/>
  <c r="O93" i="3"/>
  <c r="O280" i="3" a="1"/>
  <c r="O280" i="3"/>
  <c r="M21" i="4" a="1"/>
  <c r="M21" i="4"/>
  <c r="M44" i="4" a="1"/>
  <c r="M44" i="4"/>
  <c r="O31" i="3" a="1"/>
  <c r="O31" i="3"/>
  <c r="O209" i="3" a="1"/>
  <c r="O209" i="3"/>
  <c r="O67" i="3" a="1"/>
  <c r="O67" i="3"/>
  <c r="T3" i="2" a="1"/>
  <c r="T3" i="2"/>
  <c r="O316" i="3" a="1"/>
  <c r="O316" i="3"/>
  <c r="M47" i="4" a="1"/>
  <c r="M47" i="4"/>
  <c r="M3" i="4" a="1"/>
  <c r="M3" i="4"/>
  <c r="O158" i="3" a="1"/>
  <c r="O158" i="3"/>
  <c r="O289" i="3" a="1"/>
  <c r="O289" i="3"/>
  <c r="O201" i="3" a="1"/>
  <c r="O201" i="3"/>
  <c r="O153" i="3" a="1"/>
  <c r="O153" i="3"/>
  <c r="M26" i="4" a="1"/>
  <c r="M26" i="4"/>
  <c r="O197" i="3" a="1"/>
  <c r="O197" i="3"/>
  <c r="O161" i="3" a="1"/>
  <c r="O161" i="3"/>
  <c r="M17" i="4" a="1"/>
  <c r="M17" i="4"/>
  <c r="O233" i="3" a="1"/>
  <c r="O233" i="3"/>
  <c r="O188" i="3" a="1"/>
  <c r="O188" i="3"/>
  <c r="O82" i="3" a="1"/>
  <c r="O82" i="3"/>
  <c r="O264" i="3" a="1"/>
  <c r="O264" i="3"/>
  <c r="M35" i="4" a="1"/>
  <c r="M35" i="4"/>
  <c r="O156" i="3" a="1"/>
  <c r="O156" i="3"/>
  <c r="O120" i="3" a="1"/>
  <c r="O120" i="3"/>
  <c r="O56" i="3" a="1"/>
  <c r="O56" i="3"/>
  <c r="O237" i="3" a="1"/>
  <c r="O237" i="3"/>
  <c r="O285" i="3" a="1"/>
  <c r="O285" i="3"/>
  <c r="O104" i="3" a="1"/>
  <c r="O104" i="3"/>
  <c r="O297" i="3" a="1"/>
  <c r="O297" i="3"/>
  <c r="O48" i="3" a="1"/>
  <c r="O48" i="3"/>
  <c r="O3" i="3" a="1"/>
  <c r="O3" i="3"/>
  <c r="O115" i="3" a="1"/>
  <c r="O115" i="3"/>
  <c r="O52" i="3" a="1"/>
  <c r="O52" i="3"/>
  <c r="O41" i="3" a="1"/>
  <c r="O41" i="3"/>
  <c r="O313" i="3" a="1"/>
  <c r="O313" i="3"/>
  <c r="O243" i="3" a="1"/>
  <c r="O243" i="3"/>
  <c r="O326" i="3" a="1"/>
  <c r="O326" i="3"/>
  <c r="T4" i="2" a="1"/>
  <c r="T4" i="2"/>
  <c r="O248" i="3" a="1"/>
  <c r="O248" i="3"/>
  <c r="O220" i="3" a="1"/>
  <c r="O220" i="3"/>
  <c r="M52" i="4" a="1"/>
  <c r="M52" i="4"/>
  <c r="M14" i="4" a="1"/>
  <c r="M14" i="4"/>
  <c r="O200" i="3" a="1"/>
  <c r="O200" i="3"/>
  <c r="O350" i="3" a="1"/>
  <c r="O350" i="3"/>
  <c r="O282" i="3" a="1"/>
  <c r="O282" i="3"/>
  <c r="O60" i="3" a="1"/>
  <c r="O60" i="3"/>
  <c r="O343" i="3" a="1"/>
  <c r="O343" i="3"/>
  <c r="O212" i="3" a="1"/>
  <c r="O212" i="3"/>
  <c r="M20" i="4" a="1"/>
  <c r="M20" i="4"/>
  <c r="O299" i="3" a="1"/>
  <c r="O299" i="3"/>
  <c r="O331" i="3" a="1"/>
  <c r="O331" i="3"/>
  <c r="O320" i="3" a="1"/>
  <c r="O320" i="3"/>
  <c r="O339" i="3" a="1"/>
  <c r="O339" i="3"/>
  <c r="M30" i="4" a="1"/>
  <c r="M30" i="4"/>
  <c r="O23" i="3" a="1"/>
  <c r="O23" i="3"/>
  <c r="O167" i="3" a="1"/>
  <c r="O167" i="3"/>
  <c r="O130" i="3" a="1"/>
  <c r="O130" i="3"/>
  <c r="O332" i="3" a="1"/>
  <c r="O332" i="3"/>
  <c r="O29" i="3" a="1"/>
  <c r="O29" i="3"/>
  <c r="O79" i="3" a="1"/>
  <c r="O79" i="3"/>
  <c r="O61" i="3" a="1"/>
  <c r="O61" i="3"/>
  <c r="O184" i="3" a="1"/>
  <c r="O184" i="3"/>
  <c r="O77" i="3" a="1"/>
  <c r="O77" i="3"/>
  <c r="O340" i="3" a="1"/>
  <c r="O340" i="3"/>
  <c r="M32" i="4" a="1"/>
  <c r="M32" i="4"/>
  <c r="O149" i="3" a="1"/>
  <c r="O149" i="3"/>
  <c r="O319" i="3" a="1"/>
  <c r="O319" i="3"/>
  <c r="M41" i="4" a="1"/>
  <c r="M41" i="4"/>
  <c r="O168" i="3" a="1"/>
  <c r="O168" i="3"/>
  <c r="O155" i="3" a="1"/>
  <c r="O155" i="3"/>
  <c r="M31" i="4" a="1"/>
  <c r="M31" i="4"/>
  <c r="O345" i="3" a="1"/>
  <c r="O345" i="3"/>
  <c r="O251" i="3" a="1"/>
  <c r="O251" i="3"/>
  <c r="O170" i="3" a="1"/>
  <c r="O170" i="3"/>
  <c r="O151" i="3" a="1"/>
  <c r="O151" i="3"/>
  <c r="O135" i="3" a="1"/>
  <c r="O135" i="3"/>
  <c r="O205" i="3" a="1"/>
  <c r="O205" i="3"/>
  <c r="M29" i="4" a="1"/>
  <c r="M29" i="4"/>
  <c r="O207" i="3" a="1"/>
  <c r="O207" i="3"/>
  <c r="M13" i="4" a="1"/>
  <c r="M13" i="4"/>
  <c r="O333" i="3" a="1"/>
  <c r="O333" i="3"/>
  <c r="O288" i="3" a="1"/>
  <c r="O288" i="3"/>
  <c r="O260" i="3" a="1"/>
  <c r="O260" i="3"/>
  <c r="O98" i="3" a="1"/>
  <c r="O98" i="3"/>
  <c r="O183" i="3" a="1"/>
  <c r="O183" i="3"/>
  <c r="O165" i="3" a="1"/>
  <c r="O165" i="3"/>
  <c r="O70" i="3" a="1"/>
  <c r="O70" i="3"/>
  <c r="O83" i="3" a="1"/>
  <c r="O83" i="3"/>
  <c r="O341" i="3" a="1"/>
  <c r="O341" i="3"/>
  <c r="O8" i="3" a="1"/>
  <c r="O8" i="3"/>
  <c r="O162" i="3" a="1"/>
  <c r="O162" i="3"/>
  <c r="M15" i="4" a="1"/>
  <c r="M15" i="4"/>
  <c r="M45" i="4" a="1"/>
  <c r="M45" i="4"/>
  <c r="O118" i="3" a="1"/>
  <c r="O118" i="3"/>
  <c r="O210" i="3" a="1"/>
  <c r="O210" i="3"/>
  <c r="O131" i="3" a="1"/>
  <c r="O131" i="3"/>
  <c r="O192" i="3" a="1"/>
  <c r="O192" i="3"/>
  <c r="O255" i="3" a="1"/>
  <c r="O255" i="3"/>
  <c r="O312" i="3" a="1"/>
  <c r="O312" i="3"/>
  <c r="M4" i="4" a="1"/>
  <c r="M4" i="4"/>
  <c r="O169" i="3" a="1"/>
  <c r="O169" i="3"/>
  <c r="O303" i="3" a="1"/>
  <c r="O303" i="3"/>
  <c r="O211" i="3" a="1"/>
  <c r="O211" i="3"/>
  <c r="O148" i="3" a="1"/>
  <c r="O148" i="3"/>
  <c r="O10" i="3" a="1"/>
  <c r="O10" i="3"/>
  <c r="O342" i="3" a="1"/>
  <c r="O342" i="3"/>
  <c r="M22" i="4" a="1"/>
  <c r="M22" i="4"/>
  <c r="O88" i="3" a="1"/>
  <c r="O88" i="3"/>
  <c r="O114" i="3" a="1"/>
  <c r="O114" i="3"/>
  <c r="O176" i="3" a="1"/>
  <c r="O176" i="3"/>
  <c r="O335" i="3" a="1"/>
  <c r="O335" i="3"/>
  <c r="O91" i="3" a="1"/>
  <c r="O91" i="3"/>
  <c r="O99" i="3" a="1"/>
  <c r="O99" i="3"/>
  <c r="O347" i="3" a="1"/>
  <c r="O347" i="3"/>
  <c r="O58" i="3" a="1"/>
  <c r="O58" i="3"/>
  <c r="O49" i="3" a="1"/>
  <c r="O49" i="3"/>
  <c r="O330" i="3" a="1"/>
  <c r="O330" i="3"/>
  <c r="O217" i="3" a="1"/>
  <c r="O217" i="3"/>
  <c r="O286" i="3" a="1"/>
  <c r="O286" i="3"/>
  <c r="O295" i="3" a="1"/>
  <c r="O295" i="3"/>
  <c r="O270" i="3" a="1"/>
  <c r="O270" i="3"/>
  <c r="O180" i="3" a="1"/>
  <c r="O180" i="3"/>
  <c r="O322" i="3" a="1"/>
  <c r="O322" i="3"/>
  <c r="O9" i="3" a="1"/>
  <c r="O9" i="3"/>
  <c r="O139" i="3" a="1"/>
  <c r="O139" i="3"/>
  <c r="O97" i="3" a="1"/>
  <c r="O97" i="3"/>
  <c r="M53" i="4" a="1"/>
  <c r="M53" i="4"/>
  <c r="O11" i="3" a="1"/>
  <c r="O11" i="3"/>
  <c r="O143" i="3" a="1"/>
  <c r="O143" i="3"/>
  <c r="O186" i="3" a="1"/>
  <c r="O186" i="3"/>
  <c r="O85" i="3" a="1"/>
  <c r="O85" i="3"/>
  <c r="O202" i="3" a="1"/>
  <c r="O202" i="3"/>
  <c r="O268" i="3" a="1"/>
  <c r="O268" i="3"/>
  <c r="O5" i="3" a="1"/>
  <c r="O5" i="3"/>
  <c r="O89" i="3" a="1"/>
  <c r="O89" i="3"/>
  <c r="O84" i="3" a="1"/>
  <c r="O84" i="3"/>
  <c r="O53" i="3" a="1"/>
  <c r="O53" i="3"/>
  <c r="M28" i="4" a="1"/>
  <c r="M28" i="4"/>
  <c r="O252" i="3" a="1"/>
  <c r="O252" i="3"/>
  <c r="O228" i="3" a="1"/>
  <c r="O228" i="3"/>
  <c r="M43" i="4" a="1"/>
  <c r="M43" i="4"/>
  <c r="O138" i="3" a="1"/>
  <c r="O138" i="3"/>
  <c r="O198" i="3" a="1"/>
  <c r="O198" i="3"/>
  <c r="O294" i="3" a="1"/>
  <c r="O294" i="3"/>
  <c r="O137" i="3" a="1"/>
  <c r="O137" i="3"/>
  <c r="O337" i="3" a="1"/>
  <c r="O337" i="3"/>
  <c r="O179" i="3" a="1"/>
  <c r="O179" i="3"/>
  <c r="O92" i="3" a="1"/>
  <c r="O92" i="3"/>
  <c r="M24" i="4" a="1"/>
  <c r="M24" i="4"/>
  <c r="M40" i="4" a="1"/>
  <c r="M40" i="4"/>
  <c r="O218" i="3" a="1"/>
  <c r="O218" i="3"/>
  <c r="M59" i="4" a="1"/>
  <c r="M59" i="4"/>
  <c r="O80" i="3" a="1"/>
  <c r="O80" i="3"/>
  <c r="O37" i="3" a="1"/>
  <c r="O37" i="3"/>
  <c r="M11" i="4" a="1"/>
  <c r="M11" i="4"/>
  <c r="O21" i="3" a="1"/>
  <c r="O21" i="3"/>
  <c r="O194" i="3" a="1"/>
  <c r="O194" i="3"/>
  <c r="O50" i="3" a="1"/>
  <c r="O50" i="3"/>
  <c r="O172" i="3" a="1"/>
  <c r="O172" i="3"/>
  <c r="O235" i="3" a="1"/>
  <c r="O235" i="3"/>
  <c r="O309" i="3" a="1"/>
  <c r="O309" i="3"/>
  <c r="O17" i="3" a="1"/>
  <c r="O17" i="3"/>
  <c r="O16" i="3" a="1"/>
  <c r="O16" i="3"/>
  <c r="O32" i="3" a="1"/>
  <c r="O32" i="3"/>
  <c r="O195" i="3" a="1"/>
  <c r="O195" i="3"/>
  <c r="O72" i="3" a="1"/>
  <c r="O72" i="3"/>
  <c r="O284" i="3" a="1"/>
  <c r="O284" i="3"/>
  <c r="M60" i="4" a="1"/>
  <c r="M60" i="4"/>
  <c r="M19" i="4" a="1"/>
  <c r="M19" i="4"/>
  <c r="O18" i="3" a="1"/>
  <c r="O18" i="3"/>
  <c r="O221" i="3" a="1"/>
  <c r="O221" i="3"/>
  <c r="O133" i="3" a="1"/>
  <c r="O133" i="3"/>
  <c r="O275" i="3" a="1"/>
  <c r="O275" i="3"/>
  <c r="M54" i="4" a="1"/>
  <c r="M54" i="4"/>
  <c r="O266" i="3" a="1"/>
  <c r="O266" i="3"/>
  <c r="O247" i="3" a="1"/>
  <c r="O247" i="3"/>
  <c r="O323" i="3" a="1"/>
  <c r="O323" i="3"/>
  <c r="O64" i="3" a="1"/>
  <c r="O64" i="3"/>
  <c r="O287" i="3" a="1"/>
  <c r="O287" i="3"/>
  <c r="O348" i="3" a="1"/>
  <c r="O348" i="3"/>
  <c r="O119" i="3" a="1"/>
  <c r="O119" i="3"/>
  <c r="O193" i="3" a="1"/>
  <c r="O193" i="3"/>
  <c r="M61" i="4" a="1"/>
  <c r="M61" i="4"/>
  <c r="O63" i="3" a="1"/>
  <c r="O63" i="3"/>
  <c r="M9" i="4" a="1"/>
  <c r="M9" i="4"/>
  <c r="O240" i="3" a="1"/>
  <c r="O240" i="3"/>
  <c r="O191" i="3" a="1"/>
  <c r="O191" i="3"/>
  <c r="O187" i="3" a="1"/>
  <c r="O187" i="3"/>
  <c r="O71" i="3" a="1"/>
  <c r="O71" i="3"/>
  <c r="O241" i="3" a="1"/>
  <c r="O241" i="3"/>
  <c r="O242" i="3" a="1"/>
  <c r="O242" i="3"/>
  <c r="O272" i="3" a="1"/>
  <c r="O272" i="3"/>
  <c r="O298" i="3" a="1"/>
  <c r="O298" i="3"/>
  <c r="O75" i="3" a="1"/>
  <c r="O75" i="3"/>
  <c r="O154" i="3" a="1"/>
  <c r="O154" i="3"/>
  <c r="O290" i="3" a="1"/>
  <c r="O290" i="3"/>
  <c r="O150" i="3" a="1"/>
  <c r="O150" i="3"/>
  <c r="O305" i="3" a="1"/>
  <c r="O305" i="3"/>
  <c r="M25" i="4" a="1"/>
  <c r="M25" i="4"/>
  <c r="O310" i="3" a="1"/>
  <c r="O310" i="3"/>
  <c r="O244" i="3" a="1"/>
  <c r="O244" i="3"/>
  <c r="M55" i="4" a="1"/>
  <c r="M55" i="4"/>
  <c r="M7" i="4" a="1"/>
  <c r="M7" i="4"/>
  <c r="M23" i="4" a="1"/>
  <c r="M23" i="4"/>
  <c r="O278" i="3" a="1"/>
  <c r="O278" i="3"/>
  <c r="O30" i="3" a="1"/>
  <c r="O30" i="3"/>
  <c r="M18" i="4" a="1"/>
  <c r="M18" i="4"/>
  <c r="O78" i="3" a="1"/>
  <c r="O78" i="3"/>
  <c r="O277" i="3" a="1"/>
  <c r="O277" i="3"/>
  <c r="O102" i="3" a="1"/>
  <c r="O102" i="3"/>
  <c r="O238" i="3" a="1"/>
  <c r="O238" i="3"/>
  <c r="O175" i="3" a="1"/>
  <c r="O175" i="3"/>
  <c r="O334" i="3" a="1"/>
  <c r="O334" i="3"/>
  <c r="O38" i="3" a="1"/>
  <c r="O38" i="3"/>
  <c r="M12" i="4" a="1"/>
  <c r="M12" i="4"/>
  <c r="M33" i="4" a="1"/>
  <c r="M33" i="4"/>
  <c r="O141" i="3" a="1"/>
  <c r="O141" i="3"/>
  <c r="O124" i="3" a="1"/>
  <c r="O124" i="3"/>
  <c r="O208" i="3" a="1"/>
  <c r="O208" i="3"/>
  <c r="M8" i="4" a="1"/>
  <c r="M8" i="4"/>
  <c r="O344" i="3" a="1"/>
  <c r="O344" i="3"/>
  <c r="O108" i="3" a="1"/>
  <c r="O108" i="3"/>
  <c r="M57" i="4" a="1"/>
  <c r="M57" i="4"/>
  <c r="O160" i="3" a="1"/>
  <c r="O160" i="3"/>
  <c r="O306" i="3" a="1"/>
  <c r="O306" i="3"/>
  <c r="O26" i="3" a="1"/>
  <c r="O26" i="3"/>
  <c r="O315" i="3" a="1"/>
  <c r="O315" i="3"/>
  <c r="O12" i="3" a="1"/>
  <c r="O12" i="3"/>
  <c r="O122" i="3" a="1"/>
  <c r="O122" i="3"/>
  <c r="O351" i="3" a="1"/>
  <c r="O351" i="3"/>
  <c r="O226" i="3" a="1"/>
  <c r="O226" i="3"/>
  <c r="O232" i="3" a="1"/>
  <c r="O232" i="3"/>
  <c r="O296" i="3" a="1"/>
  <c r="O296" i="3"/>
  <c r="O87" i="3" a="1"/>
  <c r="O87" i="3"/>
  <c r="AH241" i="3" a="1"/>
  <c r="AH241" i="3"/>
  <c r="O13" i="3" a="1"/>
  <c r="O13" i="3"/>
  <c r="O107" i="3" a="1"/>
  <c r="O107" i="3"/>
  <c r="AH264" i="3" a="1"/>
  <c r="AH264" i="3"/>
  <c r="AH20" i="3" a="1"/>
  <c r="AH20" i="3"/>
  <c r="AF43" i="4" a="1"/>
  <c r="AF43" i="4"/>
  <c r="AF19" i="4" a="1"/>
  <c r="AF19" i="4"/>
  <c r="AH53" i="3" a="1"/>
  <c r="AH53" i="3"/>
  <c r="O257" i="3" a="1"/>
  <c r="O257" i="3"/>
  <c r="AF24" i="4" a="1"/>
  <c r="AF24" i="4"/>
  <c r="AH18" i="3" a="1"/>
  <c r="AH18" i="3"/>
  <c r="O69" i="3" a="1"/>
  <c r="O69" i="3"/>
  <c r="O336" i="3" a="1"/>
  <c r="O336" i="3"/>
  <c r="M10" i="4" a="1"/>
  <c r="M10" i="4"/>
  <c r="AH250" i="3" a="1"/>
  <c r="AH250" i="3"/>
  <c r="AH205" i="3" a="1"/>
  <c r="AH205" i="3"/>
  <c r="AH143" i="3" a="1"/>
  <c r="AH143" i="3"/>
  <c r="AF47" i="4" a="1"/>
  <c r="AF47" i="4"/>
  <c r="AH271" i="3" a="1"/>
  <c r="AH271" i="3"/>
  <c r="AH147" i="3" a="1"/>
  <c r="AH147" i="3"/>
  <c r="AH260" i="3" a="1"/>
  <c r="AH260" i="3"/>
  <c r="AF5" i="4" a="1"/>
  <c r="AF5" i="4"/>
  <c r="AH184" i="3" a="1"/>
  <c r="AH184" i="3"/>
  <c r="AH244" i="3" a="1"/>
  <c r="AH244" i="3"/>
  <c r="AH165" i="3" a="1"/>
  <c r="AH165" i="3"/>
  <c r="AH212" i="3" a="1"/>
  <c r="AH212" i="3"/>
  <c r="AH157" i="3" a="1"/>
  <c r="AH157" i="3"/>
  <c r="AH43" i="3" a="1"/>
  <c r="AH43" i="3"/>
  <c r="AH88" i="3" a="1"/>
  <c r="AH88" i="3"/>
  <c r="AH155" i="3" a="1"/>
  <c r="AH155" i="3"/>
  <c r="AF36" i="4" a="1"/>
  <c r="AF36" i="4"/>
  <c r="AF20" i="4" a="1"/>
  <c r="AF20" i="4"/>
  <c r="AH183" i="3" a="1"/>
  <c r="AH183" i="3"/>
  <c r="AM2" i="2" a="1"/>
  <c r="AM2" i="2"/>
  <c r="AF2" i="4" a="1"/>
  <c r="AF2" i="4"/>
  <c r="AH2" i="3" a="1"/>
  <c r="AH2" i="3"/>
  <c r="AH317" i="3" a="1"/>
  <c r="AH317" i="3"/>
  <c r="AH185" i="3" a="1"/>
  <c r="AH185" i="3"/>
  <c r="AH252" i="3" a="1"/>
  <c r="AH252" i="3"/>
  <c r="AH133" i="3" a="1"/>
  <c r="AH133" i="3"/>
  <c r="AF15" i="4" a="1"/>
  <c r="AF15" i="4"/>
  <c r="AH179" i="3" a="1"/>
  <c r="AH179" i="3"/>
  <c r="AH98" i="3" a="1"/>
  <c r="AH98" i="3"/>
  <c r="AH321" i="3" a="1"/>
  <c r="AH321" i="3"/>
  <c r="AH31" i="3" a="1"/>
  <c r="AH31" i="3"/>
  <c r="AH216" i="3" a="1"/>
  <c r="AH216" i="3"/>
  <c r="AH281" i="3" a="1"/>
  <c r="AH281" i="3"/>
  <c r="AH295" i="3" a="1"/>
  <c r="AH295" i="3"/>
  <c r="AH17" i="3" a="1"/>
  <c r="AH17" i="3"/>
  <c r="AF42" i="4" a="1"/>
  <c r="AF42" i="4"/>
  <c r="AH181" i="3" a="1"/>
  <c r="AH181" i="3"/>
  <c r="AH13" i="3" a="1"/>
  <c r="AH13" i="3"/>
  <c r="AH200" i="3" a="1"/>
  <c r="AH200" i="3"/>
  <c r="AH223" i="3" a="1"/>
  <c r="AH223" i="3"/>
  <c r="AH32" i="3" a="1"/>
  <c r="AH32" i="3"/>
  <c r="AH247" i="3" a="1"/>
  <c r="AH247" i="3"/>
  <c r="AH35" i="3" a="1"/>
  <c r="AH35" i="3"/>
  <c r="AH298" i="3" a="1"/>
  <c r="AH298" i="3"/>
  <c r="AH233" i="3" a="1"/>
  <c r="AH233" i="3"/>
  <c r="AH340" i="3" a="1"/>
  <c r="AH340" i="3"/>
  <c r="AH64" i="3" a="1"/>
  <c r="AH64" i="3"/>
  <c r="AH180" i="3" a="1"/>
  <c r="AH180" i="3"/>
  <c r="AH54" i="3" a="1"/>
  <c r="AH54" i="3"/>
  <c r="AH151" i="3" a="1"/>
  <c r="AH151" i="3"/>
  <c r="AH110" i="3" a="1"/>
  <c r="AH110" i="3"/>
  <c r="AH226" i="3" a="1"/>
  <c r="AH226" i="3"/>
  <c r="AH194" i="3" a="1"/>
  <c r="AH194" i="3"/>
  <c r="AH91" i="3" a="1"/>
  <c r="AH91" i="3"/>
  <c r="AH11" i="3" a="1"/>
  <c r="AH11" i="3"/>
  <c r="AH274" i="3" a="1"/>
  <c r="AH274" i="3"/>
  <c r="AH335" i="3" a="1"/>
  <c r="AH335" i="3"/>
  <c r="AH239" i="3" a="1"/>
  <c r="AH239" i="3"/>
  <c r="AH308" i="3" a="1"/>
  <c r="AH308" i="3"/>
  <c r="AH124" i="3" a="1"/>
  <c r="AH124" i="3"/>
  <c r="AH262" i="3" a="1"/>
  <c r="AH262" i="3"/>
  <c r="AH231" i="3" a="1"/>
  <c r="AH231" i="3"/>
  <c r="AH204" i="3" a="1"/>
  <c r="AH204" i="3"/>
  <c r="AH214" i="3" a="1"/>
  <c r="AH214" i="3"/>
  <c r="AH134" i="3" a="1"/>
  <c r="AH134" i="3"/>
  <c r="AF13" i="4" a="1"/>
  <c r="AF13" i="4"/>
  <c r="AH130" i="3" a="1"/>
  <c r="AH130" i="3"/>
  <c r="AH253" i="3" a="1"/>
  <c r="AH253" i="3"/>
  <c r="AH261" i="3" a="1"/>
  <c r="AH261" i="3"/>
  <c r="AH76" i="3" a="1"/>
  <c r="AH76" i="3"/>
  <c r="AH131" i="3" a="1"/>
  <c r="AH131" i="3"/>
  <c r="AH58" i="3" a="1"/>
  <c r="AH58" i="3"/>
  <c r="AF54" i="4" a="1"/>
  <c r="AF54" i="4"/>
  <c r="AH121" i="3" a="1"/>
  <c r="AH121" i="3"/>
  <c r="AH6" i="3" a="1"/>
  <c r="AH6" i="3"/>
  <c r="AH237" i="3" a="1"/>
  <c r="AH237" i="3"/>
  <c r="AH148" i="3" a="1"/>
  <c r="AH148" i="3"/>
  <c r="AF58" i="4" a="1"/>
  <c r="AF58" i="4"/>
  <c r="AH273" i="3" a="1"/>
  <c r="AH273" i="3"/>
  <c r="AH21" i="3" a="1"/>
  <c r="AH21" i="3"/>
  <c r="AH188" i="3" a="1"/>
  <c r="AH188" i="3"/>
  <c r="AF46" i="4" a="1"/>
  <c r="AF46" i="4"/>
  <c r="AH258" i="3" a="1"/>
  <c r="AH258" i="3"/>
  <c r="AH120" i="3" a="1"/>
  <c r="AH120" i="3"/>
  <c r="AH232" i="3" a="1"/>
  <c r="AH232" i="3"/>
  <c r="AH351" i="3" a="1"/>
  <c r="AH351" i="3"/>
  <c r="AH203" i="3" a="1"/>
  <c r="AH203" i="3"/>
  <c r="AH27" i="3" a="1"/>
  <c r="AH27" i="3"/>
  <c r="AH175" i="3" a="1"/>
  <c r="AH175" i="3"/>
  <c r="AH138" i="3" a="1"/>
  <c r="AH138" i="3"/>
  <c r="AH266" i="3" a="1"/>
  <c r="AH266" i="3"/>
  <c r="AH206" i="3" a="1"/>
  <c r="AH206" i="3"/>
  <c r="AH285" i="3" a="1"/>
  <c r="AH285" i="3"/>
  <c r="AH146" i="3" a="1"/>
  <c r="AH146" i="3"/>
  <c r="AH315" i="3" a="1"/>
  <c r="AH315" i="3"/>
  <c r="AF33" i="4" a="1"/>
  <c r="AF33" i="4"/>
  <c r="AH90" i="3" a="1"/>
  <c r="AH90" i="3"/>
  <c r="AH36" i="3" a="1"/>
  <c r="AH36" i="3"/>
  <c r="AH347" i="3" a="1"/>
  <c r="AH347" i="3"/>
  <c r="AH306" i="3" a="1"/>
  <c r="AH306" i="3"/>
  <c r="AH320" i="3" a="1"/>
  <c r="AH320" i="3"/>
  <c r="AF52" i="4" a="1"/>
  <c r="AF52" i="4"/>
  <c r="AH45" i="3" a="1"/>
  <c r="AH45" i="3"/>
  <c r="AH95" i="3" a="1"/>
  <c r="AH95" i="3"/>
  <c r="AF10" i="4" a="1"/>
  <c r="AF10" i="4"/>
  <c r="AF21" i="4" a="1"/>
  <c r="AF21" i="4"/>
  <c r="AH263" i="3" a="1"/>
  <c r="AH263" i="3"/>
  <c r="AH10" i="3" a="1"/>
  <c r="AH10" i="3"/>
  <c r="AH348" i="3" a="1"/>
  <c r="AH348" i="3"/>
  <c r="AH243" i="3" a="1"/>
  <c r="AH243" i="3"/>
  <c r="AH303" i="3" a="1"/>
  <c r="AH303" i="3"/>
  <c r="AH352" i="3" a="1"/>
  <c r="AH352" i="3"/>
  <c r="AH108" i="3" a="1"/>
  <c r="AH108" i="3"/>
  <c r="AH319" i="3" a="1"/>
  <c r="AH319" i="3"/>
  <c r="AH159" i="3" a="1"/>
  <c r="AH159" i="3"/>
  <c r="AH107" i="3" a="1"/>
  <c r="AH107" i="3"/>
  <c r="AH235" i="3" a="1"/>
  <c r="AH235" i="3"/>
  <c r="AH207" i="3" a="1"/>
  <c r="AH207" i="3"/>
  <c r="AH72" i="3" a="1"/>
  <c r="AH72" i="3"/>
  <c r="AH228" i="3" a="1"/>
  <c r="AH228" i="3"/>
  <c r="AH15" i="3" a="1"/>
  <c r="AH15" i="3"/>
  <c r="AH270" i="3" a="1"/>
  <c r="AH270" i="3"/>
  <c r="AH313" i="3" a="1"/>
  <c r="AH313" i="3"/>
  <c r="AH39" i="3" a="1"/>
  <c r="AH39" i="3"/>
  <c r="AH117" i="3" a="1"/>
  <c r="AH117" i="3"/>
  <c r="AH4" i="3" a="1"/>
  <c r="AH4" i="3"/>
  <c r="AM3" i="2" a="1"/>
  <c r="AM3" i="2"/>
  <c r="AH316" i="3" a="1"/>
  <c r="AH316" i="3"/>
  <c r="AH37" i="3" a="1"/>
  <c r="AH37" i="3"/>
  <c r="AH201" i="3" a="1"/>
  <c r="AH201" i="3"/>
  <c r="AF38" i="4" a="1"/>
  <c r="AF38" i="4"/>
  <c r="AH336" i="3" a="1"/>
  <c r="AH336" i="3"/>
  <c r="AH60" i="3" a="1"/>
  <c r="AH60" i="3"/>
  <c r="AH149" i="3" a="1"/>
  <c r="AH149" i="3"/>
  <c r="AH167" i="3" a="1"/>
  <c r="AH167" i="3"/>
  <c r="AH269" i="3" a="1"/>
  <c r="AH269" i="3"/>
  <c r="AF8" i="4" a="1"/>
  <c r="AF8" i="4"/>
  <c r="AH14" i="3" a="1"/>
  <c r="AH14" i="3"/>
  <c r="AH41" i="3" a="1"/>
  <c r="AH41" i="3"/>
  <c r="AH339" i="3" a="1"/>
  <c r="AH339" i="3"/>
  <c r="AH51" i="3" a="1"/>
  <c r="AH51" i="3"/>
  <c r="AH272" i="3" a="1"/>
  <c r="AH272" i="3"/>
  <c r="AH61" i="3" a="1"/>
  <c r="AH61" i="3"/>
  <c r="AH290" i="3" a="1"/>
  <c r="AH290" i="3"/>
  <c r="AH208" i="3" a="1"/>
  <c r="AH208" i="3"/>
  <c r="AH325" i="3" a="1"/>
  <c r="AH325" i="3"/>
  <c r="AH324" i="3" a="1"/>
  <c r="AH324" i="3"/>
  <c r="AH83" i="3" a="1"/>
  <c r="AH83" i="3"/>
  <c r="AH166" i="3" a="1"/>
  <c r="AH166" i="3"/>
  <c r="AH245" i="3" a="1"/>
  <c r="AH245" i="3"/>
  <c r="AH283" i="3" a="1"/>
  <c r="AH283" i="3"/>
  <c r="AH171" i="3" a="1"/>
  <c r="AH171" i="3"/>
  <c r="AH55" i="3" a="1"/>
  <c r="AH55" i="3"/>
  <c r="AH326" i="3" a="1"/>
  <c r="AH326" i="3"/>
  <c r="AH85" i="3" a="1"/>
  <c r="AH85" i="3"/>
  <c r="AH259" i="3" a="1"/>
  <c r="AH259" i="3"/>
  <c r="AH144" i="3" a="1"/>
  <c r="AH144" i="3"/>
  <c r="AH122" i="3" a="1"/>
  <c r="AH122" i="3"/>
  <c r="AH5" i="3" a="1"/>
  <c r="AH5" i="3"/>
  <c r="AH299" i="3" a="1"/>
  <c r="AH299" i="3"/>
  <c r="AH40" i="3" a="1"/>
  <c r="AH40" i="3"/>
  <c r="AH344" i="3" a="1"/>
  <c r="AH344" i="3"/>
  <c r="AF4" i="4" a="1"/>
  <c r="AF4" i="4"/>
  <c r="AH82" i="3" a="1"/>
  <c r="AH82" i="3"/>
  <c r="AH135" i="3" a="1"/>
  <c r="AH135" i="3"/>
  <c r="AH328" i="3" a="1"/>
  <c r="AH328" i="3"/>
  <c r="AH268" i="3" a="1"/>
  <c r="AH268" i="3"/>
  <c r="AF29" i="4" a="1"/>
  <c r="AF29" i="4"/>
  <c r="AH296" i="3" a="1"/>
  <c r="AH296" i="3"/>
  <c r="AH70" i="3" a="1"/>
  <c r="AH70" i="3"/>
  <c r="AH79" i="3" a="1"/>
  <c r="AH79" i="3"/>
  <c r="AH210" i="3" a="1"/>
  <c r="AH210" i="3"/>
  <c r="AH219" i="3" a="1"/>
  <c r="AH219" i="3"/>
  <c r="AF37" i="4" a="1"/>
  <c r="AF37" i="4"/>
  <c r="AF39" i="4" a="1"/>
  <c r="AF39" i="4"/>
  <c r="AH230" i="3" a="1"/>
  <c r="AH230" i="3"/>
  <c r="AF61" i="4" a="1"/>
  <c r="AF61" i="4"/>
  <c r="AH221" i="3" a="1"/>
  <c r="AH221" i="3"/>
  <c r="AH42" i="3" a="1"/>
  <c r="AH42" i="3"/>
  <c r="AH279" i="3" a="1"/>
  <c r="AH279" i="3"/>
  <c r="AH190" i="3" a="1"/>
  <c r="AH190" i="3"/>
  <c r="AF28" i="4" a="1"/>
  <c r="AF28" i="4"/>
  <c r="AF30" i="4" a="1"/>
  <c r="AF30" i="4"/>
  <c r="AH142" i="3" a="1"/>
  <c r="AH142" i="3"/>
  <c r="AH67" i="3" a="1"/>
  <c r="AH67" i="3"/>
  <c r="AH65" i="3" a="1"/>
  <c r="AH65" i="3"/>
  <c r="AH238" i="3" a="1"/>
  <c r="AH238" i="3"/>
  <c r="AH44" i="3" a="1"/>
  <c r="AH44" i="3"/>
  <c r="AH104" i="3" a="1"/>
  <c r="AH104" i="3"/>
  <c r="AH109" i="3" a="1"/>
  <c r="AH109" i="3"/>
  <c r="AH332" i="3" a="1"/>
  <c r="AH332" i="3"/>
  <c r="AH154" i="3" a="1"/>
  <c r="AH154" i="3"/>
  <c r="AH199" i="3" a="1"/>
  <c r="AH199" i="3"/>
  <c r="AF12" i="4" a="1"/>
  <c r="AF12" i="4"/>
  <c r="AH265" i="3" a="1"/>
  <c r="AH265" i="3"/>
  <c r="AH29" i="3" a="1"/>
  <c r="AH29" i="3"/>
  <c r="AH48" i="3" a="1"/>
  <c r="AH48" i="3"/>
  <c r="AH68" i="3" a="1"/>
  <c r="AH68" i="3"/>
  <c r="AH73" i="3" a="1"/>
  <c r="AH73" i="3"/>
  <c r="AH318" i="3" a="1"/>
  <c r="AH318" i="3"/>
  <c r="AH112" i="3" a="1"/>
  <c r="AH112" i="3"/>
  <c r="AH161" i="3" a="1"/>
  <c r="AH161" i="3"/>
  <c r="AH163" i="3" a="1"/>
  <c r="AH163" i="3"/>
  <c r="AH78" i="3" a="1"/>
  <c r="AH78" i="3"/>
  <c r="AF14" i="4" a="1"/>
  <c r="AF14" i="4"/>
  <c r="AH331" i="3" a="1"/>
  <c r="AH331" i="3"/>
  <c r="AF7" i="4" a="1"/>
  <c r="AF7" i="4"/>
  <c r="AH123" i="3" a="1"/>
  <c r="AH123" i="3"/>
  <c r="AH257" i="3" a="1"/>
  <c r="AH257" i="3"/>
  <c r="AH24" i="3" a="1"/>
  <c r="AH24" i="3"/>
  <c r="AH23" i="3" a="1"/>
  <c r="AH23" i="3"/>
  <c r="AH63" i="3" a="1"/>
  <c r="AH63" i="3"/>
  <c r="AH346" i="3" a="1"/>
  <c r="AH346" i="3"/>
  <c r="AH182" i="3" a="1"/>
  <c r="AH182" i="3"/>
  <c r="AH350" i="3" a="1"/>
  <c r="AH350" i="3"/>
  <c r="AH300" i="3" a="1"/>
  <c r="AH300" i="3"/>
  <c r="AH345" i="3" a="1"/>
  <c r="AH345" i="3"/>
  <c r="AH349" i="3" a="1"/>
  <c r="AH349" i="3"/>
  <c r="AH310" i="3" a="1"/>
  <c r="AH310" i="3"/>
  <c r="AH26" i="3" a="1"/>
  <c r="AH26" i="3"/>
  <c r="AH141" i="3" a="1"/>
  <c r="AH141" i="3"/>
  <c r="AH33" i="3" a="1"/>
  <c r="AH33" i="3"/>
  <c r="AH129" i="3" a="1"/>
  <c r="AH129" i="3"/>
  <c r="AH173" i="3" a="1"/>
  <c r="AH173" i="3"/>
  <c r="AF27" i="4" a="1"/>
  <c r="AF27" i="4"/>
  <c r="AH118" i="3" a="1"/>
  <c r="AH118" i="3"/>
  <c r="AH213" i="3" a="1"/>
  <c r="AH213" i="3"/>
  <c r="AH187" i="3" a="1"/>
  <c r="AH187" i="3"/>
  <c r="AH293" i="3" a="1"/>
  <c r="AH293" i="3"/>
  <c r="AH291" i="3" a="1"/>
  <c r="AH291" i="3"/>
  <c r="AH169" i="3" a="1"/>
  <c r="AH169" i="3"/>
  <c r="AH34" i="3" a="1"/>
  <c r="AH34" i="3"/>
  <c r="AH224" i="3" a="1"/>
  <c r="AH224" i="3"/>
  <c r="AH28" i="3" a="1"/>
  <c r="AH28" i="3"/>
  <c r="AH156" i="3" a="1"/>
  <c r="AH156" i="3"/>
  <c r="AF23" i="4" a="1"/>
  <c r="AF23" i="4"/>
  <c r="AH294" i="3" a="1"/>
  <c r="AH294" i="3"/>
  <c r="AH86" i="3" a="1"/>
  <c r="AH86" i="3"/>
  <c r="AH196" i="3" a="1"/>
  <c r="AH196" i="3"/>
  <c r="AH338" i="3" a="1"/>
  <c r="AH338" i="3"/>
  <c r="AH195" i="3" a="1"/>
  <c r="AH195" i="3"/>
  <c r="AF60" i="4" a="1"/>
  <c r="AF60" i="4"/>
  <c r="AH74" i="3" a="1"/>
  <c r="AH74" i="3"/>
  <c r="AH127" i="3" a="1"/>
  <c r="AH127" i="3"/>
  <c r="AF48" i="4" a="1"/>
  <c r="AF48" i="4"/>
  <c r="AH25" i="3" a="1"/>
  <c r="AH25" i="3"/>
  <c r="AH242" i="3" a="1"/>
  <c r="AH242" i="3"/>
  <c r="AH113" i="3" a="1"/>
  <c r="AH113" i="3"/>
  <c r="AH3" i="3" a="1"/>
  <c r="AH3" i="3"/>
  <c r="AH275" i="3" a="1"/>
  <c r="AH275" i="3"/>
  <c r="AF35" i="4" a="1"/>
  <c r="AF35" i="4"/>
  <c r="AH100" i="3" a="1"/>
  <c r="AH100" i="3"/>
  <c r="AH178" i="3" a="1"/>
  <c r="AH178" i="3"/>
  <c r="AF53" i="4" a="1"/>
  <c r="AF53" i="4"/>
  <c r="AM4" i="2" a="1"/>
  <c r="AM4" i="2"/>
  <c r="AH248" i="3" a="1"/>
  <c r="AH248" i="3"/>
  <c r="AH174" i="3" a="1"/>
  <c r="AH174" i="3"/>
  <c r="AH66" i="3" a="1"/>
  <c r="AH66" i="3"/>
  <c r="AH162" i="3" a="1"/>
  <c r="AH162" i="3"/>
  <c r="AH111" i="3" a="1"/>
  <c r="AH111" i="3"/>
  <c r="AH227" i="3" a="1"/>
  <c r="AH227" i="3"/>
  <c r="AH80" i="3" a="1"/>
  <c r="AH80" i="3"/>
  <c r="AH172" i="3" a="1"/>
  <c r="AH172" i="3"/>
  <c r="AH164" i="3" a="1"/>
  <c r="AH164" i="3"/>
  <c r="AH114" i="3" a="1"/>
  <c r="AH114" i="3"/>
  <c r="AH280" i="3" a="1"/>
  <c r="AH280" i="3"/>
  <c r="AF45" i="4" a="1"/>
  <c r="AF45" i="4"/>
  <c r="AH52" i="3" a="1"/>
  <c r="AH52" i="3"/>
  <c r="AH119" i="3" a="1"/>
  <c r="AH119" i="3"/>
  <c r="AH297" i="3" a="1"/>
  <c r="AH297" i="3"/>
  <c r="AH191" i="3" a="1"/>
  <c r="AH191" i="3"/>
  <c r="AH287" i="3" a="1"/>
  <c r="AH287" i="3"/>
  <c r="AH342" i="3" a="1"/>
  <c r="AH342" i="3"/>
  <c r="AH77" i="3" a="1"/>
  <c r="AH77" i="3"/>
  <c r="AH106" i="3" a="1"/>
  <c r="AH106" i="3"/>
  <c r="AH139" i="3" a="1"/>
  <c r="AH139" i="3"/>
  <c r="AH218" i="3" a="1"/>
  <c r="AH218" i="3"/>
  <c r="AH132" i="3" a="1"/>
  <c r="AH132" i="3"/>
  <c r="AF3" i="4" a="1"/>
  <c r="AF3" i="4"/>
  <c r="AH103" i="3" a="1"/>
  <c r="AH103" i="3"/>
  <c r="AH329" i="3" a="1"/>
  <c r="AH329" i="3"/>
  <c r="AH192" i="3" a="1"/>
  <c r="AH192" i="3"/>
  <c r="AH209" i="3" a="1"/>
  <c r="AH209" i="3"/>
  <c r="AH229" i="3" a="1"/>
  <c r="AH229" i="3"/>
  <c r="AH341" i="3" a="1"/>
  <c r="AH341" i="3"/>
  <c r="AH152" i="3" a="1"/>
  <c r="AH152" i="3"/>
  <c r="AH22" i="3" a="1"/>
  <c r="AH22" i="3"/>
  <c r="AH254" i="3" a="1"/>
  <c r="AH254" i="3"/>
  <c r="AH71" i="3" a="1"/>
  <c r="AH71" i="3"/>
  <c r="AH84" i="3" a="1"/>
  <c r="AH84" i="3"/>
  <c r="AH276" i="3" a="1"/>
  <c r="AH276" i="3"/>
  <c r="AH9" i="3" a="1"/>
  <c r="AH9" i="3"/>
  <c r="AH234" i="3" a="1"/>
  <c r="AH234" i="3"/>
  <c r="AF32" i="4" a="1"/>
  <c r="AF32" i="4"/>
  <c r="AH323" i="3" a="1"/>
  <c r="AH323" i="3"/>
  <c r="AH193" i="3" a="1"/>
  <c r="AH193" i="3"/>
  <c r="AF18" i="4" a="1"/>
  <c r="AF18" i="4"/>
  <c r="AH47" i="3" a="1"/>
  <c r="AH47" i="3"/>
  <c r="AH343" i="3" a="1"/>
  <c r="AH343" i="3"/>
  <c r="AH137" i="3" a="1"/>
  <c r="AH137" i="3"/>
  <c r="AH202" i="3" a="1"/>
  <c r="AH202" i="3"/>
  <c r="AH211" i="3" a="1"/>
  <c r="AH211" i="3"/>
  <c r="AF59" i="4" a="1"/>
  <c r="AF59" i="4"/>
  <c r="AH125" i="3" a="1"/>
  <c r="AH125" i="3"/>
  <c r="AF56" i="4" a="1"/>
  <c r="AF56" i="4"/>
  <c r="AF25" i="4" a="1"/>
  <c r="AF25" i="4"/>
  <c r="AF11" i="4" a="1"/>
  <c r="AF11" i="4"/>
  <c r="AH301" i="3" a="1"/>
  <c r="AH301" i="3"/>
  <c r="AF41" i="4" a="1"/>
  <c r="AF41" i="4"/>
  <c r="AH198" i="3" a="1"/>
  <c r="AH198" i="3"/>
  <c r="AH337" i="3" a="1"/>
  <c r="AH337" i="3"/>
  <c r="AH81" i="3" a="1"/>
  <c r="AH81" i="3"/>
  <c r="AH19" i="3" a="1"/>
  <c r="AH19" i="3"/>
  <c r="AH282" i="3" a="1"/>
  <c r="AH282" i="3"/>
  <c r="AH62" i="3" a="1"/>
  <c r="AH62" i="3"/>
  <c r="AH153" i="3" a="1"/>
  <c r="AH153" i="3"/>
  <c r="AH168" i="3" a="1"/>
  <c r="AH168" i="3"/>
  <c r="AH128" i="3" a="1"/>
  <c r="AH128" i="3"/>
  <c r="AH177" i="3" a="1"/>
  <c r="AH177" i="3"/>
  <c r="AF17" i="4" a="1"/>
  <c r="AF17" i="4"/>
  <c r="AH288" i="3" a="1"/>
  <c r="AH288" i="3"/>
  <c r="AH99" i="3" a="1"/>
  <c r="AH99" i="3"/>
  <c r="AH186" i="3" a="1"/>
  <c r="AH186" i="3"/>
  <c r="AF26" i="4" a="1"/>
  <c r="AF26" i="4"/>
  <c r="AH197" i="3" a="1"/>
  <c r="AH197" i="3"/>
  <c r="AH220" i="3" a="1"/>
  <c r="AH220" i="3"/>
  <c r="AH136" i="3" a="1"/>
  <c r="AH136" i="3"/>
  <c r="AH158" i="3" a="1"/>
  <c r="AH158" i="3"/>
  <c r="AF55" i="4" a="1"/>
  <c r="AF55" i="4"/>
  <c r="AF44" i="4" a="1"/>
  <c r="AF44" i="4"/>
  <c r="AH305" i="3" a="1"/>
  <c r="AH305" i="3"/>
  <c r="AH170" i="3" a="1"/>
  <c r="AH170" i="3"/>
  <c r="AH353" i="3" a="1"/>
  <c r="AH353" i="3"/>
  <c r="AH87" i="3" a="1"/>
  <c r="AH87" i="3"/>
  <c r="AH322" i="3" a="1"/>
  <c r="AH322" i="3"/>
  <c r="AH246" i="3" a="1"/>
  <c r="AH246" i="3"/>
  <c r="AH176" i="3" a="1"/>
  <c r="AH176" i="3"/>
  <c r="AF16" i="4" a="1"/>
  <c r="AF16" i="4"/>
  <c r="AH93" i="3" a="1"/>
  <c r="AH93" i="3"/>
  <c r="AH249" i="3" a="1"/>
  <c r="AH249" i="3"/>
  <c r="AH302" i="3" a="1"/>
  <c r="AH302" i="3"/>
  <c r="AH240" i="3" a="1"/>
  <c r="AH240" i="3"/>
  <c r="AH69" i="3" a="1"/>
  <c r="AH69" i="3"/>
  <c r="AH7" i="3" a="1"/>
  <c r="AH7" i="3"/>
  <c r="AH96" i="3" a="1"/>
  <c r="AH96" i="3"/>
  <c r="AH140" i="3" a="1"/>
  <c r="AH140" i="3"/>
  <c r="AH304" i="3" a="1"/>
  <c r="AH304" i="3"/>
  <c r="AH330" i="3" a="1"/>
  <c r="AH330" i="3"/>
  <c r="AH145" i="3" a="1"/>
  <c r="AH145" i="3"/>
  <c r="AH222" i="3" a="1"/>
  <c r="AH222" i="3"/>
  <c r="AH277" i="3" a="1"/>
  <c r="AH277" i="3"/>
  <c r="AH189" i="3" a="1"/>
  <c r="AH189" i="3"/>
  <c r="AH256" i="3" a="1"/>
  <c r="AH256" i="3"/>
  <c r="AH327" i="3" a="1"/>
  <c r="AH327" i="3"/>
  <c r="AH284" i="3" a="1"/>
  <c r="AH284" i="3"/>
  <c r="AH126" i="3" a="1"/>
  <c r="AH126" i="3"/>
  <c r="AH333" i="3" a="1"/>
  <c r="AH333" i="3"/>
  <c r="AH30" i="3" a="1"/>
  <c r="AH30" i="3"/>
  <c r="AH46" i="3" a="1"/>
  <c r="AH46" i="3"/>
  <c r="AH150" i="3" a="1"/>
  <c r="AH150" i="3"/>
  <c r="AH38" i="3" a="1"/>
  <c r="AH38" i="3"/>
  <c r="AH50" i="3" a="1"/>
  <c r="AH50" i="3"/>
  <c r="AH92" i="3" a="1"/>
  <c r="AH92" i="3"/>
  <c r="AF40" i="4" a="1"/>
  <c r="AF40" i="4"/>
  <c r="AH56" i="3" a="1"/>
  <c r="AH56" i="3"/>
  <c r="AF34" i="4" a="1"/>
  <c r="AF34" i="4"/>
  <c r="AH97" i="3" a="1"/>
  <c r="AH97" i="3"/>
  <c r="AH116" i="3" a="1"/>
  <c r="AH116" i="3"/>
  <c r="AH49" i="3" a="1"/>
  <c r="AH49" i="3"/>
  <c r="AH289" i="3" a="1"/>
  <c r="AH289" i="3"/>
  <c r="AF57" i="4" a="1"/>
  <c r="AF57" i="4"/>
  <c r="AH267" i="3" a="1"/>
  <c r="AH267" i="3"/>
  <c r="AH57" i="3" a="1"/>
  <c r="AH57" i="3"/>
  <c r="AH278" i="3" a="1"/>
  <c r="AH278" i="3"/>
  <c r="AH12" i="3" a="1"/>
  <c r="AH12" i="3"/>
  <c r="AF31" i="4" a="1"/>
  <c r="AF31" i="4"/>
  <c r="AH75" i="3" a="1"/>
  <c r="AH75" i="3"/>
  <c r="AH309" i="3" a="1"/>
  <c r="AH309" i="3"/>
  <c r="AH312" i="3" a="1"/>
  <c r="AH312" i="3"/>
  <c r="AH101" i="3" a="1"/>
  <c r="AH101" i="3"/>
  <c r="AH59" i="3" a="1"/>
  <c r="AH59" i="3"/>
  <c r="AH314" i="3" a="1"/>
  <c r="AH314" i="3"/>
  <c r="AH307" i="3" a="1"/>
  <c r="AH307" i="3"/>
  <c r="AH115" i="3" a="1"/>
  <c r="AH115" i="3"/>
  <c r="AH334" i="3" a="1"/>
  <c r="AH334" i="3"/>
  <c r="AH215" i="3" a="1"/>
  <c r="AH215" i="3"/>
  <c r="AH217" i="3" a="1"/>
  <c r="AH217" i="3"/>
  <c r="AH105" i="3" a="1"/>
  <c r="AH105" i="3"/>
  <c r="AH251" i="3" a="1"/>
  <c r="AH251" i="3"/>
  <c r="AH16" i="3" a="1"/>
  <c r="AH16" i="3"/>
  <c r="AH311" i="3" a="1"/>
  <c r="AH311" i="3"/>
  <c r="AH94" i="3" a="1"/>
  <c r="AH94" i="3"/>
  <c r="AH286" i="3" a="1"/>
  <c r="AH286" i="3"/>
  <c r="AH8" i="3" a="1"/>
  <c r="AH8" i="3"/>
  <c r="AH292" i="3" a="1"/>
  <c r="AH292" i="3"/>
  <c r="AH160" i="3" a="1"/>
  <c r="AH160" i="3"/>
  <c r="AF9" i="4" a="1"/>
  <c r="AF9" i="4"/>
  <c r="AH255" i="3" a="1"/>
  <c r="AH255" i="3"/>
  <c r="AH236" i="3" a="1"/>
  <c r="AH236" i="3"/>
  <c r="AA15" i="3" a="1"/>
  <c r="AA15" i="3"/>
  <c r="AA344" i="3" a="1"/>
  <c r="AA344" i="3"/>
  <c r="AH102" i="3" a="1"/>
  <c r="AH102" i="3"/>
  <c r="AH225" i="3" a="1"/>
  <c r="AH225" i="3"/>
  <c r="AH89" i="3" a="1"/>
  <c r="AH89" i="3"/>
  <c r="Y43" i="4" a="1"/>
  <c r="Y43" i="4"/>
  <c r="AF22" i="4" a="1"/>
  <c r="AF22" i="4"/>
  <c r="Y45" i="4" a="1"/>
  <c r="Y45" i="4"/>
  <c r="AA341" i="3" a="1"/>
  <c r="AA341" i="3"/>
  <c r="AA130" i="3" a="1"/>
  <c r="AA130" i="3"/>
  <c r="Y35" i="4" a="1"/>
  <c r="Y35" i="4"/>
  <c r="AA41" i="3" a="1"/>
  <c r="AA41" i="3"/>
  <c r="AA169" i="3" a="1"/>
  <c r="AA169" i="3"/>
  <c r="AA206" i="3" a="1"/>
  <c r="AA206" i="3"/>
  <c r="AA89" i="3" a="1"/>
  <c r="AA89" i="3"/>
  <c r="AA5" i="3" a="1"/>
  <c r="AA5" i="3"/>
  <c r="AA249" i="3" a="1"/>
  <c r="AA249" i="3"/>
  <c r="AA346" i="3" a="1"/>
  <c r="AA346" i="3"/>
  <c r="Y44" i="4" a="1"/>
  <c r="Y44" i="4"/>
  <c r="AA73" i="3" a="1"/>
  <c r="AA73" i="3"/>
  <c r="AA66" i="3" a="1"/>
  <c r="AA66" i="3"/>
  <c r="AA141" i="3" a="1"/>
  <c r="AA141" i="3"/>
  <c r="AA93" i="3" a="1"/>
  <c r="AA93" i="3"/>
  <c r="Y31" i="4" a="1"/>
  <c r="Y31" i="4"/>
  <c r="AA12" i="3" a="1"/>
  <c r="AA12" i="3"/>
  <c r="AA178" i="3" a="1"/>
  <c r="AA178" i="3"/>
  <c r="AA199" i="3" a="1"/>
  <c r="AA199" i="3"/>
  <c r="AA57" i="3" a="1"/>
  <c r="AA57" i="3"/>
  <c r="AA221" i="3" a="1"/>
  <c r="AA221" i="3"/>
  <c r="AA183" i="3" a="1"/>
  <c r="AA183" i="3"/>
  <c r="AA16" i="3" a="1"/>
  <c r="AA16" i="3"/>
  <c r="AA23" i="3" a="1"/>
  <c r="AA23" i="3"/>
  <c r="AA171" i="3" a="1"/>
  <c r="AA171" i="3"/>
  <c r="AA222" i="3" a="1"/>
  <c r="AA222" i="3"/>
  <c r="AA138" i="3" a="1"/>
  <c r="AA138" i="3"/>
  <c r="AA150" i="3" a="1"/>
  <c r="AA150" i="3"/>
  <c r="AA345" i="3" a="1"/>
  <c r="AA345" i="3"/>
  <c r="AA234" i="3" a="1"/>
  <c r="AA234" i="3"/>
  <c r="AA32" i="3" a="1"/>
  <c r="AA32" i="3"/>
  <c r="AA286" i="3" a="1"/>
  <c r="AA286" i="3"/>
  <c r="AA18" i="3" a="1"/>
  <c r="AA18" i="3"/>
  <c r="AA292" i="3" a="1"/>
  <c r="AA292" i="3"/>
  <c r="AA239" i="3" a="1"/>
  <c r="AA239" i="3"/>
  <c r="Y30" i="4" a="1"/>
  <c r="Y30" i="4"/>
  <c r="AA321" i="3" a="1"/>
  <c r="AA321" i="3"/>
  <c r="Y39" i="4" a="1"/>
  <c r="Y39" i="4"/>
  <c r="AA280" i="3" a="1"/>
  <c r="AA280" i="3"/>
  <c r="AA200" i="3" a="1"/>
  <c r="AA200" i="3"/>
  <c r="AA279" i="3" a="1"/>
  <c r="AA279" i="3"/>
  <c r="AA99" i="3" a="1"/>
  <c r="AA99" i="3"/>
  <c r="AA51" i="3" a="1"/>
  <c r="AA51" i="3"/>
  <c r="AA110" i="3" a="1"/>
  <c r="AA110" i="3"/>
  <c r="AA237" i="3" a="1"/>
  <c r="AA237" i="3"/>
  <c r="AA243" i="3" a="1"/>
  <c r="AA243" i="3"/>
  <c r="Y53" i="4" a="1"/>
  <c r="Y53" i="4"/>
  <c r="AA342" i="3" a="1"/>
  <c r="AA342" i="3"/>
  <c r="Y10" i="4" a="1"/>
  <c r="Y10" i="4"/>
  <c r="Y11" i="4" a="1"/>
  <c r="Y11" i="4"/>
  <c r="AA340" i="3" a="1"/>
  <c r="AA340" i="3"/>
  <c r="AA135" i="3" a="1"/>
  <c r="AA135" i="3"/>
  <c r="AA256" i="3" a="1"/>
  <c r="AA256" i="3"/>
  <c r="AA133" i="3" a="1"/>
  <c r="AA133" i="3"/>
  <c r="AA271" i="3" a="1"/>
  <c r="AA271" i="3"/>
  <c r="Y47" i="4" a="1"/>
  <c r="Y47" i="4"/>
  <c r="AA270" i="3" a="1"/>
  <c r="AA270" i="3"/>
  <c r="AA128" i="3" a="1"/>
  <c r="AA128" i="3"/>
  <c r="Y23" i="4" a="1"/>
  <c r="Y23" i="4"/>
  <c r="AA262" i="3" a="1"/>
  <c r="AA262" i="3"/>
  <c r="AA92" i="3" a="1"/>
  <c r="AA92" i="3"/>
  <c r="AA124" i="3" a="1"/>
  <c r="AA124" i="3"/>
  <c r="AA257" i="3" a="1"/>
  <c r="AA257" i="3"/>
  <c r="AA50" i="3" a="1"/>
  <c r="AA50" i="3"/>
  <c r="AA96" i="3" a="1"/>
  <c r="AA96" i="3"/>
  <c r="AA252" i="3" a="1"/>
  <c r="AA252" i="3"/>
  <c r="AA117" i="3" a="1"/>
  <c r="AA117" i="3"/>
  <c r="Y59" i="4" a="1"/>
  <c r="Y59" i="4"/>
  <c r="AA334" i="3" a="1"/>
  <c r="AA334" i="3"/>
  <c r="Y29" i="4" a="1"/>
  <c r="Y29" i="4"/>
  <c r="AA255" i="3" a="1"/>
  <c r="AA255" i="3"/>
  <c r="AA229" i="3" a="1"/>
  <c r="AA229" i="3"/>
  <c r="AA233" i="3" a="1"/>
  <c r="AA233" i="3"/>
  <c r="AA53" i="3" a="1"/>
  <c r="AA53" i="3"/>
  <c r="AA131" i="3" a="1"/>
  <c r="AA131" i="3"/>
  <c r="AA166" i="3" a="1"/>
  <c r="AA166" i="3"/>
  <c r="AA326" i="3" a="1"/>
  <c r="AA326" i="3"/>
  <c r="AF3" i="2" a="1"/>
  <c r="AF3" i="2"/>
  <c r="AA316" i="3" a="1"/>
  <c r="AA316" i="3"/>
  <c r="AA83" i="3" a="1"/>
  <c r="AA83" i="3"/>
  <c r="AA351" i="3" a="1"/>
  <c r="AA351" i="3"/>
  <c r="AA31" i="3" a="1"/>
  <c r="AA31" i="3"/>
  <c r="AA224" i="3" a="1"/>
  <c r="AA224" i="3"/>
  <c r="AA59" i="3" a="1"/>
  <c r="AA59" i="3"/>
  <c r="AA67" i="3" a="1"/>
  <c r="AA67" i="3"/>
  <c r="AA215" i="3" a="1"/>
  <c r="AA215" i="3"/>
  <c r="AA348" i="3" a="1"/>
  <c r="AA348" i="3"/>
  <c r="AA7" i="3" a="1"/>
  <c r="AA7" i="3"/>
  <c r="AA350" i="3" a="1"/>
  <c r="AA350" i="3"/>
  <c r="AA17" i="3" a="1"/>
  <c r="AA17" i="3"/>
  <c r="Y56" i="4" a="1"/>
  <c r="Y56" i="4"/>
  <c r="AA242" i="3" a="1"/>
  <c r="AA242" i="3"/>
  <c r="AA13" i="3" a="1"/>
  <c r="AA13" i="3"/>
  <c r="AA302" i="3" a="1"/>
  <c r="AA302" i="3"/>
  <c r="AA327" i="3" a="1"/>
  <c r="AA327" i="3"/>
  <c r="AA212" i="3" a="1"/>
  <c r="AA212" i="3"/>
  <c r="Y60" i="4" a="1"/>
  <c r="Y60" i="4"/>
  <c r="AA319" i="3" a="1"/>
  <c r="AA319" i="3"/>
  <c r="AA274" i="3" a="1"/>
  <c r="AA274" i="3"/>
  <c r="AA61" i="3" a="1"/>
  <c r="AA61" i="3"/>
  <c r="AA210" i="3" a="1"/>
  <c r="AA210" i="3"/>
  <c r="AA157" i="3" a="1"/>
  <c r="AA157" i="3"/>
  <c r="Y18" i="4" a="1"/>
  <c r="Y18" i="4"/>
  <c r="Y57" i="4" a="1"/>
  <c r="Y57" i="4"/>
  <c r="AA328" i="3" a="1"/>
  <c r="AA328" i="3"/>
  <c r="AA123" i="3" a="1"/>
  <c r="AA123" i="3"/>
  <c r="AA227" i="3" a="1"/>
  <c r="AA227" i="3"/>
  <c r="Y33" i="4" a="1"/>
  <c r="Y33" i="4"/>
  <c r="AA177" i="3" a="1"/>
  <c r="AA177" i="3"/>
  <c r="AA192" i="3" a="1"/>
  <c r="AA192" i="3"/>
  <c r="AA14" i="3" a="1"/>
  <c r="AA14" i="3"/>
  <c r="AA94" i="3" a="1"/>
  <c r="AA94" i="3"/>
  <c r="AA295" i="3" a="1"/>
  <c r="AA295" i="3"/>
  <c r="AA238" i="3" a="1"/>
  <c r="AA238" i="3"/>
  <c r="AA125" i="3" a="1"/>
  <c r="AA125" i="3"/>
  <c r="AA176" i="3" a="1"/>
  <c r="AA176" i="3"/>
  <c r="AA173" i="3" a="1"/>
  <c r="AA173" i="3"/>
  <c r="AA228" i="3" a="1"/>
  <c r="AA228" i="3"/>
  <c r="Y54" i="4" a="1"/>
  <c r="Y54" i="4"/>
  <c r="Y4" i="4" a="1"/>
  <c r="Y4" i="4"/>
  <c r="AA155" i="3" a="1"/>
  <c r="AA155" i="3"/>
  <c r="AA174" i="3" a="1"/>
  <c r="AA174" i="3"/>
  <c r="AA303" i="3" a="1"/>
  <c r="AA303" i="3"/>
  <c r="Y58" i="4" a="1"/>
  <c r="Y58" i="4"/>
  <c r="AA101" i="3" a="1"/>
  <c r="AA101" i="3"/>
  <c r="AA330" i="3" a="1"/>
  <c r="AA330" i="3"/>
  <c r="AA296" i="3" a="1"/>
  <c r="AA296" i="3"/>
  <c r="AA253" i="3" a="1"/>
  <c r="AA253" i="3"/>
  <c r="AA168" i="3" a="1"/>
  <c r="AA168" i="3"/>
  <c r="AA9" i="3" a="1"/>
  <c r="AA9" i="3"/>
  <c r="AA180" i="3" a="1"/>
  <c r="AA180" i="3"/>
  <c r="AA42" i="3" a="1"/>
  <c r="AA42" i="3"/>
  <c r="AA287" i="3" a="1"/>
  <c r="AA287" i="3"/>
  <c r="AA34" i="3" a="1"/>
  <c r="AA34" i="3"/>
  <c r="AA165" i="3" a="1"/>
  <c r="AA165" i="3"/>
  <c r="AA97" i="3" a="1"/>
  <c r="AA97" i="3"/>
  <c r="AA143" i="3" a="1"/>
  <c r="AA143" i="3"/>
  <c r="AA284" i="3" a="1"/>
  <c r="AA284" i="3"/>
  <c r="AA261" i="3" a="1"/>
  <c r="AA261" i="3"/>
  <c r="AA289" i="3" a="1"/>
  <c r="AA289" i="3"/>
  <c r="AA146" i="3" a="1"/>
  <c r="AA146" i="3"/>
  <c r="AA225" i="3" a="1"/>
  <c r="AA225" i="3"/>
  <c r="AA308" i="3" a="1"/>
  <c r="AA308" i="3"/>
  <c r="AA79" i="3" a="1"/>
  <c r="AA79" i="3"/>
  <c r="AA95" i="3" a="1"/>
  <c r="AA95" i="3"/>
  <c r="AA142" i="3" a="1"/>
  <c r="AA142" i="3"/>
  <c r="AA100" i="3" a="1"/>
  <c r="AA100" i="3"/>
  <c r="AA170" i="3" a="1"/>
  <c r="AA170" i="3"/>
  <c r="Y40" i="4" a="1"/>
  <c r="Y40" i="4"/>
  <c r="AA204" i="3" a="1"/>
  <c r="AA204" i="3"/>
  <c r="AA26" i="3" a="1"/>
  <c r="AA26" i="3"/>
  <c r="AA33" i="3" a="1"/>
  <c r="AA33" i="3"/>
  <c r="Y61" i="4" a="1"/>
  <c r="Y61" i="4"/>
  <c r="AA28" i="3" a="1"/>
  <c r="AA28" i="3"/>
  <c r="AA25" i="3" a="1"/>
  <c r="AA25" i="3"/>
  <c r="AA98" i="3" a="1"/>
  <c r="AA98" i="3"/>
  <c r="AA263" i="3" a="1"/>
  <c r="AA263" i="3"/>
  <c r="AA352" i="3" a="1"/>
  <c r="AA352" i="3"/>
  <c r="AA189" i="3" a="1"/>
  <c r="AA189" i="3"/>
  <c r="AA343" i="3" a="1"/>
  <c r="AA343" i="3"/>
  <c r="AA290" i="3" a="1"/>
  <c r="AA290" i="3"/>
  <c r="Y46" i="4" a="1"/>
  <c r="Y46" i="4"/>
  <c r="AA258" i="3" a="1"/>
  <c r="AA258" i="3"/>
  <c r="AA329" i="3" a="1"/>
  <c r="AA329" i="3"/>
  <c r="AA120" i="3" a="1"/>
  <c r="AA120" i="3"/>
  <c r="Y3" i="4" a="1"/>
  <c r="Y3" i="4"/>
  <c r="AA91" i="3" a="1"/>
  <c r="AA91" i="3"/>
  <c r="AA63" i="3" a="1"/>
  <c r="AA63" i="3"/>
  <c r="AA145" i="3" a="1"/>
  <c r="AA145" i="3"/>
  <c r="Y14" i="4" a="1"/>
  <c r="Y14" i="4"/>
  <c r="AA156" i="3" a="1"/>
  <c r="AA156" i="3"/>
  <c r="AA181" i="3" a="1"/>
  <c r="AA181" i="3"/>
  <c r="AA190" i="3" a="1"/>
  <c r="AA190" i="3"/>
  <c r="AA109" i="3" a="1"/>
  <c r="AA109" i="3"/>
  <c r="AA325" i="3" a="1"/>
  <c r="AA325" i="3"/>
  <c r="AA40" i="3" a="1"/>
  <c r="AA40" i="3"/>
  <c r="AA313" i="3" a="1"/>
  <c r="AA313" i="3"/>
  <c r="AF4" i="2" a="1"/>
  <c r="AF4" i="2"/>
  <c r="AA248" i="3" a="1"/>
  <c r="AA248" i="3"/>
  <c r="AA136" i="3" a="1"/>
  <c r="AA136" i="3"/>
  <c r="AA278" i="3" a="1"/>
  <c r="AA278" i="3"/>
  <c r="Y34" i="4" a="1"/>
  <c r="Y34" i="4"/>
  <c r="AA223" i="3" a="1"/>
  <c r="AA223" i="3"/>
  <c r="AA108" i="3" a="1"/>
  <c r="AA108" i="3"/>
  <c r="AA203" i="3" a="1"/>
  <c r="AA203" i="3"/>
  <c r="AA36" i="3" a="1"/>
  <c r="AA36" i="3"/>
  <c r="AA77" i="3" a="1"/>
  <c r="AA77" i="3"/>
  <c r="AA65" i="3" a="1"/>
  <c r="AA65" i="3"/>
  <c r="AA323" i="3" a="1"/>
  <c r="AA323" i="3"/>
  <c r="AF2" i="2" a="1"/>
  <c r="AF2" i="2"/>
  <c r="Y2" i="4" a="1"/>
  <c r="Y2" i="4"/>
  <c r="AA2" i="3" a="1"/>
  <c r="AA2" i="3"/>
  <c r="AA332" i="3" a="1"/>
  <c r="AA332" i="3"/>
  <c r="AA47" i="3" a="1"/>
  <c r="AA47" i="3"/>
  <c r="AA251" i="3" a="1"/>
  <c r="AA251" i="3"/>
  <c r="AA230" i="3" a="1"/>
  <c r="AA230" i="3"/>
  <c r="AA160" i="3" a="1"/>
  <c r="AA160" i="3"/>
  <c r="AA121" i="3" a="1"/>
  <c r="AA121" i="3"/>
  <c r="AA107" i="3" a="1"/>
  <c r="AA107" i="3"/>
  <c r="AA333" i="3" a="1"/>
  <c r="AA333" i="3"/>
  <c r="AA312" i="3" a="1"/>
  <c r="AA312" i="3"/>
  <c r="AA78" i="3" a="1"/>
  <c r="AA78" i="3"/>
  <c r="Y22" i="4" a="1"/>
  <c r="Y22" i="4"/>
  <c r="AA331" i="3" a="1"/>
  <c r="AA331" i="3"/>
  <c r="Y25" i="4" a="1"/>
  <c r="Y25" i="4"/>
  <c r="AA144" i="3" a="1"/>
  <c r="AA144" i="3"/>
  <c r="AA4" i="3" a="1"/>
  <c r="AA4" i="3"/>
  <c r="AA8" i="3" a="1"/>
  <c r="AA8" i="3"/>
  <c r="AA48" i="3" a="1"/>
  <c r="AA48" i="3"/>
  <c r="AA236" i="3" a="1"/>
  <c r="AA236" i="3"/>
  <c r="AA127" i="3" a="1"/>
  <c r="AA127" i="3"/>
  <c r="AA24" i="3" a="1"/>
  <c r="AA24" i="3"/>
  <c r="AA232" i="3" a="1"/>
  <c r="AA232" i="3"/>
  <c r="AA267" i="3" a="1"/>
  <c r="AA267" i="3"/>
  <c r="AA306" i="3" a="1"/>
  <c r="AA306" i="3"/>
  <c r="Y16" i="4" a="1"/>
  <c r="Y16" i="4"/>
  <c r="AA324" i="3" a="1"/>
  <c r="AA324" i="3"/>
  <c r="AA207" i="3" a="1"/>
  <c r="AA207" i="3"/>
  <c r="AA129" i="3" a="1"/>
  <c r="AA129" i="3"/>
  <c r="AA179" i="3" a="1"/>
  <c r="AA179" i="3"/>
  <c r="AA86" i="3" a="1"/>
  <c r="AA86" i="3"/>
  <c r="AA27" i="3" a="1"/>
  <c r="AA27" i="3"/>
  <c r="Y7" i="4" a="1"/>
  <c r="Y7" i="4"/>
  <c r="AA307" i="3" a="1"/>
  <c r="AA307" i="3"/>
  <c r="AA195" i="3" a="1"/>
  <c r="AA195" i="3"/>
  <c r="AA300" i="3" a="1"/>
  <c r="AA300" i="3"/>
  <c r="AA149" i="3" a="1"/>
  <c r="AA149" i="3"/>
  <c r="AA105" i="3" a="1"/>
  <c r="AA105" i="3"/>
  <c r="AA163" i="3" a="1"/>
  <c r="AA163" i="3"/>
  <c r="AA269" i="3" a="1"/>
  <c r="AA269" i="3"/>
  <c r="AA335" i="3" a="1"/>
  <c r="AA335" i="3"/>
  <c r="AA103" i="3" a="1"/>
  <c r="AA103" i="3"/>
  <c r="AA70" i="3" a="1"/>
  <c r="AA70" i="3"/>
  <c r="AA216" i="3" a="1"/>
  <c r="AA216" i="3"/>
  <c r="AA240" i="3" a="1"/>
  <c r="AA240" i="3"/>
  <c r="AA247" i="3" a="1"/>
  <c r="AA247" i="3"/>
  <c r="AA106" i="3" a="1"/>
  <c r="AA106" i="3"/>
  <c r="AA268" i="3" a="1"/>
  <c r="AA268" i="3"/>
  <c r="AA194" i="3" a="1"/>
  <c r="AA194" i="3"/>
  <c r="AA71" i="3" a="1"/>
  <c r="AA71" i="3"/>
  <c r="AA49" i="3" a="1"/>
  <c r="AA49" i="3"/>
  <c r="AA244" i="3" a="1"/>
  <c r="AA244" i="3"/>
  <c r="AA205" i="3" a="1"/>
  <c r="AA205" i="3"/>
  <c r="AA46" i="3" a="1"/>
  <c r="AA46" i="3"/>
  <c r="AA285" i="3" a="1"/>
  <c r="AA285" i="3"/>
  <c r="AA113" i="3" a="1"/>
  <c r="AA113" i="3"/>
  <c r="AA74" i="3" a="1"/>
  <c r="AA74" i="3"/>
  <c r="AA301" i="3" a="1"/>
  <c r="AA301" i="3"/>
  <c r="AA167" i="3" a="1"/>
  <c r="AA167" i="3"/>
  <c r="AA152" i="3" a="1"/>
  <c r="AA152" i="3"/>
  <c r="Y36" i="4" a="1"/>
  <c r="Y36" i="4"/>
  <c r="Y12" i="4" a="1"/>
  <c r="Y12" i="4"/>
  <c r="AA72" i="3" a="1"/>
  <c r="AA72" i="3"/>
  <c r="AA161" i="3" a="1"/>
  <c r="AA161" i="3"/>
  <c r="AA43" i="3" a="1"/>
  <c r="AA43" i="3"/>
  <c r="Y26" i="4" a="1"/>
  <c r="Y26" i="4"/>
  <c r="AA197" i="3" a="1"/>
  <c r="AA197" i="3"/>
  <c r="AA3" i="3" a="1"/>
  <c r="AA3" i="3"/>
  <c r="AA119" i="3" a="1"/>
  <c r="AA119" i="3"/>
  <c r="Y21" i="4" a="1"/>
  <c r="Y21" i="4"/>
  <c r="AA281" i="3" a="1"/>
  <c r="AA281" i="3"/>
  <c r="AA246" i="3" a="1"/>
  <c r="AA246" i="3"/>
  <c r="Y38" i="4" a="1"/>
  <c r="Y38" i="4"/>
  <c r="AA317" i="3" a="1"/>
  <c r="AA317" i="3"/>
  <c r="AA201" i="3" a="1"/>
  <c r="AA201" i="3"/>
  <c r="AA191" i="3" a="1"/>
  <c r="AA191" i="3"/>
  <c r="AA64" i="3" a="1"/>
  <c r="AA64" i="3"/>
  <c r="AA80" i="3" a="1"/>
  <c r="AA80" i="3"/>
  <c r="AA126" i="3" a="1"/>
  <c r="AA126" i="3"/>
  <c r="AA56" i="3" a="1"/>
  <c r="AA56" i="3"/>
  <c r="AA322" i="3" a="1"/>
  <c r="AA322" i="3"/>
  <c r="AA29" i="3" a="1"/>
  <c r="AA29" i="3"/>
  <c r="AA318" i="3" a="1"/>
  <c r="AA318" i="3"/>
  <c r="AA115" i="3" a="1"/>
  <c r="AA115" i="3"/>
  <c r="AA277" i="3" a="1"/>
  <c r="AA277" i="3"/>
  <c r="AA151" i="3" a="1"/>
  <c r="AA151" i="3"/>
  <c r="AA68" i="3" a="1"/>
  <c r="AA68" i="3"/>
  <c r="AA182" i="3" a="1"/>
  <c r="AA182" i="3"/>
  <c r="AA19" i="3" a="1"/>
  <c r="AA19" i="3"/>
  <c r="AA259" i="3" a="1"/>
  <c r="AA259" i="3"/>
  <c r="AA304" i="3" a="1"/>
  <c r="AA304" i="3"/>
  <c r="AA158" i="3" a="1"/>
  <c r="AA158" i="3"/>
  <c r="AA148" i="3" a="1"/>
  <c r="AA148" i="3"/>
  <c r="AA282" i="3" a="1"/>
  <c r="AA282" i="3"/>
  <c r="AA353" i="3" a="1"/>
  <c r="AA353" i="3"/>
  <c r="AA297" i="3" a="1"/>
  <c r="AA297" i="3"/>
  <c r="AA185" i="3" a="1"/>
  <c r="AA185" i="3"/>
  <c r="AA137" i="3" a="1"/>
  <c r="AA137" i="3"/>
  <c r="AA20" i="3" a="1"/>
  <c r="AA20" i="3"/>
  <c r="AA87" i="3" a="1"/>
  <c r="AA87" i="3"/>
  <c r="AA10" i="3" a="1"/>
  <c r="AA10" i="3"/>
  <c r="AA6" i="3" a="1"/>
  <c r="AA6" i="3"/>
  <c r="AA338" i="3" a="1"/>
  <c r="AA338" i="3"/>
  <c r="Y52" i="4" a="1"/>
  <c r="Y52" i="4"/>
  <c r="AA294" i="3" a="1"/>
  <c r="AA294" i="3"/>
  <c r="AA235" i="3" a="1"/>
  <c r="AA235" i="3"/>
  <c r="AA214" i="3" a="1"/>
  <c r="AA214" i="3"/>
  <c r="AA164" i="3" a="1"/>
  <c r="AA164" i="3"/>
  <c r="AA159" i="3" a="1"/>
  <c r="AA159" i="3"/>
  <c r="AA198" i="3" a="1"/>
  <c r="AA198" i="3"/>
  <c r="AA44" i="3" a="1"/>
  <c r="AA44" i="3"/>
  <c r="AA55" i="3" a="1"/>
  <c r="AA55" i="3"/>
  <c r="AA21" i="3" a="1"/>
  <c r="AA21" i="3"/>
  <c r="AA54" i="3" a="1"/>
  <c r="AA54" i="3"/>
  <c r="Y5" i="4" a="1"/>
  <c r="Y5" i="4"/>
  <c r="Y32" i="4" a="1"/>
  <c r="Y32" i="4"/>
  <c r="AA102" i="3" a="1"/>
  <c r="AA102" i="3"/>
  <c r="AA265" i="3" a="1"/>
  <c r="AA265" i="3"/>
  <c r="AA275" i="3" a="1"/>
  <c r="AA275" i="3"/>
  <c r="AA245" i="3" a="1"/>
  <c r="AA245" i="3"/>
  <c r="Y13" i="4" a="1"/>
  <c r="Y13" i="4"/>
  <c r="AA260" i="3" a="1"/>
  <c r="AA260" i="3"/>
  <c r="AA37" i="3" a="1"/>
  <c r="AA37" i="3"/>
  <c r="Y28" i="4" a="1"/>
  <c r="Y28" i="4"/>
  <c r="AA288" i="3" a="1"/>
  <c r="AA288" i="3"/>
  <c r="AA147" i="3" a="1"/>
  <c r="AA147" i="3"/>
  <c r="AA39" i="3" a="1"/>
  <c r="AA39" i="3"/>
  <c r="Y20" i="4" a="1"/>
  <c r="Y20" i="4"/>
  <c r="AA193" i="3" a="1"/>
  <c r="AA193" i="3"/>
  <c r="Y48" i="4" a="1"/>
  <c r="Y48" i="4"/>
  <c r="AA310" i="3" a="1"/>
  <c r="AA310" i="3"/>
  <c r="AA305" i="3" a="1"/>
  <c r="AA305" i="3"/>
  <c r="AA60" i="3" a="1"/>
  <c r="AA60" i="3"/>
  <c r="AA347" i="3" a="1"/>
  <c r="AA347" i="3"/>
  <c r="AA291" i="3" a="1"/>
  <c r="AA291" i="3"/>
  <c r="AA273" i="3" a="1"/>
  <c r="AA273" i="3"/>
  <c r="AA311" i="3" a="1"/>
  <c r="AA311" i="3"/>
  <c r="Y15" i="4" a="1"/>
  <c r="Y15" i="4"/>
  <c r="AA175" i="3" a="1"/>
  <c r="AA175" i="3"/>
  <c r="AA154" i="3" a="1"/>
  <c r="AA154" i="3"/>
  <c r="AA209" i="3" a="1"/>
  <c r="AA209" i="3"/>
  <c r="Y8" i="4" a="1"/>
  <c r="Y8" i="4"/>
  <c r="AA38" i="3" a="1"/>
  <c r="AA38" i="3"/>
  <c r="AA122" i="3" a="1"/>
  <c r="AA122" i="3"/>
  <c r="AA213" i="3" a="1"/>
  <c r="AA213" i="3"/>
  <c r="AA264" i="3" a="1"/>
  <c r="AA264" i="3"/>
  <c r="AA196" i="3" a="1"/>
  <c r="AA196" i="3"/>
  <c r="AA81" i="3" a="1"/>
  <c r="AA81" i="3"/>
  <c r="AA339" i="3" a="1"/>
  <c r="AA339" i="3"/>
  <c r="AA254" i="3" a="1"/>
  <c r="AA254" i="3"/>
  <c r="AA35" i="3" a="1"/>
  <c r="AA35" i="3"/>
  <c r="Y9" i="4" a="1"/>
  <c r="Y9" i="4"/>
  <c r="AA112" i="3" a="1"/>
  <c r="AA112" i="3"/>
  <c r="Y17" i="4" a="1"/>
  <c r="Y17" i="4"/>
  <c r="Y24" i="4" a="1"/>
  <c r="Y24" i="4"/>
  <c r="AA134" i="3" a="1"/>
  <c r="AA134" i="3"/>
  <c r="AA220" i="3" a="1"/>
  <c r="AA220" i="3"/>
  <c r="AA315" i="3" a="1"/>
  <c r="AA315" i="3"/>
  <c r="AA88" i="3" a="1"/>
  <c r="AA88" i="3"/>
  <c r="AA186" i="3" a="1"/>
  <c r="AA186" i="3"/>
  <c r="AA336" i="3" a="1"/>
  <c r="AA336" i="3"/>
  <c r="AA283" i="3" a="1"/>
  <c r="AA283" i="3"/>
  <c r="Y55" i="4" a="1"/>
  <c r="Y55" i="4"/>
  <c r="Y37" i="4" a="1"/>
  <c r="Y37" i="4"/>
  <c r="AA58" i="3" a="1"/>
  <c r="AA58" i="3"/>
  <c r="AA172" i="3" a="1"/>
  <c r="AA172" i="3"/>
  <c r="AA114" i="3" a="1"/>
  <c r="AA114" i="3"/>
  <c r="AA104" i="3" a="1"/>
  <c r="AA104" i="3"/>
  <c r="AA266" i="3" a="1"/>
  <c r="AA266" i="3"/>
  <c r="AA111" i="3" a="1"/>
  <c r="AA111" i="3"/>
  <c r="AA76" i="3" a="1"/>
  <c r="AA76" i="3"/>
  <c r="AA241" i="3" a="1"/>
  <c r="AA241" i="3"/>
  <c r="AA293" i="3" a="1"/>
  <c r="AA293" i="3"/>
  <c r="AA11" i="3" a="1"/>
  <c r="AA11" i="3"/>
  <c r="AA298" i="3" a="1"/>
  <c r="AA298" i="3"/>
  <c r="AA118" i="3" a="1"/>
  <c r="AA118" i="3"/>
  <c r="AA231" i="3" a="1"/>
  <c r="AA231" i="3"/>
  <c r="AA162" i="3" a="1"/>
  <c r="AA162" i="3"/>
  <c r="AA337" i="3" a="1"/>
  <c r="AA337" i="3"/>
  <c r="AA226" i="3" a="1"/>
  <c r="AA226" i="3"/>
  <c r="AA45" i="3" a="1"/>
  <c r="AA45" i="3"/>
  <c r="AA140" i="3" a="1"/>
  <c r="AA140" i="3"/>
  <c r="AA90" i="3" a="1"/>
  <c r="AA90" i="3"/>
  <c r="AA309" i="3" a="1"/>
  <c r="AA309" i="3"/>
  <c r="AA84" i="3" a="1"/>
  <c r="AA84" i="3"/>
  <c r="Y27" i="4" a="1"/>
  <c r="Y27" i="4"/>
  <c r="AA218" i="3" a="1"/>
  <c r="AA218" i="3"/>
  <c r="AA153" i="3" a="1"/>
  <c r="AA153" i="3"/>
  <c r="Y19" i="4" a="1"/>
  <c r="Y19" i="4"/>
  <c r="Y42" i="4" a="1"/>
  <c r="Y42" i="4"/>
  <c r="AA188" i="3" a="1"/>
  <c r="AA188" i="3"/>
  <c r="AA250" i="3" a="1"/>
  <c r="AA250" i="3"/>
  <c r="Y41" i="4" a="1"/>
  <c r="Y41" i="4"/>
  <c r="AA202" i="3" a="1"/>
  <c r="AA202" i="3"/>
  <c r="AA208" i="3" a="1"/>
  <c r="AA208" i="3"/>
  <c r="AA272" i="3" a="1"/>
  <c r="AA272" i="3"/>
  <c r="AA187" i="3" a="1"/>
  <c r="AA187" i="3"/>
  <c r="AA219" i="3" a="1"/>
  <c r="AA219" i="3"/>
  <c r="AA276" i="3" a="1"/>
  <c r="AA276" i="3"/>
  <c r="AA314" i="3" a="1"/>
  <c r="AA314" i="3"/>
  <c r="AA82" i="3" a="1"/>
  <c r="AA82" i="3"/>
  <c r="AA132" i="3" a="1"/>
  <c r="AA132" i="3"/>
  <c r="AA139" i="3" a="1"/>
  <c r="AA139" i="3"/>
  <c r="AA320" i="3" a="1"/>
  <c r="AA320" i="3"/>
  <c r="AA85" i="3" a="1"/>
  <c r="AA85" i="3"/>
  <c r="AA184" i="3" a="1"/>
  <c r="AA184" i="3"/>
  <c r="AA299" i="3" a="1"/>
  <c r="AA299" i="3"/>
  <c r="AA211" i="3" a="1"/>
  <c r="AA211" i="3"/>
  <c r="E25" i="4" l="1"/>
  <c r="F25" i="4" s="1"/>
  <c r="S25" i="4" s="1"/>
  <c r="E57" i="4"/>
  <c r="F57" i="4" s="1"/>
  <c r="S57" i="4" s="1"/>
  <c r="E28" i="4"/>
  <c r="F28" i="4" s="1"/>
  <c r="S28" i="4" s="1"/>
  <c r="E31" i="4"/>
  <c r="F31" i="4" s="1"/>
  <c r="S31" i="4" s="1"/>
  <c r="E34" i="4"/>
  <c r="F34" i="4" s="1"/>
  <c r="S34" i="4" s="1"/>
  <c r="E37" i="4"/>
  <c r="F37" i="4" s="1"/>
  <c r="S37" i="4" s="1"/>
  <c r="E39" i="4"/>
  <c r="F39" i="4" s="1"/>
  <c r="S39" i="4" s="1"/>
  <c r="E42" i="4"/>
  <c r="F42" i="4" s="1"/>
  <c r="S42" i="4" s="1"/>
  <c r="E45" i="4"/>
  <c r="F45" i="4" s="1"/>
  <c r="S45" i="4" s="1"/>
  <c r="E48" i="4"/>
  <c r="F48" i="4" s="1"/>
  <c r="S48" i="4" s="1"/>
  <c r="E52" i="4"/>
  <c r="F52" i="4" s="1"/>
  <c r="S52" i="4" s="1"/>
  <c r="E55" i="4"/>
  <c r="F55" i="4" s="1"/>
  <c r="S55" i="4" s="1"/>
  <c r="E26" i="4"/>
  <c r="F26" i="4" s="1"/>
  <c r="S26" i="4" s="1"/>
  <c r="E58" i="4"/>
  <c r="F58" i="4" s="1"/>
  <c r="S58" i="4" s="1"/>
  <c r="E29" i="4"/>
  <c r="F29" i="4" s="1"/>
  <c r="S29" i="4" s="1"/>
  <c r="E32" i="4"/>
  <c r="F32" i="4" s="1"/>
  <c r="S32" i="4" s="1"/>
  <c r="E35" i="4"/>
  <c r="F35" i="4" s="1"/>
  <c r="S35" i="4" s="1"/>
  <c r="E40" i="4"/>
  <c r="F40" i="4" s="1"/>
  <c r="S40" i="4" s="1"/>
  <c r="E43" i="4"/>
  <c r="F43" i="4" s="1"/>
  <c r="S43" i="4" s="1"/>
  <c r="E46" i="4"/>
  <c r="F46" i="4" s="1"/>
  <c r="S46" i="4" s="1"/>
  <c r="E53" i="4"/>
  <c r="F53" i="4" s="1"/>
  <c r="S53" i="4" s="1"/>
  <c r="E56" i="4"/>
  <c r="F56" i="4" s="1"/>
  <c r="S56" i="4" s="1"/>
  <c r="E27" i="4"/>
  <c r="F27" i="4" s="1"/>
  <c r="S27" i="4" s="1"/>
  <c r="E30" i="4"/>
  <c r="F30" i="4" s="1"/>
  <c r="S30" i="4" s="1"/>
  <c r="E33" i="4"/>
  <c r="F33" i="4" s="1"/>
  <c r="S33" i="4" s="1"/>
  <c r="E36" i="4"/>
  <c r="F36" i="4" s="1"/>
  <c r="S36" i="4" s="1"/>
  <c r="E38" i="4"/>
  <c r="F38" i="4" s="1"/>
  <c r="S38" i="4" s="1"/>
  <c r="E41" i="4"/>
  <c r="F41" i="4" s="1"/>
  <c r="S41" i="4" s="1"/>
  <c r="E44" i="4"/>
  <c r="F44" i="4" s="1"/>
  <c r="S44" i="4" s="1"/>
  <c r="E47" i="4"/>
  <c r="F47" i="4" s="1"/>
  <c r="S47" i="4" s="1"/>
  <c r="E54" i="4"/>
  <c r="F54" i="4" s="1"/>
  <c r="S54" i="4" s="1"/>
  <c r="E61" i="4"/>
  <c r="F61" i="4" s="1"/>
  <c r="S61" i="4" s="1"/>
  <c r="E23" i="4"/>
  <c r="F23" i="4" s="1"/>
  <c r="S23" i="4" s="1"/>
  <c r="E59" i="4"/>
  <c r="F59" i="4" s="1"/>
  <c r="S59" i="4" s="1"/>
  <c r="E24" i="4"/>
  <c r="F24" i="4" s="1"/>
  <c r="S24" i="4" s="1"/>
  <c r="E60" i="4"/>
  <c r="F60" i="4" s="1"/>
  <c r="S60" i="4" s="1"/>
  <c r="E14" i="4"/>
  <c r="F14" i="4" s="1"/>
  <c r="S14" i="4" s="1"/>
  <c r="E17" i="4"/>
  <c r="F17" i="4" s="1"/>
  <c r="S17" i="4" s="1"/>
  <c r="E20" i="4"/>
  <c r="F20" i="4" s="1"/>
  <c r="S20" i="4" s="1"/>
  <c r="E15" i="4"/>
  <c r="F15" i="4" s="1"/>
  <c r="S15" i="4" s="1"/>
  <c r="E18" i="4"/>
  <c r="F18" i="4" s="1"/>
  <c r="S18" i="4" s="1"/>
  <c r="E21" i="4"/>
  <c r="F21" i="4" s="1"/>
  <c r="S21" i="4" s="1"/>
  <c r="E13" i="4"/>
  <c r="F13" i="4" s="1"/>
  <c r="S13" i="4" s="1"/>
  <c r="E16" i="4"/>
  <c r="F16" i="4" s="1"/>
  <c r="S16" i="4" s="1"/>
  <c r="E19" i="4"/>
  <c r="F19" i="4" s="1"/>
  <c r="S19" i="4" s="1"/>
  <c r="E22" i="4"/>
  <c r="F22" i="4" s="1"/>
  <c r="S22" i="4" s="1"/>
  <c r="T25" i="4" l="1"/>
  <c r="AL32" i="4"/>
  <c r="AU42" i="4"/>
  <c r="AL30" i="4"/>
  <c r="AC28" i="4"/>
  <c r="Z38" i="4"/>
  <c r="Z41" i="4"/>
  <c r="AB41" i="4" s="1"/>
  <c r="Z44" i="4"/>
  <c r="AB44" i="4" s="1"/>
  <c r="Z47" i="4"/>
  <c r="AB47" i="4" s="1"/>
  <c r="Z54" i="4"/>
  <c r="AB54" i="4" s="1"/>
  <c r="Z25" i="4"/>
  <c r="AB25" i="4" s="1"/>
  <c r="Z57" i="4"/>
  <c r="AB57" i="4" s="1"/>
  <c r="Z28" i="4"/>
  <c r="AB28" i="4" s="1"/>
  <c r="Z31" i="4"/>
  <c r="AB31" i="4" s="1"/>
  <c r="Z34" i="4"/>
  <c r="AB34" i="4" s="1"/>
  <c r="Z37" i="4"/>
  <c r="AB37" i="4" s="1"/>
  <c r="Z39" i="4"/>
  <c r="AB39" i="4" s="1"/>
  <c r="Z42" i="4"/>
  <c r="AB42" i="4" s="1"/>
  <c r="Z45" i="4"/>
  <c r="AB45" i="4" s="1"/>
  <c r="Z48" i="4"/>
  <c r="AB48" i="4" s="1"/>
  <c r="Z52" i="4"/>
  <c r="AB52" i="4" s="1"/>
  <c r="Z55" i="4"/>
  <c r="AB55" i="4" s="1"/>
  <c r="Z26" i="4"/>
  <c r="AB26" i="4" s="1"/>
  <c r="Z58" i="4"/>
  <c r="AB58" i="4" s="1"/>
  <c r="Z29" i="4"/>
  <c r="AB29" i="4" s="1"/>
  <c r="Z32" i="4"/>
  <c r="AB32" i="4" s="1"/>
  <c r="Z35" i="4"/>
  <c r="AB35" i="4" s="1"/>
  <c r="Z40" i="4"/>
  <c r="AB40" i="4" s="1"/>
  <c r="Z43" i="4"/>
  <c r="AB43" i="4" s="1"/>
  <c r="Z46" i="4"/>
  <c r="Z53" i="4"/>
  <c r="AB53" i="4" s="1"/>
  <c r="Z56" i="4"/>
  <c r="Z27" i="4"/>
  <c r="AB27" i="4" s="1"/>
  <c r="Z30" i="4"/>
  <c r="Z33" i="4"/>
  <c r="Z36" i="4"/>
  <c r="AB36" i="4" s="1"/>
  <c r="AL34" i="4"/>
  <c r="AL41" i="4"/>
  <c r="AC55" i="4"/>
  <c r="AU36" i="4"/>
  <c r="AU43" i="4"/>
  <c r="AU37" i="4"/>
  <c r="AL29" i="4"/>
  <c r="AB38" i="4"/>
  <c r="T45" i="4"/>
  <c r="AC56" i="4"/>
  <c r="AL52" i="4"/>
  <c r="T38" i="4"/>
  <c r="AU40" i="4"/>
  <c r="AL55" i="4"/>
  <c r="AC42" i="4"/>
  <c r="AC38" i="4"/>
  <c r="AL44" i="4"/>
  <c r="T56" i="4"/>
  <c r="T43" i="4"/>
  <c r="AC48" i="4"/>
  <c r="T29" i="4"/>
  <c r="AL56" i="4"/>
  <c r="T34" i="4"/>
  <c r="AU29" i="4"/>
  <c r="AU33" i="4"/>
  <c r="T42" i="4"/>
  <c r="AL48" i="4"/>
  <c r="T36" i="4"/>
  <c r="AU38" i="4"/>
  <c r="AC29" i="4"/>
  <c r="AU55" i="4"/>
  <c r="AC40" i="4"/>
  <c r="T47" i="4"/>
  <c r="T53" i="4"/>
  <c r="AU35" i="4"/>
  <c r="AC57" i="4"/>
  <c r="AI33" i="4"/>
  <c r="AK33" i="4" s="1"/>
  <c r="AI36" i="4"/>
  <c r="AK36" i="4" s="1"/>
  <c r="AI38" i="4"/>
  <c r="AK38" i="4" s="1"/>
  <c r="AI41" i="4"/>
  <c r="AK41" i="4" s="1"/>
  <c r="AI44" i="4"/>
  <c r="AK44" i="4" s="1"/>
  <c r="AI47" i="4"/>
  <c r="AK47" i="4" s="1"/>
  <c r="AI54" i="4"/>
  <c r="AK54" i="4" s="1"/>
  <c r="AI25" i="4"/>
  <c r="AK25" i="4" s="1"/>
  <c r="AI57" i="4"/>
  <c r="AK57" i="4" s="1"/>
  <c r="AI28" i="4"/>
  <c r="AK28" i="4" s="1"/>
  <c r="AI31" i="4"/>
  <c r="AK31" i="4" s="1"/>
  <c r="AI34" i="4"/>
  <c r="AK34" i="4" s="1"/>
  <c r="AI37" i="4"/>
  <c r="AK37" i="4" s="1"/>
  <c r="AI39" i="4"/>
  <c r="AK39" i="4" s="1"/>
  <c r="AI42" i="4"/>
  <c r="AK42" i="4" s="1"/>
  <c r="AI45" i="4"/>
  <c r="AK45" i="4" s="1"/>
  <c r="AI48" i="4"/>
  <c r="AK48" i="4" s="1"/>
  <c r="AI52" i="4"/>
  <c r="AK52" i="4" s="1"/>
  <c r="AI55" i="4"/>
  <c r="AK55" i="4" s="1"/>
  <c r="AI26" i="4"/>
  <c r="AK26" i="4" s="1"/>
  <c r="AI58" i="4"/>
  <c r="AK58" i="4" s="1"/>
  <c r="AI29" i="4"/>
  <c r="AK29" i="4" s="1"/>
  <c r="AI32" i="4"/>
  <c r="AK32" i="4" s="1"/>
  <c r="AI35" i="4"/>
  <c r="AK35" i="4" s="1"/>
  <c r="AI40" i="4"/>
  <c r="AK40" i="4" s="1"/>
  <c r="AI43" i="4"/>
  <c r="AK43" i="4" s="1"/>
  <c r="AI46" i="4"/>
  <c r="AK46" i="4" s="1"/>
  <c r="AI53" i="4"/>
  <c r="AK53" i="4" s="1"/>
  <c r="AI56" i="4"/>
  <c r="AK56" i="4" s="1"/>
  <c r="AI27" i="4"/>
  <c r="AK27" i="4" s="1"/>
  <c r="AI30" i="4"/>
  <c r="AK30" i="4" s="1"/>
  <c r="AU27" i="4"/>
  <c r="AU56" i="4"/>
  <c r="AC52" i="4"/>
  <c r="T44" i="4"/>
  <c r="AL54" i="4"/>
  <c r="AC30" i="4"/>
  <c r="T35" i="4"/>
  <c r="AC39" i="4"/>
  <c r="AL46" i="4"/>
  <c r="J54" i="4"/>
  <c r="L54" i="4" s="1"/>
  <c r="J25" i="4"/>
  <c r="L25" i="4" s="1"/>
  <c r="J57" i="4"/>
  <c r="L57" i="4" s="1"/>
  <c r="J28" i="4"/>
  <c r="L28" i="4" s="1"/>
  <c r="J31" i="4"/>
  <c r="L31" i="4" s="1"/>
  <c r="J34" i="4"/>
  <c r="L34" i="4" s="1"/>
  <c r="J37" i="4"/>
  <c r="J39" i="4"/>
  <c r="L39" i="4" s="1"/>
  <c r="J42" i="4"/>
  <c r="L42" i="4" s="1"/>
  <c r="J45" i="4"/>
  <c r="L45" i="4" s="1"/>
  <c r="J48" i="4"/>
  <c r="L48" i="4" s="1"/>
  <c r="J52" i="4"/>
  <c r="L52" i="4" s="1"/>
  <c r="J55" i="4"/>
  <c r="L55" i="4" s="1"/>
  <c r="J26" i="4"/>
  <c r="L26" i="4" s="1"/>
  <c r="J58" i="4"/>
  <c r="L58" i="4" s="1"/>
  <c r="J29" i="4"/>
  <c r="L29" i="4" s="1"/>
  <c r="J32" i="4"/>
  <c r="L32" i="4" s="1"/>
  <c r="J35" i="4"/>
  <c r="L35" i="4" s="1"/>
  <c r="J40" i="4"/>
  <c r="L40" i="4" s="1"/>
  <c r="J43" i="4"/>
  <c r="L43" i="4" s="1"/>
  <c r="J46" i="4"/>
  <c r="L46" i="4" s="1"/>
  <c r="J53" i="4"/>
  <c r="L53" i="4" s="1"/>
  <c r="J56" i="4"/>
  <c r="L56" i="4" s="1"/>
  <c r="J27" i="4"/>
  <c r="L27" i="4" s="1"/>
  <c r="J30" i="4"/>
  <c r="L30" i="4" s="1"/>
  <c r="J33" i="4"/>
  <c r="L33" i="4" s="1"/>
  <c r="J36" i="4"/>
  <c r="L36" i="4" s="1"/>
  <c r="J38" i="4"/>
  <c r="L38" i="4" s="1"/>
  <c r="J41" i="4"/>
  <c r="L41" i="4" s="1"/>
  <c r="J44" i="4"/>
  <c r="L44" i="4" s="1"/>
  <c r="J47" i="4"/>
  <c r="L47" i="4" s="1"/>
  <c r="AC36" i="4"/>
  <c r="T57" i="4"/>
  <c r="AU32" i="4"/>
  <c r="AL58" i="4"/>
  <c r="T41" i="4"/>
  <c r="AU39" i="4"/>
  <c r="AC35" i="4"/>
  <c r="T48" i="4"/>
  <c r="AL37" i="4"/>
  <c r="AL25" i="4"/>
  <c r="T52" i="4"/>
  <c r="AL27" i="4"/>
  <c r="AC32" i="4"/>
  <c r="T31" i="4"/>
  <c r="AC54" i="4"/>
  <c r="AL57" i="4"/>
  <c r="AL39" i="4"/>
  <c r="AU28" i="4"/>
  <c r="T26" i="4"/>
  <c r="AL31" i="4"/>
  <c r="T39" i="4"/>
  <c r="AC46" i="4"/>
  <c r="AC45" i="4"/>
  <c r="AL40" i="4"/>
  <c r="AL36" i="4"/>
  <c r="AC37" i="4"/>
  <c r="AU45" i="4"/>
  <c r="T55" i="4"/>
  <c r="AC25" i="4"/>
  <c r="AC27" i="4"/>
  <c r="AU48" i="4"/>
  <c r="AL33" i="4"/>
  <c r="AC34" i="4"/>
  <c r="T27" i="4"/>
  <c r="AC44" i="4"/>
  <c r="AC31" i="4"/>
  <c r="T33" i="4"/>
  <c r="AU58" i="4"/>
  <c r="AU25" i="4"/>
  <c r="AL35" i="4"/>
  <c r="AU54" i="4"/>
  <c r="T46" i="4"/>
  <c r="N47" i="4"/>
  <c r="Q47" i="4" s="1"/>
  <c r="N54" i="4"/>
  <c r="Q54" i="4" s="1"/>
  <c r="N25" i="4"/>
  <c r="Q25" i="4" s="1"/>
  <c r="N57" i="4"/>
  <c r="Q57" i="4" s="1"/>
  <c r="N28" i="4"/>
  <c r="Q28" i="4" s="1"/>
  <c r="N31" i="4"/>
  <c r="Q31" i="4" s="1"/>
  <c r="N34" i="4"/>
  <c r="Q34" i="4" s="1"/>
  <c r="N37" i="4"/>
  <c r="Q37" i="4" s="1"/>
  <c r="N39" i="4"/>
  <c r="Q39" i="4" s="1"/>
  <c r="N42" i="4"/>
  <c r="Q42" i="4" s="1"/>
  <c r="N45" i="4"/>
  <c r="Q45" i="4" s="1"/>
  <c r="N48" i="4"/>
  <c r="Q48" i="4" s="1"/>
  <c r="N52" i="4"/>
  <c r="Q52" i="4" s="1"/>
  <c r="N55" i="4"/>
  <c r="Q55" i="4" s="1"/>
  <c r="N26" i="4"/>
  <c r="Q26" i="4" s="1"/>
  <c r="N58" i="4"/>
  <c r="Q58" i="4" s="1"/>
  <c r="N29" i="4"/>
  <c r="Q29" i="4" s="1"/>
  <c r="N32" i="4"/>
  <c r="Q32" i="4" s="1"/>
  <c r="N35" i="4"/>
  <c r="Q35" i="4" s="1"/>
  <c r="N40" i="4"/>
  <c r="Q40" i="4" s="1"/>
  <c r="N43" i="4"/>
  <c r="Q43" i="4" s="1"/>
  <c r="N46" i="4"/>
  <c r="Q46" i="4" s="1"/>
  <c r="N53" i="4"/>
  <c r="Q53" i="4" s="1"/>
  <c r="N56" i="4"/>
  <c r="Q56" i="4" s="1"/>
  <c r="N27" i="4"/>
  <c r="N30" i="4"/>
  <c r="Q30" i="4" s="1"/>
  <c r="N33" i="4"/>
  <c r="Q33" i="4" s="1"/>
  <c r="N36" i="4"/>
  <c r="Q36" i="4" s="1"/>
  <c r="N38" i="4"/>
  <c r="Q38" i="4" s="1"/>
  <c r="N41" i="4"/>
  <c r="Q41" i="4" s="1"/>
  <c r="N44" i="4"/>
  <c r="Q44" i="4" s="1"/>
  <c r="AC58" i="4"/>
  <c r="AL28" i="4"/>
  <c r="AL43" i="4"/>
  <c r="T30" i="4"/>
  <c r="AC41" i="4"/>
  <c r="AR27" i="4"/>
  <c r="AT27" i="4" s="1"/>
  <c r="AR30" i="4"/>
  <c r="AT30" i="4" s="1"/>
  <c r="AR33" i="4"/>
  <c r="AT33" i="4" s="1"/>
  <c r="AR36" i="4"/>
  <c r="AT36" i="4" s="1"/>
  <c r="AR38" i="4"/>
  <c r="AT38" i="4" s="1"/>
  <c r="AR41" i="4"/>
  <c r="AT41" i="4" s="1"/>
  <c r="AR44" i="4"/>
  <c r="AT44" i="4" s="1"/>
  <c r="AR47" i="4"/>
  <c r="AT47" i="4" s="1"/>
  <c r="AR54" i="4"/>
  <c r="AT54" i="4" s="1"/>
  <c r="AR25" i="4"/>
  <c r="AT25" i="4" s="1"/>
  <c r="AR57" i="4"/>
  <c r="AT57" i="4" s="1"/>
  <c r="AR28" i="4"/>
  <c r="AT28" i="4" s="1"/>
  <c r="AR31" i="4"/>
  <c r="AT31" i="4" s="1"/>
  <c r="AR34" i="4"/>
  <c r="AT34" i="4" s="1"/>
  <c r="AR37" i="4"/>
  <c r="AT37" i="4" s="1"/>
  <c r="AR39" i="4"/>
  <c r="AT39" i="4" s="1"/>
  <c r="AR42" i="4"/>
  <c r="AT42" i="4" s="1"/>
  <c r="AR45" i="4"/>
  <c r="AT45" i="4" s="1"/>
  <c r="AR48" i="4"/>
  <c r="AT48" i="4" s="1"/>
  <c r="AR52" i="4"/>
  <c r="AT52" i="4" s="1"/>
  <c r="AR55" i="4"/>
  <c r="AT55" i="4" s="1"/>
  <c r="AR26" i="4"/>
  <c r="AT26" i="4" s="1"/>
  <c r="AR58" i="4"/>
  <c r="AT58" i="4" s="1"/>
  <c r="AR29" i="4"/>
  <c r="AT29" i="4" s="1"/>
  <c r="AR32" i="4"/>
  <c r="AT32" i="4" s="1"/>
  <c r="AR35" i="4"/>
  <c r="AT35" i="4" s="1"/>
  <c r="AR40" i="4"/>
  <c r="AT40" i="4" s="1"/>
  <c r="AR43" i="4"/>
  <c r="AT43" i="4" s="1"/>
  <c r="AR46" i="4"/>
  <c r="AT46" i="4" s="1"/>
  <c r="AR53" i="4"/>
  <c r="AT53" i="4" s="1"/>
  <c r="AR56" i="4"/>
  <c r="AT56" i="4" s="1"/>
  <c r="AC33" i="4"/>
  <c r="AC53" i="4"/>
  <c r="AL53" i="4"/>
  <c r="AU34" i="4"/>
  <c r="T28" i="4"/>
  <c r="H54" i="4"/>
  <c r="K54" i="4" s="1"/>
  <c r="H25" i="4"/>
  <c r="K25" i="4" s="1"/>
  <c r="H57" i="4"/>
  <c r="K57" i="4" s="1"/>
  <c r="H28" i="4"/>
  <c r="K28" i="4" s="1"/>
  <c r="H31" i="4"/>
  <c r="K31" i="4" s="1"/>
  <c r="H34" i="4"/>
  <c r="K34" i="4" s="1"/>
  <c r="H37" i="4"/>
  <c r="K37" i="4" s="1"/>
  <c r="H39" i="4"/>
  <c r="K39" i="4" s="1"/>
  <c r="H42" i="4"/>
  <c r="K42" i="4" s="1"/>
  <c r="H45" i="4"/>
  <c r="K45" i="4" s="1"/>
  <c r="H48" i="4"/>
  <c r="K48" i="4" s="1"/>
  <c r="H52" i="4"/>
  <c r="K52" i="4" s="1"/>
  <c r="H55" i="4"/>
  <c r="K55" i="4" s="1"/>
  <c r="H26" i="4"/>
  <c r="K26" i="4" s="1"/>
  <c r="H58" i="4"/>
  <c r="H29" i="4"/>
  <c r="K29" i="4" s="1"/>
  <c r="H32" i="4"/>
  <c r="K32" i="4" s="1"/>
  <c r="H35" i="4"/>
  <c r="K35" i="4" s="1"/>
  <c r="H40" i="4"/>
  <c r="K40" i="4" s="1"/>
  <c r="H43" i="4"/>
  <c r="K43" i="4" s="1"/>
  <c r="H46" i="4"/>
  <c r="K46" i="4" s="1"/>
  <c r="H53" i="4"/>
  <c r="K53" i="4" s="1"/>
  <c r="H56" i="4"/>
  <c r="K56" i="4" s="1"/>
  <c r="H27" i="4"/>
  <c r="K27" i="4" s="1"/>
  <c r="H30" i="4"/>
  <c r="K30" i="4" s="1"/>
  <c r="H33" i="4"/>
  <c r="K33" i="4" s="1"/>
  <c r="H36" i="4"/>
  <c r="K36" i="4" s="1"/>
  <c r="H38" i="4"/>
  <c r="K38" i="4" s="1"/>
  <c r="H41" i="4"/>
  <c r="K41" i="4" s="1"/>
  <c r="H44" i="4"/>
  <c r="K44" i="4" s="1"/>
  <c r="H47" i="4"/>
  <c r="K47" i="4" s="1"/>
  <c r="T37" i="4"/>
  <c r="L37" i="4"/>
  <c r="AP30" i="4"/>
  <c r="AS30" i="4" s="1"/>
  <c r="AP33" i="4"/>
  <c r="AS33" i="4" s="1"/>
  <c r="AP36" i="4"/>
  <c r="AS36" i="4" s="1"/>
  <c r="AP38" i="4"/>
  <c r="AS38" i="4" s="1"/>
  <c r="AP41" i="4"/>
  <c r="AS41" i="4" s="1"/>
  <c r="AP44" i="4"/>
  <c r="AS44" i="4" s="1"/>
  <c r="AP47" i="4"/>
  <c r="AS47" i="4" s="1"/>
  <c r="AP54" i="4"/>
  <c r="AS54" i="4" s="1"/>
  <c r="AP25" i="4"/>
  <c r="AS25" i="4" s="1"/>
  <c r="AP57" i="4"/>
  <c r="AS57" i="4" s="1"/>
  <c r="AP28" i="4"/>
  <c r="AS28" i="4" s="1"/>
  <c r="AP31" i="4"/>
  <c r="AS31" i="4" s="1"/>
  <c r="AP34" i="4"/>
  <c r="AS34" i="4" s="1"/>
  <c r="AP37" i="4"/>
  <c r="AS37" i="4" s="1"/>
  <c r="AP39" i="4"/>
  <c r="AS39" i="4" s="1"/>
  <c r="AP42" i="4"/>
  <c r="AS42" i="4" s="1"/>
  <c r="AP45" i="4"/>
  <c r="AS45" i="4" s="1"/>
  <c r="AP48" i="4"/>
  <c r="AS48" i="4" s="1"/>
  <c r="AP52" i="4"/>
  <c r="AS52" i="4" s="1"/>
  <c r="AP55" i="4"/>
  <c r="AS55" i="4" s="1"/>
  <c r="AP26" i="4"/>
  <c r="AS26" i="4" s="1"/>
  <c r="AP58" i="4"/>
  <c r="AS58" i="4" s="1"/>
  <c r="AP29" i="4"/>
  <c r="AS29" i="4" s="1"/>
  <c r="AP32" i="4"/>
  <c r="AS32" i="4" s="1"/>
  <c r="AP35" i="4"/>
  <c r="AS35" i="4" s="1"/>
  <c r="AP40" i="4"/>
  <c r="AS40" i="4" s="1"/>
  <c r="AP43" i="4"/>
  <c r="AS43" i="4" s="1"/>
  <c r="AP46" i="4"/>
  <c r="AS46" i="4" s="1"/>
  <c r="AP53" i="4"/>
  <c r="AS53" i="4" s="1"/>
  <c r="AP56" i="4"/>
  <c r="AS56" i="4" s="1"/>
  <c r="AP27" i="4"/>
  <c r="AS27" i="4" s="1"/>
  <c r="AB46" i="4"/>
  <c r="AL47" i="4"/>
  <c r="AB56" i="4"/>
  <c r="T40" i="4"/>
  <c r="AL45" i="4"/>
  <c r="P44" i="4"/>
  <c r="R44" i="4" s="1"/>
  <c r="P47" i="4"/>
  <c r="R47" i="4" s="1"/>
  <c r="P54" i="4"/>
  <c r="R54" i="4" s="1"/>
  <c r="P25" i="4"/>
  <c r="R25" i="4" s="1"/>
  <c r="P57" i="4"/>
  <c r="R57" i="4" s="1"/>
  <c r="P28" i="4"/>
  <c r="R28" i="4" s="1"/>
  <c r="P31" i="4"/>
  <c r="R31" i="4" s="1"/>
  <c r="P34" i="4"/>
  <c r="R34" i="4" s="1"/>
  <c r="P37" i="4"/>
  <c r="R37" i="4" s="1"/>
  <c r="P39" i="4"/>
  <c r="R39" i="4" s="1"/>
  <c r="P42" i="4"/>
  <c r="R42" i="4" s="1"/>
  <c r="P45" i="4"/>
  <c r="R45" i="4" s="1"/>
  <c r="P48" i="4"/>
  <c r="R48" i="4" s="1"/>
  <c r="P52" i="4"/>
  <c r="R52" i="4" s="1"/>
  <c r="P55" i="4"/>
  <c r="R55" i="4" s="1"/>
  <c r="P26" i="4"/>
  <c r="R26" i="4" s="1"/>
  <c r="P58" i="4"/>
  <c r="R58" i="4" s="1"/>
  <c r="P29" i="4"/>
  <c r="R29" i="4" s="1"/>
  <c r="P32" i="4"/>
  <c r="R32" i="4" s="1"/>
  <c r="P35" i="4"/>
  <c r="R35" i="4" s="1"/>
  <c r="P40" i="4"/>
  <c r="R40" i="4" s="1"/>
  <c r="P43" i="4"/>
  <c r="R43" i="4" s="1"/>
  <c r="P46" i="4"/>
  <c r="R46" i="4" s="1"/>
  <c r="P53" i="4"/>
  <c r="R53" i="4" s="1"/>
  <c r="P56" i="4"/>
  <c r="R56" i="4" s="1"/>
  <c r="P27" i="4"/>
  <c r="R27" i="4" s="1"/>
  <c r="P30" i="4"/>
  <c r="R30" i="4" s="1"/>
  <c r="P33" i="4"/>
  <c r="R33" i="4" s="1"/>
  <c r="P36" i="4"/>
  <c r="R36" i="4" s="1"/>
  <c r="P38" i="4"/>
  <c r="R38" i="4" s="1"/>
  <c r="P41" i="4"/>
  <c r="R41" i="4" s="1"/>
  <c r="AC43" i="4"/>
  <c r="T32" i="4"/>
  <c r="T54" i="4"/>
  <c r="AU57" i="4"/>
  <c r="AU31" i="4"/>
  <c r="AU46" i="4"/>
  <c r="Q27" i="4"/>
  <c r="AB33" i="4"/>
  <c r="AU44" i="4"/>
  <c r="AU26" i="4"/>
  <c r="AL42" i="4"/>
  <c r="AG36" i="4"/>
  <c r="AJ36" i="4" s="1"/>
  <c r="AG38" i="4"/>
  <c r="AJ38" i="4" s="1"/>
  <c r="AG41" i="4"/>
  <c r="AJ41" i="4" s="1"/>
  <c r="AG44" i="4"/>
  <c r="AJ44" i="4" s="1"/>
  <c r="AG47" i="4"/>
  <c r="AJ47" i="4" s="1"/>
  <c r="AG54" i="4"/>
  <c r="AJ54" i="4" s="1"/>
  <c r="AG25" i="4"/>
  <c r="AJ25" i="4" s="1"/>
  <c r="AG57" i="4"/>
  <c r="AJ57" i="4" s="1"/>
  <c r="AG28" i="4"/>
  <c r="AJ28" i="4" s="1"/>
  <c r="AG31" i="4"/>
  <c r="AJ31" i="4" s="1"/>
  <c r="AG34" i="4"/>
  <c r="AJ34" i="4" s="1"/>
  <c r="AG37" i="4"/>
  <c r="AJ37" i="4" s="1"/>
  <c r="AG39" i="4"/>
  <c r="AJ39" i="4" s="1"/>
  <c r="AG42" i="4"/>
  <c r="AJ42" i="4" s="1"/>
  <c r="AG45" i="4"/>
  <c r="AJ45" i="4" s="1"/>
  <c r="AG48" i="4"/>
  <c r="AJ48" i="4" s="1"/>
  <c r="AG52" i="4"/>
  <c r="AJ52" i="4" s="1"/>
  <c r="AG55" i="4"/>
  <c r="AJ55" i="4" s="1"/>
  <c r="AG26" i="4"/>
  <c r="AJ26" i="4" s="1"/>
  <c r="AG58" i="4"/>
  <c r="AJ58" i="4" s="1"/>
  <c r="AG29" i="4"/>
  <c r="AJ29" i="4" s="1"/>
  <c r="AG32" i="4"/>
  <c r="AJ32" i="4" s="1"/>
  <c r="AG35" i="4"/>
  <c r="AJ35" i="4" s="1"/>
  <c r="AG40" i="4"/>
  <c r="AJ40" i="4" s="1"/>
  <c r="AG43" i="4"/>
  <c r="AJ43" i="4" s="1"/>
  <c r="AG46" i="4"/>
  <c r="AJ46" i="4" s="1"/>
  <c r="AG53" i="4"/>
  <c r="AJ53" i="4" s="1"/>
  <c r="AG56" i="4"/>
  <c r="AJ56" i="4" s="1"/>
  <c r="AG27" i="4"/>
  <c r="AJ27" i="4" s="1"/>
  <c r="AG30" i="4"/>
  <c r="AJ30" i="4" s="1"/>
  <c r="AG33" i="4"/>
  <c r="AJ33" i="4" s="1"/>
  <c r="T58" i="4"/>
  <c r="K58" i="4"/>
  <c r="AU30" i="4"/>
  <c r="AL26" i="4"/>
  <c r="AC47" i="4"/>
  <c r="AU41" i="4"/>
  <c r="AU53" i="4"/>
  <c r="AU47" i="4"/>
  <c r="AL38" i="4"/>
  <c r="AC26" i="4"/>
  <c r="AU52" i="4"/>
  <c r="AB30" i="4"/>
  <c r="X41" i="4"/>
  <c r="AA41" i="4" s="1"/>
  <c r="AD41" i="4" s="1"/>
  <c r="X44" i="4"/>
  <c r="AA44" i="4" s="1"/>
  <c r="AD44" i="4" s="1"/>
  <c r="X47" i="4"/>
  <c r="AA47" i="4" s="1"/>
  <c r="X54" i="4"/>
  <c r="AA54" i="4" s="1"/>
  <c r="X25" i="4"/>
  <c r="AA25" i="4" s="1"/>
  <c r="X57" i="4"/>
  <c r="AA57" i="4" s="1"/>
  <c r="X28" i="4"/>
  <c r="AA28" i="4" s="1"/>
  <c r="X31" i="4"/>
  <c r="AA31" i="4" s="1"/>
  <c r="X34" i="4"/>
  <c r="AA34" i="4" s="1"/>
  <c r="X37" i="4"/>
  <c r="AA37" i="4" s="1"/>
  <c r="X39" i="4"/>
  <c r="AA39" i="4" s="1"/>
  <c r="X42" i="4"/>
  <c r="AA42" i="4" s="1"/>
  <c r="X45" i="4"/>
  <c r="AA45" i="4" s="1"/>
  <c r="X48" i="4"/>
  <c r="AA48" i="4" s="1"/>
  <c r="X52" i="4"/>
  <c r="AA52" i="4" s="1"/>
  <c r="X55" i="4"/>
  <c r="AA55" i="4" s="1"/>
  <c r="X26" i="4"/>
  <c r="AA26" i="4" s="1"/>
  <c r="X58" i="4"/>
  <c r="AA58" i="4" s="1"/>
  <c r="X29" i="4"/>
  <c r="AA29" i="4" s="1"/>
  <c r="X32" i="4"/>
  <c r="AA32" i="4" s="1"/>
  <c r="X35" i="4"/>
  <c r="AA35" i="4" s="1"/>
  <c r="X40" i="4"/>
  <c r="AA40" i="4" s="1"/>
  <c r="X43" i="4"/>
  <c r="AA43" i="4" s="1"/>
  <c r="X46" i="4"/>
  <c r="AA46" i="4" s="1"/>
  <c r="X53" i="4"/>
  <c r="AA53" i="4" s="1"/>
  <c r="AD53" i="4" s="1"/>
  <c r="X56" i="4"/>
  <c r="AA56" i="4" s="1"/>
  <c r="X27" i="4"/>
  <c r="AA27" i="4" s="1"/>
  <c r="X30" i="4"/>
  <c r="AA30" i="4" s="1"/>
  <c r="X33" i="4"/>
  <c r="AA33" i="4" s="1"/>
  <c r="X36" i="4"/>
  <c r="AA36" i="4" s="1"/>
  <c r="X38" i="4"/>
  <c r="AA38" i="4" s="1"/>
  <c r="T59" i="4"/>
  <c r="AI61" i="4"/>
  <c r="AK61" i="4" s="1"/>
  <c r="AI23" i="4"/>
  <c r="AK23" i="4" s="1"/>
  <c r="AI59" i="4"/>
  <c r="AK59" i="4" s="1"/>
  <c r="AI24" i="4"/>
  <c r="AK24" i="4" s="1"/>
  <c r="AI60" i="4"/>
  <c r="AK60" i="4" s="1"/>
  <c r="AL59" i="4"/>
  <c r="T61" i="4"/>
  <c r="P61" i="4"/>
  <c r="R61" i="4" s="1"/>
  <c r="P23" i="4"/>
  <c r="R23" i="4" s="1"/>
  <c r="P59" i="4"/>
  <c r="R59" i="4" s="1"/>
  <c r="P24" i="4"/>
  <c r="R24" i="4" s="1"/>
  <c r="P60" i="4"/>
  <c r="R60" i="4" s="1"/>
  <c r="J61" i="4"/>
  <c r="L61" i="4" s="1"/>
  <c r="J23" i="4"/>
  <c r="L23" i="4" s="1"/>
  <c r="J59" i="4"/>
  <c r="L59" i="4" s="1"/>
  <c r="J24" i="4"/>
  <c r="L24" i="4" s="1"/>
  <c r="J60" i="4"/>
  <c r="L60" i="4" s="1"/>
  <c r="N61" i="4"/>
  <c r="Q61" i="4" s="1"/>
  <c r="N23" i="4"/>
  <c r="Q23" i="4" s="1"/>
  <c r="N59" i="4"/>
  <c r="Q59" i="4" s="1"/>
  <c r="N24" i="4"/>
  <c r="Q24" i="4" s="1"/>
  <c r="N60" i="4"/>
  <c r="Q60" i="4" s="1"/>
  <c r="AC23" i="4"/>
  <c r="T60" i="4"/>
  <c r="AC24" i="4"/>
  <c r="T23" i="4"/>
  <c r="AU60" i="4"/>
  <c r="AP60" i="4"/>
  <c r="AS60" i="4" s="1"/>
  <c r="AP61" i="4"/>
  <c r="AS61" i="4" s="1"/>
  <c r="AP23" i="4"/>
  <c r="AS23" i="4" s="1"/>
  <c r="AP59" i="4"/>
  <c r="AS59" i="4" s="1"/>
  <c r="AP24" i="4"/>
  <c r="AS24" i="4" s="1"/>
  <c r="AL61" i="4"/>
  <c r="AL23" i="4"/>
  <c r="H61" i="4"/>
  <c r="K61" i="4" s="1"/>
  <c r="H23" i="4"/>
  <c r="K23" i="4" s="1"/>
  <c r="H59" i="4"/>
  <c r="K59" i="4" s="1"/>
  <c r="H24" i="4"/>
  <c r="K24" i="4" s="1"/>
  <c r="H60" i="4"/>
  <c r="K60" i="4" s="1"/>
  <c r="AR24" i="4"/>
  <c r="AT24" i="4" s="1"/>
  <c r="AR60" i="4"/>
  <c r="AT60" i="4" s="1"/>
  <c r="AR61" i="4"/>
  <c r="AT61" i="4" s="1"/>
  <c r="AR23" i="4"/>
  <c r="AT23" i="4" s="1"/>
  <c r="AR59" i="4"/>
  <c r="AT59" i="4" s="1"/>
  <c r="Z61" i="4"/>
  <c r="AB61" i="4" s="1"/>
  <c r="Z23" i="4"/>
  <c r="AB23" i="4" s="1"/>
  <c r="Z59" i="4"/>
  <c r="AB59" i="4" s="1"/>
  <c r="Z24" i="4"/>
  <c r="AB24" i="4" s="1"/>
  <c r="Z60" i="4"/>
  <c r="AB60" i="4" s="1"/>
  <c r="AL60" i="4"/>
  <c r="AC60" i="4"/>
  <c r="X61" i="4"/>
  <c r="AA61" i="4" s="1"/>
  <c r="X23" i="4"/>
  <c r="AA23" i="4" s="1"/>
  <c r="X59" i="4"/>
  <c r="AA59" i="4" s="1"/>
  <c r="X24" i="4"/>
  <c r="AA24" i="4" s="1"/>
  <c r="X60" i="4"/>
  <c r="AA60" i="4" s="1"/>
  <c r="AG61" i="4"/>
  <c r="AJ61" i="4" s="1"/>
  <c r="AG23" i="4"/>
  <c r="AJ23" i="4" s="1"/>
  <c r="AG59" i="4"/>
  <c r="AJ59" i="4" s="1"/>
  <c r="AG24" i="4"/>
  <c r="AJ24" i="4" s="1"/>
  <c r="AG60" i="4"/>
  <c r="AJ60" i="4" s="1"/>
  <c r="AU23" i="4"/>
  <c r="AU24" i="4"/>
  <c r="T24" i="4"/>
  <c r="AC61" i="4"/>
  <c r="AL24" i="4"/>
  <c r="AU61" i="4"/>
  <c r="AU59" i="4"/>
  <c r="AC59" i="4"/>
  <c r="AC13" i="4"/>
  <c r="T13" i="4"/>
  <c r="AL18" i="4"/>
  <c r="AU20" i="4"/>
  <c r="T20" i="4"/>
  <c r="AU19" i="4"/>
  <c r="T17" i="4"/>
  <c r="AU21" i="4"/>
  <c r="AC19" i="4"/>
  <c r="AU15" i="4"/>
  <c r="T15" i="4"/>
  <c r="AR13" i="4"/>
  <c r="AT13" i="4" s="1"/>
  <c r="AR17" i="4"/>
  <c r="AT17" i="4" s="1"/>
  <c r="AR16" i="4"/>
  <c r="AT16" i="4" s="1"/>
  <c r="AR19" i="4"/>
  <c r="AT19" i="4" s="1"/>
  <c r="AR22" i="4"/>
  <c r="AT22" i="4" s="1"/>
  <c r="AR14" i="4"/>
  <c r="AT14" i="4" s="1"/>
  <c r="AR20" i="4"/>
  <c r="AT20" i="4" s="1"/>
  <c r="AR15" i="4"/>
  <c r="AT15" i="4" s="1"/>
  <c r="AR18" i="4"/>
  <c r="AT18" i="4" s="1"/>
  <c r="AR21" i="4"/>
  <c r="AT21" i="4" s="1"/>
  <c r="T21" i="4"/>
  <c r="AC16" i="4"/>
  <c r="T19" i="4"/>
  <c r="AU22" i="4"/>
  <c r="Z13" i="4"/>
  <c r="AB13" i="4" s="1"/>
  <c r="Z16" i="4"/>
  <c r="AB16" i="4" s="1"/>
  <c r="Z19" i="4"/>
  <c r="AB19" i="4" s="1"/>
  <c r="Z22" i="4"/>
  <c r="AB22" i="4" s="1"/>
  <c r="Z17" i="4"/>
  <c r="AB17" i="4" s="1"/>
  <c r="Z14" i="4"/>
  <c r="AB14" i="4" s="1"/>
  <c r="Z20" i="4"/>
  <c r="AB20" i="4" s="1"/>
  <c r="Z15" i="4"/>
  <c r="AB15" i="4" s="1"/>
  <c r="Z18" i="4"/>
  <c r="AB18" i="4" s="1"/>
  <c r="Z21" i="4"/>
  <c r="AB21" i="4" s="1"/>
  <c r="AC18" i="4"/>
  <c r="AL17" i="4"/>
  <c r="AC20" i="4"/>
  <c r="AL20" i="4"/>
  <c r="AL21" i="4"/>
  <c r="AC22" i="4"/>
  <c r="AG13" i="4"/>
  <c r="AJ13" i="4" s="1"/>
  <c r="AG22" i="4"/>
  <c r="AJ22" i="4" s="1"/>
  <c r="AG14" i="4"/>
  <c r="AJ14" i="4" s="1"/>
  <c r="AG16" i="4"/>
  <c r="AJ16" i="4" s="1"/>
  <c r="AG19" i="4"/>
  <c r="AJ19" i="4" s="1"/>
  <c r="AG17" i="4"/>
  <c r="AJ17" i="4" s="1"/>
  <c r="AG20" i="4"/>
  <c r="AJ20" i="4" s="1"/>
  <c r="AG15" i="4"/>
  <c r="AJ15" i="4" s="1"/>
  <c r="AG18" i="4"/>
  <c r="AJ18" i="4" s="1"/>
  <c r="AG21" i="4"/>
  <c r="AJ21" i="4" s="1"/>
  <c r="AU17" i="4"/>
  <c r="AI19" i="4"/>
  <c r="AK19" i="4" s="1"/>
  <c r="AI13" i="4"/>
  <c r="AK13" i="4" s="1"/>
  <c r="AI16" i="4"/>
  <c r="AK16" i="4" s="1"/>
  <c r="AI22" i="4"/>
  <c r="AK22" i="4" s="1"/>
  <c r="AI14" i="4"/>
  <c r="AK14" i="4" s="1"/>
  <c r="AI17" i="4"/>
  <c r="AK17" i="4" s="1"/>
  <c r="AI20" i="4"/>
  <c r="AK20" i="4" s="1"/>
  <c r="AI15" i="4"/>
  <c r="AK15" i="4" s="1"/>
  <c r="AI18" i="4"/>
  <c r="AK18" i="4" s="1"/>
  <c r="AI21" i="4"/>
  <c r="AK21" i="4" s="1"/>
  <c r="T14" i="4"/>
  <c r="AC14" i="4"/>
  <c r="AU14" i="4"/>
  <c r="AP16" i="4"/>
  <c r="AS16" i="4" s="1"/>
  <c r="AP13" i="4"/>
  <c r="AS13" i="4" s="1"/>
  <c r="AP20" i="4"/>
  <c r="AS20" i="4" s="1"/>
  <c r="AP19" i="4"/>
  <c r="AS19" i="4" s="1"/>
  <c r="AP22" i="4"/>
  <c r="AS22" i="4" s="1"/>
  <c r="AP14" i="4"/>
  <c r="AS14" i="4" s="1"/>
  <c r="AP17" i="4"/>
  <c r="AS17" i="4" s="1"/>
  <c r="AP15" i="4"/>
  <c r="AS15" i="4" s="1"/>
  <c r="AP18" i="4"/>
  <c r="AS18" i="4" s="1"/>
  <c r="AP21" i="4"/>
  <c r="AS21" i="4" s="1"/>
  <c r="AC21" i="4"/>
  <c r="T16" i="4"/>
  <c r="AL13" i="4"/>
  <c r="AL22" i="4"/>
  <c r="AU16" i="4"/>
  <c r="N16" i="4"/>
  <c r="Q16" i="4" s="1"/>
  <c r="N19" i="4"/>
  <c r="Q19" i="4" s="1"/>
  <c r="N22" i="4"/>
  <c r="Q22" i="4" s="1"/>
  <c r="N14" i="4"/>
  <c r="Q14" i="4" s="1"/>
  <c r="N17" i="4"/>
  <c r="Q17" i="4" s="1"/>
  <c r="N20" i="4"/>
  <c r="Q20" i="4" s="1"/>
  <c r="N15" i="4"/>
  <c r="Q15" i="4" s="1"/>
  <c r="N18" i="4"/>
  <c r="Q18" i="4" s="1"/>
  <c r="N21" i="4"/>
  <c r="Q21" i="4" s="1"/>
  <c r="N13" i="4"/>
  <c r="Q13" i="4" s="1"/>
  <c r="X13" i="4"/>
  <c r="AA13" i="4" s="1"/>
  <c r="X16" i="4"/>
  <c r="AA16" i="4" s="1"/>
  <c r="X19" i="4"/>
  <c r="AA19" i="4" s="1"/>
  <c r="X20" i="4"/>
  <c r="AA20" i="4" s="1"/>
  <c r="X22" i="4"/>
  <c r="AA22" i="4" s="1"/>
  <c r="X14" i="4"/>
  <c r="AA14" i="4" s="1"/>
  <c r="X17" i="4"/>
  <c r="AA17" i="4" s="1"/>
  <c r="X15" i="4"/>
  <c r="AA15" i="4" s="1"/>
  <c r="X18" i="4"/>
  <c r="AA18" i="4" s="1"/>
  <c r="X21" i="4"/>
  <c r="AA21" i="4" s="1"/>
  <c r="T22" i="4"/>
  <c r="AL15" i="4"/>
  <c r="T18" i="4"/>
  <c r="J19" i="4"/>
  <c r="L19" i="4" s="1"/>
  <c r="J22" i="4"/>
  <c r="L22" i="4" s="1"/>
  <c r="J14" i="4"/>
  <c r="L14" i="4" s="1"/>
  <c r="J17" i="4"/>
  <c r="L17" i="4" s="1"/>
  <c r="J20" i="4"/>
  <c r="L20" i="4" s="1"/>
  <c r="J15" i="4"/>
  <c r="L15" i="4" s="1"/>
  <c r="J18" i="4"/>
  <c r="L18" i="4" s="1"/>
  <c r="J21" i="4"/>
  <c r="L21" i="4" s="1"/>
  <c r="J13" i="4"/>
  <c r="L13" i="4" s="1"/>
  <c r="J16" i="4"/>
  <c r="L16" i="4" s="1"/>
  <c r="H22" i="4"/>
  <c r="K22" i="4" s="1"/>
  <c r="H14" i="4"/>
  <c r="K14" i="4" s="1"/>
  <c r="H17" i="4"/>
  <c r="K17" i="4" s="1"/>
  <c r="H20" i="4"/>
  <c r="K20" i="4" s="1"/>
  <c r="H15" i="4"/>
  <c r="K15" i="4" s="1"/>
  <c r="H18" i="4"/>
  <c r="K18" i="4" s="1"/>
  <c r="H21" i="4"/>
  <c r="K21" i="4" s="1"/>
  <c r="H13" i="4"/>
  <c r="K13" i="4" s="1"/>
  <c r="H16" i="4"/>
  <c r="K16" i="4" s="1"/>
  <c r="H19" i="4"/>
  <c r="K19" i="4" s="1"/>
  <c r="AU13" i="4"/>
  <c r="AC17" i="4"/>
  <c r="AL16" i="4"/>
  <c r="AL19" i="4"/>
  <c r="AL14" i="4"/>
  <c r="AC15" i="4"/>
  <c r="AU18" i="4"/>
  <c r="P13" i="4"/>
  <c r="R13" i="4" s="1"/>
  <c r="P16" i="4"/>
  <c r="R16" i="4" s="1"/>
  <c r="P19" i="4"/>
  <c r="R19" i="4" s="1"/>
  <c r="P22" i="4"/>
  <c r="R22" i="4" s="1"/>
  <c r="P14" i="4"/>
  <c r="R14" i="4" s="1"/>
  <c r="P17" i="4"/>
  <c r="R17" i="4" s="1"/>
  <c r="P20" i="4"/>
  <c r="R20" i="4" s="1"/>
  <c r="P15" i="4"/>
  <c r="R15" i="4" s="1"/>
  <c r="P18" i="4"/>
  <c r="R18" i="4" s="1"/>
  <c r="P21" i="4"/>
  <c r="R21" i="4" s="1"/>
  <c r="AD43" i="4" l="1"/>
  <c r="AD33" i="4"/>
  <c r="AD31" i="4"/>
  <c r="AD57" i="4"/>
  <c r="AD54" i="4"/>
  <c r="AD28" i="4"/>
  <c r="AM46" i="4"/>
  <c r="AV44" i="4"/>
  <c r="AM43" i="4"/>
  <c r="AM40" i="4"/>
  <c r="U45" i="4"/>
  <c r="AM25" i="4"/>
  <c r="AV29" i="4"/>
  <c r="AV48" i="4"/>
  <c r="AV45" i="4"/>
  <c r="AV42" i="4"/>
  <c r="AV39" i="4"/>
  <c r="AV52" i="4"/>
  <c r="AV28" i="4"/>
  <c r="AV55" i="4"/>
  <c r="AV41" i="4"/>
  <c r="AV38" i="4"/>
  <c r="AV36" i="4"/>
  <c r="AV27" i="4"/>
  <c r="AV33" i="4"/>
  <c r="AV56" i="4"/>
  <c r="AV58" i="4"/>
  <c r="AV43" i="4"/>
  <c r="AV40" i="4"/>
  <c r="AV35" i="4"/>
  <c r="AV32" i="4"/>
  <c r="AM35" i="4"/>
  <c r="AM32" i="4"/>
  <c r="AM29" i="4"/>
  <c r="AM58" i="4"/>
  <c r="AM26" i="4"/>
  <c r="AM55" i="4"/>
  <c r="AM30" i="4"/>
  <c r="AM28" i="4"/>
  <c r="AM27" i="4"/>
  <c r="AM53" i="4"/>
  <c r="AM41" i="4"/>
  <c r="U52" i="4"/>
  <c r="U58" i="4"/>
  <c r="U57" i="4"/>
  <c r="U54" i="4"/>
  <c r="U44" i="4"/>
  <c r="U41" i="4"/>
  <c r="U47" i="4"/>
  <c r="U38" i="4"/>
  <c r="U36" i="4"/>
  <c r="U33" i="4"/>
  <c r="U30" i="4"/>
  <c r="U53" i="4"/>
  <c r="U46" i="4"/>
  <c r="U43" i="4"/>
  <c r="U29" i="4"/>
  <c r="U40" i="4"/>
  <c r="AD30" i="4"/>
  <c r="AD56" i="4"/>
  <c r="AD40" i="4"/>
  <c r="AD35" i="4"/>
  <c r="AD29" i="4"/>
  <c r="AD58" i="4"/>
  <c r="AD55" i="4"/>
  <c r="AD52" i="4"/>
  <c r="AD45" i="4"/>
  <c r="AD42" i="4"/>
  <c r="AD39" i="4"/>
  <c r="AD46" i="4"/>
  <c r="AD25" i="4"/>
  <c r="AD38" i="4"/>
  <c r="AD48" i="4"/>
  <c r="AD37" i="4"/>
  <c r="AD27" i="4"/>
  <c r="V38" i="4"/>
  <c r="AW38" i="4"/>
  <c r="AE38" i="4"/>
  <c r="AN38" i="4"/>
  <c r="AN36" i="4"/>
  <c r="V36" i="4"/>
  <c r="AW36" i="4"/>
  <c r="AE36" i="4"/>
  <c r="AW43" i="4"/>
  <c r="V43" i="4"/>
  <c r="AE43" i="4"/>
  <c r="AN43" i="4"/>
  <c r="AM39" i="4"/>
  <c r="AM34" i="4"/>
  <c r="AE35" i="4"/>
  <c r="AN35" i="4"/>
  <c r="V35" i="4"/>
  <c r="AW35" i="4"/>
  <c r="AM31" i="4"/>
  <c r="AN32" i="4"/>
  <c r="V32" i="4"/>
  <c r="AW32" i="4"/>
  <c r="AE32" i="4"/>
  <c r="AD26" i="4"/>
  <c r="AE29" i="4"/>
  <c r="AN29" i="4"/>
  <c r="V29" i="4"/>
  <c r="AW29" i="4"/>
  <c r="AM42" i="4"/>
  <c r="AM57" i="4"/>
  <c r="AW58" i="4"/>
  <c r="AN58" i="4"/>
  <c r="V58" i="4"/>
  <c r="AE58" i="4"/>
  <c r="AN26" i="4"/>
  <c r="V26" i="4"/>
  <c r="AW26" i="4"/>
  <c r="AE26" i="4"/>
  <c r="V55" i="4"/>
  <c r="AW55" i="4"/>
  <c r="AE55" i="4"/>
  <c r="AN55" i="4"/>
  <c r="AN52" i="4"/>
  <c r="V52" i="4"/>
  <c r="AW52" i="4"/>
  <c r="AE52" i="4"/>
  <c r="V48" i="4"/>
  <c r="AW48" i="4"/>
  <c r="AE48" i="4"/>
  <c r="AN48" i="4"/>
  <c r="AM52" i="4"/>
  <c r="AN42" i="4"/>
  <c r="V42" i="4"/>
  <c r="AW42" i="4"/>
  <c r="AE42" i="4"/>
  <c r="AE39" i="4"/>
  <c r="AN39" i="4"/>
  <c r="V39" i="4"/>
  <c r="AW39" i="4"/>
  <c r="U39" i="4"/>
  <c r="AM36" i="4"/>
  <c r="AV25" i="4"/>
  <c r="U28" i="4"/>
  <c r="AV37" i="4"/>
  <c r="V34" i="4"/>
  <c r="AW34" i="4"/>
  <c r="AE34" i="4"/>
  <c r="AN34" i="4"/>
  <c r="AE57" i="4"/>
  <c r="AN57" i="4"/>
  <c r="AW57" i="4"/>
  <c r="V57" i="4"/>
  <c r="U48" i="4"/>
  <c r="AE25" i="4"/>
  <c r="AN25" i="4"/>
  <c r="V25" i="4"/>
  <c r="AW25" i="4"/>
  <c r="AM47" i="4"/>
  <c r="AV31" i="4"/>
  <c r="AM37" i="4"/>
  <c r="AD36" i="4"/>
  <c r="AM56" i="4"/>
  <c r="AE45" i="4"/>
  <c r="AN45" i="4"/>
  <c r="V45" i="4"/>
  <c r="AW45" i="4"/>
  <c r="AN53" i="4"/>
  <c r="V53" i="4"/>
  <c r="AW53" i="4"/>
  <c r="AE53" i="4"/>
  <c r="U32" i="4"/>
  <c r="AM48" i="4"/>
  <c r="AV34" i="4"/>
  <c r="AN27" i="4"/>
  <c r="V27" i="4"/>
  <c r="AW27" i="4"/>
  <c r="AE27" i="4"/>
  <c r="AN31" i="4"/>
  <c r="V31" i="4"/>
  <c r="AW31" i="4"/>
  <c r="AE31" i="4"/>
  <c r="AN46" i="4"/>
  <c r="V46" i="4"/>
  <c r="AW46" i="4"/>
  <c r="AE46" i="4"/>
  <c r="AM54" i="4"/>
  <c r="U27" i="4"/>
  <c r="AE56" i="4"/>
  <c r="AN56" i="4"/>
  <c r="V56" i="4"/>
  <c r="AW56" i="4"/>
  <c r="AD34" i="4"/>
  <c r="AD32" i="4"/>
  <c r="AN41" i="4"/>
  <c r="V41" i="4"/>
  <c r="AW41" i="4"/>
  <c r="AE41" i="4"/>
  <c r="U35" i="4"/>
  <c r="AM44" i="4"/>
  <c r="AD47" i="4"/>
  <c r="AN47" i="4"/>
  <c r="V47" i="4"/>
  <c r="AW47" i="4"/>
  <c r="AE47" i="4"/>
  <c r="U34" i="4"/>
  <c r="U55" i="4"/>
  <c r="U31" i="4"/>
  <c r="AM33" i="4"/>
  <c r="AE40" i="4"/>
  <c r="AN40" i="4"/>
  <c r="V40" i="4"/>
  <c r="AW40" i="4"/>
  <c r="AV54" i="4"/>
  <c r="AV26" i="4"/>
  <c r="U25" i="4"/>
  <c r="AE44" i="4"/>
  <c r="AN44" i="4"/>
  <c r="V44" i="4"/>
  <c r="AW44" i="4"/>
  <c r="AM45" i="4"/>
  <c r="AV53" i="4"/>
  <c r="AV46" i="4"/>
  <c r="U26" i="4"/>
  <c r="AV30" i="4"/>
  <c r="AV57" i="4"/>
  <c r="V33" i="4"/>
  <c r="AW33" i="4"/>
  <c r="AE33" i="4"/>
  <c r="AN33" i="4"/>
  <c r="U56" i="4"/>
  <c r="U42" i="4"/>
  <c r="V54" i="4"/>
  <c r="AW54" i="4"/>
  <c r="AE54" i="4"/>
  <c r="AN54" i="4"/>
  <c r="AE30" i="4"/>
  <c r="AN30" i="4"/>
  <c r="V30" i="4"/>
  <c r="AW30" i="4"/>
  <c r="AN37" i="4"/>
  <c r="V37" i="4"/>
  <c r="AW37" i="4"/>
  <c r="AE37" i="4"/>
  <c r="U37" i="4"/>
  <c r="AM38" i="4"/>
  <c r="AV47" i="4"/>
  <c r="V28" i="4"/>
  <c r="AW28" i="4"/>
  <c r="AE28" i="4"/>
  <c r="AN28" i="4"/>
  <c r="AD23" i="4"/>
  <c r="AM60" i="4"/>
  <c r="AM59" i="4"/>
  <c r="AM23" i="4"/>
  <c r="AD59" i="4"/>
  <c r="AD60" i="4"/>
  <c r="AD24" i="4"/>
  <c r="U24" i="4"/>
  <c r="U23" i="4"/>
  <c r="U59" i="4"/>
  <c r="AE59" i="4"/>
  <c r="AN59" i="4"/>
  <c r="V59" i="4"/>
  <c r="AW59" i="4"/>
  <c r="AW61" i="4"/>
  <c r="AE61" i="4"/>
  <c r="AN61" i="4"/>
  <c r="V61" i="4"/>
  <c r="AV24" i="4"/>
  <c r="AM61" i="4"/>
  <c r="AV59" i="4"/>
  <c r="AM24" i="4"/>
  <c r="AN24" i="4"/>
  <c r="V24" i="4"/>
  <c r="AW24" i="4"/>
  <c r="AE24" i="4"/>
  <c r="U61" i="4"/>
  <c r="AE60" i="4"/>
  <c r="V60" i="4"/>
  <c r="AN60" i="4"/>
  <c r="AW60" i="4"/>
  <c r="AV60" i="4"/>
  <c r="AN23" i="4"/>
  <c r="V23" i="4"/>
  <c r="AW23" i="4"/>
  <c r="AE23" i="4"/>
  <c r="AV18" i="4"/>
  <c r="AD61" i="4"/>
  <c r="AV23" i="4"/>
  <c r="AV61" i="4"/>
  <c r="U60" i="4"/>
  <c r="AV14" i="4"/>
  <c r="AD17" i="4"/>
  <c r="AV17" i="4"/>
  <c r="AV22" i="4"/>
  <c r="AV19" i="4"/>
  <c r="AV13" i="4"/>
  <c r="AV21" i="4"/>
  <c r="AV15" i="4"/>
  <c r="U13" i="4"/>
  <c r="U18" i="4"/>
  <c r="U17" i="4"/>
  <c r="AM19" i="4"/>
  <c r="AM17" i="4"/>
  <c r="AM13" i="4"/>
  <c r="AM20" i="4"/>
  <c r="AM16" i="4"/>
  <c r="AD14" i="4"/>
  <c r="AD22" i="4"/>
  <c r="AD18" i="4"/>
  <c r="AN20" i="4"/>
  <c r="V20" i="4"/>
  <c r="AW20" i="4"/>
  <c r="AE20" i="4"/>
  <c r="AD13" i="4"/>
  <c r="AD16" i="4"/>
  <c r="V16" i="4"/>
  <c r="AW16" i="4"/>
  <c r="AE16" i="4"/>
  <c r="AN16" i="4"/>
  <c r="U22" i="4"/>
  <c r="AN14" i="4"/>
  <c r="V14" i="4"/>
  <c r="AW14" i="4"/>
  <c r="AE14" i="4"/>
  <c r="U21" i="4"/>
  <c r="U20" i="4"/>
  <c r="AD21" i="4"/>
  <c r="U19" i="4"/>
  <c r="V21" i="4"/>
  <c r="AW21" i="4"/>
  <c r="AE21" i="4"/>
  <c r="AN21" i="4"/>
  <c r="AE13" i="4"/>
  <c r="AN13" i="4"/>
  <c r="V13" i="4"/>
  <c r="AW13" i="4"/>
  <c r="V22" i="4"/>
  <c r="AW22" i="4"/>
  <c r="AE22" i="4"/>
  <c r="AN22" i="4"/>
  <c r="AD19" i="4"/>
  <c r="AN19" i="4"/>
  <c r="V19" i="4"/>
  <c r="AW19" i="4"/>
  <c r="AE19" i="4"/>
  <c r="AV20" i="4"/>
  <c r="AM18" i="4"/>
  <c r="AE17" i="4"/>
  <c r="AN17" i="4"/>
  <c r="V17" i="4"/>
  <c r="AW17" i="4"/>
  <c r="U14" i="4"/>
  <c r="AD20" i="4"/>
  <c r="AN15" i="4"/>
  <c r="V15" i="4"/>
  <c r="AW15" i="4"/>
  <c r="AE15" i="4"/>
  <c r="AM21" i="4"/>
  <c r="AV16" i="4"/>
  <c r="AE18" i="4"/>
  <c r="AN18" i="4"/>
  <c r="V18" i="4"/>
  <c r="AW18" i="4"/>
  <c r="AD15" i="4"/>
  <c r="AM15" i="4"/>
  <c r="AM14" i="4"/>
  <c r="U15" i="4"/>
  <c r="AM22" i="4"/>
  <c r="U16" i="4"/>
  <c r="E11" i="4" l="1"/>
  <c r="F11" i="4" s="1"/>
  <c r="S11" i="4" s="1"/>
  <c r="E12" i="4"/>
  <c r="F12" i="4" s="1"/>
  <c r="S12" i="4" s="1"/>
  <c r="E5" i="4"/>
  <c r="F5" i="4" s="1"/>
  <c r="S5" i="4" s="1"/>
  <c r="E8" i="4"/>
  <c r="F8" i="4" s="1"/>
  <c r="S8" i="4" s="1"/>
  <c r="E6" i="4"/>
  <c r="F6" i="4" s="1"/>
  <c r="S6" i="4" s="1"/>
  <c r="E9" i="4"/>
  <c r="F9" i="4" s="1"/>
  <c r="S9" i="4" s="1"/>
  <c r="E7" i="4"/>
  <c r="F7" i="4" s="1"/>
  <c r="S7" i="4" s="1"/>
  <c r="E10" i="4"/>
  <c r="F10" i="4" s="1"/>
  <c r="S10" i="4" s="1"/>
  <c r="AP11" i="4" l="1"/>
  <c r="AS11" i="4" s="1"/>
  <c r="AP12" i="4"/>
  <c r="AS12" i="4" s="1"/>
  <c r="P11" i="4"/>
  <c r="R11" i="4" s="1"/>
  <c r="P12" i="4"/>
  <c r="R12" i="4" s="1"/>
  <c r="AL12" i="4"/>
  <c r="AC12" i="4"/>
  <c r="T11" i="4"/>
  <c r="AU12" i="4"/>
  <c r="AL11" i="4"/>
  <c r="N11" i="4"/>
  <c r="Q11" i="4" s="1"/>
  <c r="N12" i="4"/>
  <c r="Q12" i="4" s="1"/>
  <c r="X11" i="4"/>
  <c r="AA11" i="4" s="1"/>
  <c r="X12" i="4"/>
  <c r="AA12" i="4" s="1"/>
  <c r="H11" i="4"/>
  <c r="K11" i="4" s="1"/>
  <c r="H12" i="4"/>
  <c r="K12" i="4" s="1"/>
  <c r="AC11" i="4"/>
  <c r="AR11" i="4"/>
  <c r="AT11" i="4" s="1"/>
  <c r="AR12" i="4"/>
  <c r="AT12" i="4" s="1"/>
  <c r="J11" i="4"/>
  <c r="L11" i="4" s="1"/>
  <c r="J12" i="4"/>
  <c r="L12" i="4" s="1"/>
  <c r="AU11" i="4"/>
  <c r="AI11" i="4"/>
  <c r="AK11" i="4" s="1"/>
  <c r="AI12" i="4"/>
  <c r="AK12" i="4" s="1"/>
  <c r="Z11" i="4"/>
  <c r="AB11" i="4" s="1"/>
  <c r="Z12" i="4"/>
  <c r="AB12" i="4" s="1"/>
  <c r="T12" i="4"/>
  <c r="AG11" i="4"/>
  <c r="AJ11" i="4" s="1"/>
  <c r="AG12" i="4"/>
  <c r="AJ12" i="4" s="1"/>
  <c r="AL6" i="4"/>
  <c r="AU10" i="4"/>
  <c r="J5" i="4"/>
  <c r="L5" i="4" s="1"/>
  <c r="J8" i="4"/>
  <c r="L8" i="4" s="1"/>
  <c r="J6" i="4"/>
  <c r="L6" i="4" s="1"/>
  <c r="J9" i="4"/>
  <c r="L9" i="4" s="1"/>
  <c r="J7" i="4"/>
  <c r="L7" i="4" s="1"/>
  <c r="J10" i="4"/>
  <c r="L10" i="4" s="1"/>
  <c r="P5" i="4"/>
  <c r="R5" i="4" s="1"/>
  <c r="P8" i="4"/>
  <c r="R8" i="4" s="1"/>
  <c r="P6" i="4"/>
  <c r="R6" i="4" s="1"/>
  <c r="P9" i="4"/>
  <c r="R9" i="4" s="1"/>
  <c r="P7" i="4"/>
  <c r="R7" i="4" s="1"/>
  <c r="P10" i="4"/>
  <c r="R10" i="4" s="1"/>
  <c r="AC6" i="4"/>
  <c r="T7" i="4"/>
  <c r="AC5" i="4"/>
  <c r="AC7" i="4"/>
  <c r="AU9" i="4"/>
  <c r="T6" i="4"/>
  <c r="AU6" i="4"/>
  <c r="AI5" i="4"/>
  <c r="AK5" i="4" s="1"/>
  <c r="AI8" i="4"/>
  <c r="AK8" i="4" s="1"/>
  <c r="AI6" i="4"/>
  <c r="AK6" i="4" s="1"/>
  <c r="AI9" i="4"/>
  <c r="AK9" i="4" s="1"/>
  <c r="AI7" i="4"/>
  <c r="AK7" i="4" s="1"/>
  <c r="AI10" i="4"/>
  <c r="AK10" i="4" s="1"/>
  <c r="AU8" i="4"/>
  <c r="AL5" i="4"/>
  <c r="H5" i="4"/>
  <c r="K5" i="4" s="1"/>
  <c r="H8" i="4"/>
  <c r="K8" i="4" s="1"/>
  <c r="H6" i="4"/>
  <c r="K6" i="4" s="1"/>
  <c r="H9" i="4"/>
  <c r="K9" i="4" s="1"/>
  <c r="H7" i="4"/>
  <c r="K7" i="4" s="1"/>
  <c r="H10" i="4"/>
  <c r="K10" i="4" s="1"/>
  <c r="T10" i="4"/>
  <c r="AU5" i="4"/>
  <c r="T8" i="4"/>
  <c r="AU7" i="4"/>
  <c r="Z5" i="4"/>
  <c r="AB5" i="4" s="1"/>
  <c r="Z8" i="4"/>
  <c r="AB8" i="4" s="1"/>
  <c r="Z6" i="4"/>
  <c r="AB6" i="4" s="1"/>
  <c r="Z9" i="4"/>
  <c r="AB9" i="4" s="1"/>
  <c r="Z7" i="4"/>
  <c r="AB7" i="4" s="1"/>
  <c r="Z10" i="4"/>
  <c r="AB10" i="4" s="1"/>
  <c r="N5" i="4"/>
  <c r="Q5" i="4" s="1"/>
  <c r="N8" i="4"/>
  <c r="Q8" i="4" s="1"/>
  <c r="N6" i="4"/>
  <c r="Q6" i="4" s="1"/>
  <c r="N9" i="4"/>
  <c r="Q9" i="4" s="1"/>
  <c r="N7" i="4"/>
  <c r="Q7" i="4" s="1"/>
  <c r="N10" i="4"/>
  <c r="Q10" i="4" s="1"/>
  <c r="T5" i="4"/>
  <c r="X5" i="4"/>
  <c r="AA5" i="4" s="1"/>
  <c r="X8" i="4"/>
  <c r="AA8" i="4" s="1"/>
  <c r="X6" i="4"/>
  <c r="AA6" i="4" s="1"/>
  <c r="X9" i="4"/>
  <c r="AA9" i="4" s="1"/>
  <c r="X7" i="4"/>
  <c r="AA7" i="4" s="1"/>
  <c r="X10" i="4"/>
  <c r="AA10" i="4" s="1"/>
  <c r="AC8" i="4"/>
  <c r="AP10" i="4"/>
  <c r="AS10" i="4" s="1"/>
  <c r="AP5" i="4"/>
  <c r="AS5" i="4" s="1"/>
  <c r="AP8" i="4"/>
  <c r="AS8" i="4" s="1"/>
  <c r="AP6" i="4"/>
  <c r="AS6" i="4" s="1"/>
  <c r="AP9" i="4"/>
  <c r="AS9" i="4" s="1"/>
  <c r="AP7" i="4"/>
  <c r="AS7" i="4" s="1"/>
  <c r="AR7" i="4"/>
  <c r="AT7" i="4" s="1"/>
  <c r="AR10" i="4"/>
  <c r="AT10" i="4" s="1"/>
  <c r="AR5" i="4"/>
  <c r="AT5" i="4" s="1"/>
  <c r="AR8" i="4"/>
  <c r="AT8" i="4" s="1"/>
  <c r="AR6" i="4"/>
  <c r="AT6" i="4" s="1"/>
  <c r="AR9" i="4"/>
  <c r="AT9" i="4" s="1"/>
  <c r="AL10" i="4"/>
  <c r="AC10" i="4"/>
  <c r="AC9" i="4"/>
  <c r="AG5" i="4"/>
  <c r="AJ5" i="4" s="1"/>
  <c r="AG8" i="4"/>
  <c r="AJ8" i="4" s="1"/>
  <c r="AG6" i="4"/>
  <c r="AJ6" i="4" s="1"/>
  <c r="AG9" i="4"/>
  <c r="AJ9" i="4" s="1"/>
  <c r="AG7" i="4"/>
  <c r="AJ7" i="4" s="1"/>
  <c r="AG10" i="4"/>
  <c r="AJ10" i="4" s="1"/>
  <c r="AL8" i="4"/>
  <c r="T9" i="4"/>
  <c r="AL9" i="4"/>
  <c r="AL7" i="4"/>
  <c r="AD12" i="4" l="1"/>
  <c r="U12" i="4"/>
  <c r="AM11" i="4"/>
  <c r="AV11" i="4"/>
  <c r="AD11" i="4"/>
  <c r="AM12" i="4"/>
  <c r="U11" i="4"/>
  <c r="AV12" i="4"/>
  <c r="AE11" i="4"/>
  <c r="AN11" i="4"/>
  <c r="V11" i="4"/>
  <c r="AW11" i="4"/>
  <c r="AN12" i="4"/>
  <c r="V12" i="4"/>
  <c r="AW12" i="4"/>
  <c r="AE12" i="4"/>
  <c r="AM8" i="4"/>
  <c r="AD7" i="4"/>
  <c r="AD6" i="4"/>
  <c r="U5" i="4"/>
  <c r="U8" i="4"/>
  <c r="U10" i="4"/>
  <c r="U6" i="4"/>
  <c r="AM5" i="4"/>
  <c r="AV7" i="4"/>
  <c r="AV10" i="4"/>
  <c r="AV9" i="4"/>
  <c r="V8" i="4"/>
  <c r="AW8" i="4"/>
  <c r="AE8" i="4"/>
  <c r="AN8" i="4"/>
  <c r="AE5" i="4"/>
  <c r="AN5" i="4"/>
  <c r="V5" i="4"/>
  <c r="AW5" i="4"/>
  <c r="AM6" i="4"/>
  <c r="AD8" i="4"/>
  <c r="AD5" i="4"/>
  <c r="AV5" i="4"/>
  <c r="AD10" i="4"/>
  <c r="AM10" i="4"/>
  <c r="AE10" i="4"/>
  <c r="AN10" i="4"/>
  <c r="V10" i="4"/>
  <c r="AW10" i="4"/>
  <c r="AV6" i="4"/>
  <c r="AM7" i="4"/>
  <c r="AN6" i="4"/>
  <c r="V6" i="4"/>
  <c r="AW6" i="4"/>
  <c r="AE6" i="4"/>
  <c r="AV8" i="4"/>
  <c r="AE9" i="4"/>
  <c r="AN9" i="4"/>
  <c r="V9" i="4"/>
  <c r="AW9" i="4"/>
  <c r="U7" i="4"/>
  <c r="AN7" i="4"/>
  <c r="V7" i="4"/>
  <c r="AW7" i="4"/>
  <c r="AE7" i="4"/>
  <c r="AD9" i="4"/>
  <c r="AM9" i="4"/>
  <c r="U9" i="4"/>
  <c r="G145" i="3" l="1"/>
  <c r="AK145" i="3"/>
  <c r="J145" i="3"/>
  <c r="L145" i="3"/>
  <c r="R145" i="3"/>
  <c r="P145" i="3"/>
  <c r="AI145" i="3"/>
  <c r="AB145" i="3"/>
  <c r="AR145" i="3"/>
  <c r="Z145" i="3"/>
  <c r="AT145" i="3"/>
  <c r="AV145" i="3" l="1"/>
  <c r="AM145" i="3"/>
  <c r="AD145" i="3"/>
  <c r="T145" i="3"/>
  <c r="H145" i="3"/>
  <c r="U145" i="3" s="1"/>
  <c r="S145" i="3"/>
  <c r="AL145" i="3"/>
  <c r="AN145" i="3"/>
  <c r="W145" i="3"/>
  <c r="M145" i="3"/>
  <c r="BD145" i="3"/>
  <c r="BE145" i="3"/>
  <c r="BC145" i="3"/>
  <c r="AE145" i="3"/>
  <c r="AC145" i="3"/>
  <c r="AU145" i="3"/>
  <c r="AW145" i="3"/>
  <c r="N145" i="3"/>
  <c r="V145" i="3"/>
  <c r="AX145" i="3" l="1"/>
  <c r="AF145" i="3"/>
  <c r="AO145" i="3"/>
  <c r="AP145" i="3"/>
  <c r="AY145" i="3"/>
  <c r="AG145" i="3"/>
  <c r="X145" i="3"/>
  <c r="E4" i="4" l="1"/>
  <c r="F4" i="4" s="1"/>
  <c r="S4" i="4" s="1"/>
  <c r="E3" i="4"/>
  <c r="F3" i="4" s="1"/>
  <c r="S3" i="4" s="1"/>
  <c r="AL4" i="4" l="1"/>
  <c r="AR4" i="4"/>
  <c r="AT4" i="4" s="1"/>
  <c r="AG4" i="4"/>
  <c r="AJ4" i="4" s="1"/>
  <c r="N4" i="4"/>
  <c r="Q4" i="4" s="1"/>
  <c r="AP4" i="4"/>
  <c r="AS4" i="4" s="1"/>
  <c r="Z4" i="4"/>
  <c r="AB4" i="4" s="1"/>
  <c r="X4" i="4"/>
  <c r="AA4" i="4" s="1"/>
  <c r="J4" i="4"/>
  <c r="L4" i="4" s="1"/>
  <c r="AC4" i="4"/>
  <c r="P4" i="4"/>
  <c r="R4" i="4" s="1"/>
  <c r="AI4" i="4"/>
  <c r="AK4" i="4" s="1"/>
  <c r="H4" i="4"/>
  <c r="K4" i="4" s="1"/>
  <c r="AU4" i="4"/>
  <c r="T4" i="4"/>
  <c r="AL3" i="4"/>
  <c r="AR3" i="4"/>
  <c r="AT3" i="4" s="1"/>
  <c r="AC3" i="4"/>
  <c r="J3" i="4"/>
  <c r="L3" i="4" s="1"/>
  <c r="N3" i="4"/>
  <c r="Q3" i="4" s="1"/>
  <c r="AU3" i="4"/>
  <c r="T3" i="4"/>
  <c r="AI3" i="4"/>
  <c r="AK3" i="4" s="1"/>
  <c r="P3" i="4"/>
  <c r="R3" i="4" s="1"/>
  <c r="AP3" i="4"/>
  <c r="AS3" i="4" s="1"/>
  <c r="AG3" i="4"/>
  <c r="AJ3" i="4" s="1"/>
  <c r="H3" i="4"/>
  <c r="K3" i="4" s="1"/>
  <c r="X3" i="4"/>
  <c r="AA3" i="4" s="1"/>
  <c r="Z3" i="4"/>
  <c r="AB3" i="4" s="1"/>
  <c r="U4" i="4" l="1"/>
  <c r="AV4" i="4"/>
  <c r="AN4" i="4"/>
  <c r="V4" i="4"/>
  <c r="AW4" i="4"/>
  <c r="AE4" i="4"/>
  <c r="AD4" i="4"/>
  <c r="AM4" i="4"/>
  <c r="AM3" i="4"/>
  <c r="AV3" i="4"/>
  <c r="U3" i="4"/>
  <c r="AE3" i="4"/>
  <c r="AN3" i="4"/>
  <c r="V3" i="4"/>
  <c r="AW3" i="4"/>
  <c r="AD3" i="4"/>
  <c r="BP3" i="2" l="1"/>
  <c r="BP4" i="2"/>
  <c r="BP5" i="2"/>
  <c r="BP6" i="2"/>
  <c r="BP7" i="2"/>
  <c r="BP8" i="2"/>
  <c r="BP9" i="2"/>
  <c r="BP10" i="2"/>
  <c r="BP11" i="2"/>
  <c r="BP12" i="2"/>
  <c r="BP13" i="2"/>
  <c r="BP14" i="2"/>
  <c r="BP15" i="2"/>
  <c r="BP16" i="2"/>
  <c r="BP17" i="2"/>
  <c r="BP18" i="2"/>
  <c r="BP19" i="2"/>
  <c r="BP20" i="2"/>
  <c r="BP21" i="2"/>
  <c r="BP22" i="2"/>
  <c r="BP23" i="2"/>
  <c r="BP24" i="2"/>
  <c r="BP25" i="2"/>
  <c r="BP26" i="2"/>
  <c r="BP27" i="2"/>
  <c r="BP28" i="2"/>
  <c r="BP29" i="2"/>
  <c r="BP30" i="2"/>
  <c r="BP31" i="2"/>
  <c r="BP32" i="2"/>
  <c r="BP33" i="2"/>
  <c r="BP34" i="2"/>
  <c r="BP35" i="2"/>
  <c r="BP36" i="2"/>
  <c r="BP37" i="2"/>
  <c r="BP38" i="2"/>
  <c r="BP39" i="2"/>
  <c r="BP40" i="2"/>
  <c r="BP41" i="2"/>
  <c r="BP42" i="2"/>
  <c r="BP43" i="2"/>
  <c r="BP44" i="2"/>
  <c r="BP45" i="2"/>
  <c r="BP46" i="2"/>
  <c r="BP47" i="2"/>
  <c r="BP48" i="2"/>
  <c r="BP49" i="2"/>
  <c r="BP50" i="2"/>
  <c r="BP51" i="2"/>
  <c r="BP52" i="2"/>
  <c r="BP53" i="2"/>
  <c r="BP54" i="2"/>
  <c r="BP55" i="2"/>
  <c r="BP56" i="2"/>
  <c r="BP57" i="2"/>
  <c r="BP58" i="2"/>
  <c r="BP59" i="2"/>
  <c r="BP60" i="2"/>
  <c r="BP61" i="2"/>
  <c r="BP62" i="2"/>
  <c r="BP63" i="2"/>
  <c r="BP64" i="2"/>
  <c r="BP65" i="2"/>
  <c r="BP66" i="2"/>
  <c r="BP67" i="2"/>
  <c r="BP68" i="2"/>
  <c r="BP69" i="2"/>
  <c r="BP70" i="2"/>
  <c r="BP71" i="2"/>
  <c r="BP72" i="2"/>
  <c r="BP73" i="2"/>
  <c r="BP74" i="2"/>
  <c r="BP75" i="2"/>
  <c r="BP76" i="2"/>
  <c r="BP77" i="2"/>
  <c r="BP78" i="2"/>
  <c r="BP79" i="2"/>
  <c r="BP80" i="2"/>
  <c r="BP81" i="2"/>
  <c r="BP82" i="2"/>
  <c r="BP83" i="2"/>
  <c r="BP84" i="2"/>
  <c r="BP85" i="2"/>
  <c r="BP86" i="2"/>
  <c r="BP87" i="2"/>
  <c r="BP88" i="2"/>
  <c r="BP89" i="2"/>
  <c r="BP90" i="2"/>
  <c r="BP91" i="2"/>
  <c r="BP92" i="2"/>
  <c r="BP93" i="2"/>
  <c r="BP94" i="2"/>
  <c r="BP95" i="2"/>
  <c r="BP96" i="2"/>
  <c r="BP97" i="2"/>
  <c r="BP98" i="2"/>
  <c r="BP99" i="2"/>
  <c r="BP100" i="2"/>
  <c r="BP101" i="2"/>
  <c r="BP2" i="2"/>
  <c r="BO3" i="2"/>
  <c r="BO4" i="2"/>
  <c r="BO5" i="2"/>
  <c r="BO6" i="2"/>
  <c r="BO7" i="2"/>
  <c r="BO8" i="2"/>
  <c r="BO9" i="2"/>
  <c r="BO10" i="2"/>
  <c r="BO11" i="2"/>
  <c r="BO12" i="2"/>
  <c r="BO13" i="2"/>
  <c r="BO14" i="2"/>
  <c r="BO15" i="2"/>
  <c r="BO16" i="2"/>
  <c r="BO17" i="2"/>
  <c r="BO18" i="2"/>
  <c r="BO19" i="2"/>
  <c r="BO20" i="2"/>
  <c r="BO21" i="2"/>
  <c r="BO22" i="2"/>
  <c r="BO23" i="2"/>
  <c r="BO24" i="2"/>
  <c r="BO25" i="2"/>
  <c r="BO26" i="2"/>
  <c r="BO27" i="2"/>
  <c r="BO28" i="2"/>
  <c r="BO29" i="2"/>
  <c r="BO30" i="2"/>
  <c r="BO31" i="2"/>
  <c r="BO32" i="2"/>
  <c r="BO33" i="2"/>
  <c r="BO34" i="2"/>
  <c r="BO35" i="2"/>
  <c r="BO36" i="2"/>
  <c r="BO37" i="2"/>
  <c r="BO38" i="2"/>
  <c r="BO39" i="2"/>
  <c r="BO40" i="2"/>
  <c r="BO41" i="2"/>
  <c r="BO42" i="2"/>
  <c r="BO43" i="2"/>
  <c r="BO44" i="2"/>
  <c r="BO45" i="2"/>
  <c r="BO46" i="2"/>
  <c r="BO47" i="2"/>
  <c r="BO48" i="2"/>
  <c r="BO49" i="2"/>
  <c r="BO50" i="2"/>
  <c r="BO51" i="2"/>
  <c r="BO52" i="2"/>
  <c r="BO53" i="2"/>
  <c r="BO54" i="2"/>
  <c r="BO55" i="2"/>
  <c r="BO56" i="2"/>
  <c r="BO57" i="2"/>
  <c r="BO58" i="2"/>
  <c r="BO59" i="2"/>
  <c r="BO60" i="2"/>
  <c r="BO61" i="2"/>
  <c r="BO62" i="2"/>
  <c r="BO63" i="2"/>
  <c r="BO64" i="2"/>
  <c r="BO65" i="2"/>
  <c r="BO66" i="2"/>
  <c r="BO67" i="2"/>
  <c r="BO68" i="2"/>
  <c r="BO69" i="2"/>
  <c r="BO70" i="2"/>
  <c r="BO71" i="2"/>
  <c r="BO72" i="2"/>
  <c r="BO73" i="2"/>
  <c r="BO74" i="2"/>
  <c r="BO75" i="2"/>
  <c r="BO76" i="2"/>
  <c r="BO77" i="2"/>
  <c r="BO78" i="2"/>
  <c r="BO79" i="2"/>
  <c r="BO80" i="2"/>
  <c r="BO81" i="2"/>
  <c r="BO82" i="2"/>
  <c r="BO83" i="2"/>
  <c r="BO84" i="2"/>
  <c r="BO85" i="2"/>
  <c r="BO86" i="2"/>
  <c r="BO87" i="2"/>
  <c r="BO88" i="2"/>
  <c r="BO89" i="2"/>
  <c r="BO90" i="2"/>
  <c r="BO91" i="2"/>
  <c r="BO92" i="2"/>
  <c r="BO93" i="2"/>
  <c r="BO94" i="2"/>
  <c r="BO95" i="2"/>
  <c r="BO96" i="2"/>
  <c r="BO97" i="2"/>
  <c r="BO98" i="2"/>
  <c r="BO99" i="2"/>
  <c r="BO100" i="2"/>
  <c r="BO101" i="2"/>
  <c r="BO2" i="2"/>
  <c r="BQ101" i="2" l="1"/>
  <c r="BQ69" i="2"/>
  <c r="BQ73" i="2"/>
  <c r="BQ41" i="2"/>
  <c r="BQ9" i="2"/>
  <c r="BQ71" i="2"/>
  <c r="BQ39" i="2"/>
  <c r="BQ7" i="2"/>
  <c r="BQ37" i="2"/>
  <c r="BQ5" i="2"/>
  <c r="BQ99" i="2"/>
  <c r="BQ67" i="2"/>
  <c r="BQ35" i="2"/>
  <c r="BQ3" i="2"/>
  <c r="BQ98" i="2"/>
  <c r="BQ66" i="2"/>
  <c r="BQ34" i="2"/>
  <c r="BQ97" i="2"/>
  <c r="BQ65" i="2"/>
  <c r="BQ33" i="2"/>
  <c r="BQ96" i="2"/>
  <c r="BQ64" i="2"/>
  <c r="BQ32" i="2"/>
  <c r="BQ95" i="2"/>
  <c r="BQ63" i="2"/>
  <c r="BQ31" i="2"/>
  <c r="BQ94" i="2"/>
  <c r="BQ62" i="2"/>
  <c r="BQ30" i="2"/>
  <c r="BQ93" i="2"/>
  <c r="BQ61" i="2"/>
  <c r="BQ29" i="2"/>
  <c r="BQ91" i="2"/>
  <c r="BQ59" i="2"/>
  <c r="BQ27" i="2"/>
  <c r="BQ89" i="2"/>
  <c r="BQ57" i="2"/>
  <c r="BQ25" i="2"/>
  <c r="BQ90" i="2"/>
  <c r="BQ58" i="2"/>
  <c r="BQ26" i="2"/>
  <c r="BQ55" i="2"/>
  <c r="BQ23" i="2"/>
  <c r="BQ87" i="2"/>
  <c r="BQ86" i="2"/>
  <c r="BQ54" i="2"/>
  <c r="BQ22" i="2"/>
  <c r="BQ53" i="2"/>
  <c r="BQ21" i="2"/>
  <c r="BQ2" i="2"/>
  <c r="BQ84" i="2"/>
  <c r="BQ52" i="2"/>
  <c r="BQ20" i="2"/>
  <c r="BQ85" i="2"/>
  <c r="BQ83" i="2"/>
  <c r="BQ51" i="2"/>
  <c r="BQ19" i="2"/>
  <c r="BQ82" i="2"/>
  <c r="BQ50" i="2"/>
  <c r="BQ18" i="2"/>
  <c r="BQ49" i="2"/>
  <c r="BQ81" i="2"/>
  <c r="BQ17" i="2"/>
  <c r="BQ80" i="2"/>
  <c r="BQ48" i="2"/>
  <c r="BQ16" i="2"/>
  <c r="BQ79" i="2"/>
  <c r="BQ47" i="2"/>
  <c r="BQ15" i="2"/>
  <c r="BQ78" i="2"/>
  <c r="BQ46" i="2"/>
  <c r="BQ14" i="2"/>
  <c r="BQ77" i="2"/>
  <c r="BQ45" i="2"/>
  <c r="BQ13" i="2"/>
  <c r="BQ75" i="2"/>
  <c r="BQ43" i="2"/>
  <c r="BQ11" i="2"/>
  <c r="BQ74" i="2"/>
  <c r="BQ42" i="2"/>
  <c r="BQ10" i="2"/>
  <c r="BQ70" i="2"/>
  <c r="BQ38" i="2"/>
  <c r="BQ6" i="2"/>
  <c r="BQ100" i="2"/>
  <c r="BQ68" i="2"/>
  <c r="BQ36" i="2"/>
  <c r="BQ4" i="2"/>
  <c r="BQ92" i="2"/>
  <c r="BQ60" i="2"/>
  <c r="BQ28" i="2"/>
  <c r="BQ88" i="2"/>
  <c r="BQ56" i="2"/>
  <c r="BQ24" i="2"/>
  <c r="BQ76" i="2"/>
  <c r="BQ44" i="2"/>
  <c r="BQ12" i="2"/>
  <c r="BQ72" i="2"/>
  <c r="BQ40" i="2"/>
  <c r="BQ8" i="2"/>
  <c r="BE203" i="3" l="1"/>
  <c r="BE267" i="3"/>
  <c r="BE121" i="3"/>
  <c r="BE338" i="3"/>
  <c r="BE159" i="3"/>
  <c r="BE228" i="3"/>
  <c r="BE330" i="3"/>
  <c r="BJ66" i="2"/>
  <c r="BE241" i="3"/>
  <c r="BE331" i="3"/>
  <c r="V140" i="3"/>
  <c r="V18" i="3"/>
  <c r="AA97" i="2"/>
  <c r="BE21" i="3"/>
  <c r="BJ93" i="2"/>
  <c r="V185" i="3"/>
  <c r="V271" i="3"/>
  <c r="AA16" i="2"/>
  <c r="V318" i="3"/>
  <c r="AA49" i="2"/>
  <c r="BE87" i="3"/>
  <c r="AA46" i="2"/>
  <c r="AA8" i="2"/>
  <c r="V114" i="3"/>
  <c r="BD114" i="3"/>
  <c r="V333" i="3"/>
  <c r="BH33" i="2"/>
  <c r="V103" i="3"/>
  <c r="AA100" i="2"/>
  <c r="BJ95" i="2"/>
  <c r="BD101" i="3"/>
  <c r="V202" i="3"/>
  <c r="V157" i="3"/>
  <c r="V320" i="3"/>
  <c r="V297" i="3"/>
  <c r="BD197" i="3"/>
  <c r="V336" i="3"/>
  <c r="BH88" i="2"/>
  <c r="V245" i="3"/>
  <c r="BH56" i="2"/>
  <c r="BC269" i="3"/>
  <c r="AA95" i="2"/>
  <c r="AA88" i="2"/>
  <c r="V178" i="3"/>
  <c r="V94" i="3"/>
  <c r="V229" i="3"/>
  <c r="AA36" i="2"/>
  <c r="V235" i="3"/>
  <c r="V220" i="3"/>
  <c r="V340" i="3"/>
  <c r="V146" i="3"/>
  <c r="BD271" i="3"/>
  <c r="AA21" i="2"/>
  <c r="V68" i="3"/>
  <c r="V51" i="3"/>
  <c r="AA53" i="2"/>
  <c r="BI62" i="2"/>
  <c r="V123" i="3"/>
  <c r="BD142" i="3"/>
  <c r="BD344" i="3"/>
  <c r="V193" i="3"/>
  <c r="BD313" i="3"/>
  <c r="BC336" i="3"/>
  <c r="BE56" i="3"/>
  <c r="BD18" i="3"/>
  <c r="BD293" i="3"/>
  <c r="V284" i="3"/>
  <c r="V93" i="3"/>
  <c r="AA33" i="2"/>
  <c r="V269" i="3"/>
  <c r="BD3" i="3"/>
  <c r="BH66" i="2"/>
  <c r="V66" i="3"/>
  <c r="BJ86" i="2"/>
  <c r="BE230" i="3"/>
  <c r="V118" i="3"/>
  <c r="V27" i="3"/>
  <c r="BJ10" i="2"/>
  <c r="BD209" i="3"/>
  <c r="BC46" i="3"/>
  <c r="BJ68" i="2"/>
  <c r="BD217" i="3"/>
  <c r="BI69" i="2"/>
  <c r="V39" i="3"/>
  <c r="BI97" i="2"/>
  <c r="BC334" i="3"/>
  <c r="BD155" i="3"/>
  <c r="BC25" i="3"/>
  <c r="BD81" i="3"/>
  <c r="V290" i="3"/>
  <c r="V267" i="3"/>
  <c r="AA90" i="2"/>
  <c r="AA93" i="2"/>
  <c r="BE90" i="3"/>
  <c r="BE120" i="3"/>
  <c r="V322" i="3"/>
  <c r="BD112" i="3"/>
  <c r="V41" i="3"/>
  <c r="BE132" i="3"/>
  <c r="V144" i="3"/>
  <c r="BE315" i="3"/>
  <c r="BC24" i="3"/>
  <c r="V14" i="3"/>
  <c r="V261" i="3"/>
  <c r="V314" i="3"/>
  <c r="AA18" i="2"/>
  <c r="BD39" i="3"/>
  <c r="V315" i="3"/>
  <c r="BC212" i="3"/>
  <c r="BD302" i="3"/>
  <c r="AA68" i="2"/>
  <c r="BC200" i="3"/>
  <c r="BJ72" i="2"/>
  <c r="BC337" i="3"/>
  <c r="BH23" i="2"/>
  <c r="BD162" i="3"/>
  <c r="V205" i="3"/>
  <c r="BC290" i="3"/>
  <c r="V306" i="3"/>
  <c r="V200" i="3"/>
  <c r="V337" i="3"/>
  <c r="AA23" i="2"/>
  <c r="BJ3" i="2"/>
  <c r="V164" i="3"/>
  <c r="BE301" i="3"/>
  <c r="BD181" i="3"/>
  <c r="BD86" i="3"/>
  <c r="BD244" i="3"/>
  <c r="V254" i="3"/>
  <c r="V135" i="3"/>
  <c r="V72" i="3"/>
  <c r="V240" i="3"/>
  <c r="V331" i="3"/>
  <c r="V246" i="3"/>
  <c r="V323" i="3"/>
  <c r="V105" i="3"/>
  <c r="V87" i="3"/>
  <c r="V175" i="3"/>
  <c r="V106" i="3"/>
  <c r="AA55" i="2"/>
  <c r="V294" i="3"/>
  <c r="AA45" i="2"/>
  <c r="V207" i="3"/>
  <c r="V26" i="3"/>
  <c r="AA98" i="2"/>
  <c r="V236" i="3"/>
  <c r="V237" i="3"/>
  <c r="V265" i="3"/>
  <c r="AA89" i="2"/>
  <c r="V349" i="3"/>
  <c r="V298" i="3"/>
  <c r="V139" i="3"/>
  <c r="AA83" i="2"/>
  <c r="V334" i="3"/>
  <c r="AA34" i="2"/>
  <c r="V300" i="3"/>
  <c r="V278" i="3"/>
  <c r="V156" i="3"/>
  <c r="V338" i="3"/>
  <c r="V199" i="3"/>
  <c r="V81" i="3"/>
  <c r="V101" i="3"/>
  <c r="AA71" i="2"/>
  <c r="V159" i="3"/>
  <c r="V310" i="3"/>
  <c r="AA56" i="2"/>
  <c r="V201" i="3"/>
  <c r="AA14" i="2"/>
  <c r="V10" i="3"/>
  <c r="AA44" i="2"/>
  <c r="V3" i="3"/>
  <c r="V188" i="3"/>
  <c r="V163" i="3"/>
  <c r="V169" i="3"/>
  <c r="V21" i="3"/>
  <c r="V209" i="3"/>
  <c r="AA82" i="2"/>
  <c r="V224" i="3"/>
  <c r="AA13" i="2"/>
  <c r="V203" i="3"/>
  <c r="V256" i="3"/>
  <c r="V142" i="3"/>
  <c r="V172" i="3"/>
  <c r="V319" i="3"/>
  <c r="AA60" i="2"/>
  <c r="AA4" i="2"/>
  <c r="V104" i="3"/>
  <c r="V324" i="3"/>
  <c r="V328" i="3"/>
  <c r="V264" i="3"/>
  <c r="AA77" i="2"/>
  <c r="AA41" i="2"/>
  <c r="AA24" i="2"/>
  <c r="V268" i="3"/>
  <c r="V78" i="3"/>
  <c r="V288" i="3"/>
  <c r="AA66" i="2"/>
  <c r="V280" i="3"/>
  <c r="V119" i="3"/>
  <c r="V141" i="3"/>
  <c r="AA78" i="2"/>
  <c r="AA54" i="2"/>
  <c r="AA91" i="2"/>
  <c r="AA48" i="2"/>
  <c r="V36" i="3"/>
  <c r="V115" i="3"/>
  <c r="V183" i="3"/>
  <c r="AA65" i="2"/>
  <c r="V35" i="3"/>
  <c r="V233" i="3"/>
  <c r="V222" i="3"/>
  <c r="AA9" i="2"/>
  <c r="V166" i="3"/>
  <c r="V342" i="3"/>
  <c r="V218" i="3"/>
  <c r="V321" i="3"/>
  <c r="V43" i="3"/>
  <c r="V255" i="3"/>
  <c r="AA31" i="2"/>
  <c r="AA20" i="2"/>
  <c r="V309" i="3"/>
  <c r="AA40" i="2"/>
  <c r="V348" i="3"/>
  <c r="V77" i="3"/>
  <c r="V59" i="3"/>
  <c r="V74" i="3"/>
  <c r="V189" i="3"/>
  <c r="V308" i="3"/>
  <c r="V242" i="3"/>
  <c r="V213" i="3"/>
  <c r="V148" i="3"/>
  <c r="V110" i="3"/>
  <c r="AA25" i="2"/>
  <c r="V73" i="3"/>
  <c r="V281" i="3"/>
  <c r="V168" i="3"/>
  <c r="V48" i="3"/>
  <c r="V34" i="3"/>
  <c r="V22" i="3"/>
  <c r="V274" i="3"/>
  <c r="V260" i="3"/>
  <c r="V92" i="3"/>
  <c r="V243" i="3"/>
  <c r="V177" i="3"/>
  <c r="V171" i="3"/>
  <c r="V195" i="3"/>
  <c r="V227" i="3"/>
  <c r="AA81" i="2"/>
  <c r="V13" i="3"/>
  <c r="AA11" i="2"/>
  <c r="V258" i="3"/>
  <c r="AA63" i="2"/>
  <c r="V19" i="3"/>
  <c r="V75" i="3"/>
  <c r="AA7" i="2"/>
  <c r="V32" i="3"/>
  <c r="V270" i="3"/>
  <c r="V58" i="3"/>
  <c r="AA19" i="2"/>
  <c r="V125" i="3"/>
  <c r="V82" i="3"/>
  <c r="V353" i="3"/>
  <c r="V9" i="3"/>
  <c r="V64" i="3"/>
  <c r="V187" i="3"/>
  <c r="BC294" i="3"/>
  <c r="BD294" i="3"/>
  <c r="BE294" i="3"/>
  <c r="V83" i="3"/>
  <c r="BC39" i="3"/>
  <c r="BI98" i="2"/>
  <c r="BJ98" i="2"/>
  <c r="BH98" i="2"/>
  <c r="BD261" i="3"/>
  <c r="BE261" i="3"/>
  <c r="BC261" i="3"/>
  <c r="BH68" i="2"/>
  <c r="BI68" i="2"/>
  <c r="BC236" i="3"/>
  <c r="BE236" i="3"/>
  <c r="BD236" i="3"/>
  <c r="BC179" i="3"/>
  <c r="BD179" i="3"/>
  <c r="BE179" i="3"/>
  <c r="BC81" i="3"/>
  <c r="BD290" i="3"/>
  <c r="BE290" i="3"/>
  <c r="BC139" i="3"/>
  <c r="BD139" i="3"/>
  <c r="BE139" i="3"/>
  <c r="BD144" i="3"/>
  <c r="BC18" i="3"/>
  <c r="BE18" i="3"/>
  <c r="BC217" i="3"/>
  <c r="BC351" i="3"/>
  <c r="BD351" i="3"/>
  <c r="BE351" i="3"/>
  <c r="BE240" i="3"/>
  <c r="BC240" i="3"/>
  <c r="BD240" i="3"/>
  <c r="BE251" i="3"/>
  <c r="BD251" i="3"/>
  <c r="BC251" i="3"/>
  <c r="BD318" i="3"/>
  <c r="BC318" i="3"/>
  <c r="BE318" i="3"/>
  <c r="BC159" i="3"/>
  <c r="BD159" i="3"/>
  <c r="BI86" i="2"/>
  <c r="BH86" i="2"/>
  <c r="BI64" i="2"/>
  <c r="BH64" i="2"/>
  <c r="BJ64" i="2"/>
  <c r="BE344" i="3"/>
  <c r="BC344" i="3"/>
  <c r="BE212" i="3"/>
  <c r="BD212" i="3"/>
  <c r="BC285" i="3"/>
  <c r="BD285" i="3"/>
  <c r="BE285" i="3"/>
  <c r="BC267" i="3"/>
  <c r="BD267" i="3"/>
  <c r="BD315" i="3"/>
  <c r="BC315" i="3"/>
  <c r="BH93" i="2"/>
  <c r="BI93" i="2"/>
  <c r="BD121" i="3"/>
  <c r="BC121" i="3"/>
  <c r="BE3" i="3"/>
  <c r="BC3" i="3"/>
  <c r="BC205" i="3"/>
  <c r="BD205" i="3"/>
  <c r="BE205" i="3"/>
  <c r="BE26" i="3"/>
  <c r="BC26" i="3"/>
  <c r="BD26" i="3"/>
  <c r="BE271" i="3"/>
  <c r="BH28" i="2"/>
  <c r="BI28" i="2"/>
  <c r="BJ28" i="2"/>
  <c r="BH71" i="2"/>
  <c r="BJ71" i="2"/>
  <c r="BI71" i="2"/>
  <c r="BC149" i="3"/>
  <c r="BD149" i="3"/>
  <c r="BE149" i="3"/>
  <c r="BC120" i="3"/>
  <c r="BD120" i="3"/>
  <c r="BC142" i="3"/>
  <c r="BE142" i="3"/>
  <c r="BE244" i="3"/>
  <c r="BH3" i="2"/>
  <c r="BI3" i="2"/>
  <c r="BJ56" i="2"/>
  <c r="BI56" i="2"/>
  <c r="BC161" i="3"/>
  <c r="BD161" i="3"/>
  <c r="BE161" i="3"/>
  <c r="BD10" i="3"/>
  <c r="BE10" i="3"/>
  <c r="BC10" i="3"/>
  <c r="BC305" i="3"/>
  <c r="BD305" i="3"/>
  <c r="BE305" i="3"/>
  <c r="BE163" i="3"/>
  <c r="BD163" i="3"/>
  <c r="BC163" i="3"/>
  <c r="BD185" i="3"/>
  <c r="BC185" i="3"/>
  <c r="BE185" i="3"/>
  <c r="BD41" i="3"/>
  <c r="BC41" i="3"/>
  <c r="BE41" i="3"/>
  <c r="BE130" i="3"/>
  <c r="BC130" i="3"/>
  <c r="BD130" i="3"/>
  <c r="BC214" i="3"/>
  <c r="BD214" i="3"/>
  <c r="BE214" i="3"/>
  <c r="BJ18" i="2"/>
  <c r="BH18" i="2"/>
  <c r="BI18" i="2"/>
  <c r="BH10" i="2"/>
  <c r="BI10" i="2"/>
  <c r="BH27" i="2"/>
  <c r="BI27" i="2"/>
  <c r="BJ27" i="2"/>
  <c r="BC199" i="3"/>
  <c r="BD199" i="3"/>
  <c r="BE199" i="3"/>
  <c r="BE336" i="3"/>
  <c r="BC230" i="3"/>
  <c r="BH13" i="2"/>
  <c r="BI13" i="2"/>
  <c r="BJ13" i="2"/>
  <c r="BE182" i="3"/>
  <c r="BC182" i="3"/>
  <c r="BD182" i="3"/>
  <c r="BH97" i="2"/>
  <c r="BJ97" i="2"/>
  <c r="BC314" i="3"/>
  <c r="BC56" i="3"/>
  <c r="BD56" i="3"/>
  <c r="BE118" i="3"/>
  <c r="BC330" i="3"/>
  <c r="BD330" i="3"/>
  <c r="BC21" i="3"/>
  <c r="BD21" i="3"/>
  <c r="BD257" i="3"/>
  <c r="BC257" i="3"/>
  <c r="BE257" i="3"/>
  <c r="V351" i="3"/>
  <c r="BC349" i="3"/>
  <c r="BD349" i="3"/>
  <c r="BE349" i="3"/>
  <c r="BE14" i="3"/>
  <c r="BC14" i="3"/>
  <c r="BD14" i="3"/>
  <c r="BJ82" i="2"/>
  <c r="BH82" i="2"/>
  <c r="BI82" i="2"/>
  <c r="BD57" i="3"/>
  <c r="BE57" i="3"/>
  <c r="BC57" i="3"/>
  <c r="BC162" i="3"/>
  <c r="BC201" i="3"/>
  <c r="BE201" i="3"/>
  <c r="BD201" i="3"/>
  <c r="BJ90" i="2"/>
  <c r="BH90" i="2"/>
  <c r="BI90" i="2"/>
  <c r="BJ69" i="2"/>
  <c r="BC181" i="3"/>
  <c r="BE181" i="3"/>
  <c r="V197" i="3"/>
  <c r="BD167" i="3"/>
  <c r="BC167" i="3"/>
  <c r="BE167" i="3"/>
  <c r="BC302" i="3"/>
  <c r="BC132" i="3"/>
  <c r="BD132" i="3"/>
  <c r="BC70" i="3"/>
  <c r="BD70" i="3"/>
  <c r="BE70" i="3"/>
  <c r="BC155" i="3"/>
  <c r="BC278" i="3"/>
  <c r="BD278" i="3"/>
  <c r="BE278" i="3"/>
  <c r="V161" i="3"/>
  <c r="BC322" i="3"/>
  <c r="BD322" i="3"/>
  <c r="BE322" i="3"/>
  <c r="BE224" i="3"/>
  <c r="BC224" i="3"/>
  <c r="BD224" i="3"/>
  <c r="BC209" i="3"/>
  <c r="BE209" i="3"/>
  <c r="BC306" i="3"/>
  <c r="BD306" i="3"/>
  <c r="BE306" i="3"/>
  <c r="BE140" i="3"/>
  <c r="BD140" i="3"/>
  <c r="BC140" i="3"/>
  <c r="BD300" i="3"/>
  <c r="BE300" i="3"/>
  <c r="BC300" i="3"/>
  <c r="BC66" i="3"/>
  <c r="BD66" i="3"/>
  <c r="BE66" i="3"/>
  <c r="BD203" i="3"/>
  <c r="BC203" i="3"/>
  <c r="BC112" i="3"/>
  <c r="BE112" i="3"/>
  <c r="BD204" i="3"/>
  <c r="BE204" i="3"/>
  <c r="BC204" i="3"/>
  <c r="BC86" i="3"/>
  <c r="BE299" i="3"/>
  <c r="BC299" i="3"/>
  <c r="BD299" i="3"/>
  <c r="BD301" i="3"/>
  <c r="BD27" i="3"/>
  <c r="BC27" i="3"/>
  <c r="BE27" i="3"/>
  <c r="BD320" i="3"/>
  <c r="BC320" i="3"/>
  <c r="BE320" i="3"/>
  <c r="BD235" i="3"/>
  <c r="BE235" i="3"/>
  <c r="BC235" i="3"/>
  <c r="BI57" i="2"/>
  <c r="BJ57" i="2"/>
  <c r="BH57" i="2"/>
  <c r="BD90" i="3"/>
  <c r="BC90" i="3"/>
  <c r="BC350" i="3"/>
  <c r="BD350" i="3"/>
  <c r="BE350" i="3"/>
  <c r="BD256" i="3"/>
  <c r="BE256" i="3"/>
  <c r="BC256" i="3"/>
  <c r="BD24" i="3"/>
  <c r="BE24" i="3"/>
  <c r="BH72" i="2"/>
  <c r="BI72" i="2"/>
  <c r="BC93" i="3"/>
  <c r="BE93" i="3"/>
  <c r="BD93" i="3"/>
  <c r="BC164" i="3"/>
  <c r="BD164" i="3"/>
  <c r="BE164" i="3"/>
  <c r="BI44" i="2"/>
  <c r="BJ44" i="2"/>
  <c r="BH44" i="2"/>
  <c r="BE262" i="3"/>
  <c r="BC262" i="3"/>
  <c r="BD262" i="3"/>
  <c r="BC80" i="3"/>
  <c r="BD80" i="3"/>
  <c r="BE80" i="3"/>
  <c r="BJ59" i="2"/>
  <c r="BH59" i="2"/>
  <c r="BI59" i="2"/>
  <c r="BE313" i="3"/>
  <c r="BC313" i="3"/>
  <c r="BC283" i="3"/>
  <c r="BD283" i="3"/>
  <c r="BE283" i="3"/>
  <c r="BJ6" i="2"/>
  <c r="BH6" i="2"/>
  <c r="BI6" i="2"/>
  <c r="BC89" i="3"/>
  <c r="BD89" i="3"/>
  <c r="BE89" i="3"/>
  <c r="BD165" i="3"/>
  <c r="BC165" i="3"/>
  <c r="BE165" i="3"/>
  <c r="BD7" i="3"/>
  <c r="BE7" i="3"/>
  <c r="BC7" i="3"/>
  <c r="BH80" i="2"/>
  <c r="BI80" i="2"/>
  <c r="BJ80" i="2"/>
  <c r="BD134" i="3"/>
  <c r="BE134" i="3"/>
  <c r="BC134" i="3"/>
  <c r="BD146" i="3"/>
  <c r="BE146" i="3"/>
  <c r="BC146" i="3"/>
  <c r="BC158" i="3"/>
  <c r="BD158" i="3"/>
  <c r="BE158" i="3"/>
  <c r="BH89" i="2"/>
  <c r="BI89" i="2"/>
  <c r="BJ89" i="2"/>
  <c r="BC147" i="3"/>
  <c r="BE147" i="3"/>
  <c r="BD147" i="3"/>
  <c r="V241" i="3"/>
  <c r="BD46" i="3"/>
  <c r="BE46" i="3"/>
  <c r="BE137" i="3"/>
  <c r="BD137" i="3"/>
  <c r="BC137" i="3"/>
  <c r="V162" i="3"/>
  <c r="BI35" i="2"/>
  <c r="BH35" i="2"/>
  <c r="BJ35" i="2"/>
  <c r="BC338" i="3"/>
  <c r="BD338" i="3"/>
  <c r="BC202" i="3"/>
  <c r="BD202" i="3"/>
  <c r="BE202" i="3"/>
  <c r="BC68" i="3"/>
  <c r="BE68" i="3"/>
  <c r="BD68" i="3"/>
  <c r="BD254" i="3"/>
  <c r="BE254" i="3"/>
  <c r="BC254" i="3"/>
  <c r="BI55" i="2"/>
  <c r="BJ55" i="2"/>
  <c r="BH55" i="2"/>
  <c r="BD265" i="3"/>
  <c r="BC265" i="3"/>
  <c r="BE265" i="3"/>
  <c r="BC101" i="3"/>
  <c r="BI14" i="2"/>
  <c r="BJ14" i="2"/>
  <c r="BH14" i="2"/>
  <c r="BH53" i="2"/>
  <c r="BI53" i="2"/>
  <c r="BJ53" i="2"/>
  <c r="BI95" i="2"/>
  <c r="BH49" i="2"/>
  <c r="BI49" i="2"/>
  <c r="BJ49" i="2"/>
  <c r="BI33" i="2"/>
  <c r="BI88" i="2"/>
  <c r="BJ88" i="2"/>
  <c r="BJ21" i="2"/>
  <c r="BH21" i="2"/>
  <c r="BI21" i="2"/>
  <c r="BH45" i="2"/>
  <c r="BJ45" i="2"/>
  <c r="BI45" i="2"/>
  <c r="BC237" i="3"/>
  <c r="BD237" i="3"/>
  <c r="BE237" i="3"/>
  <c r="BE157" i="3"/>
  <c r="BD157" i="3"/>
  <c r="BC157" i="3"/>
  <c r="BH36" i="2"/>
  <c r="BI36" i="2"/>
  <c r="BJ36" i="2"/>
  <c r="BC172" i="3"/>
  <c r="BE172" i="3"/>
  <c r="BD172" i="3"/>
  <c r="BE135" i="3"/>
  <c r="BC135" i="3"/>
  <c r="BD135" i="3"/>
  <c r="BC323" i="3"/>
  <c r="BD323" i="3"/>
  <c r="BE323" i="3"/>
  <c r="BC123" i="3"/>
  <c r="BD123" i="3"/>
  <c r="BE123" i="3"/>
  <c r="BC331" i="3"/>
  <c r="BD331" i="3"/>
  <c r="BC333" i="3"/>
  <c r="BD333" i="3"/>
  <c r="BE333" i="3"/>
  <c r="BI83" i="2"/>
  <c r="BH83" i="2"/>
  <c r="BJ83" i="2"/>
  <c r="BC105" i="3"/>
  <c r="BD105" i="3"/>
  <c r="BE105" i="3"/>
  <c r="BC169" i="3"/>
  <c r="BD169" i="3"/>
  <c r="BE169" i="3"/>
  <c r="V285" i="3"/>
  <c r="BC106" i="3"/>
  <c r="BE106" i="3"/>
  <c r="BD106" i="3"/>
  <c r="BC94" i="3"/>
  <c r="BD94" i="3"/>
  <c r="BE94" i="3"/>
  <c r="BC178" i="3"/>
  <c r="BD178" i="3"/>
  <c r="BE178" i="3"/>
  <c r="BC83" i="3"/>
  <c r="BE83" i="3"/>
  <c r="BD83" i="3"/>
  <c r="BD87" i="3"/>
  <c r="BC87" i="3"/>
  <c r="BE114" i="3"/>
  <c r="BI100" i="2"/>
  <c r="BJ100" i="2"/>
  <c r="BH100" i="2"/>
  <c r="BJ8" i="2"/>
  <c r="BH8" i="2"/>
  <c r="BI8" i="2"/>
  <c r="BD284" i="3"/>
  <c r="BC284" i="3"/>
  <c r="BE284" i="3"/>
  <c r="BI16" i="2"/>
  <c r="BJ16" i="2"/>
  <c r="BH16" i="2"/>
  <c r="BC297" i="3"/>
  <c r="BE297" i="3"/>
  <c r="BC308" i="3"/>
  <c r="BD308" i="3"/>
  <c r="BE308" i="3"/>
  <c r="BD175" i="3"/>
  <c r="BC175" i="3"/>
  <c r="BE175" i="3"/>
  <c r="BI46" i="2"/>
  <c r="BH46" i="2"/>
  <c r="BJ46" i="2"/>
  <c r="BC197" i="3"/>
  <c r="BE197" i="3"/>
  <c r="BC241" i="3"/>
  <c r="BD241" i="3"/>
  <c r="BD207" i="3"/>
  <c r="BE207" i="3"/>
  <c r="BC207" i="3"/>
  <c r="BE245" i="3"/>
  <c r="BC245" i="3"/>
  <c r="BD245" i="3"/>
  <c r="BC156" i="3"/>
  <c r="BD156" i="3"/>
  <c r="BE156" i="3"/>
  <c r="BD220" i="3"/>
  <c r="BE220" i="3"/>
  <c r="BC220" i="3"/>
  <c r="BE310" i="3"/>
  <c r="BC310" i="3"/>
  <c r="BD310" i="3"/>
  <c r="BD103" i="3"/>
  <c r="BE103" i="3"/>
  <c r="BC103" i="3"/>
  <c r="BH34" i="2"/>
  <c r="BI34" i="2"/>
  <c r="BJ34" i="2"/>
  <c r="BD193" i="3"/>
  <c r="BE193" i="3"/>
  <c r="BC193" i="3"/>
  <c r="V179" i="3"/>
  <c r="BE293" i="3"/>
  <c r="BE246" i="3"/>
  <c r="BC246" i="3"/>
  <c r="BD246" i="3"/>
  <c r="BC247" i="3"/>
  <c r="BD247" i="3"/>
  <c r="BE247" i="3"/>
  <c r="BJ91" i="2"/>
  <c r="BI91" i="2"/>
  <c r="BH91" i="2"/>
  <c r="BC59" i="3"/>
  <c r="BD59" i="3"/>
  <c r="BE59" i="3"/>
  <c r="BD35" i="3"/>
  <c r="BE35" i="3"/>
  <c r="BC35" i="3"/>
  <c r="BI31" i="2"/>
  <c r="BJ31" i="2"/>
  <c r="BH31" i="2"/>
  <c r="BH39" i="2"/>
  <c r="BI39" i="2"/>
  <c r="BJ39" i="2"/>
  <c r="BE340" i="3"/>
  <c r="BD340" i="3"/>
  <c r="BC340" i="3"/>
  <c r="V79" i="3"/>
  <c r="BE183" i="3"/>
  <c r="BD183" i="3"/>
  <c r="BC183" i="3"/>
  <c r="BI11" i="2"/>
  <c r="BJ11" i="2"/>
  <c r="BH11" i="2"/>
  <c r="BC298" i="3"/>
  <c r="BE298" i="3"/>
  <c r="BD298" i="3"/>
  <c r="BC188" i="3"/>
  <c r="BD188" i="3"/>
  <c r="BE188" i="3"/>
  <c r="BD43" i="3"/>
  <c r="BE43" i="3"/>
  <c r="BC43" i="3"/>
  <c r="BC72" i="3"/>
  <c r="BD72" i="3"/>
  <c r="BE72" i="3"/>
  <c r="BE264" i="3"/>
  <c r="BC264" i="3"/>
  <c r="BD264" i="3"/>
  <c r="V102" i="3"/>
  <c r="BH40" i="2"/>
  <c r="BI40" i="2"/>
  <c r="BJ40" i="2"/>
  <c r="BD141" i="3"/>
  <c r="BE141" i="3"/>
  <c r="BC141" i="3"/>
  <c r="BE79" i="3"/>
  <c r="BC79" i="3"/>
  <c r="BD79" i="3"/>
  <c r="BC138" i="3"/>
  <c r="BD138" i="3"/>
  <c r="BE138" i="3"/>
  <c r="BH84" i="2"/>
  <c r="BJ84" i="2"/>
  <c r="BI84" i="2"/>
  <c r="BC36" i="3"/>
  <c r="BE36" i="3"/>
  <c r="BD36" i="3"/>
  <c r="BH78" i="2"/>
  <c r="BI78" i="2"/>
  <c r="BJ78" i="2"/>
  <c r="BC213" i="3"/>
  <c r="BD213" i="3"/>
  <c r="BE213" i="3"/>
  <c r="BC168" i="3"/>
  <c r="BD168" i="3"/>
  <c r="BE168" i="3"/>
  <c r="BD189" i="3"/>
  <c r="BE189" i="3"/>
  <c r="BC189" i="3"/>
  <c r="BH48" i="2"/>
  <c r="BI48" i="2"/>
  <c r="BJ48" i="2"/>
  <c r="BC229" i="3"/>
  <c r="BD229" i="3"/>
  <c r="BE229" i="3"/>
  <c r="BC119" i="3"/>
  <c r="BD119" i="3"/>
  <c r="BE119" i="3"/>
  <c r="BI25" i="2"/>
  <c r="BH25" i="2"/>
  <c r="BJ25" i="2"/>
  <c r="BI41" i="2"/>
  <c r="BJ41" i="2"/>
  <c r="BH41" i="2"/>
  <c r="BC196" i="3"/>
  <c r="BD196" i="3"/>
  <c r="BE196" i="3"/>
  <c r="BC255" i="3"/>
  <c r="BD255" i="3"/>
  <c r="BE255" i="3"/>
  <c r="V192" i="3"/>
  <c r="BI9" i="2"/>
  <c r="BH9" i="2"/>
  <c r="BJ9" i="2"/>
  <c r="BJ4" i="2"/>
  <c r="BI4" i="2"/>
  <c r="BH4" i="2"/>
  <c r="BC286" i="3"/>
  <c r="BE286" i="3"/>
  <c r="BD286" i="3"/>
  <c r="BH50" i="2"/>
  <c r="BI50" i="2"/>
  <c r="BJ50" i="2"/>
  <c r="BC74" i="3"/>
  <c r="BE74" i="3"/>
  <c r="BD74" i="3"/>
  <c r="BH60" i="2"/>
  <c r="BJ60" i="2"/>
  <c r="BI60" i="2"/>
  <c r="BE77" i="3"/>
  <c r="BC77" i="3"/>
  <c r="BD77" i="3"/>
  <c r="BE37" i="3"/>
  <c r="BC37" i="3"/>
  <c r="BD37" i="3"/>
  <c r="BC104" i="3"/>
  <c r="BD104" i="3"/>
  <c r="BE104" i="3"/>
  <c r="BH77" i="2"/>
  <c r="BI77" i="2"/>
  <c r="BJ77" i="2"/>
  <c r="BC192" i="3"/>
  <c r="BE192" i="3"/>
  <c r="BD192" i="3"/>
  <c r="BC281" i="3"/>
  <c r="BD281" i="3"/>
  <c r="BE281" i="3"/>
  <c r="BD328" i="3"/>
  <c r="BE328" i="3"/>
  <c r="BC328" i="3"/>
  <c r="BD280" i="3"/>
  <c r="BE280" i="3"/>
  <c r="BC280" i="3"/>
  <c r="BD228" i="3"/>
  <c r="BC228" i="3"/>
  <c r="BC51" i="3"/>
  <c r="BD51" i="3"/>
  <c r="BE51" i="3"/>
  <c r="BC319" i="3"/>
  <c r="BD319" i="3"/>
  <c r="BE319" i="3"/>
  <c r="BC73" i="3"/>
  <c r="BD73" i="3"/>
  <c r="BE73" i="3"/>
  <c r="BC78" i="3"/>
  <c r="BD78" i="3"/>
  <c r="BE78" i="3"/>
  <c r="BJ54" i="2"/>
  <c r="BI54" i="2"/>
  <c r="BH54" i="2"/>
  <c r="BJ62" i="2"/>
  <c r="BH62" i="2"/>
  <c r="BD218" i="3"/>
  <c r="BE218" i="3"/>
  <c r="BC218" i="3"/>
  <c r="BC348" i="3"/>
  <c r="BE348" i="3"/>
  <c r="BD348" i="3"/>
  <c r="BC292" i="3"/>
  <c r="BD292" i="3"/>
  <c r="BE292" i="3"/>
  <c r="BE342" i="3"/>
  <c r="BC342" i="3"/>
  <c r="BD342" i="3"/>
  <c r="BE102" i="3"/>
  <c r="BC102" i="3"/>
  <c r="BD102" i="3"/>
  <c r="BD309" i="3"/>
  <c r="BE309" i="3"/>
  <c r="BC309" i="3"/>
  <c r="BD115" i="3"/>
  <c r="BC115" i="3"/>
  <c r="BE115" i="3"/>
  <c r="BI24" i="2"/>
  <c r="BH24" i="2"/>
  <c r="BJ24" i="2"/>
  <c r="BD242" i="3"/>
  <c r="BE242" i="3"/>
  <c r="BC242" i="3"/>
  <c r="BC166" i="3"/>
  <c r="BD166" i="3"/>
  <c r="BE166" i="3"/>
  <c r="BC321" i="3"/>
  <c r="BE321" i="3"/>
  <c r="BD321" i="3"/>
  <c r="V196" i="3"/>
  <c r="BJ65" i="2"/>
  <c r="BH65" i="2"/>
  <c r="BI65" i="2"/>
  <c r="BC55" i="3"/>
  <c r="BE55" i="3"/>
  <c r="BD55" i="3"/>
  <c r="BD136" i="3"/>
  <c r="BE136" i="3"/>
  <c r="BC136" i="3"/>
  <c r="BJ74" i="2"/>
  <c r="BI74" i="2"/>
  <c r="BH74" i="2"/>
  <c r="BH81" i="2"/>
  <c r="BI81" i="2"/>
  <c r="BJ81" i="2"/>
  <c r="BE312" i="3"/>
  <c r="BD312" i="3"/>
  <c r="BC312" i="3"/>
  <c r="BH15" i="2"/>
  <c r="BI15" i="2"/>
  <c r="BJ15" i="2"/>
  <c r="BE61" i="3"/>
  <c r="BD61" i="3"/>
  <c r="BC61" i="3"/>
  <c r="BD190" i="3"/>
  <c r="BC190" i="3"/>
  <c r="BE190" i="3"/>
  <c r="BC238" i="3"/>
  <c r="BD238" i="3"/>
  <c r="BE238" i="3"/>
  <c r="BD226" i="3"/>
  <c r="BC226" i="3"/>
  <c r="BE226" i="3"/>
  <c r="BE304" i="3"/>
  <c r="BD304" i="3"/>
  <c r="BC304" i="3"/>
  <c r="BE98" i="3"/>
  <c r="BC98" i="3"/>
  <c r="BD98" i="3"/>
  <c r="BE187" i="3"/>
  <c r="BC187" i="3"/>
  <c r="BD187" i="3"/>
  <c r="BC206" i="3"/>
  <c r="BD206" i="3"/>
  <c r="BE206" i="3"/>
  <c r="BD44" i="3"/>
  <c r="BE44" i="3"/>
  <c r="BC44" i="3"/>
  <c r="BE225" i="3"/>
  <c r="BC225" i="3"/>
  <c r="BD225" i="3"/>
  <c r="BC124" i="3"/>
  <c r="BD124" i="3"/>
  <c r="BE124" i="3"/>
  <c r="BE277" i="3"/>
  <c r="BC277" i="3"/>
  <c r="BD277" i="3"/>
  <c r="V28" i="3"/>
  <c r="BC88" i="3"/>
  <c r="BD88" i="3"/>
  <c r="BE88" i="3"/>
  <c r="BE22" i="3"/>
  <c r="BC22" i="3"/>
  <c r="BD22" i="3"/>
  <c r="BC211" i="3"/>
  <c r="BD211" i="3"/>
  <c r="BE211" i="3"/>
  <c r="BD311" i="3"/>
  <c r="BE311" i="3"/>
  <c r="BC311" i="3"/>
  <c r="BD127" i="3"/>
  <c r="BE127" i="3"/>
  <c r="BC127" i="3"/>
  <c r="BE53" i="3"/>
  <c r="BD53" i="3"/>
  <c r="BC53" i="3"/>
  <c r="BD324" i="3"/>
  <c r="BC324" i="3"/>
  <c r="BE324" i="3"/>
  <c r="BC48" i="3"/>
  <c r="BE48" i="3"/>
  <c r="BD48" i="3"/>
  <c r="BC67" i="3"/>
  <c r="BD67" i="3"/>
  <c r="BE67" i="3"/>
  <c r="BJ73" i="2"/>
  <c r="BH73" i="2"/>
  <c r="BI73" i="2"/>
  <c r="BD100" i="3"/>
  <c r="BE100" i="3"/>
  <c r="BC100" i="3"/>
  <c r="BI42" i="2"/>
  <c r="BJ42" i="2"/>
  <c r="BH42" i="2"/>
  <c r="BH79" i="2"/>
  <c r="BJ79" i="2"/>
  <c r="BI79" i="2"/>
  <c r="BC76" i="3"/>
  <c r="BD76" i="3"/>
  <c r="BE76" i="3"/>
  <c r="BD253" i="3"/>
  <c r="BE253" i="3"/>
  <c r="BC253" i="3"/>
  <c r="BC117" i="3"/>
  <c r="BD117" i="3"/>
  <c r="BE117" i="3"/>
  <c r="V160" i="3"/>
  <c r="BC11" i="3"/>
  <c r="BD11" i="3"/>
  <c r="BE11" i="3"/>
  <c r="BE69" i="3"/>
  <c r="BD69" i="3"/>
  <c r="BC69" i="3"/>
  <c r="V126" i="3"/>
  <c r="V12" i="3"/>
  <c r="V143" i="3"/>
  <c r="V286" i="3"/>
  <c r="V247" i="3"/>
  <c r="AA58" i="2"/>
  <c r="AA30" i="2"/>
  <c r="V122" i="3"/>
  <c r="AA70" i="2"/>
  <c r="V275" i="3"/>
  <c r="V191" i="3"/>
  <c r="V54" i="3"/>
  <c r="V40" i="3"/>
  <c r="V45" i="3"/>
  <c r="V67" i="3"/>
  <c r="V65" i="3"/>
  <c r="V329" i="3"/>
  <c r="V239" i="3"/>
  <c r="AA50" i="2"/>
  <c r="V60" i="3"/>
  <c r="AA85" i="2"/>
  <c r="V335" i="3"/>
  <c r="V249" i="3"/>
  <c r="V62" i="3"/>
  <c r="AA32" i="2"/>
  <c r="V33" i="3"/>
  <c r="V208" i="3"/>
  <c r="V138" i="3"/>
  <c r="V76" i="3"/>
  <c r="V153" i="3"/>
  <c r="V276" i="3"/>
  <c r="AA84" i="2"/>
  <c r="AA39" i="2"/>
  <c r="V173" i="3"/>
  <c r="V273" i="3"/>
  <c r="V345" i="3"/>
  <c r="V223" i="3"/>
  <c r="V327" i="3"/>
  <c r="V312" i="3"/>
  <c r="V311" i="3"/>
  <c r="V44" i="3"/>
  <c r="V225" i="3"/>
  <c r="V91" i="3"/>
  <c r="V50" i="3"/>
  <c r="V238" i="3"/>
  <c r="V180" i="3"/>
  <c r="V352" i="3"/>
  <c r="AA5" i="2"/>
  <c r="V124" i="3"/>
  <c r="AA61" i="2"/>
  <c r="V96" i="3"/>
  <c r="V97" i="3"/>
  <c r="V210" i="3"/>
  <c r="V347" i="3"/>
  <c r="V71" i="3"/>
  <c r="AA79" i="2"/>
  <c r="V186" i="3"/>
  <c r="V263" i="3"/>
  <c r="V133" i="3"/>
  <c r="V117" i="3"/>
  <c r="V346" i="3"/>
  <c r="V303" i="3"/>
  <c r="V296" i="3"/>
  <c r="V109" i="3"/>
  <c r="V211" i="3"/>
  <c r="V253" i="3"/>
  <c r="V99" i="3"/>
  <c r="AA47" i="2"/>
  <c r="V332" i="3"/>
  <c r="V304" i="3"/>
  <c r="V98" i="3"/>
  <c r="V4" i="3"/>
  <c r="V279" i="3"/>
  <c r="V206" i="3"/>
  <c r="V16" i="3"/>
  <c r="V53" i="3"/>
  <c r="V215" i="3"/>
  <c r="V307" i="3"/>
  <c r="V69" i="3"/>
  <c r="AA67" i="2"/>
  <c r="V341" i="3"/>
  <c r="AA76" i="2"/>
  <c r="V11" i="3"/>
  <c r="V127" i="3"/>
  <c r="V170" i="3"/>
  <c r="AA38" i="2"/>
  <c r="V128" i="3"/>
  <c r="V272" i="3"/>
  <c r="V95" i="3"/>
  <c r="V88" i="3"/>
  <c r="AA73" i="2"/>
  <c r="AA15" i="2"/>
  <c r="V259" i="3"/>
  <c r="V219" i="3"/>
  <c r="V37" i="3"/>
  <c r="V277" i="3"/>
  <c r="AA87" i="2"/>
  <c r="AA42" i="2"/>
  <c r="V136" i="3"/>
  <c r="V30" i="3"/>
  <c r="V325" i="3"/>
  <c r="V194" i="3"/>
  <c r="V131" i="3"/>
  <c r="V85" i="3"/>
  <c r="V248" i="3"/>
  <c r="V184" i="3"/>
  <c r="V29" i="3"/>
  <c r="V289" i="3"/>
  <c r="V17" i="3"/>
  <c r="V129" i="3"/>
  <c r="V55" i="3"/>
  <c r="V61" i="3"/>
  <c r="AA52" i="2"/>
  <c r="V31" i="3"/>
  <c r="V228" i="3"/>
  <c r="AA101" i="2"/>
  <c r="V38" i="3"/>
  <c r="V49" i="3"/>
  <c r="AA37" i="2"/>
  <c r="V116" i="3"/>
  <c r="V343" i="3"/>
  <c r="V100" i="3"/>
  <c r="V176" i="3"/>
  <c r="V292" i="3"/>
  <c r="AA99" i="2"/>
  <c r="AA94" i="2"/>
  <c r="V42" i="3"/>
  <c r="V198" i="3"/>
  <c r="AE134" i="3"/>
  <c r="AE75" i="3"/>
  <c r="V250" i="3"/>
  <c r="V226" i="3"/>
  <c r="V231" i="3"/>
  <c r="V154" i="3"/>
  <c r="AE321" i="3"/>
  <c r="AE279" i="3"/>
  <c r="AE90" i="3"/>
  <c r="AA43" i="2"/>
  <c r="AE299" i="3"/>
  <c r="AE45" i="3"/>
  <c r="V107" i="3"/>
  <c r="V8" i="3"/>
  <c r="AE257" i="3"/>
  <c r="AJ90" i="2"/>
  <c r="AE22" i="3"/>
  <c r="AE62" i="3"/>
  <c r="AE169" i="3"/>
  <c r="AJ79" i="2"/>
  <c r="AE82" i="3"/>
  <c r="AE57" i="3"/>
  <c r="AA17" i="2"/>
  <c r="AA12" i="2"/>
  <c r="V84" i="3"/>
  <c r="V282" i="3"/>
  <c r="AE335" i="3"/>
  <c r="AJ61" i="2"/>
  <c r="V287" i="3"/>
  <c r="AE211" i="3"/>
  <c r="AJ51" i="2"/>
  <c r="AE231" i="3"/>
  <c r="AE271" i="3"/>
  <c r="AE193" i="3"/>
  <c r="AE337" i="3"/>
  <c r="AE203" i="3"/>
  <c r="AE272" i="3"/>
  <c r="AE85" i="3"/>
  <c r="AE256" i="3"/>
  <c r="V5" i="3"/>
  <c r="AA92" i="2"/>
  <c r="AE264" i="3"/>
  <c r="AE154" i="3"/>
  <c r="AE345" i="3"/>
  <c r="AE111" i="3"/>
  <c r="AE206" i="3"/>
  <c r="AE19" i="3"/>
  <c r="AE149" i="3"/>
  <c r="AE35" i="3"/>
  <c r="V152" i="3"/>
  <c r="AE135" i="3"/>
  <c r="AE346" i="3"/>
  <c r="AJ84" i="2"/>
  <c r="AE230" i="3"/>
  <c r="AE305" i="3"/>
  <c r="AE40" i="3"/>
  <c r="AJ20" i="2"/>
  <c r="AE312" i="3"/>
  <c r="AE251" i="3"/>
  <c r="V216" i="3"/>
  <c r="AA51" i="2"/>
  <c r="AE324" i="3"/>
  <c r="AE331" i="3"/>
  <c r="AE11" i="3"/>
  <c r="AE208" i="3"/>
  <c r="AA75" i="2"/>
  <c r="V221" i="3"/>
  <c r="V15" i="3"/>
  <c r="V150" i="3"/>
  <c r="AE68" i="3"/>
  <c r="AE14" i="3"/>
  <c r="AE54" i="3"/>
  <c r="AJ9" i="2"/>
  <c r="AE115" i="3"/>
  <c r="V151" i="3"/>
  <c r="V232" i="3"/>
  <c r="AA29" i="2"/>
  <c r="V113" i="3"/>
  <c r="AE65" i="3"/>
  <c r="AE188" i="3"/>
  <c r="AE125" i="3"/>
  <c r="AJ67" i="2"/>
  <c r="AE350" i="3"/>
  <c r="AE151" i="3"/>
  <c r="AJ71" i="2"/>
  <c r="AE258" i="3"/>
  <c r="AJ32" i="2"/>
  <c r="AJ5" i="2"/>
  <c r="AE173" i="3"/>
  <c r="AE103" i="3"/>
  <c r="AE39" i="3"/>
  <c r="AE131" i="3"/>
  <c r="AE53" i="3"/>
  <c r="AA26" i="2"/>
  <c r="AA74" i="2"/>
  <c r="V266" i="3"/>
  <c r="AE233" i="3"/>
  <c r="AE265" i="3"/>
  <c r="AE205" i="3"/>
  <c r="AE150" i="3"/>
  <c r="AJ100" i="2"/>
  <c r="AE3" i="3"/>
  <c r="AJ77" i="2"/>
  <c r="AE280" i="3"/>
  <c r="AE124" i="3"/>
  <c r="AE118" i="3"/>
  <c r="V23" i="3"/>
  <c r="AJ36" i="2"/>
  <c r="AE245" i="3"/>
  <c r="AE320" i="3"/>
  <c r="AE167" i="3"/>
  <c r="V47" i="3"/>
  <c r="AE235" i="3"/>
  <c r="AE327" i="3"/>
  <c r="AE199" i="3"/>
  <c r="AE286" i="3"/>
  <c r="AE220" i="3"/>
  <c r="V52" i="3"/>
  <c r="AE96" i="3"/>
  <c r="AE101" i="3"/>
  <c r="AJ80" i="2"/>
  <c r="AE157" i="3"/>
  <c r="V174" i="3"/>
  <c r="V291" i="3"/>
  <c r="AJ27" i="2"/>
  <c r="AE267" i="3"/>
  <c r="V326" i="3"/>
  <c r="V316" i="3"/>
  <c r="AA96" i="2"/>
  <c r="AE223" i="3"/>
  <c r="AE303" i="3"/>
  <c r="AE291" i="3"/>
  <c r="V111" i="3"/>
  <c r="AE329" i="3"/>
  <c r="AE306" i="3"/>
  <c r="AE319" i="3"/>
  <c r="AE70" i="3"/>
  <c r="AE259" i="3"/>
  <c r="AE91" i="3"/>
  <c r="AE323" i="3"/>
  <c r="AE141" i="3"/>
  <c r="V252" i="3"/>
  <c r="V317" i="3"/>
  <c r="AJ73" i="2"/>
  <c r="AE104" i="3"/>
  <c r="AE183" i="3"/>
  <c r="AJ47" i="2"/>
  <c r="AE302" i="3"/>
  <c r="AE50" i="3"/>
  <c r="AE36" i="3"/>
  <c r="AE87" i="3"/>
  <c r="AJ7" i="2"/>
  <c r="V234" i="3"/>
  <c r="AE25" i="3"/>
  <c r="AE227" i="3"/>
  <c r="AE175" i="3"/>
  <c r="V6" i="3"/>
  <c r="AE241" i="3"/>
  <c r="V108" i="3"/>
  <c r="AE38" i="3"/>
  <c r="AJ43" i="2"/>
  <c r="AE341" i="3"/>
  <c r="AE93" i="3"/>
  <c r="AE224" i="3"/>
  <c r="AJ37" i="2"/>
  <c r="AE23" i="3"/>
  <c r="V63" i="3"/>
  <c r="V339" i="3"/>
  <c r="AJ53" i="2"/>
  <c r="AJ59" i="2"/>
  <c r="AE178" i="3"/>
  <c r="AE219" i="3"/>
  <c r="AE216" i="3"/>
  <c r="AE262" i="3"/>
  <c r="AE261" i="3"/>
  <c r="AE20" i="3"/>
  <c r="V20" i="3"/>
  <c r="AE161" i="3"/>
  <c r="AE155" i="3"/>
  <c r="AJ39" i="2"/>
  <c r="AE292" i="3"/>
  <c r="AJ42" i="2"/>
  <c r="AE268" i="3"/>
  <c r="AE301" i="3"/>
  <c r="AE43" i="3"/>
  <c r="AE293" i="3"/>
  <c r="AJ62" i="2"/>
  <c r="AJ54" i="2"/>
  <c r="AA22" i="2"/>
  <c r="V295" i="3"/>
  <c r="AE37" i="3"/>
  <c r="AE21" i="3"/>
  <c r="AJ85" i="2"/>
  <c r="AE121" i="3"/>
  <c r="AE246" i="3"/>
  <c r="AE238" i="3"/>
  <c r="AE244" i="3"/>
  <c r="AE204" i="3"/>
  <c r="AE164" i="3"/>
  <c r="AE232" i="3"/>
  <c r="AE140" i="3"/>
  <c r="AE242" i="3"/>
  <c r="AE172" i="3"/>
  <c r="AE254" i="3"/>
  <c r="AE260" i="3"/>
  <c r="AE278" i="3"/>
  <c r="AE67" i="3"/>
  <c r="AE73" i="3"/>
  <c r="AJ14" i="2"/>
  <c r="AE287" i="3"/>
  <c r="AJ38" i="2"/>
  <c r="AE222" i="3"/>
  <c r="AJ68" i="2"/>
  <c r="AE228" i="3"/>
  <c r="AE139" i="3"/>
  <c r="AJ66" i="2"/>
  <c r="AE207" i="3"/>
  <c r="AE138" i="3"/>
  <c r="AE316" i="3"/>
  <c r="AE156" i="3"/>
  <c r="AJ92" i="2"/>
  <c r="AJ69" i="2"/>
  <c r="AE269" i="3"/>
  <c r="AE353" i="3"/>
  <c r="AJ31" i="2"/>
  <c r="AJ6" i="2"/>
  <c r="AE281" i="3"/>
  <c r="AE215" i="3"/>
  <c r="AE12" i="3"/>
  <c r="AJ86" i="2"/>
  <c r="AE142" i="3"/>
  <c r="AE192" i="3"/>
  <c r="AE137" i="3"/>
  <c r="AE184" i="3"/>
  <c r="AE168" i="3"/>
  <c r="AJ99" i="2"/>
  <c r="AE117" i="3"/>
  <c r="AJ29" i="2"/>
  <c r="AE330" i="3"/>
  <c r="AE119" i="3"/>
  <c r="AE114" i="3"/>
  <c r="AE66" i="3"/>
  <c r="AE71" i="3"/>
  <c r="AE342" i="3"/>
  <c r="AE132" i="3"/>
  <c r="AE10" i="3"/>
  <c r="AJ64" i="2"/>
  <c r="AE153" i="3"/>
  <c r="AJ40" i="2"/>
  <c r="AE274" i="3"/>
  <c r="AJ48" i="2"/>
  <c r="AE225" i="3"/>
  <c r="AE298" i="3"/>
  <c r="AE112" i="3"/>
  <c r="AE8" i="3"/>
  <c r="AE200" i="3"/>
  <c r="AE348" i="3"/>
  <c r="AE349" i="3"/>
  <c r="AE218" i="3"/>
  <c r="AE234" i="3"/>
  <c r="AE46" i="3"/>
  <c r="AJ50" i="2"/>
  <c r="AE176" i="3"/>
  <c r="AE328" i="3"/>
  <c r="AJ87" i="2"/>
  <c r="AE107" i="3"/>
  <c r="AE41" i="3"/>
  <c r="AE80" i="3"/>
  <c r="AE113" i="3"/>
  <c r="AE334" i="3"/>
  <c r="AE198" i="3"/>
  <c r="AE51" i="3"/>
  <c r="AJ3" i="2"/>
  <c r="AE74" i="3"/>
  <c r="AE6" i="3"/>
  <c r="AE325" i="3"/>
  <c r="AE133" i="3"/>
  <c r="AE105" i="3"/>
  <c r="AJ13" i="2"/>
  <c r="AE148" i="3"/>
  <c r="AE55" i="3"/>
  <c r="AE314" i="3"/>
  <c r="AJ21" i="2"/>
  <c r="AE177" i="3"/>
  <c r="AE174" i="3"/>
  <c r="AE130" i="3"/>
  <c r="AE59" i="3"/>
  <c r="AJ23" i="2"/>
  <c r="AE56" i="3"/>
  <c r="AE333" i="3"/>
  <c r="AE297" i="3"/>
  <c r="AE273" i="3"/>
  <c r="AE221" i="3"/>
  <c r="AE195" i="3"/>
  <c r="AE86" i="3"/>
  <c r="AE52" i="3"/>
  <c r="AE129" i="3"/>
  <c r="AE248" i="3"/>
  <c r="AE42" i="3"/>
  <c r="AE160" i="3"/>
  <c r="AE190" i="3"/>
  <c r="AJ19" i="2"/>
  <c r="AJ52" i="2"/>
  <c r="AE165" i="3"/>
  <c r="AE122" i="3"/>
  <c r="AE336" i="3"/>
  <c r="AJ95" i="2"/>
  <c r="AE250" i="3"/>
  <c r="AE44" i="3"/>
  <c r="AE89" i="3"/>
  <c r="AE29" i="3"/>
  <c r="AJ4" i="2"/>
  <c r="AE276" i="3"/>
  <c r="AJ78" i="2"/>
  <c r="AE263" i="3"/>
  <c r="AJ22" i="2"/>
  <c r="AJ25" i="2"/>
  <c r="AE304" i="3"/>
  <c r="AE322" i="3"/>
  <c r="AE340" i="3"/>
  <c r="AE226" i="3"/>
  <c r="AE116" i="3"/>
  <c r="AE317" i="3"/>
  <c r="AE49" i="3"/>
  <c r="AE277" i="3"/>
  <c r="AE284" i="3"/>
  <c r="AJ33" i="2"/>
  <c r="AJ12" i="2"/>
  <c r="AE64" i="3"/>
  <c r="AJ76" i="2"/>
  <c r="AJ16" i="2"/>
  <c r="AE102" i="3"/>
  <c r="AJ65" i="2"/>
  <c r="AE307" i="3"/>
  <c r="AE202" i="3"/>
  <c r="AE343" i="3"/>
  <c r="AE294" i="3"/>
  <c r="AE239" i="3"/>
  <c r="AE266" i="3"/>
  <c r="AE289" i="3"/>
  <c r="AE270" i="3"/>
  <c r="AE77" i="3"/>
  <c r="AE158" i="3"/>
  <c r="AE17" i="3"/>
  <c r="AJ63" i="2"/>
  <c r="AJ28" i="2"/>
  <c r="AE290" i="3"/>
  <c r="AE63" i="3"/>
  <c r="AE214" i="3"/>
  <c r="AE189" i="3"/>
  <c r="AE247" i="3"/>
  <c r="AJ46" i="2"/>
  <c r="AE110" i="3"/>
  <c r="AE136" i="3"/>
  <c r="AE162" i="3"/>
  <c r="AE27" i="3"/>
  <c r="AE126" i="3"/>
  <c r="AE79" i="3"/>
  <c r="AE352" i="3"/>
  <c r="AJ98" i="2"/>
  <c r="AJ101" i="2"/>
  <c r="AE18" i="3"/>
  <c r="AE13" i="3"/>
  <c r="AE347" i="3"/>
  <c r="AJ94" i="2"/>
  <c r="AE326" i="3"/>
  <c r="AE313" i="3"/>
  <c r="AJ91" i="2"/>
  <c r="AE76" i="3"/>
  <c r="AE88" i="3"/>
  <c r="AE61" i="3"/>
  <c r="AE5" i="3"/>
  <c r="AE210" i="3"/>
  <c r="AJ15" i="2"/>
  <c r="AE212" i="3"/>
  <c r="AE182" i="3"/>
  <c r="AJ45" i="2"/>
  <c r="AE144" i="3"/>
  <c r="AJ58" i="2"/>
  <c r="AE252" i="3"/>
  <c r="AE288" i="3"/>
  <c r="AE7" i="3"/>
  <c r="AJ81" i="2"/>
  <c r="AE99" i="3"/>
  <c r="AJ24" i="2"/>
  <c r="AE109" i="3"/>
  <c r="AE285" i="3"/>
  <c r="AE92" i="3"/>
  <c r="AJ55" i="2"/>
  <c r="AE308" i="3"/>
  <c r="AE152" i="3"/>
  <c r="AE339" i="3"/>
  <c r="AE60" i="3"/>
  <c r="AE15" i="3"/>
  <c r="AJ60" i="2"/>
  <c r="AE166" i="3"/>
  <c r="AE30" i="3"/>
  <c r="AJ41" i="2"/>
  <c r="AE296" i="3"/>
  <c r="AE78" i="3"/>
  <c r="AE100" i="3"/>
  <c r="AE249" i="3"/>
  <c r="AE24" i="3"/>
  <c r="AE84" i="3"/>
  <c r="AE283" i="3"/>
  <c r="AE311" i="3"/>
  <c r="AE191" i="3"/>
  <c r="AE31" i="3"/>
  <c r="AE34" i="3"/>
  <c r="AJ96" i="2"/>
  <c r="AE229" i="3"/>
  <c r="AE187" i="3"/>
  <c r="AJ83" i="2"/>
  <c r="AE83" i="3"/>
  <c r="AJ89" i="2"/>
  <c r="AE4" i="3"/>
  <c r="AJ30" i="2"/>
  <c r="AE106" i="3"/>
  <c r="AE310" i="3"/>
  <c r="AE163" i="3"/>
  <c r="AJ75" i="2"/>
  <c r="AE127" i="3"/>
  <c r="AE128" i="3"/>
  <c r="AE97" i="3"/>
  <c r="AE28" i="3"/>
  <c r="AJ57" i="2"/>
  <c r="AE47" i="3"/>
  <c r="AE213" i="3"/>
  <c r="AE243" i="3"/>
  <c r="AJ93" i="2"/>
  <c r="AE240" i="3"/>
  <c r="AE344" i="3"/>
  <c r="AE72" i="3"/>
  <c r="AE170" i="3"/>
  <c r="AE32" i="3"/>
  <c r="AJ70" i="2"/>
  <c r="AE33" i="3"/>
  <c r="AJ34" i="2"/>
  <c r="AE338" i="3"/>
  <c r="AE159" i="3"/>
  <c r="AJ44" i="2"/>
  <c r="AE253" i="3"/>
  <c r="AE94" i="3"/>
  <c r="AE185" i="3"/>
  <c r="AJ17" i="2"/>
  <c r="AE123" i="3"/>
  <c r="AE295" i="3"/>
  <c r="AE69" i="3"/>
  <c r="AE351" i="3"/>
  <c r="AJ88" i="2"/>
  <c r="AE201" i="3"/>
  <c r="AE217" i="3"/>
  <c r="AE309" i="3"/>
  <c r="AE179" i="3"/>
  <c r="AE98" i="3"/>
  <c r="AJ8" i="2"/>
  <c r="AJ49" i="2"/>
  <c r="AJ11" i="2"/>
  <c r="AE26" i="3"/>
  <c r="AE48" i="3"/>
  <c r="AJ35" i="2"/>
  <c r="AE181" i="3"/>
  <c r="AJ97" i="2"/>
  <c r="AE300" i="3"/>
  <c r="AJ26" i="2"/>
  <c r="AE146" i="3"/>
  <c r="AE58" i="3"/>
  <c r="AJ74" i="2"/>
  <c r="AJ56" i="2"/>
  <c r="AE147" i="3"/>
  <c r="AE237" i="3"/>
  <c r="AE318" i="3"/>
  <c r="AE108" i="3"/>
  <c r="G23" i="3"/>
  <c r="G106" i="3"/>
  <c r="G125" i="3"/>
  <c r="G86" i="3"/>
  <c r="G340" i="3"/>
  <c r="G175" i="3"/>
  <c r="G79" i="3"/>
  <c r="G341" i="3"/>
  <c r="G195" i="3"/>
  <c r="G185" i="3"/>
  <c r="G324" i="3"/>
  <c r="G177" i="3"/>
  <c r="G34" i="3"/>
  <c r="G247" i="3"/>
  <c r="G112" i="3"/>
  <c r="G320" i="3"/>
  <c r="G66" i="3"/>
  <c r="G238" i="3"/>
  <c r="G311" i="3"/>
  <c r="G183" i="3"/>
  <c r="G212" i="3"/>
  <c r="G48" i="3"/>
  <c r="G45" i="3"/>
  <c r="G197" i="3"/>
  <c r="G289" i="3"/>
  <c r="G159" i="3"/>
  <c r="G54" i="3"/>
  <c r="G315" i="3"/>
  <c r="G202" i="3"/>
  <c r="G313" i="3"/>
  <c r="G328" i="3"/>
  <c r="G59" i="3"/>
  <c r="G258" i="3"/>
  <c r="G276" i="3"/>
  <c r="G61" i="3"/>
  <c r="G81" i="3"/>
  <c r="G282" i="3"/>
  <c r="G2" i="3"/>
  <c r="G78" i="3"/>
  <c r="G352" i="3"/>
  <c r="G31" i="3"/>
  <c r="G163" i="3"/>
  <c r="G200" i="3"/>
  <c r="G331" i="3"/>
  <c r="G255" i="3"/>
  <c r="G326" i="3"/>
  <c r="G182" i="3"/>
  <c r="G39" i="3"/>
  <c r="G351" i="3"/>
  <c r="G208" i="3"/>
  <c r="G263" i="3"/>
  <c r="G248" i="3"/>
  <c r="G270" i="3"/>
  <c r="G206" i="3"/>
  <c r="G256" i="3"/>
  <c r="G137" i="3"/>
  <c r="G277" i="3"/>
  <c r="G317" i="3"/>
  <c r="G50" i="3"/>
  <c r="G323" i="3"/>
  <c r="G136" i="3"/>
  <c r="G46" i="3"/>
  <c r="G294" i="3"/>
  <c r="G14" i="3"/>
  <c r="G168" i="3"/>
  <c r="G316" i="3"/>
  <c r="G265" i="3"/>
  <c r="G296" i="3"/>
  <c r="G196" i="3"/>
  <c r="G336" i="3"/>
  <c r="G348" i="3"/>
  <c r="G41" i="3"/>
  <c r="G211" i="3"/>
  <c r="G179" i="3"/>
  <c r="G287" i="3"/>
  <c r="G3" i="3"/>
  <c r="G249" i="3"/>
  <c r="G105" i="3"/>
  <c r="G91" i="3"/>
  <c r="G12" i="3"/>
  <c r="G11" i="3"/>
  <c r="G242" i="3"/>
  <c r="G333" i="3"/>
  <c r="G122" i="3"/>
  <c r="G244" i="3"/>
  <c r="G307" i="3"/>
  <c r="G257" i="3"/>
  <c r="G96" i="3"/>
  <c r="G344" i="3"/>
  <c r="G281" i="3"/>
  <c r="G228" i="3"/>
  <c r="G120" i="3"/>
  <c r="G224" i="3"/>
  <c r="G42" i="3"/>
  <c r="G70" i="3"/>
  <c r="G241" i="3"/>
  <c r="G321" i="3"/>
  <c r="G285" i="3"/>
  <c r="G119" i="3"/>
  <c r="G213" i="3"/>
  <c r="G173" i="3"/>
  <c r="G236" i="3"/>
  <c r="G133" i="3"/>
  <c r="G162" i="3"/>
  <c r="G15" i="3"/>
  <c r="G251" i="3"/>
  <c r="G69" i="3"/>
  <c r="G240" i="3"/>
  <c r="G8" i="3"/>
  <c r="G335" i="3"/>
  <c r="G343" i="3"/>
  <c r="G171" i="3"/>
  <c r="G334" i="3"/>
  <c r="G274" i="3"/>
  <c r="G71" i="3"/>
  <c r="G161" i="3"/>
  <c r="G295" i="3"/>
  <c r="G188" i="3"/>
  <c r="G98" i="3"/>
  <c r="G139" i="3"/>
  <c r="G222" i="3"/>
  <c r="G52" i="3"/>
  <c r="G90" i="3"/>
  <c r="G215" i="3"/>
  <c r="G10" i="3"/>
  <c r="G97" i="3"/>
  <c r="G116" i="3"/>
  <c r="G140" i="3"/>
  <c r="G292" i="3"/>
  <c r="G141" i="3"/>
  <c r="G55" i="3"/>
  <c r="G57" i="3"/>
  <c r="G149" i="3"/>
  <c r="G204" i="3"/>
  <c r="G117" i="3"/>
  <c r="G126" i="3"/>
  <c r="G299" i="3"/>
  <c r="G147" i="3"/>
  <c r="G339" i="3"/>
  <c r="G127" i="3"/>
  <c r="G268" i="3"/>
  <c r="G123" i="3"/>
  <c r="G286" i="3"/>
  <c r="G158" i="3"/>
  <c r="G303" i="3"/>
  <c r="G153" i="3"/>
  <c r="G346" i="3"/>
  <c r="G178" i="3"/>
  <c r="G186" i="3"/>
  <c r="G259" i="3"/>
  <c r="G306" i="3"/>
  <c r="G232" i="3"/>
  <c r="G60" i="3"/>
  <c r="G142" i="3"/>
  <c r="G20" i="3"/>
  <c r="G184" i="3"/>
  <c r="G245" i="3"/>
  <c r="G337" i="3"/>
  <c r="G275" i="3"/>
  <c r="G36" i="3"/>
  <c r="G58" i="3"/>
  <c r="G219" i="3"/>
  <c r="G33" i="3"/>
  <c r="G191" i="3"/>
  <c r="G128" i="3"/>
  <c r="G198" i="3"/>
  <c r="G56" i="3"/>
  <c r="G131" i="3"/>
  <c r="G110" i="3"/>
  <c r="G113" i="3"/>
  <c r="G87" i="3"/>
  <c r="G67" i="3"/>
  <c r="G214" i="3"/>
  <c r="G80" i="3"/>
  <c r="G167" i="3"/>
  <c r="G187" i="3"/>
  <c r="G107" i="3"/>
  <c r="G108" i="3"/>
  <c r="G349" i="3"/>
  <c r="G319" i="3"/>
  <c r="G92" i="3"/>
  <c r="G32" i="3"/>
  <c r="G342" i="3"/>
  <c r="G103" i="3"/>
  <c r="G314" i="3"/>
  <c r="G7" i="3"/>
  <c r="G229" i="3"/>
  <c r="G24" i="3"/>
  <c r="G134" i="3"/>
  <c r="G172" i="3"/>
  <c r="G209" i="3"/>
  <c r="G150" i="3"/>
  <c r="G309" i="3"/>
  <c r="G237" i="3"/>
  <c r="G75" i="3"/>
  <c r="G338" i="3"/>
  <c r="G300" i="3"/>
  <c r="G64" i="3"/>
  <c r="G65" i="3"/>
  <c r="G350" i="3"/>
  <c r="G99" i="3"/>
  <c r="G82" i="3"/>
  <c r="G102" i="3"/>
  <c r="G192" i="3"/>
  <c r="G84" i="3"/>
  <c r="G76" i="3"/>
  <c r="G93" i="3"/>
  <c r="G68" i="3"/>
  <c r="G330" i="3"/>
  <c r="G132" i="3"/>
  <c r="G266" i="3"/>
  <c r="G22" i="3"/>
  <c r="G302" i="3"/>
  <c r="G143" i="3"/>
  <c r="G157" i="3"/>
  <c r="G203" i="3"/>
  <c r="G62" i="3"/>
  <c r="G216" i="3"/>
  <c r="G43" i="3"/>
  <c r="G284" i="3"/>
  <c r="G262" i="3"/>
  <c r="G193" i="3"/>
  <c r="G301" i="3"/>
  <c r="G152" i="3"/>
  <c r="G37" i="3"/>
  <c r="G267" i="3"/>
  <c r="G252" i="3"/>
  <c r="G226" i="3"/>
  <c r="G148" i="3"/>
  <c r="G194" i="3"/>
  <c r="G304" i="3"/>
  <c r="G118" i="3"/>
  <c r="G273" i="3"/>
  <c r="G308" i="3"/>
  <c r="G38" i="3"/>
  <c r="G180" i="3"/>
  <c r="G279" i="3"/>
  <c r="G30" i="3"/>
  <c r="G318" i="3"/>
  <c r="G4" i="3"/>
  <c r="G227" i="3"/>
  <c r="G312" i="3"/>
  <c r="G280" i="3"/>
  <c r="G156" i="3"/>
  <c r="G325" i="3"/>
  <c r="G253" i="3"/>
  <c r="G154" i="3"/>
  <c r="G18" i="3"/>
  <c r="G283" i="3"/>
  <c r="G17" i="3"/>
  <c r="G260" i="3"/>
  <c r="G217" i="3"/>
  <c r="G207" i="3"/>
  <c r="G155" i="3"/>
  <c r="G115" i="3"/>
  <c r="G95" i="3"/>
  <c r="G269" i="3"/>
  <c r="G305" i="3"/>
  <c r="G114" i="3"/>
  <c r="G25" i="3"/>
  <c r="G246" i="3"/>
  <c r="G332" i="3"/>
  <c r="G151" i="3"/>
  <c r="G138" i="3"/>
  <c r="G345" i="3"/>
  <c r="G291" i="3"/>
  <c r="G169" i="3"/>
  <c r="G146" i="3"/>
  <c r="G298" i="3"/>
  <c r="G264" i="3"/>
  <c r="G5" i="3"/>
  <c r="G353" i="3"/>
  <c r="G225" i="3"/>
  <c r="G239" i="3"/>
  <c r="G199" i="3"/>
  <c r="G63" i="3"/>
  <c r="G40" i="3"/>
  <c r="G327" i="3"/>
  <c r="G121" i="3"/>
  <c r="G220" i="3"/>
  <c r="G77" i="3"/>
  <c r="G201" i="3"/>
  <c r="G254" i="3"/>
  <c r="G74" i="3"/>
  <c r="G176" i="3"/>
  <c r="G210" i="3"/>
  <c r="G89" i="3"/>
  <c r="G16" i="3"/>
  <c r="G250" i="3"/>
  <c r="G13" i="3"/>
  <c r="G88" i="3"/>
  <c r="G160" i="3"/>
  <c r="G297" i="3"/>
  <c r="G85" i="3"/>
  <c r="G181" i="3"/>
  <c r="G347" i="3"/>
  <c r="G83" i="3"/>
  <c r="G21" i="3"/>
  <c r="G293" i="3"/>
  <c r="G6" i="3"/>
  <c r="G44" i="3"/>
  <c r="G189" i="3"/>
  <c r="G9" i="3"/>
  <c r="G190" i="3"/>
  <c r="G322" i="3"/>
  <c r="G164" i="3"/>
  <c r="G205" i="3"/>
  <c r="G278" i="3"/>
  <c r="G135" i="3"/>
  <c r="G111" i="3"/>
  <c r="G170" i="3"/>
  <c r="G47" i="3"/>
  <c r="G223" i="3"/>
  <c r="G72" i="3"/>
  <c r="G27" i="3"/>
  <c r="G100" i="3"/>
  <c r="G165" i="3"/>
  <c r="G144" i="3"/>
  <c r="G49" i="3"/>
  <c r="G261" i="3"/>
  <c r="G51" i="3"/>
  <c r="G174" i="3"/>
  <c r="G243" i="3"/>
  <c r="G288" i="3"/>
  <c r="G233" i="3"/>
  <c r="G130" i="3"/>
  <c r="G166" i="3"/>
  <c r="G53" i="3"/>
  <c r="G234" i="3"/>
  <c r="G73" i="3"/>
  <c r="G101" i="3"/>
  <c r="G290" i="3"/>
  <c r="G26" i="3"/>
  <c r="G129" i="3"/>
  <c r="G221" i="3"/>
  <c r="G218" i="3"/>
  <c r="G230" i="3"/>
  <c r="G19" i="3"/>
  <c r="G329" i="3"/>
  <c r="G231" i="3"/>
  <c r="G94" i="3"/>
  <c r="G310" i="3"/>
  <c r="G35" i="3"/>
  <c r="G109" i="3"/>
  <c r="G272" i="3"/>
  <c r="G104" i="3"/>
  <c r="G271" i="3"/>
  <c r="G124" i="3"/>
  <c r="G235" i="3"/>
  <c r="G29" i="3"/>
  <c r="G28" i="3"/>
  <c r="E2" i="4"/>
  <c r="F2" i="4" s="1"/>
  <c r="S2" i="4" s="1"/>
  <c r="L31" i="2"/>
  <c r="L96" i="2"/>
  <c r="L69" i="2"/>
  <c r="L39" i="2"/>
  <c r="L97" i="2"/>
  <c r="L46" i="2"/>
  <c r="L33" i="2"/>
  <c r="L29" i="2"/>
  <c r="L91" i="2"/>
  <c r="L68" i="2"/>
  <c r="L50" i="2"/>
  <c r="L73" i="2"/>
  <c r="L82" i="2"/>
  <c r="L55" i="2"/>
  <c r="L48" i="2"/>
  <c r="L4" i="2"/>
  <c r="L13" i="2"/>
  <c r="L64" i="2"/>
  <c r="L85" i="2"/>
  <c r="L78" i="2"/>
  <c r="L71" i="2"/>
  <c r="L6" i="2"/>
  <c r="L81" i="2"/>
  <c r="L9" i="2"/>
  <c r="L44" i="2"/>
  <c r="L51" i="2"/>
  <c r="L63" i="2"/>
  <c r="L58" i="2"/>
  <c r="L77" i="2"/>
  <c r="L37" i="2"/>
  <c r="L80" i="2"/>
  <c r="L62" i="2"/>
  <c r="L28" i="2"/>
  <c r="L94" i="2"/>
  <c r="L90" i="2"/>
  <c r="L32" i="2"/>
  <c r="L25" i="2"/>
  <c r="L101" i="2"/>
  <c r="L83" i="2"/>
  <c r="L18" i="2"/>
  <c r="L10" i="2"/>
  <c r="L12" i="2"/>
  <c r="L93" i="2"/>
  <c r="L21" i="2"/>
  <c r="L56" i="2"/>
  <c r="L23" i="2"/>
  <c r="L89" i="2"/>
  <c r="L14" i="2"/>
  <c r="L35" i="2"/>
  <c r="L49" i="2"/>
  <c r="L36" i="2"/>
  <c r="L11" i="2"/>
  <c r="L92" i="2"/>
  <c r="L15" i="2"/>
  <c r="L41" i="2"/>
  <c r="L87" i="2"/>
  <c r="L76" i="2"/>
  <c r="L2" i="2"/>
  <c r="L22" i="2"/>
  <c r="L98" i="2"/>
  <c r="L95" i="2"/>
  <c r="L30" i="2"/>
  <c r="L75" i="2"/>
  <c r="L5" i="2"/>
  <c r="L67" i="2"/>
  <c r="L24" i="2"/>
  <c r="L65" i="2"/>
  <c r="L99" i="2"/>
  <c r="L47" i="2"/>
  <c r="L42" i="2"/>
  <c r="L72" i="2"/>
  <c r="L26" i="2"/>
  <c r="L61" i="2"/>
  <c r="L8" i="2"/>
  <c r="L40" i="2"/>
  <c r="L45" i="2"/>
  <c r="L19" i="2"/>
  <c r="L27" i="2"/>
  <c r="L86" i="2"/>
  <c r="L52" i="2"/>
  <c r="L53" i="2"/>
  <c r="L66" i="2"/>
  <c r="L7" i="2"/>
  <c r="L88" i="2"/>
  <c r="L59" i="2"/>
  <c r="L17" i="2"/>
  <c r="L79" i="2"/>
  <c r="L100" i="2"/>
  <c r="L3" i="2"/>
  <c r="L38" i="2"/>
  <c r="L54" i="2"/>
  <c r="L70" i="2"/>
  <c r="L84" i="2"/>
  <c r="L43" i="2"/>
  <c r="L60" i="2"/>
  <c r="L74" i="2"/>
  <c r="L34" i="2"/>
  <c r="L16" i="2"/>
  <c r="L57" i="2"/>
  <c r="L20" i="2"/>
  <c r="AE197" i="3"/>
  <c r="AE95" i="3"/>
  <c r="AE275" i="3"/>
  <c r="AE332" i="3"/>
  <c r="AE81" i="3"/>
  <c r="AJ10" i="2"/>
  <c r="AE186" i="3"/>
  <c r="AE16" i="3"/>
  <c r="AE236" i="3"/>
  <c r="AE120" i="3"/>
  <c r="AE9" i="3"/>
  <c r="AJ82" i="2"/>
  <c r="AJ18" i="2"/>
  <c r="AE282" i="3"/>
  <c r="AJ72" i="2"/>
  <c r="AE315" i="3"/>
  <c r="AN48" i="3"/>
  <c r="AN239" i="3"/>
  <c r="AN285" i="3"/>
  <c r="AS63" i="2"/>
  <c r="AN335" i="3"/>
  <c r="AN347" i="3"/>
  <c r="AS96" i="2"/>
  <c r="AN146" i="3"/>
  <c r="AS65" i="2"/>
  <c r="AS55" i="2"/>
  <c r="AN63" i="3"/>
  <c r="AN278" i="3"/>
  <c r="AS95" i="2"/>
  <c r="AN164" i="3"/>
  <c r="AN343" i="3"/>
  <c r="AN94" i="3"/>
  <c r="AN102" i="3"/>
  <c r="AN281" i="3"/>
  <c r="AN272" i="3"/>
  <c r="AS13" i="2"/>
  <c r="AN80" i="3"/>
  <c r="AN325" i="3"/>
  <c r="AN274" i="3"/>
  <c r="AN169" i="3"/>
  <c r="AN203" i="3"/>
  <c r="AN81" i="3"/>
  <c r="AN275" i="3"/>
  <c r="AN22" i="3"/>
  <c r="AS59" i="2"/>
  <c r="AN52" i="3"/>
  <c r="AS29" i="2"/>
  <c r="AN127" i="3"/>
  <c r="AN280" i="3"/>
  <c r="AN346" i="3"/>
  <c r="AN138" i="3"/>
  <c r="AS67" i="2"/>
  <c r="AS62" i="2"/>
  <c r="AN292" i="3"/>
  <c r="AN261" i="3"/>
  <c r="AN306" i="3"/>
  <c r="AN68" i="3"/>
  <c r="AN109" i="3"/>
  <c r="AN155" i="3"/>
  <c r="AN159" i="3"/>
  <c r="AN199" i="3"/>
  <c r="AS73" i="2"/>
  <c r="AS74" i="2"/>
  <c r="AN11" i="3"/>
  <c r="AN229" i="3"/>
  <c r="AS72" i="2"/>
  <c r="AN243" i="3"/>
  <c r="AS42" i="2"/>
  <c r="AS19" i="2"/>
  <c r="AN166" i="3"/>
  <c r="AN181" i="3"/>
  <c r="AN161" i="3"/>
  <c r="AS45" i="2"/>
  <c r="AN23" i="3"/>
  <c r="AN104" i="3"/>
  <c r="AS94" i="2"/>
  <c r="AN322" i="3"/>
  <c r="AN87" i="3"/>
  <c r="AN85" i="3"/>
  <c r="AN180" i="3"/>
  <c r="AS50" i="2"/>
  <c r="AS7" i="2"/>
  <c r="AN301" i="3"/>
  <c r="AN113" i="3"/>
  <c r="AS46" i="2"/>
  <c r="AN135" i="3"/>
  <c r="AS68" i="2"/>
  <c r="AN221" i="3"/>
  <c r="AS69" i="2"/>
  <c r="AN92" i="3"/>
  <c r="AN352" i="3"/>
  <c r="AN307" i="3"/>
  <c r="AN112" i="3"/>
  <c r="AS34" i="2"/>
  <c r="AN15" i="3"/>
  <c r="AN241" i="3"/>
  <c r="AN115" i="3"/>
  <c r="AN233" i="3"/>
  <c r="AN279" i="3"/>
  <c r="AN194" i="3"/>
  <c r="AN237" i="3"/>
  <c r="AN353" i="3"/>
  <c r="AN314" i="3"/>
  <c r="AN220" i="3"/>
  <c r="AN244" i="3"/>
  <c r="AN186" i="3"/>
  <c r="AN348" i="3"/>
  <c r="AS33" i="2"/>
  <c r="AN18" i="3"/>
  <c r="AN351" i="3"/>
  <c r="AS57" i="2"/>
  <c r="AS21" i="2"/>
  <c r="AN248" i="3"/>
  <c r="AN206" i="3"/>
  <c r="AN20" i="3"/>
  <c r="AS54" i="2"/>
  <c r="AN14" i="3"/>
  <c r="AN202" i="3"/>
  <c r="AN341" i="3"/>
  <c r="AS28" i="2"/>
  <c r="AN263" i="3"/>
  <c r="AS83" i="2"/>
  <c r="AS9" i="2"/>
  <c r="AS38" i="2"/>
  <c r="AN131" i="3"/>
  <c r="AN49" i="3"/>
  <c r="AN316" i="3"/>
  <c r="AS8" i="2"/>
  <c r="AN34" i="3"/>
  <c r="AN349" i="3"/>
  <c r="AS40" i="2"/>
  <c r="AN197" i="3"/>
  <c r="AN319" i="3"/>
  <c r="AS14" i="2"/>
  <c r="AS12" i="2"/>
  <c r="AN318" i="3"/>
  <c r="AN262" i="3"/>
  <c r="AN125" i="3"/>
  <c r="AN43" i="3"/>
  <c r="AS15" i="2"/>
  <c r="AS24" i="2"/>
  <c r="AN75" i="3"/>
  <c r="AN59" i="3"/>
  <c r="AN332" i="3"/>
  <c r="AN235" i="3"/>
  <c r="AN196" i="3"/>
  <c r="AN31" i="3"/>
  <c r="AN137" i="3"/>
  <c r="AN249" i="3"/>
  <c r="AN25" i="3"/>
  <c r="AN107" i="3"/>
  <c r="AN26" i="3"/>
  <c r="AN337" i="3"/>
  <c r="AN210" i="3"/>
  <c r="AN45" i="3"/>
  <c r="AS4" i="2"/>
  <c r="AN53" i="3"/>
  <c r="AS32" i="2"/>
  <c r="AN323" i="3"/>
  <c r="AN333" i="3"/>
  <c r="AN299" i="3"/>
  <c r="AN66" i="3"/>
  <c r="AN32" i="3"/>
  <c r="AS6" i="2"/>
  <c r="AN70" i="3"/>
  <c r="AN139" i="3"/>
  <c r="AN178" i="3"/>
  <c r="AN50" i="3"/>
  <c r="AN326" i="3"/>
  <c r="AN258" i="3"/>
  <c r="AS16" i="2"/>
  <c r="AN36" i="3"/>
  <c r="AN188" i="3"/>
  <c r="AS58" i="2"/>
  <c r="AN19" i="3"/>
  <c r="AN250" i="3"/>
  <c r="AN291" i="3"/>
  <c r="AN252" i="3"/>
  <c r="AN173" i="3"/>
  <c r="AN253" i="3"/>
  <c r="AS60" i="2"/>
  <c r="AN297" i="3"/>
  <c r="AN51" i="3"/>
  <c r="AS100" i="2"/>
  <c r="AN305" i="3"/>
  <c r="AN130" i="3"/>
  <c r="AN209" i="3"/>
  <c r="AS80" i="2"/>
  <c r="AN271" i="3"/>
  <c r="AN143" i="3"/>
  <c r="AN269" i="3"/>
  <c r="AS87" i="2"/>
  <c r="AN288" i="3"/>
  <c r="AN259" i="3"/>
  <c r="AN230" i="3"/>
  <c r="AS91" i="2"/>
  <c r="AN67" i="3"/>
  <c r="AN320" i="3"/>
  <c r="AN321" i="3"/>
  <c r="AN242" i="3"/>
  <c r="AN96" i="3"/>
  <c r="AN171" i="3"/>
  <c r="AN106" i="3"/>
  <c r="AN114" i="3"/>
  <c r="AN136" i="3"/>
  <c r="AN340" i="3"/>
  <c r="AS25" i="2"/>
  <c r="AN157" i="3"/>
  <c r="AN327" i="3"/>
  <c r="AN329" i="3"/>
  <c r="AN270" i="3"/>
  <c r="AS56" i="2"/>
  <c r="AS53" i="2"/>
  <c r="AS49" i="2"/>
  <c r="AN88" i="3"/>
  <c r="AN72" i="3"/>
  <c r="AN162" i="3"/>
  <c r="AN90" i="3"/>
  <c r="AS36" i="2"/>
  <c r="AN103" i="3"/>
  <c r="AN184" i="3"/>
  <c r="AN41" i="3"/>
  <c r="AS70" i="2"/>
  <c r="AS22" i="2"/>
  <c r="AN168" i="3"/>
  <c r="AN218" i="3"/>
  <c r="AS47" i="2"/>
  <c r="AS86" i="2"/>
  <c r="AN6" i="3"/>
  <c r="AN97" i="3"/>
  <c r="AN234" i="3"/>
  <c r="AN222" i="3"/>
  <c r="AN212" i="3"/>
  <c r="AN38" i="3"/>
  <c r="AN98" i="3"/>
  <c r="AS27" i="2"/>
  <c r="AS10" i="2"/>
  <c r="AN328" i="3"/>
  <c r="AN211" i="3"/>
  <c r="AN247" i="3"/>
  <c r="AN69" i="3"/>
  <c r="AN120" i="3"/>
  <c r="AN24" i="3"/>
  <c r="AN84" i="3"/>
  <c r="AN153" i="3"/>
  <c r="AS89" i="2"/>
  <c r="AN64" i="3"/>
  <c r="AN309" i="3"/>
  <c r="AN129" i="3"/>
  <c r="AN289" i="3"/>
  <c r="AN257" i="3"/>
  <c r="AN140" i="3"/>
  <c r="AN265" i="3"/>
  <c r="AN308" i="3"/>
  <c r="AN110" i="3"/>
  <c r="AN133" i="3"/>
  <c r="AN267" i="3"/>
  <c r="AN30" i="3"/>
  <c r="AN128" i="3"/>
  <c r="AN134" i="3"/>
  <c r="AS82" i="2"/>
  <c r="AN46" i="3"/>
  <c r="AN79" i="3"/>
  <c r="AN286" i="3"/>
  <c r="AN17" i="3"/>
  <c r="AN207" i="3"/>
  <c r="AN294" i="3"/>
  <c r="AN317" i="3"/>
  <c r="AN189" i="3"/>
  <c r="AN284" i="3"/>
  <c r="AW300" i="3"/>
  <c r="AN216" i="3"/>
  <c r="AN345" i="3"/>
  <c r="AN283" i="3"/>
  <c r="AN86" i="3"/>
  <c r="AN260" i="3"/>
  <c r="AN254" i="3"/>
  <c r="AW110" i="3"/>
  <c r="AN172" i="3"/>
  <c r="AN82" i="3"/>
  <c r="AN182" i="3"/>
  <c r="AS98" i="2"/>
  <c r="AN331" i="3"/>
  <c r="AN40" i="3"/>
  <c r="AN116" i="3"/>
  <c r="AN62" i="3"/>
  <c r="AN126" i="3"/>
  <c r="AN195" i="3"/>
  <c r="AW63" i="3"/>
  <c r="AN152" i="3"/>
  <c r="AS85" i="2"/>
  <c r="AN302" i="3"/>
  <c r="AN290" i="3"/>
  <c r="AN219" i="3"/>
  <c r="AS61" i="2"/>
  <c r="AN175" i="3"/>
  <c r="AS97" i="2"/>
  <c r="AN167" i="3"/>
  <c r="AN60" i="3"/>
  <c r="AN350" i="3"/>
  <c r="BB96" i="2"/>
  <c r="AN336" i="3"/>
  <c r="AN174" i="3"/>
  <c r="AN65" i="3"/>
  <c r="AS79" i="2"/>
  <c r="AN123" i="3"/>
  <c r="AS77" i="2"/>
  <c r="AN21" i="3"/>
  <c r="AW163" i="3"/>
  <c r="AW55" i="3"/>
  <c r="AN95" i="3"/>
  <c r="AN324" i="3"/>
  <c r="AS81" i="2"/>
  <c r="AN246" i="3"/>
  <c r="AN147" i="3"/>
  <c r="AN276" i="3"/>
  <c r="AN148" i="3"/>
  <c r="AN236" i="3"/>
  <c r="AN177" i="3"/>
  <c r="AN200" i="3"/>
  <c r="AW135" i="3"/>
  <c r="AW234" i="3"/>
  <c r="AW153" i="3"/>
  <c r="AN238" i="3"/>
  <c r="AN224" i="3"/>
  <c r="AS37" i="2"/>
  <c r="AN311" i="3"/>
  <c r="AS90" i="2"/>
  <c r="AN99" i="3"/>
  <c r="AN144" i="3"/>
  <c r="AN122" i="3"/>
  <c r="AN149" i="3"/>
  <c r="AN187" i="3"/>
  <c r="AW144" i="3"/>
  <c r="AN111" i="3"/>
  <c r="AN58" i="3"/>
  <c r="AN42" i="3"/>
  <c r="AN215" i="3"/>
  <c r="AN83" i="3"/>
  <c r="AS18" i="2"/>
  <c r="AW9" i="3"/>
  <c r="AW296" i="3"/>
  <c r="AN150" i="3"/>
  <c r="AN142" i="3"/>
  <c r="AW313" i="3"/>
  <c r="AW260" i="3"/>
  <c r="AW167" i="3"/>
  <c r="AW311" i="3"/>
  <c r="AN165" i="3"/>
  <c r="AN339" i="3"/>
  <c r="AN132" i="3"/>
  <c r="AS93" i="2"/>
  <c r="AS75" i="2"/>
  <c r="AN298" i="3"/>
  <c r="AN74" i="3"/>
  <c r="AN266" i="3"/>
  <c r="AS31" i="2"/>
  <c r="AW223" i="3"/>
  <c r="AS11" i="2"/>
  <c r="AS44" i="2"/>
  <c r="AW73" i="3"/>
  <c r="AN100" i="3"/>
  <c r="AN191" i="3"/>
  <c r="AN44" i="3"/>
  <c r="BB78" i="2"/>
  <c r="AW16" i="3"/>
  <c r="AW124" i="3"/>
  <c r="AN245" i="3"/>
  <c r="AN76" i="3"/>
  <c r="AN61" i="3"/>
  <c r="AS17" i="2"/>
  <c r="AN118" i="3"/>
  <c r="AW315" i="3"/>
  <c r="AN227" i="3"/>
  <c r="AN185" i="3"/>
  <c r="AS23" i="2"/>
  <c r="BB97" i="2"/>
  <c r="AN105" i="3"/>
  <c r="AN277" i="3"/>
  <c r="AN8" i="3"/>
  <c r="AN293" i="3"/>
  <c r="AN213" i="3"/>
  <c r="AN264" i="3"/>
  <c r="AN310" i="3"/>
  <c r="AN16" i="3"/>
  <c r="AS48" i="2"/>
  <c r="AN170" i="3"/>
  <c r="BB7" i="2"/>
  <c r="AN13" i="3"/>
  <c r="AN10" i="3"/>
  <c r="AN119" i="3"/>
  <c r="AN225" i="3"/>
  <c r="AN91" i="3"/>
  <c r="AW269" i="3"/>
  <c r="AW232" i="3"/>
  <c r="AW218" i="3"/>
  <c r="AS76" i="2"/>
  <c r="AN240" i="3"/>
  <c r="AS64" i="2"/>
  <c r="AS39" i="2"/>
  <c r="AS71" i="2"/>
  <c r="BB42" i="2"/>
  <c r="AW157" i="3"/>
  <c r="AN193" i="3"/>
  <c r="AN71" i="3"/>
  <c r="AS43" i="2"/>
  <c r="AW239" i="3"/>
  <c r="AW253" i="3"/>
  <c r="AS66" i="2"/>
  <c r="AN223" i="3"/>
  <c r="AN47" i="3"/>
  <c r="AS41" i="2"/>
  <c r="AN295" i="3"/>
  <c r="AN160" i="3"/>
  <c r="AN251" i="3"/>
  <c r="AN256" i="3"/>
  <c r="AS26" i="2"/>
  <c r="AN54" i="3"/>
  <c r="AN183" i="3"/>
  <c r="AN198" i="3"/>
  <c r="BB85" i="2"/>
  <c r="AW148" i="3"/>
  <c r="AN205" i="3"/>
  <c r="AS92" i="2"/>
  <c r="AS30" i="2"/>
  <c r="AS35" i="2"/>
  <c r="AS5" i="2"/>
  <c r="AN78" i="3"/>
  <c r="AS78" i="2"/>
  <c r="AS84" i="2"/>
  <c r="AS99" i="2"/>
  <c r="AN156" i="3"/>
  <c r="AS101" i="2"/>
  <c r="BB56" i="2"/>
  <c r="AW308" i="3"/>
  <c r="AN179" i="3"/>
  <c r="BB32" i="2"/>
  <c r="AW270" i="3"/>
  <c r="AN163" i="3"/>
  <c r="AS3" i="2"/>
  <c r="AN5" i="3"/>
  <c r="AS52" i="2"/>
  <c r="BB22" i="2"/>
  <c r="AN151" i="3"/>
  <c r="AN73" i="3"/>
  <c r="AN344" i="3"/>
  <c r="AN228" i="3"/>
  <c r="AN176" i="3"/>
  <c r="AN57" i="3"/>
  <c r="AN7" i="3"/>
  <c r="AW94" i="3"/>
  <c r="AN154" i="3"/>
  <c r="AN39" i="3"/>
  <c r="AS88" i="2"/>
  <c r="AN89" i="3"/>
  <c r="BB89" i="2"/>
  <c r="AN190" i="3"/>
  <c r="AN268" i="3"/>
  <c r="AN296" i="3"/>
  <c r="AS20" i="2"/>
  <c r="AN77" i="3"/>
  <c r="AN101" i="3"/>
  <c r="AS51" i="2"/>
  <c r="AN214" i="3"/>
  <c r="BB74" i="2"/>
  <c r="AW191" i="3"/>
  <c r="AW326" i="3"/>
  <c r="AW130" i="3"/>
  <c r="AN303" i="3"/>
  <c r="AN9" i="3"/>
  <c r="AN204" i="3"/>
  <c r="AW251" i="3"/>
  <c r="BB82" i="2"/>
  <c r="BB4" i="2"/>
  <c r="AN27" i="3"/>
  <c r="AN56" i="3"/>
  <c r="AN315" i="3"/>
  <c r="AN12" i="3"/>
  <c r="AN201" i="3"/>
  <c r="AN342" i="3"/>
  <c r="AN121" i="3"/>
  <c r="AW241" i="3"/>
  <c r="AW198" i="3"/>
  <c r="BB53" i="2"/>
  <c r="AW328" i="3"/>
  <c r="AW322" i="3"/>
  <c r="BB23" i="2"/>
  <c r="AW224" i="3"/>
  <c r="AW161" i="3"/>
  <c r="BB34" i="2"/>
  <c r="AW312" i="3"/>
  <c r="AW67" i="3"/>
  <c r="AW226" i="3"/>
  <c r="AW14" i="3"/>
  <c r="BB21" i="2"/>
  <c r="AW87" i="3"/>
  <c r="BB9" i="2"/>
  <c r="AW112" i="3"/>
  <c r="BB39" i="2"/>
  <c r="AW229" i="3"/>
  <c r="BB72" i="2"/>
  <c r="AW95" i="3"/>
  <c r="AW37" i="3"/>
  <c r="BB86" i="2"/>
  <c r="AW138" i="3"/>
  <c r="AW21" i="3"/>
  <c r="AW45" i="3"/>
  <c r="AW338" i="3"/>
  <c r="AW195" i="3"/>
  <c r="AW271" i="3"/>
  <c r="AW60" i="3"/>
  <c r="BB94" i="2"/>
  <c r="AW244" i="3"/>
  <c r="AW330" i="3"/>
  <c r="AW263" i="3"/>
  <c r="AW41" i="3"/>
  <c r="BB10" i="2"/>
  <c r="AW299" i="3"/>
  <c r="AW230" i="3"/>
  <c r="AW76" i="3"/>
  <c r="BB81" i="2"/>
  <c r="AW24" i="3"/>
  <c r="AW347" i="3"/>
  <c r="AW217" i="3"/>
  <c r="AW266" i="3"/>
  <c r="BB16" i="2"/>
  <c r="AW243" i="3"/>
  <c r="BB46" i="2"/>
  <c r="AW286" i="3"/>
  <c r="AW344" i="3"/>
  <c r="AW306" i="3"/>
  <c r="BB54" i="2"/>
  <c r="AW35" i="3"/>
  <c r="AW20" i="3"/>
  <c r="BB5" i="2"/>
  <c r="AW105" i="3"/>
  <c r="AW72" i="3"/>
  <c r="BB66" i="2"/>
  <c r="AW259" i="3"/>
  <c r="BB95" i="2"/>
  <c r="AW29" i="3"/>
  <c r="BB27" i="2"/>
  <c r="AW233" i="3"/>
  <c r="AW185" i="3"/>
  <c r="AW8" i="3"/>
  <c r="BB88" i="2"/>
  <c r="AW46" i="3"/>
  <c r="AW297" i="3"/>
  <c r="AW219" i="3"/>
  <c r="AW10" i="3"/>
  <c r="AW283" i="3"/>
  <c r="AW17" i="3"/>
  <c r="AW155" i="3"/>
  <c r="AW268" i="3"/>
  <c r="AW70" i="3"/>
  <c r="BB20" i="2"/>
  <c r="AW341" i="3"/>
  <c r="AW309" i="3"/>
  <c r="AW19" i="3"/>
  <c r="AW5" i="3"/>
  <c r="AW340" i="3"/>
  <c r="AW166" i="3"/>
  <c r="BB62" i="2"/>
  <c r="AW335" i="3"/>
  <c r="AW324" i="3"/>
  <c r="AW12" i="3"/>
  <c r="AW68" i="3"/>
  <c r="AW111" i="3"/>
  <c r="AW345" i="3"/>
  <c r="AW121" i="3"/>
  <c r="AW85" i="3"/>
  <c r="AW49" i="3"/>
  <c r="AW50" i="3"/>
  <c r="AW256" i="3"/>
  <c r="AW284" i="3"/>
  <c r="BB76" i="2"/>
  <c r="AW214" i="3"/>
  <c r="AW183" i="3"/>
  <c r="AW178" i="3"/>
  <c r="AW107" i="3"/>
  <c r="AW225" i="3"/>
  <c r="AW141" i="3"/>
  <c r="AW98" i="3"/>
  <c r="BB87" i="2"/>
  <c r="AW323" i="3"/>
  <c r="AW320" i="3"/>
  <c r="AW78" i="3"/>
  <c r="AW353" i="3"/>
  <c r="AW314" i="3"/>
  <c r="AW97" i="3"/>
  <c r="AW162" i="3"/>
  <c r="BB101" i="2"/>
  <c r="BB70" i="2"/>
  <c r="AW96" i="3"/>
  <c r="AW133" i="3"/>
  <c r="AW139" i="3"/>
  <c r="AW165" i="3"/>
  <c r="AW220" i="3"/>
  <c r="BB31" i="2"/>
  <c r="BB26" i="2"/>
  <c r="AW36" i="3"/>
  <c r="AW100" i="3"/>
  <c r="BB24" i="2"/>
  <c r="BB68" i="2"/>
  <c r="BB18" i="2"/>
  <c r="AW58" i="3"/>
  <c r="AW227" i="3"/>
  <c r="BB100" i="2"/>
  <c r="AW154" i="3"/>
  <c r="BB35" i="2"/>
  <c r="AW128" i="3"/>
  <c r="BB6" i="2"/>
  <c r="AW267" i="3"/>
  <c r="AW200" i="3"/>
  <c r="BB73" i="2"/>
  <c r="AW250" i="3"/>
  <c r="AW189" i="3"/>
  <c r="AW321" i="3"/>
  <c r="AW331" i="3"/>
  <c r="AW103" i="3"/>
  <c r="BB98" i="2"/>
  <c r="AW257" i="3"/>
  <c r="AW6" i="3"/>
  <c r="AW346" i="3"/>
  <c r="BB28" i="2"/>
  <c r="AW305" i="3"/>
  <c r="AW204" i="3"/>
  <c r="AW181" i="3"/>
  <c r="AW77" i="3"/>
  <c r="AW265" i="3"/>
  <c r="BB25" i="2"/>
  <c r="AW277" i="3"/>
  <c r="AW221" i="3"/>
  <c r="AW18" i="3"/>
  <c r="AW59" i="3"/>
  <c r="AW117" i="3"/>
  <c r="AW82" i="3"/>
  <c r="AW7" i="3"/>
  <c r="BB64" i="2"/>
  <c r="AW108" i="3"/>
  <c r="AW272" i="3"/>
  <c r="BB71" i="2"/>
  <c r="AW69" i="3"/>
  <c r="AW208" i="3"/>
  <c r="BB59" i="2"/>
  <c r="BB61" i="2"/>
  <c r="AW317" i="3"/>
  <c r="AW93" i="3"/>
  <c r="BB33" i="2"/>
  <c r="AW294" i="3"/>
  <c r="AW66" i="3"/>
  <c r="AW249" i="3"/>
  <c r="BB90" i="2"/>
  <c r="BB47" i="2"/>
  <c r="AW13" i="3"/>
  <c r="AW319" i="3"/>
  <c r="BB30" i="2"/>
  <c r="AW325" i="3"/>
  <c r="AW86" i="3"/>
  <c r="AW33" i="3"/>
  <c r="AW327" i="3"/>
  <c r="AW228" i="3"/>
  <c r="AW194" i="3"/>
  <c r="BB75" i="2"/>
  <c r="BB44" i="2"/>
  <c r="BB29" i="2"/>
  <c r="AW40" i="3"/>
  <c r="AW235" i="3"/>
  <c r="BB14" i="2"/>
  <c r="AW212" i="3"/>
  <c r="AW71" i="3"/>
  <c r="AW136" i="3"/>
  <c r="AW109" i="3"/>
  <c r="AW81" i="3"/>
  <c r="AW332" i="3"/>
  <c r="AW150" i="3"/>
  <c r="AW53" i="3"/>
  <c r="AW104" i="3"/>
  <c r="BB57" i="2"/>
  <c r="AW172" i="3"/>
  <c r="BB11" i="2"/>
  <c r="AW211" i="3"/>
  <c r="AW57" i="3"/>
  <c r="AW90" i="3"/>
  <c r="BB51" i="2"/>
  <c r="BB8" i="2"/>
  <c r="AW242" i="3"/>
  <c r="BB41" i="2"/>
  <c r="BB91" i="2"/>
  <c r="AW274" i="3"/>
  <c r="AW79" i="3"/>
  <c r="AW116" i="3"/>
  <c r="AW197" i="3"/>
  <c r="AW126" i="3"/>
  <c r="AW80" i="3"/>
  <c r="AW164" i="3"/>
  <c r="AW168" i="3"/>
  <c r="BB67" i="2"/>
  <c r="AW52" i="3"/>
  <c r="BB99" i="2"/>
  <c r="AW42" i="3"/>
  <c r="AW264" i="3"/>
  <c r="AW47" i="3"/>
  <c r="BB79" i="2"/>
  <c r="AW174" i="3"/>
  <c r="AW303" i="3"/>
  <c r="BB3" i="2"/>
  <c r="AW25" i="3"/>
  <c r="BB13" i="2"/>
  <c r="AW134" i="3"/>
  <c r="AW92" i="3"/>
  <c r="AW292" i="3"/>
  <c r="AW352" i="3"/>
  <c r="AW285" i="3"/>
  <c r="AW127" i="3"/>
  <c r="BB40" i="2"/>
  <c r="AW262" i="3"/>
  <c r="AW22" i="3"/>
  <c r="AW122" i="3"/>
  <c r="AW140" i="3"/>
  <c r="AW276" i="3"/>
  <c r="AW88" i="3"/>
  <c r="BB17" i="2"/>
  <c r="AW247" i="3"/>
  <c r="AW237" i="3"/>
  <c r="AW173" i="3"/>
  <c r="AW336" i="3"/>
  <c r="AW184" i="3"/>
  <c r="AW209" i="3"/>
  <c r="AW302" i="3"/>
  <c r="AW252" i="3"/>
  <c r="BB65" i="2"/>
  <c r="AW351" i="3"/>
  <c r="AW175" i="3"/>
  <c r="AW342" i="3"/>
  <c r="AW176" i="3"/>
  <c r="AW238" i="3"/>
  <c r="AW101" i="3"/>
  <c r="AW48" i="3"/>
  <c r="AW316" i="3"/>
  <c r="AW280" i="3"/>
  <c r="AW202" i="3"/>
  <c r="BB36" i="2"/>
  <c r="AW307" i="3"/>
  <c r="AW333" i="3"/>
  <c r="AW156" i="3"/>
  <c r="AW39" i="3"/>
  <c r="AW318" i="3"/>
  <c r="BB93" i="2"/>
  <c r="AW62" i="3"/>
  <c r="AW131" i="3"/>
  <c r="BB50" i="2"/>
  <c r="AW182" i="3"/>
  <c r="AW15" i="3"/>
  <c r="AW64" i="3"/>
  <c r="AW129" i="3"/>
  <c r="AW288" i="3"/>
  <c r="AW349" i="3"/>
  <c r="AW298" i="3"/>
  <c r="AW30" i="3"/>
  <c r="AW210" i="3"/>
  <c r="BB83" i="2"/>
  <c r="BB84" i="2"/>
  <c r="AW304" i="3"/>
  <c r="AW281" i="3"/>
  <c r="AW279" i="3"/>
  <c r="BB12" i="2"/>
  <c r="AW205" i="3"/>
  <c r="AW26" i="3"/>
  <c r="BB15" i="2"/>
  <c r="AW231" i="3"/>
  <c r="AW337" i="3"/>
  <c r="AW23" i="3"/>
  <c r="BB19" i="2"/>
  <c r="BB49" i="2"/>
  <c r="AW343" i="3"/>
  <c r="AW254" i="3"/>
  <c r="AW206" i="3"/>
  <c r="AW147" i="3"/>
  <c r="AW106" i="3"/>
  <c r="AW171" i="3"/>
  <c r="AW290" i="3"/>
  <c r="AW213" i="3"/>
  <c r="AW287" i="3"/>
  <c r="AW146" i="3"/>
  <c r="AW258" i="3"/>
  <c r="AW203" i="3"/>
  <c r="AW125" i="3"/>
  <c r="AW334" i="3"/>
  <c r="AW123" i="3"/>
  <c r="AW245" i="3"/>
  <c r="AW246" i="3"/>
  <c r="AW152" i="3"/>
  <c r="BB37" i="2"/>
  <c r="AW188" i="3"/>
  <c r="AW193" i="3"/>
  <c r="AW54" i="3"/>
  <c r="BB55" i="2"/>
  <c r="BB63" i="2"/>
  <c r="AW137" i="3"/>
  <c r="AW115" i="3"/>
  <c r="AW348" i="3"/>
  <c r="AW11" i="3"/>
  <c r="BB48" i="2"/>
  <c r="BB77" i="2"/>
  <c r="AW339" i="3"/>
  <c r="AW44" i="3"/>
  <c r="AW310" i="3"/>
  <c r="AW177" i="3"/>
  <c r="AW38" i="3"/>
  <c r="AW43" i="3"/>
  <c r="AW275" i="3"/>
  <c r="AW99" i="3"/>
  <c r="AW329" i="3"/>
  <c r="AW187" i="3"/>
  <c r="BB80" i="2"/>
  <c r="AW273" i="3"/>
  <c r="AW248" i="3"/>
  <c r="AW207" i="3"/>
  <c r="AW169" i="3"/>
  <c r="AW132" i="3"/>
  <c r="BB92" i="2"/>
  <c r="AW114" i="3"/>
  <c r="AW65" i="3"/>
  <c r="BB45" i="2"/>
  <c r="AW27" i="3"/>
  <c r="BB52" i="2"/>
  <c r="BB69" i="2"/>
  <c r="AW51" i="3"/>
  <c r="AW120" i="3"/>
  <c r="AW261" i="3"/>
  <c r="AW215" i="3"/>
  <c r="AW278" i="3"/>
  <c r="AW56" i="3"/>
  <c r="AW159" i="3"/>
  <c r="AW293" i="3"/>
  <c r="AW350" i="3"/>
  <c r="AW282" i="3"/>
  <c r="AW158" i="3"/>
  <c r="AW240" i="3"/>
  <c r="AW295" i="3"/>
  <c r="BB60" i="2"/>
  <c r="BB38" i="2"/>
  <c r="BB43" i="2"/>
  <c r="AW289" i="3"/>
  <c r="AW75" i="3"/>
  <c r="AW31" i="3"/>
  <c r="AW186" i="3"/>
  <c r="AW113" i="3"/>
  <c r="AW301" i="3"/>
  <c r="AW34" i="3"/>
  <c r="BB58" i="2"/>
  <c r="AW291" i="3"/>
  <c r="H218" i="3" l="1"/>
  <c r="H190" i="3"/>
  <c r="H353" i="3"/>
  <c r="H4" i="3"/>
  <c r="H68" i="3"/>
  <c r="H187" i="3"/>
  <c r="H158" i="3"/>
  <c r="H171" i="3"/>
  <c r="H12" i="3"/>
  <c r="H39" i="3"/>
  <c r="H320" i="3"/>
  <c r="H221" i="3"/>
  <c r="H9" i="3"/>
  <c r="H5" i="3"/>
  <c r="H318" i="3"/>
  <c r="H93" i="3"/>
  <c r="H167" i="3"/>
  <c r="H286" i="3"/>
  <c r="H343" i="3"/>
  <c r="H91" i="3"/>
  <c r="H182" i="3"/>
  <c r="H112" i="3"/>
  <c r="H129" i="3"/>
  <c r="H189" i="3"/>
  <c r="H264" i="3"/>
  <c r="H30" i="3"/>
  <c r="H76" i="3"/>
  <c r="H80" i="3"/>
  <c r="H123" i="3"/>
  <c r="H335" i="3"/>
  <c r="H105" i="3"/>
  <c r="H326" i="3"/>
  <c r="H247" i="3"/>
  <c r="H26" i="3"/>
  <c r="H44" i="3"/>
  <c r="H298" i="3"/>
  <c r="H279" i="3"/>
  <c r="H84" i="3"/>
  <c r="H214" i="3"/>
  <c r="H268" i="3"/>
  <c r="H8" i="3"/>
  <c r="H249" i="3"/>
  <c r="H255" i="3"/>
  <c r="H34" i="3"/>
  <c r="H290" i="3"/>
  <c r="H6" i="3"/>
  <c r="H146" i="3"/>
  <c r="H180" i="3"/>
  <c r="H192" i="3"/>
  <c r="H67" i="3"/>
  <c r="H127" i="3"/>
  <c r="H240" i="3"/>
  <c r="H3" i="3"/>
  <c r="H331" i="3"/>
  <c r="H177" i="3"/>
  <c r="H101" i="3"/>
  <c r="H293" i="3"/>
  <c r="H169" i="3"/>
  <c r="H38" i="3"/>
  <c r="H102" i="3"/>
  <c r="H87" i="3"/>
  <c r="H339" i="3"/>
  <c r="H69" i="3"/>
  <c r="H287" i="3"/>
  <c r="H200" i="3"/>
  <c r="H324" i="3"/>
  <c r="H73" i="3"/>
  <c r="H21" i="3"/>
  <c r="H291" i="3"/>
  <c r="H308" i="3"/>
  <c r="H82" i="3"/>
  <c r="H113" i="3"/>
  <c r="H147" i="3"/>
  <c r="H251" i="3"/>
  <c r="H179" i="3"/>
  <c r="H163" i="3"/>
  <c r="H185" i="3"/>
  <c r="H234" i="3"/>
  <c r="H83" i="3"/>
  <c r="H345" i="3"/>
  <c r="H273" i="3"/>
  <c r="H99" i="3"/>
  <c r="H110" i="3"/>
  <c r="H299" i="3"/>
  <c r="H15" i="3"/>
  <c r="H211" i="3"/>
  <c r="H31" i="3"/>
  <c r="H195" i="3"/>
  <c r="H53" i="3"/>
  <c r="H347" i="3"/>
  <c r="H138" i="3"/>
  <c r="H118" i="3"/>
  <c r="H350" i="3"/>
  <c r="H131" i="3"/>
  <c r="H126" i="3"/>
  <c r="H162" i="3"/>
  <c r="H41" i="3"/>
  <c r="H352" i="3"/>
  <c r="H341" i="3"/>
  <c r="H166" i="3"/>
  <c r="H181" i="3"/>
  <c r="H151" i="3"/>
  <c r="H304" i="3"/>
  <c r="H65" i="3"/>
  <c r="H56" i="3"/>
  <c r="H117" i="3"/>
  <c r="H133" i="3"/>
  <c r="H348" i="3"/>
  <c r="H78" i="3"/>
  <c r="H130" i="3"/>
  <c r="H85" i="3"/>
  <c r="H332" i="3"/>
  <c r="H194" i="3"/>
  <c r="H64" i="3"/>
  <c r="H198" i="3"/>
  <c r="H204" i="3"/>
  <c r="H236" i="3"/>
  <c r="H336" i="3"/>
  <c r="H2" i="3"/>
  <c r="H79" i="3"/>
  <c r="H233" i="3"/>
  <c r="H297" i="3"/>
  <c r="H246" i="3"/>
  <c r="H148" i="3"/>
  <c r="H300" i="3"/>
  <c r="H128" i="3"/>
  <c r="H149" i="3"/>
  <c r="H173" i="3"/>
  <c r="H196" i="3"/>
  <c r="H282" i="3"/>
  <c r="H175" i="3"/>
  <c r="H288" i="3"/>
  <c r="H160" i="3"/>
  <c r="H25" i="3"/>
  <c r="H226" i="3"/>
  <c r="H338" i="3"/>
  <c r="H191" i="3"/>
  <c r="H57" i="3"/>
  <c r="H213" i="3"/>
  <c r="H296" i="3"/>
  <c r="H81" i="3"/>
  <c r="H340" i="3"/>
  <c r="H243" i="3"/>
  <c r="H88" i="3"/>
  <c r="H114" i="3"/>
  <c r="H252" i="3"/>
  <c r="H75" i="3"/>
  <c r="H33" i="3"/>
  <c r="H55" i="3"/>
  <c r="H119" i="3"/>
  <c r="H265" i="3"/>
  <c r="H61" i="3"/>
  <c r="H86" i="3"/>
  <c r="H174" i="3"/>
  <c r="H13" i="3"/>
  <c r="H305" i="3"/>
  <c r="H267" i="3"/>
  <c r="H237" i="3"/>
  <c r="H219" i="3"/>
  <c r="H141" i="3"/>
  <c r="H285" i="3"/>
  <c r="H316" i="3"/>
  <c r="H276" i="3"/>
  <c r="H125" i="3"/>
  <c r="H51" i="3"/>
  <c r="H250" i="3"/>
  <c r="H269" i="3"/>
  <c r="H37" i="3"/>
  <c r="H309" i="3"/>
  <c r="H58" i="3"/>
  <c r="H292" i="3"/>
  <c r="H321" i="3"/>
  <c r="H168" i="3"/>
  <c r="H258" i="3"/>
  <c r="H106" i="3"/>
  <c r="H261" i="3"/>
  <c r="H16" i="3"/>
  <c r="H95" i="3"/>
  <c r="H152" i="3"/>
  <c r="H150" i="3"/>
  <c r="H36" i="3"/>
  <c r="H140" i="3"/>
  <c r="H241" i="3"/>
  <c r="H14" i="3"/>
  <c r="H59" i="3"/>
  <c r="H23" i="3"/>
  <c r="H28" i="3"/>
  <c r="H49" i="3"/>
  <c r="H89" i="3"/>
  <c r="H115" i="3"/>
  <c r="H301" i="3"/>
  <c r="H209" i="3"/>
  <c r="H275" i="3"/>
  <c r="H116" i="3"/>
  <c r="H70" i="3"/>
  <c r="H294" i="3"/>
  <c r="H328" i="3"/>
  <c r="H29" i="3"/>
  <c r="H144" i="3"/>
  <c r="H210" i="3"/>
  <c r="H155" i="3"/>
  <c r="H193" i="3"/>
  <c r="H172" i="3"/>
  <c r="H337" i="3"/>
  <c r="H97" i="3"/>
  <c r="H42" i="3"/>
  <c r="H46" i="3"/>
  <c r="H313" i="3"/>
  <c r="H235" i="3"/>
  <c r="H165" i="3"/>
  <c r="H176" i="3"/>
  <c r="H207" i="3"/>
  <c r="H262" i="3"/>
  <c r="H134" i="3"/>
  <c r="H245" i="3"/>
  <c r="H10" i="3"/>
  <c r="H224" i="3"/>
  <c r="H136" i="3"/>
  <c r="H202" i="3"/>
  <c r="H124" i="3"/>
  <c r="H100" i="3"/>
  <c r="H74" i="3"/>
  <c r="H217" i="3"/>
  <c r="H284" i="3"/>
  <c r="H24" i="3"/>
  <c r="H184" i="3"/>
  <c r="H215" i="3"/>
  <c r="H120" i="3"/>
  <c r="H323" i="3"/>
  <c r="H315" i="3"/>
  <c r="H271" i="3"/>
  <c r="H27" i="3"/>
  <c r="H254" i="3"/>
  <c r="H260" i="3"/>
  <c r="H43" i="3"/>
  <c r="H229" i="3"/>
  <c r="H20" i="3"/>
  <c r="H90" i="3"/>
  <c r="H228" i="3"/>
  <c r="H50" i="3"/>
  <c r="H54" i="3"/>
  <c r="H104" i="3"/>
  <c r="H72" i="3"/>
  <c r="H201" i="3"/>
  <c r="H17" i="3"/>
  <c r="H216" i="3"/>
  <c r="H7" i="3"/>
  <c r="H142" i="3"/>
  <c r="H52" i="3"/>
  <c r="H281" i="3"/>
  <c r="H317" i="3"/>
  <c r="H159" i="3"/>
  <c r="H272" i="3"/>
  <c r="H223" i="3"/>
  <c r="H77" i="3"/>
  <c r="H283" i="3"/>
  <c r="H62" i="3"/>
  <c r="H314" i="3"/>
  <c r="H60" i="3"/>
  <c r="H222" i="3"/>
  <c r="H344" i="3"/>
  <c r="H277" i="3"/>
  <c r="H289" i="3"/>
  <c r="H109" i="3"/>
  <c r="H47" i="3"/>
  <c r="H220" i="3"/>
  <c r="H18" i="3"/>
  <c r="H203" i="3"/>
  <c r="H103" i="3"/>
  <c r="H232" i="3"/>
  <c r="H139" i="3"/>
  <c r="H96" i="3"/>
  <c r="H137" i="3"/>
  <c r="H197" i="3"/>
  <c r="H35" i="3"/>
  <c r="H170" i="3"/>
  <c r="H121" i="3"/>
  <c r="H154" i="3"/>
  <c r="H157" i="3"/>
  <c r="H342" i="3"/>
  <c r="H306" i="3"/>
  <c r="H98" i="3"/>
  <c r="H257" i="3"/>
  <c r="H256" i="3"/>
  <c r="H45" i="3"/>
  <c r="H310" i="3"/>
  <c r="H111" i="3"/>
  <c r="H327" i="3"/>
  <c r="H253" i="3"/>
  <c r="H143" i="3"/>
  <c r="H32" i="3"/>
  <c r="H259" i="3"/>
  <c r="H188" i="3"/>
  <c r="H307" i="3"/>
  <c r="H206" i="3"/>
  <c r="H48" i="3"/>
  <c r="H94" i="3"/>
  <c r="H135" i="3"/>
  <c r="H40" i="3"/>
  <c r="H325" i="3"/>
  <c r="H302" i="3"/>
  <c r="H92" i="3"/>
  <c r="H186" i="3"/>
  <c r="H295" i="3"/>
  <c r="H244" i="3"/>
  <c r="H270" i="3"/>
  <c r="H212" i="3"/>
  <c r="H231" i="3"/>
  <c r="H278" i="3"/>
  <c r="H63" i="3"/>
  <c r="H156" i="3"/>
  <c r="H22" i="3"/>
  <c r="H319" i="3"/>
  <c r="H178" i="3"/>
  <c r="H161" i="3"/>
  <c r="H122" i="3"/>
  <c r="H248" i="3"/>
  <c r="H183" i="3"/>
  <c r="H329" i="3"/>
  <c r="H205" i="3"/>
  <c r="H199" i="3"/>
  <c r="H280" i="3"/>
  <c r="H266" i="3"/>
  <c r="H349" i="3"/>
  <c r="H346" i="3"/>
  <c r="H71" i="3"/>
  <c r="H333" i="3"/>
  <c r="H263" i="3"/>
  <c r="H311" i="3"/>
  <c r="H19" i="3"/>
  <c r="H164" i="3"/>
  <c r="H239" i="3"/>
  <c r="H312" i="3"/>
  <c r="H132" i="3"/>
  <c r="H108" i="3"/>
  <c r="H153" i="3"/>
  <c r="H274" i="3"/>
  <c r="H242" i="3"/>
  <c r="H208" i="3"/>
  <c r="H238" i="3"/>
  <c r="H230" i="3"/>
  <c r="H322" i="3"/>
  <c r="H225" i="3"/>
  <c r="H227" i="3"/>
  <c r="H330" i="3"/>
  <c r="H107" i="3"/>
  <c r="H303" i="3"/>
  <c r="H334" i="3"/>
  <c r="H11" i="3"/>
  <c r="H351" i="3"/>
  <c r="H66" i="3"/>
  <c r="U247" i="3"/>
  <c r="U41" i="3"/>
  <c r="U282" i="3"/>
  <c r="U175" i="3"/>
  <c r="U125" i="3"/>
  <c r="U215" i="3"/>
  <c r="M20" i="2"/>
  <c r="M57" i="2"/>
  <c r="M16" i="2"/>
  <c r="M34" i="2"/>
  <c r="M74" i="2"/>
  <c r="M60" i="2"/>
  <c r="M43" i="2"/>
  <c r="M84" i="2"/>
  <c r="M70" i="2"/>
  <c r="M54" i="2"/>
  <c r="M38" i="2"/>
  <c r="M3" i="2"/>
  <c r="M100" i="2"/>
  <c r="M79" i="2"/>
  <c r="M17" i="2"/>
  <c r="M59" i="2"/>
  <c r="M88" i="2"/>
  <c r="M7" i="2"/>
  <c r="M66" i="2"/>
  <c r="M53" i="2"/>
  <c r="M52" i="2"/>
  <c r="M86" i="2"/>
  <c r="M27" i="2"/>
  <c r="M19" i="2"/>
  <c r="M45" i="2"/>
  <c r="M40" i="2"/>
  <c r="M8" i="2"/>
  <c r="M61" i="2"/>
  <c r="M26" i="2"/>
  <c r="M72" i="2"/>
  <c r="M42" i="2"/>
  <c r="M47" i="2"/>
  <c r="M99" i="2"/>
  <c r="M65" i="2"/>
  <c r="M24" i="2"/>
  <c r="M67" i="2"/>
  <c r="M5" i="2"/>
  <c r="M75" i="2"/>
  <c r="M30" i="2"/>
  <c r="M95" i="2"/>
  <c r="M98" i="2"/>
  <c r="M22" i="2"/>
  <c r="M2" i="2"/>
  <c r="M76" i="2"/>
  <c r="M87" i="2"/>
  <c r="M41" i="2"/>
  <c r="M15" i="2"/>
  <c r="M92" i="2"/>
  <c r="M11" i="2"/>
  <c r="M36" i="2"/>
  <c r="M49" i="2"/>
  <c r="M35" i="2"/>
  <c r="M14" i="2"/>
  <c r="M89" i="2"/>
  <c r="M23" i="2"/>
  <c r="M56" i="2"/>
  <c r="M21" i="2"/>
  <c r="M93" i="2"/>
  <c r="M12" i="2"/>
  <c r="M10" i="2"/>
  <c r="M18" i="2"/>
  <c r="M83" i="2"/>
  <c r="M101" i="2"/>
  <c r="M25" i="2"/>
  <c r="M32" i="2"/>
  <c r="M90" i="2"/>
  <c r="M94" i="2"/>
  <c r="M28" i="2"/>
  <c r="M62" i="2"/>
  <c r="M80" i="2"/>
  <c r="M37" i="2"/>
  <c r="M77" i="2"/>
  <c r="M58" i="2"/>
  <c r="M63" i="2"/>
  <c r="M51" i="2"/>
  <c r="M44" i="2"/>
  <c r="M9" i="2"/>
  <c r="M81" i="2"/>
  <c r="M6" i="2"/>
  <c r="M71" i="2"/>
  <c r="M78" i="2"/>
  <c r="M85" i="2"/>
  <c r="M64" i="2"/>
  <c r="M13" i="2"/>
  <c r="M4" i="2"/>
  <c r="M48" i="2"/>
  <c r="M55" i="2"/>
  <c r="M82" i="2"/>
  <c r="M73" i="2"/>
  <c r="M50" i="2"/>
  <c r="M68" i="2"/>
  <c r="M91" i="2"/>
  <c r="M29" i="2"/>
  <c r="M33" i="2"/>
  <c r="M46" i="2"/>
  <c r="M97" i="2"/>
  <c r="M39" i="2"/>
  <c r="M69" i="2"/>
  <c r="M96" i="2"/>
  <c r="M31" i="2"/>
  <c r="BE314" i="3"/>
  <c r="V293" i="3"/>
  <c r="BD314" i="3"/>
  <c r="AA62" i="2"/>
  <c r="BE162" i="3"/>
  <c r="BD297" i="3"/>
  <c r="BE39" i="3"/>
  <c r="AA86" i="2"/>
  <c r="V244" i="3"/>
  <c r="V25" i="3"/>
  <c r="BC293" i="3"/>
  <c r="BJ33" i="2"/>
  <c r="BE81" i="3"/>
  <c r="BE269" i="3"/>
  <c r="BD118" i="3"/>
  <c r="BI23" i="2"/>
  <c r="BD25" i="3"/>
  <c r="BD269" i="3"/>
  <c r="BC118" i="3"/>
  <c r="BJ23" i="2"/>
  <c r="BE25" i="3"/>
  <c r="V46" i="3"/>
  <c r="V217" i="3"/>
  <c r="BE101" i="3"/>
  <c r="BC271" i="3"/>
  <c r="BC301" i="3"/>
  <c r="BE302" i="3"/>
  <c r="BC114" i="3"/>
  <c r="BE86" i="3"/>
  <c r="BE155" i="3"/>
  <c r="BH69" i="2"/>
  <c r="BC144" i="3"/>
  <c r="BE334" i="3"/>
  <c r="BE144" i="3"/>
  <c r="BD334" i="3"/>
  <c r="BE337" i="3"/>
  <c r="BD337" i="3"/>
  <c r="V230" i="3"/>
  <c r="BH95" i="2"/>
  <c r="BD230" i="3"/>
  <c r="BC244" i="3"/>
  <c r="BE217" i="3"/>
  <c r="BI66" i="2"/>
  <c r="BE200" i="3"/>
  <c r="BD336" i="3"/>
  <c r="BD200" i="3"/>
  <c r="V165" i="3"/>
  <c r="V167" i="3"/>
  <c r="V330" i="3"/>
  <c r="AA27" i="2"/>
  <c r="V283" i="3"/>
  <c r="V262" i="3"/>
  <c r="V120" i="3"/>
  <c r="AA72" i="2"/>
  <c r="AA80" i="2"/>
  <c r="V214" i="3"/>
  <c r="V313" i="3"/>
  <c r="V212" i="3"/>
  <c r="V257" i="3"/>
  <c r="V251" i="3"/>
  <c r="AA3" i="2"/>
  <c r="V89" i="3"/>
  <c r="AA59" i="2"/>
  <c r="V305" i="3"/>
  <c r="V302" i="3"/>
  <c r="V90" i="3"/>
  <c r="V57" i="3"/>
  <c r="V134" i="3"/>
  <c r="V132" i="3"/>
  <c r="V301" i="3"/>
  <c r="V70" i="3"/>
  <c r="V7" i="3"/>
  <c r="V158" i="3"/>
  <c r="V155" i="3"/>
  <c r="V56" i="3"/>
  <c r="V24" i="3"/>
  <c r="AA10" i="2"/>
  <c r="AA28" i="2"/>
  <c r="V130" i="3"/>
  <c r="V86" i="3"/>
  <c r="V112" i="3"/>
  <c r="V204" i="3"/>
  <c r="AA6" i="2"/>
  <c r="V299" i="3"/>
  <c r="V182" i="3"/>
  <c r="V181" i="3"/>
  <c r="V147" i="3"/>
  <c r="V344" i="3"/>
  <c r="AA35" i="2"/>
  <c r="V80" i="3"/>
  <c r="V350" i="3"/>
  <c r="AA69" i="2"/>
  <c r="V121" i="3"/>
  <c r="V137" i="3"/>
  <c r="V149" i="3"/>
  <c r="AA57" i="2"/>
  <c r="AA64" i="2"/>
  <c r="AG2" i="2"/>
  <c r="AG49" i="2"/>
  <c r="AG83" i="2"/>
  <c r="AG14" i="2"/>
  <c r="AG77" i="2"/>
  <c r="AG59" i="2"/>
  <c r="AG78" i="2"/>
  <c r="AG80" i="2"/>
  <c r="AG89" i="2"/>
  <c r="AG84" i="2"/>
  <c r="AG48" i="2"/>
  <c r="AG16" i="2"/>
  <c r="AG62" i="2"/>
  <c r="AG23" i="2"/>
  <c r="AG35" i="2"/>
  <c r="AG95" i="2"/>
  <c r="AG97" i="2"/>
  <c r="AG37" i="2"/>
  <c r="AG74" i="2"/>
  <c r="AG88" i="2"/>
  <c r="AG33" i="2"/>
  <c r="AG60" i="2"/>
  <c r="AG91" i="2"/>
  <c r="AG68" i="2"/>
  <c r="AG85" i="2"/>
  <c r="AG86" i="2"/>
  <c r="AG101" i="2"/>
  <c r="AG53" i="2"/>
  <c r="AG46" i="2"/>
  <c r="AG47" i="2"/>
  <c r="AG96" i="2"/>
  <c r="AG24" i="2"/>
  <c r="AG17" i="2"/>
  <c r="AG64" i="2"/>
  <c r="AG66" i="2"/>
  <c r="AG57" i="2"/>
  <c r="AG18" i="2"/>
  <c r="AG98" i="2"/>
  <c r="AG50" i="2"/>
  <c r="AG93" i="2"/>
  <c r="AG72" i="2"/>
  <c r="AG70" i="2"/>
  <c r="AG36" i="2"/>
  <c r="AG55" i="2"/>
  <c r="AG54" i="2"/>
  <c r="AG7" i="2"/>
  <c r="AG13" i="2"/>
  <c r="AG51" i="2"/>
  <c r="AG8" i="2"/>
  <c r="AG28" i="2"/>
  <c r="AG76" i="2"/>
  <c r="AG20" i="2"/>
  <c r="AG21" i="2"/>
  <c r="AG94" i="2"/>
  <c r="AG81" i="2"/>
  <c r="AG38" i="2"/>
  <c r="AG12" i="2"/>
  <c r="AG26" i="2"/>
  <c r="AG5" i="2"/>
  <c r="AG27" i="2"/>
  <c r="AG25" i="2"/>
  <c r="AG52" i="2"/>
  <c r="AG41" i="2"/>
  <c r="AG22" i="2"/>
  <c r="AG43" i="2"/>
  <c r="AG40" i="2"/>
  <c r="AG44" i="2"/>
  <c r="AG6" i="2"/>
  <c r="AG61" i="2"/>
  <c r="AG39" i="2"/>
  <c r="AG90" i="2"/>
  <c r="AG42" i="2"/>
  <c r="AG3" i="2"/>
  <c r="AG75" i="2"/>
  <c r="AG100" i="2"/>
  <c r="AG15" i="2"/>
  <c r="AG71" i="2"/>
  <c r="AG56" i="2"/>
  <c r="AG30" i="2"/>
  <c r="AG31" i="2"/>
  <c r="AG58" i="2"/>
  <c r="AG10" i="2"/>
  <c r="AG19" i="2"/>
  <c r="AG92" i="2"/>
  <c r="AG4" i="2"/>
  <c r="AG67" i="2"/>
  <c r="AG79" i="2"/>
  <c r="AG11" i="2"/>
  <c r="AG99" i="2"/>
  <c r="AG73" i="2"/>
  <c r="AG69" i="2"/>
  <c r="AG82" i="2"/>
  <c r="AG63" i="2"/>
  <c r="AG65" i="2"/>
  <c r="AG9" i="2"/>
  <c r="AG87" i="2"/>
  <c r="AG45" i="2"/>
  <c r="AG29" i="2"/>
  <c r="AG32" i="2"/>
  <c r="AG34" i="2"/>
  <c r="Z2" i="4"/>
  <c r="AB2" i="4" s="1"/>
  <c r="AB275" i="3"/>
  <c r="AB119" i="3"/>
  <c r="AB94" i="3"/>
  <c r="AB309" i="3"/>
  <c r="AB143" i="3"/>
  <c r="AB248" i="3"/>
  <c r="AB342" i="3"/>
  <c r="AB56" i="3"/>
  <c r="AB36" i="3"/>
  <c r="AB159" i="3"/>
  <c r="AB49" i="3"/>
  <c r="AB302" i="3"/>
  <c r="AB229" i="3"/>
  <c r="AB329" i="3"/>
  <c r="AB90" i="3"/>
  <c r="AB58" i="3"/>
  <c r="AB195" i="3"/>
  <c r="AB52" i="3"/>
  <c r="AB228" i="3"/>
  <c r="AB158" i="3"/>
  <c r="AB45" i="3"/>
  <c r="AB202" i="3"/>
  <c r="AB15" i="3"/>
  <c r="AB54" i="3"/>
  <c r="AB173" i="3"/>
  <c r="AB47" i="3"/>
  <c r="AB330" i="3"/>
  <c r="AB290" i="3"/>
  <c r="AB12" i="3"/>
  <c r="AB149" i="3"/>
  <c r="AB7" i="3"/>
  <c r="AB40" i="3"/>
  <c r="AB92" i="3"/>
  <c r="AB227" i="3"/>
  <c r="AB142" i="3"/>
  <c r="AB176" i="3"/>
  <c r="AB85" i="3"/>
  <c r="AB198" i="3"/>
  <c r="AB262" i="3"/>
  <c r="AB44" i="3"/>
  <c r="AB210" i="3"/>
  <c r="AB42" i="3"/>
  <c r="AB346" i="3"/>
  <c r="AB122" i="3"/>
  <c r="AB146" i="3"/>
  <c r="AB310" i="3"/>
  <c r="AB89" i="3"/>
  <c r="AB215" i="3"/>
  <c r="AB193" i="3"/>
  <c r="AB214" i="3"/>
  <c r="AB269" i="3"/>
  <c r="AB324" i="3"/>
  <c r="AB104" i="3"/>
  <c r="AB150" i="3"/>
  <c r="AB147" i="3"/>
  <c r="AB71" i="3"/>
  <c r="AB66" i="3"/>
  <c r="AB140" i="3"/>
  <c r="AB313" i="3"/>
  <c r="AB121" i="3"/>
  <c r="AB296" i="3"/>
  <c r="AB298" i="3"/>
  <c r="AB316" i="3"/>
  <c r="AB341" i="3"/>
  <c r="AB108" i="3"/>
  <c r="AB266" i="3"/>
  <c r="AB294" i="3"/>
  <c r="AB95" i="3"/>
  <c r="AB277" i="3"/>
  <c r="AB289" i="3"/>
  <c r="AB24" i="3"/>
  <c r="AB253" i="3"/>
  <c r="AB244" i="3"/>
  <c r="AB197" i="3"/>
  <c r="AB339" i="3"/>
  <c r="AB31" i="3"/>
  <c r="AB326" i="3"/>
  <c r="AB182" i="3"/>
  <c r="AB21" i="3"/>
  <c r="AB245" i="3"/>
  <c r="AB28" i="3"/>
  <c r="AB187" i="3"/>
  <c r="AB141" i="3"/>
  <c r="AB165" i="3"/>
  <c r="AB153" i="3"/>
  <c r="AB23" i="3"/>
  <c r="AB292" i="3"/>
  <c r="AB344" i="3"/>
  <c r="AB224" i="3"/>
  <c r="AB4" i="3"/>
  <c r="AB144" i="3"/>
  <c r="AB57" i="3"/>
  <c r="AB170" i="3"/>
  <c r="AB77" i="3"/>
  <c r="AB161" i="3"/>
  <c r="AB312" i="3"/>
  <c r="AB265" i="3"/>
  <c r="AB317" i="3"/>
  <c r="AB97" i="3"/>
  <c r="AB299" i="3"/>
  <c r="AB295" i="3"/>
  <c r="AB199" i="3"/>
  <c r="AB16" i="3"/>
  <c r="AB133" i="3"/>
  <c r="AB223" i="3"/>
  <c r="AB242" i="3"/>
  <c r="AB29" i="3"/>
  <c r="AB5" i="3"/>
  <c r="AB138" i="3"/>
  <c r="AB222" i="3"/>
  <c r="AB79" i="3"/>
  <c r="AB13" i="3"/>
  <c r="AB124" i="3"/>
  <c r="AB115" i="3"/>
  <c r="AB220" i="3"/>
  <c r="AB282" i="3"/>
  <c r="AB171" i="3"/>
  <c r="AB260" i="3"/>
  <c r="AB321" i="3"/>
  <c r="AB41" i="3"/>
  <c r="AB236" i="3"/>
  <c r="AB110" i="3"/>
  <c r="AB87" i="3"/>
  <c r="AB148" i="3"/>
  <c r="AB68" i="3"/>
  <c r="AB258" i="3"/>
  <c r="AB200" i="3"/>
  <c r="AB250" i="3"/>
  <c r="AB308" i="3"/>
  <c r="AB160" i="3"/>
  <c r="AB323" i="3"/>
  <c r="AB163" i="3"/>
  <c r="AB48" i="3"/>
  <c r="AB169" i="3"/>
  <c r="AB37" i="3"/>
  <c r="AB112" i="3"/>
  <c r="AB183" i="3"/>
  <c r="AB14" i="3"/>
  <c r="AB232" i="3"/>
  <c r="AB127" i="3"/>
  <c r="AB288" i="3"/>
  <c r="AB201" i="3"/>
  <c r="AB271" i="3"/>
  <c r="AB337" i="3"/>
  <c r="AB306" i="3"/>
  <c r="AB186" i="3"/>
  <c r="AB343" i="3"/>
  <c r="AB162" i="3"/>
  <c r="AB251" i="3"/>
  <c r="AB249" i="3"/>
  <c r="AB307" i="3"/>
  <c r="AB139" i="3"/>
  <c r="AB84" i="3"/>
  <c r="AB60" i="3"/>
  <c r="AB38" i="3"/>
  <c r="AB348" i="3"/>
  <c r="AB318" i="3"/>
  <c r="AB196" i="3"/>
  <c r="AB106" i="3"/>
  <c r="AB226" i="3"/>
  <c r="AB272" i="3"/>
  <c r="AB103" i="3"/>
  <c r="AB175" i="3"/>
  <c r="AB69" i="3"/>
  <c r="AB233" i="3"/>
  <c r="AB11" i="3"/>
  <c r="AB109" i="3"/>
  <c r="AB151" i="3"/>
  <c r="AB301" i="3"/>
  <c r="AB63" i="3"/>
  <c r="AB61" i="3"/>
  <c r="AB73" i="3"/>
  <c r="AB209" i="3"/>
  <c r="AB212" i="3"/>
  <c r="AB225" i="3"/>
  <c r="AB123" i="3"/>
  <c r="AB166" i="3"/>
  <c r="AB283" i="3"/>
  <c r="AB51" i="3"/>
  <c r="AB174" i="3"/>
  <c r="AB102" i="3"/>
  <c r="AB336" i="3"/>
  <c r="AB75" i="3"/>
  <c r="AB114" i="3"/>
  <c r="AB39" i="3"/>
  <c r="AB304" i="3"/>
  <c r="AB113" i="3"/>
  <c r="AB246" i="3"/>
  <c r="AB120" i="3"/>
  <c r="AB125" i="3"/>
  <c r="AB217" i="3"/>
  <c r="AB74" i="3"/>
  <c r="AB8" i="3"/>
  <c r="AB188" i="3"/>
  <c r="AB157" i="3"/>
  <c r="AB291" i="3"/>
  <c r="AB179" i="3"/>
  <c r="AB180" i="3"/>
  <c r="AB203" i="3"/>
  <c r="AB172" i="3"/>
  <c r="AB264" i="3"/>
  <c r="AB221" i="3"/>
  <c r="AB279" i="3"/>
  <c r="AB35" i="3"/>
  <c r="AB126" i="3"/>
  <c r="AB131" i="3"/>
  <c r="AB117" i="3"/>
  <c r="AB322" i="3"/>
  <c r="AB111" i="3"/>
  <c r="AB156" i="3"/>
  <c r="AB164" i="3"/>
  <c r="AB349" i="3"/>
  <c r="AB263" i="3"/>
  <c r="AB314" i="3"/>
  <c r="AB118" i="3"/>
  <c r="AB105" i="3"/>
  <c r="AB325" i="3"/>
  <c r="AB351" i="3"/>
  <c r="AB284" i="3"/>
  <c r="AB320" i="3"/>
  <c r="AB93" i="3"/>
  <c r="AB80" i="3"/>
  <c r="AB99" i="3"/>
  <c r="AB207" i="3"/>
  <c r="AB205" i="3"/>
  <c r="AB331" i="3"/>
  <c r="AB82" i="3"/>
  <c r="AB33" i="3"/>
  <c r="AB238" i="3"/>
  <c r="AB256" i="3"/>
  <c r="AB206" i="3"/>
  <c r="AB25" i="3"/>
  <c r="AB240" i="3"/>
  <c r="AB285" i="3"/>
  <c r="AB287" i="3"/>
  <c r="AB297" i="3"/>
  <c r="AB319" i="3"/>
  <c r="AB86" i="3"/>
  <c r="AB255" i="3"/>
  <c r="AB26" i="3"/>
  <c r="AB30" i="3"/>
  <c r="AB101" i="3"/>
  <c r="AB208" i="3"/>
  <c r="AB300" i="3"/>
  <c r="AB239" i="3"/>
  <c r="AB237" i="3"/>
  <c r="AB293" i="3"/>
  <c r="AB98" i="3"/>
  <c r="AB267" i="3"/>
  <c r="AB305" i="3"/>
  <c r="AB72" i="3"/>
  <c r="AB353" i="3"/>
  <c r="AB132" i="3"/>
  <c r="AB219" i="3"/>
  <c r="AB91" i="3"/>
  <c r="AB55" i="3"/>
  <c r="AB286" i="3"/>
  <c r="AB234" i="3"/>
  <c r="AB64" i="3"/>
  <c r="AB178" i="3"/>
  <c r="AB18" i="3"/>
  <c r="AB257" i="3"/>
  <c r="AB154" i="3"/>
  <c r="AB3" i="3"/>
  <c r="AB152" i="3"/>
  <c r="AB216" i="3"/>
  <c r="AB59" i="3"/>
  <c r="AB70" i="3"/>
  <c r="AB116" i="3"/>
  <c r="AB231" i="3"/>
  <c r="AB22" i="3"/>
  <c r="AB136" i="3"/>
  <c r="AB333" i="3"/>
  <c r="AB268" i="3"/>
  <c r="AB67" i="3"/>
  <c r="AB100" i="3"/>
  <c r="AB46" i="3"/>
  <c r="AB50" i="3"/>
  <c r="AB218" i="3"/>
  <c r="AB280" i="3"/>
  <c r="AB19" i="3"/>
  <c r="AB43" i="3"/>
  <c r="AB332" i="3"/>
  <c r="AB191" i="3"/>
  <c r="AB185" i="3"/>
  <c r="AB192" i="3"/>
  <c r="AB135" i="3"/>
  <c r="AB34" i="3"/>
  <c r="AB259" i="3"/>
  <c r="AB194" i="3"/>
  <c r="AB273" i="3"/>
  <c r="AB134" i="3"/>
  <c r="AB338" i="3"/>
  <c r="AB204" i="3"/>
  <c r="AB9" i="3"/>
  <c r="AB32" i="3"/>
  <c r="AB65" i="3"/>
  <c r="AB281" i="3"/>
  <c r="AB189" i="3"/>
  <c r="AB270" i="3"/>
  <c r="AB213" i="3"/>
  <c r="AB315" i="3"/>
  <c r="AB254" i="3"/>
  <c r="AB311" i="3"/>
  <c r="AB352" i="3"/>
  <c r="AB167" i="3"/>
  <c r="AB274" i="3"/>
  <c r="AB252" i="3"/>
  <c r="AB340" i="3"/>
  <c r="AB78" i="3"/>
  <c r="AB334" i="3"/>
  <c r="AB177" i="3"/>
  <c r="AB241" i="3"/>
  <c r="AB76" i="3"/>
  <c r="AB155" i="3"/>
  <c r="AB181" i="3"/>
  <c r="AB190" i="3"/>
  <c r="AB96" i="3"/>
  <c r="AB107" i="3"/>
  <c r="AB62" i="3"/>
  <c r="AB230" i="3"/>
  <c r="AB350" i="3"/>
  <c r="AB328" i="3"/>
  <c r="AB27" i="3"/>
  <c r="AB335" i="3"/>
  <c r="AB83" i="3"/>
  <c r="AB130" i="3"/>
  <c r="AB128" i="3"/>
  <c r="AB53" i="3"/>
  <c r="AB278" i="3"/>
  <c r="AB20" i="3"/>
  <c r="AB88" i="3"/>
  <c r="AB276" i="3"/>
  <c r="AB211" i="3"/>
  <c r="AB2" i="3"/>
  <c r="AB81" i="3"/>
  <c r="AB235" i="3"/>
  <c r="AB129" i="3"/>
  <c r="AB17" i="3"/>
  <c r="AB184" i="3"/>
  <c r="AB10" i="3"/>
  <c r="AB347" i="3"/>
  <c r="AB247" i="3"/>
  <c r="AB261" i="3"/>
  <c r="AB137" i="3"/>
  <c r="AB303" i="3"/>
  <c r="AB243" i="3"/>
  <c r="AB168" i="3"/>
  <c r="AB345" i="3"/>
  <c r="AB6" i="3"/>
  <c r="AB327" i="3"/>
  <c r="AP2" i="2"/>
  <c r="AP84" i="2"/>
  <c r="AP8" i="2"/>
  <c r="AP15" i="2"/>
  <c r="AP34" i="2"/>
  <c r="AP81" i="2"/>
  <c r="AP30" i="2"/>
  <c r="AP88" i="2"/>
  <c r="AP40" i="2"/>
  <c r="AP23" i="2"/>
  <c r="AP36" i="2"/>
  <c r="AP38" i="2"/>
  <c r="AP59" i="2"/>
  <c r="AP85" i="2"/>
  <c r="AP57" i="2"/>
  <c r="AP90" i="2"/>
  <c r="AP9" i="2"/>
  <c r="AP60" i="2"/>
  <c r="AP18" i="2"/>
  <c r="AP10" i="2"/>
  <c r="AP83" i="2"/>
  <c r="AP33" i="2"/>
  <c r="AP13" i="2"/>
  <c r="AP61" i="2"/>
  <c r="AP78" i="2"/>
  <c r="AP32" i="2"/>
  <c r="AP14" i="2"/>
  <c r="AP45" i="2"/>
  <c r="AP16" i="2"/>
  <c r="AP73" i="2"/>
  <c r="AP91" i="2"/>
  <c r="AP22" i="2"/>
  <c r="AP20" i="2"/>
  <c r="AP87" i="2"/>
  <c r="AP56" i="2"/>
  <c r="AP52" i="2"/>
  <c r="AP3" i="2"/>
  <c r="AP35" i="2"/>
  <c r="AP12" i="2"/>
  <c r="AP69" i="2"/>
  <c r="AP17" i="2"/>
  <c r="AP49" i="2"/>
  <c r="AP101" i="2"/>
  <c r="AP97" i="2"/>
  <c r="AP54" i="2"/>
  <c r="AP72" i="2"/>
  <c r="AP19" i="2"/>
  <c r="AP79" i="2"/>
  <c r="AP28" i="2"/>
  <c r="AP7" i="2"/>
  <c r="AP27" i="2"/>
  <c r="AP46" i="2"/>
  <c r="AP68" i="2"/>
  <c r="AP51" i="2"/>
  <c r="AP4" i="2"/>
  <c r="AP55" i="2"/>
  <c r="AP99" i="2"/>
  <c r="AP65" i="2"/>
  <c r="AP100" i="2"/>
  <c r="AP39" i="2"/>
  <c r="AP53" i="2"/>
  <c r="AP48" i="2"/>
  <c r="AP94" i="2"/>
  <c r="AP89" i="2"/>
  <c r="AP29" i="2"/>
  <c r="AP31" i="2"/>
  <c r="AP50" i="2"/>
  <c r="AP6" i="2"/>
  <c r="AP58" i="2"/>
  <c r="AP96" i="2"/>
  <c r="AP93" i="2"/>
  <c r="AP26" i="2"/>
  <c r="AP98" i="2"/>
  <c r="AP82" i="2"/>
  <c r="AP67" i="2"/>
  <c r="AP80" i="2"/>
  <c r="AP44" i="2"/>
  <c r="AP43" i="2"/>
  <c r="AP76" i="2"/>
  <c r="AP25" i="2"/>
  <c r="AP64" i="2"/>
  <c r="AP21" i="2"/>
  <c r="AP37" i="2"/>
  <c r="AP62" i="2"/>
  <c r="AP47" i="2"/>
  <c r="AP42" i="2"/>
  <c r="AP92" i="2"/>
  <c r="AP5" i="2"/>
  <c r="AP70" i="2"/>
  <c r="AP75" i="2"/>
  <c r="AP41" i="2"/>
  <c r="AP71" i="2"/>
  <c r="AP63" i="2"/>
  <c r="AP11" i="2"/>
  <c r="AP74" i="2"/>
  <c r="AP95" i="2"/>
  <c r="AP24" i="2"/>
  <c r="AP66" i="2"/>
  <c r="AP77" i="2"/>
  <c r="AP86" i="2"/>
  <c r="AI2" i="4"/>
  <c r="AK2" i="4" s="1"/>
  <c r="AK29" i="3"/>
  <c r="AK72" i="3"/>
  <c r="AK223" i="3"/>
  <c r="AK334" i="3"/>
  <c r="AK192" i="3"/>
  <c r="AK204" i="3"/>
  <c r="AK243" i="3"/>
  <c r="AK39" i="3"/>
  <c r="AK335" i="3"/>
  <c r="AK224" i="3"/>
  <c r="AK324" i="3"/>
  <c r="AK327" i="3"/>
  <c r="AK38" i="3"/>
  <c r="AK169" i="3"/>
  <c r="AK18" i="3"/>
  <c r="AK284" i="3"/>
  <c r="AK94" i="3"/>
  <c r="AK17" i="3"/>
  <c r="AK174" i="3"/>
  <c r="AK292" i="3"/>
  <c r="AK107" i="3"/>
  <c r="AK262" i="3"/>
  <c r="AK281" i="3"/>
  <c r="AK286" i="3"/>
  <c r="AK310" i="3"/>
  <c r="AK314" i="3"/>
  <c r="AK51" i="3"/>
  <c r="AK59" i="3"/>
  <c r="AK123" i="3"/>
  <c r="AK288" i="3"/>
  <c r="AK306" i="3"/>
  <c r="AK24" i="3"/>
  <c r="AK61" i="3"/>
  <c r="AK349" i="3"/>
  <c r="AK199" i="3"/>
  <c r="AK206" i="3"/>
  <c r="AK19" i="3"/>
  <c r="AK301" i="3"/>
  <c r="AK109" i="3"/>
  <c r="AK137" i="3"/>
  <c r="AK240" i="3"/>
  <c r="AK293" i="3"/>
  <c r="AK235" i="3"/>
  <c r="AK259" i="3"/>
  <c r="AK332" i="3"/>
  <c r="AK208" i="3"/>
  <c r="AK42" i="3"/>
  <c r="AK290" i="3"/>
  <c r="AK283" i="3"/>
  <c r="AK73" i="3"/>
  <c r="AK153" i="3"/>
  <c r="AK340" i="3"/>
  <c r="AK102" i="3"/>
  <c r="AK347" i="3"/>
  <c r="AK43" i="3"/>
  <c r="AK168" i="3"/>
  <c r="AK297" i="3"/>
  <c r="AK184" i="3"/>
  <c r="AK341" i="3"/>
  <c r="AK62" i="3"/>
  <c r="AK58" i="3"/>
  <c r="AK180" i="3"/>
  <c r="AK229" i="3"/>
  <c r="AK316" i="3"/>
  <c r="AK139" i="3"/>
  <c r="AK231" i="3"/>
  <c r="AK64" i="3"/>
  <c r="AK52" i="3"/>
  <c r="AK113" i="3"/>
  <c r="AK348" i="3"/>
  <c r="AK152" i="3"/>
  <c r="AK171" i="3"/>
  <c r="AK304" i="3"/>
  <c r="AK148" i="3"/>
  <c r="AK34" i="3"/>
  <c r="AK289" i="3"/>
  <c r="AK257" i="3"/>
  <c r="AK296" i="3"/>
  <c r="AK15" i="3"/>
  <c r="AK248" i="3"/>
  <c r="AK220" i="3"/>
  <c r="AK302" i="3"/>
  <c r="AK100" i="3"/>
  <c r="AK20" i="3"/>
  <c r="AK300" i="3"/>
  <c r="AK56" i="3"/>
  <c r="AK81" i="3"/>
  <c r="AK221" i="3"/>
  <c r="AK273" i="3"/>
  <c r="AK200" i="3"/>
  <c r="AK65" i="3"/>
  <c r="AK350" i="3"/>
  <c r="AK305" i="3"/>
  <c r="AK11" i="3"/>
  <c r="AK195" i="3"/>
  <c r="AK77" i="3"/>
  <c r="AK267" i="3"/>
  <c r="AK26" i="3"/>
  <c r="AK345" i="3"/>
  <c r="AK326" i="3"/>
  <c r="AK236" i="3"/>
  <c r="AK2" i="3"/>
  <c r="AK242" i="3"/>
  <c r="AK189" i="3"/>
  <c r="AK111" i="3"/>
  <c r="AK181" i="3"/>
  <c r="AK216" i="3"/>
  <c r="AK210" i="3"/>
  <c r="AK276" i="3"/>
  <c r="AK101" i="3"/>
  <c r="AK159" i="3"/>
  <c r="AK241" i="3"/>
  <c r="AK115" i="3"/>
  <c r="AK5" i="3"/>
  <c r="AK90" i="3"/>
  <c r="AK12" i="3"/>
  <c r="AK295" i="3"/>
  <c r="AK71" i="3"/>
  <c r="AK7" i="3"/>
  <c r="AK329" i="3"/>
  <c r="AK225" i="3"/>
  <c r="AK156" i="3"/>
  <c r="AK311" i="3"/>
  <c r="AK173" i="3"/>
  <c r="AK352" i="3"/>
  <c r="AK318" i="3"/>
  <c r="AK53" i="3"/>
  <c r="AK268" i="3"/>
  <c r="AK22" i="3"/>
  <c r="AK28" i="3"/>
  <c r="AK75" i="3"/>
  <c r="AK308" i="3"/>
  <c r="AK198" i="3"/>
  <c r="AK117" i="3"/>
  <c r="AK279" i="3"/>
  <c r="AK294" i="3"/>
  <c r="AK151" i="3"/>
  <c r="AK307" i="3"/>
  <c r="AK253" i="3"/>
  <c r="AK134" i="3"/>
  <c r="AK4" i="3"/>
  <c r="AK98" i="3"/>
  <c r="AK272" i="3"/>
  <c r="AK66" i="3"/>
  <c r="AK250" i="3"/>
  <c r="AK299" i="3"/>
  <c r="AK6" i="3"/>
  <c r="AK247" i="3"/>
  <c r="AK48" i="3"/>
  <c r="AK346" i="3"/>
  <c r="AK193" i="3"/>
  <c r="AK103" i="3"/>
  <c r="AK163" i="3"/>
  <c r="AK271" i="3"/>
  <c r="AK79" i="3"/>
  <c r="AK40" i="3"/>
  <c r="AK320" i="3"/>
  <c r="AK82" i="3"/>
  <c r="AK254" i="3"/>
  <c r="AK147" i="3"/>
  <c r="AK333" i="3"/>
  <c r="AK69" i="3"/>
  <c r="AK201" i="3"/>
  <c r="AK126" i="3"/>
  <c r="AK124" i="3"/>
  <c r="AK132" i="3"/>
  <c r="AK128" i="3"/>
  <c r="AK319" i="3"/>
  <c r="AK142" i="3"/>
  <c r="AK133" i="3"/>
  <c r="AK252" i="3"/>
  <c r="AK32" i="3"/>
  <c r="AK112" i="3"/>
  <c r="AK91" i="3"/>
  <c r="AK54" i="3"/>
  <c r="AK44" i="3"/>
  <c r="AK255" i="3"/>
  <c r="AK246" i="3"/>
  <c r="AK202" i="3"/>
  <c r="AK121" i="3"/>
  <c r="AK70" i="3"/>
  <c r="AK143" i="3"/>
  <c r="AK338" i="3"/>
  <c r="AK317" i="3"/>
  <c r="AK144" i="3"/>
  <c r="AK165" i="3"/>
  <c r="AK140" i="3"/>
  <c r="AK85" i="3"/>
  <c r="AK191" i="3"/>
  <c r="AK196" i="3"/>
  <c r="AK213" i="3"/>
  <c r="AK251" i="3"/>
  <c r="AK95" i="3"/>
  <c r="AK256" i="3"/>
  <c r="AK183" i="3"/>
  <c r="AK106" i="3"/>
  <c r="AK149" i="3"/>
  <c r="AK187" i="3"/>
  <c r="AK118" i="3"/>
  <c r="AK105" i="3"/>
  <c r="AK116" i="3"/>
  <c r="AK33" i="3"/>
  <c r="AK342" i="3"/>
  <c r="AK129" i="3"/>
  <c r="AK13" i="3"/>
  <c r="AK291" i="3"/>
  <c r="AK309" i="3"/>
  <c r="AK88" i="3"/>
  <c r="AK146" i="3"/>
  <c r="AK49" i="3"/>
  <c r="AK131" i="3"/>
  <c r="AK179" i="3"/>
  <c r="AK282" i="3"/>
  <c r="AK84" i="3"/>
  <c r="AK97" i="3"/>
  <c r="AK78" i="3"/>
  <c r="AK30" i="3"/>
  <c r="AK260" i="3"/>
  <c r="AK258" i="3"/>
  <c r="AK209" i="3"/>
  <c r="AK150" i="3"/>
  <c r="AK110" i="3"/>
  <c r="AK190" i="3"/>
  <c r="AK87" i="3"/>
  <c r="AK265" i="3"/>
  <c r="AK36" i="3"/>
  <c r="AK21" i="3"/>
  <c r="AK37" i="3"/>
  <c r="AK167" i="3"/>
  <c r="AK263" i="3"/>
  <c r="AK215" i="3"/>
  <c r="AK67" i="3"/>
  <c r="AK104" i="3"/>
  <c r="AK35" i="3"/>
  <c r="AK178" i="3"/>
  <c r="AK175" i="3"/>
  <c r="AK245" i="3"/>
  <c r="AK227" i="3"/>
  <c r="AK237" i="3"/>
  <c r="AK164" i="3"/>
  <c r="AK321" i="3"/>
  <c r="AK343" i="3"/>
  <c r="AK136" i="3"/>
  <c r="AK353" i="3"/>
  <c r="AK238" i="3"/>
  <c r="AK161" i="3"/>
  <c r="AK303" i="3"/>
  <c r="AK194" i="3"/>
  <c r="AK277" i="3"/>
  <c r="AK322" i="3"/>
  <c r="AK93" i="3"/>
  <c r="AK339" i="3"/>
  <c r="AK120" i="3"/>
  <c r="AK328" i="3"/>
  <c r="AK10" i="3"/>
  <c r="AK96" i="3"/>
  <c r="AK50" i="3"/>
  <c r="AK278" i="3"/>
  <c r="AK114" i="3"/>
  <c r="AK177" i="3"/>
  <c r="AK16" i="3"/>
  <c r="AK8" i="3"/>
  <c r="AK155" i="3"/>
  <c r="AK312" i="3"/>
  <c r="AK234" i="3"/>
  <c r="AK176" i="3"/>
  <c r="AK269" i="3"/>
  <c r="AK23" i="3"/>
  <c r="AK185" i="3"/>
  <c r="AK119" i="3"/>
  <c r="AK228" i="3"/>
  <c r="AK138" i="3"/>
  <c r="AK92" i="3"/>
  <c r="AK344" i="3"/>
  <c r="AK313" i="3"/>
  <c r="AK14" i="3"/>
  <c r="AK46" i="3"/>
  <c r="AK270" i="3"/>
  <c r="AK135" i="3"/>
  <c r="AK239" i="3"/>
  <c r="AK323" i="3"/>
  <c r="AK203" i="3"/>
  <c r="AK130" i="3"/>
  <c r="AK162" i="3"/>
  <c r="AK249" i="3"/>
  <c r="AK89" i="3"/>
  <c r="AK214" i="3"/>
  <c r="AK166" i="3"/>
  <c r="AK9" i="3"/>
  <c r="AK218" i="3"/>
  <c r="AK212" i="3"/>
  <c r="AK3" i="3"/>
  <c r="AK60" i="3"/>
  <c r="AK351" i="3"/>
  <c r="AK172" i="3"/>
  <c r="AK122" i="3"/>
  <c r="AK154" i="3"/>
  <c r="AK186" i="3"/>
  <c r="AK99" i="3"/>
  <c r="AK207" i="3"/>
  <c r="AK230" i="3"/>
  <c r="AK157" i="3"/>
  <c r="AK315" i="3"/>
  <c r="AK80" i="3"/>
  <c r="AK330" i="3"/>
  <c r="AK264" i="3"/>
  <c r="AK68" i="3"/>
  <c r="AK108" i="3"/>
  <c r="AK285" i="3"/>
  <c r="AK275" i="3"/>
  <c r="AK127" i="3"/>
  <c r="AK337" i="3"/>
  <c r="AK197" i="3"/>
  <c r="AK188" i="3"/>
  <c r="AK41" i="3"/>
  <c r="AK74" i="3"/>
  <c r="AK336" i="3"/>
  <c r="AK25" i="3"/>
  <c r="AK182" i="3"/>
  <c r="AK219" i="3"/>
  <c r="AK55" i="3"/>
  <c r="AK31" i="3"/>
  <c r="AK125" i="3"/>
  <c r="AK331" i="3"/>
  <c r="AK27" i="3"/>
  <c r="AK141" i="3"/>
  <c r="AK76" i="3"/>
  <c r="AK261" i="3"/>
  <c r="AK45" i="3"/>
  <c r="AK57" i="3"/>
  <c r="AK211" i="3"/>
  <c r="AK47" i="3"/>
  <c r="AK226" i="3"/>
  <c r="AK280" i="3"/>
  <c r="AK274" i="3"/>
  <c r="AK325" i="3"/>
  <c r="AK298" i="3"/>
  <c r="AK217" i="3"/>
  <c r="AK170" i="3"/>
  <c r="AK244" i="3"/>
  <c r="AK205" i="3"/>
  <c r="AK86" i="3"/>
  <c r="AK233" i="3"/>
  <c r="AK287" i="3"/>
  <c r="AK63" i="3"/>
  <c r="AK160" i="3"/>
  <c r="AK83" i="3"/>
  <c r="AK158" i="3"/>
  <c r="AK266" i="3"/>
  <c r="AK232" i="3"/>
  <c r="AK222" i="3"/>
  <c r="P262" i="3"/>
  <c r="P213" i="3"/>
  <c r="P230" i="3"/>
  <c r="P204" i="3"/>
  <c r="P147" i="3"/>
  <c r="P289" i="3"/>
  <c r="P94" i="3"/>
  <c r="P75" i="3"/>
  <c r="P165" i="3"/>
  <c r="P343" i="3"/>
  <c r="P346" i="3"/>
  <c r="P280" i="3"/>
  <c r="P78" i="3"/>
  <c r="P260" i="3"/>
  <c r="P180" i="3"/>
  <c r="P9" i="3"/>
  <c r="P286" i="3"/>
  <c r="P99" i="3"/>
  <c r="P120" i="3"/>
  <c r="P73" i="3"/>
  <c r="P14" i="3"/>
  <c r="P36" i="3"/>
  <c r="P281" i="3"/>
  <c r="P129" i="3"/>
  <c r="P188" i="3"/>
  <c r="P136" i="3"/>
  <c r="P350" i="3"/>
  <c r="P152" i="3"/>
  <c r="P348" i="3"/>
  <c r="P174" i="3"/>
  <c r="P250" i="3"/>
  <c r="P19" i="3"/>
  <c r="P305" i="3"/>
  <c r="P268" i="3"/>
  <c r="P20" i="3"/>
  <c r="P24" i="3"/>
  <c r="P322" i="3"/>
  <c r="P133" i="3"/>
  <c r="P347" i="3"/>
  <c r="P242" i="3"/>
  <c r="P86" i="3"/>
  <c r="P125" i="3"/>
  <c r="P149" i="3"/>
  <c r="P202" i="3"/>
  <c r="P278" i="3"/>
  <c r="P26" i="3"/>
  <c r="P32" i="3"/>
  <c r="P323" i="3"/>
  <c r="P93" i="3"/>
  <c r="P241" i="3"/>
  <c r="P283" i="3"/>
  <c r="P191" i="3"/>
  <c r="P46" i="3"/>
  <c r="P247" i="3"/>
  <c r="P126" i="3"/>
  <c r="P150" i="3"/>
  <c r="P72" i="3"/>
  <c r="P157" i="3"/>
  <c r="P80" i="3"/>
  <c r="P238" i="3"/>
  <c r="P119" i="3"/>
  <c r="P349" i="3"/>
  <c r="P121" i="3"/>
  <c r="P64" i="3"/>
  <c r="P224" i="3"/>
  <c r="P162" i="3"/>
  <c r="P344" i="3"/>
  <c r="P193" i="3"/>
  <c r="P225" i="3"/>
  <c r="P29" i="3"/>
  <c r="P320" i="3"/>
  <c r="P294" i="3"/>
  <c r="P290" i="3"/>
  <c r="P205" i="3"/>
  <c r="P161" i="3"/>
  <c r="P338" i="3"/>
  <c r="P132" i="3"/>
  <c r="P284" i="3"/>
  <c r="P340" i="3"/>
  <c r="P33" i="3"/>
  <c r="P107" i="3"/>
  <c r="P352" i="3"/>
  <c r="P274" i="3"/>
  <c r="P118" i="3"/>
  <c r="P51" i="3"/>
  <c r="P232" i="3"/>
  <c r="P6" i="3"/>
  <c r="P92" i="3"/>
  <c r="P337" i="3"/>
  <c r="P34" i="3"/>
  <c r="P128" i="3"/>
  <c r="P45" i="3"/>
  <c r="P183" i="3"/>
  <c r="P31" i="3"/>
  <c r="P171" i="3"/>
  <c r="P4" i="3"/>
  <c r="P199" i="3"/>
  <c r="P123" i="3"/>
  <c r="P246" i="3"/>
  <c r="P89" i="3"/>
  <c r="P243" i="3"/>
  <c r="P5" i="3"/>
  <c r="P317" i="3"/>
  <c r="P251" i="3"/>
  <c r="P74" i="3"/>
  <c r="P61" i="3"/>
  <c r="P308" i="3"/>
  <c r="P303" i="3"/>
  <c r="P15" i="3"/>
  <c r="P292" i="3"/>
  <c r="P179" i="3"/>
  <c r="P316" i="3"/>
  <c r="P185" i="3"/>
  <c r="P176" i="3"/>
  <c r="P38" i="3"/>
  <c r="P282" i="3"/>
  <c r="P52" i="3"/>
  <c r="P258" i="3"/>
  <c r="P153" i="3"/>
  <c r="P263" i="3"/>
  <c r="P105" i="3"/>
  <c r="P235" i="3"/>
  <c r="P166" i="3"/>
  <c r="P203" i="3"/>
  <c r="P218" i="3"/>
  <c r="P244" i="3"/>
  <c r="P269" i="3"/>
  <c r="P108" i="3"/>
  <c r="P112" i="3"/>
  <c r="P309" i="3"/>
  <c r="P55" i="3"/>
  <c r="P187" i="3"/>
  <c r="P221" i="3"/>
  <c r="P12" i="3"/>
  <c r="P69" i="3"/>
  <c r="P248" i="3"/>
  <c r="P253" i="3"/>
  <c r="P275" i="3"/>
  <c r="P255" i="3"/>
  <c r="P87" i="3"/>
  <c r="P287" i="3"/>
  <c r="P307" i="3"/>
  <c r="P44" i="3"/>
  <c r="P91" i="3"/>
  <c r="P300" i="3"/>
  <c r="P23" i="3"/>
  <c r="P101" i="3"/>
  <c r="P95" i="3"/>
  <c r="P13" i="3"/>
  <c r="P68" i="3"/>
  <c r="P293" i="3"/>
  <c r="P312" i="3"/>
  <c r="P245" i="3"/>
  <c r="P10" i="3"/>
  <c r="P321" i="3"/>
  <c r="P195" i="3"/>
  <c r="P159" i="3"/>
  <c r="P297" i="3"/>
  <c r="P143" i="3"/>
  <c r="P142" i="3"/>
  <c r="P63" i="3"/>
  <c r="P50" i="3"/>
  <c r="P331" i="3"/>
  <c r="P329" i="3"/>
  <c r="P104" i="3"/>
  <c r="P11" i="3"/>
  <c r="P216" i="3"/>
  <c r="P42" i="3"/>
  <c r="P21" i="3"/>
  <c r="P103" i="3"/>
  <c r="P273" i="3"/>
  <c r="P18" i="3"/>
  <c r="P43" i="3"/>
  <c r="P207" i="3"/>
  <c r="P102" i="3"/>
  <c r="P158" i="3"/>
  <c r="P178" i="3"/>
  <c r="P326" i="3"/>
  <c r="P53" i="3"/>
  <c r="P115" i="3"/>
  <c r="P220" i="3"/>
  <c r="P222" i="3"/>
  <c r="P130" i="3"/>
  <c r="P270" i="3"/>
  <c r="P181" i="3"/>
  <c r="P257" i="3"/>
  <c r="P306" i="3"/>
  <c r="P139" i="3"/>
  <c r="P170" i="3"/>
  <c r="P100" i="3"/>
  <c r="P189" i="3"/>
  <c r="P141" i="3"/>
  <c r="P315" i="3"/>
  <c r="P154" i="3"/>
  <c r="P90" i="3"/>
  <c r="P240" i="3"/>
  <c r="P209" i="3"/>
  <c r="P62" i="3"/>
  <c r="P200" i="3"/>
  <c r="P177" i="3"/>
  <c r="P57" i="3"/>
  <c r="P47" i="3"/>
  <c r="P333" i="3"/>
  <c r="P65" i="3"/>
  <c r="P172" i="3"/>
  <c r="P98" i="3"/>
  <c r="P227" i="3"/>
  <c r="P214" i="3"/>
  <c r="P319" i="3"/>
  <c r="P325" i="3"/>
  <c r="P59" i="3"/>
  <c r="P259" i="3"/>
  <c r="P76" i="3"/>
  <c r="P254" i="3"/>
  <c r="P311" i="3"/>
  <c r="P301" i="3"/>
  <c r="P116" i="3"/>
  <c r="P212" i="3"/>
  <c r="P168" i="3"/>
  <c r="P173" i="3"/>
  <c r="P114" i="3"/>
  <c r="P106" i="3"/>
  <c r="P66" i="3"/>
  <c r="P58" i="3"/>
  <c r="P167" i="3"/>
  <c r="P190" i="3"/>
  <c r="P140" i="3"/>
  <c r="P169" i="3"/>
  <c r="P295" i="3"/>
  <c r="P144" i="3"/>
  <c r="P71" i="3"/>
  <c r="P304" i="3"/>
  <c r="P77" i="3"/>
  <c r="P163" i="3"/>
  <c r="P25" i="3"/>
  <c r="P239" i="3"/>
  <c r="P37" i="3"/>
  <c r="P82" i="3"/>
  <c r="P324" i="3"/>
  <c r="P339" i="3"/>
  <c r="P206" i="3"/>
  <c r="P39" i="3"/>
  <c r="P146" i="3"/>
  <c r="P302" i="3"/>
  <c r="P48" i="3"/>
  <c r="P151" i="3"/>
  <c r="P88" i="3"/>
  <c r="P330" i="3"/>
  <c r="P184" i="3"/>
  <c r="P148" i="3"/>
  <c r="P96" i="3"/>
  <c r="P138" i="3"/>
  <c r="P342" i="3"/>
  <c r="P332" i="3"/>
  <c r="P219" i="3"/>
  <c r="P336" i="3"/>
  <c r="P194" i="3"/>
  <c r="P234" i="3"/>
  <c r="P299" i="3"/>
  <c r="P81" i="3"/>
  <c r="P345" i="3"/>
  <c r="P334" i="3"/>
  <c r="P35" i="3"/>
  <c r="P30" i="3"/>
  <c r="P351" i="3"/>
  <c r="P70" i="3"/>
  <c r="P252" i="3"/>
  <c r="P17" i="3"/>
  <c r="P231" i="3"/>
  <c r="P261" i="3"/>
  <c r="P135" i="3"/>
  <c r="P113" i="3"/>
  <c r="P164" i="3"/>
  <c r="P85" i="3"/>
  <c r="P3" i="3"/>
  <c r="P110" i="3"/>
  <c r="P271" i="3"/>
  <c r="P197" i="3"/>
  <c r="P198" i="3"/>
  <c r="P97" i="3"/>
  <c r="P272" i="3"/>
  <c r="P175" i="3"/>
  <c r="P134" i="3"/>
  <c r="P277" i="3"/>
  <c r="P160" i="3"/>
  <c r="P276" i="3"/>
  <c r="P28" i="3"/>
  <c r="P67" i="3"/>
  <c r="P318" i="3"/>
  <c r="P27" i="3"/>
  <c r="P8" i="3"/>
  <c r="P296" i="3"/>
  <c r="P215" i="3"/>
  <c r="P314" i="3"/>
  <c r="P192" i="3"/>
  <c r="P83" i="3"/>
  <c r="P249" i="3"/>
  <c r="P40" i="3"/>
  <c r="P196" i="3"/>
  <c r="P117" i="3"/>
  <c r="P237" i="3"/>
  <c r="P124" i="3"/>
  <c r="P256" i="3"/>
  <c r="P155" i="3"/>
  <c r="P229" i="3"/>
  <c r="P353" i="3"/>
  <c r="P137" i="3"/>
  <c r="P266" i="3"/>
  <c r="P233" i="3"/>
  <c r="P84" i="3"/>
  <c r="P111" i="3"/>
  <c r="P109" i="3"/>
  <c r="P341" i="3"/>
  <c r="P201" i="3"/>
  <c r="P56" i="3"/>
  <c r="P41" i="3"/>
  <c r="P210" i="3"/>
  <c r="P223" i="3"/>
  <c r="P298" i="3"/>
  <c r="P226" i="3"/>
  <c r="P327" i="3"/>
  <c r="P217" i="3"/>
  <c r="P228" i="3"/>
  <c r="P60" i="3"/>
  <c r="P328" i="3"/>
  <c r="P267" i="3"/>
  <c r="P54" i="3"/>
  <c r="P313" i="3"/>
  <c r="P236" i="3"/>
  <c r="P264" i="3"/>
  <c r="P22" i="3"/>
  <c r="P2" i="3"/>
  <c r="P279" i="3"/>
  <c r="P265" i="3"/>
  <c r="P16" i="3"/>
  <c r="P310" i="3"/>
  <c r="P182" i="3"/>
  <c r="P122" i="3"/>
  <c r="P127" i="3"/>
  <c r="P335" i="3"/>
  <c r="P208" i="3"/>
  <c r="P7" i="3"/>
  <c r="P285" i="3"/>
  <c r="P291" i="3"/>
  <c r="P156" i="3"/>
  <c r="P79" i="3"/>
  <c r="P211" i="3"/>
  <c r="P49" i="3"/>
  <c r="P186" i="3"/>
  <c r="P288" i="3"/>
  <c r="P131" i="3"/>
  <c r="W39" i="2"/>
  <c r="W65" i="2"/>
  <c r="W20" i="2"/>
  <c r="W97" i="2"/>
  <c r="W85" i="2"/>
  <c r="W64" i="2"/>
  <c r="W28" i="2"/>
  <c r="W93" i="2"/>
  <c r="W71" i="2"/>
  <c r="W62" i="2"/>
  <c r="W52" i="2"/>
  <c r="W96" i="2"/>
  <c r="W53" i="2"/>
  <c r="W57" i="2"/>
  <c r="W79" i="2"/>
  <c r="W44" i="2"/>
  <c r="W51" i="2"/>
  <c r="W68" i="2"/>
  <c r="W54" i="2"/>
  <c r="W76" i="2"/>
  <c r="W82" i="2"/>
  <c r="W25" i="2"/>
  <c r="W19" i="2"/>
  <c r="W15" i="2"/>
  <c r="W83" i="2"/>
  <c r="W31" i="2"/>
  <c r="W72" i="2"/>
  <c r="W60" i="2"/>
  <c r="W87" i="2"/>
  <c r="W37" i="2"/>
  <c r="W84" i="2"/>
  <c r="W36" i="2"/>
  <c r="W66" i="2"/>
  <c r="W33" i="2"/>
  <c r="W43" i="2"/>
  <c r="W56" i="2"/>
  <c r="W6" i="2"/>
  <c r="W58" i="2"/>
  <c r="W101" i="2"/>
  <c r="W80" i="2"/>
  <c r="W27" i="2"/>
  <c r="W74" i="2"/>
  <c r="W47" i="2"/>
  <c r="W92" i="2"/>
  <c r="W49" i="2"/>
  <c r="W91" i="2"/>
  <c r="W55" i="2"/>
  <c r="W38" i="2"/>
  <c r="W12" i="2"/>
  <c r="W24" i="2"/>
  <c r="W11" i="2"/>
  <c r="W32" i="2"/>
  <c r="W100" i="2"/>
  <c r="W88" i="2"/>
  <c r="W67" i="2"/>
  <c r="W59" i="2"/>
  <c r="W21" i="2"/>
  <c r="W13" i="2"/>
  <c r="W95" i="2"/>
  <c r="W16" i="2"/>
  <c r="W70" i="2"/>
  <c r="W77" i="2"/>
  <c r="W89" i="2"/>
  <c r="W78" i="2"/>
  <c r="W4" i="2"/>
  <c r="W63" i="2"/>
  <c r="W18" i="2"/>
  <c r="W61" i="2"/>
  <c r="W50" i="2"/>
  <c r="W3" i="2"/>
  <c r="W34" i="2"/>
  <c r="W69" i="2"/>
  <c r="W41" i="2"/>
  <c r="W8" i="2"/>
  <c r="W9" i="2"/>
  <c r="W75" i="2"/>
  <c r="W48" i="2"/>
  <c r="W7" i="2"/>
  <c r="W40" i="2"/>
  <c r="W26" i="2"/>
  <c r="W10" i="2"/>
  <c r="W14" i="2"/>
  <c r="W45" i="2"/>
  <c r="W86" i="2"/>
  <c r="W35" i="2"/>
  <c r="W29" i="2"/>
  <c r="W23" i="2"/>
  <c r="W42" i="2"/>
  <c r="W17" i="2"/>
  <c r="W5" i="2"/>
  <c r="W94" i="2"/>
  <c r="W2" i="2"/>
  <c r="W46" i="2"/>
  <c r="W73" i="2"/>
  <c r="W30" i="2"/>
  <c r="W81" i="2"/>
  <c r="W99" i="2"/>
  <c r="W90" i="2"/>
  <c r="W98" i="2"/>
  <c r="W22" i="2"/>
  <c r="P2" i="4"/>
  <c r="R2" i="4" s="1"/>
  <c r="R79" i="3"/>
  <c r="R288" i="3"/>
  <c r="R85" i="3"/>
  <c r="R302" i="3"/>
  <c r="R344" i="3"/>
  <c r="R306" i="3"/>
  <c r="R83" i="3"/>
  <c r="R352" i="3"/>
  <c r="R180" i="3"/>
  <c r="R60" i="3"/>
  <c r="R221" i="3"/>
  <c r="R339" i="3"/>
  <c r="R326" i="3"/>
  <c r="R142" i="3"/>
  <c r="R323" i="3"/>
  <c r="R213" i="3"/>
  <c r="R176" i="3"/>
  <c r="R223" i="3"/>
  <c r="R290" i="3"/>
  <c r="R148" i="3"/>
  <c r="R327" i="3"/>
  <c r="R280" i="3"/>
  <c r="R27" i="3"/>
  <c r="R171" i="3"/>
  <c r="R250" i="3"/>
  <c r="R158" i="3"/>
  <c r="R289" i="3"/>
  <c r="R197" i="3"/>
  <c r="R115" i="3"/>
  <c r="R39" i="3"/>
  <c r="R258" i="3"/>
  <c r="R107" i="3"/>
  <c r="R256" i="3"/>
  <c r="R140" i="3"/>
  <c r="R154" i="3"/>
  <c r="R338" i="3"/>
  <c r="R17" i="3"/>
  <c r="R42" i="3"/>
  <c r="R286" i="3"/>
  <c r="R132" i="3"/>
  <c r="R25" i="3"/>
  <c r="R41" i="3"/>
  <c r="R116" i="3"/>
  <c r="R348" i="3"/>
  <c r="R181" i="3"/>
  <c r="R126" i="3"/>
  <c r="R179" i="3"/>
  <c r="R168" i="3"/>
  <c r="R191" i="3"/>
  <c r="R278" i="3"/>
  <c r="R143" i="3"/>
  <c r="R37" i="3"/>
  <c r="R333" i="3"/>
  <c r="R9" i="3"/>
  <c r="R272" i="3"/>
  <c r="R253" i="3"/>
  <c r="R178" i="3"/>
  <c r="R153" i="3"/>
  <c r="R65" i="3"/>
  <c r="R271" i="3"/>
  <c r="R34" i="3"/>
  <c r="R276" i="3"/>
  <c r="R38" i="3"/>
  <c r="R177" i="3"/>
  <c r="R293" i="3"/>
  <c r="R194" i="3"/>
  <c r="R23" i="3"/>
  <c r="R239" i="3"/>
  <c r="R128" i="3"/>
  <c r="R235" i="3"/>
  <c r="R260" i="3"/>
  <c r="R199" i="3"/>
  <c r="R198" i="3"/>
  <c r="R133" i="3"/>
  <c r="R109" i="3"/>
  <c r="R244" i="3"/>
  <c r="R269" i="3"/>
  <c r="R236" i="3"/>
  <c r="R203" i="3"/>
  <c r="R155" i="3"/>
  <c r="R110" i="3"/>
  <c r="R308" i="3"/>
  <c r="R185" i="3"/>
  <c r="R76" i="3"/>
  <c r="R292" i="3"/>
  <c r="R71" i="3"/>
  <c r="R234" i="3"/>
  <c r="R315" i="3"/>
  <c r="R264" i="3"/>
  <c r="R87" i="3"/>
  <c r="R317" i="3"/>
  <c r="R96" i="3"/>
  <c r="R204" i="3"/>
  <c r="R263" i="3"/>
  <c r="R134" i="3"/>
  <c r="R8" i="3"/>
  <c r="R90" i="3"/>
  <c r="R167" i="3"/>
  <c r="R341" i="3"/>
  <c r="R113" i="3"/>
  <c r="R56" i="3"/>
  <c r="R214" i="3"/>
  <c r="R309" i="3"/>
  <c r="R136" i="3"/>
  <c r="R99" i="3"/>
  <c r="R282" i="3"/>
  <c r="R218" i="3"/>
  <c r="R138" i="3"/>
  <c r="R183" i="3"/>
  <c r="R150" i="3"/>
  <c r="R330" i="3"/>
  <c r="R160" i="3"/>
  <c r="R21" i="3"/>
  <c r="R7" i="3"/>
  <c r="R347" i="3"/>
  <c r="R131" i="3"/>
  <c r="R47" i="3"/>
  <c r="R257" i="3"/>
  <c r="R310" i="3"/>
  <c r="R3" i="3"/>
  <c r="R122" i="3"/>
  <c r="R265" i="3"/>
  <c r="R305" i="3"/>
  <c r="R89" i="3"/>
  <c r="R43" i="3"/>
  <c r="R267" i="3"/>
  <c r="R222" i="3"/>
  <c r="R88" i="3"/>
  <c r="R273" i="3"/>
  <c r="R31" i="3"/>
  <c r="R274" i="3"/>
  <c r="R284" i="3"/>
  <c r="R29" i="3"/>
  <c r="R139" i="3"/>
  <c r="R123" i="3"/>
  <c r="R129" i="3"/>
  <c r="R322" i="3"/>
  <c r="R311" i="3"/>
  <c r="R49" i="3"/>
  <c r="R105" i="3"/>
  <c r="R162" i="3"/>
  <c r="R63" i="3"/>
  <c r="R92" i="3"/>
  <c r="R340" i="3"/>
  <c r="R75" i="3"/>
  <c r="R33" i="3"/>
  <c r="R353" i="3"/>
  <c r="R220" i="3"/>
  <c r="R208" i="3"/>
  <c r="R240" i="3"/>
  <c r="R95" i="3"/>
  <c r="R316" i="3"/>
  <c r="R190" i="3"/>
  <c r="R187" i="3"/>
  <c r="R209" i="3"/>
  <c r="R275" i="3"/>
  <c r="R66" i="3"/>
  <c r="R300" i="3"/>
  <c r="R332" i="3"/>
  <c r="R119" i="3"/>
  <c r="R186" i="3"/>
  <c r="R45" i="3"/>
  <c r="R205" i="3"/>
  <c r="R351" i="3"/>
  <c r="R312" i="3"/>
  <c r="R44" i="3"/>
  <c r="R78" i="3"/>
  <c r="R233" i="3"/>
  <c r="R297" i="3"/>
  <c r="R228" i="3"/>
  <c r="R46" i="3"/>
  <c r="R72" i="3"/>
  <c r="R64" i="3"/>
  <c r="R254" i="3"/>
  <c r="R281" i="3"/>
  <c r="R163" i="3"/>
  <c r="R224" i="3"/>
  <c r="R268" i="3"/>
  <c r="R161" i="3"/>
  <c r="R80" i="3"/>
  <c r="R62" i="3"/>
  <c r="R61" i="3"/>
  <c r="R13" i="3"/>
  <c r="R251" i="3"/>
  <c r="R345" i="3"/>
  <c r="R227" i="3"/>
  <c r="R12" i="3"/>
  <c r="R232" i="3"/>
  <c r="R53" i="3"/>
  <c r="R291" i="3"/>
  <c r="R226" i="3"/>
  <c r="R343" i="3"/>
  <c r="R314" i="3"/>
  <c r="R225" i="3"/>
  <c r="R22" i="3"/>
  <c r="R270" i="3"/>
  <c r="R210" i="3"/>
  <c r="R164" i="3"/>
  <c r="R211" i="3"/>
  <c r="R120" i="3"/>
  <c r="R59" i="3"/>
  <c r="R172" i="3"/>
  <c r="R184" i="3"/>
  <c r="R279" i="3"/>
  <c r="R277" i="3"/>
  <c r="R266" i="3"/>
  <c r="R193" i="3"/>
  <c r="R173" i="3"/>
  <c r="R252" i="3"/>
  <c r="R189" i="3"/>
  <c r="R10" i="3"/>
  <c r="R156" i="3"/>
  <c r="R261" i="3"/>
  <c r="R125" i="3"/>
  <c r="R324" i="3"/>
  <c r="R346" i="3"/>
  <c r="R118" i="3"/>
  <c r="R321" i="3"/>
  <c r="R216" i="3"/>
  <c r="R245" i="3"/>
  <c r="R169" i="3"/>
  <c r="R93" i="3"/>
  <c r="R246" i="3"/>
  <c r="R241" i="3"/>
  <c r="R52" i="3"/>
  <c r="R146" i="3"/>
  <c r="R82" i="3"/>
  <c r="R307" i="3"/>
  <c r="R328" i="3"/>
  <c r="R350" i="3"/>
  <c r="R101" i="3"/>
  <c r="R20" i="3"/>
  <c r="R117" i="3"/>
  <c r="R112" i="3"/>
  <c r="R174" i="3"/>
  <c r="R231" i="3"/>
  <c r="R97" i="3"/>
  <c r="R130" i="3"/>
  <c r="R238" i="3"/>
  <c r="R342" i="3"/>
  <c r="R159" i="3"/>
  <c r="R255" i="3"/>
  <c r="R121" i="3"/>
  <c r="R294" i="3"/>
  <c r="R147" i="3"/>
  <c r="R285" i="3"/>
  <c r="R248" i="3"/>
  <c r="R215" i="3"/>
  <c r="R55" i="3"/>
  <c r="R175" i="3"/>
  <c r="R298" i="3"/>
  <c r="R313" i="3"/>
  <c r="R188" i="3"/>
  <c r="R335" i="3"/>
  <c r="R28" i="3"/>
  <c r="R334" i="3"/>
  <c r="R237" i="3"/>
  <c r="R106" i="3"/>
  <c r="R73" i="3"/>
  <c r="R296" i="3"/>
  <c r="R74" i="3"/>
  <c r="R182" i="3"/>
  <c r="R157" i="3"/>
  <c r="R15" i="3"/>
  <c r="R206" i="3"/>
  <c r="R103" i="3"/>
  <c r="R57" i="3"/>
  <c r="R137" i="3"/>
  <c r="R283" i="3"/>
  <c r="R5" i="3"/>
  <c r="R81" i="3"/>
  <c r="R35" i="3"/>
  <c r="R207" i="3"/>
  <c r="R4" i="3"/>
  <c r="R325" i="3"/>
  <c r="R50" i="3"/>
  <c r="R32" i="3"/>
  <c r="R40" i="3"/>
  <c r="R54" i="3"/>
  <c r="R68" i="3"/>
  <c r="R247" i="3"/>
  <c r="R331" i="3"/>
  <c r="R36" i="3"/>
  <c r="R86" i="3"/>
  <c r="R301" i="3"/>
  <c r="R114" i="3"/>
  <c r="R98" i="3"/>
  <c r="R77" i="3"/>
  <c r="R102" i="3"/>
  <c r="R299" i="3"/>
  <c r="R149" i="3"/>
  <c r="R135" i="3"/>
  <c r="R127" i="3"/>
  <c r="R329" i="3"/>
  <c r="R91" i="3"/>
  <c r="R230" i="3"/>
  <c r="R337" i="3"/>
  <c r="R349" i="3"/>
  <c r="R24" i="3"/>
  <c r="R195" i="3"/>
  <c r="R100" i="3"/>
  <c r="R94" i="3"/>
  <c r="R58" i="3"/>
  <c r="R14" i="3"/>
  <c r="R242" i="3"/>
  <c r="R70" i="3"/>
  <c r="R304" i="3"/>
  <c r="R16" i="3"/>
  <c r="R287" i="3"/>
  <c r="R200" i="3"/>
  <c r="R262" i="3"/>
  <c r="R219" i="3"/>
  <c r="R243" i="3"/>
  <c r="R202" i="3"/>
  <c r="R51" i="3"/>
  <c r="R2" i="3"/>
  <c r="R170" i="3"/>
  <c r="R196" i="3"/>
  <c r="R104" i="3"/>
  <c r="R151" i="3"/>
  <c r="R336" i="3"/>
  <c r="R124" i="3"/>
  <c r="R144" i="3"/>
  <c r="R303" i="3"/>
  <c r="R192" i="3"/>
  <c r="R201" i="3"/>
  <c r="R84" i="3"/>
  <c r="R295" i="3"/>
  <c r="R320" i="3"/>
  <c r="R229" i="3"/>
  <c r="R166" i="3"/>
  <c r="R249" i="3"/>
  <c r="R141" i="3"/>
  <c r="R26" i="3"/>
  <c r="R152" i="3"/>
  <c r="R217" i="3"/>
  <c r="R19" i="3"/>
  <c r="R259" i="3"/>
  <c r="R165" i="3"/>
  <c r="R212" i="3"/>
  <c r="R18" i="3"/>
  <c r="R69" i="3"/>
  <c r="R6" i="3"/>
  <c r="R48" i="3"/>
  <c r="R11" i="3"/>
  <c r="R67" i="3"/>
  <c r="R108" i="3"/>
  <c r="R111" i="3"/>
  <c r="R318" i="3"/>
  <c r="R319" i="3"/>
  <c r="R30" i="3"/>
  <c r="U85" i="2"/>
  <c r="U25" i="2"/>
  <c r="U41" i="2"/>
  <c r="U10" i="2"/>
  <c r="U43" i="2"/>
  <c r="U53" i="2"/>
  <c r="U36" i="2"/>
  <c r="U15" i="2"/>
  <c r="U7" i="2"/>
  <c r="U90" i="2"/>
  <c r="U79" i="2"/>
  <c r="U51" i="2"/>
  <c r="U54" i="2"/>
  <c r="U44" i="2"/>
  <c r="U84" i="2"/>
  <c r="U30" i="2"/>
  <c r="U77" i="2"/>
  <c r="U83" i="2"/>
  <c r="U5" i="2"/>
  <c r="U37" i="2"/>
  <c r="U61" i="2"/>
  <c r="U82" i="2"/>
  <c r="U12" i="2"/>
  <c r="U20" i="2"/>
  <c r="U9" i="2"/>
  <c r="U58" i="2"/>
  <c r="U93" i="2"/>
  <c r="U60" i="2"/>
  <c r="U72" i="2"/>
  <c r="U88" i="2"/>
  <c r="U96" i="2"/>
  <c r="U26" i="2"/>
  <c r="U65" i="2"/>
  <c r="U33" i="2"/>
  <c r="U27" i="2"/>
  <c r="U16" i="2"/>
  <c r="U14" i="2"/>
  <c r="U22" i="2"/>
  <c r="U35" i="2"/>
  <c r="U99" i="2"/>
  <c r="U62" i="2"/>
  <c r="U98" i="2"/>
  <c r="U101" i="2"/>
  <c r="U67" i="2"/>
  <c r="U57" i="2"/>
  <c r="U3" i="2"/>
  <c r="U73" i="2"/>
  <c r="U17" i="2"/>
  <c r="U46" i="2"/>
  <c r="U87" i="2"/>
  <c r="U49" i="2"/>
  <c r="U89" i="2"/>
  <c r="U52" i="2"/>
  <c r="U6" i="2"/>
  <c r="U42" i="2"/>
  <c r="U81" i="2"/>
  <c r="U86" i="2"/>
  <c r="U28" i="2"/>
  <c r="U45" i="2"/>
  <c r="U76" i="2"/>
  <c r="U50" i="2"/>
  <c r="U71" i="2"/>
  <c r="U64" i="2"/>
  <c r="U59" i="2"/>
  <c r="U100" i="2"/>
  <c r="U48" i="2"/>
  <c r="U4" i="2"/>
  <c r="U66" i="2"/>
  <c r="U21" i="2"/>
  <c r="U91" i="2"/>
  <c r="U80" i="2"/>
  <c r="U31" i="2"/>
  <c r="U75" i="2"/>
  <c r="U70" i="2"/>
  <c r="U23" i="2"/>
  <c r="U34" i="2"/>
  <c r="U38" i="2"/>
  <c r="U2" i="2"/>
  <c r="U56" i="2"/>
  <c r="U19" i="2"/>
  <c r="U94" i="2"/>
  <c r="U40" i="2"/>
  <c r="U18" i="2"/>
  <c r="U13" i="2"/>
  <c r="U39" i="2"/>
  <c r="U69" i="2"/>
  <c r="U29" i="2"/>
  <c r="U95" i="2"/>
  <c r="U74" i="2"/>
  <c r="U78" i="2"/>
  <c r="U8" i="2"/>
  <c r="U24" i="2"/>
  <c r="U32" i="2"/>
  <c r="U68" i="2"/>
  <c r="U92" i="2"/>
  <c r="U63" i="2"/>
  <c r="U47" i="2"/>
  <c r="U97" i="2"/>
  <c r="U55" i="2"/>
  <c r="U11" i="2"/>
  <c r="N2" i="4"/>
  <c r="Q2" i="4" s="1"/>
  <c r="AW151" i="3"/>
  <c r="AW192" i="3"/>
  <c r="AY60" i="2"/>
  <c r="AY68" i="2"/>
  <c r="AY20" i="2"/>
  <c r="AY87" i="2"/>
  <c r="AY51" i="2"/>
  <c r="AY7" i="2"/>
  <c r="AY79" i="2"/>
  <c r="AY40" i="2"/>
  <c r="AY3" i="2"/>
  <c r="AY21" i="2"/>
  <c r="AY18" i="2"/>
  <c r="AY75" i="2"/>
  <c r="AY100" i="2"/>
  <c r="AY12" i="2"/>
  <c r="AY39" i="2"/>
  <c r="AY85" i="2"/>
  <c r="AY41" i="2"/>
  <c r="AY94" i="2"/>
  <c r="AY42" i="2"/>
  <c r="AY8" i="2"/>
  <c r="AY29" i="2"/>
  <c r="AY97" i="2"/>
  <c r="AY32" i="2"/>
  <c r="AY26" i="2"/>
  <c r="AY63" i="2"/>
  <c r="AY98" i="2"/>
  <c r="AY65" i="2"/>
  <c r="AY74" i="2"/>
  <c r="AY83" i="2"/>
  <c r="AY86" i="2"/>
  <c r="AY88" i="2"/>
  <c r="AY17" i="2"/>
  <c r="AY55" i="2"/>
  <c r="AY37" i="2"/>
  <c r="AY33" i="2"/>
  <c r="AY61" i="2"/>
  <c r="AY46" i="2"/>
  <c r="AY27" i="2"/>
  <c r="AY25" i="2"/>
  <c r="AY64" i="2"/>
  <c r="AY81" i="2"/>
  <c r="AY95" i="2"/>
  <c r="AY28" i="2"/>
  <c r="AY91" i="2"/>
  <c r="AY52" i="2"/>
  <c r="AY14" i="2"/>
  <c r="AY19" i="2"/>
  <c r="AY78" i="2"/>
  <c r="AY5" i="2"/>
  <c r="AY84" i="2"/>
  <c r="AY9" i="2"/>
  <c r="AY57" i="2"/>
  <c r="AY30" i="2"/>
  <c r="AY43" i="2"/>
  <c r="AY73" i="2"/>
  <c r="AY93" i="2"/>
  <c r="AY36" i="2"/>
  <c r="AY34" i="2"/>
  <c r="AY69" i="2"/>
  <c r="AY47" i="2"/>
  <c r="AY22" i="2"/>
  <c r="AY54" i="2"/>
  <c r="AY10" i="2"/>
  <c r="AY67" i="2"/>
  <c r="AY96" i="2"/>
  <c r="AY11" i="2"/>
  <c r="AY50" i="2"/>
  <c r="AY66" i="2"/>
  <c r="AY82" i="2"/>
  <c r="AY76" i="2"/>
  <c r="AY49" i="2"/>
  <c r="AY48" i="2"/>
  <c r="AY59" i="2"/>
  <c r="AY6" i="2"/>
  <c r="AY31" i="2"/>
  <c r="AY13" i="2"/>
  <c r="AY4" i="2"/>
  <c r="AY53" i="2"/>
  <c r="AY71" i="2"/>
  <c r="AY44" i="2"/>
  <c r="AY16" i="2"/>
  <c r="AY77" i="2"/>
  <c r="AY101" i="2"/>
  <c r="AY58" i="2"/>
  <c r="AY70" i="2"/>
  <c r="AY23" i="2"/>
  <c r="AY62" i="2"/>
  <c r="AY72" i="2"/>
  <c r="AY15" i="2"/>
  <c r="AY24" i="2"/>
  <c r="AY89" i="2"/>
  <c r="AY90" i="2"/>
  <c r="AY35" i="2"/>
  <c r="AY56" i="2"/>
  <c r="AY80" i="2"/>
  <c r="AY99" i="2"/>
  <c r="AY92" i="2"/>
  <c r="AY2" i="2"/>
  <c r="AY45" i="2"/>
  <c r="AY38" i="2"/>
  <c r="AR2" i="4"/>
  <c r="AT2" i="4" s="1"/>
  <c r="AT172" i="3"/>
  <c r="AT213" i="3"/>
  <c r="AT311" i="3"/>
  <c r="AT196" i="3"/>
  <c r="AT146" i="3"/>
  <c r="AT114" i="3"/>
  <c r="AT293" i="3"/>
  <c r="AT122" i="3"/>
  <c r="AT204" i="3"/>
  <c r="AT256" i="3"/>
  <c r="AT127" i="3"/>
  <c r="AT234" i="3"/>
  <c r="AT306" i="3"/>
  <c r="AT185" i="3"/>
  <c r="AT179" i="3"/>
  <c r="AT228" i="3"/>
  <c r="AT84" i="3"/>
  <c r="AT18" i="3"/>
  <c r="AT90" i="3"/>
  <c r="AT334" i="3"/>
  <c r="AT75" i="3"/>
  <c r="AT192" i="3"/>
  <c r="AT271" i="3"/>
  <c r="AT106" i="3"/>
  <c r="AT187" i="3"/>
  <c r="AT339" i="3"/>
  <c r="AT162" i="3"/>
  <c r="AT249" i="3"/>
  <c r="AT8" i="3"/>
  <c r="AT242" i="3"/>
  <c r="AT336" i="3"/>
  <c r="AT168" i="3"/>
  <c r="AT166" i="3"/>
  <c r="AT219" i="3"/>
  <c r="AT307" i="3"/>
  <c r="AT121" i="3"/>
  <c r="AT103" i="3"/>
  <c r="AT94" i="3"/>
  <c r="AT48" i="3"/>
  <c r="AT309" i="3"/>
  <c r="AT329" i="3"/>
  <c r="AT44" i="3"/>
  <c r="AT238" i="3"/>
  <c r="AT237" i="3"/>
  <c r="AT343" i="3"/>
  <c r="AT216" i="3"/>
  <c r="AT182" i="3"/>
  <c r="AT85" i="3"/>
  <c r="AT104" i="3"/>
  <c r="AT276" i="3"/>
  <c r="AT144" i="3"/>
  <c r="AT226" i="3"/>
  <c r="AT160" i="3"/>
  <c r="AT107" i="3"/>
  <c r="AT161" i="3"/>
  <c r="AT281" i="3"/>
  <c r="AT140" i="3"/>
  <c r="AT156" i="3"/>
  <c r="AT50" i="3"/>
  <c r="AT280" i="3"/>
  <c r="AT112" i="3"/>
  <c r="AT326" i="3"/>
  <c r="AT227" i="3"/>
  <c r="AT275" i="3"/>
  <c r="AT274" i="3"/>
  <c r="AT132" i="3"/>
  <c r="AT247" i="3"/>
  <c r="AT133" i="3"/>
  <c r="AT244" i="3"/>
  <c r="AT348" i="3"/>
  <c r="AT181" i="3"/>
  <c r="AT99" i="3"/>
  <c r="AT296" i="3"/>
  <c r="AT205" i="3"/>
  <c r="AT36" i="3"/>
  <c r="AT200" i="3"/>
  <c r="AT10" i="3"/>
  <c r="AT40" i="3"/>
  <c r="AT67" i="3"/>
  <c r="AT88" i="3"/>
  <c r="AT310" i="3"/>
  <c r="AT59" i="3"/>
  <c r="AT264" i="3"/>
  <c r="AT26" i="3"/>
  <c r="AT332" i="3"/>
  <c r="AT201" i="3"/>
  <c r="AT222" i="3"/>
  <c r="AT313" i="3"/>
  <c r="AT250" i="3"/>
  <c r="AT152" i="3"/>
  <c r="AT66" i="3"/>
  <c r="AT24" i="3"/>
  <c r="AT292" i="3"/>
  <c r="AT91" i="3"/>
  <c r="AT288" i="3"/>
  <c r="AT233" i="3"/>
  <c r="AT32" i="3"/>
  <c r="AT240" i="3"/>
  <c r="AT236" i="3"/>
  <c r="AT35" i="3"/>
  <c r="AT89" i="3"/>
  <c r="AT151" i="3"/>
  <c r="AT350" i="3"/>
  <c r="AT252" i="3"/>
  <c r="AT220" i="3"/>
  <c r="AT78" i="3"/>
  <c r="AT235" i="3"/>
  <c r="AT45" i="3"/>
  <c r="AT351" i="3"/>
  <c r="AT81" i="3"/>
  <c r="AT93" i="3"/>
  <c r="AT108" i="3"/>
  <c r="AT345" i="3"/>
  <c r="AT34" i="3"/>
  <c r="AT267" i="3"/>
  <c r="AT304" i="3"/>
  <c r="AT212" i="3"/>
  <c r="AT11" i="3"/>
  <c r="AT53" i="3"/>
  <c r="AT97" i="3"/>
  <c r="AT197" i="3"/>
  <c r="AT333" i="3"/>
  <c r="AT71" i="3"/>
  <c r="AT177" i="3"/>
  <c r="AT321" i="3"/>
  <c r="AT342" i="3"/>
  <c r="AT52" i="3"/>
  <c r="AT322" i="3"/>
  <c r="AT312" i="3"/>
  <c r="AT46" i="3"/>
  <c r="AT37" i="3"/>
  <c r="AT12" i="3"/>
  <c r="AT207" i="3"/>
  <c r="AT147" i="3"/>
  <c r="AT119" i="3"/>
  <c r="AT266" i="3"/>
  <c r="AT175" i="3"/>
  <c r="AT261" i="3"/>
  <c r="AT308" i="3"/>
  <c r="AT199" i="3"/>
  <c r="AT174" i="3"/>
  <c r="AT120" i="3"/>
  <c r="AT117" i="3"/>
  <c r="AT186" i="3"/>
  <c r="AT188" i="3"/>
  <c r="AT327" i="3"/>
  <c r="AT98" i="3"/>
  <c r="AT79" i="3"/>
  <c r="AT22" i="3"/>
  <c r="AT157" i="3"/>
  <c r="AT272" i="3"/>
  <c r="AT277" i="3"/>
  <c r="AT15" i="3"/>
  <c r="AT214" i="3"/>
  <c r="AT136" i="3"/>
  <c r="AT303" i="3"/>
  <c r="AT49" i="3"/>
  <c r="AT324" i="3"/>
  <c r="AT3" i="3"/>
  <c r="AT245" i="3"/>
  <c r="AT23" i="3"/>
  <c r="AT301" i="3"/>
  <c r="AT265" i="3"/>
  <c r="AT142" i="3"/>
  <c r="AT190" i="3"/>
  <c r="AT210" i="3"/>
  <c r="AT118" i="3"/>
  <c r="AT254" i="3"/>
  <c r="AT138" i="3"/>
  <c r="AT110" i="3"/>
  <c r="AT163" i="3"/>
  <c r="AT58" i="3"/>
  <c r="AT131" i="3"/>
  <c r="AT2" i="3"/>
  <c r="AT17" i="3"/>
  <c r="AT116" i="3"/>
  <c r="AT125" i="3"/>
  <c r="AT189" i="3"/>
  <c r="AT51" i="3"/>
  <c r="AT320" i="3"/>
  <c r="AT109" i="3"/>
  <c r="AT176" i="3"/>
  <c r="AT169" i="3"/>
  <c r="AT21" i="3"/>
  <c r="AT279" i="3"/>
  <c r="AT300" i="3"/>
  <c r="AT126" i="3"/>
  <c r="AT262" i="3"/>
  <c r="AT70" i="3"/>
  <c r="AT282" i="3"/>
  <c r="AT229" i="3"/>
  <c r="AT164" i="3"/>
  <c r="AT318" i="3"/>
  <c r="AT167" i="3"/>
  <c r="AT154" i="3"/>
  <c r="AT193" i="3"/>
  <c r="AT123" i="3"/>
  <c r="AT291" i="3"/>
  <c r="AT195" i="3"/>
  <c r="AT337" i="3"/>
  <c r="AT16" i="3"/>
  <c r="AT231" i="3"/>
  <c r="AT224" i="3"/>
  <c r="AT62" i="3"/>
  <c r="AT239" i="3"/>
  <c r="AT203" i="3"/>
  <c r="AT86" i="3"/>
  <c r="AT155" i="3"/>
  <c r="AT215" i="3"/>
  <c r="AT335" i="3"/>
  <c r="AT251" i="3"/>
  <c r="AT248" i="3"/>
  <c r="AT253" i="3"/>
  <c r="AT129" i="3"/>
  <c r="AT331" i="3"/>
  <c r="AT80" i="3"/>
  <c r="AT184" i="3"/>
  <c r="AT148" i="3"/>
  <c r="AT68" i="3"/>
  <c r="AT208" i="3"/>
  <c r="AT57" i="3"/>
  <c r="AT9" i="3"/>
  <c r="AT47" i="3"/>
  <c r="AT64" i="3"/>
  <c r="AT30" i="3"/>
  <c r="AT173" i="3"/>
  <c r="AT87" i="3"/>
  <c r="AT319" i="3"/>
  <c r="AT56" i="3"/>
  <c r="AT299" i="3"/>
  <c r="AT257" i="3"/>
  <c r="AT95" i="3"/>
  <c r="AT263" i="3"/>
  <c r="AT287" i="3"/>
  <c r="AT170" i="3"/>
  <c r="AT297" i="3"/>
  <c r="AT54" i="3"/>
  <c r="AT77" i="3"/>
  <c r="AT135" i="3"/>
  <c r="AT165" i="3"/>
  <c r="AT5" i="3"/>
  <c r="AT223" i="3"/>
  <c r="AT100" i="3"/>
  <c r="AT241" i="3"/>
  <c r="AT38" i="3"/>
  <c r="AT270" i="3"/>
  <c r="AT137" i="3"/>
  <c r="AT43" i="3"/>
  <c r="AT183" i="3"/>
  <c r="AT14" i="3"/>
  <c r="AT305" i="3"/>
  <c r="AT260" i="3"/>
  <c r="AT243" i="3"/>
  <c r="AT72" i="3"/>
  <c r="AT115" i="3"/>
  <c r="AT111" i="3"/>
  <c r="AT352" i="3"/>
  <c r="AT130" i="3"/>
  <c r="AT55" i="3"/>
  <c r="AT82" i="3"/>
  <c r="AT202" i="3"/>
  <c r="AT96" i="3"/>
  <c r="AT325" i="3"/>
  <c r="AT330" i="3"/>
  <c r="AT218" i="3"/>
  <c r="AT102" i="3"/>
  <c r="AT33" i="3"/>
  <c r="AT269" i="3"/>
  <c r="AT41" i="3"/>
  <c r="AT209" i="3"/>
  <c r="AT101" i="3"/>
  <c r="AT19" i="3"/>
  <c r="AT206" i="3"/>
  <c r="AT139" i="3"/>
  <c r="AT349" i="3"/>
  <c r="AT194" i="3"/>
  <c r="AT346" i="3"/>
  <c r="AT315" i="3"/>
  <c r="AT278" i="3"/>
  <c r="AT178" i="3"/>
  <c r="AT268" i="3"/>
  <c r="AT340" i="3"/>
  <c r="AT65" i="3"/>
  <c r="AT323" i="3"/>
  <c r="AT225" i="3"/>
  <c r="AT191" i="3"/>
  <c r="AT76" i="3"/>
  <c r="AT92" i="3"/>
  <c r="AT344" i="3"/>
  <c r="AT316" i="3"/>
  <c r="AT180" i="3"/>
  <c r="AT29" i="3"/>
  <c r="AT171" i="3"/>
  <c r="AT289" i="3"/>
  <c r="AT217" i="3"/>
  <c r="AT74" i="3"/>
  <c r="AT353" i="3"/>
  <c r="AT7" i="3"/>
  <c r="AT69" i="3"/>
  <c r="AT4" i="3"/>
  <c r="AT328" i="3"/>
  <c r="AT347" i="3"/>
  <c r="AT20" i="3"/>
  <c r="AT258" i="3"/>
  <c r="AT341" i="3"/>
  <c r="AT198" i="3"/>
  <c r="AT221" i="3"/>
  <c r="AT150" i="3"/>
  <c r="AT60" i="3"/>
  <c r="AT232" i="3"/>
  <c r="AT141" i="3"/>
  <c r="AT113" i="3"/>
  <c r="AT27" i="3"/>
  <c r="AT298" i="3"/>
  <c r="AT128" i="3"/>
  <c r="AT338" i="3"/>
  <c r="AT31" i="3"/>
  <c r="AT294" i="3"/>
  <c r="AT290" i="3"/>
  <c r="AT25" i="3"/>
  <c r="AT13" i="3"/>
  <c r="AT83" i="3"/>
  <c r="AT63" i="3"/>
  <c r="AT284" i="3"/>
  <c r="AT42" i="3"/>
  <c r="AT295" i="3"/>
  <c r="AT149" i="3"/>
  <c r="AT302" i="3"/>
  <c r="AT73" i="3"/>
  <c r="AT61" i="3"/>
  <c r="AT6" i="3"/>
  <c r="AT105" i="3"/>
  <c r="AT317" i="3"/>
  <c r="AT159" i="3"/>
  <c r="AT143" i="3"/>
  <c r="AT124" i="3"/>
  <c r="AT134" i="3"/>
  <c r="AT255" i="3"/>
  <c r="AT153" i="3"/>
  <c r="AT246" i="3"/>
  <c r="AT158" i="3"/>
  <c r="AT259" i="3"/>
  <c r="AT211" i="3"/>
  <c r="AT273" i="3"/>
  <c r="AT230" i="3"/>
  <c r="AT39" i="3"/>
  <c r="AT28" i="3"/>
  <c r="AT285" i="3"/>
  <c r="AT286" i="3"/>
  <c r="AT283" i="3"/>
  <c r="AT314" i="3"/>
  <c r="AR287" i="3"/>
  <c r="AR94" i="3"/>
  <c r="AR37" i="3"/>
  <c r="AR303" i="3"/>
  <c r="AR178" i="3"/>
  <c r="AR269" i="3"/>
  <c r="AR45" i="3"/>
  <c r="AR12" i="3"/>
  <c r="AR163" i="3"/>
  <c r="AR55" i="3"/>
  <c r="AR338" i="3"/>
  <c r="AR17" i="3"/>
  <c r="AR241" i="3"/>
  <c r="AR198" i="3"/>
  <c r="AR203" i="3"/>
  <c r="AR30" i="3"/>
  <c r="AR165" i="3"/>
  <c r="AR154" i="3"/>
  <c r="AR216" i="3"/>
  <c r="AR342" i="3"/>
  <c r="AR73" i="3"/>
  <c r="AR44" i="3"/>
  <c r="AR223" i="3"/>
  <c r="AR48" i="3"/>
  <c r="AR199" i="3"/>
  <c r="AR246" i="3"/>
  <c r="AR316" i="3"/>
  <c r="AR292" i="3"/>
  <c r="AR185" i="3"/>
  <c r="AR300" i="3"/>
  <c r="AR213" i="3"/>
  <c r="AR2" i="3"/>
  <c r="AR103" i="3"/>
  <c r="AR174" i="3"/>
  <c r="AR337" i="3"/>
  <c r="AR31" i="3"/>
  <c r="AR284" i="3"/>
  <c r="AR257" i="3"/>
  <c r="AR281" i="3"/>
  <c r="AR219" i="3"/>
  <c r="AR140" i="3"/>
  <c r="AR101" i="3"/>
  <c r="AR75" i="3"/>
  <c r="AR85" i="3"/>
  <c r="AR222" i="3"/>
  <c r="AR46" i="3"/>
  <c r="AR60" i="3"/>
  <c r="AR353" i="3"/>
  <c r="AR122" i="3"/>
  <c r="AR132" i="3"/>
  <c r="AR344" i="3"/>
  <c r="AR98" i="3"/>
  <c r="AR89" i="3"/>
  <c r="AR57" i="3"/>
  <c r="AR256" i="3"/>
  <c r="AR61" i="3"/>
  <c r="AR76" i="3"/>
  <c r="AR117" i="3"/>
  <c r="AR49" i="3"/>
  <c r="AR271" i="3"/>
  <c r="AR347" i="3"/>
  <c r="AR148" i="3"/>
  <c r="AR134" i="3"/>
  <c r="AR69" i="3"/>
  <c r="AR231" i="3"/>
  <c r="AR319" i="3"/>
  <c r="AR289" i="3"/>
  <c r="AR225" i="3"/>
  <c r="AR285" i="3"/>
  <c r="AR115" i="3"/>
  <c r="AR29" i="3"/>
  <c r="AR20" i="3"/>
  <c r="AR283" i="3"/>
  <c r="AR143" i="3"/>
  <c r="AR83" i="3"/>
  <c r="AR317" i="3"/>
  <c r="AR179" i="3"/>
  <c r="AR252" i="3"/>
  <c r="AR99" i="3"/>
  <c r="AR282" i="3"/>
  <c r="AR239" i="3"/>
  <c r="AR346" i="3"/>
  <c r="AR237" i="3"/>
  <c r="AR190" i="3"/>
  <c r="AR169" i="3"/>
  <c r="AR187" i="3"/>
  <c r="AR172" i="3"/>
  <c r="AR208" i="3"/>
  <c r="AR325" i="3"/>
  <c r="AR212" i="3"/>
  <c r="AR215" i="3"/>
  <c r="AR126" i="3"/>
  <c r="AR119" i="3"/>
  <c r="AR236" i="3"/>
  <c r="AR88" i="3"/>
  <c r="AR59" i="3"/>
  <c r="AR3" i="3"/>
  <c r="AR93" i="3"/>
  <c r="AR267" i="3"/>
  <c r="AR108" i="3"/>
  <c r="AR253" i="3"/>
  <c r="AR290" i="3"/>
  <c r="AR50" i="3"/>
  <c r="AR310" i="3"/>
  <c r="AR312" i="3"/>
  <c r="AR220" i="3"/>
  <c r="AR84" i="3"/>
  <c r="AR254" i="3"/>
  <c r="AR150" i="3"/>
  <c r="AR14" i="3"/>
  <c r="AR16" i="3"/>
  <c r="AR6" i="3"/>
  <c r="AR153" i="3"/>
  <c r="AR128" i="3"/>
  <c r="AR146" i="3"/>
  <c r="AR26" i="3"/>
  <c r="AR156" i="3"/>
  <c r="AR113" i="3"/>
  <c r="AR309" i="3"/>
  <c r="AR116" i="3"/>
  <c r="AR95" i="3"/>
  <c r="AR352" i="3"/>
  <c r="AR71" i="3"/>
  <c r="AR329" i="3"/>
  <c r="AR159" i="3"/>
  <c r="AR175" i="3"/>
  <c r="AR160" i="3"/>
  <c r="AR341" i="3"/>
  <c r="AR121" i="3"/>
  <c r="AR158" i="3"/>
  <c r="AR87" i="3"/>
  <c r="AR226" i="3"/>
  <c r="AR218" i="3"/>
  <c r="AR70" i="3"/>
  <c r="AR343" i="3"/>
  <c r="AR135" i="3"/>
  <c r="AR67" i="3"/>
  <c r="AR217" i="3"/>
  <c r="AR106" i="3"/>
  <c r="AR177" i="3"/>
  <c r="AR56" i="3"/>
  <c r="AR247" i="3"/>
  <c r="AR330" i="3"/>
  <c r="AR52" i="3"/>
  <c r="AR13" i="3"/>
  <c r="AR64" i="3"/>
  <c r="AR193" i="3"/>
  <c r="AR339" i="3"/>
  <c r="AR321" i="3"/>
  <c r="AR54" i="3"/>
  <c r="AR104" i="3"/>
  <c r="AR161" i="3"/>
  <c r="AR51" i="3"/>
  <c r="AR206" i="3"/>
  <c r="AR234" i="3"/>
  <c r="AR120" i="3"/>
  <c r="AR204" i="3"/>
  <c r="AR80" i="3"/>
  <c r="AR130" i="3"/>
  <c r="AR34" i="3"/>
  <c r="AR328" i="3"/>
  <c r="AW2" i="3"/>
  <c r="AR8" i="3"/>
  <c r="AR340" i="3"/>
  <c r="AR201" i="3"/>
  <c r="AR68" i="3"/>
  <c r="AR109" i="3"/>
  <c r="AR147" i="3"/>
  <c r="AR197" i="3"/>
  <c r="AR41" i="3"/>
  <c r="AR266" i="3"/>
  <c r="AR151" i="3"/>
  <c r="AR170" i="3"/>
  <c r="AR295" i="3"/>
  <c r="AR78" i="3"/>
  <c r="AR349" i="3"/>
  <c r="AR125" i="3"/>
  <c r="AR186" i="3"/>
  <c r="AR296" i="3"/>
  <c r="AR263" i="3"/>
  <c r="AR27" i="3"/>
  <c r="AR351" i="3"/>
  <c r="AR7" i="3"/>
  <c r="AR167" i="3"/>
  <c r="AR4" i="3"/>
  <c r="AR211" i="3"/>
  <c r="AR40" i="3"/>
  <c r="AR184" i="3"/>
  <c r="AR196" i="3"/>
  <c r="AR265" i="3"/>
  <c r="AR293" i="3"/>
  <c r="AR229" i="3"/>
  <c r="AR22" i="3"/>
  <c r="AR280" i="3"/>
  <c r="AR79" i="3"/>
  <c r="AR72" i="3"/>
  <c r="AR262" i="3"/>
  <c r="AR189" i="3"/>
  <c r="AR297" i="3"/>
  <c r="AR149" i="3"/>
  <c r="AR25" i="3"/>
  <c r="AR243" i="3"/>
  <c r="AR248" i="3"/>
  <c r="AR100" i="3"/>
  <c r="AR129" i="3"/>
  <c r="AR171" i="3"/>
  <c r="AR107" i="3"/>
  <c r="AR235" i="3"/>
  <c r="AR200" i="3"/>
  <c r="AR63" i="3"/>
  <c r="AR276" i="3"/>
  <c r="AR173" i="3"/>
  <c r="AR322" i="3"/>
  <c r="AR39" i="3"/>
  <c r="AR320" i="3"/>
  <c r="AR28" i="3"/>
  <c r="AR240" i="3"/>
  <c r="AR333" i="3"/>
  <c r="AR66" i="3"/>
  <c r="AR24" i="3"/>
  <c r="AR307" i="3"/>
  <c r="AR268" i="3"/>
  <c r="AR326" i="3"/>
  <c r="AR238" i="3"/>
  <c r="AR228" i="3"/>
  <c r="AR242" i="3"/>
  <c r="AR111" i="3"/>
  <c r="AR43" i="3"/>
  <c r="AR301" i="3"/>
  <c r="AR144" i="3"/>
  <c r="AR86" i="3"/>
  <c r="AR279" i="3"/>
  <c r="AR180" i="3"/>
  <c r="AR36" i="3"/>
  <c r="AR308" i="3"/>
  <c r="AR311" i="3"/>
  <c r="AR221" i="3"/>
  <c r="AR96" i="3"/>
  <c r="AR127" i="3"/>
  <c r="AR58" i="3"/>
  <c r="AR270" i="3"/>
  <c r="AR112" i="3"/>
  <c r="AR255" i="3"/>
  <c r="AR42" i="3"/>
  <c r="AR327" i="3"/>
  <c r="AR195" i="3"/>
  <c r="AR334" i="3"/>
  <c r="AR304" i="3"/>
  <c r="AR181" i="3"/>
  <c r="AR194" i="3"/>
  <c r="AR10" i="3"/>
  <c r="AR183" i="3"/>
  <c r="AR168" i="3"/>
  <c r="AR244" i="3"/>
  <c r="AR62" i="3"/>
  <c r="AR291" i="3"/>
  <c r="AR176" i="3"/>
  <c r="AR136" i="3"/>
  <c r="AR131" i="3"/>
  <c r="AR202" i="3"/>
  <c r="AR348" i="3"/>
  <c r="AR162" i="3"/>
  <c r="AR65" i="3"/>
  <c r="AR15" i="3"/>
  <c r="AR350" i="3"/>
  <c r="AR114" i="3"/>
  <c r="AR192" i="3"/>
  <c r="AR335" i="3"/>
  <c r="AR230" i="3"/>
  <c r="AR97" i="3"/>
  <c r="AR138" i="3"/>
  <c r="AR133" i="3"/>
  <c r="AR182" i="3"/>
  <c r="AR259" i="3"/>
  <c r="AR332" i="3"/>
  <c r="AR90" i="3"/>
  <c r="AR250" i="3"/>
  <c r="AR288" i="3"/>
  <c r="AR11" i="3"/>
  <c r="AR124" i="3"/>
  <c r="AR164" i="3"/>
  <c r="AR298" i="3"/>
  <c r="AR286" i="3"/>
  <c r="AR232" i="3"/>
  <c r="AR157" i="3"/>
  <c r="AR118" i="3"/>
  <c r="AR264" i="3"/>
  <c r="AR105" i="3"/>
  <c r="AR142" i="3"/>
  <c r="AR210" i="3"/>
  <c r="AR33" i="3"/>
  <c r="AR110" i="3"/>
  <c r="AR278" i="3"/>
  <c r="AR272" i="3"/>
  <c r="AR137" i="3"/>
  <c r="AR81" i="3"/>
  <c r="AR23" i="3"/>
  <c r="AR82" i="3"/>
  <c r="AR251" i="3"/>
  <c r="AR274" i="3"/>
  <c r="AR306" i="3"/>
  <c r="AR123" i="3"/>
  <c r="AR314" i="3"/>
  <c r="AR92" i="3"/>
  <c r="AR313" i="3"/>
  <c r="AR331" i="3"/>
  <c r="AR19" i="3"/>
  <c r="AR53" i="3"/>
  <c r="AR205" i="3"/>
  <c r="AR224" i="3"/>
  <c r="AR74" i="3"/>
  <c r="AR305" i="3"/>
  <c r="AR318" i="3"/>
  <c r="AR139" i="3"/>
  <c r="AR233" i="3"/>
  <c r="AR294" i="3"/>
  <c r="AR209" i="3"/>
  <c r="AR191" i="3"/>
  <c r="AR152" i="3"/>
  <c r="AR188" i="3"/>
  <c r="AR5" i="3"/>
  <c r="AR277" i="3"/>
  <c r="AR273" i="3"/>
  <c r="AR324" i="3"/>
  <c r="AR258" i="3"/>
  <c r="AR35" i="3"/>
  <c r="AR141" i="3"/>
  <c r="AR155" i="3"/>
  <c r="AR315" i="3"/>
  <c r="AR38" i="3"/>
  <c r="AR336" i="3"/>
  <c r="AR91" i="3"/>
  <c r="AR260" i="3"/>
  <c r="AR214" i="3"/>
  <c r="AR302" i="3"/>
  <c r="AR345" i="3"/>
  <c r="AR227" i="3"/>
  <c r="AR275" i="3"/>
  <c r="AR249" i="3"/>
  <c r="AR207" i="3"/>
  <c r="AR166" i="3"/>
  <c r="AR9" i="3"/>
  <c r="AR21" i="3"/>
  <c r="AR18" i="3"/>
  <c r="AR323" i="3"/>
  <c r="AR102" i="3"/>
  <c r="AR261" i="3"/>
  <c r="AR299" i="3"/>
  <c r="AR32" i="3"/>
  <c r="AR47" i="3"/>
  <c r="AR245" i="3"/>
  <c r="AR77" i="3"/>
  <c r="AW199" i="3"/>
  <c r="AW160" i="3"/>
  <c r="AW84" i="3"/>
  <c r="AW255" i="3"/>
  <c r="AW222" i="3"/>
  <c r="AW170" i="3"/>
  <c r="AW91" i="3"/>
  <c r="AW3" i="3"/>
  <c r="AW190" i="3"/>
  <c r="AW89" i="3"/>
  <c r="AW142" i="3"/>
  <c r="AW53" i="2"/>
  <c r="AW45" i="2"/>
  <c r="AW98" i="2"/>
  <c r="AW24" i="2"/>
  <c r="AW90" i="2"/>
  <c r="AW49" i="2"/>
  <c r="AW21" i="2"/>
  <c r="AW93" i="2"/>
  <c r="AW76" i="2"/>
  <c r="AW63" i="2"/>
  <c r="AW99" i="2"/>
  <c r="AW69" i="2"/>
  <c r="AW15" i="2"/>
  <c r="AW30" i="2"/>
  <c r="AW64" i="2"/>
  <c r="AW72" i="2"/>
  <c r="AW54" i="2"/>
  <c r="AW81" i="2"/>
  <c r="AW31" i="2"/>
  <c r="AW26" i="2"/>
  <c r="AW36" i="2"/>
  <c r="AW65" i="2"/>
  <c r="AW55" i="2"/>
  <c r="AW86" i="2"/>
  <c r="AW97" i="2"/>
  <c r="AW89" i="2"/>
  <c r="AW8" i="2"/>
  <c r="AW22" i="2"/>
  <c r="AW88" i="2"/>
  <c r="AW85" i="2"/>
  <c r="AW62" i="2"/>
  <c r="AW96" i="2"/>
  <c r="AW80" i="2"/>
  <c r="AW13" i="2"/>
  <c r="AW51" i="2"/>
  <c r="AW92" i="2"/>
  <c r="AW82" i="2"/>
  <c r="AW39" i="2"/>
  <c r="AW75" i="2"/>
  <c r="AW41" i="2"/>
  <c r="AW16" i="2"/>
  <c r="AW73" i="2"/>
  <c r="AW57" i="2"/>
  <c r="AW20" i="2"/>
  <c r="AW35" i="2"/>
  <c r="AW10" i="2"/>
  <c r="AW33" i="2"/>
  <c r="AW6" i="2"/>
  <c r="BB2" i="2"/>
  <c r="AW79" i="2"/>
  <c r="AW34" i="2"/>
  <c r="AW56" i="2"/>
  <c r="AW11" i="2"/>
  <c r="AW84" i="2"/>
  <c r="AW47" i="2"/>
  <c r="AW74" i="2"/>
  <c r="AW48" i="2"/>
  <c r="AW32" i="2"/>
  <c r="AW43" i="2"/>
  <c r="AW25" i="2"/>
  <c r="AW52" i="2"/>
  <c r="AW60" i="2"/>
  <c r="AW7" i="2"/>
  <c r="AW9" i="2"/>
  <c r="AW50" i="2"/>
  <c r="AW18" i="2"/>
  <c r="AW70" i="2"/>
  <c r="AW59" i="2"/>
  <c r="AW67" i="2"/>
  <c r="AW37" i="2"/>
  <c r="AW4" i="2"/>
  <c r="AW100" i="2"/>
  <c r="AW101" i="2"/>
  <c r="AW14" i="2"/>
  <c r="AW78" i="2"/>
  <c r="AW19" i="2"/>
  <c r="AW40" i="2"/>
  <c r="AW58" i="2"/>
  <c r="AW27" i="2"/>
  <c r="AW29" i="2"/>
  <c r="AW87" i="2"/>
  <c r="AW46" i="2"/>
  <c r="AW3" i="2"/>
  <c r="AW2" i="2"/>
  <c r="AW68" i="2"/>
  <c r="AW95" i="2"/>
  <c r="AW17" i="2"/>
  <c r="AW77" i="2"/>
  <c r="AW42" i="2"/>
  <c r="AW12" i="2"/>
  <c r="AW61" i="2"/>
  <c r="AW71" i="2"/>
  <c r="AW38" i="2"/>
  <c r="AW28" i="2"/>
  <c r="AW23" i="2"/>
  <c r="AW94" i="2"/>
  <c r="AW83" i="2"/>
  <c r="AW5" i="2"/>
  <c r="AW91" i="2"/>
  <c r="AW44" i="2"/>
  <c r="AW66" i="2"/>
  <c r="AW28" i="3"/>
  <c r="AW179" i="3"/>
  <c r="AP2" i="4"/>
  <c r="AS2" i="4" s="1"/>
  <c r="AU2" i="4"/>
  <c r="AW61" i="3"/>
  <c r="AW143" i="3"/>
  <c r="AW119" i="3"/>
  <c r="AW180" i="3"/>
  <c r="AW83" i="3"/>
  <c r="AW4" i="3"/>
  <c r="AW216" i="3"/>
  <c r="AW118" i="3"/>
  <c r="AW196" i="3"/>
  <c r="AW32" i="3"/>
  <c r="AW201" i="3"/>
  <c r="AW236" i="3"/>
  <c r="AN93" i="3"/>
  <c r="AN300" i="3"/>
  <c r="AW149" i="3"/>
  <c r="AN192" i="3"/>
  <c r="AN158" i="3"/>
  <c r="AW74" i="3"/>
  <c r="AN7" i="2"/>
  <c r="AN14" i="2"/>
  <c r="AN81" i="2"/>
  <c r="AN93" i="2"/>
  <c r="AN97" i="2"/>
  <c r="AN77" i="2"/>
  <c r="AN99" i="2"/>
  <c r="AN42" i="2"/>
  <c r="AN36" i="2"/>
  <c r="AN34" i="2"/>
  <c r="AN67" i="2"/>
  <c r="AN46" i="2"/>
  <c r="AN58" i="2"/>
  <c r="AN80" i="2"/>
  <c r="AN68" i="2"/>
  <c r="AN26" i="2"/>
  <c r="AN8" i="2"/>
  <c r="AN12" i="2"/>
  <c r="AN45" i="2"/>
  <c r="AN51" i="2"/>
  <c r="AN16" i="2"/>
  <c r="AN28" i="2"/>
  <c r="AS2" i="2"/>
  <c r="AN38" i="2"/>
  <c r="AN57" i="2"/>
  <c r="AN50" i="2"/>
  <c r="AN13" i="2"/>
  <c r="AN95" i="2"/>
  <c r="AN63" i="2"/>
  <c r="AN78" i="2"/>
  <c r="AN43" i="2"/>
  <c r="AN55" i="2"/>
  <c r="AN62" i="2"/>
  <c r="AN6" i="2"/>
  <c r="AN41" i="2"/>
  <c r="AN61" i="2"/>
  <c r="AN70" i="2"/>
  <c r="AN53" i="2"/>
  <c r="AN94" i="2"/>
  <c r="AN22" i="2"/>
  <c r="AN98" i="2"/>
  <c r="AN25" i="2"/>
  <c r="AN40" i="2"/>
  <c r="AN85" i="2"/>
  <c r="AN73" i="2"/>
  <c r="AN54" i="2"/>
  <c r="AN60" i="2"/>
  <c r="AN29" i="2"/>
  <c r="AN65" i="2"/>
  <c r="AN19" i="2"/>
  <c r="AN66" i="2"/>
  <c r="AN88" i="2"/>
  <c r="AN27" i="2"/>
  <c r="AN71" i="2"/>
  <c r="AN101" i="2"/>
  <c r="AN84" i="2"/>
  <c r="AN11" i="2"/>
  <c r="AN56" i="2"/>
  <c r="AN69" i="2"/>
  <c r="AN9" i="2"/>
  <c r="AN49" i="2"/>
  <c r="AN23" i="2"/>
  <c r="AN75" i="2"/>
  <c r="AN87" i="2"/>
  <c r="AN2" i="2"/>
  <c r="AN18" i="2"/>
  <c r="AN96" i="2"/>
  <c r="AN31" i="2"/>
  <c r="AN17" i="2"/>
  <c r="AN21" i="2"/>
  <c r="AN79" i="2"/>
  <c r="AN15" i="2"/>
  <c r="AN72" i="2"/>
  <c r="AN3" i="2"/>
  <c r="AN10" i="2"/>
  <c r="AN86" i="2"/>
  <c r="AN44" i="2"/>
  <c r="AN35" i="2"/>
  <c r="AN74" i="2"/>
  <c r="AN83" i="2"/>
  <c r="AN92" i="2"/>
  <c r="AN37" i="2"/>
  <c r="AN90" i="2"/>
  <c r="AN64" i="2"/>
  <c r="AN89" i="2"/>
  <c r="AN47" i="2"/>
  <c r="AN24" i="2"/>
  <c r="AN91" i="2"/>
  <c r="AN52" i="2"/>
  <c r="AN33" i="2"/>
  <c r="AN30" i="2"/>
  <c r="AN4" i="2"/>
  <c r="AN59" i="2"/>
  <c r="AN39" i="2"/>
  <c r="AN5" i="2"/>
  <c r="AN82" i="2"/>
  <c r="AN48" i="2"/>
  <c r="AN76" i="2"/>
  <c r="AN20" i="2"/>
  <c r="AN100" i="2"/>
  <c r="AN32" i="2"/>
  <c r="AG2" i="4"/>
  <c r="AJ2" i="4" s="1"/>
  <c r="AL2" i="4"/>
  <c r="AI308" i="3"/>
  <c r="AI95" i="3"/>
  <c r="AI15" i="3"/>
  <c r="AI210" i="3"/>
  <c r="AI46" i="3"/>
  <c r="AI271" i="3"/>
  <c r="AI327" i="3"/>
  <c r="AI289" i="3"/>
  <c r="AI60" i="3"/>
  <c r="AI243" i="3"/>
  <c r="AI335" i="3"/>
  <c r="AI353" i="3"/>
  <c r="AI309" i="3"/>
  <c r="AI186" i="3"/>
  <c r="AI263" i="3"/>
  <c r="AI122" i="3"/>
  <c r="AI144" i="3"/>
  <c r="AI255" i="3"/>
  <c r="AI194" i="3"/>
  <c r="AI178" i="3"/>
  <c r="AI312" i="3"/>
  <c r="AI175" i="3"/>
  <c r="AI14" i="3"/>
  <c r="AI254" i="3"/>
  <c r="AI62" i="3"/>
  <c r="AI211" i="3"/>
  <c r="AI126" i="3"/>
  <c r="AI113" i="3"/>
  <c r="AI57" i="3"/>
  <c r="AI320" i="3"/>
  <c r="AI70" i="3"/>
  <c r="AI72" i="3"/>
  <c r="AI4" i="3"/>
  <c r="AI322" i="3"/>
  <c r="AI86" i="3"/>
  <c r="AI118" i="3"/>
  <c r="AI71" i="3"/>
  <c r="AI12" i="3"/>
  <c r="AI225" i="3"/>
  <c r="AI54" i="3"/>
  <c r="AI256" i="3"/>
  <c r="AI180" i="3"/>
  <c r="AI25" i="3"/>
  <c r="AI198" i="3"/>
  <c r="AI208" i="3"/>
  <c r="AI223" i="3"/>
  <c r="AI164" i="3"/>
  <c r="AI230" i="3"/>
  <c r="AI272" i="3"/>
  <c r="AI129" i="3"/>
  <c r="AI346" i="3"/>
  <c r="AI81" i="3"/>
  <c r="AI171" i="3"/>
  <c r="AI216" i="3"/>
  <c r="AI100" i="3"/>
  <c r="AI261" i="3"/>
  <c r="AI104" i="3"/>
  <c r="AI233" i="3"/>
  <c r="AI270" i="3"/>
  <c r="AI52" i="3"/>
  <c r="AI93" i="3"/>
  <c r="AI65" i="3"/>
  <c r="AI16" i="3"/>
  <c r="AI58" i="3"/>
  <c r="AI268" i="3"/>
  <c r="AI331" i="3"/>
  <c r="AI291" i="3"/>
  <c r="AI141" i="3"/>
  <c r="AI214" i="3"/>
  <c r="AI294" i="3"/>
  <c r="AI295" i="3"/>
  <c r="AI237" i="3"/>
  <c r="AI275" i="3"/>
  <c r="AI269" i="3"/>
  <c r="AI182" i="3"/>
  <c r="AI259" i="3"/>
  <c r="AI340" i="3"/>
  <c r="AI139" i="3"/>
  <c r="AI345" i="3"/>
  <c r="AI99" i="3"/>
  <c r="AI148" i="3"/>
  <c r="AI248" i="3"/>
  <c r="AI51" i="3"/>
  <c r="AI168" i="3"/>
  <c r="AI212" i="3"/>
  <c r="AI347" i="3"/>
  <c r="AI159" i="3"/>
  <c r="AI17" i="3"/>
  <c r="AI138" i="3"/>
  <c r="AI27" i="3"/>
  <c r="AI265" i="3"/>
  <c r="AI247" i="3"/>
  <c r="AI121" i="3"/>
  <c r="AI319" i="3"/>
  <c r="AI234" i="3"/>
  <c r="AI56" i="3"/>
  <c r="AI199" i="3"/>
  <c r="AI66" i="3"/>
  <c r="AI8" i="3"/>
  <c r="AI128" i="3"/>
  <c r="AI23" i="3"/>
  <c r="AI59" i="3"/>
  <c r="AI142" i="3"/>
  <c r="AI334" i="3"/>
  <c r="AI299" i="3"/>
  <c r="AI68" i="3"/>
  <c r="AI286" i="3"/>
  <c r="AI195" i="3"/>
  <c r="AI298" i="3"/>
  <c r="AI131" i="3"/>
  <c r="AI290" i="3"/>
  <c r="AI215" i="3"/>
  <c r="AI77" i="3"/>
  <c r="AI227" i="3"/>
  <c r="AI183" i="3"/>
  <c r="AI213" i="3"/>
  <c r="AI38" i="3"/>
  <c r="AI264" i="3"/>
  <c r="AI338" i="3"/>
  <c r="AI53" i="3"/>
  <c r="AI302" i="3"/>
  <c r="AI73" i="3"/>
  <c r="AI82" i="3"/>
  <c r="AI64" i="3"/>
  <c r="AI31" i="3"/>
  <c r="AI98" i="3"/>
  <c r="AI69" i="3"/>
  <c r="AI287" i="3"/>
  <c r="AI120" i="3"/>
  <c r="AI174" i="3"/>
  <c r="AI83" i="3"/>
  <c r="AI158" i="3"/>
  <c r="AI108" i="3"/>
  <c r="AI193" i="3"/>
  <c r="AI162" i="3"/>
  <c r="AI33" i="3"/>
  <c r="AI28" i="3"/>
  <c r="AI166" i="3"/>
  <c r="AI61" i="3"/>
  <c r="AI330" i="3"/>
  <c r="AI282" i="3"/>
  <c r="AI306" i="3"/>
  <c r="AI203" i="3"/>
  <c r="AI96" i="3"/>
  <c r="AI324" i="3"/>
  <c r="AI245" i="3"/>
  <c r="AI34" i="3"/>
  <c r="AI179" i="3"/>
  <c r="AN2" i="3"/>
  <c r="AI283" i="3"/>
  <c r="AI30" i="3"/>
  <c r="AI200" i="3"/>
  <c r="AI332" i="3"/>
  <c r="AI220" i="3"/>
  <c r="AI197" i="3"/>
  <c r="AI229" i="3"/>
  <c r="AI232" i="3"/>
  <c r="AI288" i="3"/>
  <c r="AI219" i="3"/>
  <c r="AI349" i="3"/>
  <c r="AI143" i="3"/>
  <c r="AI135" i="3"/>
  <c r="AI105" i="3"/>
  <c r="AI42" i="3"/>
  <c r="AI133" i="3"/>
  <c r="AI318" i="3"/>
  <c r="AI107" i="3"/>
  <c r="AI204" i="3"/>
  <c r="AI189" i="3"/>
  <c r="AI339" i="3"/>
  <c r="AI249" i="3"/>
  <c r="AI221" i="3"/>
  <c r="AI47" i="3"/>
  <c r="AI241" i="3"/>
  <c r="AI222" i="3"/>
  <c r="AI336" i="3"/>
  <c r="AI217" i="3"/>
  <c r="AI9" i="3"/>
  <c r="AI304" i="3"/>
  <c r="AI293" i="3"/>
  <c r="AI252" i="3"/>
  <c r="AI21" i="3"/>
  <c r="AI90" i="3"/>
  <c r="AI202" i="3"/>
  <c r="AI137" i="3"/>
  <c r="AI257" i="3"/>
  <c r="AI292" i="3"/>
  <c r="AI315" i="3"/>
  <c r="AI262" i="3"/>
  <c r="AI218" i="3"/>
  <c r="AI49" i="3"/>
  <c r="AI146" i="3"/>
  <c r="AI244" i="3"/>
  <c r="AI181" i="3"/>
  <c r="AI246" i="3"/>
  <c r="AI305" i="3"/>
  <c r="AI124" i="3"/>
  <c r="AI50" i="3"/>
  <c r="AI79" i="3"/>
  <c r="AI250" i="3"/>
  <c r="AI19" i="3"/>
  <c r="AI184" i="3"/>
  <c r="AI206" i="3"/>
  <c r="AI154" i="3"/>
  <c r="AI260" i="3"/>
  <c r="AI333" i="3"/>
  <c r="AI337" i="3"/>
  <c r="AI274" i="3"/>
  <c r="AI185" i="3"/>
  <c r="AI140" i="3"/>
  <c r="AI267" i="3"/>
  <c r="AI313" i="3"/>
  <c r="AI6" i="3"/>
  <c r="AI91" i="3"/>
  <c r="AI328" i="3"/>
  <c r="AI136" i="3"/>
  <c r="AI127" i="3"/>
  <c r="AI22" i="3"/>
  <c r="AI44" i="3"/>
  <c r="AI341" i="3"/>
  <c r="AI177" i="3"/>
  <c r="AI32" i="3"/>
  <c r="AI207" i="3"/>
  <c r="AI281" i="3"/>
  <c r="AI343" i="3"/>
  <c r="AI251" i="3"/>
  <c r="AI325" i="3"/>
  <c r="AI75" i="3"/>
  <c r="AI190" i="3"/>
  <c r="AI156" i="3"/>
  <c r="AI239" i="3"/>
  <c r="AI173" i="3"/>
  <c r="AI11" i="3"/>
  <c r="AI279" i="3"/>
  <c r="AI253" i="3"/>
  <c r="AI106" i="3"/>
  <c r="AI258" i="3"/>
  <c r="AI87" i="3"/>
  <c r="AI277" i="3"/>
  <c r="AI45" i="3"/>
  <c r="AI103" i="3"/>
  <c r="AI284" i="3"/>
  <c r="AI192" i="3"/>
  <c r="AI352" i="3"/>
  <c r="AI78" i="3"/>
  <c r="AI94" i="3"/>
  <c r="AI301" i="3"/>
  <c r="AI102" i="3"/>
  <c r="AI116" i="3"/>
  <c r="AI3" i="3"/>
  <c r="AI150" i="3"/>
  <c r="AI326" i="3"/>
  <c r="AI88" i="3"/>
  <c r="AI226" i="3"/>
  <c r="AI67" i="3"/>
  <c r="AI266" i="3"/>
  <c r="AI169" i="3"/>
  <c r="AI125" i="3"/>
  <c r="AI63" i="3"/>
  <c r="AI110" i="3"/>
  <c r="AI84" i="3"/>
  <c r="AI228" i="3"/>
  <c r="AI39" i="3"/>
  <c r="AI117" i="3"/>
  <c r="AI344" i="3"/>
  <c r="AI55" i="3"/>
  <c r="AI24" i="3"/>
  <c r="AI147" i="3"/>
  <c r="AI176" i="3"/>
  <c r="AI310" i="3"/>
  <c r="AI89" i="3"/>
  <c r="AI92" i="3"/>
  <c r="AI20" i="3"/>
  <c r="AI109" i="3"/>
  <c r="AI209" i="3"/>
  <c r="AI238" i="3"/>
  <c r="AI48" i="3"/>
  <c r="AI101" i="3"/>
  <c r="AI29" i="3"/>
  <c r="AI18" i="3"/>
  <c r="AI350" i="3"/>
  <c r="AI236" i="3"/>
  <c r="AI307" i="3"/>
  <c r="AI224" i="3"/>
  <c r="AI297" i="3"/>
  <c r="AI311" i="3"/>
  <c r="AI273" i="3"/>
  <c r="AI7" i="3"/>
  <c r="AI300" i="3"/>
  <c r="AI240" i="3"/>
  <c r="AI163" i="3"/>
  <c r="AI130" i="3"/>
  <c r="AI280" i="3"/>
  <c r="AI188" i="3"/>
  <c r="AI165" i="3"/>
  <c r="AI278" i="3"/>
  <c r="AI97" i="3"/>
  <c r="AI242" i="3"/>
  <c r="AI153" i="3"/>
  <c r="AI155" i="3"/>
  <c r="AI160" i="3"/>
  <c r="AI348" i="3"/>
  <c r="AI276" i="3"/>
  <c r="AI80" i="3"/>
  <c r="AI201" i="3"/>
  <c r="AI43" i="3"/>
  <c r="AI351" i="3"/>
  <c r="AI134" i="3"/>
  <c r="AI172" i="3"/>
  <c r="AI205" i="3"/>
  <c r="AI36" i="3"/>
  <c r="AI13" i="3"/>
  <c r="AI329" i="3"/>
  <c r="AI41" i="3"/>
  <c r="AI114" i="3"/>
  <c r="AI196" i="3"/>
  <c r="AI26" i="3"/>
  <c r="AI74" i="3"/>
  <c r="AI314" i="3"/>
  <c r="AI151" i="3"/>
  <c r="AI187" i="3"/>
  <c r="AI170" i="3"/>
  <c r="AI40" i="3"/>
  <c r="AI285" i="3"/>
  <c r="AI132" i="3"/>
  <c r="AI35" i="3"/>
  <c r="AI152" i="3"/>
  <c r="AI167" i="3"/>
  <c r="AI191" i="3"/>
  <c r="AI10" i="3"/>
  <c r="AI85" i="3"/>
  <c r="AI157" i="3"/>
  <c r="AI112" i="3"/>
  <c r="AI323" i="3"/>
  <c r="AI123" i="3"/>
  <c r="AI149" i="3"/>
  <c r="AI115" i="3"/>
  <c r="AI111" i="3"/>
  <c r="AI5" i="3"/>
  <c r="AI76" i="3"/>
  <c r="AI37" i="3"/>
  <c r="AI317" i="3"/>
  <c r="AI161" i="3"/>
  <c r="AI296" i="3"/>
  <c r="AI119" i="3"/>
  <c r="AI303" i="3"/>
  <c r="AI316" i="3"/>
  <c r="AI321" i="3"/>
  <c r="AI235" i="3"/>
  <c r="AI2" i="3"/>
  <c r="AI342" i="3"/>
  <c r="AI231" i="3"/>
  <c r="AN3" i="3"/>
  <c r="AN255" i="3"/>
  <c r="AN28" i="3"/>
  <c r="AN208" i="3"/>
  <c r="AN273" i="3"/>
  <c r="AN226" i="3"/>
  <c r="AN217" i="3"/>
  <c r="AW102" i="3"/>
  <c r="AN35" i="3"/>
  <c r="AN287" i="3"/>
  <c r="AN108" i="3"/>
  <c r="AN55" i="3"/>
  <c r="AN312" i="3"/>
  <c r="AN117" i="3"/>
  <c r="AN334" i="3"/>
  <c r="AN29" i="3"/>
  <c r="AN141" i="3"/>
  <c r="AN231" i="3"/>
  <c r="AN304" i="3"/>
  <c r="AN124" i="3"/>
  <c r="AN33" i="3"/>
  <c r="AN282" i="3"/>
  <c r="AN313" i="3"/>
  <c r="AN330" i="3"/>
  <c r="AN338" i="3"/>
  <c r="AN232" i="3"/>
  <c r="AN4" i="3"/>
  <c r="AN37" i="3"/>
  <c r="AE180" i="3"/>
  <c r="AE76" i="2"/>
  <c r="AE28" i="2"/>
  <c r="AE17" i="2"/>
  <c r="AE91" i="2"/>
  <c r="AE84" i="2"/>
  <c r="AE39" i="2"/>
  <c r="AE55" i="2"/>
  <c r="AJ2" i="2"/>
  <c r="AE15" i="2"/>
  <c r="AE20" i="2"/>
  <c r="AE51" i="2"/>
  <c r="AE35" i="2"/>
  <c r="AE37" i="2"/>
  <c r="AE98" i="2"/>
  <c r="AE100" i="2"/>
  <c r="AE56" i="2"/>
  <c r="AE49" i="2"/>
  <c r="AE71" i="2"/>
  <c r="AE11" i="2"/>
  <c r="AE73" i="2"/>
  <c r="AE45" i="2"/>
  <c r="AE75" i="2"/>
  <c r="AE64" i="2"/>
  <c r="AE72" i="2"/>
  <c r="AE29" i="2"/>
  <c r="AE33" i="2"/>
  <c r="AE6" i="2"/>
  <c r="AE79" i="2"/>
  <c r="AE88" i="2"/>
  <c r="AE89" i="2"/>
  <c r="AE78" i="2"/>
  <c r="AE68" i="2"/>
  <c r="AE4" i="2"/>
  <c r="AE48" i="2"/>
  <c r="AE57" i="2"/>
  <c r="AE30" i="2"/>
  <c r="AE9" i="2"/>
  <c r="AE2" i="2"/>
  <c r="AE69" i="2"/>
  <c r="AE99" i="2"/>
  <c r="AE86" i="2"/>
  <c r="AE25" i="2"/>
  <c r="AE67" i="2"/>
  <c r="AE81" i="2"/>
  <c r="AE32" i="2"/>
  <c r="AE26" i="2"/>
  <c r="AE59" i="2"/>
  <c r="AE82" i="2"/>
  <c r="AE61" i="2"/>
  <c r="AE96" i="2"/>
  <c r="AE42" i="2"/>
  <c r="AE36" i="2"/>
  <c r="AE70" i="2"/>
  <c r="AE97" i="2"/>
  <c r="AE44" i="2"/>
  <c r="AE40" i="2"/>
  <c r="AE22" i="2"/>
  <c r="AE92" i="2"/>
  <c r="AE54" i="2"/>
  <c r="AE80" i="2"/>
  <c r="AE7" i="2"/>
  <c r="AE65" i="2"/>
  <c r="AE23" i="2"/>
  <c r="AE8" i="2"/>
  <c r="AE77" i="2"/>
  <c r="AE83" i="2"/>
  <c r="AE27" i="2"/>
  <c r="AE46" i="2"/>
  <c r="AE14" i="2"/>
  <c r="AE85" i="2"/>
  <c r="AE95" i="2"/>
  <c r="AE101" i="2"/>
  <c r="AE52" i="2"/>
  <c r="AE93" i="2"/>
  <c r="AE60" i="2"/>
  <c r="AE18" i="2"/>
  <c r="AE87" i="2"/>
  <c r="AE19" i="2"/>
  <c r="AE53" i="2"/>
  <c r="AE21" i="2"/>
  <c r="AE90" i="2"/>
  <c r="AE5" i="2"/>
  <c r="AE94" i="2"/>
  <c r="AE24" i="2"/>
  <c r="AE58" i="2"/>
  <c r="AE63" i="2"/>
  <c r="AE62" i="2"/>
  <c r="AE41" i="2"/>
  <c r="AE16" i="2"/>
  <c r="AE31" i="2"/>
  <c r="AE10" i="2"/>
  <c r="AE12" i="2"/>
  <c r="AE50" i="2"/>
  <c r="AE38" i="2"/>
  <c r="AE34" i="2"/>
  <c r="AE47" i="2"/>
  <c r="AE66" i="2"/>
  <c r="AE43" i="2"/>
  <c r="AE13" i="2"/>
  <c r="AE74" i="2"/>
  <c r="AE3" i="2"/>
  <c r="X2" i="4"/>
  <c r="AA2" i="4" s="1"/>
  <c r="AC2" i="4"/>
  <c r="Z27" i="3"/>
  <c r="Z289" i="3"/>
  <c r="Z173" i="3"/>
  <c r="Z274" i="3"/>
  <c r="Z284" i="3"/>
  <c r="Z220" i="3"/>
  <c r="Z345" i="3"/>
  <c r="Z201" i="3"/>
  <c r="Z124" i="3"/>
  <c r="Z131" i="3"/>
  <c r="Z192" i="3"/>
  <c r="Z76" i="3"/>
  <c r="Z180" i="3"/>
  <c r="Z101" i="3"/>
  <c r="Z34" i="3"/>
  <c r="Z285" i="3"/>
  <c r="Z277" i="3"/>
  <c r="Z199" i="3"/>
  <c r="Z81" i="3"/>
  <c r="Z269" i="3"/>
  <c r="Z137" i="3"/>
  <c r="Z258" i="3"/>
  <c r="Z310" i="3"/>
  <c r="Z251" i="3"/>
  <c r="Z288" i="3"/>
  <c r="Z140" i="3"/>
  <c r="Z275" i="3"/>
  <c r="Z100" i="3"/>
  <c r="Z209" i="3"/>
  <c r="Z50" i="3"/>
  <c r="Z343" i="3"/>
  <c r="Z114" i="3"/>
  <c r="Z98" i="3"/>
  <c r="Z187" i="3"/>
  <c r="Z8" i="3"/>
  <c r="Z162" i="3"/>
  <c r="Z313" i="3"/>
  <c r="Z23" i="3"/>
  <c r="Z150" i="3"/>
  <c r="Z236" i="3"/>
  <c r="Z320" i="3"/>
  <c r="Z161" i="3"/>
  <c r="Z89" i="3"/>
  <c r="Z44" i="3"/>
  <c r="Z99" i="3"/>
  <c r="Z328" i="3"/>
  <c r="Z336" i="3"/>
  <c r="Z62" i="3"/>
  <c r="Z202" i="3"/>
  <c r="Z109" i="3"/>
  <c r="Z28" i="3"/>
  <c r="Z135" i="3"/>
  <c r="Z314" i="3"/>
  <c r="Z247" i="3"/>
  <c r="Z232" i="3"/>
  <c r="Z250" i="3"/>
  <c r="Z252" i="3"/>
  <c r="Z6" i="3"/>
  <c r="Z221" i="3"/>
  <c r="Z60" i="3"/>
  <c r="Z239" i="3"/>
  <c r="Z222" i="3"/>
  <c r="Z79" i="3"/>
  <c r="Z331" i="3"/>
  <c r="Z261" i="3"/>
  <c r="Z80" i="3"/>
  <c r="Z254" i="3"/>
  <c r="Z294" i="3"/>
  <c r="Z122" i="3"/>
  <c r="Z178" i="3"/>
  <c r="Z66" i="3"/>
  <c r="Z102" i="3"/>
  <c r="Z170" i="3"/>
  <c r="Z113" i="3"/>
  <c r="Z64" i="3"/>
  <c r="Z42" i="3"/>
  <c r="Z181" i="3"/>
  <c r="Z276" i="3"/>
  <c r="Z82" i="3"/>
  <c r="Z322" i="3"/>
  <c r="Z12" i="3"/>
  <c r="Z350" i="3"/>
  <c r="Z2" i="3"/>
  <c r="Z347" i="3"/>
  <c r="Z156" i="3"/>
  <c r="Z68" i="3"/>
  <c r="Z307" i="3"/>
  <c r="Z248" i="3"/>
  <c r="Z108" i="3"/>
  <c r="Z117" i="3"/>
  <c r="Z159" i="3"/>
  <c r="Z160" i="3"/>
  <c r="Z115" i="3"/>
  <c r="Z203" i="3"/>
  <c r="Z260" i="3"/>
  <c r="Z138" i="3"/>
  <c r="Z323" i="3"/>
  <c r="Z105" i="3"/>
  <c r="Z218" i="3"/>
  <c r="Z216" i="3"/>
  <c r="Z5" i="3"/>
  <c r="Z183" i="3"/>
  <c r="Z36" i="3"/>
  <c r="Z172" i="3"/>
  <c r="Z226" i="3"/>
  <c r="Z235" i="3"/>
  <c r="Z262" i="3"/>
  <c r="Z169" i="3"/>
  <c r="Z43" i="3"/>
  <c r="Z67" i="3"/>
  <c r="Z38" i="3"/>
  <c r="Z256" i="3"/>
  <c r="Z346" i="3"/>
  <c r="Z293" i="3"/>
  <c r="Z190" i="3"/>
  <c r="Z63" i="3"/>
  <c r="Z37" i="3"/>
  <c r="Z327" i="3"/>
  <c r="Z65" i="3"/>
  <c r="Z228" i="3"/>
  <c r="Z47" i="3"/>
  <c r="Z157" i="3"/>
  <c r="Z11" i="3"/>
  <c r="Z349" i="3"/>
  <c r="Z51" i="3"/>
  <c r="Z342" i="3"/>
  <c r="Z167" i="3"/>
  <c r="Z182" i="3"/>
  <c r="Z212" i="3"/>
  <c r="Z319" i="3"/>
  <c r="Z208" i="3"/>
  <c r="Z330" i="3"/>
  <c r="Z32" i="3"/>
  <c r="Z253" i="3"/>
  <c r="Z279" i="3"/>
  <c r="Z223" i="3"/>
  <c r="Z233" i="3"/>
  <c r="Z210" i="3"/>
  <c r="Z96" i="3"/>
  <c r="Z16" i="3"/>
  <c r="Z324" i="3"/>
  <c r="Z175" i="3"/>
  <c r="Z318" i="3"/>
  <c r="Z120" i="3"/>
  <c r="Z70" i="3"/>
  <c r="Z237" i="3"/>
  <c r="Z265" i="3"/>
  <c r="Z116" i="3"/>
  <c r="Z326" i="3"/>
  <c r="Z35" i="3"/>
  <c r="Z191" i="3"/>
  <c r="Z196" i="3"/>
  <c r="Z325" i="3"/>
  <c r="Z280" i="3"/>
  <c r="Z241" i="3"/>
  <c r="Z302" i="3"/>
  <c r="Z249" i="3"/>
  <c r="Z40" i="3"/>
  <c r="Z46" i="3"/>
  <c r="Z148" i="3"/>
  <c r="Z48" i="3"/>
  <c r="Z348" i="3"/>
  <c r="Z128" i="3"/>
  <c r="Z85" i="3"/>
  <c r="Z106" i="3"/>
  <c r="Z194" i="3"/>
  <c r="Z87" i="3"/>
  <c r="Z134" i="3"/>
  <c r="Z211" i="3"/>
  <c r="Z39" i="3"/>
  <c r="Z205" i="3"/>
  <c r="Z185" i="3"/>
  <c r="Z3" i="3"/>
  <c r="Z283" i="3"/>
  <c r="Z111" i="3"/>
  <c r="Z287" i="3"/>
  <c r="Z333" i="3"/>
  <c r="Z121" i="3"/>
  <c r="Z9" i="3"/>
  <c r="Z316" i="3"/>
  <c r="Z334" i="3"/>
  <c r="Z74" i="3"/>
  <c r="Z224" i="3"/>
  <c r="Z271" i="3"/>
  <c r="Z71" i="3"/>
  <c r="Z164" i="3"/>
  <c r="Z341" i="3"/>
  <c r="Z264" i="3"/>
  <c r="Z338" i="3"/>
  <c r="Z352" i="3"/>
  <c r="Z84" i="3"/>
  <c r="Z22" i="3"/>
  <c r="Z245" i="3"/>
  <c r="Z94" i="3"/>
  <c r="AE2" i="3"/>
  <c r="Z273" i="3"/>
  <c r="Z13" i="3"/>
  <c r="Z165" i="3"/>
  <c r="Z45" i="3"/>
  <c r="Z295" i="3"/>
  <c r="Z267" i="3"/>
  <c r="Z126" i="3"/>
  <c r="Z19" i="3"/>
  <c r="Z69" i="3"/>
  <c r="Z351" i="3"/>
  <c r="Z282" i="3"/>
  <c r="Z177" i="3"/>
  <c r="Z97" i="3"/>
  <c r="Z139" i="3"/>
  <c r="Z14" i="3"/>
  <c r="Z130" i="3"/>
  <c r="Z73" i="3"/>
  <c r="Z188" i="3"/>
  <c r="Z213" i="3"/>
  <c r="Z200" i="3"/>
  <c r="Z90" i="3"/>
  <c r="Z75" i="3"/>
  <c r="Z272" i="3"/>
  <c r="Z10" i="3"/>
  <c r="Z127" i="3"/>
  <c r="Z179" i="3"/>
  <c r="Z110" i="3"/>
  <c r="Z225" i="3"/>
  <c r="Z21" i="3"/>
  <c r="Z59" i="3"/>
  <c r="Z215" i="3"/>
  <c r="Z119" i="3"/>
  <c r="Z296" i="3"/>
  <c r="Z266" i="3"/>
  <c r="Z297" i="3"/>
  <c r="Z168" i="3"/>
  <c r="Z7" i="3"/>
  <c r="Z300" i="3"/>
  <c r="Z204" i="3"/>
  <c r="Z340" i="3"/>
  <c r="Z144" i="3"/>
  <c r="Z24" i="3"/>
  <c r="Z57" i="3"/>
  <c r="Z155" i="3"/>
  <c r="Z243" i="3"/>
  <c r="Z329" i="3"/>
  <c r="Z189" i="3"/>
  <c r="Z132" i="3"/>
  <c r="Z207" i="3"/>
  <c r="Z206" i="3"/>
  <c r="Z53" i="3"/>
  <c r="Z281" i="3"/>
  <c r="Z77" i="3"/>
  <c r="Z308" i="3"/>
  <c r="Z107" i="3"/>
  <c r="Z147" i="3"/>
  <c r="Z41" i="3"/>
  <c r="Z229" i="3"/>
  <c r="Z238" i="3"/>
  <c r="Z195" i="3"/>
  <c r="Z49" i="3"/>
  <c r="Z259" i="3"/>
  <c r="Z311" i="3"/>
  <c r="Z244" i="3"/>
  <c r="Z339" i="3"/>
  <c r="Z217" i="3"/>
  <c r="Z118" i="3"/>
  <c r="Z54" i="3"/>
  <c r="Z255" i="3"/>
  <c r="Z171" i="3"/>
  <c r="Z306" i="3"/>
  <c r="Z151" i="3"/>
  <c r="Z301" i="3"/>
  <c r="Z129" i="3"/>
  <c r="Z92" i="3"/>
  <c r="Z25" i="3"/>
  <c r="Z304" i="3"/>
  <c r="Z61" i="3"/>
  <c r="Z335" i="3"/>
  <c r="Z56" i="3"/>
  <c r="Z186" i="3"/>
  <c r="Z291" i="3"/>
  <c r="Z154" i="3"/>
  <c r="Z152" i="3"/>
  <c r="Z315" i="3"/>
  <c r="Z133" i="3"/>
  <c r="Z312" i="3"/>
  <c r="Z30" i="3"/>
  <c r="Z143" i="3"/>
  <c r="Z292" i="3"/>
  <c r="Z86" i="3"/>
  <c r="Z78" i="3"/>
  <c r="Z230" i="3"/>
  <c r="Z95" i="3"/>
  <c r="Z93" i="3"/>
  <c r="Z309" i="3"/>
  <c r="Z344" i="3"/>
  <c r="Z52" i="3"/>
  <c r="Z197" i="3"/>
  <c r="Z83" i="3"/>
  <c r="Z72" i="3"/>
  <c r="Z136" i="3"/>
  <c r="Z146" i="3"/>
  <c r="Z4" i="3"/>
  <c r="Z193" i="3"/>
  <c r="Z123" i="3"/>
  <c r="Z290" i="3"/>
  <c r="Z149" i="3"/>
  <c r="Z91" i="3"/>
  <c r="Z321" i="3"/>
  <c r="Z337" i="3"/>
  <c r="Z29" i="3"/>
  <c r="Z298" i="3"/>
  <c r="Z317" i="3"/>
  <c r="Z198" i="3"/>
  <c r="Z263" i="3"/>
  <c r="Z141" i="3"/>
  <c r="Z88" i="3"/>
  <c r="Z332" i="3"/>
  <c r="Z176" i="3"/>
  <c r="Z125" i="3"/>
  <c r="Z303" i="3"/>
  <c r="Z17" i="3"/>
  <c r="Z26" i="3"/>
  <c r="Z112" i="3"/>
  <c r="Z305" i="3"/>
  <c r="Z166" i="3"/>
  <c r="Z163" i="3"/>
  <c r="Z242" i="3"/>
  <c r="Z286" i="3"/>
  <c r="Z55" i="3"/>
  <c r="Z219" i="3"/>
  <c r="Z184" i="3"/>
  <c r="Z231" i="3"/>
  <c r="Z278" i="3"/>
  <c r="Z158" i="3"/>
  <c r="Z31" i="3"/>
  <c r="Z353" i="3"/>
  <c r="Z227" i="3"/>
  <c r="Z142" i="3"/>
  <c r="Z268" i="3"/>
  <c r="Z270" i="3"/>
  <c r="Z234" i="3"/>
  <c r="Z299" i="3"/>
  <c r="Z103" i="3"/>
  <c r="Z18" i="3"/>
  <c r="Z153" i="3"/>
  <c r="Z33" i="3"/>
  <c r="Z15" i="3"/>
  <c r="Z58" i="3"/>
  <c r="Z104" i="3"/>
  <c r="Z240" i="3"/>
  <c r="Z20" i="3"/>
  <c r="Z174" i="3"/>
  <c r="Z214" i="3"/>
  <c r="Z257" i="3"/>
  <c r="Z246" i="3"/>
  <c r="AE196" i="3"/>
  <c r="AE194" i="3"/>
  <c r="AE171" i="3"/>
  <c r="BC221" i="3"/>
  <c r="BD221" i="3"/>
  <c r="BE221" i="3"/>
  <c r="BH38" i="2"/>
  <c r="BI38" i="2"/>
  <c r="BJ38" i="2"/>
  <c r="BH52" i="2"/>
  <c r="BJ52" i="2"/>
  <c r="BI52" i="2"/>
  <c r="BC275" i="3"/>
  <c r="BE275" i="3"/>
  <c r="BD275" i="3"/>
  <c r="J272" i="3"/>
  <c r="J195" i="3"/>
  <c r="J62" i="3"/>
  <c r="J285" i="3"/>
  <c r="J137" i="3"/>
  <c r="J273" i="3"/>
  <c r="J177" i="3"/>
  <c r="J110" i="3"/>
  <c r="J44" i="3"/>
  <c r="J5" i="3"/>
  <c r="J73" i="3"/>
  <c r="J202" i="3"/>
  <c r="J138" i="3"/>
  <c r="J3" i="3"/>
  <c r="J206" i="3"/>
  <c r="J165" i="3"/>
  <c r="J337" i="3"/>
  <c r="J61" i="3"/>
  <c r="J288" i="3"/>
  <c r="J121" i="3"/>
  <c r="J257" i="3"/>
  <c r="J120" i="3"/>
  <c r="J86" i="3"/>
  <c r="J352" i="3"/>
  <c r="J58" i="3"/>
  <c r="J82" i="3"/>
  <c r="J298" i="3"/>
  <c r="J48" i="3"/>
  <c r="J143" i="3"/>
  <c r="BC2" i="3"/>
  <c r="J21" i="3"/>
  <c r="J237" i="3"/>
  <c r="J250" i="3"/>
  <c r="J218" i="3"/>
  <c r="J339" i="3"/>
  <c r="J24" i="3"/>
  <c r="J254" i="3"/>
  <c r="J323" i="3"/>
  <c r="J126" i="3"/>
  <c r="J260" i="3"/>
  <c r="J33" i="3"/>
  <c r="J89" i="3"/>
  <c r="J246" i="3"/>
  <c r="J258" i="3"/>
  <c r="J315" i="3"/>
  <c r="J240" i="3"/>
  <c r="J330" i="3"/>
  <c r="J266" i="3"/>
  <c r="J198" i="3"/>
  <c r="J213" i="3"/>
  <c r="J336" i="3"/>
  <c r="J178" i="3"/>
  <c r="J350" i="3"/>
  <c r="J93" i="3"/>
  <c r="J74" i="3"/>
  <c r="J255" i="3"/>
  <c r="J16" i="3"/>
  <c r="J220" i="3"/>
  <c r="J22" i="3"/>
  <c r="J216" i="3"/>
  <c r="J224" i="3"/>
  <c r="J219" i="3"/>
  <c r="J135" i="3"/>
  <c r="J326" i="3"/>
  <c r="J123" i="3"/>
  <c r="J146" i="3"/>
  <c r="J253" i="3"/>
  <c r="J50" i="3"/>
  <c r="J39" i="3"/>
  <c r="J325" i="3"/>
  <c r="J313" i="3"/>
  <c r="J149" i="3"/>
  <c r="J245" i="3"/>
  <c r="J228" i="3"/>
  <c r="J118" i="3"/>
  <c r="J348" i="3"/>
  <c r="J95" i="3"/>
  <c r="J205" i="3"/>
  <c r="J300" i="3"/>
  <c r="J8" i="3"/>
  <c r="J312" i="3"/>
  <c r="J154" i="3"/>
  <c r="J164" i="3"/>
  <c r="J131" i="3"/>
  <c r="J176" i="3"/>
  <c r="J162" i="3"/>
  <c r="BD2" i="3"/>
  <c r="J28" i="3"/>
  <c r="J106" i="3"/>
  <c r="J59" i="3"/>
  <c r="J293" i="3"/>
  <c r="J98" i="3"/>
  <c r="J136" i="3"/>
  <c r="J214" i="3"/>
  <c r="J53" i="3"/>
  <c r="J156" i="3"/>
  <c r="J283" i="3"/>
  <c r="J157" i="3"/>
  <c r="J194" i="3"/>
  <c r="J129" i="3"/>
  <c r="J65" i="3"/>
  <c r="J52" i="3"/>
  <c r="J295" i="3"/>
  <c r="J127" i="3"/>
  <c r="J192" i="3"/>
  <c r="J132" i="3"/>
  <c r="J191" i="3"/>
  <c r="J307" i="3"/>
  <c r="J56" i="3"/>
  <c r="J314" i="3"/>
  <c r="J222" i="3"/>
  <c r="J155" i="3"/>
  <c r="J78" i="3"/>
  <c r="J31" i="3"/>
  <c r="J147" i="3"/>
  <c r="J231" i="3"/>
  <c r="J167" i="3"/>
  <c r="J151" i="3"/>
  <c r="J60" i="3"/>
  <c r="J130" i="3"/>
  <c r="J311" i="3"/>
  <c r="J342" i="3"/>
  <c r="J327" i="3"/>
  <c r="J161" i="3"/>
  <c r="J4" i="3"/>
  <c r="J291" i="3"/>
  <c r="J252" i="3"/>
  <c r="J226" i="3"/>
  <c r="J317" i="3"/>
  <c r="J141" i="3"/>
  <c r="J239" i="3"/>
  <c r="J70" i="3"/>
  <c r="J112" i="3"/>
  <c r="J190" i="3"/>
  <c r="J292" i="3"/>
  <c r="J116" i="3"/>
  <c r="J87" i="3"/>
  <c r="J338" i="3"/>
  <c r="J271" i="3"/>
  <c r="J128" i="3"/>
  <c r="J160" i="3"/>
  <c r="J297" i="3"/>
  <c r="J287" i="3"/>
  <c r="J182" i="3"/>
  <c r="J193" i="3"/>
  <c r="J85" i="3"/>
  <c r="J263" i="3"/>
  <c r="J235" i="3"/>
  <c r="J322" i="3"/>
  <c r="J340" i="3"/>
  <c r="J268" i="3"/>
  <c r="J276" i="3"/>
  <c r="J63" i="3"/>
  <c r="J142" i="3"/>
  <c r="J55" i="3"/>
  <c r="J108" i="3"/>
  <c r="J279" i="3"/>
  <c r="J249" i="3"/>
  <c r="J14" i="3"/>
  <c r="J308" i="3"/>
  <c r="J269" i="3"/>
  <c r="J83" i="3"/>
  <c r="J335" i="3"/>
  <c r="J111" i="3"/>
  <c r="J302" i="3"/>
  <c r="J57" i="3"/>
  <c r="J140" i="3"/>
  <c r="J217" i="3"/>
  <c r="J227" i="3"/>
  <c r="J248" i="3"/>
  <c r="J144" i="3"/>
  <c r="J204" i="3"/>
  <c r="J66" i="3"/>
  <c r="J196" i="3"/>
  <c r="J99" i="3"/>
  <c r="J261" i="3"/>
  <c r="J264" i="3"/>
  <c r="J349" i="3"/>
  <c r="J321" i="3"/>
  <c r="J71" i="3"/>
  <c r="J158" i="3"/>
  <c r="J199" i="3"/>
  <c r="J351" i="3"/>
  <c r="J40" i="3"/>
  <c r="J281" i="3"/>
  <c r="J7" i="3"/>
  <c r="J183" i="3"/>
  <c r="J244" i="3"/>
  <c r="J236" i="3"/>
  <c r="J54" i="3"/>
  <c r="J97" i="3"/>
  <c r="J251" i="3"/>
  <c r="J265" i="3"/>
  <c r="J186" i="3"/>
  <c r="J84" i="3"/>
  <c r="J212" i="3"/>
  <c r="J75" i="3"/>
  <c r="J96" i="3"/>
  <c r="J64" i="3"/>
  <c r="J345" i="3"/>
  <c r="J27" i="3"/>
  <c r="J233" i="3"/>
  <c r="J19" i="3"/>
  <c r="J334" i="3"/>
  <c r="J36" i="3"/>
  <c r="J243" i="3"/>
  <c r="J103" i="3"/>
  <c r="J76" i="3"/>
  <c r="J25" i="3"/>
  <c r="J316" i="3"/>
  <c r="J247" i="3"/>
  <c r="J69" i="3"/>
  <c r="J262" i="3"/>
  <c r="J210" i="3"/>
  <c r="J139" i="3"/>
  <c r="J42" i="3"/>
  <c r="J9" i="3"/>
  <c r="J163" i="3"/>
  <c r="J296" i="3"/>
  <c r="J211" i="3"/>
  <c r="J256" i="3"/>
  <c r="J17" i="3"/>
  <c r="J181" i="3"/>
  <c r="J37" i="3"/>
  <c r="J180" i="3"/>
  <c r="BE2" i="3"/>
  <c r="J49" i="3"/>
  <c r="J234" i="3"/>
  <c r="J185" i="3"/>
  <c r="J282" i="3"/>
  <c r="J169" i="3"/>
  <c r="J159" i="3"/>
  <c r="J171" i="3"/>
  <c r="J229" i="3"/>
  <c r="J10" i="3"/>
  <c r="J79" i="3"/>
  <c r="J20" i="3"/>
  <c r="J238" i="3"/>
  <c r="J294" i="3"/>
  <c r="J6" i="3"/>
  <c r="J347" i="3"/>
  <c r="J310" i="3"/>
  <c r="J184" i="3"/>
  <c r="J221" i="3"/>
  <c r="J306" i="3"/>
  <c r="J104" i="3"/>
  <c r="J305" i="3"/>
  <c r="J92" i="3"/>
  <c r="J150" i="3"/>
  <c r="J29" i="3"/>
  <c r="J175" i="3"/>
  <c r="J223" i="3"/>
  <c r="J173" i="3"/>
  <c r="J88" i="3"/>
  <c r="J100" i="3"/>
  <c r="J109" i="3"/>
  <c r="J187" i="3"/>
  <c r="J26" i="3"/>
  <c r="J331" i="3"/>
  <c r="J51" i="3"/>
  <c r="J188" i="3"/>
  <c r="J289" i="3"/>
  <c r="J174" i="3"/>
  <c r="J270" i="3"/>
  <c r="J114" i="3"/>
  <c r="J153" i="3"/>
  <c r="J344" i="3"/>
  <c r="J332" i="3"/>
  <c r="J275" i="3"/>
  <c r="J232" i="3"/>
  <c r="J274" i="3"/>
  <c r="J124" i="3"/>
  <c r="J353" i="3"/>
  <c r="J133" i="3"/>
  <c r="J320" i="3"/>
  <c r="J172" i="3"/>
  <c r="J23" i="3"/>
  <c r="J68" i="3"/>
  <c r="J301" i="3"/>
  <c r="J277" i="3"/>
  <c r="J329" i="3"/>
  <c r="J38" i="3"/>
  <c r="J259" i="3"/>
  <c r="J148" i="3"/>
  <c r="J203" i="3"/>
  <c r="J107" i="3"/>
  <c r="J12" i="3"/>
  <c r="J35" i="3"/>
  <c r="J200" i="3"/>
  <c r="J286" i="3"/>
  <c r="J119" i="3"/>
  <c r="J168" i="3"/>
  <c r="J208" i="3"/>
  <c r="J113" i="3"/>
  <c r="J318" i="3"/>
  <c r="J267" i="3"/>
  <c r="J328" i="3"/>
  <c r="J41" i="3"/>
  <c r="J309" i="3"/>
  <c r="J47" i="3"/>
  <c r="J241" i="3"/>
  <c r="J284" i="3"/>
  <c r="J134" i="3"/>
  <c r="J166" i="3"/>
  <c r="J30" i="3"/>
  <c r="J43" i="3"/>
  <c r="J2" i="3"/>
  <c r="J152" i="3"/>
  <c r="J170" i="3"/>
  <c r="J77" i="3"/>
  <c r="J343" i="3"/>
  <c r="J346" i="3"/>
  <c r="J15" i="3"/>
  <c r="J290" i="3"/>
  <c r="J319" i="3"/>
  <c r="J80" i="3"/>
  <c r="J91" i="3"/>
  <c r="J90" i="3"/>
  <c r="J102" i="3"/>
  <c r="J45" i="3"/>
  <c r="J341" i="3"/>
  <c r="J11" i="3"/>
  <c r="J101" i="3"/>
  <c r="J207" i="3"/>
  <c r="J32" i="3"/>
  <c r="J280" i="3"/>
  <c r="J105" i="3"/>
  <c r="J122" i="3"/>
  <c r="J189" i="3"/>
  <c r="J324" i="3"/>
  <c r="J230" i="3"/>
  <c r="J72" i="3"/>
  <c r="J303" i="3"/>
  <c r="J201" i="3"/>
  <c r="J179" i="3"/>
  <c r="J67" i="3"/>
  <c r="J209" i="3"/>
  <c r="J215" i="3"/>
  <c r="J333" i="3"/>
  <c r="J117" i="3"/>
  <c r="J197" i="3"/>
  <c r="J299" i="3"/>
  <c r="J278" i="3"/>
  <c r="J94" i="3"/>
  <c r="J225" i="3"/>
  <c r="J125" i="3"/>
  <c r="J242" i="3"/>
  <c r="J13" i="3"/>
  <c r="J304" i="3"/>
  <c r="J115" i="3"/>
  <c r="J81" i="3"/>
  <c r="J18" i="3"/>
  <c r="J34" i="3"/>
  <c r="J46" i="3"/>
  <c r="AE143" i="3"/>
  <c r="BD174" i="3"/>
  <c r="BC174" i="3"/>
  <c r="BE174" i="3"/>
  <c r="BE316" i="3"/>
  <c r="BC316" i="3"/>
  <c r="BD316" i="3"/>
  <c r="Q57" i="2"/>
  <c r="Q30" i="2"/>
  <c r="Q41" i="2"/>
  <c r="Q24" i="2"/>
  <c r="Q62" i="2"/>
  <c r="Q96" i="2"/>
  <c r="Q72" i="2"/>
  <c r="Q53" i="2"/>
  <c r="Q33" i="2"/>
  <c r="Q34" i="2"/>
  <c r="Q28" i="2"/>
  <c r="Q50" i="2"/>
  <c r="Q100" i="2"/>
  <c r="Q52" i="2"/>
  <c r="Q26" i="2"/>
  <c r="Q70" i="2"/>
  <c r="Q9" i="2"/>
  <c r="Q20" i="2"/>
  <c r="Q64" i="2"/>
  <c r="Q76" i="2"/>
  <c r="Q29" i="2"/>
  <c r="Q38" i="2"/>
  <c r="Q87" i="2"/>
  <c r="Q90" i="2"/>
  <c r="Q13" i="2"/>
  <c r="Q101" i="2"/>
  <c r="Q51" i="2"/>
  <c r="Q78" i="2"/>
  <c r="Q89" i="2"/>
  <c r="Q91" i="2"/>
  <c r="Q95" i="2"/>
  <c r="Q94" i="2"/>
  <c r="Q23" i="2"/>
  <c r="Q77" i="2"/>
  <c r="Q84" i="2"/>
  <c r="Q21" i="2"/>
  <c r="Q80" i="2"/>
  <c r="Q7" i="2"/>
  <c r="Q46" i="2"/>
  <c r="Q19" i="2"/>
  <c r="Q71" i="2"/>
  <c r="Q39" i="2"/>
  <c r="Q4" i="2"/>
  <c r="Q45" i="2"/>
  <c r="Q81" i="2"/>
  <c r="Q47" i="2"/>
  <c r="Q59" i="2"/>
  <c r="Q97" i="2"/>
  <c r="Q48" i="2"/>
  <c r="Q35" i="2"/>
  <c r="Q98" i="2"/>
  <c r="Q99" i="2"/>
  <c r="Q40" i="2"/>
  <c r="Q18" i="2"/>
  <c r="Q10" i="2"/>
  <c r="Q15" i="2"/>
  <c r="Q27" i="2"/>
  <c r="Q58" i="2"/>
  <c r="Q32" i="2"/>
  <c r="Q92" i="2"/>
  <c r="Q63" i="2"/>
  <c r="Q61" i="2"/>
  <c r="Q93" i="2"/>
  <c r="Q44" i="2"/>
  <c r="Q75" i="2"/>
  <c r="Q25" i="2"/>
  <c r="Q5" i="2"/>
  <c r="Q17" i="2"/>
  <c r="Q3" i="2"/>
  <c r="Q82" i="2"/>
  <c r="Q6" i="2"/>
  <c r="Q54" i="2"/>
  <c r="Q22" i="2"/>
  <c r="Q67" i="2"/>
  <c r="Q66" i="2"/>
  <c r="Q31" i="2"/>
  <c r="Q85" i="2"/>
  <c r="Q69" i="2"/>
  <c r="Q60" i="2"/>
  <c r="Q56" i="2"/>
  <c r="Q74" i="2"/>
  <c r="Q86" i="2"/>
  <c r="Q36" i="2"/>
  <c r="Q88" i="2"/>
  <c r="Q2" i="2"/>
  <c r="Q79" i="2"/>
  <c r="Q16" i="2"/>
  <c r="Q37" i="2"/>
  <c r="Q8" i="2"/>
  <c r="Q11" i="2"/>
  <c r="Q14" i="2"/>
  <c r="Q42" i="2"/>
  <c r="Q83" i="2"/>
  <c r="Q73" i="2"/>
  <c r="Q43" i="2"/>
  <c r="Q68" i="2"/>
  <c r="Q12" i="2"/>
  <c r="Q55" i="2"/>
  <c r="AA2" i="2"/>
  <c r="Q49" i="2"/>
  <c r="Q65" i="2"/>
  <c r="BC152" i="3"/>
  <c r="BD152" i="3"/>
  <c r="BE152" i="3"/>
  <c r="BD52" i="3"/>
  <c r="BE52" i="3"/>
  <c r="BC52" i="3"/>
  <c r="BC287" i="3"/>
  <c r="BD287" i="3"/>
  <c r="BE287" i="3"/>
  <c r="J2" i="4"/>
  <c r="L2" i="4" s="1"/>
  <c r="T2" i="4"/>
  <c r="BI29" i="2"/>
  <c r="BJ29" i="2"/>
  <c r="BH29" i="2"/>
  <c r="BD17" i="3"/>
  <c r="BC17" i="3"/>
  <c r="BE17" i="3"/>
  <c r="BD108" i="3"/>
  <c r="BE108" i="3"/>
  <c r="BC108" i="3"/>
  <c r="BD113" i="3"/>
  <c r="BC113" i="3"/>
  <c r="BE113" i="3"/>
  <c r="L157" i="3"/>
  <c r="L236" i="3"/>
  <c r="L149" i="3"/>
  <c r="L99" i="3"/>
  <c r="L81" i="3"/>
  <c r="L205" i="3"/>
  <c r="L298" i="3"/>
  <c r="L307" i="3"/>
  <c r="L153" i="3"/>
  <c r="L106" i="3"/>
  <c r="L272" i="3"/>
  <c r="L230" i="3"/>
  <c r="L177" i="3"/>
  <c r="L326" i="3"/>
  <c r="L179" i="3"/>
  <c r="L116" i="3"/>
  <c r="L51" i="3"/>
  <c r="L93" i="3"/>
  <c r="L129" i="3"/>
  <c r="L251" i="3"/>
  <c r="L22" i="3"/>
  <c r="L31" i="3"/>
  <c r="L341" i="3"/>
  <c r="L280" i="3"/>
  <c r="L41" i="3"/>
  <c r="L249" i="3"/>
  <c r="L58" i="3"/>
  <c r="L162" i="3"/>
  <c r="L238" i="3"/>
  <c r="L174" i="3"/>
  <c r="L239" i="3"/>
  <c r="L55" i="3"/>
  <c r="L124" i="3"/>
  <c r="L85" i="3"/>
  <c r="L108" i="3"/>
  <c r="L353" i="3"/>
  <c r="L343" i="3"/>
  <c r="L229" i="3"/>
  <c r="L257" i="3"/>
  <c r="L112" i="3"/>
  <c r="L346" i="3"/>
  <c r="L303" i="3"/>
  <c r="L309" i="3"/>
  <c r="L226" i="3"/>
  <c r="L155" i="3"/>
  <c r="L323" i="3"/>
  <c r="L190" i="3"/>
  <c r="L329" i="3"/>
  <c r="L274" i="3"/>
  <c r="L104" i="3"/>
  <c r="L207" i="3"/>
  <c r="L264" i="3"/>
  <c r="L131" i="3"/>
  <c r="L216" i="3"/>
  <c r="L271" i="3"/>
  <c r="L4" i="3"/>
  <c r="L48" i="3"/>
  <c r="L285" i="3"/>
  <c r="L296" i="3"/>
  <c r="L65" i="3"/>
  <c r="L198" i="3"/>
  <c r="L187" i="3"/>
  <c r="L121" i="3"/>
  <c r="L76" i="3"/>
  <c r="L300" i="3"/>
  <c r="L314" i="3"/>
  <c r="L97" i="3"/>
  <c r="L20" i="3"/>
  <c r="L330" i="3"/>
  <c r="L273" i="3"/>
  <c r="L144" i="3"/>
  <c r="L211" i="3"/>
  <c r="L325" i="3"/>
  <c r="L169" i="3"/>
  <c r="L21" i="3"/>
  <c r="L223" i="3"/>
  <c r="L194" i="3"/>
  <c r="L305" i="3"/>
  <c r="L158" i="3"/>
  <c r="L71" i="3"/>
  <c r="L16" i="3"/>
  <c r="L141" i="3"/>
  <c r="L61" i="3"/>
  <c r="L111" i="3"/>
  <c r="L266" i="3"/>
  <c r="L332" i="3"/>
  <c r="L14" i="3"/>
  <c r="L53" i="3"/>
  <c r="L339" i="3"/>
  <c r="L98" i="3"/>
  <c r="L202" i="3"/>
  <c r="L203" i="3"/>
  <c r="L284" i="3"/>
  <c r="L24" i="3"/>
  <c r="L184" i="3"/>
  <c r="L263" i="3"/>
  <c r="L57" i="3"/>
  <c r="L90" i="3"/>
  <c r="L288" i="3"/>
  <c r="L340" i="3"/>
  <c r="L197" i="3"/>
  <c r="L351" i="3"/>
  <c r="L256" i="3"/>
  <c r="L208" i="3"/>
  <c r="L292" i="3"/>
  <c r="L101" i="3"/>
  <c r="L78" i="3"/>
  <c r="L11" i="3"/>
  <c r="L46" i="3"/>
  <c r="L328" i="3"/>
  <c r="L244" i="3"/>
  <c r="L49" i="3"/>
  <c r="L335" i="3"/>
  <c r="L25" i="3"/>
  <c r="L311" i="3"/>
  <c r="L195" i="3"/>
  <c r="L37" i="3"/>
  <c r="L96" i="3"/>
  <c r="L189" i="3"/>
  <c r="L13" i="3"/>
  <c r="L327" i="3"/>
  <c r="L234" i="3"/>
  <c r="L107" i="3"/>
  <c r="L338" i="3"/>
  <c r="L139" i="3"/>
  <c r="L164" i="3"/>
  <c r="L265" i="3"/>
  <c r="L45" i="3"/>
  <c r="L92" i="3"/>
  <c r="L142" i="3"/>
  <c r="L262" i="3"/>
  <c r="L147" i="3"/>
  <c r="L73" i="3"/>
  <c r="L199" i="3"/>
  <c r="L297" i="3"/>
  <c r="L310" i="3"/>
  <c r="L2" i="3"/>
  <c r="L94" i="3"/>
  <c r="L214" i="3"/>
  <c r="L352" i="3"/>
  <c r="L83" i="3"/>
  <c r="L270" i="3"/>
  <c r="L299" i="3"/>
  <c r="L213" i="3"/>
  <c r="L143" i="3"/>
  <c r="L118" i="3"/>
  <c r="L80" i="3"/>
  <c r="L241" i="3"/>
  <c r="L250" i="3"/>
  <c r="L52" i="3"/>
  <c r="L60" i="3"/>
  <c r="L27" i="3"/>
  <c r="L171" i="3"/>
  <c r="L160" i="3"/>
  <c r="L287" i="3"/>
  <c r="L154" i="3"/>
  <c r="L240" i="3"/>
  <c r="L100" i="3"/>
  <c r="L32" i="3"/>
  <c r="L67" i="3"/>
  <c r="L113" i="3"/>
  <c r="L243" i="3"/>
  <c r="L167" i="3"/>
  <c r="L119" i="3"/>
  <c r="L318" i="3"/>
  <c r="L39" i="3"/>
  <c r="L130" i="3"/>
  <c r="L40" i="3"/>
  <c r="L137" i="3"/>
  <c r="L235" i="3"/>
  <c r="L182" i="3"/>
  <c r="L114" i="3"/>
  <c r="L312" i="3"/>
  <c r="L43" i="3"/>
  <c r="L134" i="3"/>
  <c r="L132" i="3"/>
  <c r="L146" i="3"/>
  <c r="L34" i="3"/>
  <c r="L315" i="3"/>
  <c r="L206" i="3"/>
  <c r="L128" i="3"/>
  <c r="L282" i="3"/>
  <c r="L331" i="3"/>
  <c r="L193" i="3"/>
  <c r="L50" i="3"/>
  <c r="L140" i="3"/>
  <c r="L188" i="3"/>
  <c r="L201" i="3"/>
  <c r="L105" i="3"/>
  <c r="L258" i="3"/>
  <c r="V2" i="3"/>
  <c r="L183" i="3"/>
  <c r="L210" i="3"/>
  <c r="L267" i="3"/>
  <c r="L290" i="3"/>
  <c r="L84" i="3"/>
  <c r="L242" i="3"/>
  <c r="L302" i="3"/>
  <c r="L317" i="3"/>
  <c r="L306" i="3"/>
  <c r="L125" i="3"/>
  <c r="L135" i="3"/>
  <c r="L133" i="3"/>
  <c r="L148" i="3"/>
  <c r="L152" i="3"/>
  <c r="L35" i="3"/>
  <c r="L231" i="3"/>
  <c r="L269" i="3"/>
  <c r="L163" i="3"/>
  <c r="L64" i="3"/>
  <c r="L313" i="3"/>
  <c r="L77" i="3"/>
  <c r="L89" i="3"/>
  <c r="L176" i="3"/>
  <c r="L336" i="3"/>
  <c r="L136" i="3"/>
  <c r="L30" i="3"/>
  <c r="L68" i="3"/>
  <c r="L6" i="3"/>
  <c r="L322" i="3"/>
  <c r="L185" i="3"/>
  <c r="L110" i="3"/>
  <c r="L218" i="3"/>
  <c r="L268" i="3"/>
  <c r="L38" i="3"/>
  <c r="L279" i="3"/>
  <c r="L74" i="3"/>
  <c r="L12" i="3"/>
  <c r="L196" i="3"/>
  <c r="L224" i="3"/>
  <c r="L316" i="3"/>
  <c r="L127" i="3"/>
  <c r="L7" i="3"/>
  <c r="L308" i="3"/>
  <c r="L165" i="3"/>
  <c r="L221" i="3"/>
  <c r="L275" i="3"/>
  <c r="L9" i="3"/>
  <c r="L219" i="3"/>
  <c r="L181" i="3"/>
  <c r="L228" i="3"/>
  <c r="L54" i="3"/>
  <c r="L175" i="3"/>
  <c r="L283" i="3"/>
  <c r="L294" i="3"/>
  <c r="L138" i="3"/>
  <c r="L246" i="3"/>
  <c r="L172" i="3"/>
  <c r="L225" i="3"/>
  <c r="L215" i="3"/>
  <c r="L95" i="3"/>
  <c r="L156" i="3"/>
  <c r="L334" i="3"/>
  <c r="L342" i="3"/>
  <c r="L337" i="3"/>
  <c r="L3" i="3"/>
  <c r="L277" i="3"/>
  <c r="L209" i="3"/>
  <c r="L289" i="3"/>
  <c r="L19" i="3"/>
  <c r="L159" i="3"/>
  <c r="L191" i="3"/>
  <c r="L304" i="3"/>
  <c r="L220" i="3"/>
  <c r="L33" i="3"/>
  <c r="L222" i="3"/>
  <c r="L88" i="3"/>
  <c r="L173" i="3"/>
  <c r="L319" i="3"/>
  <c r="L150" i="3"/>
  <c r="L63" i="3"/>
  <c r="L151" i="3"/>
  <c r="L28" i="3"/>
  <c r="L91" i="3"/>
  <c r="L320" i="3"/>
  <c r="L253" i="3"/>
  <c r="L227" i="3"/>
  <c r="L259" i="3"/>
  <c r="L59" i="3"/>
  <c r="L56" i="3"/>
  <c r="L15" i="3"/>
  <c r="L79" i="3"/>
  <c r="L103" i="3"/>
  <c r="L333" i="3"/>
  <c r="L161" i="3"/>
  <c r="L254" i="3"/>
  <c r="L72" i="3"/>
  <c r="L86" i="3"/>
  <c r="L23" i="3"/>
  <c r="L252" i="3"/>
  <c r="L126" i="3"/>
  <c r="L237" i="3"/>
  <c r="L344" i="3"/>
  <c r="L278" i="3"/>
  <c r="L245" i="3"/>
  <c r="L109" i="3"/>
  <c r="L117" i="3"/>
  <c r="L232" i="3"/>
  <c r="L255" i="3"/>
  <c r="L276" i="3"/>
  <c r="L36" i="3"/>
  <c r="L200" i="3"/>
  <c r="L349" i="3"/>
  <c r="L204" i="3"/>
  <c r="L66" i="3"/>
  <c r="L122" i="3"/>
  <c r="L26" i="3"/>
  <c r="L321" i="3"/>
  <c r="L324" i="3"/>
  <c r="L301" i="3"/>
  <c r="L260" i="3"/>
  <c r="L350" i="3"/>
  <c r="L170" i="3"/>
  <c r="L348" i="3"/>
  <c r="L281" i="3"/>
  <c r="L44" i="3"/>
  <c r="L166" i="3"/>
  <c r="L70" i="3"/>
  <c r="L293" i="3"/>
  <c r="L42" i="3"/>
  <c r="L217" i="3"/>
  <c r="L168" i="3"/>
  <c r="L192" i="3"/>
  <c r="L8" i="3"/>
  <c r="L186" i="3"/>
  <c r="L248" i="3"/>
  <c r="L115" i="3"/>
  <c r="L5" i="3"/>
  <c r="L10" i="3"/>
  <c r="L261" i="3"/>
  <c r="L120" i="3"/>
  <c r="L295" i="3"/>
  <c r="L123" i="3"/>
  <c r="L347" i="3"/>
  <c r="L178" i="3"/>
  <c r="L75" i="3"/>
  <c r="L291" i="3"/>
  <c r="L286" i="3"/>
  <c r="L102" i="3"/>
  <c r="L212" i="3"/>
  <c r="L82" i="3"/>
  <c r="L17" i="3"/>
  <c r="L29" i="3"/>
  <c r="L247" i="3"/>
  <c r="L47" i="3"/>
  <c r="L69" i="3"/>
  <c r="L18" i="3"/>
  <c r="L233" i="3"/>
  <c r="L62" i="3"/>
  <c r="L180" i="3"/>
  <c r="L345" i="3"/>
  <c r="L87" i="3"/>
  <c r="AE209" i="3"/>
  <c r="BC150" i="3"/>
  <c r="BE150" i="3"/>
  <c r="BD150" i="3"/>
  <c r="BC6" i="3"/>
  <c r="BE6" i="3"/>
  <c r="BD6" i="3"/>
  <c r="BH96" i="2"/>
  <c r="BI96" i="2"/>
  <c r="BJ96" i="2"/>
  <c r="BH51" i="2"/>
  <c r="BI51" i="2"/>
  <c r="BJ51" i="2"/>
  <c r="BE291" i="3"/>
  <c r="BC291" i="3"/>
  <c r="BD291" i="3"/>
  <c r="BC232" i="3"/>
  <c r="BD232" i="3"/>
  <c r="BE232" i="3"/>
  <c r="BC23" i="3"/>
  <c r="BD23" i="3"/>
  <c r="BE23" i="3"/>
  <c r="BC15" i="3"/>
  <c r="BD15" i="3"/>
  <c r="BE15" i="3"/>
  <c r="BD107" i="3"/>
  <c r="BE107" i="3"/>
  <c r="BC107" i="3"/>
  <c r="BD276" i="3"/>
  <c r="BC276" i="3"/>
  <c r="BE276" i="3"/>
  <c r="BC198" i="3"/>
  <c r="BD198" i="3"/>
  <c r="BE198" i="3"/>
  <c r="BE84" i="3"/>
  <c r="BD84" i="3"/>
  <c r="BC84" i="3"/>
  <c r="BC208" i="3"/>
  <c r="BE208" i="3"/>
  <c r="BD208" i="3"/>
  <c r="AE255" i="3"/>
  <c r="BD111" i="3"/>
  <c r="BC111" i="3"/>
  <c r="BE111" i="3"/>
  <c r="BD282" i="3"/>
  <c r="BE282" i="3"/>
  <c r="BC282" i="3"/>
  <c r="BI19" i="2"/>
  <c r="BJ19" i="2"/>
  <c r="BH19" i="2"/>
  <c r="BH26" i="2"/>
  <c r="BJ26" i="2"/>
  <c r="BI26" i="2"/>
  <c r="BD339" i="3"/>
  <c r="BE339" i="3"/>
  <c r="BC339" i="3"/>
  <c r="BC20" i="3"/>
  <c r="BE20" i="3"/>
  <c r="BD20" i="3"/>
  <c r="BC252" i="3"/>
  <c r="BD252" i="3"/>
  <c r="BE252" i="3"/>
  <c r="BC295" i="3"/>
  <c r="BE295" i="3"/>
  <c r="BD295" i="3"/>
  <c r="BE63" i="3"/>
  <c r="BC63" i="3"/>
  <c r="BD63" i="3"/>
  <c r="BI92" i="2"/>
  <c r="BJ92" i="2"/>
  <c r="BH92" i="2"/>
  <c r="BE231" i="3"/>
  <c r="BC231" i="3"/>
  <c r="BD231" i="3"/>
  <c r="BH22" i="2"/>
  <c r="BJ22" i="2"/>
  <c r="BI22" i="2"/>
  <c r="BC317" i="3"/>
  <c r="BD317" i="3"/>
  <c r="BE317" i="3"/>
  <c r="BC234" i="3"/>
  <c r="BE234" i="3"/>
  <c r="BD234" i="3"/>
  <c r="BH75" i="2"/>
  <c r="BI75" i="2"/>
  <c r="BJ75" i="2"/>
  <c r="BD216" i="3"/>
  <c r="BC216" i="3"/>
  <c r="BE216" i="3"/>
  <c r="BC154" i="3"/>
  <c r="BD154" i="3"/>
  <c r="BE154" i="3"/>
  <c r="BI12" i="2"/>
  <c r="BH12" i="2"/>
  <c r="BJ12" i="2"/>
  <c r="BC5" i="3"/>
  <c r="BE5" i="3"/>
  <c r="BD5" i="3"/>
  <c r="BE8" i="3"/>
  <c r="BC8" i="3"/>
  <c r="BD8" i="3"/>
  <c r="BC326" i="3"/>
  <c r="BD326" i="3"/>
  <c r="BE326" i="3"/>
  <c r="O44" i="2"/>
  <c r="O61" i="2"/>
  <c r="O30" i="2"/>
  <c r="O15" i="2"/>
  <c r="O86" i="2"/>
  <c r="O76" i="2"/>
  <c r="O23" i="2"/>
  <c r="O13" i="2"/>
  <c r="O92" i="2"/>
  <c r="O87" i="2"/>
  <c r="O101" i="2"/>
  <c r="BI2" i="2"/>
  <c r="O85" i="2"/>
  <c r="O22" i="2"/>
  <c r="O12" i="2"/>
  <c r="O4" i="2"/>
  <c r="O75" i="2"/>
  <c r="O72" i="2"/>
  <c r="O21" i="2"/>
  <c r="O41" i="2"/>
  <c r="O63" i="2"/>
  <c r="O17" i="2"/>
  <c r="O45" i="2"/>
  <c r="O69" i="2"/>
  <c r="O50" i="2"/>
  <c r="O39" i="2"/>
  <c r="O40" i="2"/>
  <c r="O35" i="2"/>
  <c r="O90" i="2"/>
  <c r="O36" i="2"/>
  <c r="O27" i="2"/>
  <c r="O33" i="2"/>
  <c r="O7" i="2"/>
  <c r="O88" i="2"/>
  <c r="O99" i="2"/>
  <c r="O42" i="2"/>
  <c r="O25" i="2"/>
  <c r="O71" i="2"/>
  <c r="O68" i="2"/>
  <c r="O24" i="2"/>
  <c r="BH2" i="2"/>
  <c r="O81" i="2"/>
  <c r="O2" i="2"/>
  <c r="O84" i="2"/>
  <c r="O65" i="2"/>
  <c r="O53" i="2"/>
  <c r="O54" i="2"/>
  <c r="O29" i="2"/>
  <c r="O57" i="2"/>
  <c r="O51" i="2"/>
  <c r="O52" i="2"/>
  <c r="O47" i="2"/>
  <c r="O95" i="2"/>
  <c r="O48" i="2"/>
  <c r="O31" i="2"/>
  <c r="O3" i="2"/>
  <c r="O19" i="2"/>
  <c r="O8" i="2"/>
  <c r="O80" i="2"/>
  <c r="O77" i="2"/>
  <c r="O83" i="2"/>
  <c r="O43" i="2"/>
  <c r="O62" i="2"/>
  <c r="O100" i="2"/>
  <c r="O37" i="2"/>
  <c r="O6" i="2"/>
  <c r="O70" i="2"/>
  <c r="O14" i="2"/>
  <c r="O97" i="2"/>
  <c r="O96" i="2"/>
  <c r="O59" i="2"/>
  <c r="O60" i="2"/>
  <c r="O91" i="2"/>
  <c r="O16" i="2"/>
  <c r="O74" i="2"/>
  <c r="O89" i="2"/>
  <c r="O20" i="2"/>
  <c r="O82" i="2"/>
  <c r="O58" i="2"/>
  <c r="O66" i="2"/>
  <c r="O55" i="2"/>
  <c r="O49" i="2"/>
  <c r="O18" i="2"/>
  <c r="O46" i="2"/>
  <c r="O26" i="2"/>
  <c r="O32" i="2"/>
  <c r="O11" i="2"/>
  <c r="O67" i="2"/>
  <c r="O98" i="2"/>
  <c r="O34" i="2"/>
  <c r="O28" i="2"/>
  <c r="O10" i="2"/>
  <c r="O93" i="2"/>
  <c r="O9" i="2"/>
  <c r="O64" i="2"/>
  <c r="O56" i="2"/>
  <c r="O79" i="2"/>
  <c r="O78" i="2"/>
  <c r="O38" i="2"/>
  <c r="O94" i="2"/>
  <c r="O73" i="2"/>
  <c r="O5" i="2"/>
  <c r="BJ2" i="2"/>
  <c r="BD47" i="3"/>
  <c r="BE47" i="3"/>
  <c r="BC47" i="3"/>
  <c r="H2" i="4"/>
  <c r="K2" i="4" s="1"/>
  <c r="BC243" i="3"/>
  <c r="BE243" i="3"/>
  <c r="BD243" i="3"/>
  <c r="BH101" i="2"/>
  <c r="BI101" i="2"/>
  <c r="BJ101" i="2"/>
  <c r="BC95" i="3"/>
  <c r="BD95" i="3"/>
  <c r="BE95" i="3"/>
  <c r="BE347" i="3"/>
  <c r="BC347" i="3"/>
  <c r="BD347" i="3"/>
  <c r="BC325" i="3"/>
  <c r="BD325" i="3"/>
  <c r="BE325" i="3"/>
  <c r="BC96" i="3"/>
  <c r="BD96" i="3"/>
  <c r="BE96" i="3"/>
  <c r="BC239" i="3"/>
  <c r="BD239" i="3"/>
  <c r="BE239" i="3"/>
  <c r="BD215" i="3"/>
  <c r="BE215" i="3"/>
  <c r="BC215" i="3"/>
  <c r="BE151" i="3"/>
  <c r="BC151" i="3"/>
  <c r="BD151" i="3"/>
  <c r="BD50" i="3"/>
  <c r="BE50" i="3"/>
  <c r="BC50" i="3"/>
  <c r="BE332" i="3"/>
  <c r="BC332" i="3"/>
  <c r="BD332" i="3"/>
  <c r="BC346" i="3"/>
  <c r="BD346" i="3"/>
  <c r="BE346" i="3"/>
  <c r="BD12" i="3"/>
  <c r="BE12" i="3"/>
  <c r="BC12" i="3"/>
  <c r="BJ30" i="2"/>
  <c r="BH30" i="2"/>
  <c r="BI30" i="2"/>
  <c r="BC13" i="3"/>
  <c r="BD13" i="3"/>
  <c r="BE13" i="3"/>
  <c r="BI58" i="2"/>
  <c r="BJ58" i="2"/>
  <c r="BH58" i="2"/>
  <c r="BC40" i="3"/>
  <c r="BD40" i="3"/>
  <c r="BE40" i="3"/>
  <c r="BD191" i="3"/>
  <c r="BE191" i="3"/>
  <c r="BC191" i="3"/>
  <c r="BE60" i="3"/>
  <c r="BC60" i="3"/>
  <c r="BD60" i="3"/>
  <c r="BC122" i="3"/>
  <c r="BD122" i="3"/>
  <c r="BE122" i="3"/>
  <c r="BE249" i="3"/>
  <c r="BC249" i="3"/>
  <c r="BD249" i="3"/>
  <c r="BD263" i="3"/>
  <c r="BE263" i="3"/>
  <c r="BC263" i="3"/>
  <c r="BC303" i="3"/>
  <c r="BD303" i="3"/>
  <c r="BE303" i="3"/>
  <c r="BE97" i="3"/>
  <c r="BC97" i="3"/>
  <c r="BD97" i="3"/>
  <c r="BC288" i="3"/>
  <c r="BD288" i="3"/>
  <c r="BE288" i="3"/>
  <c r="BH85" i="2"/>
  <c r="BJ85" i="2"/>
  <c r="BI85" i="2"/>
  <c r="BC273" i="3"/>
  <c r="BD273" i="3"/>
  <c r="BE273" i="3"/>
  <c r="BC45" i="3"/>
  <c r="BD45" i="3"/>
  <c r="BE45" i="3"/>
  <c r="BE4" i="3"/>
  <c r="BD4" i="3"/>
  <c r="BC4" i="3"/>
  <c r="BD258" i="3"/>
  <c r="BE258" i="3"/>
  <c r="BC258" i="3"/>
  <c r="BC327" i="3"/>
  <c r="BD327" i="3"/>
  <c r="BE327" i="3"/>
  <c r="BE223" i="3"/>
  <c r="BD223" i="3"/>
  <c r="BC223" i="3"/>
  <c r="BD173" i="3"/>
  <c r="BC173" i="3"/>
  <c r="BE173" i="3"/>
  <c r="BD62" i="3"/>
  <c r="BE62" i="3"/>
  <c r="BC62" i="3"/>
  <c r="BC28" i="3"/>
  <c r="BD28" i="3"/>
  <c r="BE28" i="3"/>
  <c r="BJ20" i="2"/>
  <c r="BH20" i="2"/>
  <c r="BI20" i="2"/>
  <c r="BC180" i="3"/>
  <c r="BD180" i="3"/>
  <c r="BE180" i="3"/>
  <c r="BC64" i="3"/>
  <c r="BD64" i="3"/>
  <c r="BE64" i="3"/>
  <c r="BH70" i="2"/>
  <c r="BI70" i="2"/>
  <c r="BJ70" i="2"/>
  <c r="BC54" i="3"/>
  <c r="BD54" i="3"/>
  <c r="BE54" i="3"/>
  <c r="BC143" i="3"/>
  <c r="BD143" i="3"/>
  <c r="BE143" i="3"/>
  <c r="BC71" i="3"/>
  <c r="BD71" i="3"/>
  <c r="BE71" i="3"/>
  <c r="BD195" i="3"/>
  <c r="BE195" i="3"/>
  <c r="BC195" i="3"/>
  <c r="BE153" i="3"/>
  <c r="BD153" i="3"/>
  <c r="BC153" i="3"/>
  <c r="BD75" i="3"/>
  <c r="BE75" i="3"/>
  <c r="BC75" i="3"/>
  <c r="BE33" i="3"/>
  <c r="BC33" i="3"/>
  <c r="BD33" i="3"/>
  <c r="BH94" i="2"/>
  <c r="BJ94" i="2"/>
  <c r="BI94" i="2"/>
  <c r="BE272" i="3"/>
  <c r="BC272" i="3"/>
  <c r="BD272" i="3"/>
  <c r="BJ76" i="2"/>
  <c r="BH76" i="2"/>
  <c r="BI76" i="2"/>
  <c r="BE219" i="3"/>
  <c r="BC219" i="3"/>
  <c r="BD219" i="3"/>
  <c r="BC58" i="3"/>
  <c r="BD58" i="3"/>
  <c r="BE58" i="3"/>
  <c r="BI37" i="2"/>
  <c r="BJ37" i="2"/>
  <c r="BH37" i="2"/>
  <c r="BC194" i="3"/>
  <c r="BD194" i="3"/>
  <c r="BE194" i="3"/>
  <c r="BC177" i="3"/>
  <c r="BD177" i="3"/>
  <c r="BE177" i="3"/>
  <c r="BC184" i="3"/>
  <c r="BD184" i="3"/>
  <c r="BE184" i="3"/>
  <c r="BE160" i="3"/>
  <c r="BD160" i="3"/>
  <c r="BC160" i="3"/>
  <c r="BC38" i="3"/>
  <c r="BE38" i="3"/>
  <c r="BD38" i="3"/>
  <c r="BE268" i="3"/>
  <c r="BD268" i="3"/>
  <c r="BC268" i="3"/>
  <c r="BC148" i="3"/>
  <c r="BE148" i="3"/>
  <c r="BD148" i="3"/>
  <c r="BC353" i="3"/>
  <c r="BE353" i="3"/>
  <c r="BD353" i="3"/>
  <c r="BC270" i="3"/>
  <c r="BE270" i="3"/>
  <c r="BD270" i="3"/>
  <c r="BD91" i="3"/>
  <c r="BE91" i="3"/>
  <c r="BC91" i="3"/>
  <c r="BE329" i="3"/>
  <c r="BC329" i="3"/>
  <c r="BD329" i="3"/>
  <c r="BE170" i="3"/>
  <c r="BD170" i="3"/>
  <c r="BC170" i="3"/>
  <c r="BC345" i="3"/>
  <c r="BE345" i="3"/>
  <c r="BD345" i="3"/>
  <c r="BD352" i="3"/>
  <c r="BC352" i="3"/>
  <c r="BE352" i="3"/>
  <c r="BE335" i="3"/>
  <c r="BC335" i="3"/>
  <c r="BD335" i="3"/>
  <c r="BE289" i="3"/>
  <c r="BC289" i="3"/>
  <c r="BD289" i="3"/>
  <c r="BE259" i="3"/>
  <c r="BC259" i="3"/>
  <c r="BD259" i="3"/>
  <c r="BC65" i="3"/>
  <c r="BD65" i="3"/>
  <c r="BE65" i="3"/>
  <c r="BJ32" i="2"/>
  <c r="BH32" i="2"/>
  <c r="BI32" i="2"/>
  <c r="BJ43" i="2"/>
  <c r="BH43" i="2"/>
  <c r="BI43" i="2"/>
  <c r="BC250" i="3"/>
  <c r="BD250" i="3"/>
  <c r="BE250" i="3"/>
  <c r="BC42" i="3"/>
  <c r="BD42" i="3"/>
  <c r="BE42" i="3"/>
  <c r="BC82" i="3"/>
  <c r="BE82" i="3"/>
  <c r="BD82" i="3"/>
  <c r="V190" i="3"/>
  <c r="BC29" i="3"/>
  <c r="BD29" i="3"/>
  <c r="BE29" i="3"/>
  <c r="BC129" i="3"/>
  <c r="BD129" i="3"/>
  <c r="BE129" i="3"/>
  <c r="BC31" i="3"/>
  <c r="BD31" i="3"/>
  <c r="BE31" i="3"/>
  <c r="BC176" i="3"/>
  <c r="BD176" i="3"/>
  <c r="BE176" i="3"/>
  <c r="BD126" i="3"/>
  <c r="BC126" i="3"/>
  <c r="BE126" i="3"/>
  <c r="BD49" i="3"/>
  <c r="BC49" i="3"/>
  <c r="BE49" i="3"/>
  <c r="BE171" i="3"/>
  <c r="BD171" i="3"/>
  <c r="BC171" i="3"/>
  <c r="BC125" i="3"/>
  <c r="BE125" i="3"/>
  <c r="BD125" i="3"/>
  <c r="BC85" i="3"/>
  <c r="BD85" i="3"/>
  <c r="BE85" i="3"/>
  <c r="BC92" i="3"/>
  <c r="BD92" i="3"/>
  <c r="BE92" i="3"/>
  <c r="BC131" i="3"/>
  <c r="BE131" i="3"/>
  <c r="BD131" i="3"/>
  <c r="BD341" i="3"/>
  <c r="BC341" i="3"/>
  <c r="BE341" i="3"/>
  <c r="BI99" i="2"/>
  <c r="BH99" i="2"/>
  <c r="BJ99" i="2"/>
  <c r="BC32" i="3"/>
  <c r="BE32" i="3"/>
  <c r="BD32" i="3"/>
  <c r="BC128" i="3"/>
  <c r="BD128" i="3"/>
  <c r="BE128" i="3"/>
  <c r="BC9" i="3"/>
  <c r="BD9" i="3"/>
  <c r="BE9" i="3"/>
  <c r="BE260" i="3"/>
  <c r="BC260" i="3"/>
  <c r="BD260" i="3"/>
  <c r="BJ5" i="2"/>
  <c r="BH5" i="2"/>
  <c r="BI5" i="2"/>
  <c r="BC248" i="3"/>
  <c r="BE248" i="3"/>
  <c r="BD248" i="3"/>
  <c r="BE116" i="3"/>
  <c r="BC116" i="3"/>
  <c r="BD116" i="3"/>
  <c r="BD19" i="3"/>
  <c r="BE19" i="3"/>
  <c r="BC19" i="3"/>
  <c r="BC222" i="3"/>
  <c r="BD222" i="3"/>
  <c r="BE222" i="3"/>
  <c r="BE274" i="3"/>
  <c r="BC274" i="3"/>
  <c r="BD274" i="3"/>
  <c r="BE307" i="3"/>
  <c r="BC307" i="3"/>
  <c r="BD307" i="3"/>
  <c r="BC30" i="3"/>
  <c r="BE30" i="3"/>
  <c r="BD30" i="3"/>
  <c r="BH47" i="2"/>
  <c r="BI47" i="2"/>
  <c r="BJ47" i="2"/>
  <c r="BE186" i="3"/>
  <c r="BC186" i="3"/>
  <c r="BD186" i="3"/>
  <c r="BE343" i="3"/>
  <c r="BD343" i="3"/>
  <c r="BC343" i="3"/>
  <c r="BI63" i="2"/>
  <c r="BH63" i="2"/>
  <c r="BJ63" i="2"/>
  <c r="BC296" i="3"/>
  <c r="BD296" i="3"/>
  <c r="BE296" i="3"/>
  <c r="BC233" i="3"/>
  <c r="BD233" i="3"/>
  <c r="BE233" i="3"/>
  <c r="BD133" i="3"/>
  <c r="BC133" i="3"/>
  <c r="BE133" i="3"/>
  <c r="BJ67" i="2"/>
  <c r="BH67" i="2"/>
  <c r="BI67" i="2"/>
  <c r="BH87" i="2"/>
  <c r="BI87" i="2"/>
  <c r="BJ87" i="2"/>
  <c r="BE210" i="3"/>
  <c r="BC210" i="3"/>
  <c r="BD210" i="3"/>
  <c r="BE109" i="3"/>
  <c r="BD109" i="3"/>
  <c r="BC109" i="3"/>
  <c r="BD279" i="3"/>
  <c r="BC279" i="3"/>
  <c r="BE279" i="3"/>
  <c r="BC266" i="3"/>
  <c r="BE266" i="3"/>
  <c r="BD266" i="3"/>
  <c r="BJ17" i="2"/>
  <c r="BH17" i="2"/>
  <c r="BI17" i="2"/>
  <c r="BC99" i="3"/>
  <c r="BD99" i="3"/>
  <c r="BE99" i="3"/>
  <c r="BJ7" i="2"/>
  <c r="BI7" i="2"/>
  <c r="BH7" i="2"/>
  <c r="BC34" i="3"/>
  <c r="BD34" i="3"/>
  <c r="BE34" i="3"/>
  <c r="BE110" i="3"/>
  <c r="BC110" i="3"/>
  <c r="BD110" i="3"/>
  <c r="BD227" i="3"/>
  <c r="BE227" i="3"/>
  <c r="BC227" i="3"/>
  <c r="BH61" i="2"/>
  <c r="BI61" i="2"/>
  <c r="BJ61" i="2"/>
  <c r="BD16" i="3"/>
  <c r="BE16" i="3"/>
  <c r="BC16" i="3"/>
  <c r="U70" i="3" l="1"/>
  <c r="U152" i="3"/>
  <c r="U238" i="3"/>
  <c r="U197" i="3"/>
  <c r="U95" i="3"/>
  <c r="U67" i="3"/>
  <c r="U286" i="3"/>
  <c r="U274" i="3"/>
  <c r="U54" i="3"/>
  <c r="U194" i="3"/>
  <c r="U261" i="3"/>
  <c r="U93" i="3"/>
  <c r="U78" i="3"/>
  <c r="U117" i="3"/>
  <c r="U251" i="3"/>
  <c r="U39" i="3"/>
  <c r="U315" i="3"/>
  <c r="U25" i="3"/>
  <c r="U166" i="3"/>
  <c r="U116" i="3"/>
  <c r="U26" i="3"/>
  <c r="U283" i="3"/>
  <c r="U45" i="3"/>
  <c r="U303" i="3"/>
  <c r="U23" i="3"/>
  <c r="U306" i="3"/>
  <c r="U224" i="3"/>
  <c r="U129" i="3"/>
  <c r="U3" i="3"/>
  <c r="U240" i="3"/>
  <c r="U72" i="3"/>
  <c r="U127" i="3"/>
  <c r="U270" i="3"/>
  <c r="U203" i="3"/>
  <c r="U321" i="3"/>
  <c r="U18" i="3"/>
  <c r="U255" i="3"/>
  <c r="U94" i="3"/>
  <c r="U254" i="3"/>
  <c r="U344" i="3"/>
  <c r="U4" i="3"/>
  <c r="U327" i="3"/>
  <c r="U326" i="3"/>
  <c r="U310" i="3"/>
  <c r="U131" i="3"/>
  <c r="U89" i="3"/>
  <c r="U256" i="3"/>
  <c r="U305" i="3"/>
  <c r="U118" i="3"/>
  <c r="U202" i="3"/>
  <c r="U38" i="3"/>
  <c r="U178" i="3"/>
  <c r="U30" i="3"/>
  <c r="U293" i="3"/>
  <c r="U101" i="3"/>
  <c r="U156" i="3"/>
  <c r="U265" i="3"/>
  <c r="U134" i="3"/>
  <c r="U212" i="3"/>
  <c r="U35" i="3"/>
  <c r="U343" i="3"/>
  <c r="U332" i="3"/>
  <c r="U106" i="3"/>
  <c r="U243" i="3"/>
  <c r="U146" i="3"/>
  <c r="U232" i="3"/>
  <c r="U103" i="3"/>
  <c r="U221" i="3"/>
  <c r="U260" i="3"/>
  <c r="U155" i="3"/>
  <c r="U37" i="3"/>
  <c r="U338" i="3"/>
  <c r="U268" i="3"/>
  <c r="U158" i="3"/>
  <c r="U151" i="3"/>
  <c r="U68" i="3"/>
  <c r="U21" i="3"/>
  <c r="U352" i="3"/>
  <c r="U200" i="3"/>
  <c r="U284" i="3"/>
  <c r="U13" i="3"/>
  <c r="U347" i="3"/>
  <c r="U330" i="3"/>
  <c r="U31" i="3"/>
  <c r="U299" i="3"/>
  <c r="U99" i="3"/>
  <c r="U108" i="3"/>
  <c r="U228" i="3"/>
  <c r="U85" i="3"/>
  <c r="U318" i="3"/>
  <c r="U340" i="3"/>
  <c r="U168" i="3"/>
  <c r="U185" i="3"/>
  <c r="U239" i="3"/>
  <c r="U337" i="3"/>
  <c r="U348" i="3"/>
  <c r="U19" i="3"/>
  <c r="U311" i="3"/>
  <c r="U8" i="3"/>
  <c r="U113" i="3"/>
  <c r="U323" i="3"/>
  <c r="U199" i="3"/>
  <c r="U149" i="3"/>
  <c r="U248" i="3"/>
  <c r="U87" i="3"/>
  <c r="U80" i="3"/>
  <c r="U28" i="3"/>
  <c r="U138" i="3"/>
  <c r="U336" i="3"/>
  <c r="U331" i="3"/>
  <c r="U112" i="3"/>
  <c r="U262" i="3"/>
  <c r="U236" i="3"/>
  <c r="U150" i="3"/>
  <c r="U186" i="3"/>
  <c r="U139" i="3"/>
  <c r="U229" i="3"/>
  <c r="U43" i="3"/>
  <c r="U56" i="3"/>
  <c r="U263" i="3"/>
  <c r="U171" i="3"/>
  <c r="U289" i="3"/>
  <c r="U346" i="3"/>
  <c r="U73" i="3"/>
  <c r="U275" i="3"/>
  <c r="U285" i="3"/>
  <c r="U141" i="3"/>
  <c r="U287" i="3"/>
  <c r="U66" i="3"/>
  <c r="U329" i="3"/>
  <c r="U126" i="3"/>
  <c r="U124" i="3"/>
  <c r="U297" i="3"/>
  <c r="U264" i="3"/>
  <c r="U342" i="3"/>
  <c r="U195" i="3"/>
  <c r="U36" i="3"/>
  <c r="U204" i="3"/>
  <c r="U91" i="3"/>
  <c r="U176" i="3"/>
  <c r="U75" i="3"/>
  <c r="U252" i="3"/>
  <c r="U235" i="3"/>
  <c r="U96" i="3"/>
  <c r="U180" i="3"/>
  <c r="U92" i="3"/>
  <c r="U6" i="3"/>
  <c r="U81" i="3"/>
  <c r="U296" i="3"/>
  <c r="U147" i="3"/>
  <c r="U48" i="3"/>
  <c r="U84" i="3"/>
  <c r="U187" i="3"/>
  <c r="U160" i="3"/>
  <c r="U181" i="3"/>
  <c r="U291" i="3"/>
  <c r="U259" i="3"/>
  <c r="U32" i="3"/>
  <c r="U143" i="3"/>
  <c r="U314" i="3"/>
  <c r="U62" i="3"/>
  <c r="U196" i="3"/>
  <c r="U173" i="3"/>
  <c r="U219" i="3"/>
  <c r="U223" i="3"/>
  <c r="U100" i="3"/>
  <c r="U148" i="3"/>
  <c r="U76" i="3"/>
  <c r="U98" i="3"/>
  <c r="U61" i="3"/>
  <c r="U216" i="3"/>
  <c r="U140" i="3"/>
  <c r="U211" i="3"/>
  <c r="U104" i="3"/>
  <c r="U153" i="3"/>
  <c r="U295" i="3"/>
  <c r="U42" i="3"/>
  <c r="U20" i="3"/>
  <c r="U9" i="3"/>
  <c r="U164" i="3"/>
  <c r="U40" i="3"/>
  <c r="U292" i="3"/>
  <c r="U213" i="3"/>
  <c r="U133" i="3"/>
  <c r="U320" i="3"/>
  <c r="U193" i="3"/>
  <c r="U57" i="3"/>
  <c r="U27" i="3"/>
  <c r="U71" i="3"/>
  <c r="U277" i="3"/>
  <c r="U308" i="3"/>
  <c r="U190" i="3"/>
  <c r="U253" i="3"/>
  <c r="U24" i="3"/>
  <c r="U162" i="3"/>
  <c r="U217" i="3"/>
  <c r="U351" i="3"/>
  <c r="U300" i="3"/>
  <c r="U350" i="3"/>
  <c r="U49" i="3"/>
  <c r="U161" i="3"/>
  <c r="U257" i="3"/>
  <c r="U107" i="3"/>
  <c r="U319" i="3"/>
  <c r="U233" i="3"/>
  <c r="U53" i="3"/>
  <c r="U10" i="3"/>
  <c r="U189" i="3"/>
  <c r="U157" i="3"/>
  <c r="U241" i="3"/>
  <c r="U177" i="3"/>
  <c r="U322" i="3"/>
  <c r="U119" i="3"/>
  <c r="U201" i="3"/>
  <c r="U325" i="3"/>
  <c r="U333" i="3"/>
  <c r="U328" i="3"/>
  <c r="U120" i="3"/>
  <c r="U184" i="3"/>
  <c r="U301" i="3"/>
  <c r="U105" i="3"/>
  <c r="U52" i="3"/>
  <c r="AD2" i="4"/>
  <c r="U111" i="3"/>
  <c r="U77" i="3"/>
  <c r="U46" i="3"/>
  <c r="U345" i="3"/>
  <c r="U132" i="3"/>
  <c r="U183" i="3"/>
  <c r="U90" i="3"/>
  <c r="U74" i="3"/>
  <c r="U115" i="3"/>
  <c r="U258" i="3"/>
  <c r="U237" i="3"/>
  <c r="U128" i="3"/>
  <c r="U130" i="3"/>
  <c r="U83" i="3"/>
  <c r="U69" i="3"/>
  <c r="U11" i="3"/>
  <c r="U312" i="3"/>
  <c r="U302" i="3"/>
  <c r="U272" i="3"/>
  <c r="U97" i="3"/>
  <c r="U267" i="3"/>
  <c r="U234" i="3"/>
  <c r="U339" i="3"/>
  <c r="U335" i="3"/>
  <c r="U5" i="3"/>
  <c r="U334" i="3"/>
  <c r="U122" i="3"/>
  <c r="U159" i="3"/>
  <c r="U290" i="3"/>
  <c r="U123" i="3"/>
  <c r="U317" i="3"/>
  <c r="U172" i="3"/>
  <c r="U246" i="3"/>
  <c r="U163" i="3"/>
  <c r="U102" i="3"/>
  <c r="U34" i="3"/>
  <c r="U135" i="3"/>
  <c r="U220" i="3"/>
  <c r="U281" i="3"/>
  <c r="U136" i="3"/>
  <c r="U58" i="3"/>
  <c r="U174" i="3"/>
  <c r="U179" i="3"/>
  <c r="U47" i="3"/>
  <c r="U59" i="3"/>
  <c r="U309" i="3"/>
  <c r="U86" i="3"/>
  <c r="U191" i="3"/>
  <c r="U169" i="3"/>
  <c r="U249" i="3"/>
  <c r="U227" i="3"/>
  <c r="U22" i="3"/>
  <c r="U109" i="3"/>
  <c r="U142" i="3"/>
  <c r="U210" i="3"/>
  <c r="U14" i="3"/>
  <c r="U79" i="3"/>
  <c r="U12" i="3"/>
  <c r="U225" i="3"/>
  <c r="U206" i="3"/>
  <c r="U7" i="3"/>
  <c r="U271" i="3"/>
  <c r="U245" i="3"/>
  <c r="U144" i="3"/>
  <c r="U269" i="3"/>
  <c r="U226" i="3"/>
  <c r="U2" i="3"/>
  <c r="U65" i="3"/>
  <c r="U63" i="3"/>
  <c r="U307" i="3"/>
  <c r="U154" i="3"/>
  <c r="U29" i="3"/>
  <c r="U250" i="3"/>
  <c r="U304" i="3"/>
  <c r="U82" i="3"/>
  <c r="U214" i="3"/>
  <c r="U230" i="3"/>
  <c r="U278" i="3"/>
  <c r="U188" i="3"/>
  <c r="U121" i="3"/>
  <c r="U17" i="3"/>
  <c r="U51" i="3"/>
  <c r="U55" i="3"/>
  <c r="U349" i="3"/>
  <c r="U231" i="3"/>
  <c r="U170" i="3"/>
  <c r="U222" i="3"/>
  <c r="U207" i="3"/>
  <c r="U294" i="3"/>
  <c r="U33" i="3"/>
  <c r="U288" i="3"/>
  <c r="U15" i="3"/>
  <c r="U279" i="3"/>
  <c r="U182" i="3"/>
  <c r="U208" i="3"/>
  <c r="U266" i="3"/>
  <c r="U60" i="3"/>
  <c r="U276" i="3"/>
  <c r="U198" i="3"/>
  <c r="U298" i="3"/>
  <c r="U242" i="3"/>
  <c r="U280" i="3"/>
  <c r="U165" i="3"/>
  <c r="U316" i="3"/>
  <c r="U64" i="3"/>
  <c r="U341" i="3"/>
  <c r="U110" i="3"/>
  <c r="U44" i="3"/>
  <c r="U353" i="3"/>
  <c r="U244" i="3"/>
  <c r="U137" i="3"/>
  <c r="U16" i="3"/>
  <c r="U114" i="3"/>
  <c r="U324" i="3"/>
  <c r="U205" i="3"/>
  <c r="U50" i="3"/>
  <c r="U313" i="3"/>
  <c r="U209" i="3"/>
  <c r="U88" i="3"/>
  <c r="U273" i="3"/>
  <c r="U192" i="3"/>
  <c r="U167" i="3"/>
  <c r="U218" i="3"/>
  <c r="AM141" i="3"/>
  <c r="AM351" i="3"/>
  <c r="AM8" i="3"/>
  <c r="AM263" i="3"/>
  <c r="AM187" i="3"/>
  <c r="AM132" i="3"/>
  <c r="AM117" i="3"/>
  <c r="AM2" i="3"/>
  <c r="AM152" i="3"/>
  <c r="AM109" i="3"/>
  <c r="AM243" i="3"/>
  <c r="AM27" i="3"/>
  <c r="AM60" i="3"/>
  <c r="AM16" i="3"/>
  <c r="AM167" i="3"/>
  <c r="AM149" i="3"/>
  <c r="AM124" i="3"/>
  <c r="AM198" i="3"/>
  <c r="AM236" i="3"/>
  <c r="AM348" i="3"/>
  <c r="AM301" i="3"/>
  <c r="AM204" i="3"/>
  <c r="AM331" i="3"/>
  <c r="AM3" i="3"/>
  <c r="AM177" i="3"/>
  <c r="AM37" i="3"/>
  <c r="AM106" i="3"/>
  <c r="AM126" i="3"/>
  <c r="AM308" i="3"/>
  <c r="AM326" i="3"/>
  <c r="AM113" i="3"/>
  <c r="AM19" i="3"/>
  <c r="AM192" i="3"/>
  <c r="AM125" i="3"/>
  <c r="AM212" i="3"/>
  <c r="AM114" i="3"/>
  <c r="AM21" i="3"/>
  <c r="AM183" i="3"/>
  <c r="AM201" i="3"/>
  <c r="AM75" i="3"/>
  <c r="AM345" i="3"/>
  <c r="AM52" i="3"/>
  <c r="AM206" i="3"/>
  <c r="AM334" i="3"/>
  <c r="AM31" i="3"/>
  <c r="AM218" i="3"/>
  <c r="AM278" i="3"/>
  <c r="AM36" i="3"/>
  <c r="AM256" i="3"/>
  <c r="AM69" i="3"/>
  <c r="AM28" i="3"/>
  <c r="AM26" i="3"/>
  <c r="AM64" i="3"/>
  <c r="AM199" i="3"/>
  <c r="AM223" i="3"/>
  <c r="AM55" i="3"/>
  <c r="AM9" i="3"/>
  <c r="AM50" i="3"/>
  <c r="AM265" i="3"/>
  <c r="AM95" i="3"/>
  <c r="AM333" i="3"/>
  <c r="AM22" i="3"/>
  <c r="AM267" i="3"/>
  <c r="AM231" i="3"/>
  <c r="AM349" i="3"/>
  <c r="AM72" i="3"/>
  <c r="AM219" i="3"/>
  <c r="AM166" i="3"/>
  <c r="AM96" i="3"/>
  <c r="AM87" i="3"/>
  <c r="AM251" i="3"/>
  <c r="AM147" i="3"/>
  <c r="AM268" i="3"/>
  <c r="AM77" i="3"/>
  <c r="AM139" i="3"/>
  <c r="AM61" i="3"/>
  <c r="AM29" i="3"/>
  <c r="AM222" i="3"/>
  <c r="AM182" i="3"/>
  <c r="AM214" i="3"/>
  <c r="AM10" i="3"/>
  <c r="AM190" i="3"/>
  <c r="AM213" i="3"/>
  <c r="AM254" i="3"/>
  <c r="AM53" i="3"/>
  <c r="AM195" i="3"/>
  <c r="AM316" i="3"/>
  <c r="AM24" i="3"/>
  <c r="AM232" i="3"/>
  <c r="AM25" i="3"/>
  <c r="AM89" i="3"/>
  <c r="AM328" i="3"/>
  <c r="AM110" i="3"/>
  <c r="AM196" i="3"/>
  <c r="AM82" i="3"/>
  <c r="AM318" i="3"/>
  <c r="AM11" i="3"/>
  <c r="AM229" i="3"/>
  <c r="AM306" i="3"/>
  <c r="AM266" i="3"/>
  <c r="AM336" i="3"/>
  <c r="AM249" i="3"/>
  <c r="AM120" i="3"/>
  <c r="AM150" i="3"/>
  <c r="AM191" i="3"/>
  <c r="AM320" i="3"/>
  <c r="AM352" i="3"/>
  <c r="AM305" i="3"/>
  <c r="AM180" i="3"/>
  <c r="AM288" i="3"/>
  <c r="AM158" i="3"/>
  <c r="AM74" i="3"/>
  <c r="AM162" i="3"/>
  <c r="AM339" i="3"/>
  <c r="AM209" i="3"/>
  <c r="AM85" i="3"/>
  <c r="AM40" i="3"/>
  <c r="AM173" i="3"/>
  <c r="AM350" i="3"/>
  <c r="AM58" i="3"/>
  <c r="AM123" i="3"/>
  <c r="AM83" i="3"/>
  <c r="AM41" i="3"/>
  <c r="AM130" i="3"/>
  <c r="AM93" i="3"/>
  <c r="AM258" i="3"/>
  <c r="AM140" i="3"/>
  <c r="AM79" i="3"/>
  <c r="AM311" i="3"/>
  <c r="AM65" i="3"/>
  <c r="AM62" i="3"/>
  <c r="AM59" i="3"/>
  <c r="AM160" i="3"/>
  <c r="AM188" i="3"/>
  <c r="AM203" i="3"/>
  <c r="AM322" i="3"/>
  <c r="AM260" i="3"/>
  <c r="AM165" i="3"/>
  <c r="AM271" i="3"/>
  <c r="AM156" i="3"/>
  <c r="AM200" i="3"/>
  <c r="AM341" i="3"/>
  <c r="AM51" i="3"/>
  <c r="AM63" i="3"/>
  <c r="AM197" i="3"/>
  <c r="AM323" i="3"/>
  <c r="AM277" i="3"/>
  <c r="AM30" i="3"/>
  <c r="AM144" i="3"/>
  <c r="AM163" i="3"/>
  <c r="AM225" i="3"/>
  <c r="AM273" i="3"/>
  <c r="AM184" i="3"/>
  <c r="AM314" i="3"/>
  <c r="AM287" i="3"/>
  <c r="AM337" i="3"/>
  <c r="AM239" i="3"/>
  <c r="AM194" i="3"/>
  <c r="AM78" i="3"/>
  <c r="AM317" i="3"/>
  <c r="AM103" i="3"/>
  <c r="AM329" i="3"/>
  <c r="AM221" i="3"/>
  <c r="AM297" i="3"/>
  <c r="AM310" i="3"/>
  <c r="AM233" i="3"/>
  <c r="AM127" i="3"/>
  <c r="AM135" i="3"/>
  <c r="AM303" i="3"/>
  <c r="AM97" i="3"/>
  <c r="AM338" i="3"/>
  <c r="AM193" i="3"/>
  <c r="AM7" i="3"/>
  <c r="AM81" i="3"/>
  <c r="AM168" i="3"/>
  <c r="AM286" i="3"/>
  <c r="AM86" i="3"/>
  <c r="AM275" i="3"/>
  <c r="AM270" i="3"/>
  <c r="AM161" i="3"/>
  <c r="AM84" i="3"/>
  <c r="AM143" i="3"/>
  <c r="AM346" i="3"/>
  <c r="AM71" i="3"/>
  <c r="AM56" i="3"/>
  <c r="AM43" i="3"/>
  <c r="AM281" i="3"/>
  <c r="AM205" i="3"/>
  <c r="AM285" i="3"/>
  <c r="AM46" i="3"/>
  <c r="AM238" i="3"/>
  <c r="AM282" i="3"/>
  <c r="AM70" i="3"/>
  <c r="AM48" i="3"/>
  <c r="AM295" i="3"/>
  <c r="AM300" i="3"/>
  <c r="AM347" i="3"/>
  <c r="AM262" i="3"/>
  <c r="AM244" i="3"/>
  <c r="AM108" i="3"/>
  <c r="AM14" i="3"/>
  <c r="AM353" i="3"/>
  <c r="AM179" i="3"/>
  <c r="AM121" i="3"/>
  <c r="AM247" i="3"/>
  <c r="AM12" i="3"/>
  <c r="AM20" i="3"/>
  <c r="AM102" i="3"/>
  <c r="AM107" i="3"/>
  <c r="AM170" i="3"/>
  <c r="AM68" i="3"/>
  <c r="AM313" i="3"/>
  <c r="AM136" i="3"/>
  <c r="AM131" i="3"/>
  <c r="AM202" i="3"/>
  <c r="AM6" i="3"/>
  <c r="AM90" i="3"/>
  <c r="AM100" i="3"/>
  <c r="AM340" i="3"/>
  <c r="AM292" i="3"/>
  <c r="AM217" i="3"/>
  <c r="AM264" i="3"/>
  <c r="AM344" i="3"/>
  <c r="AM343" i="3"/>
  <c r="AM49" i="3"/>
  <c r="AM246" i="3"/>
  <c r="AM299" i="3"/>
  <c r="AM5" i="3"/>
  <c r="AM302" i="3"/>
  <c r="AM153" i="3"/>
  <c r="AM174" i="3"/>
  <c r="AM298" i="3"/>
  <c r="AM330" i="3"/>
  <c r="AM92" i="3"/>
  <c r="AM321" i="3"/>
  <c r="AM146" i="3"/>
  <c r="AM255" i="3"/>
  <c r="AM250" i="3"/>
  <c r="AM115" i="3"/>
  <c r="AM220" i="3"/>
  <c r="AM73" i="3"/>
  <c r="AM17" i="3"/>
  <c r="AM325" i="3"/>
  <c r="AM80" i="3"/>
  <c r="AM138" i="3"/>
  <c r="AM164" i="3"/>
  <c r="AM88" i="3"/>
  <c r="AM44" i="3"/>
  <c r="AM66" i="3"/>
  <c r="AM241" i="3"/>
  <c r="AM283" i="3"/>
  <c r="AM94" i="3"/>
  <c r="AM274" i="3"/>
  <c r="AM315" i="3"/>
  <c r="AM228" i="3"/>
  <c r="AM237" i="3"/>
  <c r="AM309" i="3"/>
  <c r="AM54" i="3"/>
  <c r="AM272" i="3"/>
  <c r="AM159" i="3"/>
  <c r="AM248" i="3"/>
  <c r="AM290" i="3"/>
  <c r="AM284" i="3"/>
  <c r="AM280" i="3"/>
  <c r="AM157" i="3"/>
  <c r="AM119" i="3"/>
  <c r="AM227" i="3"/>
  <c r="AM291" i="3"/>
  <c r="AM91" i="3"/>
  <c r="AM98" i="3"/>
  <c r="AM101" i="3"/>
  <c r="AM15" i="3"/>
  <c r="AM42" i="3"/>
  <c r="AM18" i="3"/>
  <c r="AM226" i="3"/>
  <c r="AM230" i="3"/>
  <c r="AM185" i="3"/>
  <c r="AM245" i="3"/>
  <c r="AM13" i="3"/>
  <c r="AM112" i="3"/>
  <c r="AM4" i="3"/>
  <c r="AM276" i="3"/>
  <c r="AM296" i="3"/>
  <c r="AM208" i="3"/>
  <c r="AM169" i="3"/>
  <c r="AM47" i="3"/>
  <c r="AM207" i="3"/>
  <c r="AM23" i="3"/>
  <c r="AM175" i="3"/>
  <c r="AM129" i="3"/>
  <c r="AM32" i="3"/>
  <c r="AM134" i="3"/>
  <c r="AM210" i="3"/>
  <c r="AM257" i="3"/>
  <c r="AM332" i="3"/>
  <c r="AM38" i="3"/>
  <c r="AM211" i="3"/>
  <c r="AM99" i="3"/>
  <c r="AM269" i="3"/>
  <c r="AM178" i="3"/>
  <c r="AM342" i="3"/>
  <c r="AM252" i="3"/>
  <c r="AM253" i="3"/>
  <c r="AM216" i="3"/>
  <c r="AM289" i="3"/>
  <c r="AM259" i="3"/>
  <c r="AM327" i="3"/>
  <c r="AM57" i="3"/>
  <c r="AM186" i="3"/>
  <c r="AM176" i="3"/>
  <c r="AM35" i="3"/>
  <c r="AM33" i="3"/>
  <c r="AM133" i="3"/>
  <c r="AM307" i="3"/>
  <c r="AM181" i="3"/>
  <c r="AM34" i="3"/>
  <c r="AM235" i="3"/>
  <c r="AM324" i="3"/>
  <c r="AM45" i="3"/>
  <c r="AM154" i="3"/>
  <c r="AM234" i="3"/>
  <c r="AM104" i="3"/>
  <c r="AM116" i="3"/>
  <c r="AM142" i="3"/>
  <c r="AM151" i="3"/>
  <c r="AM111" i="3"/>
  <c r="AM148" i="3"/>
  <c r="AM293" i="3"/>
  <c r="AM224" i="3"/>
  <c r="AM261" i="3"/>
  <c r="AM122" i="3"/>
  <c r="AM312" i="3"/>
  <c r="AM67" i="3"/>
  <c r="AM105" i="3"/>
  <c r="AM319" i="3"/>
  <c r="AM294" i="3"/>
  <c r="AM189" i="3"/>
  <c r="AM304" i="3"/>
  <c r="AM240" i="3"/>
  <c r="AM335" i="3"/>
  <c r="AM76" i="3"/>
  <c r="AM172" i="3"/>
  <c r="AM155" i="3"/>
  <c r="AM215" i="3"/>
  <c r="AM118" i="3"/>
  <c r="AM128" i="3"/>
  <c r="AM279" i="3"/>
  <c r="AM242" i="3"/>
  <c r="AM171" i="3"/>
  <c r="AM137" i="3"/>
  <c r="AM39" i="3"/>
  <c r="AD128" i="3"/>
  <c r="AD32" i="3"/>
  <c r="AD3" i="3"/>
  <c r="AD25" i="3"/>
  <c r="AD172" i="3"/>
  <c r="AD151" i="3"/>
  <c r="AD112" i="3"/>
  <c r="AD133" i="3"/>
  <c r="AD253" i="3"/>
  <c r="AD44" i="3"/>
  <c r="AD36" i="3"/>
  <c r="AD130" i="3"/>
  <c r="AD9" i="3"/>
  <c r="AD154" i="3"/>
  <c r="AD206" i="3"/>
  <c r="AD203" i="3"/>
  <c r="AD109" i="3"/>
  <c r="AD37" i="3"/>
  <c r="AD16" i="3"/>
  <c r="AD24" i="3"/>
  <c r="AD262" i="3"/>
  <c r="AD56" i="3"/>
  <c r="AD83" i="3"/>
  <c r="AD204" i="3"/>
  <c r="AD257" i="3"/>
  <c r="AD256" i="3"/>
  <c r="AD180" i="3"/>
  <c r="AD11" i="3"/>
  <c r="AD169" i="3"/>
  <c r="AD199" i="3"/>
  <c r="AD289" i="3"/>
  <c r="AD198" i="3"/>
  <c r="AD342" i="3"/>
  <c r="AD335" i="3"/>
  <c r="AD338" i="3"/>
  <c r="AD18" i="3"/>
  <c r="AD238" i="3"/>
  <c r="AD179" i="3"/>
  <c r="AD233" i="3"/>
  <c r="AD48" i="3"/>
  <c r="AD295" i="3"/>
  <c r="AD277" i="3"/>
  <c r="AD85" i="3"/>
  <c r="AD248" i="3"/>
  <c r="AD27" i="3"/>
  <c r="AD134" i="3"/>
  <c r="AD178" i="3"/>
  <c r="AD33" i="3"/>
  <c r="AD291" i="3"/>
  <c r="AD69" i="3"/>
  <c r="AD163" i="3"/>
  <c r="AD299" i="3"/>
  <c r="AD95" i="3"/>
  <c r="AD176" i="3"/>
  <c r="AD143" i="3"/>
  <c r="AD328" i="3"/>
  <c r="AD273" i="3"/>
  <c r="AD64" i="3"/>
  <c r="AD82" i="3"/>
  <c r="AD157" i="3"/>
  <c r="AD175" i="3"/>
  <c r="AD323" i="3"/>
  <c r="AD97" i="3"/>
  <c r="AD294" i="3"/>
  <c r="AD142" i="3"/>
  <c r="AD309" i="3"/>
  <c r="AD350" i="3"/>
  <c r="AD194" i="3"/>
  <c r="AD234" i="3"/>
  <c r="AD331" i="3"/>
  <c r="AD188" i="3"/>
  <c r="AD103" i="3"/>
  <c r="AD160" i="3"/>
  <c r="AD317" i="3"/>
  <c r="AD266" i="3"/>
  <c r="AD227" i="3"/>
  <c r="AD94" i="3"/>
  <c r="AD230" i="3"/>
  <c r="AD259" i="3"/>
  <c r="AD286" i="3"/>
  <c r="AD205" i="3"/>
  <c r="AD8" i="3"/>
  <c r="AD272" i="3"/>
  <c r="AD308" i="3"/>
  <c r="AD265" i="3"/>
  <c r="AD108" i="3"/>
  <c r="AD92" i="3"/>
  <c r="AD119" i="3"/>
  <c r="AD62" i="3"/>
  <c r="AD34" i="3"/>
  <c r="AD55" i="3"/>
  <c r="AD207" i="3"/>
  <c r="AD74" i="3"/>
  <c r="AD226" i="3"/>
  <c r="AD250" i="3"/>
  <c r="AD312" i="3"/>
  <c r="AD341" i="3"/>
  <c r="AD40" i="3"/>
  <c r="AD275" i="3"/>
  <c r="AD327" i="3"/>
  <c r="AD107" i="3"/>
  <c r="AD135" i="3"/>
  <c r="AD91" i="3"/>
  <c r="AD99" i="3"/>
  <c r="AD217" i="3"/>
  <c r="AD106" i="3"/>
  <c r="AD200" i="3"/>
  <c r="AD161" i="3"/>
  <c r="AD316" i="3"/>
  <c r="AD7" i="3"/>
  <c r="AD6" i="3"/>
  <c r="AD96" i="3"/>
  <c r="AD192" i="3"/>
  <c r="AD219" i="3"/>
  <c r="AD80" i="3"/>
  <c r="AD125" i="3"/>
  <c r="AD196" i="3"/>
  <c r="AD258" i="3"/>
  <c r="AD77" i="3"/>
  <c r="AD298" i="3"/>
  <c r="AD149" i="3"/>
  <c r="AD345" i="3"/>
  <c r="AD190" i="3"/>
  <c r="AD185" i="3"/>
  <c r="AD132" i="3"/>
  <c r="AD93" i="3"/>
  <c r="AD120" i="3"/>
  <c r="AD318" i="3"/>
  <c r="AD68" i="3"/>
  <c r="AD170" i="3"/>
  <c r="AD296" i="3"/>
  <c r="AD12" i="3"/>
  <c r="AD168" i="3"/>
  <c r="AD181" i="3"/>
  <c r="AD191" i="3"/>
  <c r="AD353" i="3"/>
  <c r="AD320" i="3"/>
  <c r="AD246" i="3"/>
  <c r="AD348" i="3"/>
  <c r="AD148" i="3"/>
  <c r="AD57" i="3"/>
  <c r="AD121" i="3"/>
  <c r="AD290" i="3"/>
  <c r="AD243" i="3"/>
  <c r="AD155" i="3"/>
  <c r="AD332" i="3"/>
  <c r="AD72" i="3"/>
  <c r="AD284" i="3"/>
  <c r="AD113" i="3"/>
  <c r="AD38" i="3"/>
  <c r="AD87" i="3"/>
  <c r="AD144" i="3"/>
  <c r="AD313" i="3"/>
  <c r="AD330" i="3"/>
  <c r="AD303" i="3"/>
  <c r="AD76" i="3"/>
  <c r="AD43" i="3"/>
  <c r="AD305" i="3"/>
  <c r="AD351" i="3"/>
  <c r="AD304" i="3"/>
  <c r="AD60" i="3"/>
  <c r="AD110" i="3"/>
  <c r="AD4" i="3"/>
  <c r="AD140" i="3"/>
  <c r="AD47" i="3"/>
  <c r="AD137" i="3"/>
  <c r="AD241" i="3"/>
  <c r="AD19" i="3"/>
  <c r="AD267" i="3"/>
  <c r="AD325" i="3"/>
  <c r="AD39" i="3"/>
  <c r="AD84" i="3"/>
  <c r="AD236" i="3"/>
  <c r="AD224" i="3"/>
  <c r="AD66" i="3"/>
  <c r="AD173" i="3"/>
  <c r="AD261" i="3"/>
  <c r="AD177" i="3"/>
  <c r="AD280" i="3"/>
  <c r="AD98" i="3"/>
  <c r="AD105" i="3"/>
  <c r="AD114" i="3"/>
  <c r="AD139" i="3"/>
  <c r="AD41" i="3"/>
  <c r="AD344" i="3"/>
  <c r="AD71" i="3"/>
  <c r="AD54" i="3"/>
  <c r="AD247" i="3"/>
  <c r="AD334" i="3"/>
  <c r="AD218" i="3"/>
  <c r="AD293" i="3"/>
  <c r="AD118" i="3"/>
  <c r="AD75" i="3"/>
  <c r="AD307" i="3"/>
  <c r="AD321" i="3"/>
  <c r="AD292" i="3"/>
  <c r="AD147" i="3"/>
  <c r="AD15" i="3"/>
  <c r="AD347" i="3"/>
  <c r="AD78" i="3"/>
  <c r="AD50" i="3"/>
  <c r="AD237" i="3"/>
  <c r="AD314" i="3"/>
  <c r="AD336" i="3"/>
  <c r="AD249" i="3"/>
  <c r="AD260" i="3"/>
  <c r="AD23" i="3"/>
  <c r="AD150" i="3"/>
  <c r="AD202" i="3"/>
  <c r="AD10" i="3"/>
  <c r="AD340" i="3"/>
  <c r="AD46" i="3"/>
  <c r="AD239" i="3"/>
  <c r="AD263" i="3"/>
  <c r="AD102" i="3"/>
  <c r="AD251" i="3"/>
  <c r="AD171" i="3"/>
  <c r="AD153" i="3"/>
  <c r="AD104" i="3"/>
  <c r="AD45" i="3"/>
  <c r="AD184" i="3"/>
  <c r="AD252" i="3"/>
  <c r="AD100" i="3"/>
  <c r="AD300" i="3"/>
  <c r="AD349" i="3"/>
  <c r="AD174" i="3"/>
  <c r="AD162" i="3"/>
  <c r="AD282" i="3"/>
  <c r="AD165" i="3"/>
  <c r="AD324" i="3"/>
  <c r="AD17" i="3"/>
  <c r="AD274" i="3"/>
  <c r="AD67" i="3"/>
  <c r="AD208" i="3"/>
  <c r="AD164" i="3"/>
  <c r="AD51" i="3"/>
  <c r="AD343" i="3"/>
  <c r="AD220" i="3"/>
  <c r="AD141" i="3"/>
  <c r="AD269" i="3"/>
  <c r="AD158" i="3"/>
  <c r="AD129" i="3"/>
  <c r="AD167" i="3"/>
  <c r="AD268" i="3"/>
  <c r="AD101" i="3"/>
  <c r="AD156" i="3"/>
  <c r="AD283" i="3"/>
  <c r="AD186" i="3"/>
  <c r="AD115" i="3"/>
  <c r="AD187" i="3"/>
  <c r="AD214" i="3"/>
  <c r="AD228" i="3"/>
  <c r="AD235" i="3"/>
  <c r="AD352" i="3"/>
  <c r="AD333" i="3"/>
  <c r="AD30" i="3"/>
  <c r="AD111" i="3"/>
  <c r="AD166" i="3"/>
  <c r="AD306" i="3"/>
  <c r="AD124" i="3"/>
  <c r="AD28" i="3"/>
  <c r="AD193" i="3"/>
  <c r="AD52" i="3"/>
  <c r="AD81" i="3"/>
  <c r="AD311" i="3"/>
  <c r="AD136" i="3"/>
  <c r="AD26" i="3"/>
  <c r="AD322" i="3"/>
  <c r="AD123" i="3"/>
  <c r="AD337" i="3"/>
  <c r="AD13" i="3"/>
  <c r="AD245" i="3"/>
  <c r="AD215" i="3"/>
  <c r="AD195" i="3"/>
  <c r="AD2" i="3"/>
  <c r="AD254" i="3"/>
  <c r="AD22" i="3"/>
  <c r="AD255" i="3"/>
  <c r="AD117" i="3"/>
  <c r="AD225" i="3"/>
  <c r="AD271" i="3"/>
  <c r="AD79" i="3"/>
  <c r="AD21" i="3"/>
  <c r="AD89" i="3"/>
  <c r="AD58" i="3"/>
  <c r="AD211" i="3"/>
  <c r="AD315" i="3"/>
  <c r="AD231" i="3"/>
  <c r="AD86" i="3"/>
  <c r="AD131" i="3"/>
  <c r="AD212" i="3"/>
  <c r="AD201" i="3"/>
  <c r="AD222" i="3"/>
  <c r="AD182" i="3"/>
  <c r="AD310" i="3"/>
  <c r="AD90" i="3"/>
  <c r="AD276" i="3"/>
  <c r="AD213" i="3"/>
  <c r="AD116" i="3"/>
  <c r="AD319" i="3"/>
  <c r="AD126" i="3"/>
  <c r="AD209" i="3"/>
  <c r="AD288" i="3"/>
  <c r="AD138" i="3"/>
  <c r="AD326" i="3"/>
  <c r="AD146" i="3"/>
  <c r="AD329" i="3"/>
  <c r="AD88" i="3"/>
  <c r="AD270" i="3"/>
  <c r="AD70" i="3"/>
  <c r="AD297" i="3"/>
  <c r="AD35" i="3"/>
  <c r="AD73" i="3"/>
  <c r="AD127" i="3"/>
  <c r="AD5" i="3"/>
  <c r="AD31" i="3"/>
  <c r="AD122" i="3"/>
  <c r="AD229" i="3"/>
  <c r="AD20" i="3"/>
  <c r="AD189" i="3"/>
  <c r="AD59" i="3"/>
  <c r="AD287" i="3"/>
  <c r="AD279" i="3"/>
  <c r="AD61" i="3"/>
  <c r="AD232" i="3"/>
  <c r="AD29" i="3"/>
  <c r="AD339" i="3"/>
  <c r="AD346" i="3"/>
  <c r="AD302" i="3"/>
  <c r="AD278" i="3"/>
  <c r="AD281" i="3"/>
  <c r="AD216" i="3"/>
  <c r="AD285" i="3"/>
  <c r="AD221" i="3"/>
  <c r="AD63" i="3"/>
  <c r="AD14" i="3"/>
  <c r="AD242" i="3"/>
  <c r="AD197" i="3"/>
  <c r="AD42" i="3"/>
  <c r="AD49" i="3"/>
  <c r="AD53" i="3"/>
  <c r="AD65" i="3"/>
  <c r="AD152" i="3"/>
  <c r="AD240" i="3"/>
  <c r="AD264" i="3"/>
  <c r="AD301" i="3"/>
  <c r="AD183" i="3"/>
  <c r="AD223" i="3"/>
  <c r="AD244" i="3"/>
  <c r="AD210" i="3"/>
  <c r="AD159" i="3"/>
  <c r="AU47" i="3"/>
  <c r="AU191" i="3"/>
  <c r="AU118" i="3"/>
  <c r="AU244" i="3"/>
  <c r="AU268" i="3"/>
  <c r="AU265" i="3"/>
  <c r="AU80" i="3"/>
  <c r="AU175" i="3"/>
  <c r="AU236" i="3"/>
  <c r="AU148" i="3"/>
  <c r="AU300" i="3"/>
  <c r="AU32" i="3"/>
  <c r="AU209" i="3"/>
  <c r="AU157" i="3"/>
  <c r="AU168" i="3"/>
  <c r="AU307" i="3"/>
  <c r="AU196" i="3"/>
  <c r="AU204" i="3"/>
  <c r="AU159" i="3"/>
  <c r="AU119" i="3"/>
  <c r="AU347" i="3"/>
  <c r="AU185" i="3"/>
  <c r="AU299" i="3"/>
  <c r="AU294" i="3"/>
  <c r="AU232" i="3"/>
  <c r="AU183" i="3"/>
  <c r="AU24" i="3"/>
  <c r="AU184" i="3"/>
  <c r="AU120" i="3"/>
  <c r="AU329" i="3"/>
  <c r="AU126" i="3"/>
  <c r="AU271" i="3"/>
  <c r="AU292" i="3"/>
  <c r="AU261" i="3"/>
  <c r="AU233" i="3"/>
  <c r="AU286" i="3"/>
  <c r="AU10" i="3"/>
  <c r="AU66" i="3"/>
  <c r="AU40" i="3"/>
  <c r="AU234" i="3"/>
  <c r="AU71" i="3"/>
  <c r="AU215" i="3"/>
  <c r="AU49" i="3"/>
  <c r="AU316" i="3"/>
  <c r="AU102" i="3"/>
  <c r="AU139" i="3"/>
  <c r="AU298" i="3"/>
  <c r="AU194" i="3"/>
  <c r="AU333" i="3"/>
  <c r="AU211" i="3"/>
  <c r="AU206" i="3"/>
  <c r="AU352" i="3"/>
  <c r="AU212" i="3"/>
  <c r="AU117" i="3"/>
  <c r="AU246" i="3"/>
  <c r="AU323" i="3"/>
  <c r="AU318" i="3"/>
  <c r="AU164" i="3"/>
  <c r="AU181" i="3"/>
  <c r="AU240" i="3"/>
  <c r="AU4" i="3"/>
  <c r="AU51" i="3"/>
  <c r="AU95" i="3"/>
  <c r="AU325" i="3"/>
  <c r="AU76" i="3"/>
  <c r="AU199" i="3"/>
  <c r="AU18" i="3"/>
  <c r="AU305" i="3"/>
  <c r="AU124" i="3"/>
  <c r="AU304" i="3"/>
  <c r="AU28" i="3"/>
  <c r="AU167" i="3"/>
  <c r="AU161" i="3"/>
  <c r="AU116" i="3"/>
  <c r="AU208" i="3"/>
  <c r="AU61" i="3"/>
  <c r="AU48" i="3"/>
  <c r="AU21" i="3"/>
  <c r="AU74" i="3"/>
  <c r="AU11" i="3"/>
  <c r="AU334" i="3"/>
  <c r="AU320" i="3"/>
  <c r="AU7" i="3"/>
  <c r="AU104" i="3"/>
  <c r="AU309" i="3"/>
  <c r="AU172" i="3"/>
  <c r="AU256" i="3"/>
  <c r="AU223" i="3"/>
  <c r="AU9" i="3"/>
  <c r="AU224" i="3"/>
  <c r="AU288" i="3"/>
  <c r="AU195" i="3"/>
  <c r="AU39" i="3"/>
  <c r="AU351" i="3"/>
  <c r="AU54" i="3"/>
  <c r="AU113" i="3"/>
  <c r="AU187" i="3"/>
  <c r="AU57" i="3"/>
  <c r="AU44" i="3"/>
  <c r="AU166" i="3"/>
  <c r="AU205" i="3"/>
  <c r="AU250" i="3"/>
  <c r="AU327" i="3"/>
  <c r="AU322" i="3"/>
  <c r="AU27" i="3"/>
  <c r="AU321" i="3"/>
  <c r="AU156" i="3"/>
  <c r="AU169" i="3"/>
  <c r="AU89" i="3"/>
  <c r="AU73" i="3"/>
  <c r="AU207" i="3"/>
  <c r="AU53" i="3"/>
  <c r="AU90" i="3"/>
  <c r="AU42" i="3"/>
  <c r="AU173" i="3"/>
  <c r="AU263" i="3"/>
  <c r="AU339" i="3"/>
  <c r="AU26" i="3"/>
  <c r="AU190" i="3"/>
  <c r="AU98" i="3"/>
  <c r="AU342" i="3"/>
  <c r="AU249" i="3"/>
  <c r="AU19" i="3"/>
  <c r="AU332" i="3"/>
  <c r="AU255" i="3"/>
  <c r="AU276" i="3"/>
  <c r="AU296" i="3"/>
  <c r="AU193" i="3"/>
  <c r="AU146" i="3"/>
  <c r="AU237" i="3"/>
  <c r="AU344" i="3"/>
  <c r="AU216" i="3"/>
  <c r="AU275" i="3"/>
  <c r="AU331" i="3"/>
  <c r="AU259" i="3"/>
  <c r="AU112" i="3"/>
  <c r="AU63" i="3"/>
  <c r="AU186" i="3"/>
  <c r="AU64" i="3"/>
  <c r="AU128" i="3"/>
  <c r="AU346" i="3"/>
  <c r="AU132" i="3"/>
  <c r="AU154" i="3"/>
  <c r="AU227" i="3"/>
  <c r="AU313" i="3"/>
  <c r="AU182" i="3"/>
  <c r="AU270" i="3"/>
  <c r="AU200" i="3"/>
  <c r="AU125" i="3"/>
  <c r="AU13" i="3"/>
  <c r="AU153" i="3"/>
  <c r="AU239" i="3"/>
  <c r="AU122" i="3"/>
  <c r="AU165" i="3"/>
  <c r="AU345" i="3"/>
  <c r="AU92" i="3"/>
  <c r="AU133" i="3"/>
  <c r="AU58" i="3"/>
  <c r="AU235" i="3"/>
  <c r="AU349" i="3"/>
  <c r="AU52" i="3"/>
  <c r="AU6" i="3"/>
  <c r="AU282" i="3"/>
  <c r="AU353" i="3"/>
  <c r="AU302" i="3"/>
  <c r="AU314" i="3"/>
  <c r="AU138" i="3"/>
  <c r="AU127" i="3"/>
  <c r="AU107" i="3"/>
  <c r="AU78" i="3"/>
  <c r="AU330" i="3"/>
  <c r="AU16" i="3"/>
  <c r="AU99" i="3"/>
  <c r="AU60" i="3"/>
  <c r="AU30" i="3"/>
  <c r="AU214" i="3"/>
  <c r="AU123" i="3"/>
  <c r="AU97" i="3"/>
  <c r="AU96" i="3"/>
  <c r="AU171" i="3"/>
  <c r="AU295" i="3"/>
  <c r="AU247" i="3"/>
  <c r="AU14" i="3"/>
  <c r="AU252" i="3"/>
  <c r="AU46" i="3"/>
  <c r="AU203" i="3"/>
  <c r="AU260" i="3"/>
  <c r="AU306" i="3"/>
  <c r="AU230" i="3"/>
  <c r="AU221" i="3"/>
  <c r="AU129" i="3"/>
  <c r="AU170" i="3"/>
  <c r="AU56" i="3"/>
  <c r="AU150" i="3"/>
  <c r="AU179" i="3"/>
  <c r="AU222" i="3"/>
  <c r="AU198" i="3"/>
  <c r="AU91" i="3"/>
  <c r="AU274" i="3"/>
  <c r="AU335" i="3"/>
  <c r="AU311" i="3"/>
  <c r="AU100" i="3"/>
  <c r="AU151" i="3"/>
  <c r="AU177" i="3"/>
  <c r="AU254" i="3"/>
  <c r="AU317" i="3"/>
  <c r="AU85" i="3"/>
  <c r="AU241" i="3"/>
  <c r="AU336" i="3"/>
  <c r="AU251" i="3"/>
  <c r="AU192" i="3"/>
  <c r="AU308" i="3"/>
  <c r="AU248" i="3"/>
  <c r="AU266" i="3"/>
  <c r="AU106" i="3"/>
  <c r="AU84" i="3"/>
  <c r="AU83" i="3"/>
  <c r="AU75" i="3"/>
  <c r="AU17" i="3"/>
  <c r="AU38" i="3"/>
  <c r="AU82" i="3"/>
  <c r="AU114" i="3"/>
  <c r="AU36" i="3"/>
  <c r="AU243" i="3"/>
  <c r="AU41" i="3"/>
  <c r="AU217" i="3"/>
  <c r="AU220" i="3"/>
  <c r="AU143" i="3"/>
  <c r="AU101" i="3"/>
  <c r="AU338" i="3"/>
  <c r="AU315" i="3"/>
  <c r="AU23" i="3"/>
  <c r="AU350" i="3"/>
  <c r="AU180" i="3"/>
  <c r="AU25" i="3"/>
  <c r="AU197" i="3"/>
  <c r="AU67" i="3"/>
  <c r="AU312" i="3"/>
  <c r="AU283" i="3"/>
  <c r="AU140" i="3"/>
  <c r="AU55" i="3"/>
  <c r="AU155" i="3"/>
  <c r="AU81" i="3"/>
  <c r="AU15" i="3"/>
  <c r="AU279" i="3"/>
  <c r="AU149" i="3"/>
  <c r="AU147" i="3"/>
  <c r="AU135" i="3"/>
  <c r="AU310" i="3"/>
  <c r="AU20" i="3"/>
  <c r="AU219" i="3"/>
  <c r="AU163" i="3"/>
  <c r="AU141" i="3"/>
  <c r="AU137" i="3"/>
  <c r="AU65" i="3"/>
  <c r="AU86" i="3"/>
  <c r="AU297" i="3"/>
  <c r="AU109" i="3"/>
  <c r="AU343" i="3"/>
  <c r="AU50" i="3"/>
  <c r="AU29" i="3"/>
  <c r="AU281" i="3"/>
  <c r="AU12" i="3"/>
  <c r="AU35" i="3"/>
  <c r="AU272" i="3"/>
  <c r="AU162" i="3"/>
  <c r="AU144" i="3"/>
  <c r="AU189" i="3"/>
  <c r="AU68" i="3"/>
  <c r="AU70" i="3"/>
  <c r="AU290" i="3"/>
  <c r="AU115" i="3"/>
  <c r="AU257" i="3"/>
  <c r="AU45" i="3"/>
  <c r="AU258" i="3"/>
  <c r="AU278" i="3"/>
  <c r="AU348" i="3"/>
  <c r="AU301" i="3"/>
  <c r="AU262" i="3"/>
  <c r="AU201" i="3"/>
  <c r="AU218" i="3"/>
  <c r="AU253" i="3"/>
  <c r="AU285" i="3"/>
  <c r="AU284" i="3"/>
  <c r="AU269" i="3"/>
  <c r="AU324" i="3"/>
  <c r="AU110" i="3"/>
  <c r="AU202" i="3"/>
  <c r="AU43" i="3"/>
  <c r="AU72" i="3"/>
  <c r="AU340" i="3"/>
  <c r="AU226" i="3"/>
  <c r="AU108" i="3"/>
  <c r="AU225" i="3"/>
  <c r="AU31" i="3"/>
  <c r="AU178" i="3"/>
  <c r="AU273" i="3"/>
  <c r="AU33" i="3"/>
  <c r="AU131" i="3"/>
  <c r="AU111" i="3"/>
  <c r="AU79" i="3"/>
  <c r="AU8" i="3"/>
  <c r="AU87" i="3"/>
  <c r="AU267" i="3"/>
  <c r="AU289" i="3"/>
  <c r="AU337" i="3"/>
  <c r="AU303" i="3"/>
  <c r="AU277" i="3"/>
  <c r="AU210" i="3"/>
  <c r="AU136" i="3"/>
  <c r="AU242" i="3"/>
  <c r="AU280" i="3"/>
  <c r="AU158" i="3"/>
  <c r="AU93" i="3"/>
  <c r="AU319" i="3"/>
  <c r="AU174" i="3"/>
  <c r="AU37" i="3"/>
  <c r="AU5" i="3"/>
  <c r="AU142" i="3"/>
  <c r="AU176" i="3"/>
  <c r="AU228" i="3"/>
  <c r="AU22" i="3"/>
  <c r="AU328" i="3"/>
  <c r="AU121" i="3"/>
  <c r="AU3" i="3"/>
  <c r="AU231" i="3"/>
  <c r="AU103" i="3"/>
  <c r="AU94" i="3"/>
  <c r="AU77" i="3"/>
  <c r="AU188" i="3"/>
  <c r="AU105" i="3"/>
  <c r="AU291" i="3"/>
  <c r="AU238" i="3"/>
  <c r="AU229" i="3"/>
  <c r="AU34" i="3"/>
  <c r="AU341" i="3"/>
  <c r="AU59" i="3"/>
  <c r="AU69" i="3"/>
  <c r="AU2" i="3"/>
  <c r="AU287" i="3"/>
  <c r="AU245" i="3"/>
  <c r="AU152" i="3"/>
  <c r="AU264" i="3"/>
  <c r="AU62" i="3"/>
  <c r="AU326" i="3"/>
  <c r="AU293" i="3"/>
  <c r="AU130" i="3"/>
  <c r="AU160" i="3"/>
  <c r="AU88" i="3"/>
  <c r="AU134" i="3"/>
  <c r="AU213" i="3"/>
  <c r="AC103" i="3"/>
  <c r="AC317" i="3"/>
  <c r="AC291" i="3"/>
  <c r="AC206" i="3"/>
  <c r="AC188" i="3"/>
  <c r="AC334" i="3"/>
  <c r="AC326" i="3"/>
  <c r="AC37" i="3"/>
  <c r="AC156" i="3"/>
  <c r="AC314" i="3"/>
  <c r="AC137" i="3"/>
  <c r="AC299" i="3"/>
  <c r="AC298" i="3"/>
  <c r="AC186" i="3"/>
  <c r="AC207" i="3"/>
  <c r="AC73" i="3"/>
  <c r="AC316" i="3"/>
  <c r="AC116" i="3"/>
  <c r="AC63" i="3"/>
  <c r="AC347" i="3"/>
  <c r="AC135" i="3"/>
  <c r="AC269" i="3"/>
  <c r="AC234" i="3"/>
  <c r="AC29" i="3"/>
  <c r="AC56" i="3"/>
  <c r="AC132" i="3"/>
  <c r="AC130" i="3"/>
  <c r="AC9" i="3"/>
  <c r="AC265" i="3"/>
  <c r="AC190" i="3"/>
  <c r="AC2" i="3"/>
  <c r="AC28" i="3"/>
  <c r="AC81" i="3"/>
  <c r="AC270" i="3"/>
  <c r="AC337" i="3"/>
  <c r="AC335" i="3"/>
  <c r="AC189" i="3"/>
  <c r="AC14" i="3"/>
  <c r="AC121" i="3"/>
  <c r="AC237" i="3"/>
  <c r="AC293" i="3"/>
  <c r="AC350" i="3"/>
  <c r="AC109" i="3"/>
  <c r="AC199" i="3"/>
  <c r="AC321" i="3"/>
  <c r="AC61" i="3"/>
  <c r="AC329" i="3"/>
  <c r="AC139" i="3"/>
  <c r="AC333" i="3"/>
  <c r="AC70" i="3"/>
  <c r="AC346" i="3"/>
  <c r="AC12" i="3"/>
  <c r="AC202" i="3"/>
  <c r="AC277" i="3"/>
  <c r="AC268" i="3"/>
  <c r="AC91" i="3"/>
  <c r="AC304" i="3"/>
  <c r="AC243" i="3"/>
  <c r="AC97" i="3"/>
  <c r="AC287" i="3"/>
  <c r="AC120" i="3"/>
  <c r="AC256" i="3"/>
  <c r="AC322" i="3"/>
  <c r="AC62" i="3"/>
  <c r="AC285" i="3"/>
  <c r="AC142" i="3"/>
  <c r="AC149" i="3"/>
  <c r="AC25" i="3"/>
  <c r="AC155" i="3"/>
  <c r="AC177" i="3"/>
  <c r="AC111" i="3"/>
  <c r="AC318" i="3"/>
  <c r="AC38" i="3"/>
  <c r="AC82" i="3"/>
  <c r="AC336" i="3"/>
  <c r="AC34" i="3"/>
  <c r="AC227" i="3"/>
  <c r="AC290" i="3"/>
  <c r="AC92" i="3"/>
  <c r="AC57" i="3"/>
  <c r="AC282" i="3"/>
  <c r="AC283" i="3"/>
  <c r="AC175" i="3"/>
  <c r="AC67" i="3"/>
  <c r="AC276" i="3"/>
  <c r="AC328" i="3"/>
  <c r="AC101" i="3"/>
  <c r="AC353" i="3"/>
  <c r="AC123" i="3"/>
  <c r="AC129" i="3"/>
  <c r="AC24" i="3"/>
  <c r="AC351" i="3"/>
  <c r="AC3" i="3"/>
  <c r="AC324" i="3"/>
  <c r="AC43" i="3"/>
  <c r="AC181" i="3"/>
  <c r="AC99" i="3"/>
  <c r="AC180" i="3"/>
  <c r="AC31" i="3"/>
  <c r="AC193" i="3"/>
  <c r="AC301" i="3"/>
  <c r="AC144" i="3"/>
  <c r="AC69" i="3"/>
  <c r="AC185" i="3"/>
  <c r="AC16" i="3"/>
  <c r="AC169" i="3"/>
  <c r="AC42" i="3"/>
  <c r="AC44" i="3"/>
  <c r="AC76" i="3"/>
  <c r="AC158" i="3"/>
  <c r="AC4" i="3"/>
  <c r="AC151" i="3"/>
  <c r="AC340" i="3"/>
  <c r="AC19" i="3"/>
  <c r="AC205" i="3"/>
  <c r="AC96" i="3"/>
  <c r="AC262" i="3"/>
  <c r="AC64" i="3"/>
  <c r="AC89" i="3"/>
  <c r="AC192" i="3"/>
  <c r="AC278" i="3"/>
  <c r="AC146" i="3"/>
  <c r="AC306" i="3"/>
  <c r="AC204" i="3"/>
  <c r="AC126" i="3"/>
  <c r="AC39" i="3"/>
  <c r="AC210" i="3"/>
  <c r="AC235" i="3"/>
  <c r="AC113" i="3"/>
  <c r="AC161" i="3"/>
  <c r="AC131" i="3"/>
  <c r="AC231" i="3"/>
  <c r="AC136" i="3"/>
  <c r="AC171" i="3"/>
  <c r="AC300" i="3"/>
  <c r="AC267" i="3"/>
  <c r="AC211" i="3"/>
  <c r="AC233" i="3"/>
  <c r="AC226" i="3"/>
  <c r="AC170" i="3"/>
  <c r="AC320" i="3"/>
  <c r="AC124" i="3"/>
  <c r="AC184" i="3"/>
  <c r="AC72" i="3"/>
  <c r="AC255" i="3"/>
  <c r="AC7" i="3"/>
  <c r="AC295" i="3"/>
  <c r="AC134" i="3"/>
  <c r="AC223" i="3"/>
  <c r="AC172" i="3"/>
  <c r="AC102" i="3"/>
  <c r="AC236" i="3"/>
  <c r="AC201" i="3"/>
  <c r="AC219" i="3"/>
  <c r="AC83" i="3"/>
  <c r="AC54" i="3"/>
  <c r="AC168" i="3"/>
  <c r="AC45" i="3"/>
  <c r="AC87" i="3"/>
  <c r="AC279" i="3"/>
  <c r="AC36" i="3"/>
  <c r="AC66" i="3"/>
  <c r="AC150" i="3"/>
  <c r="AC345" i="3"/>
  <c r="AC55" i="3"/>
  <c r="AC197" i="3"/>
  <c r="AC118" i="3"/>
  <c r="AC297" i="3"/>
  <c r="AC165" i="3"/>
  <c r="AC194" i="3"/>
  <c r="AC253" i="3"/>
  <c r="AC183" i="3"/>
  <c r="AC178" i="3"/>
  <c r="AC23" i="3"/>
  <c r="AC220" i="3"/>
  <c r="AC286" i="3"/>
  <c r="AC52" i="3"/>
  <c r="AC217" i="3"/>
  <c r="AC266" i="3"/>
  <c r="AC13" i="3"/>
  <c r="AC106" i="3"/>
  <c r="AC32" i="3"/>
  <c r="AC5" i="3"/>
  <c r="AC122" i="3"/>
  <c r="AC313" i="3"/>
  <c r="AC284" i="3"/>
  <c r="AC242" i="3"/>
  <c r="AC344" i="3"/>
  <c r="AC339" i="3"/>
  <c r="AC296" i="3"/>
  <c r="AC273" i="3"/>
  <c r="AC85" i="3"/>
  <c r="AC330" i="3"/>
  <c r="AC216" i="3"/>
  <c r="AC294" i="3"/>
  <c r="AC162" i="3"/>
  <c r="AC274" i="3"/>
  <c r="AC163" i="3"/>
  <c r="AC309" i="3"/>
  <c r="AC244" i="3"/>
  <c r="AC119" i="3"/>
  <c r="AC128" i="3"/>
  <c r="AC208" i="3"/>
  <c r="AC218" i="3"/>
  <c r="AC254" i="3"/>
  <c r="AC8" i="3"/>
  <c r="AC173" i="3"/>
  <c r="AC166" i="3"/>
  <c r="AC93" i="3"/>
  <c r="AC311" i="3"/>
  <c r="AC215" i="3"/>
  <c r="AC94" i="3"/>
  <c r="AC348" i="3"/>
  <c r="AC319" i="3"/>
  <c r="AC105" i="3"/>
  <c r="AC80" i="3"/>
  <c r="AC187" i="3"/>
  <c r="AC289" i="3"/>
  <c r="AC246" i="3"/>
  <c r="AC305" i="3"/>
  <c r="AC95" i="3"/>
  <c r="AC259" i="3"/>
  <c r="AC59" i="3"/>
  <c r="AC245" i="3"/>
  <c r="AC48" i="3"/>
  <c r="AC212" i="3"/>
  <c r="AC323" i="3"/>
  <c r="AC261" i="3"/>
  <c r="AC98" i="3"/>
  <c r="AC27" i="3"/>
  <c r="AC257" i="3"/>
  <c r="AC112" i="3"/>
  <c r="AC230" i="3"/>
  <c r="AC49" i="3"/>
  <c r="AC21" i="3"/>
  <c r="AC22" i="3"/>
  <c r="AC148" i="3"/>
  <c r="AC182" i="3"/>
  <c r="AC138" i="3"/>
  <c r="AC331" i="3"/>
  <c r="AC114" i="3"/>
  <c r="AC214" i="3"/>
  <c r="AC26" i="3"/>
  <c r="AC78" i="3"/>
  <c r="AC195" i="3"/>
  <c r="AC225" i="3"/>
  <c r="AC84" i="3"/>
  <c r="AC46" i="3"/>
  <c r="AC167" i="3"/>
  <c r="AC260" i="3"/>
  <c r="AC79" i="3"/>
  <c r="AC343" i="3"/>
  <c r="AC174" i="3"/>
  <c r="AC17" i="3"/>
  <c r="AC86" i="3"/>
  <c r="AC238" i="3"/>
  <c r="AC110" i="3"/>
  <c r="AC352" i="3"/>
  <c r="AC40" i="3"/>
  <c r="AC342" i="3"/>
  <c r="AC203" i="3"/>
  <c r="AC222" i="3"/>
  <c r="AC50" i="3"/>
  <c r="AC20" i="3"/>
  <c r="AC303" i="3"/>
  <c r="AC292" i="3"/>
  <c r="AC229" i="3"/>
  <c r="AC179" i="3"/>
  <c r="AC338" i="3"/>
  <c r="AC249" i="3"/>
  <c r="AC51" i="3"/>
  <c r="AC115" i="3"/>
  <c r="AC239" i="3"/>
  <c r="AC209" i="3"/>
  <c r="AC240" i="3"/>
  <c r="AC125" i="3"/>
  <c r="AC143" i="3"/>
  <c r="AC41" i="3"/>
  <c r="AC127" i="3"/>
  <c r="AC264" i="3"/>
  <c r="AC302" i="3"/>
  <c r="AC349" i="3"/>
  <c r="AC160" i="3"/>
  <c r="AC60" i="3"/>
  <c r="AC100" i="3"/>
  <c r="AC104" i="3"/>
  <c r="AC176" i="3"/>
  <c r="AC30" i="3"/>
  <c r="AC147" i="3"/>
  <c r="AC10" i="3"/>
  <c r="AC341" i="3"/>
  <c r="AC241" i="3"/>
  <c r="AC11" i="3"/>
  <c r="AC159" i="3"/>
  <c r="AC221" i="3"/>
  <c r="AC275" i="3"/>
  <c r="AC58" i="3"/>
  <c r="AC332" i="3"/>
  <c r="AC312" i="3"/>
  <c r="AC107" i="3"/>
  <c r="AC272" i="3"/>
  <c r="AC164" i="3"/>
  <c r="AC280" i="3"/>
  <c r="AC157" i="3"/>
  <c r="AC117" i="3"/>
  <c r="AC6" i="3"/>
  <c r="AC140" i="3"/>
  <c r="AC15" i="3"/>
  <c r="AC88" i="3"/>
  <c r="AC133" i="3"/>
  <c r="AC308" i="3"/>
  <c r="AC75" i="3"/>
  <c r="AC71" i="3"/>
  <c r="AC325" i="3"/>
  <c r="AC47" i="3"/>
  <c r="AC108" i="3"/>
  <c r="AC252" i="3"/>
  <c r="AC288" i="3"/>
  <c r="AC33" i="3"/>
  <c r="AC141" i="3"/>
  <c r="AC315" i="3"/>
  <c r="AC77" i="3"/>
  <c r="AC90" i="3"/>
  <c r="AC271" i="3"/>
  <c r="AC196" i="3"/>
  <c r="AC228" i="3"/>
  <c r="AC248" i="3"/>
  <c r="AC250" i="3"/>
  <c r="AC251" i="3"/>
  <c r="AC153" i="3"/>
  <c r="AC263" i="3"/>
  <c r="AC152" i="3"/>
  <c r="AC281" i="3"/>
  <c r="AC200" i="3"/>
  <c r="AC224" i="3"/>
  <c r="AC191" i="3"/>
  <c r="AC65" i="3"/>
  <c r="AC307" i="3"/>
  <c r="AC232" i="3"/>
  <c r="AC310" i="3"/>
  <c r="AC18" i="3"/>
  <c r="AC198" i="3"/>
  <c r="AC154" i="3"/>
  <c r="AC53" i="3"/>
  <c r="AC213" i="3"/>
  <c r="AC74" i="3"/>
  <c r="AC35" i="3"/>
  <c r="AC327" i="3"/>
  <c r="AC68" i="3"/>
  <c r="AC247" i="3"/>
  <c r="AC258" i="3"/>
  <c r="AV283" i="3"/>
  <c r="AV294" i="3"/>
  <c r="AV191" i="3"/>
  <c r="AV72" i="3"/>
  <c r="AV9" i="3"/>
  <c r="AV282" i="3"/>
  <c r="AV324" i="3"/>
  <c r="AV342" i="3"/>
  <c r="AV91" i="3"/>
  <c r="AV227" i="3"/>
  <c r="AV336" i="3"/>
  <c r="AV286" i="3"/>
  <c r="AV31" i="3"/>
  <c r="AV225" i="3"/>
  <c r="AV243" i="3"/>
  <c r="AV57" i="3"/>
  <c r="AV70" i="3"/>
  <c r="AV49" i="3"/>
  <c r="AV321" i="3"/>
  <c r="AV292" i="3"/>
  <c r="AV326" i="3"/>
  <c r="AV242" i="3"/>
  <c r="AV285" i="3"/>
  <c r="AV338" i="3"/>
  <c r="AV323" i="3"/>
  <c r="AV260" i="3"/>
  <c r="AV208" i="3"/>
  <c r="AV262" i="3"/>
  <c r="AV303" i="3"/>
  <c r="AV177" i="3"/>
  <c r="AV24" i="3"/>
  <c r="AV112" i="3"/>
  <c r="AV8" i="3"/>
  <c r="AV28" i="3"/>
  <c r="AV128" i="3"/>
  <c r="AV65" i="3"/>
  <c r="AV305" i="3"/>
  <c r="AV68" i="3"/>
  <c r="AV126" i="3"/>
  <c r="AV136" i="3"/>
  <c r="AV71" i="3"/>
  <c r="AV66" i="3"/>
  <c r="AV280" i="3"/>
  <c r="AV249" i="3"/>
  <c r="AV39" i="3"/>
  <c r="AV298" i="3"/>
  <c r="AV340" i="3"/>
  <c r="AV14" i="3"/>
  <c r="AV148" i="3"/>
  <c r="AV300" i="3"/>
  <c r="AV214" i="3"/>
  <c r="AV333" i="3"/>
  <c r="AV152" i="3"/>
  <c r="AV50" i="3"/>
  <c r="AV162" i="3"/>
  <c r="AV230" i="3"/>
  <c r="AV27" i="3"/>
  <c r="AV268" i="3"/>
  <c r="AV183" i="3"/>
  <c r="AV184" i="3"/>
  <c r="AV279" i="3"/>
  <c r="AV15" i="3"/>
  <c r="AV197" i="3"/>
  <c r="AV250" i="3"/>
  <c r="AV156" i="3"/>
  <c r="AV339" i="3"/>
  <c r="AV273" i="3"/>
  <c r="AV113" i="3"/>
  <c r="AV178" i="3"/>
  <c r="AV43" i="3"/>
  <c r="AV80" i="3"/>
  <c r="AV21" i="3"/>
  <c r="AV277" i="3"/>
  <c r="AV97" i="3"/>
  <c r="AV313" i="3"/>
  <c r="AV140" i="3"/>
  <c r="AV187" i="3"/>
  <c r="AV211" i="3"/>
  <c r="AV141" i="3"/>
  <c r="AV278" i="3"/>
  <c r="AV137" i="3"/>
  <c r="AV331" i="3"/>
  <c r="AV169" i="3"/>
  <c r="AV272" i="3"/>
  <c r="AV53" i="3"/>
  <c r="AV222" i="3"/>
  <c r="AV281" i="3"/>
  <c r="AV106" i="3"/>
  <c r="AV259" i="3"/>
  <c r="AV232" i="3"/>
  <c r="AV315" i="3"/>
  <c r="AV270" i="3"/>
  <c r="AV129" i="3"/>
  <c r="AV176" i="3"/>
  <c r="AV157" i="3"/>
  <c r="AV11" i="3"/>
  <c r="AV201" i="3"/>
  <c r="AV161" i="3"/>
  <c r="AV271" i="3"/>
  <c r="AV158" i="3"/>
  <c r="AV60" i="3"/>
  <c r="AV346" i="3"/>
  <c r="AV38" i="3"/>
  <c r="AV253" i="3"/>
  <c r="AV109" i="3"/>
  <c r="AV22" i="3"/>
  <c r="AV212" i="3"/>
  <c r="AV332" i="3"/>
  <c r="AV107" i="3"/>
  <c r="AV192" i="3"/>
  <c r="AV246" i="3"/>
  <c r="AV150" i="3"/>
  <c r="AV194" i="3"/>
  <c r="AV241" i="3"/>
  <c r="AV248" i="3"/>
  <c r="AV320" i="3"/>
  <c r="AV79" i="3"/>
  <c r="AV304" i="3"/>
  <c r="AV26" i="3"/>
  <c r="AV160" i="3"/>
  <c r="AV75" i="3"/>
  <c r="AV153" i="3"/>
  <c r="AV221" i="3"/>
  <c r="AV349" i="3"/>
  <c r="AV100" i="3"/>
  <c r="AV251" i="3"/>
  <c r="AV51" i="3"/>
  <c r="AV98" i="3"/>
  <c r="AV267" i="3"/>
  <c r="AV264" i="3"/>
  <c r="AV226" i="3"/>
  <c r="AV334" i="3"/>
  <c r="AV255" i="3"/>
  <c r="AV198" i="3"/>
  <c r="AV139" i="3"/>
  <c r="AV223" i="3"/>
  <c r="AV335" i="3"/>
  <c r="AV189" i="3"/>
  <c r="AV327" i="3"/>
  <c r="AV34" i="3"/>
  <c r="AV59" i="3"/>
  <c r="AV144" i="3"/>
  <c r="AV90" i="3"/>
  <c r="AV134" i="3"/>
  <c r="AV341" i="3"/>
  <c r="AV206" i="3"/>
  <c r="AV5" i="3"/>
  <c r="AV215" i="3"/>
  <c r="AV125" i="3"/>
  <c r="AV188" i="3"/>
  <c r="AV345" i="3"/>
  <c r="AV310" i="3"/>
  <c r="AV276" i="3"/>
  <c r="AV18" i="3"/>
  <c r="AV124" i="3"/>
  <c r="AV258" i="3"/>
  <c r="AV19" i="3"/>
  <c r="AV165" i="3"/>
  <c r="AV155" i="3"/>
  <c r="AV116" i="3"/>
  <c r="AV186" i="3"/>
  <c r="AV108" i="3"/>
  <c r="AV88" i="3"/>
  <c r="AV104" i="3"/>
  <c r="AV84" i="3"/>
  <c r="AV143" i="3"/>
  <c r="AV20" i="3"/>
  <c r="AV101" i="3"/>
  <c r="AV135" i="3"/>
  <c r="AV86" i="3"/>
  <c r="AV17" i="3"/>
  <c r="AV117" i="3"/>
  <c r="AV93" i="3"/>
  <c r="AV67" i="3"/>
  <c r="AV85" i="3"/>
  <c r="AV228" i="3"/>
  <c r="AV159" i="3"/>
  <c r="AV347" i="3"/>
  <c r="AV209" i="3"/>
  <c r="AV77" i="3"/>
  <c r="AV203" i="3"/>
  <c r="AV2" i="3"/>
  <c r="AV120" i="3"/>
  <c r="AV81" i="3"/>
  <c r="AV40" i="3"/>
  <c r="AV182" i="3"/>
  <c r="AV179" i="3"/>
  <c r="AV317" i="3"/>
  <c r="AV328" i="3"/>
  <c r="AV41" i="3"/>
  <c r="AV54" i="3"/>
  <c r="AV239" i="3"/>
  <c r="AV131" i="3"/>
  <c r="AV174" i="3"/>
  <c r="AV351" i="3"/>
  <c r="AV216" i="3"/>
  <c r="AV185" i="3"/>
  <c r="AV105" i="3"/>
  <c r="AV4" i="3"/>
  <c r="AV269" i="3"/>
  <c r="AV297" i="3"/>
  <c r="AV62" i="3"/>
  <c r="AV58" i="3"/>
  <c r="AV199" i="3"/>
  <c r="AV45" i="3"/>
  <c r="AV10" i="3"/>
  <c r="AV343" i="3"/>
  <c r="AV306" i="3"/>
  <c r="AV6" i="3"/>
  <c r="AV69" i="3"/>
  <c r="AV33" i="3"/>
  <c r="AV170" i="3"/>
  <c r="AV224" i="3"/>
  <c r="AV163" i="3"/>
  <c r="AV308" i="3"/>
  <c r="AV235" i="3"/>
  <c r="AV200" i="3"/>
  <c r="AV237" i="3"/>
  <c r="AV234" i="3"/>
  <c r="AV61" i="3"/>
  <c r="AV7" i="3"/>
  <c r="AV102" i="3"/>
  <c r="AV287" i="3"/>
  <c r="AV231" i="3"/>
  <c r="AV110" i="3"/>
  <c r="AV261" i="3"/>
  <c r="AV78" i="3"/>
  <c r="AV36" i="3"/>
  <c r="AV238" i="3"/>
  <c r="AV127" i="3"/>
  <c r="AV73" i="3"/>
  <c r="AV353" i="3"/>
  <c r="AV218" i="3"/>
  <c r="AV263" i="3"/>
  <c r="AV16" i="3"/>
  <c r="AV138" i="3"/>
  <c r="AV175" i="3"/>
  <c r="AV220" i="3"/>
  <c r="AV205" i="3"/>
  <c r="AV44" i="3"/>
  <c r="AV256" i="3"/>
  <c r="AV302" i="3"/>
  <c r="AV74" i="3"/>
  <c r="AV330" i="3"/>
  <c r="AV95" i="3"/>
  <c r="AV337" i="3"/>
  <c r="AV254" i="3"/>
  <c r="AV266" i="3"/>
  <c r="AV252" i="3"/>
  <c r="AV296" i="3"/>
  <c r="AV329" i="3"/>
  <c r="AV204" i="3"/>
  <c r="AV149" i="3"/>
  <c r="AV217" i="3"/>
  <c r="AV325" i="3"/>
  <c r="AV257" i="3"/>
  <c r="AV195" i="3"/>
  <c r="AV118" i="3"/>
  <c r="AV119" i="3"/>
  <c r="AV350" i="3"/>
  <c r="AV99" i="3"/>
  <c r="AV309" i="3"/>
  <c r="AV122" i="3"/>
  <c r="AV295" i="3"/>
  <c r="AV289" i="3"/>
  <c r="AV96" i="3"/>
  <c r="AV299" i="3"/>
  <c r="AV291" i="3"/>
  <c r="AV210" i="3"/>
  <c r="AV147" i="3"/>
  <c r="AV151" i="3"/>
  <c r="AV181" i="3"/>
  <c r="AV48" i="3"/>
  <c r="AV293" i="3"/>
  <c r="AV42" i="3"/>
  <c r="AV171" i="3"/>
  <c r="AV202" i="3"/>
  <c r="AV56" i="3"/>
  <c r="AV123" i="3"/>
  <c r="AV190" i="3"/>
  <c r="AV207" i="3"/>
  <c r="AV89" i="3"/>
  <c r="AV348" i="3"/>
  <c r="AV94" i="3"/>
  <c r="AV114" i="3"/>
  <c r="AV284" i="3"/>
  <c r="AV29" i="3"/>
  <c r="AV82" i="3"/>
  <c r="AV319" i="3"/>
  <c r="AV193" i="3"/>
  <c r="AV142" i="3"/>
  <c r="AV12" i="3"/>
  <c r="AV35" i="3"/>
  <c r="AV244" i="3"/>
  <c r="AV103" i="3"/>
  <c r="AV146" i="3"/>
  <c r="AV63" i="3"/>
  <c r="AV180" i="3"/>
  <c r="AV55" i="3"/>
  <c r="AV87" i="3"/>
  <c r="AV154" i="3"/>
  <c r="AV265" i="3"/>
  <c r="AV37" i="3"/>
  <c r="AV236" i="3"/>
  <c r="AV133" i="3"/>
  <c r="AV121" i="3"/>
  <c r="AV196" i="3"/>
  <c r="AV83" i="3"/>
  <c r="AV316" i="3"/>
  <c r="AV130" i="3"/>
  <c r="AV173" i="3"/>
  <c r="AV167" i="3"/>
  <c r="AV301" i="3"/>
  <c r="AV46" i="3"/>
  <c r="AV240" i="3"/>
  <c r="AV247" i="3"/>
  <c r="AV307" i="3"/>
  <c r="AV311" i="3"/>
  <c r="AV13" i="3"/>
  <c r="AV344" i="3"/>
  <c r="AV352" i="3"/>
  <c r="AV30" i="3"/>
  <c r="AV318" i="3"/>
  <c r="AV23" i="3"/>
  <c r="AV312" i="3"/>
  <c r="AV32" i="3"/>
  <c r="AV132" i="3"/>
  <c r="AV219" i="3"/>
  <c r="AV213" i="3"/>
  <c r="AV25" i="3"/>
  <c r="AV92" i="3"/>
  <c r="AV111" i="3"/>
  <c r="AV64" i="3"/>
  <c r="AV164" i="3"/>
  <c r="AV245" i="3"/>
  <c r="AV322" i="3"/>
  <c r="AV233" i="3"/>
  <c r="AV274" i="3"/>
  <c r="AV166" i="3"/>
  <c r="AV172" i="3"/>
  <c r="AV314" i="3"/>
  <c r="AV290" i="3"/>
  <c r="AV76" i="3"/>
  <c r="AX76" i="3" s="1"/>
  <c r="AV115" i="3"/>
  <c r="AV47" i="3"/>
  <c r="AV229" i="3"/>
  <c r="AV52" i="3"/>
  <c r="AV288" i="3"/>
  <c r="AV275" i="3"/>
  <c r="AV168" i="3"/>
  <c r="AL317" i="3"/>
  <c r="AL205" i="3"/>
  <c r="AL29" i="3"/>
  <c r="AL301" i="3"/>
  <c r="AL328" i="3"/>
  <c r="AL90" i="3"/>
  <c r="AL30" i="3"/>
  <c r="AL338" i="3"/>
  <c r="AL159" i="3"/>
  <c r="AL100" i="3"/>
  <c r="AL14" i="3"/>
  <c r="AL37" i="3"/>
  <c r="AL172" i="3"/>
  <c r="AL101" i="3"/>
  <c r="AL94" i="3"/>
  <c r="AL91" i="3"/>
  <c r="AL21" i="3"/>
  <c r="AL283" i="3"/>
  <c r="AL264" i="3"/>
  <c r="AL347" i="3"/>
  <c r="AL216" i="3"/>
  <c r="AL175" i="3"/>
  <c r="AL76" i="3"/>
  <c r="AL134" i="3"/>
  <c r="AL48" i="3"/>
  <c r="AL78" i="3"/>
  <c r="AL6" i="3"/>
  <c r="AL252" i="3"/>
  <c r="AL38" i="3"/>
  <c r="AL212" i="3"/>
  <c r="AL171" i="3"/>
  <c r="AL312" i="3"/>
  <c r="AL5" i="3"/>
  <c r="AL351" i="3"/>
  <c r="AL238" i="3"/>
  <c r="AL352" i="3"/>
  <c r="AL313" i="3"/>
  <c r="AL293" i="3"/>
  <c r="AL179" i="3"/>
  <c r="AL213" i="3"/>
  <c r="AL168" i="3"/>
  <c r="AL81" i="3"/>
  <c r="AL178" i="3"/>
  <c r="AL111" i="3"/>
  <c r="AO111" i="3" s="1"/>
  <c r="AL43" i="3"/>
  <c r="AL209" i="3"/>
  <c r="AL192" i="3"/>
  <c r="AL267" i="3"/>
  <c r="AL304" i="3"/>
  <c r="AL34" i="3"/>
  <c r="AL183" i="3"/>
  <c r="AL51" i="3"/>
  <c r="AL346" i="3"/>
  <c r="AL194" i="3"/>
  <c r="AL115" i="3"/>
  <c r="AL201" i="3"/>
  <c r="AL109" i="3"/>
  <c r="AL284" i="3"/>
  <c r="AL140" i="3"/>
  <c r="AL9" i="3"/>
  <c r="AL245" i="3"/>
  <c r="AL227" i="3"/>
  <c r="AL248" i="3"/>
  <c r="AL129" i="3"/>
  <c r="AL255" i="3"/>
  <c r="AL149" i="3"/>
  <c r="AL80" i="3"/>
  <c r="AL20" i="3"/>
  <c r="AL103" i="3"/>
  <c r="AL185" i="3"/>
  <c r="AL217" i="3"/>
  <c r="AL324" i="3"/>
  <c r="AL77" i="3"/>
  <c r="AL148" i="3"/>
  <c r="AL272" i="3"/>
  <c r="AL144" i="3"/>
  <c r="AL123" i="3"/>
  <c r="AL276" i="3"/>
  <c r="AL92" i="3"/>
  <c r="AL45" i="3"/>
  <c r="AL274" i="3"/>
  <c r="AL336" i="3"/>
  <c r="AL96" i="3"/>
  <c r="AL215" i="3"/>
  <c r="AL99" i="3"/>
  <c r="AL230" i="3"/>
  <c r="AL122" i="3"/>
  <c r="AL323" i="3"/>
  <c r="AL348" i="3"/>
  <c r="AL89" i="3"/>
  <c r="AL277" i="3"/>
  <c r="AL337" i="3"/>
  <c r="AL222" i="3"/>
  <c r="AL203" i="3"/>
  <c r="AL290" i="3"/>
  <c r="AL345" i="3"/>
  <c r="AL164" i="3"/>
  <c r="AL263" i="3"/>
  <c r="AL112" i="3"/>
  <c r="AL160" i="3"/>
  <c r="AL310" i="3"/>
  <c r="AL87" i="3"/>
  <c r="AL333" i="3"/>
  <c r="AL241" i="3"/>
  <c r="AL306" i="3"/>
  <c r="AL131" i="3"/>
  <c r="AL139" i="3"/>
  <c r="AL223" i="3"/>
  <c r="AL186" i="3"/>
  <c r="AL157" i="3"/>
  <c r="AL155" i="3"/>
  <c r="AL176" i="3"/>
  <c r="AL258" i="3"/>
  <c r="AL260" i="3"/>
  <c r="AL47" i="3"/>
  <c r="AL282" i="3"/>
  <c r="AL298" i="3"/>
  <c r="AL340" i="3"/>
  <c r="AL208" i="3"/>
  <c r="AL309" i="3"/>
  <c r="AL85" i="3"/>
  <c r="AL153" i="3"/>
  <c r="AL147" i="3"/>
  <c r="AL106" i="3"/>
  <c r="AL154" i="3"/>
  <c r="AL221" i="3"/>
  <c r="AL330" i="3"/>
  <c r="AL195" i="3"/>
  <c r="AL259" i="3"/>
  <c r="AL198" i="3"/>
  <c r="AL353" i="3"/>
  <c r="AL10" i="3"/>
  <c r="AL242" i="3"/>
  <c r="AL24" i="3"/>
  <c r="AL253" i="3"/>
  <c r="AL206" i="3"/>
  <c r="AL249" i="3"/>
  <c r="AL61" i="3"/>
  <c r="AL286" i="3"/>
  <c r="AL182" i="3"/>
  <c r="AL25" i="3"/>
  <c r="AL335" i="3"/>
  <c r="AL191" i="3"/>
  <c r="AL97" i="3"/>
  <c r="AL55" i="3"/>
  <c r="AL279" i="3"/>
  <c r="AL184" i="3"/>
  <c r="AL339" i="3"/>
  <c r="AL166" i="3"/>
  <c r="AL68" i="3"/>
  <c r="AL269" i="3"/>
  <c r="AL180" i="3"/>
  <c r="AL243" i="3"/>
  <c r="AL167" i="3"/>
  <c r="AL278" i="3"/>
  <c r="AL344" i="3"/>
  <c r="AL11" i="3"/>
  <c r="AL19" i="3"/>
  <c r="AL189" i="3"/>
  <c r="AL28" i="3"/>
  <c r="AL299" i="3"/>
  <c r="AL275" i="3"/>
  <c r="AL256" i="3"/>
  <c r="AL60" i="3"/>
  <c r="AL152" i="3"/>
  <c r="AL165" i="3"/>
  <c r="AL117" i="3"/>
  <c r="AL173" i="3"/>
  <c r="AL250" i="3"/>
  <c r="AL204" i="3"/>
  <c r="AL33" i="3"/>
  <c r="AL334" i="3"/>
  <c r="AL237" i="3"/>
  <c r="AL54" i="3"/>
  <c r="AL289" i="3"/>
  <c r="AL35" i="3"/>
  <c r="AL188" i="3"/>
  <c r="AL39" i="3"/>
  <c r="AL239" i="3"/>
  <c r="AL79" i="3"/>
  <c r="AL107" i="3"/>
  <c r="AL162" i="3"/>
  <c r="AL142" i="3"/>
  <c r="AL295" i="3"/>
  <c r="AL225" i="3"/>
  <c r="AL327" i="3"/>
  <c r="AL132" i="3"/>
  <c r="AL280" i="3"/>
  <c r="AL228" i="3"/>
  <c r="AL156" i="3"/>
  <c r="AL50" i="3"/>
  <c r="AL318" i="3"/>
  <c r="AL193" i="3"/>
  <c r="AL59" i="3"/>
  <c r="AL294" i="3"/>
  <c r="AL12" i="3"/>
  <c r="AL271" i="3"/>
  <c r="AL285" i="3"/>
  <c r="AL130" i="3"/>
  <c r="AL84" i="3"/>
  <c r="AL190" i="3"/>
  <c r="AL124" i="3"/>
  <c r="AL133" i="3"/>
  <c r="AL108" i="3"/>
  <c r="AL23" i="3"/>
  <c r="AL214" i="3"/>
  <c r="AL71" i="3"/>
  <c r="AL46" i="3"/>
  <c r="AL40" i="3"/>
  <c r="AL163" i="3"/>
  <c r="AL110" i="3"/>
  <c r="AL75" i="3"/>
  <c r="AL305" i="3"/>
  <c r="AL42" i="3"/>
  <c r="AL158" i="3"/>
  <c r="AL128" i="3"/>
  <c r="AL141" i="3"/>
  <c r="AL118" i="3"/>
  <c r="AL210" i="3"/>
  <c r="AL170" i="3"/>
  <c r="AL240" i="3"/>
  <c r="AL63" i="3"/>
  <c r="AL325" i="3"/>
  <c r="AL246" i="3"/>
  <c r="AL105" i="3"/>
  <c r="AL83" i="3"/>
  <c r="AL8" i="3"/>
  <c r="AL291" i="3"/>
  <c r="AL86" i="3"/>
  <c r="AL15" i="3"/>
  <c r="AL187" i="3"/>
  <c r="AL300" i="3"/>
  <c r="AL125" i="3"/>
  <c r="AL251" i="3"/>
  <c r="AL181" i="3"/>
  <c r="AL135" i="3"/>
  <c r="AL174" i="3"/>
  <c r="AL66" i="3"/>
  <c r="AL331" i="3"/>
  <c r="AL322" i="3"/>
  <c r="AL95" i="3"/>
  <c r="AL231" i="3"/>
  <c r="AL151" i="3"/>
  <c r="AL7" i="3"/>
  <c r="AL169" i="3"/>
  <c r="AL343" i="3"/>
  <c r="AL244" i="3"/>
  <c r="AL143" i="3"/>
  <c r="AL120" i="3"/>
  <c r="AL199" i="3"/>
  <c r="AL268" i="3"/>
  <c r="AL4" i="3"/>
  <c r="AL308" i="3"/>
  <c r="AL342" i="3"/>
  <c r="AL314" i="3"/>
  <c r="AL273" i="3"/>
  <c r="AL266" i="3"/>
  <c r="AL281" i="3"/>
  <c r="AL146" i="3"/>
  <c r="AL349" i="3"/>
  <c r="AL287" i="3"/>
  <c r="AL56" i="3"/>
  <c r="AL58" i="3"/>
  <c r="AL72" i="3"/>
  <c r="AL2" i="3"/>
  <c r="AL74" i="3"/>
  <c r="AL311" i="3"/>
  <c r="AL67" i="3"/>
  <c r="AL207" i="3"/>
  <c r="AL49" i="3"/>
  <c r="AL219" i="3"/>
  <c r="AL69" i="3"/>
  <c r="AL234" i="3"/>
  <c r="AL16" i="3"/>
  <c r="AL70" i="3"/>
  <c r="AL235" i="3"/>
  <c r="AL26" i="3"/>
  <c r="AL297" i="3"/>
  <c r="AL226" i="3"/>
  <c r="AL32" i="3"/>
  <c r="AL218" i="3"/>
  <c r="AL288" i="3"/>
  <c r="AL98" i="3"/>
  <c r="AL319" i="3"/>
  <c r="AL65" i="3"/>
  <c r="AL320" i="3"/>
  <c r="AL321" i="3"/>
  <c r="AL196" i="3"/>
  <c r="AL224" i="3"/>
  <c r="AL88" i="3"/>
  <c r="AL177" i="3"/>
  <c r="AL262" i="3"/>
  <c r="AL232" i="3"/>
  <c r="AL31" i="3"/>
  <c r="AL121" i="3"/>
  <c r="AL93" i="3"/>
  <c r="AL57" i="3"/>
  <c r="AL316" i="3"/>
  <c r="AL114" i="3"/>
  <c r="AL307" i="3"/>
  <c r="AL326" i="3"/>
  <c r="AL341" i="3"/>
  <c r="AL315" i="3"/>
  <c r="AL229" i="3"/>
  <c r="AL64" i="3"/>
  <c r="AL247" i="3"/>
  <c r="AL52" i="3"/>
  <c r="AL113" i="3"/>
  <c r="AL303" i="3"/>
  <c r="AL41" i="3"/>
  <c r="AL150" i="3"/>
  <c r="AL44" i="3"/>
  <c r="AL292" i="3"/>
  <c r="AL197" i="3"/>
  <c r="AL82" i="3"/>
  <c r="AL265" i="3"/>
  <c r="AL270" i="3"/>
  <c r="AL126" i="3"/>
  <c r="AL119" i="3"/>
  <c r="AL329" i="3"/>
  <c r="AL236" i="3"/>
  <c r="AL3" i="3"/>
  <c r="AL22" i="3"/>
  <c r="AL257" i="3"/>
  <c r="AL220" i="3"/>
  <c r="AL73" i="3"/>
  <c r="AL27" i="3"/>
  <c r="AL233" i="3"/>
  <c r="AL211" i="3"/>
  <c r="AL296" i="3"/>
  <c r="AL13" i="3"/>
  <c r="AL350" i="3"/>
  <c r="AL116" i="3"/>
  <c r="AL127" i="3"/>
  <c r="AL137" i="3"/>
  <c r="AL332" i="3"/>
  <c r="AL302" i="3"/>
  <c r="AL138" i="3"/>
  <c r="AL104" i="3"/>
  <c r="AL62" i="3"/>
  <c r="AL161" i="3"/>
  <c r="AL36" i="3"/>
  <c r="AL18" i="3"/>
  <c r="AL102" i="3"/>
  <c r="AL136" i="3"/>
  <c r="AL202" i="3"/>
  <c r="AL200" i="3"/>
  <c r="AL53" i="3"/>
  <c r="AL17" i="3"/>
  <c r="AL261" i="3"/>
  <c r="AL254" i="3"/>
  <c r="S267" i="3"/>
  <c r="S314" i="3"/>
  <c r="S334" i="3"/>
  <c r="S144" i="3"/>
  <c r="S62" i="3"/>
  <c r="S11" i="3"/>
  <c r="S12" i="3"/>
  <c r="S5" i="3"/>
  <c r="S29" i="3"/>
  <c r="S133" i="3"/>
  <c r="S94" i="3"/>
  <c r="S328" i="3"/>
  <c r="S215" i="3"/>
  <c r="S345" i="3"/>
  <c r="S295" i="3"/>
  <c r="S209" i="3"/>
  <c r="S104" i="3"/>
  <c r="S221" i="3"/>
  <c r="S243" i="3"/>
  <c r="S225" i="3"/>
  <c r="S322" i="3"/>
  <c r="S289" i="3"/>
  <c r="S60" i="3"/>
  <c r="S296" i="3"/>
  <c r="S81" i="3"/>
  <c r="S169" i="3"/>
  <c r="S240" i="3"/>
  <c r="S329" i="3"/>
  <c r="S187" i="3"/>
  <c r="S89" i="3"/>
  <c r="S193" i="3"/>
  <c r="S24" i="3"/>
  <c r="S147" i="3"/>
  <c r="S228" i="3"/>
  <c r="S8" i="3"/>
  <c r="S299" i="3"/>
  <c r="S140" i="3"/>
  <c r="S90" i="3"/>
  <c r="S331" i="3"/>
  <c r="S55" i="3"/>
  <c r="S246" i="3"/>
  <c r="S344" i="3"/>
  <c r="S20" i="3"/>
  <c r="S204" i="3"/>
  <c r="S217" i="3"/>
  <c r="S27" i="3"/>
  <c r="S234" i="3"/>
  <c r="S190" i="3"/>
  <c r="S154" i="3"/>
  <c r="S50" i="3"/>
  <c r="S309" i="3"/>
  <c r="S123" i="3"/>
  <c r="S162" i="3"/>
  <c r="S268" i="3"/>
  <c r="S230" i="3"/>
  <c r="S327" i="3"/>
  <c r="S318" i="3"/>
  <c r="S194" i="3"/>
  <c r="S167" i="3"/>
  <c r="S315" i="3"/>
  <c r="S63" i="3"/>
  <c r="S112" i="3"/>
  <c r="S199" i="3"/>
  <c r="S224" i="3"/>
  <c r="S305" i="3"/>
  <c r="S213" i="3"/>
  <c r="S226" i="3"/>
  <c r="S67" i="3"/>
  <c r="S336" i="3"/>
  <c r="S58" i="3"/>
  <c r="S141" i="3"/>
  <c r="S142" i="3"/>
  <c r="S108" i="3"/>
  <c r="S4" i="3"/>
  <c r="S64" i="3"/>
  <c r="S19" i="3"/>
  <c r="S262" i="3"/>
  <c r="S131" i="3"/>
  <c r="S298" i="3"/>
  <c r="S28" i="3"/>
  <c r="S219" i="3"/>
  <c r="S66" i="3"/>
  <c r="S189" i="3"/>
  <c r="S143" i="3"/>
  <c r="S269" i="3"/>
  <c r="S171" i="3"/>
  <c r="S121" i="3"/>
  <c r="S250" i="3"/>
  <c r="S288" i="3"/>
  <c r="S223" i="3"/>
  <c r="S276" i="3"/>
  <c r="S332" i="3"/>
  <c r="S106" i="3"/>
  <c r="S100" i="3"/>
  <c r="S297" i="3"/>
  <c r="S244" i="3"/>
  <c r="S31" i="3"/>
  <c r="S349" i="3"/>
  <c r="S174" i="3"/>
  <c r="S186" i="3"/>
  <c r="S210" i="3"/>
  <c r="S160" i="3"/>
  <c r="S342" i="3"/>
  <c r="S114" i="3"/>
  <c r="S170" i="3"/>
  <c r="S159" i="3"/>
  <c r="S218" i="3"/>
  <c r="S183" i="3"/>
  <c r="S119" i="3"/>
  <c r="S348" i="3"/>
  <c r="S49" i="3"/>
  <c r="S41" i="3"/>
  <c r="S277" i="3"/>
  <c r="S138" i="3"/>
  <c r="S173" i="3"/>
  <c r="S139" i="3"/>
  <c r="S195" i="3"/>
  <c r="S203" i="3"/>
  <c r="S45" i="3"/>
  <c r="S238" i="3"/>
  <c r="S152" i="3"/>
  <c r="S211" i="3"/>
  <c r="S56" i="3"/>
  <c r="S134" i="3"/>
  <c r="S96" i="3"/>
  <c r="S168" i="3"/>
  <c r="S306" i="3"/>
  <c r="S321" i="3"/>
  <c r="S166" i="3"/>
  <c r="S128" i="3"/>
  <c r="S80" i="3"/>
  <c r="S350" i="3"/>
  <c r="S79" i="3"/>
  <c r="S201" i="3"/>
  <c r="S175" i="3"/>
  <c r="S148" i="3"/>
  <c r="S212" i="3"/>
  <c r="S257" i="3"/>
  <c r="S10" i="3"/>
  <c r="S235" i="3"/>
  <c r="S34" i="3"/>
  <c r="S157" i="3"/>
  <c r="S136" i="3"/>
  <c r="S156" i="3"/>
  <c r="S341" i="3"/>
  <c r="S272" i="3"/>
  <c r="S184" i="3"/>
  <c r="S116" i="3"/>
  <c r="S181" i="3"/>
  <c r="S245" i="3"/>
  <c r="S105" i="3"/>
  <c r="S337" i="3"/>
  <c r="S72" i="3"/>
  <c r="S188" i="3"/>
  <c r="S291" i="3"/>
  <c r="S109" i="3"/>
  <c r="S97" i="3"/>
  <c r="S330" i="3"/>
  <c r="S301" i="3"/>
  <c r="S270" i="3"/>
  <c r="S312" i="3"/>
  <c r="S263" i="3"/>
  <c r="S92" i="3"/>
  <c r="S150" i="3"/>
  <c r="S285" i="3"/>
  <c r="S111" i="3"/>
  <c r="S198" i="3"/>
  <c r="S88" i="3"/>
  <c r="S311" i="3"/>
  <c r="S130" i="3"/>
  <c r="S293" i="3"/>
  <c r="S153" i="3"/>
  <c r="S6" i="3"/>
  <c r="S126" i="3"/>
  <c r="S129" i="3"/>
  <c r="S7" i="3"/>
  <c r="S84" i="3"/>
  <c r="S197" i="3"/>
  <c r="S151" i="3"/>
  <c r="S254" i="3"/>
  <c r="S222" i="3"/>
  <c r="S68" i="3"/>
  <c r="S258" i="3"/>
  <c r="S232" i="3"/>
  <c r="S247" i="3"/>
  <c r="S281" i="3"/>
  <c r="S208" i="3"/>
  <c r="S233" i="3"/>
  <c r="S271" i="3"/>
  <c r="S48" i="3"/>
  <c r="S76" i="3"/>
  <c r="S220" i="3"/>
  <c r="S13" i="3"/>
  <c r="S52" i="3"/>
  <c r="S51" i="3"/>
  <c r="S46" i="3"/>
  <c r="S36" i="3"/>
  <c r="S335" i="3"/>
  <c r="S266" i="3"/>
  <c r="S110" i="3"/>
  <c r="S302" i="3"/>
  <c r="S259" i="3"/>
  <c r="S115" i="3"/>
  <c r="S95" i="3"/>
  <c r="S282" i="3"/>
  <c r="S118" i="3"/>
  <c r="S191" i="3"/>
  <c r="S14" i="3"/>
  <c r="S127" i="3"/>
  <c r="S137" i="3"/>
  <c r="S3" i="3"/>
  <c r="S146" i="3"/>
  <c r="S59" i="3"/>
  <c r="S53" i="3"/>
  <c r="S101" i="3"/>
  <c r="S38" i="3"/>
  <c r="S274" i="3"/>
  <c r="S283" i="3"/>
  <c r="S73" i="3"/>
  <c r="S122" i="3"/>
  <c r="S353" i="3"/>
  <c r="S85" i="3"/>
  <c r="S39" i="3"/>
  <c r="S325" i="3"/>
  <c r="S326" i="3"/>
  <c r="S23" i="3"/>
  <c r="S176" i="3"/>
  <c r="S352" i="3"/>
  <c r="S241" i="3"/>
  <c r="S120" i="3"/>
  <c r="S182" i="3"/>
  <c r="S229" i="3"/>
  <c r="S164" i="3"/>
  <c r="S206" i="3"/>
  <c r="S319" i="3"/>
  <c r="S178" i="3"/>
  <c r="S300" i="3"/>
  <c r="S185" i="3"/>
  <c r="S107" i="3"/>
  <c r="S93" i="3"/>
  <c r="S99" i="3"/>
  <c r="S310" i="3"/>
  <c r="S155" i="3"/>
  <c r="S113" i="3"/>
  <c r="S339" i="3"/>
  <c r="S214" i="3"/>
  <c r="S158" i="3"/>
  <c r="S91" i="3"/>
  <c r="S316" i="3"/>
  <c r="S33" i="3"/>
  <c r="S323" i="3"/>
  <c r="S286" i="3"/>
  <c r="S16" i="3"/>
  <c r="S256" i="3"/>
  <c r="S135" i="3"/>
  <c r="S324" i="3"/>
  <c r="S227" i="3"/>
  <c r="S102" i="3"/>
  <c r="S44" i="3"/>
  <c r="S179" i="3"/>
  <c r="S340" i="3"/>
  <c r="S32" i="3"/>
  <c r="S9" i="3"/>
  <c r="S265" i="3"/>
  <c r="S124" i="3"/>
  <c r="S261" i="3"/>
  <c r="S82" i="3"/>
  <c r="S98" i="3"/>
  <c r="S207" i="3"/>
  <c r="S307" i="3"/>
  <c r="S292" i="3"/>
  <c r="S284" i="3"/>
  <c r="S26" i="3"/>
  <c r="S180" i="3"/>
  <c r="S279" i="3"/>
  <c r="S237" i="3"/>
  <c r="S231" i="3"/>
  <c r="S37" i="3"/>
  <c r="S172" i="3"/>
  <c r="S43" i="3"/>
  <c r="S287" i="3"/>
  <c r="S15" i="3"/>
  <c r="S132" i="3"/>
  <c r="S278" i="3"/>
  <c r="S260" i="3"/>
  <c r="S2" i="3"/>
  <c r="S117" i="3"/>
  <c r="S17" i="3"/>
  <c r="S239" i="3"/>
  <c r="S65" i="3"/>
  <c r="S18" i="3"/>
  <c r="S87" i="3"/>
  <c r="S303" i="3"/>
  <c r="S338" i="3"/>
  <c r="S202" i="3"/>
  <c r="S78" i="3"/>
  <c r="S22" i="3"/>
  <c r="S196" i="3"/>
  <c r="S252" i="3"/>
  <c r="S25" i="3"/>
  <c r="S333" i="3"/>
  <c r="S273" i="3"/>
  <c r="S255" i="3"/>
  <c r="S308" i="3"/>
  <c r="S161" i="3"/>
  <c r="S149" i="3"/>
  <c r="S280" i="3"/>
  <c r="S264" i="3"/>
  <c r="S40" i="3"/>
  <c r="S70" i="3"/>
  <c r="S163" i="3"/>
  <c r="S47" i="3"/>
  <c r="S103" i="3"/>
  <c r="S275" i="3"/>
  <c r="S61" i="3"/>
  <c r="S205" i="3"/>
  <c r="S125" i="3"/>
  <c r="S346" i="3"/>
  <c r="S236" i="3"/>
  <c r="S249" i="3"/>
  <c r="S351" i="3"/>
  <c r="S77" i="3"/>
  <c r="S57" i="3"/>
  <c r="S21" i="3"/>
  <c r="S253" i="3"/>
  <c r="S74" i="3"/>
  <c r="S290" i="3"/>
  <c r="S86" i="3"/>
  <c r="S343" i="3"/>
  <c r="S313" i="3"/>
  <c r="S83" i="3"/>
  <c r="S30" i="3"/>
  <c r="S304" i="3"/>
  <c r="S177" i="3"/>
  <c r="S42" i="3"/>
  <c r="S248" i="3"/>
  <c r="S251" i="3"/>
  <c r="S294" i="3"/>
  <c r="S242" i="3"/>
  <c r="S165" i="3"/>
  <c r="S54" i="3"/>
  <c r="S192" i="3"/>
  <c r="S35" i="3"/>
  <c r="S71" i="3"/>
  <c r="S200" i="3"/>
  <c r="S216" i="3"/>
  <c r="S69" i="3"/>
  <c r="S317" i="3"/>
  <c r="S320" i="3"/>
  <c r="S347" i="3"/>
  <c r="S75" i="3"/>
  <c r="T303" i="3"/>
  <c r="T127" i="3"/>
  <c r="T74" i="3"/>
  <c r="T328" i="3"/>
  <c r="T210" i="3"/>
  <c r="T312" i="3"/>
  <c r="T29" i="3"/>
  <c r="T56" i="3"/>
  <c r="T128" i="3"/>
  <c r="T17" i="3"/>
  <c r="T344" i="3"/>
  <c r="T144" i="3"/>
  <c r="T135" i="3"/>
  <c r="T296" i="3"/>
  <c r="T307" i="3"/>
  <c r="T270" i="3"/>
  <c r="T351" i="3"/>
  <c r="T284" i="3"/>
  <c r="T113" i="3"/>
  <c r="T239" i="3"/>
  <c r="T338" i="3"/>
  <c r="T302" i="3"/>
  <c r="T336" i="3"/>
  <c r="T299" i="3"/>
  <c r="T106" i="3"/>
  <c r="T146" i="3"/>
  <c r="T225" i="3"/>
  <c r="T45" i="3"/>
  <c r="T31" i="3"/>
  <c r="T167" i="3"/>
  <c r="T194" i="3"/>
  <c r="T140" i="3"/>
  <c r="T288" i="3"/>
  <c r="T124" i="3"/>
  <c r="T149" i="3"/>
  <c r="T73" i="3"/>
  <c r="T82" i="3"/>
  <c r="T22" i="3"/>
  <c r="T205" i="3"/>
  <c r="T274" i="3"/>
  <c r="T341" i="3"/>
  <c r="T23" i="3"/>
  <c r="T154" i="3"/>
  <c r="T85" i="3"/>
  <c r="T151" i="3"/>
  <c r="T102" i="3"/>
  <c r="T237" i="3"/>
  <c r="T52" i="3"/>
  <c r="T314" i="3"/>
  <c r="T186" i="3"/>
  <c r="T273" i="3"/>
  <c r="T90" i="3"/>
  <c r="T293" i="3"/>
  <c r="T256" i="3"/>
  <c r="T79" i="3"/>
  <c r="T337" i="3"/>
  <c r="T30" i="3"/>
  <c r="T104" i="3"/>
  <c r="T77" i="3"/>
  <c r="T334" i="3"/>
  <c r="T241" i="3"/>
  <c r="T343" i="3"/>
  <c r="T119" i="3"/>
  <c r="T88" i="3"/>
  <c r="T8" i="3"/>
  <c r="T177" i="3"/>
  <c r="T107" i="3"/>
  <c r="T180" i="3"/>
  <c r="T319" i="3"/>
  <c r="T196" i="3"/>
  <c r="T98" i="3"/>
  <c r="T28" i="3"/>
  <c r="T246" i="3"/>
  <c r="T226" i="3"/>
  <c r="T332" i="3"/>
  <c r="T222" i="3"/>
  <c r="T134" i="3"/>
  <c r="T38" i="3"/>
  <c r="T258" i="3"/>
  <c r="T322" i="3"/>
  <c r="T318" i="3"/>
  <c r="T170" i="3"/>
  <c r="T114" i="3"/>
  <c r="T335" i="3"/>
  <c r="T93" i="3"/>
  <c r="T291" i="3"/>
  <c r="T300" i="3"/>
  <c r="T267" i="3"/>
  <c r="T263" i="3"/>
  <c r="T276" i="3"/>
  <c r="T39" i="3"/>
  <c r="T111" i="3"/>
  <c r="T2" i="3"/>
  <c r="T301" i="3"/>
  <c r="T188" i="3"/>
  <c r="T169" i="3"/>
  <c r="T53" i="3"/>
  <c r="T66" i="3"/>
  <c r="T43" i="3"/>
  <c r="T204" i="3"/>
  <c r="T34" i="3"/>
  <c r="T108" i="3"/>
  <c r="T51" i="3"/>
  <c r="T86" i="3"/>
  <c r="T313" i="3"/>
  <c r="T245" i="3"/>
  <c r="T232" i="3"/>
  <c r="T275" i="3"/>
  <c r="T89" i="3"/>
  <c r="T96" i="3"/>
  <c r="T271" i="3"/>
  <c r="T197" i="3"/>
  <c r="T25" i="3"/>
  <c r="T115" i="3"/>
  <c r="T67" i="3"/>
  <c r="T202" i="3"/>
  <c r="T36" i="3"/>
  <c r="T298" i="3"/>
  <c r="T216" i="3"/>
  <c r="T12" i="3"/>
  <c r="T209" i="3"/>
  <c r="T305" i="3"/>
  <c r="T317" i="3"/>
  <c r="T65" i="3"/>
  <c r="T289" i="3"/>
  <c r="T99" i="3"/>
  <c r="T11" i="3"/>
  <c r="T243" i="3"/>
  <c r="T331" i="3"/>
  <c r="T175" i="3"/>
  <c r="T321" i="3"/>
  <c r="T227" i="3"/>
  <c r="T187" i="3"/>
  <c r="T265" i="3"/>
  <c r="T87" i="3"/>
  <c r="T153" i="3"/>
  <c r="T158" i="3"/>
  <c r="T48" i="3"/>
  <c r="T219" i="3"/>
  <c r="T247" i="3"/>
  <c r="T55" i="3"/>
  <c r="T118" i="3"/>
  <c r="T345" i="3"/>
  <c r="T190" i="3"/>
  <c r="T122" i="3"/>
  <c r="T264" i="3"/>
  <c r="T178" i="3"/>
  <c r="T250" i="3"/>
  <c r="T206" i="3"/>
  <c r="T6" i="3"/>
  <c r="T262" i="3"/>
  <c r="T68" i="3"/>
  <c r="T215" i="3"/>
  <c r="T346" i="3"/>
  <c r="T251" i="3"/>
  <c r="T316" i="3"/>
  <c r="T3" i="3"/>
  <c r="T315" i="3"/>
  <c r="T253" i="3"/>
  <c r="T171" i="3"/>
  <c r="T69" i="3"/>
  <c r="T200" i="3"/>
  <c r="T54" i="3"/>
  <c r="T248" i="3"/>
  <c r="T324" i="3"/>
  <c r="T13" i="3"/>
  <c r="T95" i="3"/>
  <c r="T310" i="3"/>
  <c r="T234" i="3"/>
  <c r="T272" i="3"/>
  <c r="T27" i="3"/>
  <c r="T18" i="3"/>
  <c r="T287" i="3"/>
  <c r="T40" i="3"/>
  <c r="T285" i="3"/>
  <c r="T125" i="3"/>
  <c r="T61" i="3"/>
  <c r="T240" i="3"/>
  <c r="T257" i="3"/>
  <c r="T71" i="3"/>
  <c r="T9" i="3"/>
  <c r="T280" i="3"/>
  <c r="T212" i="3"/>
  <c r="T16" i="3"/>
  <c r="T32" i="3"/>
  <c r="T147" i="3"/>
  <c r="T261" i="3"/>
  <c r="T62" i="3"/>
  <c r="T208" i="3"/>
  <c r="T47" i="3"/>
  <c r="T292" i="3"/>
  <c r="T333" i="3"/>
  <c r="T327" i="3"/>
  <c r="T165" i="3"/>
  <c r="T304" i="3"/>
  <c r="T50" i="3"/>
  <c r="T294" i="3"/>
  <c r="T156" i="3"/>
  <c r="T80" i="3"/>
  <c r="T220" i="3"/>
  <c r="T131" i="3"/>
  <c r="T76" i="3"/>
  <c r="T37" i="3"/>
  <c r="T148" i="3"/>
  <c r="T259" i="3"/>
  <c r="T325" i="3"/>
  <c r="T121" i="3"/>
  <c r="T10" i="3"/>
  <c r="T161" i="3"/>
  <c r="T353" i="3"/>
  <c r="T347" i="3"/>
  <c r="T185" i="3"/>
  <c r="T143" i="3"/>
  <c r="T290" i="3"/>
  <c r="T19" i="3"/>
  <c r="T70" i="3"/>
  <c r="T4" i="3"/>
  <c r="T255" i="3"/>
  <c r="T189" i="3"/>
  <c r="T268" i="3"/>
  <c r="T33" i="3"/>
  <c r="T7" i="3"/>
  <c r="T308" i="3"/>
  <c r="T278" i="3"/>
  <c r="T223" i="3"/>
  <c r="T217" i="3"/>
  <c r="T242" i="3"/>
  <c r="T207" i="3"/>
  <c r="T159" i="3"/>
  <c r="T252" i="3"/>
  <c r="T224" i="3"/>
  <c r="T75" i="3"/>
  <c r="T21" i="3"/>
  <c r="T110" i="3"/>
  <c r="T191" i="3"/>
  <c r="T176" i="3"/>
  <c r="T59" i="3"/>
  <c r="T152" i="3"/>
  <c r="T14" i="3"/>
  <c r="T35" i="3"/>
  <c r="T342" i="3"/>
  <c r="T173" i="3"/>
  <c r="T163" i="3"/>
  <c r="T340" i="3"/>
  <c r="T160" i="3"/>
  <c r="T155" i="3"/>
  <c r="T168" i="3"/>
  <c r="T213" i="3"/>
  <c r="T297" i="3"/>
  <c r="T26" i="3"/>
  <c r="T58" i="3"/>
  <c r="T81" i="3"/>
  <c r="T238" i="3"/>
  <c r="T193" i="3"/>
  <c r="T281" i="3"/>
  <c r="T92" i="3"/>
  <c r="T330" i="3"/>
  <c r="T203" i="3"/>
  <c r="T179" i="3"/>
  <c r="T323" i="3"/>
  <c r="T117" i="3"/>
  <c r="T141" i="3"/>
  <c r="T94" i="3"/>
  <c r="T5" i="3"/>
  <c r="T130" i="3"/>
  <c r="T266" i="3"/>
  <c r="T254" i="3"/>
  <c r="T63" i="3"/>
  <c r="T150" i="3"/>
  <c r="T236" i="3"/>
  <c r="T142" i="3"/>
  <c r="T126" i="3"/>
  <c r="T249" i="3"/>
  <c r="T100" i="3"/>
  <c r="T283" i="3"/>
  <c r="T97" i="3"/>
  <c r="T277" i="3"/>
  <c r="T64" i="3"/>
  <c r="T162" i="3"/>
  <c r="T183" i="3"/>
  <c r="T269" i="3"/>
  <c r="T181" i="3"/>
  <c r="T326" i="3"/>
  <c r="T166" i="3"/>
  <c r="T195" i="3"/>
  <c r="T137" i="3"/>
  <c r="T231" i="3"/>
  <c r="T279" i="3"/>
  <c r="T72" i="3"/>
  <c r="T105" i="3"/>
  <c r="T138" i="3"/>
  <c r="T244" i="3"/>
  <c r="T348" i="3"/>
  <c r="T339" i="3"/>
  <c r="T295" i="3"/>
  <c r="T229" i="3"/>
  <c r="T24" i="3"/>
  <c r="T57" i="3"/>
  <c r="T174" i="3"/>
  <c r="T184" i="3"/>
  <c r="T46" i="3"/>
  <c r="T49" i="3"/>
  <c r="T218" i="3"/>
  <c r="T109" i="3"/>
  <c r="T116" i="3"/>
  <c r="T198" i="3"/>
  <c r="T221" i="3"/>
  <c r="T320" i="3"/>
  <c r="T349" i="3"/>
  <c r="T103" i="3"/>
  <c r="T112" i="3"/>
  <c r="T172" i="3"/>
  <c r="T228" i="3"/>
  <c r="T311" i="3"/>
  <c r="T282" i="3"/>
  <c r="T133" i="3"/>
  <c r="T41" i="3"/>
  <c r="T60" i="3"/>
  <c r="T84" i="3"/>
  <c r="T230" i="3"/>
  <c r="T15" i="3"/>
  <c r="T20" i="3"/>
  <c r="T120" i="3"/>
  <c r="T233" i="3"/>
  <c r="T129" i="3"/>
  <c r="T136" i="3"/>
  <c r="T199" i="3"/>
  <c r="T132" i="3"/>
  <c r="T352" i="3"/>
  <c r="T201" i="3"/>
  <c r="T91" i="3"/>
  <c r="T157" i="3"/>
  <c r="T101" i="3"/>
  <c r="T211" i="3"/>
  <c r="T78" i="3"/>
  <c r="T123" i="3"/>
  <c r="T309" i="3"/>
  <c r="T260" i="3"/>
  <c r="T286" i="3"/>
  <c r="T83" i="3"/>
  <c r="T192" i="3"/>
  <c r="T329" i="3"/>
  <c r="T182" i="3"/>
  <c r="T350" i="3"/>
  <c r="T164" i="3"/>
  <c r="T44" i="3"/>
  <c r="T139" i="3"/>
  <c r="T214" i="3"/>
  <c r="T235" i="3"/>
  <c r="T42" i="3"/>
  <c r="T306" i="3"/>
  <c r="N106" i="3"/>
  <c r="N291" i="3"/>
  <c r="N66" i="3"/>
  <c r="N91" i="3"/>
  <c r="N54" i="3"/>
  <c r="N64" i="3"/>
  <c r="N34" i="3"/>
  <c r="N118" i="3"/>
  <c r="N25" i="3"/>
  <c r="N141" i="3"/>
  <c r="N104" i="3"/>
  <c r="N93" i="3"/>
  <c r="M115" i="3"/>
  <c r="M90" i="3"/>
  <c r="M107" i="3"/>
  <c r="M100" i="3"/>
  <c r="M181" i="3"/>
  <c r="M97" i="3"/>
  <c r="M14" i="3"/>
  <c r="M252" i="3"/>
  <c r="M53" i="3"/>
  <c r="M135" i="3"/>
  <c r="M21" i="3"/>
  <c r="N10" i="3"/>
  <c r="N232" i="3"/>
  <c r="N222" i="3"/>
  <c r="N308" i="3"/>
  <c r="N135" i="3"/>
  <c r="M304" i="3"/>
  <c r="M91" i="3"/>
  <c r="M203" i="3"/>
  <c r="M88" i="3"/>
  <c r="M17" i="3"/>
  <c r="M54" i="3"/>
  <c r="M249" i="3"/>
  <c r="M291" i="3"/>
  <c r="M214" i="3"/>
  <c r="M219" i="3"/>
  <c r="N178" i="3"/>
  <c r="N349" i="3"/>
  <c r="N151" i="3"/>
  <c r="N181" i="3"/>
  <c r="N269" i="3"/>
  <c r="N132" i="3"/>
  <c r="N213" i="3"/>
  <c r="N49" i="3"/>
  <c r="N71" i="3"/>
  <c r="N329" i="3"/>
  <c r="N116" i="3"/>
  <c r="M13" i="3"/>
  <c r="M80" i="3"/>
  <c r="M148" i="3"/>
  <c r="M173" i="3"/>
  <c r="M256" i="3"/>
  <c r="M236" i="3"/>
  <c r="M279" i="3"/>
  <c r="M4" i="3"/>
  <c r="M136" i="3"/>
  <c r="M224" i="3"/>
  <c r="M143" i="3"/>
  <c r="N28" i="3"/>
  <c r="N347" i="3"/>
  <c r="N200" i="3"/>
  <c r="N63" i="3"/>
  <c r="N219" i="3"/>
  <c r="N231" i="3"/>
  <c r="N134" i="3"/>
  <c r="N299" i="3"/>
  <c r="N244" i="3"/>
  <c r="N158" i="3"/>
  <c r="N190" i="3"/>
  <c r="N179" i="3"/>
  <c r="M242" i="3"/>
  <c r="M319" i="3"/>
  <c r="M259" i="3"/>
  <c r="M223" i="3"/>
  <c r="M211" i="3"/>
  <c r="M244" i="3"/>
  <c r="M108" i="3"/>
  <c r="M161" i="3"/>
  <c r="M98" i="3"/>
  <c r="M216" i="3"/>
  <c r="M48" i="3"/>
  <c r="N51" i="3"/>
  <c r="N123" i="3"/>
  <c r="N36" i="3"/>
  <c r="N150" i="3"/>
  <c r="N9" i="3"/>
  <c r="N35" i="3"/>
  <c r="N43" i="3"/>
  <c r="N270" i="3"/>
  <c r="N328" i="3"/>
  <c r="N305" i="3"/>
  <c r="N323" i="3"/>
  <c r="N326" i="3"/>
  <c r="M125" i="3"/>
  <c r="M290" i="3"/>
  <c r="M38" i="3"/>
  <c r="M175" i="3"/>
  <c r="M296" i="3"/>
  <c r="M183" i="3"/>
  <c r="M55" i="3"/>
  <c r="M327" i="3"/>
  <c r="M293" i="3"/>
  <c r="M22" i="3"/>
  <c r="M298" i="3"/>
  <c r="N101" i="3"/>
  <c r="N186" i="3"/>
  <c r="N302" i="3"/>
  <c r="N273" i="3"/>
  <c r="N75" i="3"/>
  <c r="N204" i="3"/>
  <c r="N228" i="3"/>
  <c r="N163" i="3"/>
  <c r="N146" i="3"/>
  <c r="N143" i="3"/>
  <c r="N335" i="3"/>
  <c r="N16" i="3"/>
  <c r="N274" i="3"/>
  <c r="N295" i="3"/>
  <c r="N276" i="3"/>
  <c r="N319" i="3"/>
  <c r="N275" i="3"/>
  <c r="N152" i="3"/>
  <c r="N312" i="3"/>
  <c r="N83" i="3"/>
  <c r="N46" i="3"/>
  <c r="N194" i="3"/>
  <c r="N155" i="3"/>
  <c r="N177" i="3"/>
  <c r="M225" i="3"/>
  <c r="M15" i="3"/>
  <c r="M329" i="3"/>
  <c r="M29" i="3"/>
  <c r="M163" i="3"/>
  <c r="M7" i="3"/>
  <c r="M142" i="3"/>
  <c r="M342" i="3"/>
  <c r="M59" i="3"/>
  <c r="M220" i="3"/>
  <c r="M82" i="3"/>
  <c r="N120" i="3"/>
  <c r="N255" i="3"/>
  <c r="N173" i="3"/>
  <c r="N221" i="3"/>
  <c r="N148" i="3"/>
  <c r="N114" i="3"/>
  <c r="N352" i="3"/>
  <c r="N11" i="3"/>
  <c r="N223" i="3"/>
  <c r="N226" i="3"/>
  <c r="N230" i="3"/>
  <c r="M94" i="3"/>
  <c r="M346" i="3"/>
  <c r="M277" i="3"/>
  <c r="M150" i="3"/>
  <c r="M9" i="3"/>
  <c r="M281" i="3"/>
  <c r="M63" i="3"/>
  <c r="M311" i="3"/>
  <c r="M106" i="3"/>
  <c r="M16" i="3"/>
  <c r="M58" i="3"/>
  <c r="N261" i="3"/>
  <c r="N88" i="3"/>
  <c r="N165" i="3"/>
  <c r="N133" i="3"/>
  <c r="N182" i="3"/>
  <c r="N214" i="3"/>
  <c r="N78" i="3"/>
  <c r="N21" i="3"/>
  <c r="N309" i="3"/>
  <c r="N272" i="3"/>
  <c r="M278" i="3"/>
  <c r="M343" i="3"/>
  <c r="M301" i="3"/>
  <c r="M92" i="3"/>
  <c r="M42" i="3"/>
  <c r="M40" i="3"/>
  <c r="M276" i="3"/>
  <c r="M130" i="3"/>
  <c r="M28" i="3"/>
  <c r="M255" i="3"/>
  <c r="M352" i="3"/>
  <c r="M299" i="3"/>
  <c r="M77" i="3"/>
  <c r="M68" i="3"/>
  <c r="M305" i="3"/>
  <c r="M139" i="3"/>
  <c r="M351" i="3"/>
  <c r="M268" i="3"/>
  <c r="M60" i="3"/>
  <c r="M74" i="3"/>
  <c r="M86" i="3"/>
  <c r="N5" i="3"/>
  <c r="N117" i="3"/>
  <c r="N33" i="3"/>
  <c r="N7" i="3"/>
  <c r="N125" i="3"/>
  <c r="N137" i="3"/>
  <c r="N2" i="3"/>
  <c r="N292" i="3"/>
  <c r="N325" i="3"/>
  <c r="N346" i="3"/>
  <c r="N153" i="3"/>
  <c r="M197" i="3"/>
  <c r="M170" i="3"/>
  <c r="M23" i="3"/>
  <c r="M104" i="3"/>
  <c r="M210" i="3"/>
  <c r="M199" i="3"/>
  <c r="M340" i="3"/>
  <c r="M151" i="3"/>
  <c r="M162" i="3"/>
  <c r="M93" i="3"/>
  <c r="M120" i="3"/>
  <c r="M117" i="3"/>
  <c r="M152" i="3"/>
  <c r="M172" i="3"/>
  <c r="M306" i="3"/>
  <c r="M262" i="3"/>
  <c r="M158" i="3"/>
  <c r="M322" i="3"/>
  <c r="M167" i="3"/>
  <c r="M176" i="3"/>
  <c r="M350" i="3"/>
  <c r="M257" i="3"/>
  <c r="N208" i="3"/>
  <c r="N257" i="3"/>
  <c r="M333" i="3"/>
  <c r="M2" i="3"/>
  <c r="M320" i="3"/>
  <c r="M221" i="3"/>
  <c r="M69" i="3"/>
  <c r="M71" i="3"/>
  <c r="M235" i="3"/>
  <c r="M231" i="3"/>
  <c r="M131" i="3"/>
  <c r="M178" i="3"/>
  <c r="M121" i="3"/>
  <c r="M215" i="3"/>
  <c r="M43" i="3"/>
  <c r="M133" i="3"/>
  <c r="M184" i="3"/>
  <c r="M247" i="3"/>
  <c r="M321" i="3"/>
  <c r="M263" i="3"/>
  <c r="M147" i="3"/>
  <c r="M164" i="3"/>
  <c r="M336" i="3"/>
  <c r="M288" i="3"/>
  <c r="N8" i="3"/>
  <c r="N159" i="3"/>
  <c r="N196" i="3"/>
  <c r="N242" i="3"/>
  <c r="N318" i="3"/>
  <c r="N73" i="3"/>
  <c r="N197" i="3"/>
  <c r="N330" i="3"/>
  <c r="N343" i="3"/>
  <c r="N81" i="3"/>
  <c r="M209" i="3"/>
  <c r="M30" i="3"/>
  <c r="M353" i="3"/>
  <c r="M310" i="3"/>
  <c r="M316" i="3"/>
  <c r="M349" i="3"/>
  <c r="M85" i="3"/>
  <c r="M31" i="3"/>
  <c r="M154" i="3"/>
  <c r="M213" i="3"/>
  <c r="M61" i="3"/>
  <c r="N344" i="3"/>
  <c r="N192" i="3"/>
  <c r="N237" i="3"/>
  <c r="N19" i="3"/>
  <c r="N12" i="3"/>
  <c r="N84" i="3"/>
  <c r="N119" i="3"/>
  <c r="N147" i="3"/>
  <c r="N340" i="3"/>
  <c r="N20" i="3"/>
  <c r="N353" i="3"/>
  <c r="N99" i="3"/>
  <c r="M67" i="3"/>
  <c r="M166" i="3"/>
  <c r="M124" i="3"/>
  <c r="M347" i="3"/>
  <c r="M25" i="3"/>
  <c r="M264" i="3"/>
  <c r="M193" i="3"/>
  <c r="M78" i="3"/>
  <c r="M312" i="3"/>
  <c r="M198" i="3"/>
  <c r="M337" i="3"/>
  <c r="N168" i="3"/>
  <c r="N126" i="3"/>
  <c r="N289" i="3"/>
  <c r="N74" i="3"/>
  <c r="N290" i="3"/>
  <c r="N167" i="3"/>
  <c r="N262" i="3"/>
  <c r="N288" i="3"/>
  <c r="N108" i="3"/>
  <c r="N149" i="3"/>
  <c r="M179" i="3"/>
  <c r="M134" i="3"/>
  <c r="M274" i="3"/>
  <c r="M6" i="3"/>
  <c r="M76" i="3"/>
  <c r="M261" i="3"/>
  <c r="M182" i="3"/>
  <c r="M155" i="3"/>
  <c r="M8" i="3"/>
  <c r="M266" i="3"/>
  <c r="M165" i="3"/>
  <c r="N112" i="3"/>
  <c r="N248" i="3"/>
  <c r="N245" i="3"/>
  <c r="N304" i="3"/>
  <c r="N316" i="3"/>
  <c r="N317" i="3"/>
  <c r="N130" i="3"/>
  <c r="N256" i="3"/>
  <c r="N298" i="3"/>
  <c r="N97" i="3"/>
  <c r="N217" i="3"/>
  <c r="N252" i="3"/>
  <c r="N209" i="3"/>
  <c r="N279" i="3"/>
  <c r="N267" i="3"/>
  <c r="N243" i="3"/>
  <c r="N142" i="3"/>
  <c r="N90" i="3"/>
  <c r="N314" i="3"/>
  <c r="N85" i="3"/>
  <c r="N236" i="3"/>
  <c r="M201" i="3"/>
  <c r="M284" i="3"/>
  <c r="M232" i="3"/>
  <c r="M294" i="3"/>
  <c r="M103" i="3"/>
  <c r="M99" i="3"/>
  <c r="M287" i="3"/>
  <c r="M222" i="3"/>
  <c r="M300" i="3"/>
  <c r="M330" i="3"/>
  <c r="M206" i="3"/>
  <c r="N297" i="3"/>
  <c r="N38" i="3"/>
  <c r="N124" i="3"/>
  <c r="M303" i="3"/>
  <c r="M241" i="3"/>
  <c r="M275" i="3"/>
  <c r="M238" i="3"/>
  <c r="M243" i="3"/>
  <c r="M196" i="3"/>
  <c r="M297" i="3"/>
  <c r="M314" i="3"/>
  <c r="M205" i="3"/>
  <c r="M240" i="3"/>
  <c r="M3" i="3"/>
  <c r="N191" i="3"/>
  <c r="N199" i="3"/>
  <c r="N229" i="3"/>
  <c r="N87" i="3"/>
  <c r="N42" i="3"/>
  <c r="N277" i="3"/>
  <c r="N210" i="3"/>
  <c r="N113" i="3"/>
  <c r="N57" i="3"/>
  <c r="N300" i="3"/>
  <c r="N157" i="3"/>
  <c r="N345" i="3"/>
  <c r="N293" i="3"/>
  <c r="N86" i="3"/>
  <c r="N3" i="3"/>
  <c r="N268" i="3"/>
  <c r="N183" i="3"/>
  <c r="N67" i="3"/>
  <c r="N45" i="3"/>
  <c r="N263" i="3"/>
  <c r="N76" i="3"/>
  <c r="N55" i="3"/>
  <c r="M72" i="3"/>
  <c r="M47" i="3"/>
  <c r="M332" i="3"/>
  <c r="M20" i="3"/>
  <c r="M36" i="3"/>
  <c r="M66" i="3"/>
  <c r="M160" i="3"/>
  <c r="M56" i="3"/>
  <c r="M95" i="3"/>
  <c r="M315" i="3"/>
  <c r="M138" i="3"/>
  <c r="N169" i="3"/>
  <c r="N23" i="3"/>
  <c r="N92" i="3"/>
  <c r="N180" i="3"/>
  <c r="N70" i="3"/>
  <c r="N72" i="3"/>
  <c r="N337" i="3"/>
  <c r="N218" i="3"/>
  <c r="N32" i="3"/>
  <c r="N265" i="3"/>
  <c r="N184" i="3"/>
  <c r="N121" i="3"/>
  <c r="N239" i="3"/>
  <c r="M230" i="3"/>
  <c r="M309" i="3"/>
  <c r="M344" i="3"/>
  <c r="M79" i="3"/>
  <c r="M334" i="3"/>
  <c r="M204" i="3"/>
  <c r="M128" i="3"/>
  <c r="M307" i="3"/>
  <c r="M348" i="3"/>
  <c r="M258" i="3"/>
  <c r="M202" i="3"/>
  <c r="N254" i="3"/>
  <c r="N258" i="3"/>
  <c r="N24" i="3"/>
  <c r="N174" i="3"/>
  <c r="M324" i="3"/>
  <c r="M41" i="3"/>
  <c r="M153" i="3"/>
  <c r="M10" i="3"/>
  <c r="M19" i="3"/>
  <c r="M144" i="3"/>
  <c r="M271" i="3"/>
  <c r="M191" i="3"/>
  <c r="M118" i="3"/>
  <c r="M73" i="3"/>
  <c r="N62" i="3"/>
  <c r="N166" i="3"/>
  <c r="N342" i="3"/>
  <c r="N110" i="3"/>
  <c r="N100" i="3"/>
  <c r="N164" i="3"/>
  <c r="N187" i="3"/>
  <c r="M246" i="3"/>
  <c r="N233" i="3"/>
  <c r="N44" i="3"/>
  <c r="N161" i="3"/>
  <c r="N334" i="3"/>
  <c r="N185" i="3"/>
  <c r="N105" i="3"/>
  <c r="N240" i="3"/>
  <c r="N139" i="3"/>
  <c r="N284" i="3"/>
  <c r="N198" i="3"/>
  <c r="N238" i="3"/>
  <c r="M189" i="3"/>
  <c r="M328" i="3"/>
  <c r="M114" i="3"/>
  <c r="M229" i="3"/>
  <c r="M233" i="3"/>
  <c r="M248" i="3"/>
  <c r="M338" i="3"/>
  <c r="M132" i="3"/>
  <c r="M228" i="3"/>
  <c r="M89" i="3"/>
  <c r="M5" i="3"/>
  <c r="N211" i="3"/>
  <c r="N18" i="3"/>
  <c r="N281" i="3"/>
  <c r="N333" i="3"/>
  <c r="N156" i="3"/>
  <c r="N322" i="3"/>
  <c r="N201" i="3"/>
  <c r="N154" i="3"/>
  <c r="N338" i="3"/>
  <c r="N203" i="3"/>
  <c r="N65" i="3"/>
  <c r="N162" i="3"/>
  <c r="M122" i="3"/>
  <c r="M267" i="3"/>
  <c r="M270" i="3"/>
  <c r="M171" i="3"/>
  <c r="M27" i="3"/>
  <c r="M227" i="3"/>
  <c r="M87" i="3"/>
  <c r="M192" i="3"/>
  <c r="M245" i="3"/>
  <c r="M33" i="3"/>
  <c r="M44" i="3"/>
  <c r="N69" i="3"/>
  <c r="N348" i="3"/>
  <c r="N103" i="3"/>
  <c r="N95" i="3"/>
  <c r="N6" i="3"/>
  <c r="N188" i="3"/>
  <c r="N287" i="3"/>
  <c r="N107" i="3"/>
  <c r="N202" i="3"/>
  <c r="N296" i="3"/>
  <c r="N58" i="3"/>
  <c r="M105" i="3"/>
  <c r="M318" i="3"/>
  <c r="M174" i="3"/>
  <c r="M159" i="3"/>
  <c r="M345" i="3"/>
  <c r="M217" i="3"/>
  <c r="M116" i="3"/>
  <c r="M127" i="3"/>
  <c r="M149" i="3"/>
  <c r="M260" i="3"/>
  <c r="M110" i="3"/>
  <c r="N94" i="3"/>
  <c r="N144" i="3"/>
  <c r="N47" i="3"/>
  <c r="N170" i="3"/>
  <c r="N79" i="3"/>
  <c r="N215" i="3"/>
  <c r="N68" i="3"/>
  <c r="N140" i="3"/>
  <c r="N160" i="3"/>
  <c r="N234" i="3"/>
  <c r="N98" i="3"/>
  <c r="N285" i="3"/>
  <c r="N249" i="3"/>
  <c r="M280" i="3"/>
  <c r="M113" i="3"/>
  <c r="M289" i="3"/>
  <c r="M169" i="3"/>
  <c r="M64" i="3"/>
  <c r="M140" i="3"/>
  <c r="M292" i="3"/>
  <c r="M295" i="3"/>
  <c r="M313" i="3"/>
  <c r="M126" i="3"/>
  <c r="M177" i="3"/>
  <c r="N235" i="3"/>
  <c r="N278" i="3"/>
  <c r="N224" i="3"/>
  <c r="N39" i="3"/>
  <c r="N351" i="3"/>
  <c r="N205" i="3"/>
  <c r="N247" i="3"/>
  <c r="N350" i="3"/>
  <c r="N15" i="3"/>
  <c r="N225" i="3"/>
  <c r="N30" i="3"/>
  <c r="N50" i="3"/>
  <c r="N171" i="3"/>
  <c r="N327" i="3"/>
  <c r="N339" i="3"/>
  <c r="N48" i="3"/>
  <c r="N41" i="3"/>
  <c r="M32" i="3"/>
  <c r="M208" i="3"/>
  <c r="M188" i="3"/>
  <c r="M282" i="3"/>
  <c r="M96" i="3"/>
  <c r="M57" i="3"/>
  <c r="M190" i="3"/>
  <c r="M52" i="3"/>
  <c r="M325" i="3"/>
  <c r="M323" i="3"/>
  <c r="M273" i="3"/>
  <c r="N29" i="3"/>
  <c r="N260" i="3"/>
  <c r="N56" i="3"/>
  <c r="N172" i="3"/>
  <c r="N136" i="3"/>
  <c r="N193" i="3"/>
  <c r="N27" i="3"/>
  <c r="N13" i="3"/>
  <c r="N53" i="3"/>
  <c r="N4" i="3"/>
  <c r="N280" i="3"/>
  <c r="M207" i="3"/>
  <c r="M168" i="3"/>
  <c r="M51" i="3"/>
  <c r="M185" i="3"/>
  <c r="M75" i="3"/>
  <c r="M302" i="3"/>
  <c r="M112" i="3"/>
  <c r="M65" i="3"/>
  <c r="M39" i="3"/>
  <c r="M254" i="3"/>
  <c r="M137" i="3"/>
  <c r="N303" i="3"/>
  <c r="N310" i="3"/>
  <c r="N17" i="3"/>
  <c r="N301" i="3"/>
  <c r="N59" i="3"/>
  <c r="N246" i="3"/>
  <c r="N336" i="3"/>
  <c r="N331" i="3"/>
  <c r="N60" i="3"/>
  <c r="N189" i="3"/>
  <c r="N14" i="3"/>
  <c r="N271" i="3"/>
  <c r="N341" i="3"/>
  <c r="M101" i="3"/>
  <c r="M119" i="3"/>
  <c r="M331" i="3"/>
  <c r="M234" i="3"/>
  <c r="M212" i="3"/>
  <c r="M111" i="3"/>
  <c r="M70" i="3"/>
  <c r="M129" i="3"/>
  <c r="M50" i="3"/>
  <c r="M24" i="3"/>
  <c r="M285" i="3"/>
  <c r="N115" i="3"/>
  <c r="N109" i="3"/>
  <c r="N220" i="3"/>
  <c r="N127" i="3"/>
  <c r="N306" i="3"/>
  <c r="N40" i="3"/>
  <c r="N82" i="3"/>
  <c r="N324" i="3"/>
  <c r="N259" i="3"/>
  <c r="N138" i="3"/>
  <c r="N176" i="3"/>
  <c r="N282" i="3"/>
  <c r="N52" i="3"/>
  <c r="N96" i="3"/>
  <c r="N332" i="3"/>
  <c r="N216" i="3"/>
  <c r="N31" i="3"/>
  <c r="M46" i="3"/>
  <c r="M11" i="3"/>
  <c r="M286" i="3"/>
  <c r="M26" i="3"/>
  <c r="M49" i="3"/>
  <c r="M84" i="3"/>
  <c r="M335" i="3"/>
  <c r="M239" i="3"/>
  <c r="M194" i="3"/>
  <c r="M253" i="3"/>
  <c r="M339" i="3"/>
  <c r="M62" i="3"/>
  <c r="N307" i="3"/>
  <c r="N22" i="3"/>
  <c r="M34" i="3"/>
  <c r="M341" i="3"/>
  <c r="M200" i="3"/>
  <c r="M186" i="3"/>
  <c r="M83" i="3"/>
  <c r="M141" i="3"/>
  <c r="M157" i="3"/>
  <c r="M146" i="3"/>
  <c r="M218" i="3"/>
  <c r="M195" i="3"/>
  <c r="N212" i="3"/>
  <c r="N321" i="3"/>
  <c r="N227" i="3"/>
  <c r="N294" i="3"/>
  <c r="N89" i="3"/>
  <c r="N128" i="3"/>
  <c r="N250" i="3"/>
  <c r="N37" i="3"/>
  <c r="N266" i="3"/>
  <c r="N131" i="3"/>
  <c r="N102" i="3"/>
  <c r="N26" i="3"/>
  <c r="N253" i="3"/>
  <c r="N283" i="3"/>
  <c r="N77" i="3"/>
  <c r="N206" i="3"/>
  <c r="N241" i="3"/>
  <c r="N195" i="3"/>
  <c r="N111" i="3"/>
  <c r="N264" i="3"/>
  <c r="N251" i="3"/>
  <c r="M18" i="3"/>
  <c r="M45" i="3"/>
  <c r="M35" i="3"/>
  <c r="M187" i="3"/>
  <c r="M180" i="3"/>
  <c r="M265" i="3"/>
  <c r="M269" i="3"/>
  <c r="M317" i="3"/>
  <c r="M283" i="3"/>
  <c r="M123" i="3"/>
  <c r="M250" i="3"/>
  <c r="M272" i="3"/>
  <c r="N286" i="3"/>
  <c r="N122" i="3"/>
  <c r="N320" i="3"/>
  <c r="N175" i="3"/>
  <c r="N313" i="3"/>
  <c r="N315" i="3"/>
  <c r="N80" i="3"/>
  <c r="N311" i="3"/>
  <c r="N61" i="3"/>
  <c r="N207" i="3"/>
  <c r="N129" i="3"/>
  <c r="M81" i="3"/>
  <c r="M102" i="3"/>
  <c r="M12" i="3"/>
  <c r="M109" i="3"/>
  <c r="M37" i="3"/>
  <c r="M251" i="3"/>
  <c r="M308" i="3"/>
  <c r="M226" i="3"/>
  <c r="M156" i="3"/>
  <c r="M326" i="3"/>
  <c r="M237" i="3"/>
  <c r="AM2" i="4"/>
  <c r="AF101" i="3"/>
  <c r="R5" i="2"/>
  <c r="R73" i="2"/>
  <c r="R94" i="2"/>
  <c r="R38" i="2"/>
  <c r="R78" i="2"/>
  <c r="R79" i="2"/>
  <c r="R56" i="2"/>
  <c r="R64" i="2"/>
  <c r="R9" i="2"/>
  <c r="R93" i="2"/>
  <c r="R10" i="2"/>
  <c r="R28" i="2"/>
  <c r="R34" i="2"/>
  <c r="R98" i="2"/>
  <c r="R67" i="2"/>
  <c r="R11" i="2"/>
  <c r="R32" i="2"/>
  <c r="R26" i="2"/>
  <c r="R46" i="2"/>
  <c r="R18" i="2"/>
  <c r="R49" i="2"/>
  <c r="R55" i="2"/>
  <c r="R66" i="2"/>
  <c r="R58" i="2"/>
  <c r="R82" i="2"/>
  <c r="R20" i="2"/>
  <c r="R89" i="2"/>
  <c r="R74" i="2"/>
  <c r="R16" i="2"/>
  <c r="R91" i="2"/>
  <c r="R60" i="2"/>
  <c r="R59" i="2"/>
  <c r="R96" i="2"/>
  <c r="R97" i="2"/>
  <c r="R14" i="2"/>
  <c r="R70" i="2"/>
  <c r="R6" i="2"/>
  <c r="R37" i="2"/>
  <c r="R100" i="2"/>
  <c r="R62" i="2"/>
  <c r="R43" i="2"/>
  <c r="R83" i="2"/>
  <c r="R77" i="2"/>
  <c r="R80" i="2"/>
  <c r="R8" i="2"/>
  <c r="R19" i="2"/>
  <c r="R3" i="2"/>
  <c r="R31" i="2"/>
  <c r="R48" i="2"/>
  <c r="R95" i="2"/>
  <c r="R47" i="2"/>
  <c r="R52" i="2"/>
  <c r="R51" i="2"/>
  <c r="R57" i="2"/>
  <c r="R29" i="2"/>
  <c r="R54" i="2"/>
  <c r="R53" i="2"/>
  <c r="R65" i="2"/>
  <c r="R84" i="2"/>
  <c r="R2" i="2"/>
  <c r="R81" i="2"/>
  <c r="R24" i="2"/>
  <c r="R68" i="2"/>
  <c r="R71" i="2"/>
  <c r="R25" i="2"/>
  <c r="R42" i="2"/>
  <c r="R99" i="2"/>
  <c r="R88" i="2"/>
  <c r="R7" i="2"/>
  <c r="R33" i="2"/>
  <c r="R27" i="2"/>
  <c r="R36" i="2"/>
  <c r="R90" i="2"/>
  <c r="R35" i="2"/>
  <c r="R40" i="2"/>
  <c r="R39" i="2"/>
  <c r="R50" i="2"/>
  <c r="R69" i="2"/>
  <c r="R45" i="2"/>
  <c r="R17" i="2"/>
  <c r="R63" i="2"/>
  <c r="R41" i="2"/>
  <c r="R21" i="2"/>
  <c r="R72" i="2"/>
  <c r="R75" i="2"/>
  <c r="R4" i="2"/>
  <c r="R12" i="2"/>
  <c r="R22" i="2"/>
  <c r="R85" i="2"/>
  <c r="R101" i="2"/>
  <c r="R87" i="2"/>
  <c r="R92" i="2"/>
  <c r="R13" i="2"/>
  <c r="R23" i="2"/>
  <c r="R76" i="2"/>
  <c r="R86" i="2"/>
  <c r="R15" i="2"/>
  <c r="R30" i="2"/>
  <c r="R61" i="2"/>
  <c r="R44" i="2"/>
  <c r="S65" i="2"/>
  <c r="S49" i="2"/>
  <c r="S55" i="2"/>
  <c r="S12" i="2"/>
  <c r="S68" i="2"/>
  <c r="S43" i="2"/>
  <c r="S73" i="2"/>
  <c r="S83" i="2"/>
  <c r="S42" i="2"/>
  <c r="S14" i="2"/>
  <c r="S11" i="2"/>
  <c r="S8" i="2"/>
  <c r="S37" i="2"/>
  <c r="S16" i="2"/>
  <c r="S79" i="2"/>
  <c r="S2" i="2"/>
  <c r="S88" i="2"/>
  <c r="S36" i="2"/>
  <c r="S86" i="2"/>
  <c r="S74" i="2"/>
  <c r="S56" i="2"/>
  <c r="S60" i="2"/>
  <c r="S69" i="2"/>
  <c r="S85" i="2"/>
  <c r="S31" i="2"/>
  <c r="S66" i="2"/>
  <c r="S67" i="2"/>
  <c r="S22" i="2"/>
  <c r="S54" i="2"/>
  <c r="S6" i="2"/>
  <c r="S82" i="2"/>
  <c r="S3" i="2"/>
  <c r="S17" i="2"/>
  <c r="S5" i="2"/>
  <c r="S25" i="2"/>
  <c r="S75" i="2"/>
  <c r="S44" i="2"/>
  <c r="S93" i="2"/>
  <c r="S61" i="2"/>
  <c r="S63" i="2"/>
  <c r="S92" i="2"/>
  <c r="S32" i="2"/>
  <c r="S58" i="2"/>
  <c r="S27" i="2"/>
  <c r="S15" i="2"/>
  <c r="S10" i="2"/>
  <c r="S18" i="2"/>
  <c r="S40" i="2"/>
  <c r="S99" i="2"/>
  <c r="S98" i="2"/>
  <c r="S35" i="2"/>
  <c r="S48" i="2"/>
  <c r="S97" i="2"/>
  <c r="S59" i="2"/>
  <c r="S47" i="2"/>
  <c r="S81" i="2"/>
  <c r="S45" i="2"/>
  <c r="S4" i="2"/>
  <c r="S39" i="2"/>
  <c r="S71" i="2"/>
  <c r="S19" i="2"/>
  <c r="S46" i="2"/>
  <c r="S7" i="2"/>
  <c r="S80" i="2"/>
  <c r="S21" i="2"/>
  <c r="S84" i="2"/>
  <c r="S77" i="2"/>
  <c r="S23" i="2"/>
  <c r="S94" i="2"/>
  <c r="S95" i="2"/>
  <c r="S91" i="2"/>
  <c r="S89" i="2"/>
  <c r="S78" i="2"/>
  <c r="S51" i="2"/>
  <c r="S101" i="2"/>
  <c r="S13" i="2"/>
  <c r="S90" i="2"/>
  <c r="S87" i="2"/>
  <c r="S38" i="2"/>
  <c r="S29" i="2"/>
  <c r="S76" i="2"/>
  <c r="S64" i="2"/>
  <c r="S20" i="2"/>
  <c r="S9" i="2"/>
  <c r="S70" i="2"/>
  <c r="S26" i="2"/>
  <c r="S52" i="2"/>
  <c r="S100" i="2"/>
  <c r="S50" i="2"/>
  <c r="S28" i="2"/>
  <c r="S34" i="2"/>
  <c r="S33" i="2"/>
  <c r="S53" i="2"/>
  <c r="S72" i="2"/>
  <c r="S96" i="2"/>
  <c r="S62" i="2"/>
  <c r="S24" i="2"/>
  <c r="S41" i="2"/>
  <c r="S30" i="2"/>
  <c r="S57" i="2"/>
  <c r="AH3" i="2"/>
  <c r="AH74" i="2"/>
  <c r="AH13" i="2"/>
  <c r="AH43" i="2"/>
  <c r="AH66" i="2"/>
  <c r="AH47" i="2"/>
  <c r="AH34" i="2"/>
  <c r="AH38" i="2"/>
  <c r="AH50" i="2"/>
  <c r="AH12" i="2"/>
  <c r="AH10" i="2"/>
  <c r="AH31" i="2"/>
  <c r="AH16" i="2"/>
  <c r="AH41" i="2"/>
  <c r="AH62" i="2"/>
  <c r="AH63" i="2"/>
  <c r="AH58" i="2"/>
  <c r="AH24" i="2"/>
  <c r="AH94" i="2"/>
  <c r="AH5" i="2"/>
  <c r="AH90" i="2"/>
  <c r="AH21" i="2"/>
  <c r="AH53" i="2"/>
  <c r="AH19" i="2"/>
  <c r="AH87" i="2"/>
  <c r="AH18" i="2"/>
  <c r="AH60" i="2"/>
  <c r="AH93" i="2"/>
  <c r="AH52" i="2"/>
  <c r="AH101" i="2"/>
  <c r="AH95" i="2"/>
  <c r="AH85" i="2"/>
  <c r="AH14" i="2"/>
  <c r="AH46" i="2"/>
  <c r="AH27" i="2"/>
  <c r="AH83" i="2"/>
  <c r="AH77" i="2"/>
  <c r="AH8" i="2"/>
  <c r="AH23" i="2"/>
  <c r="AH65" i="2"/>
  <c r="AH7" i="2"/>
  <c r="AH80" i="2"/>
  <c r="AH54" i="2"/>
  <c r="AH92" i="2"/>
  <c r="AH22" i="2"/>
  <c r="AH40" i="2"/>
  <c r="AH44" i="2"/>
  <c r="AH97" i="2"/>
  <c r="AH70" i="2"/>
  <c r="AH36" i="2"/>
  <c r="AH42" i="2"/>
  <c r="AH96" i="2"/>
  <c r="AH61" i="2"/>
  <c r="AH82" i="2"/>
  <c r="AH59" i="2"/>
  <c r="AH26" i="2"/>
  <c r="AH32" i="2"/>
  <c r="AH81" i="2"/>
  <c r="AH67" i="2"/>
  <c r="AH25" i="2"/>
  <c r="AH86" i="2"/>
  <c r="AH99" i="2"/>
  <c r="AH69" i="2"/>
  <c r="AH2" i="2"/>
  <c r="AH9" i="2"/>
  <c r="AH30" i="2"/>
  <c r="AH57" i="2"/>
  <c r="AH48" i="2"/>
  <c r="AH4" i="2"/>
  <c r="AH68" i="2"/>
  <c r="AH78" i="2"/>
  <c r="AH89" i="2"/>
  <c r="AH88" i="2"/>
  <c r="AH79" i="2"/>
  <c r="AH6" i="2"/>
  <c r="AH33" i="2"/>
  <c r="AH29" i="2"/>
  <c r="AH72" i="2"/>
  <c r="AH64" i="2"/>
  <c r="AH75" i="2"/>
  <c r="AH45" i="2"/>
  <c r="AH73" i="2"/>
  <c r="AH11" i="2"/>
  <c r="AH71" i="2"/>
  <c r="AH49" i="2"/>
  <c r="AH56" i="2"/>
  <c r="AH100" i="2"/>
  <c r="AH98" i="2"/>
  <c r="AH37" i="2"/>
  <c r="AH35" i="2"/>
  <c r="AH51" i="2"/>
  <c r="AH20" i="2"/>
  <c r="AH15" i="2"/>
  <c r="AH55" i="2"/>
  <c r="AH39" i="2"/>
  <c r="AH84" i="2"/>
  <c r="AH91" i="2"/>
  <c r="AH17" i="2"/>
  <c r="AH28" i="2"/>
  <c r="AH76" i="2"/>
  <c r="AQ32" i="2"/>
  <c r="AQ100" i="2"/>
  <c r="AQ20" i="2"/>
  <c r="AQ76" i="2"/>
  <c r="AQ48" i="2"/>
  <c r="AQ82" i="2"/>
  <c r="AQ5" i="2"/>
  <c r="AQ39" i="2"/>
  <c r="AQ59" i="2"/>
  <c r="AQ4" i="2"/>
  <c r="AQ30" i="2"/>
  <c r="AQ33" i="2"/>
  <c r="AQ52" i="2"/>
  <c r="AQ91" i="2"/>
  <c r="AQ24" i="2"/>
  <c r="AQ47" i="2"/>
  <c r="AQ89" i="2"/>
  <c r="AQ64" i="2"/>
  <c r="AQ90" i="2"/>
  <c r="AQ37" i="2"/>
  <c r="AQ92" i="2"/>
  <c r="AQ83" i="2"/>
  <c r="AQ74" i="2"/>
  <c r="AQ35" i="2"/>
  <c r="AQ44" i="2"/>
  <c r="AQ86" i="2"/>
  <c r="AQ10" i="2"/>
  <c r="AQ3" i="2"/>
  <c r="AQ72" i="2"/>
  <c r="AQ15" i="2"/>
  <c r="AQ79" i="2"/>
  <c r="AQ21" i="2"/>
  <c r="AQ17" i="2"/>
  <c r="AQ31" i="2"/>
  <c r="AQ96" i="2"/>
  <c r="AQ18" i="2"/>
  <c r="AQ2" i="2"/>
  <c r="AQ87" i="2"/>
  <c r="AQ75" i="2"/>
  <c r="AQ23" i="2"/>
  <c r="AQ49" i="2"/>
  <c r="AQ9" i="2"/>
  <c r="AQ69" i="2"/>
  <c r="AQ56" i="2"/>
  <c r="AQ11" i="2"/>
  <c r="AQ84" i="2"/>
  <c r="AQ101" i="2"/>
  <c r="AQ71" i="2"/>
  <c r="AQ27" i="2"/>
  <c r="AQ88" i="2"/>
  <c r="AQ66" i="2"/>
  <c r="AQ19" i="2"/>
  <c r="AQ65" i="2"/>
  <c r="AQ29" i="2"/>
  <c r="AQ60" i="2"/>
  <c r="AQ54" i="2"/>
  <c r="AQ73" i="2"/>
  <c r="AQ85" i="2"/>
  <c r="AQ40" i="2"/>
  <c r="AQ25" i="2"/>
  <c r="AQ98" i="2"/>
  <c r="AQ22" i="2"/>
  <c r="AQ94" i="2"/>
  <c r="AQ53" i="2"/>
  <c r="AQ70" i="2"/>
  <c r="AQ61" i="2"/>
  <c r="AQ41" i="2"/>
  <c r="AQ6" i="2"/>
  <c r="AQ62" i="2"/>
  <c r="AQ55" i="2"/>
  <c r="AQ43" i="2"/>
  <c r="AQ78" i="2"/>
  <c r="AQ63" i="2"/>
  <c r="AQ95" i="2"/>
  <c r="AQ13" i="2"/>
  <c r="AQ50" i="2"/>
  <c r="AQ57" i="2"/>
  <c r="AQ38" i="2"/>
  <c r="AQ28" i="2"/>
  <c r="AQ16" i="2"/>
  <c r="AQ51" i="2"/>
  <c r="AQ45" i="2"/>
  <c r="AQ12" i="2"/>
  <c r="AQ8" i="2"/>
  <c r="AQ26" i="2"/>
  <c r="AQ68" i="2"/>
  <c r="AQ80" i="2"/>
  <c r="AQ58" i="2"/>
  <c r="AQ46" i="2"/>
  <c r="AQ67" i="2"/>
  <c r="AQ34" i="2"/>
  <c r="AQ36" i="2"/>
  <c r="AQ42" i="2"/>
  <c r="AQ99" i="2"/>
  <c r="AQ77" i="2"/>
  <c r="AQ97" i="2"/>
  <c r="AQ93" i="2"/>
  <c r="AQ81" i="2"/>
  <c r="AQ14" i="2"/>
  <c r="AQ7" i="2"/>
  <c r="AZ66" i="2"/>
  <c r="AZ44" i="2"/>
  <c r="AZ91" i="2"/>
  <c r="AZ5" i="2"/>
  <c r="AZ83" i="2"/>
  <c r="AZ94" i="2"/>
  <c r="AZ23" i="2"/>
  <c r="AZ28" i="2"/>
  <c r="AZ38" i="2"/>
  <c r="AZ71" i="2"/>
  <c r="AZ61" i="2"/>
  <c r="AZ12" i="2"/>
  <c r="AZ42" i="2"/>
  <c r="AZ77" i="2"/>
  <c r="AZ17" i="2"/>
  <c r="AZ95" i="2"/>
  <c r="AZ68" i="2"/>
  <c r="AZ2" i="2"/>
  <c r="AZ3" i="2"/>
  <c r="AZ46" i="2"/>
  <c r="AZ87" i="2"/>
  <c r="AZ29" i="2"/>
  <c r="AZ27" i="2"/>
  <c r="AZ58" i="2"/>
  <c r="AZ40" i="2"/>
  <c r="AZ19" i="2"/>
  <c r="AZ78" i="2"/>
  <c r="AZ14" i="2"/>
  <c r="AZ101" i="2"/>
  <c r="AZ100" i="2"/>
  <c r="AZ4" i="2"/>
  <c r="AZ37" i="2"/>
  <c r="AZ67" i="2"/>
  <c r="AZ59" i="2"/>
  <c r="AZ70" i="2"/>
  <c r="AZ18" i="2"/>
  <c r="AZ50" i="2"/>
  <c r="AZ9" i="2"/>
  <c r="AZ7" i="2"/>
  <c r="AZ60" i="2"/>
  <c r="AZ52" i="2"/>
  <c r="AZ25" i="2"/>
  <c r="AZ43" i="2"/>
  <c r="AZ32" i="2"/>
  <c r="AZ48" i="2"/>
  <c r="AZ74" i="2"/>
  <c r="AZ47" i="2"/>
  <c r="AZ84" i="2"/>
  <c r="AZ11" i="2"/>
  <c r="AZ56" i="2"/>
  <c r="AZ34" i="2"/>
  <c r="AZ79" i="2"/>
  <c r="AZ6" i="2"/>
  <c r="AZ33" i="2"/>
  <c r="AZ10" i="2"/>
  <c r="AZ35" i="2"/>
  <c r="AZ20" i="2"/>
  <c r="AZ57" i="2"/>
  <c r="AZ73" i="2"/>
  <c r="AZ16" i="2"/>
  <c r="AZ41" i="2"/>
  <c r="AZ75" i="2"/>
  <c r="AZ39" i="2"/>
  <c r="AZ82" i="2"/>
  <c r="AZ92" i="2"/>
  <c r="AZ51" i="2"/>
  <c r="AZ13" i="2"/>
  <c r="AZ80" i="2"/>
  <c r="AZ96" i="2"/>
  <c r="AZ62" i="2"/>
  <c r="AZ85" i="2"/>
  <c r="AZ88" i="2"/>
  <c r="AZ22" i="2"/>
  <c r="AZ8" i="2"/>
  <c r="AZ89" i="2"/>
  <c r="AZ97" i="2"/>
  <c r="AZ86" i="2"/>
  <c r="AZ55" i="2"/>
  <c r="AZ65" i="2"/>
  <c r="AZ36" i="2"/>
  <c r="AZ26" i="2"/>
  <c r="AZ31" i="2"/>
  <c r="AZ81" i="2"/>
  <c r="AZ54" i="2"/>
  <c r="AZ72" i="2"/>
  <c r="AZ64" i="2"/>
  <c r="AZ30" i="2"/>
  <c r="AZ15" i="2"/>
  <c r="AZ69" i="2"/>
  <c r="AZ99" i="2"/>
  <c r="AZ63" i="2"/>
  <c r="AZ76" i="2"/>
  <c r="AZ93" i="2"/>
  <c r="AZ21" i="2"/>
  <c r="AZ49" i="2"/>
  <c r="AZ90" i="2"/>
  <c r="AZ24" i="2"/>
  <c r="AZ98" i="2"/>
  <c r="AZ45" i="2"/>
  <c r="AZ53" i="2"/>
  <c r="BA38" i="2"/>
  <c r="BA45" i="2"/>
  <c r="BA2" i="2"/>
  <c r="BA92" i="2"/>
  <c r="BA99" i="2"/>
  <c r="BA80" i="2"/>
  <c r="BA56" i="2"/>
  <c r="BA35" i="2"/>
  <c r="BA90" i="2"/>
  <c r="BA89" i="2"/>
  <c r="BA24" i="2"/>
  <c r="BA15" i="2"/>
  <c r="BA72" i="2"/>
  <c r="BA62" i="2"/>
  <c r="BA23" i="2"/>
  <c r="BA70" i="2"/>
  <c r="BA58" i="2"/>
  <c r="BA101" i="2"/>
  <c r="BA77" i="2"/>
  <c r="BA16" i="2"/>
  <c r="BA44" i="2"/>
  <c r="BA71" i="2"/>
  <c r="BA53" i="2"/>
  <c r="BA4" i="2"/>
  <c r="BA13" i="2"/>
  <c r="BA31" i="2"/>
  <c r="BA6" i="2"/>
  <c r="BA59" i="2"/>
  <c r="BA48" i="2"/>
  <c r="BA49" i="2"/>
  <c r="BA76" i="2"/>
  <c r="BA82" i="2"/>
  <c r="BA66" i="2"/>
  <c r="BA50" i="2"/>
  <c r="BA11" i="2"/>
  <c r="BA96" i="2"/>
  <c r="BA67" i="2"/>
  <c r="BA10" i="2"/>
  <c r="BA54" i="2"/>
  <c r="BA22" i="2"/>
  <c r="BA47" i="2"/>
  <c r="BA69" i="2"/>
  <c r="BA34" i="2"/>
  <c r="BA36" i="2"/>
  <c r="BA93" i="2"/>
  <c r="BA73" i="2"/>
  <c r="BA43" i="2"/>
  <c r="BA30" i="2"/>
  <c r="BA57" i="2"/>
  <c r="BA9" i="2"/>
  <c r="BA84" i="2"/>
  <c r="BA5" i="2"/>
  <c r="BA78" i="2"/>
  <c r="BA19" i="2"/>
  <c r="BA14" i="2"/>
  <c r="BA52" i="2"/>
  <c r="BA91" i="2"/>
  <c r="BA28" i="2"/>
  <c r="BA95" i="2"/>
  <c r="BA81" i="2"/>
  <c r="BA64" i="2"/>
  <c r="BA25" i="2"/>
  <c r="BA27" i="2"/>
  <c r="BA46" i="2"/>
  <c r="BA61" i="2"/>
  <c r="BA33" i="2"/>
  <c r="BA37" i="2"/>
  <c r="BA55" i="2"/>
  <c r="BA17" i="2"/>
  <c r="BA88" i="2"/>
  <c r="BA86" i="2"/>
  <c r="BA83" i="2"/>
  <c r="BA74" i="2"/>
  <c r="BA65" i="2"/>
  <c r="BA98" i="2"/>
  <c r="BA63" i="2"/>
  <c r="BA26" i="2"/>
  <c r="BA32" i="2"/>
  <c r="BA97" i="2"/>
  <c r="BA29" i="2"/>
  <c r="BA8" i="2"/>
  <c r="BA42" i="2"/>
  <c r="BA94" i="2"/>
  <c r="BA41" i="2"/>
  <c r="BA85" i="2"/>
  <c r="BA39" i="2"/>
  <c r="BA12" i="2"/>
  <c r="BA100" i="2"/>
  <c r="BA75" i="2"/>
  <c r="BA18" i="2"/>
  <c r="BA21" i="2"/>
  <c r="BA3" i="2"/>
  <c r="BA40" i="2"/>
  <c r="BA79" i="2"/>
  <c r="BA7" i="2"/>
  <c r="BA51" i="2"/>
  <c r="BA87" i="2"/>
  <c r="BA20" i="2"/>
  <c r="BA68" i="2"/>
  <c r="BA60" i="2"/>
  <c r="X11" i="2"/>
  <c r="X55" i="2"/>
  <c r="X97" i="2"/>
  <c r="X47" i="2"/>
  <c r="X63" i="2"/>
  <c r="X92" i="2"/>
  <c r="X68" i="2"/>
  <c r="X32" i="2"/>
  <c r="X24" i="2"/>
  <c r="X8" i="2"/>
  <c r="X78" i="2"/>
  <c r="X74" i="2"/>
  <c r="X95" i="2"/>
  <c r="X29" i="2"/>
  <c r="X69" i="2"/>
  <c r="X39" i="2"/>
  <c r="X13" i="2"/>
  <c r="X18" i="2"/>
  <c r="X40" i="2"/>
  <c r="X94" i="2"/>
  <c r="X19" i="2"/>
  <c r="X56" i="2"/>
  <c r="X2" i="2"/>
  <c r="X38" i="2"/>
  <c r="X34" i="2"/>
  <c r="X23" i="2"/>
  <c r="X70" i="2"/>
  <c r="X75" i="2"/>
  <c r="X31" i="2"/>
  <c r="X80" i="2"/>
  <c r="X91" i="2"/>
  <c r="X21" i="2"/>
  <c r="X66" i="2"/>
  <c r="X4" i="2"/>
  <c r="X48" i="2"/>
  <c r="X100" i="2"/>
  <c r="X59" i="2"/>
  <c r="X64" i="2"/>
  <c r="X71" i="2"/>
  <c r="X50" i="2"/>
  <c r="X76" i="2"/>
  <c r="X45" i="2"/>
  <c r="X28" i="2"/>
  <c r="X86" i="2"/>
  <c r="X81" i="2"/>
  <c r="X42" i="2"/>
  <c r="X6" i="2"/>
  <c r="X52" i="2"/>
  <c r="X89" i="2"/>
  <c r="X49" i="2"/>
  <c r="X87" i="2"/>
  <c r="X46" i="2"/>
  <c r="X17" i="2"/>
  <c r="X73" i="2"/>
  <c r="X3" i="2"/>
  <c r="X57" i="2"/>
  <c r="X67" i="2"/>
  <c r="X101" i="2"/>
  <c r="X98" i="2"/>
  <c r="X62" i="2"/>
  <c r="X99" i="2"/>
  <c r="X35" i="2"/>
  <c r="X22" i="2"/>
  <c r="X14" i="2"/>
  <c r="X16" i="2"/>
  <c r="X27" i="2"/>
  <c r="X33" i="2"/>
  <c r="X65" i="2"/>
  <c r="X26" i="2"/>
  <c r="X96" i="2"/>
  <c r="X88" i="2"/>
  <c r="X72" i="2"/>
  <c r="X60" i="2"/>
  <c r="X93" i="2"/>
  <c r="X58" i="2"/>
  <c r="X9" i="2"/>
  <c r="X20" i="2"/>
  <c r="X12" i="2"/>
  <c r="X82" i="2"/>
  <c r="X61" i="2"/>
  <c r="X37" i="2"/>
  <c r="X5" i="2"/>
  <c r="X83" i="2"/>
  <c r="X77" i="2"/>
  <c r="X30" i="2"/>
  <c r="X84" i="2"/>
  <c r="X44" i="2"/>
  <c r="X54" i="2"/>
  <c r="X51" i="2"/>
  <c r="X79" i="2"/>
  <c r="X90" i="2"/>
  <c r="X7" i="2"/>
  <c r="X15" i="2"/>
  <c r="X36" i="2"/>
  <c r="X53" i="2"/>
  <c r="X43" i="2"/>
  <c r="X10" i="2"/>
  <c r="X41" i="2"/>
  <c r="X25" i="2"/>
  <c r="X85" i="2"/>
  <c r="Y22" i="2"/>
  <c r="Y98" i="2"/>
  <c r="Y90" i="2"/>
  <c r="Y99" i="2"/>
  <c r="Y81" i="2"/>
  <c r="Y30" i="2"/>
  <c r="Y73" i="2"/>
  <c r="Y46" i="2"/>
  <c r="Y2" i="2"/>
  <c r="Y94" i="2"/>
  <c r="Y5" i="2"/>
  <c r="Y17" i="2"/>
  <c r="Y42" i="2"/>
  <c r="Y23" i="2"/>
  <c r="Y29" i="2"/>
  <c r="Y35" i="2"/>
  <c r="Y86" i="2"/>
  <c r="Y45" i="2"/>
  <c r="Y14" i="2"/>
  <c r="Y10" i="2"/>
  <c r="Y26" i="2"/>
  <c r="Y40" i="2"/>
  <c r="Y7" i="2"/>
  <c r="Y48" i="2"/>
  <c r="Y75" i="2"/>
  <c r="Y9" i="2"/>
  <c r="Y8" i="2"/>
  <c r="Y41" i="2"/>
  <c r="Y69" i="2"/>
  <c r="Y34" i="2"/>
  <c r="Y3" i="2"/>
  <c r="Y50" i="2"/>
  <c r="Y61" i="2"/>
  <c r="Y18" i="2"/>
  <c r="Y63" i="2"/>
  <c r="Y4" i="2"/>
  <c r="Y78" i="2"/>
  <c r="Y89" i="2"/>
  <c r="Y77" i="2"/>
  <c r="Y70" i="2"/>
  <c r="Y16" i="2"/>
  <c r="Y95" i="2"/>
  <c r="Y13" i="2"/>
  <c r="Y21" i="2"/>
  <c r="Y59" i="2"/>
  <c r="Y67" i="2"/>
  <c r="Y88" i="2"/>
  <c r="Y100" i="2"/>
  <c r="Y32" i="2"/>
  <c r="Y11" i="2"/>
  <c r="Y24" i="2"/>
  <c r="Y12" i="2"/>
  <c r="Y38" i="2"/>
  <c r="Y55" i="2"/>
  <c r="Y91" i="2"/>
  <c r="Y49" i="2"/>
  <c r="Y92" i="2"/>
  <c r="Y47" i="2"/>
  <c r="Y74" i="2"/>
  <c r="Y27" i="2"/>
  <c r="Y80" i="2"/>
  <c r="Y101" i="2"/>
  <c r="Y58" i="2"/>
  <c r="Y6" i="2"/>
  <c r="Y56" i="2"/>
  <c r="Y43" i="2"/>
  <c r="Y33" i="2"/>
  <c r="Y66" i="2"/>
  <c r="Y36" i="2"/>
  <c r="Y84" i="2"/>
  <c r="Y37" i="2"/>
  <c r="Y87" i="2"/>
  <c r="Y60" i="2"/>
  <c r="Y72" i="2"/>
  <c r="Y31" i="2"/>
  <c r="Y83" i="2"/>
  <c r="Y15" i="2"/>
  <c r="Y19" i="2"/>
  <c r="Y25" i="2"/>
  <c r="Y82" i="2"/>
  <c r="Y76" i="2"/>
  <c r="Y54" i="2"/>
  <c r="Y68" i="2"/>
  <c r="Y51" i="2"/>
  <c r="Y44" i="2"/>
  <c r="Y79" i="2"/>
  <c r="Y57" i="2"/>
  <c r="Y53" i="2"/>
  <c r="Y96" i="2"/>
  <c r="Y52" i="2"/>
  <c r="Y62" i="2"/>
  <c r="Y71" i="2"/>
  <c r="Y93" i="2"/>
  <c r="Y28" i="2"/>
  <c r="Y64" i="2"/>
  <c r="Y85" i="2"/>
  <c r="Y97" i="2"/>
  <c r="Y20" i="2"/>
  <c r="Y65" i="2"/>
  <c r="Y39" i="2"/>
  <c r="AR86" i="2"/>
  <c r="AR77" i="2"/>
  <c r="AR66" i="2"/>
  <c r="AR24" i="2"/>
  <c r="AR95" i="2"/>
  <c r="AR74" i="2"/>
  <c r="AR11" i="2"/>
  <c r="AR63" i="2"/>
  <c r="AR71" i="2"/>
  <c r="AR41" i="2"/>
  <c r="AR75" i="2"/>
  <c r="AR70" i="2"/>
  <c r="AR5" i="2"/>
  <c r="AR92" i="2"/>
  <c r="AR42" i="2"/>
  <c r="AR47" i="2"/>
  <c r="AR62" i="2"/>
  <c r="AR37" i="2"/>
  <c r="AR21" i="2"/>
  <c r="AR64" i="2"/>
  <c r="AR25" i="2"/>
  <c r="AR76" i="2"/>
  <c r="AR43" i="2"/>
  <c r="AR44" i="2"/>
  <c r="AR80" i="2"/>
  <c r="AR67" i="2"/>
  <c r="AR82" i="2"/>
  <c r="AR98" i="2"/>
  <c r="AR26" i="2"/>
  <c r="AR93" i="2"/>
  <c r="AR96" i="2"/>
  <c r="AR58" i="2"/>
  <c r="AR6" i="2"/>
  <c r="AR50" i="2"/>
  <c r="AR31" i="2"/>
  <c r="AR29" i="2"/>
  <c r="AR89" i="2"/>
  <c r="AR94" i="2"/>
  <c r="AR48" i="2"/>
  <c r="AR53" i="2"/>
  <c r="AR39" i="2"/>
  <c r="AR100" i="2"/>
  <c r="AR65" i="2"/>
  <c r="AR99" i="2"/>
  <c r="AR55" i="2"/>
  <c r="AR4" i="2"/>
  <c r="AR51" i="2"/>
  <c r="AR68" i="2"/>
  <c r="AR46" i="2"/>
  <c r="AR27" i="2"/>
  <c r="AR7" i="2"/>
  <c r="AR28" i="2"/>
  <c r="AR79" i="2"/>
  <c r="AR19" i="2"/>
  <c r="AR72" i="2"/>
  <c r="AR54" i="2"/>
  <c r="AR97" i="2"/>
  <c r="AR101" i="2"/>
  <c r="AR49" i="2"/>
  <c r="AR17" i="2"/>
  <c r="AR69" i="2"/>
  <c r="AR12" i="2"/>
  <c r="AR35" i="2"/>
  <c r="AR3" i="2"/>
  <c r="AR52" i="2"/>
  <c r="AR56" i="2"/>
  <c r="AR87" i="2"/>
  <c r="AR20" i="2"/>
  <c r="AR22" i="2"/>
  <c r="AR91" i="2"/>
  <c r="AR73" i="2"/>
  <c r="AR16" i="2"/>
  <c r="AR45" i="2"/>
  <c r="AR14" i="2"/>
  <c r="AR32" i="2"/>
  <c r="AR78" i="2"/>
  <c r="AR61" i="2"/>
  <c r="AR13" i="2"/>
  <c r="AR33" i="2"/>
  <c r="AR83" i="2"/>
  <c r="AR10" i="2"/>
  <c r="AR18" i="2"/>
  <c r="AR60" i="2"/>
  <c r="AR9" i="2"/>
  <c r="AR90" i="2"/>
  <c r="AR57" i="2"/>
  <c r="AR85" i="2"/>
  <c r="AR59" i="2"/>
  <c r="AR38" i="2"/>
  <c r="AR36" i="2"/>
  <c r="AR23" i="2"/>
  <c r="AR40" i="2"/>
  <c r="AR88" i="2"/>
  <c r="AR30" i="2"/>
  <c r="AR81" i="2"/>
  <c r="AR34" i="2"/>
  <c r="AR15" i="2"/>
  <c r="AR8" i="2"/>
  <c r="AR84" i="2"/>
  <c r="AR2" i="2"/>
  <c r="AI34" i="2"/>
  <c r="AI32" i="2"/>
  <c r="AI29" i="2"/>
  <c r="AI45" i="2"/>
  <c r="AI87" i="2"/>
  <c r="AI9" i="2"/>
  <c r="AI65" i="2"/>
  <c r="AI63" i="2"/>
  <c r="AI82" i="2"/>
  <c r="AI69" i="2"/>
  <c r="AI73" i="2"/>
  <c r="AI99" i="2"/>
  <c r="AI11" i="2"/>
  <c r="AI79" i="2"/>
  <c r="AI67" i="2"/>
  <c r="AI4" i="2"/>
  <c r="AI92" i="2"/>
  <c r="AI19" i="2"/>
  <c r="AI10" i="2"/>
  <c r="AI58" i="2"/>
  <c r="AI31" i="2"/>
  <c r="AI30" i="2"/>
  <c r="AI56" i="2"/>
  <c r="AI71" i="2"/>
  <c r="AI15" i="2"/>
  <c r="AI100" i="2"/>
  <c r="AI75" i="2"/>
  <c r="AI3" i="2"/>
  <c r="AI42" i="2"/>
  <c r="AI90" i="2"/>
  <c r="AI39" i="2"/>
  <c r="AI61" i="2"/>
  <c r="AI6" i="2"/>
  <c r="AI44" i="2"/>
  <c r="AI40" i="2"/>
  <c r="AI43" i="2"/>
  <c r="AI22" i="2"/>
  <c r="AI41" i="2"/>
  <c r="AI52" i="2"/>
  <c r="AI25" i="2"/>
  <c r="AI27" i="2"/>
  <c r="AI5" i="2"/>
  <c r="AI26" i="2"/>
  <c r="AI12" i="2"/>
  <c r="AI38" i="2"/>
  <c r="AI81" i="2"/>
  <c r="AI94" i="2"/>
  <c r="AI21" i="2"/>
  <c r="AI20" i="2"/>
  <c r="AI76" i="2"/>
  <c r="AI28" i="2"/>
  <c r="AI8" i="2"/>
  <c r="AI51" i="2"/>
  <c r="AI13" i="2"/>
  <c r="AI7" i="2"/>
  <c r="AI54" i="2"/>
  <c r="AI55" i="2"/>
  <c r="AI36" i="2"/>
  <c r="AI70" i="2"/>
  <c r="AI72" i="2"/>
  <c r="AI93" i="2"/>
  <c r="AI50" i="2"/>
  <c r="AI98" i="2"/>
  <c r="AI18" i="2"/>
  <c r="AI57" i="2"/>
  <c r="AI66" i="2"/>
  <c r="AI64" i="2"/>
  <c r="AI17" i="2"/>
  <c r="AI24" i="2"/>
  <c r="AI96" i="2"/>
  <c r="AI47" i="2"/>
  <c r="AI46" i="2"/>
  <c r="AI53" i="2"/>
  <c r="AI101" i="2"/>
  <c r="AI86" i="2"/>
  <c r="AI85" i="2"/>
  <c r="AI68" i="2"/>
  <c r="AI91" i="2"/>
  <c r="AI60" i="2"/>
  <c r="AI33" i="2"/>
  <c r="AI88" i="2"/>
  <c r="AI74" i="2"/>
  <c r="AI37" i="2"/>
  <c r="AI97" i="2"/>
  <c r="AI95" i="2"/>
  <c r="AI35" i="2"/>
  <c r="AI23" i="2"/>
  <c r="AI62" i="2"/>
  <c r="AI16" i="2"/>
  <c r="AI48" i="2"/>
  <c r="AI84" i="2"/>
  <c r="AI89" i="2"/>
  <c r="AI80" i="2"/>
  <c r="AI78" i="2"/>
  <c r="AI59" i="2"/>
  <c r="AI77" i="2"/>
  <c r="AI14" i="2"/>
  <c r="AI83" i="2"/>
  <c r="AI49" i="2"/>
  <c r="AI2" i="2"/>
  <c r="Z31" i="2"/>
  <c r="Z96" i="2"/>
  <c r="Z69" i="2"/>
  <c r="Z39" i="2"/>
  <c r="Z97" i="2"/>
  <c r="Z46" i="2"/>
  <c r="Z33" i="2"/>
  <c r="Z29" i="2"/>
  <c r="Z91" i="2"/>
  <c r="Z68" i="2"/>
  <c r="Z50" i="2"/>
  <c r="Z73" i="2"/>
  <c r="Z82" i="2"/>
  <c r="Z55" i="2"/>
  <c r="Z48" i="2"/>
  <c r="Z4" i="2"/>
  <c r="Z13" i="2"/>
  <c r="Z64" i="2"/>
  <c r="Z85" i="2"/>
  <c r="Z78" i="2"/>
  <c r="Z71" i="2"/>
  <c r="Z6" i="2"/>
  <c r="Z81" i="2"/>
  <c r="Z9" i="2"/>
  <c r="Z44" i="2"/>
  <c r="Z51" i="2"/>
  <c r="Z63" i="2"/>
  <c r="Z58" i="2"/>
  <c r="Z77" i="2"/>
  <c r="Z37" i="2"/>
  <c r="Z80" i="2"/>
  <c r="Z62" i="2"/>
  <c r="Z28" i="2"/>
  <c r="Z94" i="2"/>
  <c r="Z90" i="2"/>
  <c r="Z32" i="2"/>
  <c r="Z25" i="2"/>
  <c r="Z101" i="2"/>
  <c r="Z83" i="2"/>
  <c r="Z18" i="2"/>
  <c r="Z10" i="2"/>
  <c r="Z12" i="2"/>
  <c r="Z93" i="2"/>
  <c r="Z21" i="2"/>
  <c r="Z56" i="2"/>
  <c r="Z23" i="2"/>
  <c r="Z89" i="2"/>
  <c r="Z14" i="2"/>
  <c r="Z35" i="2"/>
  <c r="Z49" i="2"/>
  <c r="Z36" i="2"/>
  <c r="Z11" i="2"/>
  <c r="Z92" i="2"/>
  <c r="Z15" i="2"/>
  <c r="Z41" i="2"/>
  <c r="Z87" i="2"/>
  <c r="Z76" i="2"/>
  <c r="Z2" i="2"/>
  <c r="Z22" i="2"/>
  <c r="Z98" i="2"/>
  <c r="Z95" i="2"/>
  <c r="Z30" i="2"/>
  <c r="Z75" i="2"/>
  <c r="Z5" i="2"/>
  <c r="Z67" i="2"/>
  <c r="Z24" i="2"/>
  <c r="Z65" i="2"/>
  <c r="Z99" i="2"/>
  <c r="Z47" i="2"/>
  <c r="Z42" i="2"/>
  <c r="Z72" i="2"/>
  <c r="Z26" i="2"/>
  <c r="Z61" i="2"/>
  <c r="Z8" i="2"/>
  <c r="Z40" i="2"/>
  <c r="Z45" i="2"/>
  <c r="Z19" i="2"/>
  <c r="Z27" i="2"/>
  <c r="Z86" i="2"/>
  <c r="Z52" i="2"/>
  <c r="Z53" i="2"/>
  <c r="Z66" i="2"/>
  <c r="Z7" i="2"/>
  <c r="Z88" i="2"/>
  <c r="Z59" i="2"/>
  <c r="Z17" i="2"/>
  <c r="Z79" i="2"/>
  <c r="Z100" i="2"/>
  <c r="Z3" i="2"/>
  <c r="Z38" i="2"/>
  <c r="Z54" i="2"/>
  <c r="Z70" i="2"/>
  <c r="Z84" i="2"/>
  <c r="Z43" i="2"/>
  <c r="Z60" i="2"/>
  <c r="Z74" i="2"/>
  <c r="Z34" i="2"/>
  <c r="Z16" i="2"/>
  <c r="Z57" i="2"/>
  <c r="Z20" i="2"/>
  <c r="AF57" i="3"/>
  <c r="AF351" i="3"/>
  <c r="AO281" i="3"/>
  <c r="AO86" i="3"/>
  <c r="AO135" i="3"/>
  <c r="AF81" i="3"/>
  <c r="AF164" i="3"/>
  <c r="AO304" i="3"/>
  <c r="AO245" i="3"/>
  <c r="AO305" i="3"/>
  <c r="AO205" i="3"/>
  <c r="AO270" i="3"/>
  <c r="AF167" i="3"/>
  <c r="AF260" i="3"/>
  <c r="AF315" i="3"/>
  <c r="AF311" i="3"/>
  <c r="AF153" i="3"/>
  <c r="AF317" i="3"/>
  <c r="AF134" i="3"/>
  <c r="AF277" i="3"/>
  <c r="AF285" i="3"/>
  <c r="AF295" i="3"/>
  <c r="AF19" i="3"/>
  <c r="AF346" i="3"/>
  <c r="AF119" i="3"/>
  <c r="AF280" i="3"/>
  <c r="AO172" i="3"/>
  <c r="AO193" i="3"/>
  <c r="AO182" i="3"/>
  <c r="AO108" i="3"/>
  <c r="AO223" i="3"/>
  <c r="AF58" i="3"/>
  <c r="AO236" i="3"/>
  <c r="AO164" i="3"/>
  <c r="AO144" i="3"/>
  <c r="AO321" i="3"/>
  <c r="AO186" i="3"/>
  <c r="AO308" i="3"/>
  <c r="AF235" i="3"/>
  <c r="AF127" i="3"/>
  <c r="AF79" i="3"/>
  <c r="AO17" i="3"/>
  <c r="AX83" i="3"/>
  <c r="AV2" i="4"/>
  <c r="AO216" i="3"/>
  <c r="AF270" i="3"/>
  <c r="AF314" i="3"/>
  <c r="AF133" i="3"/>
  <c r="AF202" i="3"/>
  <c r="AF22" i="3"/>
  <c r="AF48" i="3"/>
  <c r="AF272" i="3"/>
  <c r="AX326" i="3"/>
  <c r="AX112" i="3"/>
  <c r="AF198" i="3"/>
  <c r="AF154" i="3"/>
  <c r="AX13" i="3"/>
  <c r="AX296" i="3"/>
  <c r="AX54" i="3"/>
  <c r="AX52" i="3"/>
  <c r="AX25" i="3"/>
  <c r="AX169" i="3"/>
  <c r="AX14" i="3"/>
  <c r="AX110" i="3"/>
  <c r="AX86" i="3"/>
  <c r="AX118" i="3"/>
  <c r="AX329" i="3"/>
  <c r="AX323" i="3"/>
  <c r="AX339" i="3"/>
  <c r="AX18" i="3"/>
  <c r="AX129" i="3"/>
  <c r="AX224" i="3"/>
  <c r="AX2" i="3"/>
  <c r="AX170" i="3"/>
  <c r="U2" i="4"/>
  <c r="AX179" i="3"/>
  <c r="AX245" i="3"/>
  <c r="AX276" i="3"/>
  <c r="AX263" i="3"/>
  <c r="AG123" i="3"/>
  <c r="AX56" i="3"/>
  <c r="AX330" i="3"/>
  <c r="AX208" i="3"/>
  <c r="AX134" i="3"/>
  <c r="AX153" i="3"/>
  <c r="AF65" i="3"/>
  <c r="AF293" i="3"/>
  <c r="AF316" i="3"/>
  <c r="AF208" i="3"/>
  <c r="AF71" i="3"/>
  <c r="AO254" i="3"/>
  <c r="AO26" i="3"/>
  <c r="W192" i="3"/>
  <c r="W79" i="3"/>
  <c r="W181" i="3"/>
  <c r="W173" i="3"/>
  <c r="AX228" i="3"/>
  <c r="AX262" i="3"/>
  <c r="AX247" i="3"/>
  <c r="AX47" i="3"/>
  <c r="AX212" i="3"/>
  <c r="AX292" i="3"/>
  <c r="AX348" i="3"/>
  <c r="AX7" i="3"/>
  <c r="AX221" i="3"/>
  <c r="AX234" i="3"/>
  <c r="AX44" i="3"/>
  <c r="AX291" i="3"/>
  <c r="W168" i="3"/>
  <c r="W162" i="3"/>
  <c r="W249" i="3"/>
  <c r="W339" i="3"/>
  <c r="W346" i="3"/>
  <c r="W314" i="3"/>
  <c r="W288" i="3"/>
  <c r="W327" i="3"/>
  <c r="W179" i="3"/>
  <c r="W250" i="3"/>
  <c r="W72" i="3"/>
  <c r="W270" i="3"/>
  <c r="W285" i="3"/>
  <c r="W350" i="3"/>
  <c r="W299" i="3"/>
  <c r="AX301" i="3"/>
  <c r="AX349" i="3"/>
  <c r="AX165" i="3"/>
  <c r="W109" i="3"/>
  <c r="W112" i="3"/>
  <c r="W233" i="3"/>
  <c r="W53" i="3"/>
  <c r="W244" i="3"/>
  <c r="AX141" i="3"/>
  <c r="W68" i="3"/>
  <c r="W36" i="3"/>
  <c r="W2" i="3"/>
  <c r="W193" i="3"/>
  <c r="W117" i="3"/>
  <c r="W103" i="3"/>
  <c r="AY18" i="3"/>
  <c r="AY47" i="3"/>
  <c r="AP75" i="3"/>
  <c r="AG261" i="3"/>
  <c r="X168" i="3"/>
  <c r="AP26" i="3"/>
  <c r="AG109" i="3"/>
  <c r="AP245" i="3"/>
  <c r="AY245" i="3"/>
  <c r="AG91" i="3"/>
  <c r="AP91" i="3"/>
  <c r="AP88" i="3"/>
  <c r="AG33" i="3"/>
  <c r="AG277" i="3"/>
  <c r="AY54" i="3"/>
  <c r="AG308" i="3"/>
  <c r="AP308" i="3"/>
  <c r="AY224" i="3"/>
  <c r="AG224" i="3"/>
  <c r="AG218" i="3"/>
  <c r="AG77" i="3"/>
  <c r="AG133" i="3"/>
  <c r="AG125" i="3"/>
  <c r="AG312" i="3"/>
  <c r="AP189" i="3"/>
  <c r="AG208" i="3"/>
  <c r="AY208" i="3"/>
  <c r="AY263" i="3"/>
  <c r="AG284" i="3"/>
  <c r="AY14" i="3"/>
  <c r="AY61" i="3"/>
  <c r="AG158" i="3"/>
  <c r="X121" i="3"/>
  <c r="AY296" i="3"/>
  <c r="AG48" i="3"/>
  <c r="AY329" i="3"/>
  <c r="AG226" i="3"/>
  <c r="AG353" i="3"/>
  <c r="AG108" i="3"/>
  <c r="AP108" i="3"/>
  <c r="AY129" i="3"/>
  <c r="AG106" i="3"/>
  <c r="AG205" i="3"/>
  <c r="AP205" i="3"/>
  <c r="AG81" i="3"/>
  <c r="AG236" i="3"/>
  <c r="AP236" i="3"/>
  <c r="V2" i="4"/>
  <c r="AE2" i="4"/>
  <c r="AN2" i="4"/>
  <c r="AW2" i="4"/>
  <c r="AG30" i="3" l="1"/>
  <c r="AG245" i="3"/>
  <c r="AX173" i="3"/>
  <c r="AF30" i="3"/>
  <c r="AX37" i="3"/>
  <c r="AX230" i="3"/>
  <c r="AG45" i="3"/>
  <c r="AF251" i="3"/>
  <c r="AF41" i="3"/>
  <c r="AF328" i="3"/>
  <c r="AF23" i="3"/>
  <c r="AG204" i="3"/>
  <c r="AX308" i="3"/>
  <c r="AX120" i="3"/>
  <c r="AY308" i="3"/>
  <c r="AX266" i="3"/>
  <c r="AX5" i="3"/>
  <c r="AX64" i="3"/>
  <c r="AF45" i="3"/>
  <c r="AF265" i="3"/>
  <c r="AF96" i="3"/>
  <c r="AF215" i="3"/>
  <c r="AF209" i="3"/>
  <c r="AF52" i="3"/>
  <c r="AF281" i="3"/>
  <c r="AF16" i="3"/>
  <c r="AF228" i="3"/>
  <c r="AF163" i="3"/>
  <c r="AF108" i="3"/>
  <c r="AF219" i="3"/>
  <c r="AF192" i="3"/>
  <c r="AF204" i="3"/>
  <c r="AF160" i="3"/>
  <c r="AF64" i="3"/>
  <c r="AF9" i="3"/>
  <c r="AF205" i="3"/>
  <c r="AF7" i="3"/>
  <c r="AF117" i="3"/>
  <c r="AF239" i="3"/>
  <c r="AF43" i="3"/>
  <c r="AF67" i="3"/>
  <c r="AF36" i="3"/>
  <c r="AF217" i="3"/>
  <c r="AF44" i="3"/>
  <c r="AF176" i="3"/>
  <c r="AF230" i="3"/>
  <c r="AF242" i="3"/>
  <c r="AF243" i="3"/>
  <c r="AF308" i="3"/>
  <c r="AF227" i="3"/>
  <c r="AF148" i="3"/>
  <c r="AF322" i="3"/>
  <c r="AF102" i="3"/>
  <c r="AF245" i="3"/>
  <c r="W100" i="3"/>
  <c r="AO250" i="3"/>
  <c r="AO88" i="3"/>
  <c r="AO147" i="3"/>
  <c r="AO244" i="3"/>
  <c r="AO183" i="3"/>
  <c r="AO157" i="3"/>
  <c r="AO98" i="3"/>
  <c r="AO298" i="3"/>
  <c r="AO247" i="3"/>
  <c r="AO35" i="3"/>
  <c r="AO13" i="3"/>
  <c r="AO179" i="3"/>
  <c r="AO185" i="3"/>
  <c r="AO110" i="3"/>
  <c r="AO239" i="3"/>
  <c r="AO188" i="3"/>
  <c r="AO91" i="3"/>
  <c r="AO214" i="3"/>
  <c r="AO121" i="3"/>
  <c r="AO253" i="3"/>
  <c r="AO262" i="3"/>
  <c r="AO243" i="3"/>
  <c r="AO36" i="3"/>
  <c r="AO138" i="3"/>
  <c r="AO206" i="3"/>
  <c r="AO10" i="3"/>
  <c r="AO201" i="3"/>
  <c r="AO107" i="3"/>
  <c r="AO316" i="3"/>
  <c r="AO117" i="3"/>
  <c r="AO313" i="3"/>
  <c r="AO60" i="3"/>
  <c r="AO149" i="3"/>
  <c r="AO290" i="3"/>
  <c r="AO268" i="3"/>
  <c r="AO109" i="3"/>
  <c r="AO190" i="3"/>
  <c r="AO29" i="3"/>
  <c r="AO259" i="3"/>
  <c r="AO161" i="3"/>
  <c r="AO163" i="3"/>
  <c r="AO331" i="3"/>
  <c r="AO350" i="3"/>
  <c r="AO293" i="3"/>
  <c r="AO257" i="3"/>
  <c r="AO345" i="3"/>
  <c r="AO63" i="3"/>
  <c r="AO34" i="3"/>
  <c r="AO74" i="3"/>
  <c r="AO291" i="3"/>
  <c r="AO294" i="3"/>
  <c r="AO224" i="3"/>
  <c r="AO280" i="3"/>
  <c r="AO191" i="3"/>
  <c r="AO178" i="3"/>
  <c r="AO338" i="3"/>
  <c r="AO275" i="3"/>
  <c r="AO342" i="3"/>
  <c r="AO227" i="3"/>
  <c r="AO132" i="3"/>
  <c r="AO218" i="3"/>
  <c r="AO341" i="3"/>
  <c r="AO152" i="3"/>
  <c r="AO153" i="3"/>
  <c r="AO323" i="3"/>
  <c r="AO322" i="3"/>
  <c r="AO211" i="3"/>
  <c r="AO249" i="3"/>
  <c r="AO84" i="3"/>
  <c r="AO87" i="3"/>
  <c r="AO220" i="3"/>
  <c r="AO301" i="3"/>
  <c r="AO177" i="3"/>
  <c r="AO198" i="3"/>
  <c r="AO150" i="3"/>
  <c r="AO75" i="3"/>
  <c r="AO69" i="3"/>
  <c r="AO97" i="3"/>
  <c r="AO56" i="3"/>
  <c r="AO312" i="3"/>
  <c r="AO189" i="3"/>
  <c r="AO330" i="3"/>
  <c r="AO126" i="3"/>
  <c r="AO222" i="3"/>
  <c r="AO38" i="3"/>
  <c r="AO292" i="3"/>
  <c r="AO102" i="3"/>
  <c r="AO286" i="3"/>
  <c r="AO12" i="3"/>
  <c r="AO255" i="3"/>
  <c r="AO225" i="3"/>
  <c r="AF56" i="3"/>
  <c r="AY75" i="3"/>
  <c r="W317" i="3"/>
  <c r="AO174" i="3"/>
  <c r="AP174" i="3"/>
  <c r="W186" i="3"/>
  <c r="AY118" i="3"/>
  <c r="AY149" i="3"/>
  <c r="AX149" i="3"/>
  <c r="AF130" i="3"/>
  <c r="AF302" i="3"/>
  <c r="AF91" i="3"/>
  <c r="AF333" i="3"/>
  <c r="AF269" i="3"/>
  <c r="AF106" i="3"/>
  <c r="AF113" i="3"/>
  <c r="AF74" i="3"/>
  <c r="AF116" i="3"/>
  <c r="AF85" i="3"/>
  <c r="AX202" i="3"/>
  <c r="X72" i="3"/>
  <c r="W318" i="3"/>
  <c r="AP180" i="3"/>
  <c r="AX96" i="3"/>
  <c r="W70" i="3"/>
  <c r="AX254" i="3"/>
  <c r="AX193" i="3"/>
  <c r="X318" i="3"/>
  <c r="AF93" i="3"/>
  <c r="AO30" i="3"/>
  <c r="AO80" i="3"/>
  <c r="AO261" i="3"/>
  <c r="AO85" i="3"/>
  <c r="AO348" i="3"/>
  <c r="AO335" i="3"/>
  <c r="AF196" i="3"/>
  <c r="AF203" i="3"/>
  <c r="AF136" i="3"/>
  <c r="AF261" i="3"/>
  <c r="AF345" i="3"/>
  <c r="AF291" i="3"/>
  <c r="AF262" i="3"/>
  <c r="AF276" i="3"/>
  <c r="AF240" i="3"/>
  <c r="AF138" i="3"/>
  <c r="AF173" i="3"/>
  <c r="AF109" i="3"/>
  <c r="AF332" i="3"/>
  <c r="AF244" i="3"/>
  <c r="AF267" i="3"/>
  <c r="AF37" i="3"/>
  <c r="AF248" i="3"/>
  <c r="AF121" i="3"/>
  <c r="AF326" i="3"/>
  <c r="AF132" i="3"/>
  <c r="AF122" i="3"/>
  <c r="AF84" i="3"/>
  <c r="AF184" i="3"/>
  <c r="AF76" i="3"/>
  <c r="AF218" i="3"/>
  <c r="AF299" i="3"/>
  <c r="AF336" i="3"/>
  <c r="AO346" i="3"/>
  <c r="W155" i="3"/>
  <c r="W324" i="3"/>
  <c r="X70" i="3"/>
  <c r="AG253" i="3"/>
  <c r="AY183" i="3"/>
  <c r="AX82" i="3"/>
  <c r="AO93" i="3"/>
  <c r="AO213" i="3"/>
  <c r="AO165" i="3"/>
  <c r="AO24" i="3"/>
  <c r="AO232" i="3"/>
  <c r="AO287" i="3"/>
  <c r="AO271" i="3"/>
  <c r="AO328" i="3"/>
  <c r="AO325" i="3"/>
  <c r="AO240" i="3"/>
  <c r="AO265" i="3"/>
  <c r="AO319" i="3"/>
  <c r="AO170" i="3"/>
  <c r="AO106" i="3"/>
  <c r="AO337" i="3"/>
  <c r="AO9" i="3"/>
  <c r="AO278" i="3"/>
  <c r="AO197" i="3"/>
  <c r="AO118" i="3"/>
  <c r="AO327" i="3"/>
  <c r="AO167" i="3"/>
  <c r="AO89" i="3"/>
  <c r="AO284" i="3"/>
  <c r="AO226" i="3"/>
  <c r="AO115" i="3"/>
  <c r="AO42" i="3"/>
  <c r="AO162" i="3"/>
  <c r="AO68" i="3"/>
  <c r="AO230" i="3"/>
  <c r="AO99" i="3"/>
  <c r="AO7" i="3"/>
  <c r="AO339" i="3"/>
  <c r="AO51" i="3"/>
  <c r="AO52" i="3"/>
  <c r="AO16" i="3"/>
  <c r="AO279" i="3"/>
  <c r="AO283" i="3"/>
  <c r="AO95" i="3"/>
  <c r="AO289" i="3"/>
  <c r="AO127" i="3"/>
  <c r="AO66" i="3"/>
  <c r="AO209" i="3"/>
  <c r="AO101" i="3"/>
  <c r="AO67" i="3"/>
  <c r="AO334" i="3"/>
  <c r="AO181" i="3"/>
  <c r="AO139" i="3"/>
  <c r="AO296" i="3"/>
  <c r="AO148" i="3"/>
  <c r="AO81" i="3"/>
  <c r="AO77" i="3"/>
  <c r="AO168" i="3"/>
  <c r="AG270" i="3"/>
  <c r="AG73" i="3"/>
  <c r="X270" i="3"/>
  <c r="AP270" i="3"/>
  <c r="AF3" i="3"/>
  <c r="AF349" i="3"/>
  <c r="AF68" i="3"/>
  <c r="AF175" i="3"/>
  <c r="AP171" i="3"/>
  <c r="AX287" i="3"/>
  <c r="AX209" i="3"/>
  <c r="AF166" i="3"/>
  <c r="AG166" i="3"/>
  <c r="AF256" i="3"/>
  <c r="AF98" i="3"/>
  <c r="AO204" i="3"/>
  <c r="AO173" i="3"/>
  <c r="AO199" i="3"/>
  <c r="W39" i="3"/>
  <c r="X54" i="3"/>
  <c r="AF300" i="3"/>
  <c r="AO140" i="3"/>
  <c r="AX187" i="3"/>
  <c r="W329" i="3"/>
  <c r="W280" i="3"/>
  <c r="W349" i="3"/>
  <c r="W54" i="3"/>
  <c r="AF233" i="3"/>
  <c r="AF17" i="3"/>
  <c r="AF258" i="3"/>
  <c r="AF156" i="3"/>
  <c r="AO326" i="3"/>
  <c r="AO264" i="3"/>
  <c r="AX41" i="3"/>
  <c r="AX158" i="3"/>
  <c r="AP17" i="3"/>
  <c r="AY2" i="3"/>
  <c r="AO23" i="3"/>
  <c r="AY344" i="3"/>
  <c r="AO242" i="3"/>
  <c r="W127" i="3"/>
  <c r="W231" i="3"/>
  <c r="AF42" i="3"/>
  <c r="AG329" i="3"/>
  <c r="AP260" i="3"/>
  <c r="AX344" i="3"/>
  <c r="AX220" i="3"/>
  <c r="AX203" i="3"/>
  <c r="AX87" i="3"/>
  <c r="AX283" i="3"/>
  <c r="AX85" i="3"/>
  <c r="AX207" i="3"/>
  <c r="AX74" i="3"/>
  <c r="AX298" i="3"/>
  <c r="AF329" i="3"/>
  <c r="AF33" i="3"/>
  <c r="AO131" i="3"/>
  <c r="AO90" i="3"/>
  <c r="AO133" i="3"/>
  <c r="AO136" i="3"/>
  <c r="AY339" i="3"/>
  <c r="AY134" i="3"/>
  <c r="AG266" i="3"/>
  <c r="AG65" i="3"/>
  <c r="AY30" i="3"/>
  <c r="X108" i="3"/>
  <c r="AY217" i="3"/>
  <c r="AG58" i="3"/>
  <c r="AG75" i="3"/>
  <c r="AG344" i="3"/>
  <c r="AG219" i="3"/>
  <c r="AG54" i="3"/>
  <c r="W290" i="3"/>
  <c r="X329" i="3"/>
  <c r="X311" i="3"/>
  <c r="W13" i="3"/>
  <c r="W312" i="3"/>
  <c r="W31" i="3"/>
  <c r="W305" i="3"/>
  <c r="W147" i="3"/>
  <c r="W267" i="3"/>
  <c r="W239" i="3"/>
  <c r="W199" i="3"/>
  <c r="W347" i="3"/>
  <c r="W67" i="3"/>
  <c r="X200" i="3"/>
  <c r="AX30" i="3"/>
  <c r="AX113" i="3"/>
  <c r="AX177" i="3"/>
  <c r="AX61" i="3"/>
  <c r="AX154" i="3"/>
  <c r="AX23" i="3"/>
  <c r="AP214" i="3"/>
  <c r="AP183" i="3"/>
  <c r="AO43" i="3"/>
  <c r="AO154" i="3"/>
  <c r="AO314" i="3"/>
  <c r="AO33" i="3"/>
  <c r="AY177" i="3"/>
  <c r="AG160" i="3"/>
  <c r="AO100" i="3"/>
  <c r="W200" i="3"/>
  <c r="AO241" i="3"/>
  <c r="X312" i="3"/>
  <c r="W311" i="3"/>
  <c r="AF180" i="3"/>
  <c r="X249" i="3"/>
  <c r="AG134" i="3"/>
  <c r="AF62" i="3"/>
  <c r="W227" i="3"/>
  <c r="AO3" i="3"/>
  <c r="AO83" i="3"/>
  <c r="AF273" i="3"/>
  <c r="AF89" i="3"/>
  <c r="AO50" i="3"/>
  <c r="AF54" i="3"/>
  <c r="AY158" i="3"/>
  <c r="AO44" i="3"/>
  <c r="AO343" i="3"/>
  <c r="AO194" i="3"/>
  <c r="X339" i="3"/>
  <c r="AF214" i="3"/>
  <c r="AG339" i="3"/>
  <c r="AO55" i="3"/>
  <c r="AO71" i="3"/>
  <c r="AO25" i="3"/>
  <c r="AO307" i="3"/>
  <c r="AO37" i="3"/>
  <c r="W279" i="3"/>
  <c r="W243" i="3"/>
  <c r="W140" i="3"/>
  <c r="AX95" i="3"/>
  <c r="AX125" i="3"/>
  <c r="AX79" i="3"/>
  <c r="AX152" i="3"/>
  <c r="AX39" i="3"/>
  <c r="AG41" i="3"/>
  <c r="X236" i="3"/>
  <c r="AP65" i="3"/>
  <c r="AG183" i="3"/>
  <c r="X171" i="3"/>
  <c r="AY221" i="3"/>
  <c r="W236" i="3"/>
  <c r="W171" i="3"/>
  <c r="AO65" i="3"/>
  <c r="AF169" i="3"/>
  <c r="AF77" i="3"/>
  <c r="AF221" i="3"/>
  <c r="AF337" i="3"/>
  <c r="AF343" i="3"/>
  <c r="AF223" i="3"/>
  <c r="AF13" i="3"/>
  <c r="AF63" i="3"/>
  <c r="AF290" i="3"/>
  <c r="AF186" i="3"/>
  <c r="AG92" i="3"/>
  <c r="AP334" i="3"/>
  <c r="AY348" i="3"/>
  <c r="AY125" i="3"/>
  <c r="AX217" i="3"/>
  <c r="AX150" i="3"/>
  <c r="W302" i="3"/>
  <c r="W276" i="3"/>
  <c r="AX127" i="3"/>
  <c r="AX94" i="3"/>
  <c r="AX167" i="3"/>
  <c r="AX137" i="3"/>
  <c r="AX175" i="3"/>
  <c r="AX246" i="3"/>
  <c r="AX210" i="3"/>
  <c r="AG233" i="3"/>
  <c r="AF24" i="3"/>
  <c r="AG17" i="3"/>
  <c r="AG2" i="3"/>
  <c r="X233" i="3"/>
  <c r="X2" i="3"/>
  <c r="AG214" i="3"/>
  <c r="AY214" i="3"/>
  <c r="AG80" i="3"/>
  <c r="X140" i="3"/>
  <c r="AX22" i="3"/>
  <c r="AX72" i="3"/>
  <c r="AX57" i="3"/>
  <c r="AX199" i="3"/>
  <c r="AX36" i="3"/>
  <c r="AX130" i="3"/>
  <c r="AX319" i="3"/>
  <c r="AX285" i="3"/>
  <c r="AX345" i="3"/>
  <c r="AX19" i="3"/>
  <c r="AX288" i="3"/>
  <c r="AX181" i="3"/>
  <c r="AX75" i="3"/>
  <c r="AX183" i="3"/>
  <c r="X61" i="3"/>
  <c r="W167" i="3"/>
  <c r="W240" i="3"/>
  <c r="W38" i="3"/>
  <c r="AG70" i="3"/>
  <c r="AX257" i="3"/>
  <c r="AX336" i="3"/>
  <c r="W61" i="3"/>
  <c r="AF268" i="3"/>
  <c r="AG26" i="3"/>
  <c r="AF46" i="3"/>
  <c r="AG255" i="3"/>
  <c r="AG268" i="3"/>
  <c r="AF149" i="3"/>
  <c r="AF115" i="3"/>
  <c r="AF55" i="3"/>
  <c r="AF104" i="3"/>
  <c r="AF114" i="3"/>
  <c r="AF82" i="3"/>
  <c r="AF38" i="3"/>
  <c r="X112" i="3"/>
  <c r="AG180" i="3"/>
  <c r="AP314" i="3"/>
  <c r="AY17" i="3"/>
  <c r="AP41" i="3"/>
  <c r="AG119" i="3"/>
  <c r="AG154" i="3"/>
  <c r="AY65" i="3"/>
  <c r="AY112" i="3"/>
  <c r="AY261" i="3"/>
  <c r="AG314" i="3"/>
  <c r="AP274" i="3"/>
  <c r="AY262" i="3"/>
  <c r="AX256" i="3"/>
  <c r="AX123" i="3"/>
  <c r="AX17" i="3"/>
  <c r="AX43" i="3"/>
  <c r="AX261" i="3"/>
  <c r="AX290" i="3"/>
  <c r="AX6" i="3"/>
  <c r="AX159" i="3"/>
  <c r="AX93" i="3"/>
  <c r="AY41" i="3"/>
  <c r="AY270" i="3"/>
  <c r="AX133" i="3"/>
  <c r="AX270" i="3"/>
  <c r="AY133" i="3"/>
  <c r="AX65" i="3"/>
  <c r="AP273" i="3"/>
  <c r="AO58" i="3"/>
  <c r="AO49" i="3"/>
  <c r="AO70" i="3"/>
  <c r="X250" i="3"/>
  <c r="W46" i="3"/>
  <c r="W134" i="3"/>
  <c r="W151" i="3"/>
  <c r="W205" i="3"/>
  <c r="W321" i="3"/>
  <c r="W135" i="3"/>
  <c r="W150" i="3"/>
  <c r="W287" i="3"/>
  <c r="AO311" i="3"/>
  <c r="AP70" i="3"/>
  <c r="AY174" i="3"/>
  <c r="AX106" i="3"/>
  <c r="AY90" i="3"/>
  <c r="AX282" i="3"/>
  <c r="AX242" i="3"/>
  <c r="AY218" i="3"/>
  <c r="AG101" i="3"/>
  <c r="AG176" i="3"/>
  <c r="AG303" i="3"/>
  <c r="AY154" i="3"/>
  <c r="AP138" i="3"/>
  <c r="AY244" i="3"/>
  <c r="AY68" i="3"/>
  <c r="AX222" i="3"/>
  <c r="AF350" i="3"/>
  <c r="AP154" i="3"/>
  <c r="W338" i="3"/>
  <c r="W203" i="3"/>
  <c r="AP311" i="3"/>
  <c r="AP133" i="3"/>
  <c r="AP47" i="3"/>
  <c r="AP92" i="3"/>
  <c r="X296" i="3"/>
  <c r="AX218" i="3"/>
  <c r="AX35" i="3"/>
  <c r="AX99" i="3"/>
  <c r="AX185" i="3"/>
  <c r="AX178" i="3"/>
  <c r="AX9" i="3"/>
  <c r="AX142" i="3"/>
  <c r="AX89" i="3"/>
  <c r="BC42" i="2"/>
  <c r="W296" i="3"/>
  <c r="X205" i="3"/>
  <c r="X244" i="3"/>
  <c r="W124" i="3"/>
  <c r="W170" i="3"/>
  <c r="W108" i="3"/>
  <c r="W198" i="3"/>
  <c r="W90" i="3"/>
  <c r="W210" i="3"/>
  <c r="W51" i="3"/>
  <c r="W326" i="3"/>
  <c r="W15" i="3"/>
  <c r="W281" i="3"/>
  <c r="W188" i="3"/>
  <c r="W194" i="3"/>
  <c r="W169" i="3"/>
  <c r="W35" i="3"/>
  <c r="W101" i="3"/>
  <c r="W105" i="3"/>
  <c r="W121" i="3"/>
  <c r="W230" i="3"/>
  <c r="W165" i="3"/>
  <c r="W264" i="3"/>
  <c r="W237" i="3"/>
  <c r="W113" i="3"/>
  <c r="W146" i="3"/>
  <c r="W116" i="3"/>
  <c r="W143" i="3"/>
  <c r="W225" i="3"/>
  <c r="AG258" i="3"/>
  <c r="AG259" i="3"/>
  <c r="AG273" i="3"/>
  <c r="AO92" i="3"/>
  <c r="AP127" i="3"/>
  <c r="AO103" i="3"/>
  <c r="AO45" i="3"/>
  <c r="AO130" i="3"/>
  <c r="AO217" i="3"/>
  <c r="AO274" i="3"/>
  <c r="AG262" i="3"/>
  <c r="AY238" i="3"/>
  <c r="AY60" i="3"/>
  <c r="AY305" i="3"/>
  <c r="AG310" i="3"/>
  <c r="AP25" i="3"/>
  <c r="X267" i="3"/>
  <c r="AG138" i="3"/>
  <c r="AP14" i="3"/>
  <c r="AY277" i="3"/>
  <c r="X258" i="3"/>
  <c r="AG87" i="3"/>
  <c r="AP259" i="3"/>
  <c r="AG5" i="3"/>
  <c r="AY288" i="3"/>
  <c r="AP101" i="3"/>
  <c r="X303" i="3"/>
  <c r="AY255" i="3"/>
  <c r="AX277" i="3"/>
  <c r="AY166" i="3"/>
  <c r="AX238" i="3"/>
  <c r="AY19" i="3"/>
  <c r="AX305" i="3"/>
  <c r="AX255" i="3"/>
  <c r="AX68" i="3"/>
  <c r="AX244" i="3"/>
  <c r="W258" i="3"/>
  <c r="X134" i="3"/>
  <c r="W33" i="3"/>
  <c r="X322" i="3"/>
  <c r="W303" i="3"/>
  <c r="W74" i="3"/>
  <c r="W32" i="3"/>
  <c r="W120" i="3"/>
  <c r="W111" i="3"/>
  <c r="X160" i="3"/>
  <c r="AY88" i="3"/>
  <c r="AX226" i="3"/>
  <c r="AX166" i="3"/>
  <c r="X124" i="3"/>
  <c r="AY87" i="3"/>
  <c r="X101" i="3"/>
  <c r="AG136" i="3"/>
  <c r="AG157" i="3"/>
  <c r="AP247" i="3"/>
  <c r="AP130" i="3"/>
  <c r="AP11" i="3"/>
  <c r="X173" i="3"/>
  <c r="AP40" i="3"/>
  <c r="AP258" i="3"/>
  <c r="AG343" i="3"/>
  <c r="X107" i="3"/>
  <c r="AY106" i="3"/>
  <c r="AY159" i="3"/>
  <c r="AY123" i="3"/>
  <c r="AX88" i="3"/>
  <c r="AX198" i="3"/>
  <c r="AX275" i="3"/>
  <c r="X90" i="3"/>
  <c r="W160" i="3"/>
  <c r="AY226" i="3"/>
  <c r="W289" i="3"/>
  <c r="AX337" i="3"/>
  <c r="AX97" i="3"/>
  <c r="AX182" i="3"/>
  <c r="AX211" i="3"/>
  <c r="AX204" i="3"/>
  <c r="AX227" i="3"/>
  <c r="AX53" i="3"/>
  <c r="AX11" i="3"/>
  <c r="AX194" i="3"/>
  <c r="AX307" i="3"/>
  <c r="AP186" i="3"/>
  <c r="AO351" i="3"/>
  <c r="AP85" i="3"/>
  <c r="AP45" i="3"/>
  <c r="AY173" i="3"/>
  <c r="AG173" i="3"/>
  <c r="AY247" i="3"/>
  <c r="AG322" i="3"/>
  <c r="AP307" i="3"/>
  <c r="AY45" i="3"/>
  <c r="AP157" i="3"/>
  <c r="AY170" i="3"/>
  <c r="AG197" i="3"/>
  <c r="AY5" i="3"/>
  <c r="X288" i="3"/>
  <c r="AG288" i="3"/>
  <c r="AP107" i="3"/>
  <c r="X170" i="3"/>
  <c r="X199" i="3"/>
  <c r="AP235" i="3"/>
  <c r="AG27" i="3"/>
  <c r="AY108" i="3"/>
  <c r="AY29" i="3"/>
  <c r="AO105" i="3"/>
  <c r="AO288" i="3"/>
  <c r="AX32" i="3"/>
  <c r="AX104" i="3"/>
  <c r="AX45" i="3"/>
  <c r="AY11" i="3"/>
  <c r="AY204" i="3"/>
  <c r="AX46" i="3"/>
  <c r="AX232" i="3"/>
  <c r="AX260" i="3"/>
  <c r="AX252" i="3"/>
  <c r="AX67" i="3"/>
  <c r="W196" i="3"/>
  <c r="W133" i="3"/>
  <c r="AY199" i="3"/>
  <c r="AX216" i="3"/>
  <c r="AX108" i="3"/>
  <c r="X133" i="3"/>
  <c r="X186" i="3"/>
  <c r="AX268" i="3"/>
  <c r="AX29" i="3"/>
  <c r="AY81" i="3"/>
  <c r="AG235" i="3"/>
  <c r="AX302" i="3"/>
  <c r="AY85" i="3"/>
  <c r="AG85" i="3"/>
  <c r="AY268" i="3"/>
  <c r="AX81" i="3"/>
  <c r="W59" i="3"/>
  <c r="W81" i="3"/>
  <c r="W286" i="3"/>
  <c r="X347" i="3"/>
  <c r="AY53" i="3"/>
  <c r="AP182" i="3"/>
  <c r="AG155" i="3"/>
  <c r="AG94" i="3"/>
  <c r="AY212" i="3"/>
  <c r="AX289" i="3"/>
  <c r="AX131" i="3"/>
  <c r="AX151" i="3"/>
  <c r="AX156" i="3"/>
  <c r="AF83" i="3"/>
  <c r="AX271" i="3"/>
  <c r="AX51" i="3"/>
  <c r="AX303" i="3"/>
  <c r="AX69" i="3"/>
  <c r="AY347" i="3"/>
  <c r="AX206" i="3"/>
  <c r="AX49" i="3"/>
  <c r="AY131" i="3"/>
  <c r="AX225" i="3"/>
  <c r="AX347" i="3"/>
  <c r="X35" i="3"/>
  <c r="AP111" i="3"/>
  <c r="AY49" i="3"/>
  <c r="AG11" i="3"/>
  <c r="AY109" i="3"/>
  <c r="AX237" i="3"/>
  <c r="AY310" i="3"/>
  <c r="AY26" i="3"/>
  <c r="AG88" i="3"/>
  <c r="AG348" i="3"/>
  <c r="AG195" i="3"/>
  <c r="AG127" i="3"/>
  <c r="AY246" i="3"/>
  <c r="AY94" i="3"/>
  <c r="AP37" i="3"/>
  <c r="AG241" i="3"/>
  <c r="AY194" i="3"/>
  <c r="AY39" i="3"/>
  <c r="AG116" i="3"/>
  <c r="AY187" i="3"/>
  <c r="X239" i="3"/>
  <c r="X147" i="3"/>
  <c r="AG295" i="3"/>
  <c r="AG9" i="3"/>
  <c r="AG10" i="3"/>
  <c r="AK19" i="2"/>
  <c r="AX109" i="3"/>
  <c r="AX26" i="3"/>
  <c r="AX293" i="3"/>
  <c r="AY220" i="3"/>
  <c r="AX192" i="3"/>
  <c r="AX164" i="3"/>
  <c r="AF60" i="3"/>
  <c r="AP222" i="3"/>
  <c r="AY35" i="3"/>
  <c r="AY303" i="3"/>
  <c r="AY232" i="3"/>
  <c r="AX310" i="3"/>
  <c r="W204" i="3"/>
  <c r="X230" i="3"/>
  <c r="X117" i="3"/>
  <c r="AY37" i="3"/>
  <c r="AG117" i="3"/>
  <c r="X295" i="3"/>
  <c r="AY120" i="3"/>
  <c r="X111" i="3"/>
  <c r="AG35" i="3"/>
  <c r="AG230" i="3"/>
  <c r="AP35" i="3"/>
  <c r="AP246" i="3"/>
  <c r="X232" i="3"/>
  <c r="AP230" i="3"/>
  <c r="AY6" i="3"/>
  <c r="X155" i="3"/>
  <c r="AG53" i="3"/>
  <c r="AY230" i="3"/>
  <c r="X116" i="3"/>
  <c r="AY222" i="3"/>
  <c r="AY182" i="3"/>
  <c r="X241" i="3"/>
  <c r="AP239" i="3"/>
  <c r="AG187" i="3"/>
  <c r="AY127" i="3"/>
  <c r="AG239" i="3"/>
  <c r="AP335" i="3"/>
  <c r="X194" i="3"/>
  <c r="AY9" i="3"/>
  <c r="X259" i="3"/>
  <c r="AG114" i="3"/>
  <c r="AP49" i="3"/>
  <c r="AG49" i="3"/>
  <c r="AG120" i="3"/>
  <c r="X120" i="3"/>
  <c r="AG6" i="3"/>
  <c r="W269" i="3"/>
  <c r="W259" i="3"/>
  <c r="W152" i="3"/>
  <c r="W164" i="3"/>
  <c r="W263" i="3"/>
  <c r="W4" i="3"/>
  <c r="W297" i="3"/>
  <c r="AF20" i="3"/>
  <c r="AF159" i="3"/>
  <c r="AG349" i="3"/>
  <c r="AG71" i="3"/>
  <c r="AF189" i="3"/>
  <c r="AO22" i="3"/>
  <c r="AP39" i="3"/>
  <c r="AO196" i="3"/>
  <c r="AO318" i="3"/>
  <c r="AO228" i="3"/>
  <c r="AO82" i="3"/>
  <c r="AG293" i="3"/>
  <c r="AO113" i="3"/>
  <c r="AO282" i="3"/>
  <c r="AO46" i="3"/>
  <c r="AO267" i="3"/>
  <c r="AO237" i="3"/>
  <c r="AY10" i="3"/>
  <c r="AX279" i="3"/>
  <c r="AX24" i="3"/>
  <c r="AY59" i="3"/>
  <c r="AX10" i="3"/>
  <c r="X305" i="3"/>
  <c r="X4" i="3"/>
  <c r="W256" i="3"/>
  <c r="W89" i="3"/>
  <c r="W251" i="3"/>
  <c r="W330" i="3"/>
  <c r="AG4" i="3"/>
  <c r="AG98" i="3"/>
  <c r="W184" i="3"/>
  <c r="W275" i="3"/>
  <c r="W182" i="3"/>
  <c r="W336" i="3"/>
  <c r="W189" i="3"/>
  <c r="AO72" i="3"/>
  <c r="AO349" i="3"/>
  <c r="AF73" i="3"/>
  <c r="AF271" i="3"/>
  <c r="AF274" i="3"/>
  <c r="AF157" i="3"/>
  <c r="AF325" i="3"/>
  <c r="AF191" i="3"/>
  <c r="AG60" i="3"/>
  <c r="AP332" i="3"/>
  <c r="X188" i="3"/>
  <c r="X269" i="3"/>
  <c r="AG104" i="3"/>
  <c r="AY242" i="3"/>
  <c r="AY64" i="3"/>
  <c r="X81" i="3"/>
  <c r="AP33" i="3"/>
  <c r="AG254" i="3"/>
  <c r="AG175" i="3"/>
  <c r="AY349" i="3"/>
  <c r="X59" i="3"/>
  <c r="AY175" i="3"/>
  <c r="AP104" i="3"/>
  <c r="AP175" i="3"/>
  <c r="AY104" i="3"/>
  <c r="AP71" i="3"/>
  <c r="AP350" i="3"/>
  <c r="AY193" i="3"/>
  <c r="AP184" i="3"/>
  <c r="AP188" i="3"/>
  <c r="AG242" i="3"/>
  <c r="AG269" i="3"/>
  <c r="X33" i="3"/>
  <c r="AG110" i="3"/>
  <c r="AP64" i="3"/>
  <c r="AY293" i="3"/>
  <c r="AG64" i="3"/>
  <c r="X74" i="3"/>
  <c r="AP326" i="3"/>
  <c r="AG223" i="3"/>
  <c r="X39" i="3"/>
  <c r="AG39" i="3"/>
  <c r="AY254" i="3"/>
  <c r="AP254" i="3"/>
  <c r="AG249" i="3"/>
  <c r="AY25" i="3"/>
  <c r="AY307" i="3"/>
  <c r="AP50" i="3"/>
  <c r="AG8" i="3"/>
  <c r="X152" i="3"/>
  <c r="W261" i="3"/>
  <c r="AG347" i="3"/>
  <c r="AG140" i="3"/>
  <c r="AX251" i="3"/>
  <c r="AX42" i="3"/>
  <c r="AX320" i="3"/>
  <c r="AG311" i="3"/>
  <c r="AX59" i="3"/>
  <c r="AX196" i="3"/>
  <c r="W71" i="3"/>
  <c r="AF220" i="3"/>
  <c r="W161" i="3"/>
  <c r="W26" i="3"/>
  <c r="W99" i="3"/>
  <c r="X127" i="3"/>
  <c r="W84" i="3"/>
  <c r="X104" i="3"/>
  <c r="AG320" i="3"/>
  <c r="X123" i="3"/>
  <c r="AX77" i="3"/>
  <c r="AY273" i="3"/>
  <c r="AX272" i="3"/>
  <c r="AX350" i="3"/>
  <c r="AX311" i="3"/>
  <c r="AY107" i="3"/>
  <c r="AX63" i="3"/>
  <c r="AX27" i="3"/>
  <c r="AX161" i="3"/>
  <c r="AX71" i="3"/>
  <c r="AX236" i="3"/>
  <c r="X6" i="3"/>
  <c r="W104" i="3"/>
  <c r="X161" i="3"/>
  <c r="W85" i="3"/>
  <c r="X15" i="3"/>
  <c r="W45" i="3"/>
  <c r="X26" i="3"/>
  <c r="X100" i="3"/>
  <c r="W322" i="3"/>
  <c r="W73" i="3"/>
  <c r="W3" i="3"/>
  <c r="X251" i="3"/>
  <c r="X143" i="3"/>
  <c r="W139" i="3"/>
  <c r="W340" i="3"/>
  <c r="X195" i="3"/>
  <c r="AG61" i="3"/>
  <c r="AG22" i="3"/>
  <c r="AG23" i="3"/>
  <c r="AF320" i="3"/>
  <c r="AG156" i="3"/>
  <c r="AG217" i="3"/>
  <c r="W123" i="3"/>
  <c r="X73" i="3"/>
  <c r="X261" i="3"/>
  <c r="W195" i="3"/>
  <c r="X71" i="3"/>
  <c r="X225" i="3"/>
  <c r="AY71" i="3"/>
  <c r="AX273" i="3"/>
  <c r="AY311" i="3"/>
  <c r="AY27" i="3"/>
  <c r="AX107" i="3"/>
  <c r="AX248" i="3"/>
  <c r="AY236" i="3"/>
  <c r="AY77" i="3"/>
  <c r="AY320" i="3"/>
  <c r="AY206" i="3"/>
  <c r="AP255" i="3"/>
  <c r="AX231" i="3"/>
  <c r="AX281" i="3"/>
  <c r="AX338" i="3"/>
  <c r="AX91" i="3"/>
  <c r="AX304" i="3"/>
  <c r="AX66" i="3"/>
  <c r="AX265" i="3"/>
  <c r="AY161" i="3"/>
  <c r="AG346" i="3"/>
  <c r="AF237" i="3"/>
  <c r="AF70" i="3"/>
  <c r="AG251" i="3"/>
  <c r="AY251" i="3"/>
  <c r="AG152" i="3"/>
  <c r="AP152" i="3"/>
  <c r="AG128" i="3"/>
  <c r="AG142" i="3"/>
  <c r="AY152" i="3"/>
  <c r="X338" i="3"/>
  <c r="AY151" i="3"/>
  <c r="X50" i="3"/>
  <c r="AG143" i="3"/>
  <c r="AG350" i="3"/>
  <c r="AY350" i="3"/>
  <c r="X350" i="3"/>
  <c r="AY156" i="3"/>
  <c r="AY110" i="3"/>
  <c r="AP110" i="3"/>
  <c r="AG162" i="3"/>
  <c r="AG161" i="3"/>
  <c r="AP305" i="3"/>
  <c r="AG305" i="3"/>
  <c r="AG309" i="3"/>
  <c r="AG256" i="3"/>
  <c r="AG111" i="3"/>
  <c r="AP135" i="3"/>
  <c r="AY338" i="3"/>
  <c r="AG74" i="3"/>
  <c r="AY74" i="3"/>
  <c r="AG51" i="3"/>
  <c r="AY101" i="3"/>
  <c r="AG257" i="3"/>
  <c r="X326" i="3"/>
  <c r="AY326" i="3"/>
  <c r="X151" i="3"/>
  <c r="X346" i="3"/>
  <c r="AY314" i="3"/>
  <c r="AY91" i="3"/>
  <c r="AF12" i="3"/>
  <c r="AG18" i="3"/>
  <c r="AP325" i="3"/>
  <c r="AG338" i="3"/>
  <c r="AG307" i="3"/>
  <c r="AY197" i="3"/>
  <c r="X166" i="3"/>
  <c r="AY235" i="3"/>
  <c r="AX314" i="3"/>
  <c r="X212" i="3"/>
  <c r="AP331" i="3"/>
  <c r="AG278" i="3"/>
  <c r="AP345" i="3"/>
  <c r="X103" i="3"/>
  <c r="X321" i="3"/>
  <c r="AG121" i="3"/>
  <c r="AG221" i="3"/>
  <c r="AG300" i="3"/>
  <c r="X309" i="3"/>
  <c r="X189" i="3"/>
  <c r="AF103" i="3"/>
  <c r="AX197" i="3"/>
  <c r="AX235" i="3"/>
  <c r="AY89" i="3"/>
  <c r="AO297" i="3"/>
  <c r="AP294" i="3"/>
  <c r="AP16" i="3"/>
  <c r="AG12" i="3"/>
  <c r="AF92" i="3"/>
  <c r="AF338" i="3"/>
  <c r="X76" i="3"/>
  <c r="X182" i="3"/>
  <c r="W212" i="3"/>
  <c r="W166" i="3"/>
  <c r="W309" i="3"/>
  <c r="X336" i="3"/>
  <c r="W331" i="3"/>
  <c r="W44" i="3"/>
  <c r="W334" i="3"/>
  <c r="W50" i="3"/>
  <c r="W221" i="3"/>
  <c r="W308" i="3"/>
  <c r="W284" i="3"/>
  <c r="W93" i="3"/>
  <c r="W14" i="3"/>
  <c r="W156" i="3"/>
  <c r="W41" i="3"/>
  <c r="W190" i="3"/>
  <c r="W42" i="3"/>
  <c r="W298" i="3"/>
  <c r="W295" i="3"/>
  <c r="W307" i="3"/>
  <c r="W185" i="3"/>
  <c r="W348" i="3"/>
  <c r="W6" i="3"/>
  <c r="W34" i="3"/>
  <c r="W119" i="3"/>
  <c r="W262" i="3"/>
  <c r="W217" i="3"/>
  <c r="W95" i="3"/>
  <c r="W183" i="3"/>
  <c r="W328" i="3"/>
  <c r="X84" i="3"/>
  <c r="W248" i="3"/>
  <c r="W129" i="3"/>
  <c r="W136" i="3"/>
  <c r="W300" i="3"/>
  <c r="W209" i="3"/>
  <c r="W107" i="3"/>
  <c r="AY287" i="3"/>
  <c r="AG50" i="3"/>
  <c r="AY57" i="3"/>
  <c r="AG191" i="3"/>
  <c r="AG21" i="3"/>
  <c r="AG171" i="3"/>
  <c r="AG177" i="3"/>
  <c r="AG14" i="3"/>
  <c r="AP162" i="3"/>
  <c r="X135" i="3"/>
  <c r="AY345" i="3"/>
  <c r="X162" i="3"/>
  <c r="AG240" i="3"/>
  <c r="AG126" i="3"/>
  <c r="AP321" i="3"/>
  <c r="X92" i="3"/>
  <c r="X8" i="3"/>
  <c r="AP103" i="3"/>
  <c r="AG321" i="3"/>
  <c r="X263" i="3"/>
  <c r="X349" i="3"/>
  <c r="AP223" i="3"/>
  <c r="AG184" i="3"/>
  <c r="AG103" i="3"/>
  <c r="AG220" i="3"/>
  <c r="X290" i="3"/>
  <c r="AP12" i="3"/>
  <c r="X12" i="3"/>
  <c r="AY76" i="3"/>
  <c r="AG63" i="3"/>
  <c r="AG351" i="3"/>
  <c r="AP193" i="3"/>
  <c r="AY256" i="3"/>
  <c r="X256" i="3"/>
  <c r="AG16" i="3"/>
  <c r="AY266" i="3"/>
  <c r="X177" i="3"/>
  <c r="X273" i="3"/>
  <c r="X19" i="3"/>
  <c r="AG189" i="3"/>
  <c r="AG334" i="3"/>
  <c r="AP191" i="3"/>
  <c r="AP240" i="3"/>
  <c r="X240" i="3"/>
  <c r="AG89" i="3"/>
  <c r="X89" i="3"/>
  <c r="X197" i="3"/>
  <c r="X30" i="3"/>
  <c r="X204" i="3"/>
  <c r="X149" i="3"/>
  <c r="X345" i="3"/>
  <c r="AG118" i="3"/>
  <c r="X51" i="3"/>
  <c r="AP220" i="3"/>
  <c r="AP290" i="3"/>
  <c r="AG290" i="3"/>
  <c r="AY290" i="3"/>
  <c r="X310" i="3"/>
  <c r="X235" i="3"/>
  <c r="X314" i="3"/>
  <c r="AY202" i="3"/>
  <c r="AG159" i="3"/>
  <c r="AF171" i="3"/>
  <c r="AG325" i="3"/>
  <c r="AG326" i="3"/>
  <c r="W157" i="3"/>
  <c r="W197" i="3"/>
  <c r="W149" i="3"/>
  <c r="W92" i="3"/>
  <c r="W273" i="3"/>
  <c r="W345" i="3"/>
  <c r="X14" i="3"/>
  <c r="W8" i="3"/>
  <c r="W18" i="3"/>
  <c r="X300" i="3"/>
  <c r="X41" i="3"/>
  <c r="W19" i="3"/>
  <c r="X262" i="3"/>
  <c r="X156" i="3"/>
  <c r="X348" i="3"/>
  <c r="X217" i="3"/>
  <c r="X334" i="3"/>
  <c r="W214" i="3"/>
  <c r="X307" i="3"/>
  <c r="X284" i="3"/>
  <c r="W177" i="3"/>
  <c r="X119" i="3"/>
  <c r="X183" i="3"/>
  <c r="W235" i="3"/>
  <c r="X203" i="3"/>
  <c r="X308" i="3"/>
  <c r="X136" i="3"/>
  <c r="W30" i="3"/>
  <c r="W144" i="3"/>
  <c r="W316" i="3"/>
  <c r="X221" i="3"/>
  <c r="AY72" i="3"/>
  <c r="X285" i="3"/>
  <c r="X150" i="3"/>
  <c r="X330" i="3"/>
  <c r="AF158" i="3"/>
  <c r="W211" i="3"/>
  <c r="AY228" i="3"/>
  <c r="AO329" i="3"/>
  <c r="AP144" i="3"/>
  <c r="AG229" i="3"/>
  <c r="X82" i="3"/>
  <c r="AP213" i="3"/>
  <c r="X247" i="3"/>
  <c r="AY285" i="3"/>
  <c r="AY330" i="3"/>
  <c r="X46" i="3"/>
  <c r="AP185" i="3"/>
  <c r="AG139" i="3"/>
  <c r="X302" i="3"/>
  <c r="AY138" i="3"/>
  <c r="AP233" i="3"/>
  <c r="AP30" i="3"/>
  <c r="AP87" i="3"/>
  <c r="AP293" i="3"/>
  <c r="AP242" i="3"/>
  <c r="AP353" i="3"/>
  <c r="AP112" i="3"/>
  <c r="AP266" i="3"/>
  <c r="AP4" i="3"/>
  <c r="AP344" i="3"/>
  <c r="AP277" i="3"/>
  <c r="AP143" i="3"/>
  <c r="AP343" i="3"/>
  <c r="AP82" i="3"/>
  <c r="AP27" i="3"/>
  <c r="AP73" i="3"/>
  <c r="AP20" i="3"/>
  <c r="AP351" i="3"/>
  <c r="AP299" i="3"/>
  <c r="AP53" i="3"/>
  <c r="AP252" i="3"/>
  <c r="AP200" i="3"/>
  <c r="AP140" i="3"/>
  <c r="AP6" i="3"/>
  <c r="AP120" i="3"/>
  <c r="AY23" i="3"/>
  <c r="AP194" i="3"/>
  <c r="AP23" i="3"/>
  <c r="AP303" i="3"/>
  <c r="AP346" i="3"/>
  <c r="X49" i="3"/>
  <c r="X118" i="3"/>
  <c r="AP106" i="3"/>
  <c r="AP9" i="3"/>
  <c r="AO277" i="3"/>
  <c r="AP58" i="3"/>
  <c r="AP330" i="3"/>
  <c r="AP318" i="3"/>
  <c r="AO353" i="3"/>
  <c r="AG285" i="3"/>
  <c r="X185" i="3"/>
  <c r="AP15" i="3"/>
  <c r="AP285" i="3"/>
  <c r="AY185" i="3"/>
  <c r="AO233" i="3"/>
  <c r="AP218" i="3"/>
  <c r="AO73" i="3"/>
  <c r="AP329" i="3"/>
  <c r="AG76" i="3"/>
  <c r="AO344" i="3"/>
  <c r="AP177" i="3"/>
  <c r="AP136" i="3"/>
  <c r="AY63" i="3"/>
  <c r="AP98" i="3"/>
  <c r="AG46" i="3"/>
  <c r="AO6" i="3"/>
  <c r="AY225" i="3"/>
  <c r="AY46" i="3"/>
  <c r="AP80" i="3"/>
  <c r="AP170" i="3"/>
  <c r="AG202" i="3"/>
  <c r="AP139" i="3"/>
  <c r="AG225" i="3"/>
  <c r="AY150" i="3"/>
  <c r="X139" i="3"/>
  <c r="AP225" i="3"/>
  <c r="AG203" i="3"/>
  <c r="AP109" i="3"/>
  <c r="AP278" i="3"/>
  <c r="AY203" i="3"/>
  <c r="AP60" i="3"/>
  <c r="AO53" i="3"/>
  <c r="AP262" i="3"/>
  <c r="AO252" i="3"/>
  <c r="AY22" i="3"/>
  <c r="AP121" i="3"/>
  <c r="AP284" i="3"/>
  <c r="AP206" i="3"/>
  <c r="AP68" i="3"/>
  <c r="AP253" i="3"/>
  <c r="AP241" i="3"/>
  <c r="AP22" i="3"/>
  <c r="AP147" i="3"/>
  <c r="AP90" i="3"/>
  <c r="AP117" i="3"/>
  <c r="AO285" i="3"/>
  <c r="AP232" i="3"/>
  <c r="AP268" i="3"/>
  <c r="AP29" i="3"/>
  <c r="AO112" i="3"/>
  <c r="AP173" i="3"/>
  <c r="AO27" i="3"/>
  <c r="AP149" i="3"/>
  <c r="AP10" i="3"/>
  <c r="AP161" i="3"/>
  <c r="AP52" i="3"/>
  <c r="AG124" i="3"/>
  <c r="AF100" i="3"/>
  <c r="AF97" i="3"/>
  <c r="AF289" i="3"/>
  <c r="AG263" i="3"/>
  <c r="X272" i="3"/>
  <c r="X214" i="3"/>
  <c r="W118" i="3"/>
  <c r="W49" i="3"/>
  <c r="X45" i="3"/>
  <c r="W83" i="3"/>
  <c r="X252" i="3"/>
  <c r="W82" i="3"/>
  <c r="W319" i="3"/>
  <c r="X218" i="3"/>
  <c r="X64" i="3"/>
  <c r="X94" i="3"/>
  <c r="X159" i="3"/>
  <c r="W22" i="3"/>
  <c r="W125" i="3"/>
  <c r="X333" i="3"/>
  <c r="W207" i="3"/>
  <c r="X115" i="3"/>
  <c r="W115" i="3"/>
  <c r="AY219" i="3"/>
  <c r="AY295" i="3"/>
  <c r="AX353" i="3"/>
  <c r="AX269" i="3"/>
  <c r="AX101" i="3"/>
  <c r="AY253" i="3"/>
  <c r="AY136" i="3"/>
  <c r="AX342" i="3"/>
  <c r="AX105" i="3"/>
  <c r="AX146" i="3"/>
  <c r="AF125" i="3"/>
  <c r="AF263" i="3"/>
  <c r="AF225" i="3"/>
  <c r="AG100" i="3"/>
  <c r="AF303" i="3"/>
  <c r="AF259" i="3"/>
  <c r="AF353" i="3"/>
  <c r="AF288" i="3"/>
  <c r="AF187" i="3"/>
  <c r="X22" i="3"/>
  <c r="W159" i="3"/>
  <c r="X31" i="3"/>
  <c r="X176" i="3"/>
  <c r="AG82" i="3"/>
  <c r="W64" i="3"/>
  <c r="AX253" i="3"/>
  <c r="AG115" i="3"/>
  <c r="W247" i="3"/>
  <c r="AY272" i="3"/>
  <c r="AX295" i="3"/>
  <c r="AF10" i="3"/>
  <c r="W87" i="3"/>
  <c r="AF110" i="3"/>
  <c r="AG213" i="3"/>
  <c r="W218" i="3"/>
  <c r="AY142" i="3"/>
  <c r="W252" i="3"/>
  <c r="AX219" i="3"/>
  <c r="X18" i="3"/>
  <c r="AF146" i="3"/>
  <c r="X184" i="3"/>
  <c r="AY269" i="3"/>
  <c r="AG272" i="3"/>
  <c r="X157" i="3"/>
  <c r="X85" i="3"/>
  <c r="W208" i="3"/>
  <c r="AY52" i="3"/>
  <c r="AP228" i="3"/>
  <c r="W94" i="3"/>
  <c r="W176" i="3"/>
  <c r="W178" i="3"/>
  <c r="AG52" i="3"/>
  <c r="AY353" i="3"/>
  <c r="AG336" i="3"/>
  <c r="AF8" i="3"/>
  <c r="AP287" i="3"/>
  <c r="AY336" i="3"/>
  <c r="AG281" i="3"/>
  <c r="AX136" i="3"/>
  <c r="X287" i="3"/>
  <c r="AP229" i="3"/>
  <c r="AP31" i="3"/>
  <c r="AY82" i="3"/>
  <c r="W282" i="3"/>
  <c r="W215" i="3"/>
  <c r="W304" i="3"/>
  <c r="W283" i="3"/>
  <c r="W43" i="3"/>
  <c r="W206" i="3"/>
  <c r="W333" i="3"/>
  <c r="W138" i="3"/>
  <c r="X87" i="3"/>
  <c r="AF90" i="3"/>
  <c r="AP83" i="3"/>
  <c r="AP128" i="3"/>
  <c r="AG19" i="3"/>
  <c r="X277" i="3"/>
  <c r="AP201" i="3"/>
  <c r="AY337" i="3"/>
  <c r="AY346" i="3"/>
  <c r="AG286" i="3"/>
  <c r="AP219" i="3"/>
  <c r="AO123" i="3"/>
  <c r="AP224" i="3"/>
  <c r="AG215" i="3"/>
  <c r="W277" i="3"/>
  <c r="X206" i="3"/>
  <c r="AY271" i="3"/>
  <c r="AX264" i="3"/>
  <c r="AX346" i="3"/>
  <c r="AY147" i="3"/>
  <c r="AX190" i="3"/>
  <c r="AY113" i="3"/>
  <c r="AY97" i="3"/>
  <c r="AX147" i="3"/>
  <c r="AO309" i="3"/>
  <c r="AO208" i="3"/>
  <c r="AO169" i="3"/>
  <c r="AO47" i="3"/>
  <c r="AP123" i="3"/>
  <c r="AO141" i="3"/>
  <c r="AO215" i="3"/>
  <c r="AO175" i="3"/>
  <c r="AO79" i="3"/>
  <c r="AO340" i="3"/>
  <c r="AP251" i="3"/>
  <c r="AP124" i="3"/>
  <c r="AP61" i="3"/>
  <c r="AP131" i="3"/>
  <c r="W220" i="3"/>
  <c r="X242" i="3"/>
  <c r="AX280" i="3"/>
  <c r="AX135" i="3"/>
  <c r="AX84" i="3"/>
  <c r="AY252" i="3"/>
  <c r="AY239" i="3"/>
  <c r="AY98" i="3"/>
  <c r="AY294" i="3"/>
  <c r="AY260" i="3"/>
  <c r="X62" i="3"/>
  <c r="X210" i="3"/>
  <c r="AG42" i="3"/>
  <c r="AP216" i="3"/>
  <c r="AY188" i="3"/>
  <c r="AX33" i="3"/>
  <c r="AY162" i="3"/>
  <c r="AX180" i="3"/>
  <c r="AX100" i="3"/>
  <c r="AX78" i="3"/>
  <c r="AY186" i="3"/>
  <c r="AY321" i="3"/>
  <c r="AY116" i="3"/>
  <c r="AX148" i="3"/>
  <c r="AX186" i="3"/>
  <c r="AX188" i="3"/>
  <c r="AY84" i="3"/>
  <c r="AX267" i="3"/>
  <c r="AX116" i="3"/>
  <c r="AX98" i="3"/>
  <c r="AX155" i="3"/>
  <c r="AX294" i="3"/>
  <c r="AX321" i="3"/>
  <c r="AY135" i="3"/>
  <c r="AY33" i="3"/>
  <c r="AY180" i="3"/>
  <c r="AX239" i="3"/>
  <c r="AY100" i="3"/>
  <c r="AX162" i="3"/>
  <c r="AY207" i="3"/>
  <c r="AY155" i="3"/>
  <c r="AY51" i="3"/>
  <c r="AY43" i="3"/>
  <c r="X138" i="3"/>
  <c r="W242" i="3"/>
  <c r="X13" i="3"/>
  <c r="W257" i="3"/>
  <c r="W343" i="3"/>
  <c r="W325" i="3"/>
  <c r="W163" i="3"/>
  <c r="W268" i="3"/>
  <c r="W66" i="3"/>
  <c r="AG345" i="3"/>
  <c r="AG228" i="3"/>
  <c r="AG192" i="3"/>
  <c r="AO124" i="3"/>
  <c r="AP204" i="3"/>
  <c r="AO61" i="3"/>
  <c r="AP74" i="3"/>
  <c r="AT40" i="2"/>
  <c r="AP100" i="3"/>
  <c r="AP296" i="3"/>
  <c r="AP148" i="3"/>
  <c r="AP81" i="3"/>
  <c r="AO251" i="3"/>
  <c r="AP102" i="3"/>
  <c r="AP105" i="3"/>
  <c r="AG102" i="3"/>
  <c r="AP13" i="3"/>
  <c r="AG13" i="3"/>
  <c r="AG105" i="3"/>
  <c r="AY13" i="3"/>
  <c r="X105" i="3"/>
  <c r="AY105" i="3"/>
  <c r="X335" i="3"/>
  <c r="X281" i="3"/>
  <c r="AY281" i="3"/>
  <c r="AG43" i="3"/>
  <c r="AP281" i="3"/>
  <c r="AY192" i="3"/>
  <c r="AP43" i="3"/>
  <c r="X43" i="3"/>
  <c r="AY210" i="3"/>
  <c r="X207" i="3"/>
  <c r="AP207" i="3"/>
  <c r="AG62" i="3"/>
  <c r="AG337" i="3"/>
  <c r="X192" i="3"/>
  <c r="X113" i="3"/>
  <c r="AP337" i="3"/>
  <c r="X216" i="3"/>
  <c r="AG113" i="3"/>
  <c r="AY42" i="3"/>
  <c r="AP42" i="3"/>
  <c r="AY286" i="3"/>
  <c r="AY216" i="3"/>
  <c r="X286" i="3"/>
  <c r="AG216" i="3"/>
  <c r="AP271" i="3"/>
  <c r="AP286" i="3"/>
  <c r="AG271" i="3"/>
  <c r="X109" i="3"/>
  <c r="X53" i="3"/>
  <c r="X29" i="3"/>
  <c r="X58" i="3"/>
  <c r="W24" i="3"/>
  <c r="X325" i="3"/>
  <c r="X343" i="3"/>
  <c r="W29" i="3"/>
  <c r="W335" i="3"/>
  <c r="W58" i="3"/>
  <c r="X268" i="3"/>
  <c r="AP265" i="3"/>
  <c r="AP291" i="3"/>
  <c r="W77" i="3"/>
  <c r="W228" i="3"/>
  <c r="X275" i="3"/>
  <c r="AX160" i="3"/>
  <c r="AX174" i="3"/>
  <c r="AX163" i="3"/>
  <c r="AX306" i="3"/>
  <c r="AX240" i="3"/>
  <c r="AX184" i="3"/>
  <c r="X102" i="3"/>
  <c r="AP86" i="3"/>
  <c r="AG38" i="3"/>
  <c r="AY195" i="3"/>
  <c r="AG291" i="3"/>
  <c r="AG83" i="3"/>
  <c r="AG332" i="3"/>
  <c r="AG167" i="3"/>
  <c r="AY231" i="3"/>
  <c r="AY223" i="3"/>
  <c r="AY291" i="3"/>
  <c r="AY83" i="3"/>
  <c r="AY275" i="3"/>
  <c r="AY184" i="3"/>
  <c r="AG265" i="3"/>
  <c r="AX195" i="3"/>
  <c r="AY265" i="3"/>
  <c r="AY240" i="3"/>
  <c r="AY160" i="3"/>
  <c r="X215" i="3"/>
  <c r="AP275" i="3"/>
  <c r="AY86" i="3"/>
  <c r="X38" i="3"/>
  <c r="AP38" i="3"/>
  <c r="X83" i="3"/>
  <c r="X77" i="3"/>
  <c r="W102" i="3"/>
  <c r="X228" i="3"/>
  <c r="AF216" i="3"/>
  <c r="AF87" i="3"/>
  <c r="AF5" i="3"/>
  <c r="AF319" i="3"/>
  <c r="AF51" i="3"/>
  <c r="AX331" i="3"/>
  <c r="AY250" i="3"/>
  <c r="AG201" i="3"/>
  <c r="AG287" i="3"/>
  <c r="AO8" i="3"/>
  <c r="AP256" i="3"/>
  <c r="AY278" i="3"/>
  <c r="AX15" i="3"/>
  <c r="AU66" i="2"/>
  <c r="AO229" i="3"/>
  <c r="AY111" i="3"/>
  <c r="AX215" i="3"/>
  <c r="AF287" i="3"/>
  <c r="AF131" i="3"/>
  <c r="AF185" i="3"/>
  <c r="AF11" i="3"/>
  <c r="W222" i="3"/>
  <c r="W28" i="3"/>
  <c r="W27" i="3"/>
  <c r="W246" i="3"/>
  <c r="W56" i="3"/>
  <c r="W130" i="3"/>
  <c r="AO155" i="3"/>
  <c r="AO62" i="3"/>
  <c r="AP312" i="3"/>
  <c r="AP8" i="3"/>
  <c r="AO256" i="3"/>
  <c r="AP215" i="3"/>
  <c r="AY215" i="3"/>
  <c r="AX278" i="3"/>
  <c r="AY15" i="3"/>
  <c r="AX250" i="3"/>
  <c r="AY331" i="3"/>
  <c r="AY211" i="3"/>
  <c r="AG243" i="3"/>
  <c r="AG352" i="3"/>
  <c r="AG188" i="3"/>
  <c r="AG246" i="3"/>
  <c r="X144" i="3"/>
  <c r="AG144" i="3"/>
  <c r="AG231" i="3"/>
  <c r="X231" i="3"/>
  <c r="AY167" i="3"/>
  <c r="X167" i="3"/>
  <c r="AG211" i="3"/>
  <c r="X211" i="3"/>
  <c r="AP155" i="3"/>
  <c r="AP62" i="3"/>
  <c r="AF246" i="3"/>
  <c r="AG274" i="3"/>
  <c r="AF188" i="3"/>
  <c r="AF352" i="3"/>
  <c r="AG93" i="3"/>
  <c r="AX223" i="3"/>
  <c r="X222" i="3"/>
  <c r="AF318" i="3"/>
  <c r="AG169" i="3"/>
  <c r="X191" i="3"/>
  <c r="X344" i="3"/>
  <c r="AF118" i="3"/>
  <c r="AP134" i="3"/>
  <c r="X245" i="3"/>
  <c r="W313" i="3"/>
  <c r="AP217" i="3"/>
  <c r="AY318" i="3"/>
  <c r="AY351" i="3"/>
  <c r="AF294" i="3"/>
  <c r="AO317" i="3"/>
  <c r="X129" i="3"/>
  <c r="AY176" i="3"/>
  <c r="AX325" i="3"/>
  <c r="W7" i="3"/>
  <c r="AF304" i="3"/>
  <c r="AY62" i="3"/>
  <c r="AY201" i="3"/>
  <c r="AP202" i="3"/>
  <c r="AP18" i="3"/>
  <c r="AP158" i="3"/>
  <c r="AP269" i="3"/>
  <c r="AP76" i="3"/>
  <c r="X213" i="3"/>
  <c r="X40" i="3"/>
  <c r="AY229" i="3"/>
  <c r="AX8" i="3"/>
  <c r="AX312" i="3"/>
  <c r="AX317" i="3"/>
  <c r="AX60" i="3"/>
  <c r="AY21" i="3"/>
  <c r="AX157" i="3"/>
  <c r="AX111" i="3"/>
  <c r="AY128" i="3"/>
  <c r="AY335" i="3"/>
  <c r="AG84" i="3"/>
  <c r="AG222" i="3"/>
  <c r="AF165" i="3"/>
  <c r="AG147" i="3"/>
  <c r="AG47" i="3"/>
  <c r="AG107" i="3"/>
  <c r="AF234" i="3"/>
  <c r="AG238" i="3"/>
  <c r="AF141" i="3"/>
  <c r="AG168" i="3"/>
  <c r="AG232" i="3"/>
  <c r="AG186" i="3"/>
  <c r="AG28" i="3"/>
  <c r="AY237" i="3"/>
  <c r="AX21" i="3"/>
  <c r="AY157" i="3"/>
  <c r="AX122" i="3"/>
  <c r="AX20" i="3"/>
  <c r="AX38" i="3"/>
  <c r="AX309" i="3"/>
  <c r="AX143" i="3"/>
  <c r="AX229" i="3"/>
  <c r="AY312" i="3"/>
  <c r="AX102" i="3"/>
  <c r="AY8" i="3"/>
  <c r="AY300" i="3"/>
  <c r="AX70" i="3"/>
  <c r="AX316" i="3"/>
  <c r="AX324" i="3"/>
  <c r="AY325" i="3"/>
  <c r="AX128" i="3"/>
  <c r="AX140" i="3"/>
  <c r="AX62" i="3"/>
  <c r="AX201" i="3"/>
  <c r="AP59" i="3"/>
  <c r="AO19" i="3"/>
  <c r="AO78" i="3"/>
  <c r="AO142" i="3"/>
  <c r="W174" i="3"/>
  <c r="W254" i="3"/>
  <c r="W219" i="3"/>
  <c r="W232" i="3"/>
  <c r="X154" i="3"/>
  <c r="X57" i="3"/>
  <c r="X266" i="3"/>
  <c r="W110" i="3"/>
  <c r="W76" i="3"/>
  <c r="W272" i="3"/>
  <c r="X226" i="3"/>
  <c r="W352" i="3"/>
  <c r="W21" i="3"/>
  <c r="W158" i="3"/>
  <c r="W224" i="3"/>
  <c r="W98" i="3"/>
  <c r="W306" i="3"/>
  <c r="W301" i="3"/>
  <c r="W132" i="3"/>
  <c r="W40" i="3"/>
  <c r="X201" i="3"/>
  <c r="X332" i="3"/>
  <c r="X48" i="3"/>
  <c r="W91" i="3"/>
  <c r="W37" i="3"/>
  <c r="W213" i="3"/>
  <c r="X254" i="3"/>
  <c r="W344" i="3"/>
  <c r="X37" i="3"/>
  <c r="W245" i="3"/>
  <c r="W226" i="3"/>
  <c r="W154" i="3"/>
  <c r="X174" i="3"/>
  <c r="X27" i="3"/>
  <c r="W191" i="3"/>
  <c r="W266" i="3"/>
  <c r="W48" i="3"/>
  <c r="W332" i="3"/>
  <c r="X219" i="3"/>
  <c r="W57" i="3"/>
  <c r="X98" i="3"/>
  <c r="X224" i="3"/>
  <c r="W201" i="3"/>
  <c r="X91" i="3"/>
  <c r="AP89" i="3"/>
  <c r="AP288" i="3"/>
  <c r="AO202" i="3"/>
  <c r="AP153" i="3"/>
  <c r="AP142" i="3"/>
  <c r="AO18" i="3"/>
  <c r="AO158" i="3"/>
  <c r="AP208" i="3"/>
  <c r="AP115" i="3"/>
  <c r="AO269" i="3"/>
  <c r="AP197" i="3"/>
  <c r="AP167" i="3"/>
  <c r="AP150" i="3"/>
  <c r="AP226" i="3"/>
  <c r="AP199" i="3"/>
  <c r="AP244" i="3"/>
  <c r="AP348" i="3"/>
  <c r="AP113" i="3"/>
  <c r="AP323" i="3"/>
  <c r="AP309" i="3"/>
  <c r="AF206" i="3"/>
  <c r="AF66" i="3"/>
  <c r="AF222" i="3"/>
  <c r="AF107" i="3"/>
  <c r="AF147" i="3"/>
  <c r="AX318" i="3"/>
  <c r="AX300" i="3"/>
  <c r="AY309" i="3"/>
  <c r="AY143" i="3"/>
  <c r="AX335" i="3"/>
  <c r="AX351" i="3"/>
  <c r="AY302" i="3"/>
  <c r="AG132" i="3"/>
  <c r="AP280" i="3"/>
  <c r="X95" i="3"/>
  <c r="AP279" i="3"/>
  <c r="X93" i="3"/>
  <c r="AP243" i="3"/>
  <c r="X243" i="3"/>
  <c r="AP93" i="3"/>
  <c r="AY93" i="3"/>
  <c r="X3" i="3"/>
  <c r="AG302" i="3"/>
  <c r="AP132" i="3"/>
  <c r="AG96" i="3"/>
  <c r="X282" i="3"/>
  <c r="AP319" i="3"/>
  <c r="AY323" i="3"/>
  <c r="AP237" i="3"/>
  <c r="X237" i="3"/>
  <c r="AY169" i="3"/>
  <c r="X169" i="3"/>
  <c r="AP169" i="3"/>
  <c r="AG250" i="3"/>
  <c r="AG275" i="3"/>
  <c r="AG112" i="3"/>
  <c r="AG37" i="3"/>
  <c r="AX103" i="3"/>
  <c r="AX31" i="3"/>
  <c r="AX12" i="3"/>
  <c r="AX315" i="3"/>
  <c r="AY274" i="3"/>
  <c r="AX138" i="3"/>
  <c r="AX259" i="3"/>
  <c r="AX327" i="3"/>
  <c r="AY28" i="3"/>
  <c r="AY40" i="3"/>
  <c r="AX80" i="3"/>
  <c r="AG29" i="3"/>
  <c r="AF182" i="3"/>
  <c r="AF193" i="3"/>
  <c r="AF15" i="3"/>
  <c r="AF181" i="3"/>
  <c r="AG135" i="3"/>
  <c r="AG331" i="3"/>
  <c r="AF179" i="3"/>
  <c r="AG151" i="3"/>
  <c r="AP151" i="3"/>
  <c r="AP210" i="3"/>
  <c r="AP248" i="3"/>
  <c r="AP310" i="3"/>
  <c r="AP336" i="3"/>
  <c r="AP96" i="3"/>
  <c r="AP2" i="3"/>
  <c r="AY132" i="3"/>
  <c r="AY103" i="3"/>
  <c r="AY73" i="3"/>
  <c r="AY139" i="3"/>
  <c r="AY80" i="3"/>
  <c r="AY126" i="3"/>
  <c r="X227" i="3"/>
  <c r="AP301" i="3"/>
  <c r="X248" i="3"/>
  <c r="AG153" i="3"/>
  <c r="AP315" i="3"/>
  <c r="AY289" i="3"/>
  <c r="X316" i="3"/>
  <c r="AY69" i="3"/>
  <c r="AP292" i="3"/>
  <c r="AG78" i="3"/>
  <c r="AY298" i="3"/>
  <c r="X181" i="3"/>
  <c r="AY141" i="3"/>
  <c r="W341" i="3"/>
  <c r="W86" i="3"/>
  <c r="W229" i="3"/>
  <c r="X110" i="3"/>
  <c r="W148" i="3"/>
  <c r="W114" i="3"/>
  <c r="W5" i="3"/>
  <c r="W310" i="3"/>
  <c r="W153" i="3"/>
  <c r="X274" i="3"/>
  <c r="W202" i="3"/>
  <c r="W342" i="3"/>
  <c r="W141" i="3"/>
  <c r="W353" i="3"/>
  <c r="AO2" i="3"/>
  <c r="X229" i="3"/>
  <c r="X75" i="3"/>
  <c r="X86" i="3"/>
  <c r="AY153" i="3"/>
  <c r="AY282" i="3"/>
  <c r="AY38" i="3"/>
  <c r="AG319" i="3"/>
  <c r="AG15" i="3"/>
  <c r="AX139" i="3"/>
  <c r="AP282" i="3"/>
  <c r="AP289" i="3"/>
  <c r="X319" i="3"/>
  <c r="AX73" i="3"/>
  <c r="AG20" i="3"/>
  <c r="AG289" i="3"/>
  <c r="AY319" i="3"/>
  <c r="AY20" i="3"/>
  <c r="AG244" i="3"/>
  <c r="X289" i="3"/>
  <c r="AX40" i="3"/>
  <c r="AG182" i="3"/>
  <c r="AG267" i="3"/>
  <c r="X279" i="3"/>
  <c r="X246" i="3"/>
  <c r="AX28" i="3"/>
  <c r="X114" i="3"/>
  <c r="AY279" i="3"/>
  <c r="X158" i="3"/>
  <c r="AG193" i="3"/>
  <c r="AY31" i="3"/>
  <c r="AY301" i="3"/>
  <c r="AO248" i="3"/>
  <c r="AP250" i="3"/>
  <c r="AX274" i="3"/>
  <c r="AX132" i="3"/>
  <c r="W271" i="3"/>
  <c r="W106" i="3"/>
  <c r="AY12" i="3"/>
  <c r="AP168" i="3"/>
  <c r="AG69" i="3"/>
  <c r="AO151" i="3"/>
  <c r="AO210" i="3"/>
  <c r="AG181" i="3"/>
  <c r="AP95" i="3"/>
  <c r="AP181" i="3"/>
  <c r="AG95" i="3"/>
  <c r="AG141" i="3"/>
  <c r="AY181" i="3"/>
  <c r="AY95" i="3"/>
  <c r="X280" i="3"/>
  <c r="AY280" i="3"/>
  <c r="X141" i="3"/>
  <c r="AY292" i="3"/>
  <c r="AG318" i="3"/>
  <c r="AX126" i="3"/>
  <c r="AF135" i="3"/>
  <c r="AG185" i="3"/>
  <c r="AY316" i="3"/>
  <c r="AP316" i="3"/>
  <c r="AO310" i="3"/>
  <c r="AP276" i="3"/>
  <c r="AG280" i="3"/>
  <c r="AG316" i="3"/>
  <c r="AG248" i="3"/>
  <c r="AP341" i="3"/>
  <c r="AG298" i="3"/>
  <c r="AG315" i="3"/>
  <c r="AY227" i="3"/>
  <c r="AY248" i="3"/>
  <c r="W351" i="3"/>
  <c r="AF331" i="3"/>
  <c r="AF151" i="3"/>
  <c r="AP298" i="3"/>
  <c r="AY78" i="3"/>
  <c r="AY315" i="3"/>
  <c r="AG227" i="3"/>
  <c r="AO96" i="3"/>
  <c r="X298" i="3"/>
  <c r="AP78" i="3"/>
  <c r="AY96" i="3"/>
  <c r="AP3" i="3"/>
  <c r="AG3" i="3"/>
  <c r="AG237" i="3"/>
  <c r="AF137" i="3"/>
  <c r="AY259" i="3"/>
  <c r="X131" i="3"/>
  <c r="X128" i="3"/>
  <c r="AP57" i="3"/>
  <c r="AP125" i="3"/>
  <c r="AP159" i="3"/>
  <c r="X42" i="3"/>
  <c r="X47" i="3"/>
  <c r="X16" i="3"/>
  <c r="AP221" i="3"/>
  <c r="AP212" i="3"/>
  <c r="W78" i="3"/>
  <c r="W265" i="3"/>
  <c r="X88" i="3"/>
  <c r="W55" i="3"/>
  <c r="W9" i="3"/>
  <c r="X175" i="3"/>
  <c r="X331" i="3"/>
  <c r="W12" i="3"/>
  <c r="X320" i="3"/>
  <c r="X125" i="3"/>
  <c r="X260" i="3"/>
  <c r="W97" i="3"/>
  <c r="X96" i="3"/>
  <c r="W63" i="3"/>
  <c r="X202" i="3"/>
  <c r="AP126" i="3"/>
  <c r="AO57" i="3"/>
  <c r="X265" i="3"/>
  <c r="W320" i="3"/>
  <c r="X9" i="3"/>
  <c r="AP19" i="3"/>
  <c r="W88" i="3"/>
  <c r="W75" i="3"/>
  <c r="AP84" i="3"/>
  <c r="W260" i="3"/>
  <c r="X28" i="3"/>
  <c r="AO125" i="3"/>
  <c r="X153" i="3"/>
  <c r="W96" i="3"/>
  <c r="W131" i="3"/>
  <c r="X106" i="3"/>
  <c r="X21" i="3"/>
  <c r="X132" i="3"/>
  <c r="X352" i="3"/>
  <c r="X63" i="3"/>
  <c r="X271" i="3"/>
  <c r="AP63" i="3"/>
  <c r="AP77" i="3"/>
  <c r="AP261" i="3"/>
  <c r="X353" i="3"/>
  <c r="X220" i="3"/>
  <c r="W47" i="3"/>
  <c r="X301" i="3"/>
  <c r="W274" i="3"/>
  <c r="AP72" i="3"/>
  <c r="W16" i="3"/>
  <c r="W175" i="3"/>
  <c r="X5" i="3"/>
  <c r="X78" i="3"/>
  <c r="AP249" i="3"/>
  <c r="AP338" i="3"/>
  <c r="AP211" i="3"/>
  <c r="AO266" i="3"/>
  <c r="AP352" i="3"/>
  <c r="AG172" i="3"/>
  <c r="AP347" i="3"/>
  <c r="AY56" i="3"/>
  <c r="AY179" i="3"/>
  <c r="AY322" i="3"/>
  <c r="AX322" i="3"/>
  <c r="AY70" i="3"/>
  <c r="AF238" i="3"/>
  <c r="AG59" i="3"/>
  <c r="AG174" i="3"/>
  <c r="AG279" i="3"/>
  <c r="AF162" i="3"/>
  <c r="AF286" i="3"/>
  <c r="AX114" i="3"/>
  <c r="AF168" i="3"/>
  <c r="AF120" i="3"/>
  <c r="AF59" i="3"/>
  <c r="AF174" i="3"/>
  <c r="AF124" i="3"/>
  <c r="AF39" i="3"/>
  <c r="AF213" i="3"/>
  <c r="AF348" i="3"/>
  <c r="AF266" i="3"/>
  <c r="AF200" i="3"/>
  <c r="AO212" i="3"/>
  <c r="AO159" i="3"/>
  <c r="AP21" i="3"/>
  <c r="AO231" i="3"/>
  <c r="AP51" i="3"/>
  <c r="AO347" i="3"/>
  <c r="AP349" i="3"/>
  <c r="AP339" i="3"/>
  <c r="X340" i="3"/>
  <c r="AP160" i="3"/>
  <c r="W253" i="3"/>
  <c r="W11" i="3"/>
  <c r="W238" i="3"/>
  <c r="W23" i="3"/>
  <c r="X23" i="3"/>
  <c r="X342" i="3"/>
  <c r="W294" i="3"/>
  <c r="W137" i="3"/>
  <c r="X148" i="3"/>
  <c r="X313" i="3"/>
  <c r="AP264" i="3"/>
  <c r="AG342" i="3"/>
  <c r="AY342" i="3"/>
  <c r="AG276" i="3"/>
  <c r="X276" i="3"/>
  <c r="AY276" i="3"/>
  <c r="AP187" i="3"/>
  <c r="X293" i="3"/>
  <c r="AP5" i="3"/>
  <c r="AY148" i="3"/>
  <c r="AP302" i="3"/>
  <c r="AG148" i="3"/>
  <c r="AG179" i="3"/>
  <c r="AP179" i="3"/>
  <c r="X341" i="3"/>
  <c r="AP313" i="3"/>
  <c r="AG313" i="3"/>
  <c r="X179" i="3"/>
  <c r="X44" i="3"/>
  <c r="AP317" i="3"/>
  <c r="AG234" i="3"/>
  <c r="AP340" i="3"/>
  <c r="X180" i="3"/>
  <c r="AP172" i="3"/>
  <c r="AP56" i="3"/>
  <c r="AG56" i="3"/>
  <c r="X56" i="3"/>
  <c r="AO187" i="3"/>
  <c r="AP231" i="3"/>
  <c r="AO119" i="3"/>
  <c r="AO176" i="3"/>
  <c r="AO332" i="3"/>
  <c r="AO315" i="3"/>
  <c r="AO94" i="3"/>
  <c r="AO21" i="3"/>
  <c r="AX124" i="3"/>
  <c r="AF111" i="3"/>
  <c r="X255" i="3"/>
  <c r="W25" i="3"/>
  <c r="AG252" i="3"/>
  <c r="AG199" i="3"/>
  <c r="AY146" i="3"/>
  <c r="AP324" i="3"/>
  <c r="X32" i="3"/>
  <c r="AP297" i="3"/>
  <c r="AG198" i="3"/>
  <c r="AP209" i="3"/>
  <c r="AG165" i="3"/>
  <c r="AG34" i="3"/>
  <c r="X80" i="3"/>
  <c r="AF283" i="3"/>
  <c r="AX258" i="3"/>
  <c r="AY352" i="3"/>
  <c r="X193" i="3"/>
  <c r="AP28" i="3"/>
  <c r="AP195" i="3"/>
  <c r="AO129" i="3"/>
  <c r="X291" i="3"/>
  <c r="AP156" i="3"/>
  <c r="AF241" i="3"/>
  <c r="AP141" i="3"/>
  <c r="BC101" i="2"/>
  <c r="BD54" i="2"/>
  <c r="AF183" i="3"/>
  <c r="AF199" i="3"/>
  <c r="AF252" i="3"/>
  <c r="AF342" i="3"/>
  <c r="AF40" i="3"/>
  <c r="AF335" i="3"/>
  <c r="AF142" i="3"/>
  <c r="AF75" i="3"/>
  <c r="AF32" i="3"/>
  <c r="AF128" i="3"/>
  <c r="AY124" i="3"/>
  <c r="AF309" i="3"/>
  <c r="AX16" i="3"/>
  <c r="AX4" i="3"/>
  <c r="AY258" i="3"/>
  <c r="AX92" i="3"/>
  <c r="AX352" i="3"/>
  <c r="AX55" i="3"/>
  <c r="AY66" i="3"/>
  <c r="AY190" i="3"/>
  <c r="AX284" i="3"/>
  <c r="AF327" i="3"/>
  <c r="AF292" i="3"/>
  <c r="AG333" i="3"/>
  <c r="AF306" i="3"/>
  <c r="AF140" i="3"/>
  <c r="AO306" i="3"/>
  <c r="AO11" i="3"/>
  <c r="AO221" i="3"/>
  <c r="AP283" i="3"/>
  <c r="AP328" i="3"/>
  <c r="AO122" i="3"/>
  <c r="AO156" i="3"/>
  <c r="AP118" i="3"/>
  <c r="AO114" i="3"/>
  <c r="AP119" i="3"/>
  <c r="AP342" i="3"/>
  <c r="AP227" i="3"/>
  <c r="AO28" i="3"/>
  <c r="AO195" i="3"/>
  <c r="AP129" i="3"/>
  <c r="AP137" i="3"/>
  <c r="AP46" i="3"/>
  <c r="AO333" i="3"/>
  <c r="AP322" i="3"/>
  <c r="AP267" i="3"/>
  <c r="AP176" i="3"/>
  <c r="AP69" i="3"/>
  <c r="X24" i="3"/>
  <c r="X97" i="3"/>
  <c r="X7" i="3"/>
  <c r="X163" i="3"/>
  <c r="X327" i="3"/>
  <c r="X178" i="3"/>
  <c r="AO160" i="3"/>
  <c r="X257" i="3"/>
  <c r="X20" i="3"/>
  <c r="W216" i="3"/>
  <c r="X10" i="3"/>
  <c r="W291" i="3"/>
  <c r="W234" i="3"/>
  <c r="W128" i="3"/>
  <c r="X25" i="3"/>
  <c r="X126" i="3"/>
  <c r="X52" i="3"/>
  <c r="W255" i="3"/>
  <c r="W180" i="3"/>
  <c r="X294" i="3"/>
  <c r="W69" i="3"/>
  <c r="W293" i="3"/>
  <c r="W20" i="3"/>
  <c r="X351" i="3"/>
  <c r="W10" i="3"/>
  <c r="X69" i="3"/>
  <c r="W80" i="3"/>
  <c r="W126" i="3"/>
  <c r="X328" i="3"/>
  <c r="X324" i="3"/>
  <c r="AP36" i="3"/>
  <c r="AG196" i="3"/>
  <c r="AG55" i="3"/>
  <c r="AP116" i="3"/>
  <c r="AG328" i="3"/>
  <c r="AY163" i="3"/>
  <c r="AG324" i="3"/>
  <c r="AP163" i="3"/>
  <c r="AP165" i="3"/>
  <c r="AY324" i="3"/>
  <c r="X68" i="3"/>
  <c r="AY130" i="3"/>
  <c r="AG299" i="3"/>
  <c r="AG163" i="3"/>
  <c r="X165" i="3"/>
  <c r="AY165" i="3"/>
  <c r="AG283" i="3"/>
  <c r="X283" i="3"/>
  <c r="AY283" i="3"/>
  <c r="AP327" i="3"/>
  <c r="AY327" i="3"/>
  <c r="AY234" i="3"/>
  <c r="AP97" i="3"/>
  <c r="AG97" i="3"/>
  <c r="AY164" i="3"/>
  <c r="AP333" i="3"/>
  <c r="AG24" i="3"/>
  <c r="AP24" i="3"/>
  <c r="AY24" i="3"/>
  <c r="X66" i="3"/>
  <c r="AP146" i="3"/>
  <c r="AG66" i="3"/>
  <c r="X146" i="3"/>
  <c r="AP66" i="3"/>
  <c r="AG297" i="3"/>
  <c r="AG137" i="3"/>
  <c r="AG146" i="3"/>
  <c r="AG209" i="3"/>
  <c r="X198" i="3"/>
  <c r="X297" i="3"/>
  <c r="X137" i="3"/>
  <c r="AY209" i="3"/>
  <c r="AY198" i="3"/>
  <c r="AY137" i="3"/>
  <c r="AP34" i="3"/>
  <c r="X209" i="3"/>
  <c r="AG44" i="3"/>
  <c r="AP178" i="3"/>
  <c r="AP190" i="3"/>
  <c r="AP198" i="3"/>
  <c r="AY32" i="3"/>
  <c r="X34" i="3"/>
  <c r="AY7" i="3"/>
  <c r="AP44" i="3"/>
  <c r="AY178" i="3"/>
  <c r="AG190" i="3"/>
  <c r="AG178" i="3"/>
  <c r="AG32" i="3"/>
  <c r="X190" i="3"/>
  <c r="AG7" i="3"/>
  <c r="AY44" i="3"/>
  <c r="AP7" i="3"/>
  <c r="AP32" i="3"/>
  <c r="AP238" i="3"/>
  <c r="AP164" i="3"/>
  <c r="AG164" i="3"/>
  <c r="X164" i="3"/>
  <c r="X55" i="3"/>
  <c r="AP55" i="3"/>
  <c r="AG68" i="3"/>
  <c r="AY196" i="3"/>
  <c r="AG130" i="3"/>
  <c r="AP196" i="3"/>
  <c r="X130" i="3"/>
  <c r="X196" i="3"/>
  <c r="X299" i="3"/>
  <c r="AG317" i="3"/>
  <c r="X317" i="3"/>
  <c r="AY317" i="3"/>
  <c r="AY257" i="3"/>
  <c r="AP257" i="3"/>
  <c r="AG36" i="3"/>
  <c r="X36" i="3"/>
  <c r="AY36" i="3"/>
  <c r="AP234" i="3"/>
  <c r="AP48" i="3"/>
  <c r="AO238" i="3"/>
  <c r="AP114" i="3"/>
  <c r="AO234" i="3"/>
  <c r="AO302" i="3"/>
  <c r="AX286" i="3"/>
  <c r="W62" i="3"/>
  <c r="AO59" i="3"/>
  <c r="AO5" i="3"/>
  <c r="X60" i="3"/>
  <c r="AP122" i="3"/>
  <c r="AG79" i="3"/>
  <c r="X67" i="3"/>
  <c r="AP99" i="3"/>
  <c r="X306" i="3"/>
  <c r="AP304" i="3"/>
  <c r="AY58" i="3"/>
  <c r="AY332" i="3"/>
  <c r="AY249" i="3"/>
  <c r="AG330" i="3"/>
  <c r="AY189" i="3"/>
  <c r="AG210" i="3"/>
  <c r="AG247" i="3"/>
  <c r="AG296" i="3"/>
  <c r="AG129" i="3"/>
  <c r="X292" i="3"/>
  <c r="AY144" i="3"/>
  <c r="AG341" i="3"/>
  <c r="AG25" i="3"/>
  <c r="X187" i="3"/>
  <c r="AY299" i="3"/>
  <c r="AY117" i="3"/>
  <c r="AY34" i="3"/>
  <c r="X65" i="3"/>
  <c r="X337" i="3"/>
  <c r="AG260" i="3"/>
  <c r="AY168" i="3"/>
  <c r="AY233" i="3"/>
  <c r="AG301" i="3"/>
  <c r="X264" i="3"/>
  <c r="AG323" i="3"/>
  <c r="AG150" i="3"/>
  <c r="AG31" i="3"/>
  <c r="AG99" i="3"/>
  <c r="X304" i="3"/>
  <c r="AG67" i="3"/>
  <c r="AG304" i="3"/>
  <c r="AY67" i="3"/>
  <c r="AY304" i="3"/>
  <c r="AY79" i="3"/>
  <c r="AP67" i="3"/>
  <c r="X79" i="3"/>
  <c r="AP320" i="3"/>
  <c r="AP203" i="3"/>
  <c r="AG340" i="3"/>
  <c r="AG72" i="3"/>
  <c r="AG57" i="3"/>
  <c r="AP306" i="3"/>
  <c r="AP79" i="3"/>
  <c r="AG306" i="3"/>
  <c r="AY306" i="3"/>
  <c r="AY99" i="3"/>
  <c r="X99" i="3"/>
  <c r="X122" i="3"/>
  <c r="AY172" i="3"/>
  <c r="AY171" i="3"/>
  <c r="AG122" i="3"/>
  <c r="AY122" i="3"/>
  <c r="AY264" i="3"/>
  <c r="AY48" i="3"/>
  <c r="AG264" i="3"/>
  <c r="X223" i="3"/>
  <c r="X278" i="3"/>
  <c r="W223" i="3"/>
  <c r="W122" i="3"/>
  <c r="X234" i="3"/>
  <c r="X238" i="3"/>
  <c r="W337" i="3"/>
  <c r="W65" i="3"/>
  <c r="W323" i="3"/>
  <c r="X208" i="3"/>
  <c r="W315" i="3"/>
  <c r="X172" i="3"/>
  <c r="W142" i="3"/>
  <c r="W241" i="3"/>
  <c r="W52" i="3"/>
  <c r="W17" i="3"/>
  <c r="X253" i="3"/>
  <c r="W60" i="3"/>
  <c r="W292" i="3"/>
  <c r="X11" i="3"/>
  <c r="X142" i="3"/>
  <c r="W172" i="3"/>
  <c r="X17" i="3"/>
  <c r="W187" i="3"/>
  <c r="X323" i="3"/>
  <c r="W278" i="3"/>
  <c r="X315" i="3"/>
  <c r="AO295" i="3"/>
  <c r="AO263" i="3"/>
  <c r="AP54" i="3"/>
  <c r="AO320" i="3"/>
  <c r="AP272" i="3"/>
  <c r="AO166" i="3"/>
  <c r="AO299" i="3"/>
  <c r="AO219" i="3"/>
  <c r="AP300" i="3"/>
  <c r="AO48" i="3"/>
  <c r="AO192" i="3"/>
  <c r="AO137" i="3"/>
  <c r="AO246" i="3"/>
  <c r="AO116" i="3"/>
  <c r="AP94" i="3"/>
  <c r="AX48" i="3"/>
  <c r="AX233" i="3"/>
  <c r="AY297" i="3"/>
  <c r="AX171" i="3"/>
  <c r="AX172" i="3"/>
  <c r="AX144" i="3"/>
  <c r="AY191" i="3"/>
  <c r="AY114" i="3"/>
  <c r="AX189" i="3"/>
  <c r="AY284" i="3"/>
  <c r="AX168" i="3"/>
  <c r="AY102" i="3"/>
  <c r="AX121" i="3"/>
  <c r="AY50" i="3"/>
  <c r="AY205" i="3"/>
  <c r="AX328" i="3"/>
  <c r="AX340" i="3"/>
  <c r="AY343" i="3"/>
  <c r="AY16" i="3"/>
  <c r="AX117" i="3"/>
  <c r="AX176" i="3"/>
  <c r="AX243" i="3"/>
  <c r="AY213" i="3"/>
  <c r="AX58" i="3"/>
  <c r="AX34" i="3"/>
  <c r="AY55" i="3"/>
  <c r="AY92" i="3"/>
  <c r="AX332" i="3"/>
  <c r="AX249" i="3"/>
  <c r="AY200" i="3"/>
  <c r="AX119" i="3"/>
  <c r="AX299" i="3"/>
  <c r="AX341" i="3"/>
  <c r="AY267" i="3"/>
  <c r="AX115" i="3"/>
  <c r="AY140" i="3"/>
  <c r="AX241" i="3"/>
  <c r="AX214" i="3"/>
  <c r="AX90" i="3"/>
  <c r="AX334" i="3"/>
  <c r="AY333" i="3"/>
  <c r="AY4" i="3"/>
  <c r="AX313" i="3"/>
  <c r="AG282" i="3"/>
  <c r="AG149" i="3"/>
  <c r="AG86" i="3"/>
  <c r="AF307" i="3"/>
  <c r="AF170" i="3"/>
  <c r="AG90" i="3"/>
  <c r="AG206" i="3"/>
  <c r="AF341" i="3"/>
  <c r="AK25" i="2"/>
  <c r="AF150" i="3"/>
  <c r="AG335" i="3"/>
  <c r="AG40" i="3"/>
  <c r="AG294" i="3"/>
  <c r="AF212" i="3"/>
  <c r="AG194" i="3"/>
  <c r="AF321" i="3"/>
  <c r="AF247" i="3"/>
  <c r="AF129" i="3"/>
  <c r="AF340" i="3"/>
  <c r="AG200" i="3"/>
  <c r="AF279" i="3"/>
  <c r="AG131" i="3"/>
  <c r="AF231" i="3"/>
  <c r="AG207" i="3"/>
  <c r="AF105" i="3"/>
  <c r="AF301" i="3"/>
  <c r="AX191" i="3"/>
  <c r="AY119" i="3"/>
  <c r="AY313" i="3"/>
  <c r="AY334" i="3"/>
  <c r="AX333" i="3"/>
  <c r="AY341" i="3"/>
  <c r="AY241" i="3"/>
  <c r="AY115" i="3"/>
  <c r="AX200" i="3"/>
  <c r="AY340" i="3"/>
  <c r="AY328" i="3"/>
  <c r="AX50" i="3"/>
  <c r="AX343" i="3"/>
  <c r="AY121" i="3"/>
  <c r="AX205" i="3"/>
  <c r="AY243" i="3"/>
  <c r="AX213" i="3"/>
  <c r="AX297" i="3"/>
  <c r="AG292" i="3"/>
  <c r="AG212" i="3"/>
  <c r="AG327" i="3"/>
  <c r="AG170" i="3"/>
  <c r="AF18" i="3"/>
  <c r="AF207" i="3"/>
  <c r="AF194" i="3"/>
  <c r="AF282" i="3"/>
  <c r="AF275" i="3"/>
  <c r="AP192" i="3"/>
  <c r="AO128" i="3"/>
  <c r="AP295" i="3"/>
  <c r="AO54" i="3"/>
  <c r="AP263" i="3"/>
  <c r="AO272" i="3"/>
  <c r="AP166" i="3"/>
  <c r="AO300" i="3"/>
  <c r="AO276" i="3"/>
  <c r="AU69" i="2"/>
  <c r="AF49" i="3"/>
  <c r="AF324" i="3"/>
  <c r="AF152" i="3"/>
  <c r="AF123" i="3"/>
  <c r="AF50" i="3"/>
  <c r="AF86" i="3"/>
  <c r="AF201" i="3"/>
  <c r="AF255" i="3"/>
  <c r="AF339" i="3"/>
  <c r="AF211" i="3"/>
  <c r="AF28" i="3"/>
  <c r="AF210" i="3"/>
  <c r="AF347" i="3"/>
  <c r="AF297" i="3"/>
  <c r="AF53" i="3"/>
  <c r="AF278" i="3"/>
  <c r="AF232" i="3"/>
  <c r="AF229" i="3"/>
  <c r="AF31" i="3"/>
  <c r="AF47" i="3"/>
  <c r="AF126" i="3"/>
  <c r="AF88" i="3"/>
  <c r="AF224" i="3"/>
  <c r="AF4" i="3"/>
  <c r="AF249" i="3"/>
  <c r="AF296" i="3"/>
  <c r="AF61" i="3"/>
  <c r="AF2" i="3"/>
  <c r="AF95" i="3"/>
  <c r="AF254" i="3"/>
  <c r="AF178" i="3"/>
  <c r="AF190" i="3"/>
  <c r="AF305" i="3"/>
  <c r="AF344" i="3"/>
  <c r="AF34" i="3"/>
  <c r="AF298" i="3"/>
  <c r="AF35" i="3"/>
  <c r="AF312" i="3"/>
  <c r="AF21" i="3"/>
  <c r="AF253" i="3"/>
  <c r="AF226" i="3"/>
  <c r="AF284" i="3"/>
  <c r="AF313" i="3"/>
  <c r="AF250" i="3"/>
  <c r="AF264" i="3"/>
  <c r="AF112" i="3"/>
  <c r="AF80" i="3"/>
  <c r="AF236" i="3"/>
  <c r="AF257" i="3"/>
  <c r="AF69" i="3"/>
  <c r="AF29" i="3"/>
  <c r="AF27" i="3"/>
  <c r="AF197" i="3"/>
  <c r="AF172" i="3"/>
  <c r="AF144" i="3"/>
  <c r="AF177" i="3"/>
  <c r="AF143" i="3"/>
  <c r="AF195" i="3"/>
  <c r="AF155" i="3"/>
  <c r="AF14" i="3"/>
  <c r="AF334" i="3"/>
  <c r="AF310" i="3"/>
  <c r="AF78" i="3"/>
  <c r="AF94" i="3"/>
  <c r="AF25" i="3"/>
  <c r="AF26" i="3"/>
  <c r="AF323" i="3"/>
  <c r="AF6" i="3"/>
  <c r="AF161" i="3"/>
  <c r="AF330" i="3"/>
  <c r="AF99" i="3"/>
  <c r="AF72" i="3"/>
  <c r="AF139" i="3"/>
  <c r="AV3" i="3"/>
  <c r="AO273" i="3"/>
  <c r="AO171" i="3"/>
  <c r="AO203" i="3"/>
  <c r="AO207" i="3"/>
  <c r="AO104" i="3"/>
  <c r="AO200" i="3"/>
  <c r="AO4" i="3"/>
  <c r="AO14" i="3"/>
  <c r="AO120" i="3"/>
  <c r="AO32" i="3"/>
  <c r="AO143" i="3"/>
  <c r="AO180" i="3"/>
  <c r="AO324" i="3"/>
  <c r="AO134" i="3"/>
  <c r="AT93" i="2"/>
  <c r="AO76" i="3"/>
  <c r="AO41" i="3"/>
  <c r="AO31" i="3"/>
  <c r="AO15" i="3"/>
  <c r="AO303" i="3"/>
  <c r="AO235" i="3"/>
  <c r="AO20" i="3"/>
  <c r="AO352" i="3"/>
  <c r="AO146" i="3"/>
  <c r="AO184" i="3"/>
  <c r="AO39" i="3"/>
  <c r="AO260" i="3"/>
  <c r="AO336" i="3"/>
  <c r="AO64" i="3"/>
  <c r="AO40" i="3"/>
  <c r="AO258" i="3"/>
  <c r="AL34" i="2"/>
  <c r="AU39" i="2"/>
  <c r="AK76" i="2"/>
  <c r="AL96" i="2"/>
  <c r="AU41" i="2"/>
  <c r="AT77" i="2"/>
  <c r="BD70" i="2"/>
  <c r="AT29" i="2"/>
  <c r="BC15" i="2"/>
  <c r="BD39" i="2"/>
  <c r="AU72" i="2"/>
  <c r="AU61" i="2"/>
  <c r="BC59" i="2"/>
  <c r="BC54" i="2"/>
  <c r="BC95" i="2"/>
  <c r="AU86" i="2"/>
  <c r="BC57" i="2"/>
  <c r="BD53" i="2"/>
  <c r="BC92" i="2"/>
  <c r="BC6" i="2"/>
  <c r="BC100" i="2"/>
  <c r="BD34" i="2"/>
  <c r="AU70" i="2"/>
  <c r="AC77" i="2"/>
  <c r="AL12" i="2"/>
  <c r="AC70" i="2"/>
  <c r="BC87" i="2"/>
  <c r="AK67" i="2"/>
  <c r="BD2" i="2"/>
  <c r="BC47" i="2"/>
  <c r="BD96" i="2"/>
  <c r="AC81" i="2"/>
  <c r="BC53" i="2"/>
  <c r="AU57" i="2"/>
  <c r="BC96" i="2"/>
  <c r="AL56" i="2"/>
  <c r="AL48" i="2"/>
  <c r="BC7" i="2"/>
  <c r="BD61" i="2"/>
  <c r="BC62" i="2"/>
  <c r="AC34" i="2"/>
  <c r="BD81" i="2"/>
  <c r="BD57" i="2"/>
  <c r="BD95" i="2"/>
  <c r="BD64" i="2"/>
  <c r="AC64" i="2"/>
  <c r="AL57" i="2"/>
  <c r="AL10" i="2"/>
  <c r="AU90" i="2"/>
  <c r="AL22" i="2"/>
  <c r="AU30" i="2"/>
  <c r="AC21" i="2"/>
  <c r="BD72" i="2"/>
  <c r="BD37" i="2"/>
  <c r="BC82" i="2"/>
  <c r="BD76" i="2"/>
  <c r="AL29" i="2"/>
  <c r="AB76" i="2"/>
  <c r="AT20" i="2"/>
  <c r="BC61" i="2"/>
  <c r="AB81" i="2"/>
  <c r="AB16" i="2"/>
  <c r="BC43" i="2"/>
  <c r="AU77" i="2"/>
  <c r="AL20" i="2"/>
  <c r="AU71" i="2"/>
  <c r="BC39" i="2"/>
  <c r="AU20" i="2"/>
  <c r="BC31" i="2"/>
  <c r="BC58" i="2"/>
  <c r="BD63" i="2"/>
  <c r="BD78" i="2"/>
  <c r="AC80" i="2"/>
  <c r="AB48" i="2"/>
  <c r="AU34" i="2"/>
  <c r="AB60" i="2"/>
  <c r="AU17" i="2"/>
  <c r="AC26" i="2"/>
  <c r="AB94" i="2"/>
  <c r="BC10" i="2"/>
  <c r="AT27" i="2"/>
  <c r="BC18" i="2"/>
  <c r="BD4" i="2"/>
  <c r="BC34" i="2"/>
  <c r="BC99" i="2"/>
  <c r="BC36" i="2"/>
  <c r="BC68" i="2"/>
  <c r="BD42" i="2"/>
  <c r="AL87" i="2"/>
  <c r="BD55" i="2"/>
  <c r="AL46" i="2"/>
  <c r="BD18" i="2"/>
  <c r="BD47" i="2"/>
  <c r="AC47" i="2"/>
  <c r="BD6" i="2"/>
  <c r="AC73" i="2"/>
  <c r="AL73" i="2"/>
  <c r="AU24" i="2"/>
  <c r="BD31" i="2"/>
  <c r="BD82" i="2"/>
  <c r="BD36" i="2"/>
  <c r="AC8" i="2"/>
  <c r="AL24" i="2"/>
  <c r="BC2" i="2"/>
  <c r="AL76" i="2"/>
  <c r="AL8" i="2"/>
  <c r="AC48" i="2"/>
  <c r="AB67" i="2"/>
  <c r="AL70" i="2"/>
  <c r="AT94" i="2"/>
  <c r="AU47" i="2"/>
  <c r="AK88" i="2"/>
  <c r="AL72" i="2"/>
  <c r="AL71" i="2"/>
  <c r="AC55" i="2"/>
  <c r="AC41" i="2"/>
  <c r="AL37" i="2"/>
  <c r="BC81" i="2"/>
  <c r="AB37" i="2"/>
  <c r="AL47" i="2"/>
  <c r="AL63" i="2"/>
  <c r="AU37" i="2"/>
  <c r="AL36" i="2"/>
  <c r="AK77" i="2"/>
  <c r="AL86" i="2"/>
  <c r="AU88" i="2"/>
  <c r="AT80" i="2"/>
  <c r="AB65" i="2"/>
  <c r="BD86" i="2"/>
  <c r="AU54" i="2"/>
  <c r="AK56" i="2"/>
  <c r="AC93" i="2"/>
  <c r="AL42" i="2"/>
  <c r="AL3" i="2"/>
  <c r="AU78" i="2"/>
  <c r="AC53" i="2"/>
  <c r="BD88" i="2"/>
  <c r="BD69" i="2"/>
  <c r="BC13" i="2"/>
  <c r="AB64" i="2"/>
  <c r="AB80" i="2"/>
  <c r="BC50" i="2"/>
  <c r="AL81" i="2"/>
  <c r="AU93" i="2"/>
  <c r="AL45" i="2"/>
  <c r="AL61" i="2"/>
  <c r="AL83" i="2"/>
  <c r="AL64" i="2"/>
  <c r="AK54" i="2"/>
  <c r="AK44" i="2"/>
  <c r="AK99" i="2"/>
  <c r="AU56" i="2"/>
  <c r="AK93" i="2"/>
  <c r="AL79" i="2"/>
  <c r="AK78" i="2"/>
  <c r="AL82" i="2"/>
  <c r="AC66" i="2"/>
  <c r="AC67" i="2"/>
  <c r="AB55" i="2"/>
  <c r="AB73" i="2"/>
  <c r="AC37" i="2"/>
  <c r="AC91" i="2"/>
  <c r="AC90" i="2"/>
  <c r="AB62" i="2"/>
  <c r="AC98" i="2"/>
  <c r="BD3" i="2"/>
  <c r="BD22" i="2"/>
  <c r="AC96" i="2"/>
  <c r="BD74" i="2"/>
  <c r="AL30" i="2"/>
  <c r="AL39" i="2"/>
  <c r="AU50" i="2"/>
  <c r="AB41" i="2"/>
  <c r="BD14" i="2"/>
  <c r="AK72" i="2"/>
  <c r="BD50" i="2"/>
  <c r="AK39" i="2"/>
  <c r="AU87" i="2"/>
  <c r="BC69" i="2"/>
  <c r="AU76" i="2"/>
  <c r="BD87" i="2"/>
  <c r="AL33" i="2"/>
  <c r="BC74" i="2"/>
  <c r="BC14" i="2"/>
  <c r="AL6" i="2"/>
  <c r="AL98" i="2"/>
  <c r="AB34" i="2"/>
  <c r="BD5" i="2"/>
  <c r="AT50" i="2"/>
  <c r="AL53" i="2"/>
  <c r="AC87" i="2"/>
  <c r="BC22" i="2"/>
  <c r="BC94" i="2"/>
  <c r="BC75" i="2"/>
  <c r="BC71" i="2"/>
  <c r="BC86" i="2"/>
  <c r="BC49" i="2"/>
  <c r="AC54" i="2"/>
  <c r="AC18" i="2"/>
  <c r="AC38" i="2"/>
  <c r="BD94" i="2"/>
  <c r="AB49" i="2"/>
  <c r="AU15" i="2"/>
  <c r="AC40" i="2"/>
  <c r="AU94" i="2"/>
  <c r="AC94" i="2"/>
  <c r="AL94" i="2"/>
  <c r="BD15" i="2"/>
  <c r="AU25" i="2"/>
  <c r="BC78" i="2"/>
  <c r="AC76" i="2"/>
  <c r="AB101" i="2"/>
  <c r="AB21" i="2"/>
  <c r="AC79" i="2"/>
  <c r="AB29" i="2"/>
  <c r="AU40" i="2"/>
  <c r="BC51" i="2"/>
  <c r="BC29" i="2"/>
  <c r="AC6" i="2"/>
  <c r="AC22" i="2"/>
  <c r="BD41" i="2"/>
  <c r="BC79" i="2"/>
  <c r="BD21" i="2"/>
  <c r="AC19" i="2"/>
  <c r="AL92" i="2"/>
  <c r="AC58" i="2"/>
  <c r="BC73" i="2"/>
  <c r="AT25" i="2"/>
  <c r="AU5" i="2"/>
  <c r="AU92" i="2"/>
  <c r="AU96" i="2"/>
  <c r="AU63" i="2"/>
  <c r="AL35" i="2"/>
  <c r="AL50" i="2"/>
  <c r="AC10" i="2"/>
  <c r="AU19" i="2"/>
  <c r="BD58" i="2"/>
  <c r="BD35" i="2"/>
  <c r="AU35" i="2"/>
  <c r="AU32" i="2"/>
  <c r="BD10" i="2"/>
  <c r="AU10" i="2"/>
  <c r="BD92" i="2"/>
  <c r="AC92" i="2"/>
  <c r="BC83" i="2"/>
  <c r="BC76" i="2"/>
  <c r="BD73" i="2"/>
  <c r="BD79" i="2"/>
  <c r="AL74" i="2"/>
  <c r="AT28" i="2"/>
  <c r="AU6" i="2"/>
  <c r="AU79" i="2"/>
  <c r="AT92" i="2"/>
  <c r="AU44" i="2"/>
  <c r="BC66" i="2"/>
  <c r="AB87" i="2"/>
  <c r="AL58" i="2"/>
  <c r="AC56" i="2"/>
  <c r="AC63" i="2"/>
  <c r="AU59" i="2"/>
  <c r="AL90" i="2"/>
  <c r="AU52" i="2"/>
  <c r="AU74" i="2"/>
  <c r="AL7" i="2"/>
  <c r="AL23" i="2"/>
  <c r="AK58" i="2"/>
  <c r="BD100" i="2"/>
  <c r="BC41" i="2"/>
  <c r="BC32" i="2"/>
  <c r="BC12" i="2"/>
  <c r="AB56" i="2"/>
  <c r="BD68" i="2"/>
  <c r="BD12" i="2"/>
  <c r="BD66" i="2"/>
  <c r="AL89" i="2"/>
  <c r="AU42" i="2"/>
  <c r="AC100" i="2"/>
  <c r="AU100" i="2"/>
  <c r="AL100" i="2"/>
  <c r="AC61" i="2"/>
  <c r="AL52" i="2"/>
  <c r="AL68" i="2"/>
  <c r="AB100" i="2"/>
  <c r="BD45" i="2"/>
  <c r="BD89" i="2"/>
  <c r="AU89" i="2"/>
  <c r="AU23" i="2"/>
  <c r="AL78" i="2"/>
  <c r="AT76" i="2"/>
  <c r="BD84" i="2"/>
  <c r="BD25" i="2"/>
  <c r="AB36" i="2"/>
  <c r="BC24" i="2"/>
  <c r="AL44" i="2"/>
  <c r="AB13" i="2"/>
  <c r="BC17" i="2"/>
  <c r="AB50" i="2"/>
  <c r="BD67" i="2"/>
  <c r="AL19" i="2"/>
  <c r="AB98" i="2"/>
  <c r="AU3" i="2"/>
  <c r="AU14" i="2"/>
  <c r="AL77" i="2"/>
  <c r="AL21" i="2"/>
  <c r="AL9" i="2"/>
  <c r="AL80" i="2"/>
  <c r="AL26" i="2"/>
  <c r="AL40" i="2"/>
  <c r="AL95" i="2"/>
  <c r="BD29" i="2"/>
  <c r="AC50" i="2"/>
  <c r="AC72" i="2"/>
  <c r="AC25" i="2"/>
  <c r="AC33" i="2"/>
  <c r="AB92" i="2"/>
  <c r="AB66" i="2"/>
  <c r="AB12" i="2"/>
  <c r="AC95" i="2"/>
  <c r="BC25" i="2"/>
  <c r="AC44" i="2"/>
  <c r="AB95" i="2"/>
  <c r="AB97" i="2"/>
  <c r="BC67" i="2"/>
  <c r="BC89" i="2"/>
  <c r="AK21" i="2"/>
  <c r="AU95" i="2"/>
  <c r="AC35" i="2"/>
  <c r="AK11" i="2"/>
  <c r="AL66" i="2"/>
  <c r="BC60" i="2"/>
  <c r="AU36" i="2"/>
  <c r="AU46" i="2"/>
  <c r="AU26" i="2"/>
  <c r="AU33" i="2"/>
  <c r="AU4" i="2"/>
  <c r="BD33" i="2"/>
  <c r="BC93" i="2"/>
  <c r="BC4" i="2"/>
  <c r="BC35" i="2"/>
  <c r="BC84" i="2"/>
  <c r="AC31" i="2"/>
  <c r="AB7" i="2"/>
  <c r="AC14" i="2"/>
  <c r="AC46" i="2"/>
  <c r="AC36" i="2"/>
  <c r="AC78" i="2"/>
  <c r="AB44" i="2"/>
  <c r="BC63" i="2"/>
  <c r="BD65" i="2"/>
  <c r="BD93" i="2"/>
  <c r="BC85" i="2"/>
  <c r="AK66" i="2"/>
  <c r="AT26" i="2"/>
  <c r="AT46" i="2"/>
  <c r="AU45" i="2"/>
  <c r="AU51" i="2"/>
  <c r="AU31" i="2"/>
  <c r="AT4" i="2"/>
  <c r="AU53" i="2"/>
  <c r="BD24" i="2"/>
  <c r="BD71" i="2"/>
  <c r="AB79" i="2"/>
  <c r="AB89" i="2"/>
  <c r="AB38" i="2"/>
  <c r="AB70" i="2"/>
  <c r="BC56" i="2"/>
  <c r="BC52" i="2"/>
  <c r="AC60" i="2"/>
  <c r="AC16" i="2"/>
  <c r="AB46" i="2"/>
  <c r="AB35" i="2"/>
  <c r="AB91" i="2"/>
  <c r="AC74" i="2"/>
  <c r="AB18" i="2"/>
  <c r="AB39" i="2"/>
  <c r="AB59" i="2"/>
  <c r="AB43" i="2"/>
  <c r="AC7" i="2"/>
  <c r="AL93" i="2"/>
  <c r="AL62" i="2"/>
  <c r="AL51" i="2"/>
  <c r="AL38" i="2"/>
  <c r="AL31" i="2"/>
  <c r="BD7" i="2"/>
  <c r="AU7" i="2"/>
  <c r="BD51" i="2"/>
  <c r="BD46" i="2"/>
  <c r="BD49" i="2"/>
  <c r="AL11" i="2"/>
  <c r="AU8" i="2"/>
  <c r="AU27" i="2"/>
  <c r="BD56" i="2"/>
  <c r="AU60" i="2"/>
  <c r="AU67" i="2"/>
  <c r="BD60" i="2"/>
  <c r="BD62" i="2"/>
  <c r="BD52" i="2"/>
  <c r="BC46" i="2"/>
  <c r="AB74" i="2"/>
  <c r="AL49" i="2"/>
  <c r="AL5" i="2"/>
  <c r="AL88" i="2"/>
  <c r="AL16" i="2"/>
  <c r="AU16" i="2"/>
  <c r="AU62" i="2"/>
  <c r="AC62" i="2"/>
  <c r="BC33" i="2"/>
  <c r="BD27" i="2"/>
  <c r="AC27" i="2"/>
  <c r="AC11" i="2"/>
  <c r="AB58" i="2"/>
  <c r="AL27" i="2"/>
  <c r="AC51" i="2"/>
  <c r="AC24" i="2"/>
  <c r="AC9" i="2"/>
  <c r="AC57" i="2"/>
  <c r="BC72" i="2"/>
  <c r="BD48" i="2"/>
  <c r="BD23" i="2"/>
  <c r="AU49" i="2"/>
  <c r="AC71" i="2"/>
  <c r="AB83" i="2"/>
  <c r="AB4" i="2"/>
  <c r="AB23" i="2"/>
  <c r="AB63" i="2"/>
  <c r="AB42" i="2"/>
  <c r="AC5" i="2"/>
  <c r="AL25" i="2"/>
  <c r="AL60" i="2"/>
  <c r="AU81" i="2"/>
  <c r="AU22" i="2"/>
  <c r="AU48" i="2"/>
  <c r="AU85" i="2"/>
  <c r="AU38" i="2"/>
  <c r="AU82" i="2"/>
  <c r="AU21" i="2"/>
  <c r="AU91" i="2"/>
  <c r="AU9" i="2"/>
  <c r="AT75" i="2"/>
  <c r="AU98" i="2"/>
  <c r="AU18" i="2"/>
  <c r="AT38" i="2"/>
  <c r="AT9" i="2"/>
  <c r="AU11" i="2"/>
  <c r="AC69" i="2"/>
  <c r="AC29" i="2"/>
  <c r="AB99" i="2"/>
  <c r="AB30" i="2"/>
  <c r="AB17" i="2"/>
  <c r="AB61" i="2"/>
  <c r="AB5" i="2"/>
  <c r="AC12" i="2"/>
  <c r="AC39" i="2"/>
  <c r="AC4" i="2"/>
  <c r="AC23" i="2"/>
  <c r="AC30" i="2"/>
  <c r="AB10" i="2"/>
  <c r="AB26" i="2"/>
  <c r="AB22" i="2"/>
  <c r="AK96" i="2"/>
  <c r="AL69" i="2"/>
  <c r="AL55" i="2"/>
  <c r="AK60" i="2"/>
  <c r="BC55" i="2"/>
  <c r="BC28" i="2"/>
  <c r="BC70" i="2"/>
  <c r="AU28" i="2"/>
  <c r="AL85" i="2"/>
  <c r="AL28" i="2"/>
  <c r="AC28" i="2"/>
  <c r="BD85" i="2"/>
  <c r="BC48" i="2"/>
  <c r="BC23" i="2"/>
  <c r="AB86" i="2"/>
  <c r="AC86" i="2"/>
  <c r="AB68" i="2"/>
  <c r="AC68" i="2"/>
  <c r="BD28" i="2"/>
  <c r="AB24" i="2"/>
  <c r="AL2" i="2"/>
  <c r="AK2" i="2"/>
  <c r="AK14" i="2"/>
  <c r="AL14" i="2"/>
  <c r="AU58" i="2"/>
  <c r="AB19" i="2"/>
  <c r="AB69" i="2"/>
  <c r="AB57" i="2"/>
  <c r="AT67" i="2"/>
  <c r="AB53" i="2"/>
  <c r="BC3" i="2"/>
  <c r="BC64" i="2"/>
  <c r="BC11" i="2"/>
  <c r="AB71" i="2"/>
  <c r="AB27" i="2"/>
  <c r="AC42" i="2"/>
  <c r="AB20" i="2"/>
  <c r="AB82" i="2"/>
  <c r="AB75" i="2"/>
  <c r="AB25" i="2"/>
  <c r="AB33" i="2"/>
  <c r="AB78" i="2"/>
  <c r="AB8" i="2"/>
  <c r="AB77" i="2"/>
  <c r="BC27" i="2"/>
  <c r="BD38" i="2"/>
  <c r="AU12" i="2"/>
  <c r="AL91" i="2"/>
  <c r="AC101" i="2"/>
  <c r="AU29" i="2"/>
  <c r="AU84" i="2"/>
  <c r="AU65" i="2"/>
  <c r="BD17" i="2"/>
  <c r="BD59" i="2"/>
  <c r="BC88" i="2"/>
  <c r="AB15" i="2"/>
  <c r="AC15" i="2"/>
  <c r="AB3" i="2"/>
  <c r="AC3" i="2"/>
  <c r="AB45" i="2"/>
  <c r="AC45" i="2"/>
  <c r="BC8" i="2"/>
  <c r="BD8" i="2"/>
  <c r="BC91" i="2"/>
  <c r="BD91" i="2"/>
  <c r="BC19" i="2"/>
  <c r="BD19" i="2"/>
  <c r="BC9" i="2"/>
  <c r="BD9" i="2"/>
  <c r="BD77" i="2"/>
  <c r="BC77" i="2"/>
  <c r="BC45" i="2"/>
  <c r="BC26" i="2"/>
  <c r="BD26" i="2"/>
  <c r="BC40" i="2"/>
  <c r="BD40" i="2"/>
  <c r="BC44" i="2"/>
  <c r="BD44" i="2"/>
  <c r="AC97" i="2"/>
  <c r="AU97" i="2"/>
  <c r="BD97" i="2"/>
  <c r="AL43" i="2"/>
  <c r="AC43" i="2"/>
  <c r="AU43" i="2"/>
  <c r="BD43" i="2"/>
  <c r="AC75" i="2"/>
  <c r="AU75" i="2"/>
  <c r="BD75" i="2"/>
  <c r="BD80" i="2"/>
  <c r="BC80" i="2"/>
  <c r="AT68" i="2"/>
  <c r="AU68" i="2"/>
  <c r="AL32" i="2"/>
  <c r="BD32" i="2"/>
  <c r="AC32" i="2"/>
  <c r="AU73" i="2"/>
  <c r="AL17" i="2"/>
  <c r="AC17" i="2"/>
  <c r="BD101" i="2"/>
  <c r="AU101" i="2"/>
  <c r="AL101" i="2"/>
  <c r="AL59" i="2"/>
  <c r="AB32" i="2"/>
  <c r="AC84" i="2"/>
  <c r="AL15" i="2"/>
  <c r="AL65" i="2"/>
  <c r="AB54" i="2"/>
  <c r="AL84" i="2"/>
  <c r="BC98" i="2"/>
  <c r="AC49" i="2"/>
  <c r="AB28" i="2"/>
  <c r="AU2" i="2"/>
  <c r="AB51" i="2"/>
  <c r="AB2" i="2"/>
  <c r="AC2" i="2"/>
  <c r="AU64" i="2"/>
  <c r="AT64" i="2"/>
  <c r="AB96" i="2"/>
  <c r="AB40" i="2"/>
  <c r="AB14" i="2"/>
  <c r="AB11" i="2"/>
  <c r="BC38" i="2"/>
  <c r="BC97" i="2"/>
  <c r="BC37" i="2"/>
  <c r="BC5" i="2"/>
  <c r="AC83" i="2"/>
  <c r="BC20" i="2"/>
  <c r="BD30" i="2"/>
  <c r="AB9" i="2"/>
  <c r="BC21" i="2"/>
  <c r="BD98" i="2"/>
  <c r="BC90" i="2"/>
  <c r="BD16" i="2"/>
  <c r="BC30" i="2"/>
  <c r="BD20" i="2"/>
  <c r="AU99" i="2"/>
  <c r="AU55" i="2"/>
  <c r="AU13" i="2"/>
  <c r="AC59" i="2"/>
  <c r="AL4" i="2"/>
  <c r="BD83" i="2"/>
  <c r="AU83" i="2"/>
  <c r="BD13" i="2"/>
  <c r="AC13" i="2"/>
  <c r="AL13" i="2"/>
  <c r="BD99" i="2"/>
  <c r="AC99" i="2"/>
  <c r="AL99" i="2"/>
  <c r="AK57" i="2"/>
  <c r="AK91" i="2"/>
  <c r="AL97" i="2"/>
  <c r="AL41" i="2"/>
  <c r="AL67" i="2"/>
  <c r="AK13" i="2"/>
  <c r="AL75" i="2"/>
  <c r="AL54" i="2"/>
  <c r="AL18" i="2"/>
  <c r="AB31" i="2"/>
  <c r="AB47" i="2"/>
  <c r="AB85" i="2"/>
  <c r="AC82" i="2"/>
  <c r="AB88" i="2"/>
  <c r="AB72" i="2"/>
  <c r="AC20" i="2"/>
  <c r="AB93" i="2"/>
  <c r="AB6" i="2"/>
  <c r="AB52" i="2"/>
  <c r="AB90" i="2"/>
  <c r="AC65" i="2"/>
  <c r="AK41" i="2"/>
  <c r="AC85" i="2"/>
  <c r="AC52" i="2"/>
  <c r="AK49" i="2"/>
  <c r="AT74" i="2"/>
  <c r="AU80" i="2"/>
  <c r="BC16" i="2"/>
  <c r="AB84" i="2"/>
  <c r="BC65" i="2"/>
  <c r="AC89" i="2"/>
  <c r="AK84" i="2"/>
  <c r="AK86" i="2"/>
  <c r="AC88" i="2"/>
  <c r="BD11" i="2"/>
  <c r="BD90" i="2"/>
  <c r="AT7" i="2"/>
  <c r="AT14" i="2"/>
  <c r="AT81" i="2"/>
  <c r="AT97" i="2"/>
  <c r="AT99" i="2"/>
  <c r="AT42" i="2"/>
  <c r="AT36" i="2"/>
  <c r="AT34" i="2"/>
  <c r="AT58" i="2"/>
  <c r="AT8" i="2"/>
  <c r="AT12" i="2"/>
  <c r="AT45" i="2"/>
  <c r="AT51" i="2"/>
  <c r="AT16" i="2"/>
  <c r="AT57" i="2"/>
  <c r="AT13" i="2"/>
  <c r="AT95" i="2"/>
  <c r="AT63" i="2"/>
  <c r="AT78" i="2"/>
  <c r="AT43" i="2"/>
  <c r="AT55" i="2"/>
  <c r="AT62" i="2"/>
  <c r="AT6" i="2"/>
  <c r="AT41" i="2"/>
  <c r="AT61" i="2"/>
  <c r="AT70" i="2"/>
  <c r="AT53" i="2"/>
  <c r="AT22" i="2"/>
  <c r="AT98" i="2"/>
  <c r="AT85" i="2"/>
  <c r="AT73" i="2"/>
  <c r="AT54" i="2"/>
  <c r="AT60" i="2"/>
  <c r="AT65" i="2"/>
  <c r="AT19" i="2"/>
  <c r="AT66" i="2"/>
  <c r="AT88" i="2"/>
  <c r="AT71" i="2"/>
  <c r="AT101" i="2"/>
  <c r="AT84" i="2"/>
  <c r="AT11" i="2"/>
  <c r="AT56" i="2"/>
  <c r="AT69" i="2"/>
  <c r="AT49" i="2"/>
  <c r="AT23" i="2"/>
  <c r="AT87" i="2"/>
  <c r="AT2" i="2"/>
  <c r="AT18" i="2"/>
  <c r="AT96" i="2"/>
  <c r="AT31" i="2"/>
  <c r="AT17" i="2"/>
  <c r="AT21" i="2"/>
  <c r="AT79" i="2"/>
  <c r="AT15" i="2"/>
  <c r="AT72" i="2"/>
  <c r="AT3" i="2"/>
  <c r="AT10" i="2"/>
  <c r="AT86" i="2"/>
  <c r="AT44" i="2"/>
  <c r="AT35" i="2"/>
  <c r="AT83" i="2"/>
  <c r="AT37" i="2"/>
  <c r="AT90" i="2"/>
  <c r="AT89" i="2"/>
  <c r="AT47" i="2"/>
  <c r="AT24" i="2"/>
  <c r="AT91" i="2"/>
  <c r="AT52" i="2"/>
  <c r="AT33" i="2"/>
  <c r="AT30" i="2"/>
  <c r="AT59" i="2"/>
  <c r="AT39" i="2"/>
  <c r="AT5" i="2"/>
  <c r="AT82" i="2"/>
  <c r="AT48" i="2"/>
  <c r="AT100" i="2"/>
  <c r="AT32" i="2"/>
  <c r="AK28" i="2"/>
  <c r="AK17" i="2"/>
  <c r="AK55" i="2"/>
  <c r="AK15" i="2"/>
  <c r="AK20" i="2"/>
  <c r="AK51" i="2"/>
  <c r="AK35" i="2"/>
  <c r="AK37" i="2"/>
  <c r="AK98" i="2"/>
  <c r="AK100" i="2"/>
  <c r="AK71" i="2"/>
  <c r="AK73" i="2"/>
  <c r="AK45" i="2"/>
  <c r="AK75" i="2"/>
  <c r="AK64" i="2"/>
  <c r="AK29" i="2"/>
  <c r="AK33" i="2"/>
  <c r="AK6" i="2"/>
  <c r="AK79" i="2"/>
  <c r="AK89" i="2"/>
  <c r="AK68" i="2"/>
  <c r="AK4" i="2"/>
  <c r="AK48" i="2"/>
  <c r="AK30" i="2"/>
  <c r="AK9" i="2"/>
  <c r="AK69" i="2"/>
  <c r="AK81" i="2"/>
  <c r="AK32" i="2"/>
  <c r="AK26" i="2"/>
  <c r="AK59" i="2"/>
  <c r="AK82" i="2"/>
  <c r="AK61" i="2"/>
  <c r="AK42" i="2"/>
  <c r="AK36" i="2"/>
  <c r="AK70" i="2"/>
  <c r="AK97" i="2"/>
  <c r="AK40" i="2"/>
  <c r="AK22" i="2"/>
  <c r="AK92" i="2"/>
  <c r="AK80" i="2"/>
  <c r="AK7" i="2"/>
  <c r="AK65" i="2"/>
  <c r="AK23" i="2"/>
  <c r="AK8" i="2"/>
  <c r="AK83" i="2"/>
  <c r="AK27" i="2"/>
  <c r="AK46" i="2"/>
  <c r="AK85" i="2"/>
  <c r="AK95" i="2"/>
  <c r="AK101" i="2"/>
  <c r="AK52" i="2"/>
  <c r="AK18" i="2"/>
  <c r="AK87" i="2"/>
  <c r="AK53" i="2"/>
  <c r="AK90" i="2"/>
  <c r="AK5" i="2"/>
  <c r="AK94" i="2"/>
  <c r="AK24" i="2"/>
  <c r="AK63" i="2"/>
  <c r="AK62" i="2"/>
  <c r="AK16" i="2"/>
  <c r="AK31" i="2"/>
  <c r="AK10" i="2"/>
  <c r="AK12" i="2"/>
  <c r="AK50" i="2"/>
  <c r="AK38" i="2"/>
  <c r="AK34" i="2"/>
  <c r="AK47" i="2"/>
  <c r="AK43" i="2"/>
  <c r="AK74" i="2"/>
  <c r="AK3" i="2"/>
  <c r="AX3" i="3"/>
  <c r="AY3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<sst xmlns="http://schemas.openxmlformats.org/spreadsheetml/2006/main" count="1826" uniqueCount="1010">
  <si>
    <t>SPX Index</t>
  </si>
  <si>
    <t>NYA Index</t>
  </si>
  <si>
    <t>RSP US Equity</t>
  </si>
  <si>
    <t>AAPL US Equity</t>
  </si>
  <si>
    <t>ABNB US Equity</t>
  </si>
  <si>
    <t>ADBE US Equity</t>
  </si>
  <si>
    <t>ADI US Equity</t>
  </si>
  <si>
    <t>ADP US Equity</t>
  </si>
  <si>
    <t>ADSK US Equity</t>
  </si>
  <si>
    <t>AEP US Equity</t>
  </si>
  <si>
    <t>ALKS US Equity</t>
  </si>
  <si>
    <t>ALNY US Equity</t>
  </si>
  <si>
    <t>AMAT US Equity</t>
  </si>
  <si>
    <t>AMCR US Equity</t>
  </si>
  <si>
    <t>AMD US Equity</t>
  </si>
  <si>
    <t>AMGN US Equity</t>
  </si>
  <si>
    <t>AMRZ US Equity</t>
  </si>
  <si>
    <t>AMZN US Equity</t>
  </si>
  <si>
    <t>APP US Equity</t>
  </si>
  <si>
    <t>APPN US Equity</t>
  </si>
  <si>
    <t>ARM US Equity</t>
  </si>
  <si>
    <t>ASML US Equity</t>
  </si>
  <si>
    <t>AVGO US Equity</t>
  </si>
  <si>
    <t>AXON US Equity</t>
  </si>
  <si>
    <t>BA US Equity</t>
  </si>
  <si>
    <t>BKR US Equity</t>
  </si>
  <si>
    <t>BLD US Equity</t>
  </si>
  <si>
    <t>CCEP US Equity</t>
  </si>
  <si>
    <t>CDNS US Equity</t>
  </si>
  <si>
    <t>CEG US Equity</t>
  </si>
  <si>
    <t>CHTR US Equity</t>
  </si>
  <si>
    <t>CMCSA US Equity</t>
  </si>
  <si>
    <t>CMS US Equity</t>
  </si>
  <si>
    <t>COST US Equity</t>
  </si>
  <si>
    <t>CPRT US Equity</t>
  </si>
  <si>
    <t>CRK US Equity</t>
  </si>
  <si>
    <t>CRWD US Equity</t>
  </si>
  <si>
    <t>CSCO US Equity</t>
  </si>
  <si>
    <t>CSGP US Equity</t>
  </si>
  <si>
    <t>CSX US Equity</t>
  </si>
  <si>
    <t>CTAS US Equity</t>
  </si>
  <si>
    <t>CTSH US Equity</t>
  </si>
  <si>
    <t>DASH US Equity</t>
  </si>
  <si>
    <t>DDOG US Equity</t>
  </si>
  <si>
    <t>DOCN US Equity</t>
  </si>
  <si>
    <t>DXCM US Equity</t>
  </si>
  <si>
    <t>EA US Equity</t>
  </si>
  <si>
    <t>EC US Equity</t>
  </si>
  <si>
    <t>EXC US Equity</t>
  </si>
  <si>
    <t>FANG US Equity</t>
  </si>
  <si>
    <t>FAST US Equity</t>
  </si>
  <si>
    <t>FER US Equity</t>
  </si>
  <si>
    <t>FIG US Equity</t>
  </si>
  <si>
    <t>FLNC US Equity</t>
  </si>
  <si>
    <t>FTNT US Equity</t>
  </si>
  <si>
    <t>GEHC US Equity</t>
  </si>
  <si>
    <t>GILD US Equity</t>
  </si>
  <si>
    <t>GLNG US Equity</t>
  </si>
  <si>
    <t>GOOGL US Equity</t>
  </si>
  <si>
    <t>HON US Equity</t>
  </si>
  <si>
    <t>IDXX US Equity</t>
  </si>
  <si>
    <t>INSM US Equity</t>
  </si>
  <si>
    <t>INSW US Equity</t>
  </si>
  <si>
    <t>INTC US Equity</t>
  </si>
  <si>
    <t>INTU US Equity</t>
  </si>
  <si>
    <t>ISRG US Equity</t>
  </si>
  <si>
    <t>JOE US Equity</t>
  </si>
  <si>
    <t>KDP US Equity</t>
  </si>
  <si>
    <t>KHC US Equity</t>
  </si>
  <si>
    <t>KLAC US Equity</t>
  </si>
  <si>
    <t>LIN US Equity</t>
  </si>
  <si>
    <t>LRCX US Equity</t>
  </si>
  <si>
    <t>MAR US Equity</t>
  </si>
  <si>
    <t>MCHP US Equity</t>
  </si>
  <si>
    <t>MDLZ US Equity</t>
  </si>
  <si>
    <t>MELI US Equity</t>
  </si>
  <si>
    <t>META US Equity</t>
  </si>
  <si>
    <t>MNST US Equity</t>
  </si>
  <si>
    <t>MPWR US Equity</t>
  </si>
  <si>
    <t>MRVL US Equity</t>
  </si>
  <si>
    <t>MSFT US Equity</t>
  </si>
  <si>
    <t>MSTR US Equity</t>
  </si>
  <si>
    <t>MU US Equity</t>
  </si>
  <si>
    <t>NEE US Equity</t>
  </si>
  <si>
    <t>NFLX US Equity</t>
  </si>
  <si>
    <t>NOW US Equity</t>
  </si>
  <si>
    <t>NTRA US Equity</t>
  </si>
  <si>
    <t>NU US Equity</t>
  </si>
  <si>
    <t>NVDA US Equity</t>
  </si>
  <si>
    <t>NVTS US Equity</t>
  </si>
  <si>
    <t>NXPI US Equity</t>
  </si>
  <si>
    <t>ODFL US Equity</t>
  </si>
  <si>
    <t>ONDS US Equity</t>
  </si>
  <si>
    <t>ORLY US Equity</t>
  </si>
  <si>
    <t>PANW US Equity</t>
  </si>
  <si>
    <t>PAYX US Equity</t>
  </si>
  <si>
    <t>PCAR US Equity</t>
  </si>
  <si>
    <t>PDD US Equity</t>
  </si>
  <si>
    <t>PEP US Equity</t>
  </si>
  <si>
    <t>PLTR US Equity</t>
  </si>
  <si>
    <t>PM US Equity</t>
  </si>
  <si>
    <t>PRMB US Equity</t>
  </si>
  <si>
    <t>PYPL US Equity</t>
  </si>
  <si>
    <t>QCOM US Equity</t>
  </si>
  <si>
    <t>QXO US Equity</t>
  </si>
  <si>
    <t>RBLX US Equity</t>
  </si>
  <si>
    <t>REAX US Equity</t>
  </si>
  <si>
    <t>REGN US Equity</t>
  </si>
  <si>
    <t>RKT US Equity</t>
  </si>
  <si>
    <t>ROP US Equity</t>
  </si>
  <si>
    <t>ROST US Equity</t>
  </si>
  <si>
    <t>SHOP US Equity</t>
  </si>
  <si>
    <t>SNOW US Equity</t>
  </si>
  <si>
    <t>SNPS US Equity</t>
  </si>
  <si>
    <t>STX US Equity</t>
  </si>
  <si>
    <t>SU US Equity</t>
  </si>
  <si>
    <t>TEAM US Equity</t>
  </si>
  <si>
    <t>TIC US Equity</t>
  </si>
  <si>
    <t>TIGR US Equity</t>
  </si>
  <si>
    <t>TMUS US Equity</t>
  </si>
  <si>
    <t>TRI US Equity</t>
  </si>
  <si>
    <t>TS US Equity</t>
  </si>
  <si>
    <t>TSLA US Equity</t>
  </si>
  <si>
    <t>TTAN US Equity</t>
  </si>
  <si>
    <t>TTWO US Equity</t>
  </si>
  <si>
    <t>TXN US Equity</t>
  </si>
  <si>
    <t>U US Equity</t>
  </si>
  <si>
    <t>USAR US Equity</t>
  </si>
  <si>
    <t>USLM US Equity</t>
  </si>
  <si>
    <t>VIST US Equity</t>
  </si>
  <si>
    <t>VRSK US Equity</t>
  </si>
  <si>
    <t>VRTX US Equity</t>
  </si>
  <si>
    <t>WDAY US Equity</t>
  </si>
  <si>
    <t>WDC US Equity</t>
  </si>
  <si>
    <t>WMT US Equity</t>
  </si>
  <si>
    <t>WTTR US Equity</t>
  </si>
  <si>
    <t>XEL US Equity</t>
  </si>
  <si>
    <t>XMTR US Equity</t>
  </si>
  <si>
    <t>YOU US Equity</t>
  </si>
  <si>
    <t>ZETA US Equity</t>
  </si>
  <si>
    <t>ZS US Equity</t>
  </si>
  <si>
    <t>AZ US Equity</t>
  </si>
  <si>
    <t>BW US Equity</t>
  </si>
  <si>
    <t>GLNCY US Equity</t>
  </si>
  <si>
    <t>UMAC US Equity</t>
  </si>
  <si>
    <t>ARGT US Equity</t>
  </si>
  <si>
    <t>EWZ US Equity</t>
  </si>
  <si>
    <t>GDX US Equity</t>
  </si>
  <si>
    <t>GDXJ US Equity</t>
  </si>
  <si>
    <t>ITA US Equity</t>
  </si>
  <si>
    <t>MSOS US Equity</t>
  </si>
  <si>
    <t>QTUM US Equity</t>
  </si>
  <si>
    <t>SERA US Equity</t>
  </si>
  <si>
    <t>URA US Equity</t>
  </si>
  <si>
    <t>ARKK US Equity</t>
  </si>
  <si>
    <t>BUZZ US Equity</t>
  </si>
  <si>
    <t>COLO US Equity</t>
  </si>
  <si>
    <t>ECH US Equity</t>
  </si>
  <si>
    <t>EPHE US Equity</t>
  </si>
  <si>
    <t>EPOL US Equity</t>
  </si>
  <si>
    <t>EWC US Equity</t>
  </si>
  <si>
    <t>EWG US Equity</t>
  </si>
  <si>
    <t>EWM US Equity</t>
  </si>
  <si>
    <t>EWW US Equity</t>
  </si>
  <si>
    <t>ITB US Equity</t>
  </si>
  <si>
    <t>IWM US Equity</t>
  </si>
  <si>
    <t>IWO US Equity</t>
  </si>
  <si>
    <t>IYT US Equity</t>
  </si>
  <si>
    <t>KWEB US Equity</t>
  </si>
  <si>
    <t>MTUM US Equity</t>
  </si>
  <si>
    <t>QQQ US Equity</t>
  </si>
  <si>
    <t>REMX US Equity</t>
  </si>
  <si>
    <t>SMH US Equity</t>
  </si>
  <si>
    <t>SPHB US Equity</t>
  </si>
  <si>
    <t>SPY US Equity</t>
  </si>
  <si>
    <t>TLT US Equity</t>
  </si>
  <si>
    <t>VXX US Equity</t>
  </si>
  <si>
    <t>XRT US Equity</t>
  </si>
  <si>
    <t>AERO SW Equity</t>
  </si>
  <si>
    <t>KURE US Equity</t>
  </si>
  <si>
    <t>SHLD US Equity</t>
  </si>
  <si>
    <t>#</t>
  </si>
  <si>
    <t>NAME</t>
  </si>
  <si>
    <t>INDUSTRY</t>
  </si>
  <si>
    <t>SECTOR</t>
  </si>
  <si>
    <t>SUBSECTOR</t>
  </si>
  <si>
    <t>COUNTRY</t>
  </si>
  <si>
    <t>MKT CAP ($ Billions)</t>
  </si>
  <si>
    <t>ANALYST RATING</t>
  </si>
  <si>
    <t>S&amp;P 500 INDEX</t>
  </si>
  <si>
    <t>UNITED STATES</t>
  </si>
  <si>
    <t>Metals &amp; Mining</t>
  </si>
  <si>
    <t>Apparel &amp; Textile Products</t>
  </si>
  <si>
    <t>Leisure Facilities &amp; Services</t>
  </si>
  <si>
    <t>Real Estate Services</t>
  </si>
  <si>
    <t>Automotive</t>
  </si>
  <si>
    <t>Retail - Discretionary</t>
  </si>
  <si>
    <t>Technology Hardware</t>
  </si>
  <si>
    <t>Beverages</t>
  </si>
  <si>
    <t>Transportation &amp; Logistics</t>
  </si>
  <si>
    <t>Internet Media &amp; Services</t>
  </si>
  <si>
    <t>Financials</t>
  </si>
  <si>
    <t>Financial Services</t>
  </si>
  <si>
    <t>Institutional Financial Svcs</t>
  </si>
  <si>
    <t>Biotech &amp; Pharma</t>
  </si>
  <si>
    <t>Commercial Support Services</t>
  </si>
  <si>
    <t>Machinery</t>
  </si>
  <si>
    <t>Semiconductors</t>
  </si>
  <si>
    <t>Software</t>
  </si>
  <si>
    <t>Diversified Industrials</t>
  </si>
  <si>
    <t>Wholesale - Consumer Staples</t>
  </si>
  <si>
    <t>Oil &amp; Gas Supply Chain</t>
  </si>
  <si>
    <t>Telecommunications</t>
  </si>
  <si>
    <t>Chemicals</t>
  </si>
  <si>
    <t>Entertainment Content</t>
  </si>
  <si>
    <t>Medical Equipment &amp; Devices</t>
  </si>
  <si>
    <t>Asset Management</t>
  </si>
  <si>
    <t>Electrical Equipment</t>
  </si>
  <si>
    <t>Banking</t>
  </si>
  <si>
    <t>Insurance</t>
  </si>
  <si>
    <t>Engineering &amp; Construction</t>
  </si>
  <si>
    <t>Tobacco &amp; Cannabis</t>
  </si>
  <si>
    <t>Oil &amp; Gas Services &amp; Equip</t>
  </si>
  <si>
    <t>Health Care Facilities &amp; Svcs</t>
  </si>
  <si>
    <t>Aerospace &amp; Defense</t>
  </si>
  <si>
    <t>Retail - Consumer Staples</t>
  </si>
  <si>
    <t>IT Services</t>
  </si>
  <si>
    <t>Specialty Finance</t>
  </si>
  <si>
    <t>Electric Utilities</t>
  </si>
  <si>
    <t>Consumer Services</t>
  </si>
  <si>
    <t>Food</t>
  </si>
  <si>
    <t>Industrial Support Services</t>
  </si>
  <si>
    <t>Transportation Equipment</t>
  </si>
  <si>
    <t>Containers &amp; Packaging</t>
  </si>
  <si>
    <t>Renewable Energy</t>
  </si>
  <si>
    <t>Construction Materials</t>
  </si>
  <si>
    <t>REIT</t>
  </si>
  <si>
    <t>Home Construction</t>
  </si>
  <si>
    <t>E-Commerce Discretionary</t>
  </si>
  <si>
    <t>Advertising &amp; Marketing</t>
  </si>
  <si>
    <t>Home &amp; Office Products</t>
  </si>
  <si>
    <t>ARK Innovation ETF</t>
  </si>
  <si>
    <t>Leisure Products</t>
  </si>
  <si>
    <t>Gas &amp; Water Utilities</t>
  </si>
  <si>
    <t>Cable &amp; Satellite</t>
  </si>
  <si>
    <t>Industrial Intermediate Prod</t>
  </si>
  <si>
    <t>Forestry, Paper &amp; Wood Products</t>
  </si>
  <si>
    <t>Publishing &amp; Broadcasting</t>
  </si>
  <si>
    <t>Household Products</t>
  </si>
  <si>
    <t>Steel</t>
  </si>
  <si>
    <t>Wholesale - Discretionary</t>
  </si>
  <si>
    <t>Real Estate Owners &amp; Developers</t>
  </si>
  <si>
    <t>AdvisorShares Pure US Cannabis ETF</t>
  </si>
  <si>
    <t>SPDR S&amp;P 500 ETF Trust</t>
  </si>
  <si>
    <t>SPDR S&amp;P Retail ETF</t>
  </si>
  <si>
    <t>RSI</t>
  </si>
  <si>
    <t>Diff RSI</t>
  </si>
  <si>
    <t>PX_LAST</t>
  </si>
  <si>
    <t>PX_LAST SPX</t>
  </si>
  <si>
    <t>PX_YEST_CLOSE</t>
  </si>
  <si>
    <t>PX_YEST_CLOSE_SPX</t>
  </si>
  <si>
    <t>R</t>
  </si>
  <si>
    <t>R (t-1)</t>
  </si>
  <si>
    <t>MA 50D</t>
  </si>
  <si>
    <t>MA 50D SPX</t>
  </si>
  <si>
    <t>MA 50D (t-1)</t>
  </si>
  <si>
    <t>MA 50D SPX (t-1)</t>
  </si>
  <si>
    <t>R MA 50D</t>
  </si>
  <si>
    <t>R MA 50D (t-1)</t>
  </si>
  <si>
    <t>RSI Indicator</t>
  </si>
  <si>
    <t>50D MA Signal</t>
  </si>
  <si>
    <t>MA 65D</t>
  </si>
  <si>
    <t>MA 65D SPX</t>
  </si>
  <si>
    <t>MA 65D (t-1)</t>
  </si>
  <si>
    <t>MA 65D SPX (t-1)</t>
  </si>
  <si>
    <t>R MA 65D</t>
  </si>
  <si>
    <t>R MA 65D (t-1)</t>
  </si>
  <si>
    <t>65D MA Signal</t>
  </si>
  <si>
    <t>MA 39W</t>
  </si>
  <si>
    <t>MA 39W SPX</t>
  </si>
  <si>
    <t>MA 39W (t-1)</t>
  </si>
  <si>
    <t>MA 39W SPX (t-1)</t>
  </si>
  <si>
    <t>R MA 39W</t>
  </si>
  <si>
    <t>R MA 39W (t-1)</t>
  </si>
  <si>
    <t>39W MA Signal</t>
  </si>
  <si>
    <t>EMA 100D</t>
  </si>
  <si>
    <t>EMA 100D SPX</t>
  </si>
  <si>
    <t>EMA 100D (t-1)</t>
  </si>
  <si>
    <t>EMA 100D SPX (t-1)</t>
  </si>
  <si>
    <t>R EMA 100D</t>
  </si>
  <si>
    <t>R EMA 100D (t-1)</t>
  </si>
  <si>
    <t>100D EMA Signal</t>
  </si>
  <si>
    <t>RSI 5 WEEKS</t>
  </si>
  <si>
    <t>MA 31D</t>
  </si>
  <si>
    <t>MA 200D</t>
  </si>
  <si>
    <t>DIST MA 31D</t>
  </si>
  <si>
    <t>DIST MA 50D</t>
  </si>
  <si>
    <t>DIST MA 200D</t>
  </si>
  <si>
    <t>RSI SPX</t>
  </si>
  <si>
    <t>MA 50D Cross</t>
  </si>
  <si>
    <t>Direction of 50D MA vs SPX</t>
  </si>
  <si>
    <t>Direction of 65D MA</t>
  </si>
  <si>
    <t>Direction of 65D MA vs SPX</t>
  </si>
  <si>
    <t>Direction of 39W MA</t>
  </si>
  <si>
    <t>Direction of 39W MA vs SPX</t>
  </si>
  <si>
    <t>Direction of 100D EMA</t>
  </si>
  <si>
    <t>Direction of 100D EMA vs SPX</t>
  </si>
  <si>
    <t>INDEX</t>
  </si>
  <si>
    <t>ETF</t>
  </si>
  <si>
    <t>3M HIGH DATE</t>
  </si>
  <si>
    <t>3M LOW DATE</t>
  </si>
  <si>
    <t>1M HIGH DATE</t>
  </si>
  <si>
    <t>1M LOW DATE</t>
  </si>
  <si>
    <t>CLASS</t>
  </si>
  <si>
    <t>WN1 Comdty</t>
  </si>
  <si>
    <t>US ULTRA BOND FUTURE</t>
  </si>
  <si>
    <t>BOND FUTURE</t>
  </si>
  <si>
    <t>US1 Comdty</t>
  </si>
  <si>
    <t>US LONG BOND  FUTURE</t>
  </si>
  <si>
    <t>UXY1 Comdty</t>
  </si>
  <si>
    <t>US 10yr Ultra Future</t>
  </si>
  <si>
    <t>TY1 Comdty</t>
  </si>
  <si>
    <t>US 10YR NOTE FUTURE</t>
  </si>
  <si>
    <t>FV1 Comdty</t>
  </si>
  <si>
    <t>US 5YR NOTE FUTURE</t>
  </si>
  <si>
    <t>TU1 Comdty</t>
  </si>
  <si>
    <t>US 2YR NOTE FUTURE</t>
  </si>
  <si>
    <t>CN1 Comdty</t>
  </si>
  <si>
    <t>CAN 10YR BOND FUTURE</t>
  </si>
  <si>
    <t>UB1 Comdty</t>
  </si>
  <si>
    <t>EURO-BUXL 30Y BND FUTURE</t>
  </si>
  <si>
    <t>RX1 Comdty</t>
  </si>
  <si>
    <t>EURO-BUND FUTURE</t>
  </si>
  <si>
    <t>OE1 Comdty</t>
  </si>
  <si>
    <t>EURO-BOBL FUTURE</t>
  </si>
  <si>
    <t>DU1 Comdty</t>
  </si>
  <si>
    <t>EURO-SCHATZ FUTURE</t>
  </si>
  <si>
    <t>G 1 Comdty</t>
  </si>
  <si>
    <t>LONG GILT FUTURE</t>
  </si>
  <si>
    <t>IK1 Comdty</t>
  </si>
  <si>
    <t>Euro-BTP Future</t>
  </si>
  <si>
    <t>OAT1 Comdty</t>
  </si>
  <si>
    <t>Euro-OAT Future</t>
  </si>
  <si>
    <t>BTS1 Comdty</t>
  </si>
  <si>
    <t>Short Euro-BTP Future</t>
  </si>
  <si>
    <t>JB1 Comdty</t>
  </si>
  <si>
    <t>JPN 10Y BOND FUTURE</t>
  </si>
  <si>
    <t>ACWI US Equity</t>
  </si>
  <si>
    <t>AIQ US Equity</t>
  </si>
  <si>
    <t>ARKB US Equity</t>
  </si>
  <si>
    <t>ARK 21Shares Bitcoin ETF</t>
  </si>
  <si>
    <t>ARKF US Equity</t>
  </si>
  <si>
    <t>ARK Fintech Innovation ETF</t>
  </si>
  <si>
    <t>ARKG US Equity</t>
  </si>
  <si>
    <t>ARK Genomic Revolution ETF</t>
  </si>
  <si>
    <t>ARKQ US Equity</t>
  </si>
  <si>
    <t>ARK Autonomous Technology &amp; Robotics ETF</t>
  </si>
  <si>
    <t>ARKW US Equity</t>
  </si>
  <si>
    <t>ARK Next Generation Internet ETF</t>
  </si>
  <si>
    <t>ARKX US Equity</t>
  </si>
  <si>
    <t>ARK Space Exploration &amp; Innovation ETF</t>
  </si>
  <si>
    <t>ARTY US Equity</t>
  </si>
  <si>
    <t>BAI US Equity</t>
  </si>
  <si>
    <t>BATT US Equity</t>
  </si>
  <si>
    <t>Amplify Lithium &amp; Battery Technology ETF</t>
  </si>
  <si>
    <t>BBJP US Equity</t>
  </si>
  <si>
    <t>BIL US Equity</t>
  </si>
  <si>
    <t>SPDR Bloomberg 1-3 Month T-Bill ETF</t>
  </si>
  <si>
    <t>BKCH US Equity</t>
  </si>
  <si>
    <t>BKLN US Equity</t>
  </si>
  <si>
    <t>BLOK US Equity</t>
  </si>
  <si>
    <t>Amplify Blockchain Technology ETF</t>
  </si>
  <si>
    <t>BOTZ US Equity</t>
  </si>
  <si>
    <t>BOUT US Equity</t>
  </si>
  <si>
    <t>Innovator IBD Breakout Opportunities ETF</t>
  </si>
  <si>
    <t>BUG US Equity</t>
  </si>
  <si>
    <t>CGCP US Equity</t>
  </si>
  <si>
    <t>Capital Group Core Plus Income ETF</t>
  </si>
  <si>
    <t>CGUS US Equity</t>
  </si>
  <si>
    <t>Capital Group Core Equity ETF</t>
  </si>
  <si>
    <t>CIBR US Equity</t>
  </si>
  <si>
    <t>CLOU US Equity</t>
  </si>
  <si>
    <t>COPX US Equity</t>
  </si>
  <si>
    <t>CQQQ US Equity</t>
  </si>
  <si>
    <t>DBA US Equity</t>
  </si>
  <si>
    <t>DBC US Equity</t>
  </si>
  <si>
    <t>DBO US Equity</t>
  </si>
  <si>
    <t>DIA US Equity</t>
  </si>
  <si>
    <t>SPDR Dow Jones Industrial Average ETF Trust</t>
  </si>
  <si>
    <t>DRIV US Equity</t>
  </si>
  <si>
    <t>DTCR US Equity</t>
  </si>
  <si>
    <t>DUHP US Equity</t>
  </si>
  <si>
    <t>Dimensional US High Profitability ETF</t>
  </si>
  <si>
    <t>DYNF US Equity</t>
  </si>
  <si>
    <t>EBIZ US Equity</t>
  </si>
  <si>
    <t>EEM US Equity</t>
  </si>
  <si>
    <t>EFA US Equity</t>
  </si>
  <si>
    <t>EIDO US Equity</t>
  </si>
  <si>
    <t>ETHA US Equity</t>
  </si>
  <si>
    <t>EWA US Equity</t>
  </si>
  <si>
    <t>EWD US Equity</t>
  </si>
  <si>
    <t>EWH US Equity</t>
  </si>
  <si>
    <t>EWI US Equity</t>
  </si>
  <si>
    <t>EWJ US Equity</t>
  </si>
  <si>
    <t>EWL US Equity</t>
  </si>
  <si>
    <t>EWP US Equity</t>
  </si>
  <si>
    <t>EWQ US Equity</t>
  </si>
  <si>
    <t>EWS US Equity</t>
  </si>
  <si>
    <t>EWT US Equity</t>
  </si>
  <si>
    <t>EWU US Equity</t>
  </si>
  <si>
    <t>EWY US Equity</t>
  </si>
  <si>
    <t>EZA US Equity</t>
  </si>
  <si>
    <t>EZU US Equity</t>
  </si>
  <si>
    <t>FAN US Equity</t>
  </si>
  <si>
    <t>FENY US Equity</t>
  </si>
  <si>
    <t>FEZ US Equity</t>
  </si>
  <si>
    <t>SPDR EURO STOXX 50 ETF</t>
  </si>
  <si>
    <t>FFTY US Equity</t>
  </si>
  <si>
    <t>Innovator ETFs Trust - Innovator IBD R 50 ETF</t>
  </si>
  <si>
    <t>FHLC US Equity</t>
  </si>
  <si>
    <t>FINX US Equity</t>
  </si>
  <si>
    <t>FXI US Equity</t>
  </si>
  <si>
    <t>GLD US Equity</t>
  </si>
  <si>
    <t>SPDR Gold Shares</t>
  </si>
  <si>
    <t>GLDM US Equity</t>
  </si>
  <si>
    <t>GOVT US Equity</t>
  </si>
  <si>
    <t>GREK US Equity</t>
  </si>
  <si>
    <t>GSG US Equity</t>
  </si>
  <si>
    <t>GSIE US Equity</t>
  </si>
  <si>
    <t>HACK US Equity</t>
  </si>
  <si>
    <t>HYG US Equity</t>
  </si>
  <si>
    <t>IAU US Equity</t>
  </si>
  <si>
    <t>IBB US Equity</t>
  </si>
  <si>
    <t>IBIT US Equity</t>
  </si>
  <si>
    <t>IBUY US Equity</t>
  </si>
  <si>
    <t>ICLN US Equity</t>
  </si>
  <si>
    <t>IDRV US Equity</t>
  </si>
  <si>
    <t>IFRA US Equity</t>
  </si>
  <si>
    <t>IGV US Equity</t>
  </si>
  <si>
    <t>IJR US Equity</t>
  </si>
  <si>
    <t>INDA US Equity</t>
  </si>
  <si>
    <t>IVW US Equity</t>
  </si>
  <si>
    <t>IWC US Equity</t>
  </si>
  <si>
    <t>IWD US Equity</t>
  </si>
  <si>
    <t>IWN US Equity</t>
  </si>
  <si>
    <t>IWS US Equity</t>
  </si>
  <si>
    <t>IXJ US Equity</t>
  </si>
  <si>
    <t>IYC US Equity</t>
  </si>
  <si>
    <t>IYE US Equity</t>
  </si>
  <si>
    <t>IYF US Equity</t>
  </si>
  <si>
    <t>IYH US Equity</t>
  </si>
  <si>
    <t>IYK US Equity</t>
  </si>
  <si>
    <t>IYR US Equity</t>
  </si>
  <si>
    <t>IYW US Equity</t>
  </si>
  <si>
    <t>IYZ US Equity</t>
  </si>
  <si>
    <t>JETS US Equity</t>
  </si>
  <si>
    <t>US Global Jets ETF</t>
  </si>
  <si>
    <t>JNK US Equity</t>
  </si>
  <si>
    <t>SPDR Bloomberg High Yield Bond ETF</t>
  </si>
  <si>
    <t>KBE US Equity</t>
  </si>
  <si>
    <t>SPDR S&amp;P Bank ETF</t>
  </si>
  <si>
    <t>KBWB US Equity</t>
  </si>
  <si>
    <t>KIE US Equity</t>
  </si>
  <si>
    <t>SPDR S&amp;P Insurance ETF</t>
  </si>
  <si>
    <t>KRE US Equity</t>
  </si>
  <si>
    <t>SPDR S&amp;P Regional Banking ETF</t>
  </si>
  <si>
    <t>KSA US Equity</t>
  </si>
  <si>
    <t>LIT US Equity</t>
  </si>
  <si>
    <t>LQD US Equity</t>
  </si>
  <si>
    <t>MDY US Equity</t>
  </si>
  <si>
    <t>SPDR S&amp;P MidCap 400 ETF Trust</t>
  </si>
  <si>
    <t>METV US Equity</t>
  </si>
  <si>
    <t>Roundhill Ball Metaverse ETF</t>
  </si>
  <si>
    <t>MGC US Equity</t>
  </si>
  <si>
    <t>MGK US Equity</t>
  </si>
  <si>
    <t>MGV US Equity</t>
  </si>
  <si>
    <t>OIH US Equity</t>
  </si>
  <si>
    <t>PAVE US Equity</t>
  </si>
  <si>
    <t>PBW US Equity</t>
  </si>
  <si>
    <t>PPA US Equity</t>
  </si>
  <si>
    <t>PPH US Equity</t>
  </si>
  <si>
    <t>QQQE US Equity</t>
  </si>
  <si>
    <t>QUAL US Equity</t>
  </si>
  <si>
    <t>ROBO US Equity</t>
  </si>
  <si>
    <t>SCHD US Equity</t>
  </si>
  <si>
    <t>SCHG US Equity</t>
  </si>
  <si>
    <t>SCHV US Equity</t>
  </si>
  <si>
    <t>SGOV US Equity</t>
  </si>
  <si>
    <t>SIL US Equity</t>
  </si>
  <si>
    <t>SILJ US Equity</t>
  </si>
  <si>
    <t>Amplify Junior Silver Miners ETF</t>
  </si>
  <si>
    <t>SKYY US Equity</t>
  </si>
  <si>
    <t>First Trust Cloud Computing ETF</t>
  </si>
  <si>
    <t>SLV US Equity</t>
  </si>
  <si>
    <t>SPHQ US Equity</t>
  </si>
  <si>
    <t>SPLV US Equity</t>
  </si>
  <si>
    <t>SPMO US Equity</t>
  </si>
  <si>
    <t>TAN US Equity</t>
  </si>
  <si>
    <t>TBT US Equity</t>
  </si>
  <si>
    <t>TIP US Equity</t>
  </si>
  <si>
    <t>TUR US Equity</t>
  </si>
  <si>
    <t>UAE US Equity</t>
  </si>
  <si>
    <t>UFO US Equity</t>
  </si>
  <si>
    <t>Procure Space ETF</t>
  </si>
  <si>
    <t>UNG US Equity</t>
  </si>
  <si>
    <t>United States Natural Gas Fund LP</t>
  </si>
  <si>
    <t>URNM US Equity</t>
  </si>
  <si>
    <t>Sprott Uranium Miners ETF</t>
  </si>
  <si>
    <t>USMV US Equity</t>
  </si>
  <si>
    <t>USO US Equity</t>
  </si>
  <si>
    <t>United States Oil Fund LP</t>
  </si>
  <si>
    <t>UUP US Equity</t>
  </si>
  <si>
    <t>VIS US Equity</t>
  </si>
  <si>
    <t>VLUE US Equity</t>
  </si>
  <si>
    <t>VNM US Equity</t>
  </si>
  <si>
    <t>WCLD US Equity</t>
  </si>
  <si>
    <t>WisdomTree Cloud Computing Fund</t>
  </si>
  <si>
    <t>XAR US Equity</t>
  </si>
  <si>
    <t>SPDR S&amp;P Aerospace &amp; Defense ETF</t>
  </si>
  <si>
    <t>XBI US Equity</t>
  </si>
  <si>
    <t>SPDR S&amp;P Biotech ETF</t>
  </si>
  <si>
    <t>XHB US Equity</t>
  </si>
  <si>
    <t>SPDR S&amp;P Homebuilders ETF</t>
  </si>
  <si>
    <t>XLB US Equity</t>
  </si>
  <si>
    <t>Materials Select Sector SPDR Fund</t>
  </si>
  <si>
    <t>XLC US Equity</t>
  </si>
  <si>
    <t>XLE US Equity</t>
  </si>
  <si>
    <t>XLF US Equity</t>
  </si>
  <si>
    <t>XLI US Equity</t>
  </si>
  <si>
    <t>XLK US Equity</t>
  </si>
  <si>
    <t>XLP US Equity</t>
  </si>
  <si>
    <t>XLRE US Equity</t>
  </si>
  <si>
    <t>XLU US Equity</t>
  </si>
  <si>
    <t>XLV US Equity</t>
  </si>
  <si>
    <t>XLY US Equity</t>
  </si>
  <si>
    <t>XME US Equity</t>
  </si>
  <si>
    <t>SPDR S&amp;P Metals &amp; Mining ETF</t>
  </si>
  <si>
    <t>XOP US Equity</t>
  </si>
  <si>
    <t>SPDR S&amp;P Oil &amp; Gas Exploration &amp; Production ETF</t>
  </si>
  <si>
    <t>XBT Curncy</t>
  </si>
  <si>
    <t>Bitcoin</t>
  </si>
  <si>
    <t>CRYPTO</t>
  </si>
  <si>
    <t>XET Curncy</t>
  </si>
  <si>
    <t>Ethereum</t>
  </si>
  <si>
    <t>XRP Curncy</t>
  </si>
  <si>
    <t>XRP</t>
  </si>
  <si>
    <t>XSO Curncy</t>
  </si>
  <si>
    <t>Solana</t>
  </si>
  <si>
    <t>XAD Curncy</t>
  </si>
  <si>
    <t>Cardano</t>
  </si>
  <si>
    <t>AA1 Comdty</t>
  </si>
  <si>
    <t>ALUMINUM</t>
  </si>
  <si>
    <t>COMMODITY</t>
  </si>
  <si>
    <t>C 1 Comdty</t>
  </si>
  <si>
    <t>CORN</t>
  </si>
  <si>
    <t>CC1 Comdty</t>
  </si>
  <si>
    <t>COCOA</t>
  </si>
  <si>
    <t>CL1 Comdty</t>
  </si>
  <si>
    <t>WTI CRUDE OIL</t>
  </si>
  <si>
    <t>CO1 Comdty</t>
  </si>
  <si>
    <t>CT1 Comdty</t>
  </si>
  <si>
    <t>COTTON</t>
  </si>
  <si>
    <t>CU1 Comdty</t>
  </si>
  <si>
    <t>COPPER</t>
  </si>
  <si>
    <t>FN1 Comdty</t>
  </si>
  <si>
    <t>GC1 Comdty</t>
  </si>
  <si>
    <t>GOLD</t>
  </si>
  <si>
    <t>HG1 Comdty</t>
  </si>
  <si>
    <t>KC1 Comdty</t>
  </si>
  <si>
    <t>COFFEE 'C'</t>
  </si>
  <si>
    <t>LC1 Comdty</t>
  </si>
  <si>
    <t>LIVE CATTLE</t>
  </si>
  <si>
    <t>IOE1 Comdty</t>
  </si>
  <si>
    <t>IRON ORE QINGDAO</t>
  </si>
  <si>
    <t>NG1 Comdty</t>
  </si>
  <si>
    <t>NATURAL GAS</t>
  </si>
  <si>
    <t>PA1 Comdty</t>
  </si>
  <si>
    <t>PL1 Comdty</t>
  </si>
  <si>
    <t>RR1 Comdty</t>
  </si>
  <si>
    <t>ROUGH RICE</t>
  </si>
  <si>
    <t>S 1 Comdty</t>
  </si>
  <si>
    <t>SB1 Comdty</t>
  </si>
  <si>
    <t>SUGAR</t>
  </si>
  <si>
    <t>SI1 Comdty</t>
  </si>
  <si>
    <t>SILVER</t>
  </si>
  <si>
    <t>W 1 Comdty</t>
  </si>
  <si>
    <t>WHEAT</t>
  </si>
  <si>
    <t>XB1 Comdty</t>
  </si>
  <si>
    <t>GASOLINE RBOB</t>
  </si>
  <si>
    <t>ZNA1 Comdty</t>
  </si>
  <si>
    <t>ZINC</t>
  </si>
  <si>
    <t>AUDEUR Curncy</t>
  </si>
  <si>
    <t>AUD/EUR</t>
  </si>
  <si>
    <t>CURRENCY</t>
  </si>
  <si>
    <t>AUDJPY Curncy</t>
  </si>
  <si>
    <t>AUD/JPY</t>
  </si>
  <si>
    <t>AUDUSD Curncy</t>
  </si>
  <si>
    <t>AUD/USD</t>
  </si>
  <si>
    <t>BGNEUR Curncy</t>
  </si>
  <si>
    <t>BGN/EUR</t>
  </si>
  <si>
    <t>BGNUSD Curncy</t>
  </si>
  <si>
    <t>BGN/USD</t>
  </si>
  <si>
    <t>BRLEUR Curncy</t>
  </si>
  <si>
    <t>BRL/EUR</t>
  </si>
  <si>
    <t>BRLUSD Curncy</t>
  </si>
  <si>
    <t>BRL/USD</t>
  </si>
  <si>
    <t>CADEUR Curncy</t>
  </si>
  <si>
    <t>CAD/EUR</t>
  </si>
  <si>
    <t>CADJPY Curncy</t>
  </si>
  <si>
    <t>CAD/JPY</t>
  </si>
  <si>
    <t>CADUSD Curncy</t>
  </si>
  <si>
    <t>CAD/USD</t>
  </si>
  <si>
    <t>CHFEUR Curncy</t>
  </si>
  <si>
    <t>CHF/EUR</t>
  </si>
  <si>
    <t>CHFJPY Curncy</t>
  </si>
  <si>
    <t>CHF/JPY</t>
  </si>
  <si>
    <t>CHFUSD Curncy</t>
  </si>
  <si>
    <t>CHF/USD</t>
  </si>
  <si>
    <t>CLPEUR Curncy</t>
  </si>
  <si>
    <t>CLP/EUR</t>
  </si>
  <si>
    <t>CLPUSD Curncy</t>
  </si>
  <si>
    <t>CLP/USD</t>
  </si>
  <si>
    <t>CNHEUR Curncy</t>
  </si>
  <si>
    <t>CNH/EUR</t>
  </si>
  <si>
    <t>CNHJPY Curncy</t>
  </si>
  <si>
    <t>CNH/JPY</t>
  </si>
  <si>
    <t>CNHUSD Curncy</t>
  </si>
  <si>
    <t>CNH/USD</t>
  </si>
  <si>
    <t>CNYUSD Curncy</t>
  </si>
  <si>
    <t>CNY/USD</t>
  </si>
  <si>
    <t>CZKEUR Curncy</t>
  </si>
  <si>
    <t>CZK/EUR</t>
  </si>
  <si>
    <t>CZKUSD Curncy</t>
  </si>
  <si>
    <t>CZK/USD</t>
  </si>
  <si>
    <t>DKKEUR Curncy</t>
  </si>
  <si>
    <t>DKK/EUR</t>
  </si>
  <si>
    <t>DKKJPY Curncy</t>
  </si>
  <si>
    <t>DKK/JPY</t>
  </si>
  <si>
    <t>DKKUSD Curncy</t>
  </si>
  <si>
    <t>DKK/USD</t>
  </si>
  <si>
    <t>EURUSD Curncy</t>
  </si>
  <si>
    <t>EUR/USD</t>
  </si>
  <si>
    <t>GBPEUR Curncy</t>
  </si>
  <si>
    <t>GBP/EUR</t>
  </si>
  <si>
    <t>GBPJPY Curncy</t>
  </si>
  <si>
    <t>GBP/JPY</t>
  </si>
  <si>
    <t>GBPUSD Curncy</t>
  </si>
  <si>
    <t>GBP/USD</t>
  </si>
  <si>
    <t>HKDEUR Curncy</t>
  </si>
  <si>
    <t>HKD/EUR</t>
  </si>
  <si>
    <t>HKDUSD Curncy</t>
  </si>
  <si>
    <t>HKD/USD</t>
  </si>
  <si>
    <t>HUFEUR Curncy</t>
  </si>
  <si>
    <t>HUF/EUR</t>
  </si>
  <si>
    <t>HUFUSD Curncy</t>
  </si>
  <si>
    <t>HUF/USD</t>
  </si>
  <si>
    <t>INRUSD Curncy</t>
  </si>
  <si>
    <t>INR/USD</t>
  </si>
  <si>
    <t>ISKEUR Curncy</t>
  </si>
  <si>
    <t>ISK/EUR</t>
  </si>
  <si>
    <t>ISKUSD Curncy</t>
  </si>
  <si>
    <t>ISK/USD</t>
  </si>
  <si>
    <t>JPYEUR Curncy</t>
  </si>
  <si>
    <t>JPY/EUR</t>
  </si>
  <si>
    <t>JPYUSD Curncy</t>
  </si>
  <si>
    <t>JPY/USD</t>
  </si>
  <si>
    <t>KRWUSD Curncy</t>
  </si>
  <si>
    <t>KRW/USD</t>
  </si>
  <si>
    <t>MXNEUR Curncy</t>
  </si>
  <si>
    <t>MXN/EUR</t>
  </si>
  <si>
    <t>MXNUSD Curncy</t>
  </si>
  <si>
    <t>MXN/USD</t>
  </si>
  <si>
    <t>MYRUSD Curncy</t>
  </si>
  <si>
    <t>MYR/USD</t>
  </si>
  <si>
    <t>NOKEUR Curncy</t>
  </si>
  <si>
    <t>NOK/EUR</t>
  </si>
  <si>
    <t>NOKUSD Curncy</t>
  </si>
  <si>
    <t>NOK/USD</t>
  </si>
  <si>
    <t>NZDEUR Curncy</t>
  </si>
  <si>
    <t>NZD/EUR</t>
  </si>
  <si>
    <t>NZDJPY Curncy</t>
  </si>
  <si>
    <t>NZD/JPY</t>
  </si>
  <si>
    <t>NZDUSD Curncy</t>
  </si>
  <si>
    <t>NZD/USD</t>
  </si>
  <si>
    <t>PHPUSD Curncy</t>
  </si>
  <si>
    <t>PHP/USD</t>
  </si>
  <si>
    <t>PLNEUR Curncy</t>
  </si>
  <si>
    <t>PLN/EUR</t>
  </si>
  <si>
    <t>PLNUSD Curncy</t>
  </si>
  <si>
    <t>PLN/USD</t>
  </si>
  <si>
    <t>SEKEUR Curncy</t>
  </si>
  <si>
    <t>SEK/EUR</t>
  </si>
  <si>
    <t>SEKUSD Curncy</t>
  </si>
  <si>
    <t>SEK/USD</t>
  </si>
  <si>
    <t>SGDEUR Curncy</t>
  </si>
  <si>
    <t>SGD/EUR</t>
  </si>
  <si>
    <t>SGDUSD Curncy</t>
  </si>
  <si>
    <t>SGD/USD</t>
  </si>
  <si>
    <t>THBEUR Curncy</t>
  </si>
  <si>
    <t>THB/EUR</t>
  </si>
  <si>
    <t>THBUSD Curncy</t>
  </si>
  <si>
    <t>THB/USD</t>
  </si>
  <si>
    <t>TRYEUR Curncy</t>
  </si>
  <si>
    <t>TRY/EUR</t>
  </si>
  <si>
    <t>TRYUSD Curncy</t>
  </si>
  <si>
    <t>TRY/USD</t>
  </si>
  <si>
    <t>TWDUSD Curncy</t>
  </si>
  <si>
    <t>TWD/USD</t>
  </si>
  <si>
    <t>XBTUSD Curncy</t>
  </si>
  <si>
    <t>XBT/USD</t>
  </si>
  <si>
    <t>ZAREUR Curncy</t>
  </si>
  <si>
    <t>ZAR/EUR</t>
  </si>
  <si>
    <t>ZARUSD Curncy</t>
  </si>
  <si>
    <t>ZAR/USD</t>
  </si>
  <si>
    <t>UX1 Index</t>
  </si>
  <si>
    <t>VIX FUTURES</t>
  </si>
  <si>
    <t>INDEX FUTURE</t>
  </si>
  <si>
    <t>BZ1 Index</t>
  </si>
  <si>
    <t>CA1 Index</t>
  </si>
  <si>
    <t>CF1 Index</t>
  </si>
  <si>
    <t>DM1 Index</t>
  </si>
  <si>
    <t>ES1 Index</t>
  </si>
  <si>
    <t>FT1 Index</t>
  </si>
  <si>
    <t>GX1 Index</t>
  </si>
  <si>
    <t>HC1 Index</t>
  </si>
  <si>
    <t>HI1 Index</t>
  </si>
  <si>
    <t>BSE500 Index</t>
  </si>
  <si>
    <t>BOMBAY BSE500 Index</t>
  </si>
  <si>
    <t>IFB1 Index</t>
  </si>
  <si>
    <t>KM1 Index</t>
  </si>
  <si>
    <t>MES1 Index</t>
  </si>
  <si>
    <t>NK1 Index</t>
  </si>
  <si>
    <t>NQ1 Index</t>
  </si>
  <si>
    <t>RTY1 Index</t>
  </si>
  <si>
    <t>SM1 Index</t>
  </si>
  <si>
    <t>ST1 Index</t>
  </si>
  <si>
    <t>VG1 Index</t>
  </si>
  <si>
    <t>Z 1 Index</t>
  </si>
  <si>
    <t>AS51 Index</t>
  </si>
  <si>
    <t>S&amp;P/ASX 200 INDEX</t>
  </si>
  <si>
    <t>BKX Index</t>
  </si>
  <si>
    <t>KBW BANK INDEX</t>
  </si>
  <si>
    <t>CAC Index</t>
  </si>
  <si>
    <t>CAC 40 INDEX</t>
  </si>
  <si>
    <t>CCMP Index</t>
  </si>
  <si>
    <t>NASDAQ COMPOSITE INDEX</t>
  </si>
  <si>
    <t>DAX Index</t>
  </si>
  <si>
    <t>DAX INDEX</t>
  </si>
  <si>
    <t>FTSEMIB Index</t>
  </si>
  <si>
    <t>FTSE MIB INDEX</t>
  </si>
  <si>
    <t>HSCEI Index</t>
  </si>
  <si>
    <t>HSCEI INDEX</t>
  </si>
  <si>
    <t>HSI Index</t>
  </si>
  <si>
    <t>HANG SENG INDEX</t>
  </si>
  <si>
    <t>IBEX Index</t>
  </si>
  <si>
    <t>IBEX 35 INDEX</t>
  </si>
  <si>
    <t>IBOV Index</t>
  </si>
  <si>
    <t>INDU Index</t>
  </si>
  <si>
    <t>KOSPI Index</t>
  </si>
  <si>
    <t>KOSPI INDEX</t>
  </si>
  <si>
    <t>MEXBOL Index</t>
  </si>
  <si>
    <t>MEXICO BOLSA INDEX</t>
  </si>
  <si>
    <t>MID Index</t>
  </si>
  <si>
    <t>NDX Index</t>
  </si>
  <si>
    <t>NKY Index</t>
  </si>
  <si>
    <t>OEX Index</t>
  </si>
  <si>
    <t>RAY Index</t>
  </si>
  <si>
    <t>RIY Index</t>
  </si>
  <si>
    <t>RTY Index</t>
  </si>
  <si>
    <t>RUSSELL 2000 INDEX</t>
  </si>
  <si>
    <t>SHCOMP Index</t>
  </si>
  <si>
    <t>SMI Index</t>
  </si>
  <si>
    <t>SWISS MARKET INDEX</t>
  </si>
  <si>
    <t>SOX Index</t>
  </si>
  <si>
    <t>SPR Index</t>
  </si>
  <si>
    <t>SPTSX Index</t>
  </si>
  <si>
    <t>S&amp;P/TSX COMPOSITE INDEX</t>
  </si>
  <si>
    <t>SX5E Index</t>
  </si>
  <si>
    <t>SXXP Index</t>
  </si>
  <si>
    <t>TRAN Index</t>
  </si>
  <si>
    <t>Dow Jones Transportation Average</t>
  </si>
  <si>
    <t>TWSE Index</t>
  </si>
  <si>
    <t>TAIWAN TAIEX INDEX</t>
  </si>
  <si>
    <t>UKX Index</t>
  </si>
  <si>
    <t>FTSE 100 INDEX</t>
  </si>
  <si>
    <t>UTIL Index</t>
  </si>
  <si>
    <t>CLASS 2</t>
  </si>
  <si>
    <t>N/A</t>
  </si>
  <si>
    <t>COMMODITIES</t>
  </si>
  <si>
    <t>STOCKS</t>
  </si>
  <si>
    <t>SECURITY RSI - IDX RSI</t>
  </si>
  <si>
    <t>Ticker</t>
  </si>
  <si>
    <t>MSCI ACWI ETF</t>
  </si>
  <si>
    <t>Artificial Intelligence &amp; Technology ETF</t>
  </si>
  <si>
    <t>MSCI Argentina ETF</t>
  </si>
  <si>
    <t>Future AI &amp; Tech ETF</t>
  </si>
  <si>
    <t>AI Innovation and Tech Active ETF</t>
  </si>
  <si>
    <t>BetaBuilders Japan ETF</t>
  </si>
  <si>
    <t>Blockchain ETF</t>
  </si>
  <si>
    <t>Senior Loan ETF</t>
  </si>
  <si>
    <t>Robotics &amp; Artificial Intelligence ETF</t>
  </si>
  <si>
    <t>Cybersecurity ETF</t>
  </si>
  <si>
    <t>Social Sentiment ETF</t>
  </si>
  <si>
    <t>NASDAQ Cybersecurity ETF</t>
  </si>
  <si>
    <t>Cloud Computing ETF</t>
  </si>
  <si>
    <t>MSCI Colombia ETF</t>
  </si>
  <si>
    <t>Copper Miners ETF</t>
  </si>
  <si>
    <t>China Technology ETF</t>
  </si>
  <si>
    <t>Agriculture Fund</t>
  </si>
  <si>
    <t>Commodity Index Tracking Fund</t>
  </si>
  <si>
    <t>Oil Fund</t>
  </si>
  <si>
    <t>Autonomous &amp; Electric Vehicles ETF</t>
  </si>
  <si>
    <t>Data Center &amp; Digital Infrastructure ETF</t>
  </si>
  <si>
    <t>U.S. Equity Factor Rotation Active ETF</t>
  </si>
  <si>
    <t>E-Commerce ETF</t>
  </si>
  <si>
    <t>MSCI Chile ETF</t>
  </si>
  <si>
    <t>MSCI Emerging Markets ETF</t>
  </si>
  <si>
    <t>MSCI EAFE ETF</t>
  </si>
  <si>
    <t>MSCI Indonesia ETF</t>
  </si>
  <si>
    <t>MSCI Philippines ETF</t>
  </si>
  <si>
    <t>MSCI Poland ETF</t>
  </si>
  <si>
    <t>Ethereum Trust ETF</t>
  </si>
  <si>
    <t>MSCI Australia ETF</t>
  </si>
  <si>
    <t>MSCI Canada ETF</t>
  </si>
  <si>
    <t>MSCI Sweden ETF</t>
  </si>
  <si>
    <t>MSCI Germany ETF</t>
  </si>
  <si>
    <t>MSCI Hong Kong ETF</t>
  </si>
  <si>
    <t>MSCI Italy ETF</t>
  </si>
  <si>
    <t>MSCI Japan ETF</t>
  </si>
  <si>
    <t>MSCI Switzerland ETF</t>
  </si>
  <si>
    <t>MSCI Malaysia ETF</t>
  </si>
  <si>
    <t>MSCI Spain ETF</t>
  </si>
  <si>
    <t>MSCI France ETF</t>
  </si>
  <si>
    <t>MSCI Singapore ETF</t>
  </si>
  <si>
    <t>MSCI Taiwan ETF</t>
  </si>
  <si>
    <t>MSCI United Kingdom ETF</t>
  </si>
  <si>
    <t>MSCI Mexico ETF</t>
  </si>
  <si>
    <t>MSCI South Korea ETF</t>
  </si>
  <si>
    <t>MSCI Brazil ETF</t>
  </si>
  <si>
    <t>MSCI South Africa ETF</t>
  </si>
  <si>
    <t>MSCI Eurozone ETF</t>
  </si>
  <si>
    <t>Global Wind Energy ETF</t>
  </si>
  <si>
    <t>MSCI Energy Index ETF</t>
  </si>
  <si>
    <t>MSCI Health Care Index ETF</t>
  </si>
  <si>
    <t>FinTech ETF</t>
  </si>
  <si>
    <t>China Large-Cap ETF</t>
  </si>
  <si>
    <t>Gold Miners ETF/USA</t>
  </si>
  <si>
    <t>Junior Gold Miners ETF</t>
  </si>
  <si>
    <t>SPDR Gold Min Trust</t>
  </si>
  <si>
    <t>U.S. Treasury Bond ETF</t>
  </si>
  <si>
    <t>MSCI Greece ETF</t>
  </si>
  <si>
    <t>S&amp;P GSCI Commodity-Indexed Trust</t>
  </si>
  <si>
    <t>ActiveBeta International Equity ETF</t>
  </si>
  <si>
    <t>iBoxx $ High Yield Corporate Bond ETF</t>
  </si>
  <si>
    <t>Gold Trust</t>
  </si>
  <si>
    <t>Biotechnology ETF</t>
  </si>
  <si>
    <t>Bitcoin Trust ETF</t>
  </si>
  <si>
    <t>Online Retail ETF</t>
  </si>
  <si>
    <t>Global Clean Energy ETF</t>
  </si>
  <si>
    <t>Self-Driving EV and Tech ETF</t>
  </si>
  <si>
    <t>U.S. Infrastructure ETF</t>
  </si>
  <si>
    <t>Expanded Tech-Software Sector ETF</t>
  </si>
  <si>
    <t>Core S&amp;P Small-Cap ETF</t>
  </si>
  <si>
    <t>MSCI India ETF</t>
  </si>
  <si>
    <t>U.S. Aerospace &amp; Defense ETF</t>
  </si>
  <si>
    <t>U.S. Home Construction ETF</t>
  </si>
  <si>
    <t>S&amp;P 500 Growth ETF</t>
  </si>
  <si>
    <t>Micro-Cap ETF</t>
  </si>
  <si>
    <t>Russell 1000 Value ETF</t>
  </si>
  <si>
    <t>Russell 2000 ETF</t>
  </si>
  <si>
    <t>Russell 2000 Value ETF</t>
  </si>
  <si>
    <t>Russell 2000 Growth ETF</t>
  </si>
  <si>
    <t>Russell Mid-Cap Value ETF</t>
  </si>
  <si>
    <t>Global Healthcare ETF</t>
  </si>
  <si>
    <t>U.S. Consumer Discretionary ETF</t>
  </si>
  <si>
    <t>U.S. Energy ETF</t>
  </si>
  <si>
    <t>U.S. Financials ETF</t>
  </si>
  <si>
    <t>U.S. Healthcare ETF</t>
  </si>
  <si>
    <t>U.S. Consumer Staples ETF</t>
  </si>
  <si>
    <t>U.S. Real Estate ETF</t>
  </si>
  <si>
    <t>U.S. Transportation ETF</t>
  </si>
  <si>
    <t>U.S. Technology ETF</t>
  </si>
  <si>
    <t>U.S. Telecommunications ETF</t>
  </si>
  <si>
    <t>KBW Bank ETF</t>
  </si>
  <si>
    <t>MSCI Saudi Arabia ETF</t>
  </si>
  <si>
    <t>MSCI All China Health Care Index ETF</t>
  </si>
  <si>
    <t>CSI China Internet ETF</t>
  </si>
  <si>
    <t>Lithium &amp; Battery Tech ETF</t>
  </si>
  <si>
    <t>iBoxx $ Investment Grade Corporate Bond ETF</t>
  </si>
  <si>
    <t>Mega Cap ETF</t>
  </si>
  <si>
    <t>Mega Cap Growth ETF</t>
  </si>
  <si>
    <t>Mega Cap Value ETF</t>
  </si>
  <si>
    <t>MSCI USA Momentum Factor ETF</t>
  </si>
  <si>
    <t>Oil Services ETF</t>
  </si>
  <si>
    <t>US Infrastructure Development ETF</t>
  </si>
  <si>
    <t>WilderHill Clean Energy ETF</t>
  </si>
  <si>
    <t>Aerospace &amp; Defense ETF</t>
  </si>
  <si>
    <t>Pharmaceutical ETF</t>
  </si>
  <si>
    <t>QQQ Trust Series 1</t>
  </si>
  <si>
    <t>NASDAQ-100 Equal Weighted Index Shares</t>
  </si>
  <si>
    <t>Quantum ETF</t>
  </si>
  <si>
    <t>MSCI USA Quality Factor ETF</t>
  </si>
  <si>
    <t>Rare Earth and Strategic Metals ETF</t>
  </si>
  <si>
    <t>Global Robotics and Automation Index ETF</t>
  </si>
  <si>
    <t>S&amp;P 500 Equal Weight ETF</t>
  </si>
  <si>
    <t>US Dividend Equity ETF</t>
  </si>
  <si>
    <t>U.S. Large-Cap Growth ETF</t>
  </si>
  <si>
    <t>U.S. Large-Cap Value ETF</t>
  </si>
  <si>
    <t>0-3 Month Treasury Bond ETF</t>
  </si>
  <si>
    <t>Defense Tech ETF</t>
  </si>
  <si>
    <t>Silver Miners ETF</t>
  </si>
  <si>
    <t>Silver Trust</t>
  </si>
  <si>
    <t>Semiconductor ETF</t>
  </si>
  <si>
    <t>S&amp;P 500 High Beta ETF</t>
  </si>
  <si>
    <t>S&amp;P 500 Low Volatility ETF</t>
  </si>
  <si>
    <t>S&amp;P 500 Momentum ETF</t>
  </si>
  <si>
    <t>Solar ETF</t>
  </si>
  <si>
    <t>TIPS Bond ETF</t>
  </si>
  <si>
    <t>20+ Year Treasury Bond ETF</t>
  </si>
  <si>
    <t>MSCI Turkey ETF</t>
  </si>
  <si>
    <t>MSCI UAE ETF</t>
  </si>
  <si>
    <t>Uranium ETF</t>
  </si>
  <si>
    <t>MSCI USA Min Vol Factor ETF</t>
  </si>
  <si>
    <t>US Dollar Index Bullish Fund</t>
  </si>
  <si>
    <t>Industrials ETF</t>
  </si>
  <si>
    <t>MSCI USA Value Factor ETF</t>
  </si>
  <si>
    <t>Vietnam ETF</t>
  </si>
  <si>
    <t>VIX Short-Term Futures ETN</t>
  </si>
  <si>
    <t>Communication Services Select SPDR Fund</t>
  </si>
  <si>
    <t>Energy Select SPDR Fund</t>
  </si>
  <si>
    <t>Financial Select SPDR Fund</t>
  </si>
  <si>
    <t>Industrial Select SPDR Fund</t>
  </si>
  <si>
    <t>Technology Select SPDR Fund</t>
  </si>
  <si>
    <t>Consumer Staples Select SPDR Fund</t>
  </si>
  <si>
    <t>Real Estate Select SPDR Fund</t>
  </si>
  <si>
    <t>Utilities Select SPDR Fund</t>
  </si>
  <si>
    <t>Health Care Select SPDR Fund</t>
  </si>
  <si>
    <t>Consumer Discretionary SPDR Fund</t>
  </si>
  <si>
    <t>BRENT CRUDE</t>
  </si>
  <si>
    <t>ICE NATURAL GAS</t>
  </si>
  <si>
    <t>PALLADIUM</t>
  </si>
  <si>
    <t>PLATINUM</t>
  </si>
  <si>
    <t>SOYBEAN</t>
  </si>
  <si>
    <t>INDEX FUTURES</t>
  </si>
  <si>
    <t>BOND FUTURES</t>
  </si>
  <si>
    <t>Row Labels</t>
  </si>
  <si>
    <t>Grand Total</t>
  </si>
  <si>
    <t>Average of RSI</t>
  </si>
  <si>
    <t>Average of ANALYST RATING</t>
  </si>
  <si>
    <t>SUBSECTOR AVERAGE STRENGTH</t>
  </si>
  <si>
    <t>SUBSECTOR AVERAGE RATING</t>
  </si>
  <si>
    <t>RELATIVE STRENGTH vs SUBSECTOR</t>
  </si>
  <si>
    <t>VECTORA SCORE</t>
  </si>
  <si>
    <t>CEPT US Equity</t>
  </si>
  <si>
    <t>VALUE OF INSIDER PURCHASES</t>
  </si>
  <si>
    <t>NYSE COMPOSITE INDEX</t>
  </si>
  <si>
    <t>ARBE US Equity</t>
  </si>
  <si>
    <t>MOB US Equity</t>
  </si>
  <si>
    <t>Name</t>
  </si>
  <si>
    <t>CURNCY USD</t>
  </si>
  <si>
    <t>CURNCY EUR</t>
  </si>
  <si>
    <t>TDAY US Equity</t>
  </si>
  <si>
    <t>S&amp;P 500 Quality ETF</t>
  </si>
  <si>
    <t>UltraShort 20+ Year Treasury ETF</t>
  </si>
  <si>
    <t>Up Fintech Holding Ltd ETF</t>
  </si>
  <si>
    <t>New York Stock Exchange Composite Index</t>
  </si>
  <si>
    <t>S&amp;P 1500 Composite Index</t>
  </si>
  <si>
    <t>DAX INDEX FUTURES</t>
  </si>
  <si>
    <t>mini MSCI Emg Mkt FUTURES</t>
  </si>
  <si>
    <t>NIKKEI 225 (OSE) FUTURES</t>
  </si>
  <si>
    <t>NASDAQ 100 E-MINI FUTURES</t>
  </si>
  <si>
    <t>Russell 2000 Mini FUTURES</t>
  </si>
  <si>
    <t>EURO STOXX 50 FUTURES</t>
  </si>
  <si>
    <t>S&amp;P Midcap 400 Index</t>
  </si>
  <si>
    <t>NASDAQ 100 INDEX</t>
  </si>
  <si>
    <t>NIKKEI 225 INDEX</t>
  </si>
  <si>
    <t>S&amp;P 100 INDEX</t>
  </si>
  <si>
    <t>RUSSELL 3000 INDEX</t>
  </si>
  <si>
    <t>RUSSELL 1000 INDEX</t>
  </si>
  <si>
    <t>SHANGHAI SE COMPOSITE INDEX</t>
  </si>
  <si>
    <t>BRAZIL BOVESPA STOCK INDEX</t>
  </si>
  <si>
    <t>DOW JONES INDUSTRIAL AVERAGE INDEX</t>
  </si>
  <si>
    <t>Euro Stoxx 50 Price INDEX</t>
  </si>
  <si>
    <t>DJ STOXX 600 € Price INDEX</t>
  </si>
  <si>
    <t>BOVESPA INDEX FUTURES</t>
  </si>
  <si>
    <t>EURO STOXX BANK INDEX</t>
  </si>
  <si>
    <t>DJIA MINI e-CBOT FUTURES</t>
  </si>
  <si>
    <t>S&amp;P500 EMINI FUTURES</t>
  </si>
  <si>
    <t>DOW JONES UTILITIES AVG INDEX</t>
  </si>
  <si>
    <t>H-SHARES INDEX FUTURES</t>
  </si>
  <si>
    <t>HANG SENG INDEX FUTURES</t>
  </si>
  <si>
    <t>CSI 300 INDEX FUTURES</t>
  </si>
  <si>
    <t>KOSPI2 INDEX FUTURES</t>
  </si>
  <si>
    <t>SWISS MKT INDEX FUTUTRES</t>
  </si>
  <si>
    <t>FTSE/MIB INDEX FUTURES</t>
  </si>
  <si>
    <t>FTSE 100 INDEX FUTURES</t>
  </si>
  <si>
    <t>Philadelphia Semiconductor Index</t>
  </si>
  <si>
    <t>TAIEX INDEX FUTURES</t>
  </si>
  <si>
    <t>IB1 Index</t>
  </si>
  <si>
    <t>IBEX INDEX FUTURES</t>
  </si>
  <si>
    <t>CAC 40 EURO FUTURES</t>
  </si>
  <si>
    <t>DXYZ US Equity</t>
  </si>
  <si>
    <t>DESTINY TECH100 INC  </t>
  </si>
  <si>
    <t>TICKER</t>
  </si>
  <si>
    <t>AMPX US equity</t>
  </si>
  <si>
    <t>CALY US Equity</t>
  </si>
  <si>
    <t>NYSE Composite Index</t>
  </si>
  <si>
    <t>Invesco S&amp;P 500 Equal Weight ETF</t>
  </si>
  <si>
    <t>Invesco S&amp;P 500 Equal Weight ETF (RSP)</t>
  </si>
  <si>
    <t>NA9 GY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</si>
</sst>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d\-mmm\-yy;@"/>
  </numFmts>
  <fonts count="11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indexed="9"/>
      <name val="Calibri"/>
      <family val="2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sz val="10"/>
      <color rgb="FF0000FF"/>
      <name val="Aptos Narrow"/>
      <family val="2"/>
      <scheme val="minor"/>
    </font>
    <font>
      <sz val="11"/>
      <name val="Calibri"/>
      <family val="2"/>
    </font>
    <font>
      <b/>
      <sz val="9"/>
      <color theme="0"/>
      <name val="Calibri"/>
      <family val="2"/>
    </font>
    <font>
      <sz val="9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4F81BD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3" borderId="0"/>
  </cellStyleXfs>
  <cellXfs count="35">
    <xf numFmtId="0" fontId="0" fillId="0" borderId="0" xfId="0"/>
    <xf numFmtId="0" fontId="1" fillId="0" borderId="0" xfId="0" applyFont="1"/>
    <xf numFmtId="0" fontId="3" fillId="2" borderId="0" xfId="0" applyFont="1" applyFill="1" applyAlignment="1">
      <alignment horizontal="center" vertical="center" wrapText="1"/>
    </xf>
    <xf numFmtId="0" fontId="5" fillId="2" borderId="0" xfId="3" applyFont="1" applyFill="1" applyAlignment="1">
      <alignment horizontal="center" vertical="center" wrapText="1"/>
    </xf>
    <xf numFmtId="43" fontId="5" fillId="3" borderId="0" xfId="1" applyFont="1" applyFill="1" applyBorder="1" applyAlignment="1" applyProtection="1">
      <alignment horizontal="center" vertical="center" wrapText="1"/>
    </xf>
    <xf numFmtId="43" fontId="5" fillId="2" borderId="0" xfId="1" applyFont="1" applyFill="1" applyBorder="1" applyAlignment="1" applyProtection="1">
      <alignment horizontal="center" vertical="center" wrapText="1"/>
    </xf>
    <xf numFmtId="0" fontId="0" fillId="0" borderId="1" xfId="0" applyBorder="1" applyAlignment="1">
      <alignment horizontal="center"/>
    </xf>
    <xf numFmtId="0" fontId="5" fillId="3" borderId="0" xfId="3" applyFont="1" applyAlignment="1">
      <alignment horizontal="center" vertical="center" wrapText="1"/>
    </xf>
    <xf numFmtId="43" fontId="5" fillId="3" borderId="0" xfId="1" applyFont="1" applyFill="1" applyBorder="1" applyAlignment="1">
      <alignment horizontal="center" vertical="center" wrapText="1"/>
    </xf>
    <xf numFmtId="164" fontId="5" fillId="3" borderId="0" xfId="3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0" fontId="0" fillId="0" borderId="0" xfId="2" applyNumberFormat="1" applyFont="1" applyBorder="1"/>
    <xf numFmtId="14" fontId="0" fillId="0" borderId="0" xfId="0" applyNumberFormat="1"/>
    <xf numFmtId="2" fontId="0" fillId="0" borderId="0" xfId="0" applyNumberFormat="1"/>
    <xf numFmtId="2" fontId="5" fillId="3" borderId="0" xfId="3" applyNumberFormat="1" applyFont="1" applyAlignment="1">
      <alignment horizontal="center" vertical="center" wrapText="1"/>
    </xf>
    <xf numFmtId="2" fontId="5" fillId="2" borderId="0" xfId="3" applyNumberFormat="1" applyFont="1" applyFill="1" applyAlignment="1">
      <alignment horizontal="center" vertical="center" wrapText="1"/>
    </xf>
    <xf numFmtId="0" fontId="6" fillId="0" borderId="0" xfId="0" applyFont="1"/>
    <xf numFmtId="2" fontId="6" fillId="0" borderId="0" xfId="0" applyNumberFormat="1" applyFont="1" applyAlignment="1">
      <alignment horizontal="center"/>
    </xf>
    <xf numFmtId="2" fontId="6" fillId="0" borderId="0" xfId="0" applyNumberFormat="1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3" fontId="3" fillId="2" borderId="0" xfId="2" applyNumberFormat="1" applyFont="1" applyFill="1" applyAlignment="1">
      <alignment horizontal="center" vertical="center" wrapText="1"/>
    </xf>
    <xf numFmtId="3" fontId="0" fillId="0" borderId="0" xfId="0" applyNumberFormat="1"/>
    <xf numFmtId="3" fontId="0" fillId="0" borderId="0" xfId="2" applyNumberFormat="1" applyFont="1"/>
    <xf numFmtId="0" fontId="7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8" fillId="0" borderId="0" xfId="0" applyFont="1"/>
    <xf numFmtId="0" fontId="6" fillId="0" borderId="0" xfId="0" applyFont="1" applyAlignment="1">
      <alignment wrapText="1"/>
    </xf>
    <xf numFmtId="164" fontId="9" fillId="3" borderId="0" xfId="3" applyNumberFormat="1" applyFont="1" applyAlignment="1">
      <alignment horizontal="center" vertical="center" wrapText="1"/>
    </xf>
    <xf numFmtId="14" fontId="10" fillId="0" borderId="0" xfId="0" applyNumberFormat="1" applyFont="1"/>
    <xf numFmtId="0" fontId="10" fillId="0" borderId="0" xfId="0" applyFont="1"/>
    <xf numFmtId="0" fontId="0" fillId="0" borderId="0" xfId="0" applyNumberFormat="1"/>
  </cellXfs>
  <cellStyles count="4">
    <cellStyle name="blp_column_header" xfId="3" xr:uid="{0DFB47A1-53B4-4B83-954E-519569F75845}"/>
    <cellStyle name="Comma" xfId="1" builtinId="3"/>
    <cellStyle name="Normal" xfId="0" builtinId="0"/>
    <cellStyle name="Percent" xfId="2" builtinId="5"/>
  </cellStyles>
  <dxfs count="2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Requesting Data...3150112562</v>
        <stp/>
        <stp>BDP|10786215707099961110</stp>
        <tr r="Y37" s="3"/>
      </tp>
      <tp t="s">
        <v>#N/A Requesting Data...4081758688</v>
        <stp/>
        <stp>BDP|17599145598987187210</stp>
        <tr r="BH57" s="3"/>
      </tp>
      <tp t="s">
        <v>#N/A N/A</v>
        <stp/>
        <stp>BDP|16252416384950758093</stp>
        <tr r="AV75" s="2"/>
      </tp>
      <tp t="s">
        <v>#N/A N/A</v>
        <stp/>
        <stp>BDP|14380625888724398430</stp>
        <tr r="BF81" s="2"/>
      </tp>
      <tp t="s">
        <v>#N/A Requesting Data...3447380253</v>
        <stp/>
        <stp>BDP|11284078197713860133</stp>
        <tr r="AQ48" s="4"/>
      </tp>
      <tp t="s">
        <v>#N/A N/A</v>
        <stp/>
        <stp>BDP|17564128993653599683</stp>
        <tr r="N45" s="2"/>
      </tp>
      <tp t="s">
        <v>#N/A Requesting Data...3086855850</v>
        <stp/>
        <stp>BDP|17296260392924902267</stp>
        <tr r="BA346" s="3"/>
      </tp>
      <tp t="s">
        <v>#N/A Requesting Data...3232093790</v>
        <stp/>
        <stp>BDP|14424095484907321138</stp>
        <tr r="O5" s="4"/>
      </tp>
      <tp t="s">
        <v>#N/A Requesting Data...3875666358</v>
        <stp/>
        <stp>BDP|15615580992886031540</stp>
        <tr r="BA304" s="3"/>
      </tp>
      <tp t="s">
        <v>#N/A N/A</v>
        <stp/>
        <stp>BDP|14057976533835566195</stp>
        <tr r="P46" s="2"/>
      </tp>
      <tp t="s">
        <v>#N/A Requesting Data...3061181672</v>
        <stp/>
        <stp>BDP|10661834559227376078</stp>
        <tr r="O90" s="3"/>
      </tp>
      <tp t="s">
        <v>#N/A N/A</v>
        <stp/>
        <stp>BDP|17966388706347765984</stp>
        <tr r="BE52" s="2"/>
      </tp>
      <tp t="s">
        <v>#N/A N/A</v>
        <stp/>
        <stp>BDP|12672440558690369919</stp>
        <tr r="V88" s="2"/>
      </tp>
      <tp t="s">
        <v>#N/A Requesting Data...3686841801</v>
        <stp/>
        <stp>BDP|12096408229888738667</stp>
        <tr r="Y66" s="3"/>
      </tp>
      <tp t="s">
        <v>#N/A N/A</v>
        <stp/>
        <stp>BDP|14056771297949996919</stp>
        <tr r="BM83" s="2"/>
      </tp>
      <tp t="s">
        <v>#N/A Requesting Data...4091728161</v>
        <stp/>
        <stp>BDP|10127482281024148218</stp>
        <tr r="T3" s="2"/>
        <tr r="O316" s="3"/>
      </tp>
      <tp t="s">
        <v>#N/A Requesting Data...3115314641</v>
        <stp/>
        <stp>BDP|14955842467488676848</stp>
        <tr r="BF123" s="3"/>
      </tp>
      <tp t="s">
        <v>#N/A Requesting Data...3876336331</v>
        <stp/>
        <stp>BDP|10397670652570785997</stp>
        <tr r="AA91" s="3"/>
      </tp>
      <tp t="s">
        <v>#N/A Requesting Data...4025777587</v>
        <stp/>
        <stp>BDP|12719724454518134283</stp>
        <tr r="BH339" s="3"/>
      </tp>
      <tp t="s">
        <v>#N/A Requesting Data...3832305550</v>
        <stp/>
        <stp>BDP|16642583714490736850</stp>
        <tr r="BG149" s="3"/>
      </tp>
      <tp t="s">
        <v>#N/A Requesting Data...3683089843</v>
        <stp/>
        <stp>BDP|10157149960828408593</stp>
        <tr r="AJ318" s="3"/>
      </tp>
      <tp t="s">
        <v>#N/A Requesting Data...3954347418</v>
        <stp/>
        <stp>BDP|15469980075479536847</stp>
        <tr r="Q85" s="3"/>
      </tp>
      <tp t="s">
        <v>#N/A Requesting Data...3557302432</v>
        <stp/>
        <stp>BDP|10076617264543503981</stp>
        <tr r="I45" s="3"/>
      </tp>
      <tp t="s">
        <v>#N/A N/A</v>
        <stp/>
        <stp>BDP|16048293682016442049</stp>
        <tr r="BL100" s="2"/>
      </tp>
      <tp t="s">
        <v>#N/A Requesting Data...3851009425</v>
        <stp/>
        <stp>BDP|17894325114656558901</stp>
        <tr r="BG109" s="3"/>
      </tp>
      <tp t="s">
        <v>#N/A Requesting Data...4271735629</v>
        <stp/>
        <stp>BDP|13897752230005240841</stp>
        <tr r="BF286" s="3"/>
      </tp>
      <tp t="s">
        <v>#N/A Requesting Data...3493373341</v>
        <stp/>
        <stp>BDP|12864913674854064265</stp>
        <tr r="BF42" s="3"/>
      </tp>
      <tp t="s">
        <v>#N/A Requesting Data...3932044442</v>
        <stp/>
        <stp>BDP|13192865969331757629</stp>
        <tr r="BA330" s="3"/>
      </tp>
      <tp t="s">
        <v>#N/A Requesting Data...3581140588</v>
        <stp/>
        <stp>BDP|16984791944866859976</stp>
        <tr r="K106" s="3"/>
      </tp>
      <tp t="s">
        <v>#N/A Requesting Data...3869556910</v>
        <stp/>
        <stp>BDP|14600327187144173196</stp>
        <tr r="BF326" s="3"/>
      </tp>
      <tp t="s">
        <v>#N/A Requesting Data...3406072062</v>
        <stp/>
        <stp>BDP|11800356025158445277</stp>
        <tr r="Q82" s="3"/>
      </tp>
      <tp t="s">
        <v>#N/A Requesting Data...3638441596</v>
        <stp/>
        <stp>BDP|17860183390081268489</stp>
        <tr r="Y262" s="3"/>
      </tp>
      <tp t="s">
        <v>#N/A N/A</v>
        <stp/>
        <stp>BDP|11371705468489661379</stp>
        <tr r="AM88" s="2"/>
      </tp>
      <tp t="s">
        <v>#N/A Requesting Data...3983761785</v>
        <stp/>
        <stp>BDP|14505266613774395991</stp>
        <tr r="O159" s="3"/>
      </tp>
      <tp t="s">
        <v>#N/A Requesting Data...4193723865</v>
        <stp/>
        <stp>BDP|11460290984313533268</stp>
        <tr r="I256" s="3"/>
      </tp>
      <tp t="s">
        <v>#N/A N/A</v>
        <stp/>
        <stp>BDP|11468956611713902034</stp>
        <tr r="BE23" s="2"/>
      </tp>
      <tp t="s">
        <v>#N/A N/A</v>
        <stp/>
        <stp>BDP|12652246489275051716</stp>
        <tr r="AX81" s="2"/>
      </tp>
      <tp t="s">
        <v>#N/A Requesting Data...3737989848</v>
        <stp/>
        <stp>BDP|14591708893117854744</stp>
        <tr r="BA8" s="3"/>
      </tp>
      <tp t="s">
        <v>#N/A Requesting Data...4148386742</v>
        <stp/>
        <stp>BDP|10901756212248178452</stp>
        <tr r="Y349" s="3"/>
      </tp>
      <tp t="s">
        <v>#N/A Requesting Data...3396320959</v>
        <stp/>
        <stp>BDP|12573156569198731742</stp>
        <tr r="F90" s="3"/>
      </tp>
      <tp t="s">
        <v>#N/A Requesting Data...4201843773</v>
        <stp/>
        <stp>BDP|18361156545785127284</stp>
        <tr r="BG92" s="3"/>
      </tp>
      <tp t="s">
        <v>#N/A Requesting Data...3692639880</v>
        <stp/>
        <stp>BDP|13597814990491998977</stp>
        <tr r="AQ306" s="3"/>
      </tp>
      <tp t="s">
        <v>#N/A Requesting Data...3483243612</v>
        <stp/>
        <stp>BDP|13372034058389513574</stp>
        <tr r="AQ57" s="3"/>
      </tp>
      <tp t="s">
        <v>#N/A Requesting Data...3827369114</v>
        <stp/>
        <stp>BDP|18250218113845904430</stp>
        <tr r="AQ172" s="3"/>
      </tp>
      <tp t="s">
        <v>#N/A N/A</v>
        <stp/>
        <stp>BDP|15580099712479292769</stp>
        <tr r="BN22" s="2"/>
      </tp>
      <tp t="s">
        <v>#N/A Requesting Data...3394342430</v>
        <stp/>
        <stp>BDP|11214725000568348491</stp>
        <tr r="AZ83" s="3"/>
      </tp>
      <tp t="s">
        <v>#N/A Requesting Data...3805372878</v>
        <stp/>
        <stp>BDP|16782428424898559297</stp>
        <tr r="BA136" s="3"/>
      </tp>
      <tp t="s">
        <v>#N/A N/A</v>
        <stp/>
        <stp>BDP|13961141901920269832</stp>
        <tr r="AX94" s="2"/>
      </tp>
      <tp t="s">
        <v>#N/A Requesting Data...3694154341</v>
        <stp/>
        <stp>BDP|11810814203927002474</stp>
        <tr r="BH127" s="3"/>
      </tp>
      <tp t="s">
        <v>#N/A N/A</v>
        <stp/>
        <stp>BDP|11854737993016381364</stp>
        <tr r="AM59" s="2"/>
      </tp>
      <tp t="s">
        <v>#N/A Requesting Data...3702381287</v>
        <stp/>
        <stp>BDP|16970628733251419811</stp>
        <tr r="AH98" s="3"/>
      </tp>
      <tp t="s">
        <v>#N/A Requesting Data...4016834271</v>
        <stp/>
        <stp>BDP|18116931946286927901</stp>
        <tr r="BI326" s="3"/>
      </tp>
      <tp t="s">
        <v>#N/A Requesting Data...3284689223</v>
        <stp/>
        <stp>BDP|11938004363008019576</stp>
        <tr r="AH144" s="3"/>
      </tp>
      <tp t="s">
        <v>#N/A Requesting Data...4239645140</v>
        <stp/>
        <stp>BDP|16992563573528500649</stp>
        <tr r="P5" s="2"/>
      </tp>
      <tp t="s">
        <v>#N/A Requesting Data...3316907523</v>
        <stp/>
        <stp>BDP|17769938877790806372</stp>
        <tr r="Y58" s="3"/>
      </tp>
      <tp t="s">
        <v>#N/A Requesting Data...3913502942</v>
        <stp/>
        <stp>BDP|18192142545650909756</stp>
        <tr r="AZ243" s="3"/>
      </tp>
      <tp t="s">
        <v>#N/A Requesting Data...4147104729</v>
        <stp/>
        <stp>BDP|13017682795842004412</stp>
        <tr r="AA192" s="3"/>
      </tp>
      <tp t="s">
        <v>#N/A Requesting Data...3389595933</v>
        <stp/>
        <stp>BDP|13457501928297589951</stp>
        <tr r="AS345" s="3"/>
      </tp>
      <tp t="s">
        <v>#N/A Requesting Data...3431622894</v>
        <stp/>
        <stp>BDP|10952886206975847730</stp>
        <tr r="AA33" s="3"/>
      </tp>
      <tp t="s">
        <v>#N/A Requesting Data...3388761900</v>
        <stp/>
        <stp>BDP|11630979808814178648</stp>
        <tr r="I94" s="3"/>
      </tp>
      <tp t="s">
        <v>#N/A N/A</v>
        <stp/>
        <stp>BDP|17189583714538832191</stp>
        <tr r="AM77" s="2"/>
      </tp>
      <tp t="s">
        <v>#N/A Requesting Data...3403562308</v>
        <stp/>
        <stp>BDP|14194684754948415559</stp>
        <tr r="AQ28" s="4"/>
      </tp>
      <tp t="s">
        <v>#N/A Requesting Data...3763937874</v>
        <stp/>
        <stp>BDP|14780089336449042452</stp>
        <tr r="Y296" s="3"/>
      </tp>
      <tp t="s">
        <v>#N/A Requesting Data...3730546139</v>
        <stp/>
        <stp>BDP|12806756196581047775</stp>
        <tr r="AH51" s="3"/>
      </tp>
      <tp t="s">
        <v>#N/A Requesting Data...3437254611</v>
        <stp/>
        <stp>BDP|17289238348239472217</stp>
        <tr r="K210" s="3"/>
      </tp>
      <tp t="s">
        <v>#N/A Requesting Data...3669827996</v>
        <stp/>
        <stp>BDP|14615745188378642901</stp>
        <tr r="AQ189" s="3"/>
      </tp>
      <tp t="s">
        <v>#N/A Requesting Data...3330850343</v>
        <stp/>
        <stp>BDP|17015153411725971810</stp>
        <tr r="AS172" s="3"/>
      </tp>
      <tp t="s">
        <v>#N/A N/A</v>
        <stp/>
        <stp>BDP|12258393637308905094</stp>
        <tr r="BE13" s="2"/>
      </tp>
      <tp t="s">
        <v>#N/A Requesting Data...4042470892</v>
        <stp/>
        <stp>BDP|16627487016250234964</stp>
        <tr r="AZ340" s="3"/>
      </tp>
      <tp t="s">
        <v>#N/A Requesting Data...3561142884</v>
        <stp/>
        <stp>BDP|10500813471483078694</stp>
        <tr r="AV7" s="2"/>
      </tp>
      <tp t="s">
        <v>#N/A Requesting Data...3924435694</v>
        <stp/>
        <stp>BDP|13902619478190629890</stp>
        <tr r="AZ283" s="3"/>
      </tp>
      <tp t="s">
        <v>#N/A N/A</v>
        <stp/>
        <stp>BDP|14168739599631671127</stp>
        <tr r="Y49" s="4"/>
      </tp>
      <tp t="s">
        <v>#N/A Requesting Data...3693140275</v>
        <stp/>
        <stp>BDP|17764644540076890947</stp>
        <tr r="G5" s="4"/>
      </tp>
      <tp t="s">
        <v>#N/A Requesting Data...4087333739</v>
        <stp/>
        <stp>BDP|10335680295652017717</stp>
        <tr r="F224" s="3"/>
      </tp>
      <tp t="s">
        <v>#N/A N/A</v>
        <stp/>
        <stp>BDP|15446213542831959818</stp>
        <tr r="P66" s="2"/>
      </tp>
      <tp t="s">
        <v>#N/A Requesting Data...4232536402</v>
        <stp/>
        <stp>BDP|11085025492271888376</stp>
        <tr r="K283" s="3"/>
      </tp>
      <tp t="s">
        <v>#N/A Requesting Data...4188423217</v>
        <stp/>
        <stp>BDP|15125097007028422746</stp>
        <tr r="AS89" s="3"/>
      </tp>
      <tp t="s">
        <v>#N/A Requesting Data...3754755939</v>
        <stp/>
        <stp>BDP|10608986743610247704</stp>
        <tr r="AO26" s="4"/>
        <tr r="AQ197" s="3"/>
      </tp>
      <tp t="s">
        <v>#N/A Requesting Data...3491531957</v>
        <stp/>
        <stp>BDP|13514851575140351692</stp>
        <tr r="AQ103" s="3"/>
      </tp>
      <tp t="s">
        <v>#N/A Requesting Data...3514207799</v>
        <stp/>
        <stp>BDP|17922975740689849993</stp>
        <tr r="O127" s="3"/>
      </tp>
      <tp t="s">
        <v>#N/A Requesting Data...4083176962</v>
        <stp/>
        <stp>BDP|11967347794727549637</stp>
        <tr r="I123" s="3"/>
      </tp>
      <tp t="s">
        <v>#N/A N/A</v>
        <stp/>
        <stp>BDP|13259331787837088591</stp>
        <tr r="AD99" s="2"/>
      </tp>
      <tp t="s">
        <v>#N/A Requesting Data...3577203341</v>
        <stp/>
        <stp>BDP|15676457106372245983</stp>
        <tr r="O48" s="4"/>
      </tp>
      <tp t="s">
        <v>#N/A N/A</v>
        <stp/>
        <stp>BDP|12671521349411700856</stp>
        <tr r="P96" s="2"/>
      </tp>
      <tp t="s">
        <v>#N/A Requesting Data...4073986074</v>
        <stp/>
        <stp>BDP|11014790345529790156</stp>
        <tr r="AJ179" s="3"/>
      </tp>
      <tp t="s">
        <v>#N/A Requesting Data...3603067373</v>
        <stp/>
        <stp>BDP|17481440304228964136</stp>
        <tr r="BH106" s="3"/>
      </tp>
      <tp t="s">
        <v>#N/A Requesting Data...3566869276</v>
        <stp/>
        <stp>BDP|10332378509381193828</stp>
        <tr r="Y166" s="3"/>
      </tp>
      <tp t="s">
        <v>#N/A Requesting Data...3888208312</v>
        <stp/>
        <stp>BDP|10309230376397924818</stp>
        <tr r="AQ294" s="3"/>
      </tp>
      <tp t="s">
        <v>#N/A Requesting Data...3618878383</v>
        <stp/>
        <stp>BDP|15573726803449890122</stp>
        <tr r="AJ127" s="3"/>
      </tp>
      <tp t="s">
        <v>#N/A Requesting Data...3932718777</v>
        <stp/>
        <stp>BDP|13657333518979508262</stp>
        <tr r="AA157" s="3"/>
      </tp>
      <tp t="s">
        <v>#N/A Requesting Data...3871913728</v>
        <stp/>
        <stp>BDP|14263723271418734680</stp>
        <tr r="AH206" s="3"/>
      </tp>
      <tp t="s">
        <v>#N/A Requesting Data...3935545498</v>
        <stp/>
        <stp>BDP|12903381062569867450</stp>
        <tr r="BB98" s="3"/>
      </tp>
      <tp t="s">
        <v>#N/A Requesting Data...3804551058</v>
        <stp/>
        <stp>BDP|10325851413305222692</stp>
        <tr r="AZ308" s="3"/>
      </tp>
      <tp t="s">
        <v>#N/A Requesting Data...3936922218</v>
        <stp/>
        <stp>BDP|16004527165839197680</stp>
        <tr r="BB9" s="3"/>
      </tp>
      <tp t="s">
        <v>#N/A Requesting Data...3767067507</v>
        <stp/>
        <stp>BDP|10510037789363411151</stp>
        <tr r="BF306" s="3"/>
      </tp>
      <tp t="s">
        <v>#N/A Requesting Data...3906560871</v>
        <stp/>
        <stp>BDP|16039984837281419751</stp>
        <tr r="F335" s="3"/>
      </tp>
      <tp t="s">
        <v>#N/A N/A</v>
        <stp/>
        <stp>BDP|15935861722773623653</stp>
        <tr r="BN87" s="2"/>
      </tp>
      <tp t="s">
        <v>#N/A Requesting Data...4194322688</v>
        <stp/>
        <stp>BDP|17696446910020225816</stp>
        <tr r="Y281" s="3"/>
      </tp>
      <tp t="s">
        <v>#N/A Requesting Data...3835998849</v>
        <stp/>
        <stp>BDP|10568836566942096618</stp>
        <tr r="K4" s="3"/>
      </tp>
      <tp t="s">
        <v>#N/A Requesting Data...3671604189</v>
        <stp/>
        <stp>BDP|15481558460914707871</stp>
        <tr r="BB177" s="3"/>
      </tp>
      <tp t="s">
        <v>#N/A Requesting Data...4193707102</v>
        <stp/>
        <stp>BDP|11569018390160140244</stp>
        <tr r="BG205" s="3"/>
      </tp>
      <tp t="s">
        <v>#N/A Requesting Data...4056145245</v>
        <stp/>
        <stp>BDP|17328513200058274019</stp>
        <tr r="Q341" s="3"/>
      </tp>
      <tp t="s">
        <v>#N/A Requesting Data...4161786523</v>
        <stp/>
        <stp>BDP|12000619264381408905</stp>
        <tr r="AH83" s="3"/>
      </tp>
      <tp t="s">
        <v>#N/A Requesting Data...3927513091</v>
        <stp/>
        <stp>BDP|15896611880036031785</stp>
        <tr r="BG202" s="3"/>
      </tp>
      <tp t="s">
        <v>#N/A Requesting Data...3906083427</v>
        <stp/>
        <stp>BDP|18183780757407688798</stp>
        <tr r="AH20" s="3"/>
      </tp>
      <tp t="s">
        <v>#N/A N/A</v>
        <stp/>
        <stp>BDP|11866392890319710875</stp>
        <tr r="BE63" s="2"/>
      </tp>
      <tp t="s">
        <v>#N/A Requesting Data...4052843843</v>
        <stp/>
        <stp>BDP|10305312719669822124</stp>
        <tr r="AS54" s="3"/>
      </tp>
      <tp t="s">
        <v>#N/A Requesting Data...4025570364</v>
        <stp/>
        <stp>BDP|15382554888547887570</stp>
        <tr r="AX22" s="2"/>
        <tr r="AQ15" s="4"/>
      </tp>
      <tp t="s">
        <v>#N/A Requesting Data...3793164612</v>
        <stp/>
        <stp>BDP|16926058799163290663</stp>
        <tr r="AH321" s="3"/>
      </tp>
      <tp t="s">
        <v>#N/A Requesting Data...3780219060</v>
        <stp/>
        <stp>BDP|15571380285072970600</stp>
        <tr r="Y80" s="3"/>
      </tp>
      <tp t="s">
        <v>#N/A Requesting Data...3973495185</v>
        <stp/>
        <stp>BDP|14720663683014314400</stp>
        <tr r="AH274" s="3"/>
      </tp>
      <tp t="s">
        <v>#N/A N/A</v>
        <stp/>
        <stp>BDP|14804997148713924015</stp>
        <tr r="BF98" s="2"/>
      </tp>
      <tp t="s">
        <v>#N/A Requesting Data...3774294868</v>
        <stp/>
        <stp>BDP|14530442690026658561</stp>
        <tr r="AS50" s="3"/>
      </tp>
      <tp t="s">
        <v>#N/A N/A</v>
        <stp/>
        <stp>BDP|11848396097474717503</stp>
        <tr r="T53" s="2"/>
      </tp>
      <tp t="s">
        <v>#N/A Requesting Data...3809455055</v>
        <stp/>
        <stp>BDP|13327203391737752547</stp>
        <tr r="BA229" s="3"/>
      </tp>
      <tp t="s">
        <v>#N/A Requesting Data...3923594375</v>
        <stp/>
        <stp>BDP|14414484475498886512</stp>
        <tr r="K307" s="3"/>
      </tp>
      <tp t="s">
        <v>#N/A Requesting Data...3876068858</v>
        <stp/>
        <stp>BDP|14150808875713607221</stp>
        <tr r="I59" s="3"/>
      </tp>
      <tp t="s">
        <v>#N/A Requesting Data...3708512053</v>
        <stp/>
        <stp>BDP|11698522078801994850</stp>
        <tr r="Y152" s="3"/>
      </tp>
      <tp t="s">
        <v>#N/A N/A</v>
        <stp/>
        <stp>BDP|17175508500398567040</stp>
        <tr r="AM67" s="2"/>
      </tp>
      <tp t="s">
        <v>#N/A Requesting Data...3835474980</v>
        <stp/>
        <stp>BDP|14737958754570264242</stp>
        <tr r="BA259" s="3"/>
      </tp>
      <tp t="s">
        <v>#N/A Requesting Data...3697849691</v>
        <stp/>
        <stp>BDP|18192664662404176644</stp>
        <tr r="Y171" s="3"/>
      </tp>
      <tp t="s">
        <v>#N/A Requesting Data...3767829489</v>
        <stp/>
        <stp>BDP|15410023801947120860</stp>
        <tr r="AQ194" s="3"/>
      </tp>
      <tp t="s">
        <v>#N/A Requesting Data...3951640776</v>
        <stp/>
        <stp>BDP|12258729971071141900</stp>
        <tr r="Y8" s="3"/>
      </tp>
      <tp t="s">
        <v>#N/A N/A</v>
        <stp/>
        <stp>BDP|15583327852389723026</stp>
        <tr r="AF27" s="2"/>
      </tp>
      <tp t="s">
        <v>#N/A Requesting Data...4027793699</v>
        <stp/>
        <stp>BDP|13281731800128558642</stp>
        <tr r="AV2" s="2"/>
        <tr r="AO2" s="4"/>
        <tr r="AQ2" s="3"/>
      </tp>
      <tp t="s">
        <v>#N/A Requesting Data...3953842374</v>
        <stp/>
        <stp>BDP|10285774024519125605</stp>
        <tr r="Y54" s="3"/>
      </tp>
      <tp t="s">
        <v>#N/A Requesting Data...4116487821</v>
        <stp/>
        <stp>BDP|12736012243814168842</stp>
        <tr r="AH201" s="3"/>
      </tp>
      <tp t="s">
        <v>#N/A Requesting Data...4242662772</v>
        <stp/>
        <stp>BDP|16866809681334942805</stp>
        <tr r="K277" s="3"/>
      </tp>
      <tp t="s">
        <v>#N/A Requesting Data...4100859715</v>
        <stp/>
        <stp>BDP|15520462281683536079</stp>
        <tr r="Q265" s="3"/>
      </tp>
      <tp t="s">
        <v>#N/A N/A</v>
        <stp/>
        <stp>BDP|15318383613199970418</stp>
        <tr r="BE98" s="2"/>
      </tp>
      <tp t="s">
        <v>#N/A Requesting Data...4253752978</v>
        <stp/>
        <stp>BDP|13121563717724643961</stp>
        <tr r="BH76" s="3"/>
      </tp>
      <tp t="s">
        <v>#N/A Requesting Data...4117032869</v>
        <stp/>
        <stp>BDP|13877886173545753342</stp>
        <tr r="O50" s="4"/>
      </tp>
      <tp t="s">
        <v>#N/A Requesting Data...4135637215</v>
        <stp/>
        <stp>BDP|13249047376799446740</stp>
        <tr r="K296" s="3"/>
      </tp>
      <tp t="s">
        <v>#N/A N/A</v>
        <stp/>
        <stp>BDP|11591315666946274802</stp>
        <tr r="BL40" s="2"/>
      </tp>
      <tp t="s">
        <v>#N/A Requesting Data...3965870155</v>
        <stp/>
        <stp>BDP|13159209701942330931</stp>
        <tr r="BA124" s="3"/>
      </tp>
      <tp t="s">
        <v>#N/A Requesting Data...4037503597</v>
        <stp/>
        <stp>BDP|10183948558872883456</stp>
        <tr r="AS95" s="3"/>
      </tp>
      <tp t="s">
        <v>#N/A N/A</v>
        <stp/>
        <stp>BDP|17043687462708093596</stp>
        <tr r="BF20" s="2"/>
      </tp>
      <tp t="s">
        <v>#N/A Requesting Data...4232759388</v>
        <stp/>
        <stp>BDP|10728001945777999985</stp>
        <tr r="BI119" s="3"/>
      </tp>
      <tp t="s">
        <v>#N/A Requesting Data...4039912253</v>
        <stp/>
        <stp>BDP|14906699987112641223</stp>
        <tr r="AJ350" s="3"/>
      </tp>
      <tp t="s">
        <v>#N/A Requesting Data...4282374978</v>
        <stp/>
        <stp>BDP|13971578321016957854</stp>
        <tr r="AZ35" s="3"/>
      </tp>
      <tp t="s">
        <v>#N/A Requesting Data...4093890308</v>
        <stp/>
        <stp>BDP|13389328226889669123</stp>
        <tr r="O177" s="3"/>
      </tp>
      <tp t="s">
        <v>#N/A N/A</v>
        <stp/>
        <stp>BDP|18089671105273919789</stp>
        <tr r="AM86" s="2"/>
      </tp>
      <tp t="s">
        <v>#N/A N/A</v>
        <stp/>
        <stp>BDP|16750865947530616035</stp>
        <tr r="AF82" s="2"/>
      </tp>
      <tp t="s">
        <v>#N/A Requesting Data...3894195416</v>
        <stp/>
        <stp>BDP|11328811592043633950</stp>
        <tr r="AJ107" s="3"/>
      </tp>
      <tp t="s">
        <v>#N/A Requesting Data...4290471894</v>
        <stp/>
        <stp>BDP|15558914662180758022</stp>
        <tr r="AH130" s="3"/>
      </tp>
      <tp t="s">
        <v>#N/A Requesting Data...4181333452</v>
        <stp/>
        <stp>BDP|16069661815273346834</stp>
        <tr r="AH179" s="3"/>
      </tp>
      <tp t="s">
        <v>#N/A Requesting Data...4183957174</v>
        <stp/>
        <stp>BDP|13530796137474815904</stp>
        <tr r="D32" s="4"/>
      </tp>
      <tp t="s">
        <v>#N/A Requesting Data...4231662852</v>
        <stp/>
        <stp>BDP|13499242520159226003</stp>
        <tr r="BI289" s="3"/>
      </tp>
      <tp t="s">
        <v>#N/A N/A</v>
        <stp/>
        <stp>BDP|18121403937106232368</stp>
        <tr r="AX80" s="2"/>
      </tp>
      <tp t="s">
        <v>#N/A Requesting Data...3875954033</v>
        <stp/>
        <stp>BDP|15061660427599719249</stp>
        <tr r="AJ121" s="3"/>
      </tp>
      <tp t="s">
        <v>#N/A Requesting Data...3949349266</v>
        <stp/>
        <stp>BDP|11633552236168088572</stp>
        <tr r="AX41" s="4"/>
      </tp>
      <tp t="s">
        <v>#N/A Requesting Data...4159300635</v>
        <stp/>
        <stp>BDP|17885975818266311364</stp>
        <tr r="BG302" s="3"/>
      </tp>
      <tp t="s">
        <v>#N/A Requesting Data...3947864486</v>
        <stp/>
        <stp>BDP|10420221012781487825</stp>
        <tr r="BL6" s="2"/>
      </tp>
      <tp t="s">
        <v>#N/A Requesting Data...3915981082</v>
        <stp/>
        <stp>BDP|15640823125530087533</stp>
        <tr r="BI17" s="3"/>
      </tp>
      <tp t="s">
        <v>#N/A Requesting Data...3913906099</v>
        <stp/>
        <stp>BDP|10586622734898795764</stp>
        <tr r="Y329" s="3"/>
      </tp>
      <tp t="s">
        <v>#N/A Requesting Data...4060021731</v>
        <stp/>
        <stp>BDP|16346805300954144003</stp>
        <tr r="BB142" s="3"/>
      </tp>
      <tp t="s">
        <v>#N/A Requesting Data...3937765532</v>
        <stp/>
        <stp>BDP|16451421024299084300</stp>
        <tr r="BI350" s="3"/>
      </tp>
      <tp t="s">
        <v>#N/A Requesting Data...3963993232</v>
        <stp/>
        <stp>BDP|13919986523402093004</stp>
        <tr r="BH217" s="3"/>
      </tp>
      <tp t="s">
        <v>#N/A N/A</v>
        <stp/>
        <stp>BDP|11223798253201955833</stp>
        <tr r="AD89" s="2"/>
      </tp>
      <tp t="s">
        <v>#N/A N/A</v>
        <stp/>
        <stp>BDP|13045870828422941149</stp>
        <tr r="BK62" s="2"/>
      </tp>
      <tp t="s">
        <v>#N/A Requesting Data...4170354901</v>
        <stp/>
        <stp>BDP|15105353791850666511</stp>
        <tr r="BF214" s="3"/>
      </tp>
      <tp t="s">
        <v>#N/A Requesting Data...3994183938</v>
        <stp/>
        <stp>BDP|12646129896115889587</stp>
        <tr r="BF27" s="3"/>
      </tp>
      <tp t="s">
        <v>#N/A Requesting Data...4047973579</v>
        <stp/>
        <stp>BDP|14639617993453628203</stp>
        <tr r="BG298" s="3"/>
      </tp>
      <tp t="s">
        <v>#N/A Requesting Data...4151320823</v>
        <stp/>
        <stp>BDP|11458733486922774649</stp>
        <tr r="AS324" s="3"/>
      </tp>
      <tp t="s">
        <v>#N/A Requesting Data...4131019344</v>
        <stp/>
        <stp>BDP|17786545202879750141</stp>
        <tr r="BE5" s="2"/>
      </tp>
      <tp t="s">
        <v>#N/A Requesting Data...4209554110</v>
        <stp/>
        <stp>BDP|11468293690732603292</stp>
        <tr r="Q189" s="3"/>
      </tp>
      <tp t="s">
        <v>#N/A Requesting Data...4215498233</v>
        <stp/>
        <stp>BDP|12987631924819948555</stp>
        <tr r="BB51" s="3"/>
      </tp>
      <tp t="s">
        <v>#N/A N/A</v>
        <stp/>
        <stp>BDP|16059180099162071635</stp>
        <tr r="K30" s="2"/>
      </tp>
      <tp t="s">
        <v>#N/A Requesting Data...4233368635</v>
        <stp/>
        <stp>BDP|14863320008515374832</stp>
        <tr r="BI156" s="3"/>
      </tp>
      <tp t="s">
        <v>#N/A Requesting Data...3985562085</v>
        <stp/>
        <stp>BDP|10018645392635487071</stp>
        <tr r="BF234" s="3"/>
      </tp>
      <tp t="s">
        <v>#N/A N/A</v>
        <stp/>
        <stp>BDP|16965258567518846064</stp>
        <tr r="T42" s="2"/>
      </tp>
      <tp t="s">
        <v>#N/A Requesting Data...4249371455</v>
        <stp/>
        <stp>BDP|15278828691458484609</stp>
        <tr r="Y215" s="3"/>
      </tp>
      <tp t="s">
        <v>#N/A N/A</v>
        <stp/>
        <stp>BDP|16982956943649295889</stp>
        <tr r="BF19" s="2"/>
      </tp>
      <tp t="s">
        <v>#N/A Requesting Data...4093627928</v>
        <stp/>
        <stp>BDP|14193986057421369382</stp>
        <tr r="F288" s="3"/>
      </tp>
      <tp t="s">
        <v>#N/A Requesting Data...4265714334</v>
        <stp/>
        <stp>BDP|11106101382141770318</stp>
        <tr r="I266" s="3"/>
      </tp>
      <tp t="s">
        <v>#N/A Requesting Data...4181576333</v>
        <stp/>
        <stp>BDP|10864508004106847914</stp>
        <tr r="BI213" s="3"/>
      </tp>
      <tp t="s">
        <v>#N/A Requesting Data...4035210931</v>
        <stp/>
        <stp>BDP|18337704031932770407</stp>
        <tr r="K13" s="3"/>
      </tp>
      <tp t="s">
        <v>#N/A Requesting Data...4105275930</v>
        <stp/>
        <stp>BDP|13537458369328405386</stp>
        <tr r="AJ247" s="3"/>
      </tp>
      <tp t="s">
        <v>#N/A Requesting Data...4178218891</v>
        <stp/>
        <stp>BDP|11115921115045354609</stp>
        <tr r="Q95" s="3"/>
      </tp>
      <tp t="s">
        <v>#N/A Requesting Data...4209697135</v>
        <stp/>
        <stp>BDP|12647375581571286270</stp>
        <tr r="BA323" s="3"/>
      </tp>
      <tp t="s">
        <v>#N/A Requesting Data...4038101395</v>
        <stp/>
        <stp>BDP|12469767824494607956</stp>
        <tr r="AS286" s="3"/>
      </tp>
      <tp t="s">
        <v>#N/A N/A</v>
        <stp/>
        <stp>BDP|16755215404139115763</stp>
        <tr r="BE67" s="2"/>
      </tp>
      <tp t="s">
        <v>#N/A N/A</v>
        <stp/>
        <stp>BDP|17070425181451277043</stp>
        <tr r="AD75" s="2"/>
      </tp>
      <tp t="s">
        <v>#N/A N/A</v>
        <stp/>
        <stp>BDP|13469728784443124569</stp>
        <tr r="K20" s="2"/>
      </tp>
      <tp t="s">
        <v>#N/A Requesting Data...4231202319</v>
        <stp/>
        <stp>BDP|10328488599393110468</stp>
        <tr r="Y158" s="3"/>
      </tp>
      <tp t="s">
        <v>#N/A N/A</v>
        <stp/>
        <stp>BDP|17440023997396256261</stp>
        <tr r="BN78" s="2"/>
      </tp>
      <tp t="s">
        <v>#N/A Requesting Data...4066359707</v>
        <stp/>
        <stp>BDP|12801001188582775224</stp>
        <tr r="AQ93" s="3"/>
      </tp>
      <tp t="s">
        <v>#N/A Requesting Data...4235712533</v>
        <stp/>
        <stp>BDP|15076053065318629133</stp>
        <tr r="AH231" s="3"/>
      </tp>
      <tp t="s">
        <v>#N/A N/A</v>
        <stp/>
        <stp>BDP|11267527214949270639</stp>
        <tr r="AO91" s="2"/>
      </tp>
      <tp t="s">
        <v>#N/A Requesting Data...4059308098</v>
        <stp/>
        <stp>BDP|17770901424075243347</stp>
        <tr r="BI182" s="3"/>
      </tp>
      <tp t="s">
        <v>#N/A Requesting Data...4130048705</v>
        <stp/>
        <stp>BDP|18265448637083170643</stp>
        <tr r="F79" s="3"/>
      </tp>
      <tp t="s">
        <v>#N/A Requesting Data...4178936007</v>
        <stp/>
        <stp>BDP|14871517890821454394</stp>
        <tr r="BG174" s="3"/>
      </tp>
      <tp t="s">
        <v>#N/A Requesting Data...4072387513</v>
        <stp/>
        <stp>BDP|10335446153462793971</stp>
        <tr r="BG166" s="3"/>
      </tp>
      <tp t="s">
        <v>#N/A Requesting Data...4175473083</v>
        <stp/>
        <stp>BDP|10794161852649115760</stp>
        <tr r="AQ162" s="3"/>
      </tp>
      <tp t="s">
        <v>#N/A Requesting Data...4151546730</v>
        <stp/>
        <stp>BDP|11611971735508220929</stp>
        <tr r="AO30" s="4"/>
      </tp>
      <tp t="s">
        <v>#N/A Requesting Data...4100371870</v>
        <stp/>
        <stp>BDP|16757297699813217416</stp>
        <tr r="AD71" s="2"/>
        <tr r="W36" s="4"/>
      </tp>
      <tp t="s">
        <v>#N/A N/A</v>
        <stp/>
        <stp>BDP|14845671172929967607</stp>
        <tr r="BE20" s="2"/>
      </tp>
      <tp t="s">
        <v>#N/A Requesting Data...4151401544</v>
        <stp/>
        <stp>BDP|14971430482906845447</stp>
        <tr r="Y20" s="3"/>
      </tp>
      <tp t="s">
        <v>#N/A N/A</v>
        <stp/>
        <stp>BDP|16340825643940031067</stp>
        <tr r="K28" s="2"/>
      </tp>
      <tp t="s">
        <v>#N/A N/A</v>
        <stp/>
        <stp>BDP|17748862246431055035</stp>
        <tr r="N41" s="2"/>
      </tp>
      <tp t="s">
        <v>#N/A Requesting Data...4205606600</v>
        <stp/>
        <stp>BDP|11845910755197958010</stp>
        <tr r="AQ275" s="3"/>
      </tp>
      <tp t="s">
        <v>#N/A Requesting Data...4252946577</v>
        <stp/>
        <stp>BDP|10875543486274674381</stp>
        <tr r="BF281" s="3"/>
      </tp>
      <tp t="s">
        <v>#N/A Requesting Data...4183946685</v>
        <stp/>
        <stp>BDP|16664261282152277446</stp>
        <tr r="BF205" s="3"/>
      </tp>
      <tp t="s">
        <v>#N/A Requesting Data...4242712704</v>
        <stp/>
        <stp>BDP|16125453613428473175</stp>
        <tr r="AZ209" s="3"/>
      </tp>
      <tp t="s">
        <v>#N/A Requesting Data...4294493246</v>
        <stp/>
        <stp>BDP|17047326546859360305</stp>
        <tr r="AA178" s="3"/>
      </tp>
      <tp t="s">
        <v>#N/A N/A</v>
        <stp/>
        <stp>BDP|11446438276469729112</stp>
        <tr r="AX70" s="2"/>
      </tp>
      <tp t="s">
        <v>#N/A Requesting Data...4233441532</v>
        <stp/>
        <stp>BDP|10812922824684998504</stp>
        <tr r="AO4" s="2"/>
        <tr r="AJ248" s="3"/>
      </tp>
      <tp t="s">
        <v>#N/A Requesting Data...4190004560</v>
        <stp/>
        <stp>BDP|14137483619608385340</stp>
        <tr r="BB206" s="3"/>
      </tp>
      <tp t="s">
        <v>#N/A Requesting Data...4255723736</v>
        <stp/>
        <stp>BDP|12103006909341702989</stp>
        <tr r="Q296" s="3"/>
      </tp>
      <tp t="s">
        <v>#N/A Requesting Data...4267092255</v>
        <stp/>
        <stp>BDP|10159086509998721204</stp>
        <tr r="Q43" s="3"/>
      </tp>
      <tp t="s">
        <v>#N/A Requesting Data...4273838856</v>
        <stp/>
        <stp>BDP|11740676991593137774</stp>
        <tr r="BI353" s="3"/>
      </tp>
      <tp t="s">
        <v>#N/A Requesting Data...4241237490</v>
        <stp/>
        <stp>BDP|13682368274364265915</stp>
        <tr r="AQ271" s="3"/>
      </tp>
      <tp t="s">
        <v>#N/A Requesting Data...4285560570</v>
        <stp/>
        <stp>BDP|12417118580030097127</stp>
        <tr r="BG87" s="3"/>
      </tp>
      <tp t="s">
        <v>#N/A Requesting Data...4283472069</v>
        <stp/>
        <stp>BDP|12260846423241735354</stp>
        <tr r="BF226" s="3"/>
      </tp>
      <tp t="s">
        <v>#N/A Requesting Data...4235626843</v>
        <stp/>
        <stp>BDP|18095193252225495385</stp>
        <tr r="Q67" s="3"/>
      </tp>
      <tp t="s">
        <v>#N/A Requesting Data...4240206897</v>
        <stp/>
        <stp>BDP|11455029480764837782</stp>
        <tr r="AQ222" s="3"/>
      </tp>
      <tp t="s">
        <v>#N/A Requesting Data...4247693883</v>
        <stp/>
        <stp>BDP|15696284980360021585</stp>
        <tr r="K104" s="3"/>
      </tp>
      <tp t="s">
        <v>#N/A Requesting Data...4293610132</v>
        <stp/>
        <stp>BDP|17693808942178199930</stp>
        <tr r="O293" s="3"/>
      </tp>
      <tp t="s">
        <v>#N/A Requesting Data...4258868450</v>
        <stp/>
        <stp>BDP|14017051023925125912</stp>
        <tr r="F44" s="3"/>
      </tp>
      <tp t="s">
        <v>#N/A Requesting Data...4220301815</v>
        <stp/>
        <stp>BDP|17542327682157721149</stp>
        <tr r="Y4" s="3"/>
      </tp>
      <tp t="s">
        <v>#N/A Requesting Data...4248390206</v>
        <stp/>
        <stp>BDP|14791416273189636452</stp>
        <tr r="O144" s="3"/>
      </tp>
      <tp t="s">
        <v>#N/A Requesting Data...4246182048</v>
        <stp/>
        <stp>BDP|18164249073465449240</stp>
        <tr r="AJ188" s="3"/>
      </tp>
      <tp t="s">
        <v>#N/A Requesting Data...4242684479</v>
        <stp/>
        <stp>BDP|13304180112968705186</stp>
        <tr r="I119" s="3"/>
      </tp>
      <tp t="s">
        <v>#N/A Requesting Data...4258540318</v>
        <stp/>
        <stp>BDP|14041014099161839661</stp>
        <tr r="O281" s="3"/>
      </tp>
      <tp t="s">
        <v>#N/A Requesting Data...4271523921</v>
        <stp/>
        <stp>BDP|10793627556989271071</stp>
        <tr r="O318" s="3"/>
      </tp>
      <tp t="s">
        <v>#N/A Requesting Data...4293511329</v>
        <stp/>
        <stp>BDP|14297025401957671912</stp>
        <tr r="I271" s="3"/>
      </tp>
      <tp t="s">
        <v>#N/A Requesting Data...4285041837</v>
        <stp/>
        <stp>BDP|16528872675362443150</stp>
        <tr r="K152" s="3"/>
      </tp>
      <tp t="s">
        <v>#N/A N/A</v>
        <stp/>
        <stp>BDP|11868737138798288778</stp>
        <tr r="BL14" s="2"/>
      </tp>
      <tp t="s">
        <v>#N/A Requesting Data...4280439096</v>
        <stp/>
        <stp>BDP|12915484470368593329</stp>
        <tr r="AH14" s="3"/>
      </tp>
      <tp t="s">
        <v>#N/A Requesting Data...4286445282</v>
        <stp/>
        <stp>BDP|13460138968278139689</stp>
        <tr r="BB266" s="3"/>
      </tp>
      <tp t="s">
        <v>#N/A Requesting Data...4293971257</v>
        <stp/>
        <stp>BDP|14376515535588372024</stp>
        <tr r="BE2" s="2"/>
        <tr r="AX2" s="4"/>
        <tr r="AZ2" s="3"/>
      </tp>
      <tp t="s">
        <v>#N/A Requesting Data...4288657044</v>
        <stp/>
        <stp>BDP|13837898307439767982</stp>
        <tr r="BI56" s="3"/>
      </tp>
      <tp t="s">
        <v>#N/A Requesting Data...4290700832</v>
        <stp/>
        <stp>BDP|14966642702379482025</stp>
        <tr r="AH13" s="4"/>
      </tp>
      <tp t="s">
        <v>#N/A Requesting Data...4293172703</v>
        <stp/>
        <stp>BDP|14356930428925635176</stp>
        <tr r="AH146" s="3"/>
      </tp>
      <tp t="s">
        <v>#N/A Requesting Data...4293366702</v>
        <stp/>
        <stp>BDP|15966504656027592932</stp>
        <tr r="BA255" s="3"/>
      </tp>
      <tp t="s">
        <v>#N/A Requesting Data...2499063948</v>
        <stp/>
        <stp>BDP|17852894948320441048</stp>
        <tr r="AS326" s="3"/>
      </tp>
      <tp t="s">
        <v>#N/A Requesting Data...1785633922</v>
        <stp/>
        <stp>BDP|10629753698273734651</stp>
        <tr r="AZ330" s="3"/>
      </tp>
      <tp t="s">
        <v>#N/A Requesting Data...3207072551</v>
        <stp/>
        <stp>BDP|15563451224228874053</stp>
        <tr r="I28" s="4"/>
      </tp>
      <tp t="s">
        <v>#N/A Requesting Data...3079487100</v>
        <stp/>
        <stp>BDP|16183071346961852815</stp>
        <tr r="BG165" s="3"/>
      </tp>
      <tp t="s">
        <v>#N/A Requesting Data...2644268021</v>
        <stp/>
        <stp>BDP|10015807149202534557</stp>
        <tr r="AH346" s="3"/>
      </tp>
      <tp t="s">
        <v>#N/A N/A</v>
        <stp/>
        <stp>BDP|16906868553960457014</stp>
        <tr r="AV39" s="2"/>
      </tp>
      <tp t="s">
        <v>#N/A Requesting Data...2314329271</v>
        <stp/>
        <stp>BDP|16733152784234970063</stp>
        <tr r="BG95" s="3"/>
      </tp>
      <tp t="s">
        <v>#N/A Requesting Data...3386588120</v>
        <stp/>
        <stp>BDP|14331690486052066352</stp>
        <tr r="AH315" s="3"/>
      </tp>
      <tp t="s">
        <v>#N/A Requesting Data...3291804031</v>
        <stp/>
        <stp>BDP|11464960011493824125</stp>
        <tr r="AH79" s="3"/>
      </tp>
      <tp t="s">
        <v>#N/A Requesting Data...3539133210</v>
        <stp/>
        <stp>BDP|12816722777769043044</stp>
        <tr r="AZ223" s="3"/>
      </tp>
      <tp t="s">
        <v>#N/A Requesting Data...893633870</v>
        <stp/>
        <stp>BDP|13219967808759535806</stp>
        <tr r="AQ173" s="3"/>
      </tp>
      <tp t="s">
        <v>#N/A Requesting Data...2942170930</v>
        <stp/>
        <stp>BDP|17940934055531472126</stp>
        <tr r="I348" s="3"/>
      </tp>
      <tp t="s">
        <v>#N/A Requesting Data...3842070819</v>
        <stp/>
        <stp>BDP|12120391770114665970</stp>
        <tr r="K223" s="3"/>
      </tp>
      <tp t="s">
        <v>#N/A Requesting Data...498886614</v>
        <stp/>
        <stp>BDP|17929371225835386809</stp>
        <tr r="K90" s="3"/>
      </tp>
      <tp t="s">
        <v>#N/A Requesting Data...4159992664</v>
        <stp/>
        <stp>BDP|18211970501892867840</stp>
        <tr r="BH208" s="3"/>
      </tp>
      <tp t="s">
        <v>#N/A Requesting Data...3241144482</v>
        <stp/>
        <stp>BDP|17468987737942145420</stp>
        <tr r="BA274" s="3"/>
      </tp>
      <tp t="s">
        <v>#N/A Requesting Data...431176367</v>
        <stp/>
        <stp>BDP|10872218454109433511</stp>
        <tr r="AQ341" s="3"/>
      </tp>
      <tp t="s">
        <v>#N/A Requesting Data...479226241</v>
        <stp/>
        <stp>BDP|10039421098587431167</stp>
        <tr r="BF26" s="3"/>
      </tp>
      <tp t="s">
        <v>#N/A Requesting Data...389382925</v>
        <stp/>
        <stp>BDP|12924468165652774959</stp>
        <tr r="BA218" s="3"/>
      </tp>
      <tp t="s">
        <v>#N/A Requesting Data...948482356</v>
        <stp/>
        <stp>BDP|13368986605360367154</stp>
        <tr r="AH306" s="3"/>
      </tp>
      <tp t="s">
        <v>#N/A Requesting Data...3574512007</v>
        <stp/>
        <stp>BDP|12685534943841633986</stp>
        <tr r="F220" s="3"/>
      </tp>
      <tp t="s">
        <v>#N/A Requesting Data...574534117</v>
        <stp/>
        <stp>BDP|16804580681588104885</stp>
        <tr r="AX3" s="2"/>
        <tr r="AS316" s="3"/>
      </tp>
      <tp t="s">
        <v>#N/A Requesting Data...3707947508</v>
        <stp/>
        <stp>BDP|18394317161976910021</stp>
        <tr r="BI325" s="3"/>
      </tp>
      <tp t="s">
        <v>#N/A Requesting Data...2593868803</v>
        <stp/>
        <stp>BDP|14820680000588879105</stp>
        <tr r="BI295" s="3"/>
      </tp>
      <tp t="s">
        <v>#N/A Requesting Data...4086205699</v>
        <stp/>
        <stp>BDP|16242252583400844742</stp>
        <tr r="Q215" s="3"/>
      </tp>
      <tp t="s">
        <v>#N/A Requesting Data...2194890065</v>
        <stp/>
        <stp>BDP|17604600518523199847</stp>
        <tr r="O225" s="3"/>
      </tp>
      <tp t="s">
        <v>#N/A N/A</v>
        <stp/>
        <stp>BDP|12048947531554874768</stp>
        <tr r="AF54" s="2"/>
      </tp>
      <tp t="s">
        <v>#N/A Requesting Data...3819154340</v>
        <stp/>
        <stp>BDP|12871415326956008942</stp>
        <tr r="BA30" s="3"/>
      </tp>
      <tp t="s">
        <v>#N/A Requesting Data...2875533636</v>
        <stp/>
        <stp>BDP|14447061484521892650</stp>
        <tr r="BG38" s="3"/>
      </tp>
      <tp t="s">
        <v>#N/A Requesting Data...3913145744</v>
        <stp/>
        <stp>BDP|16138998062067178503</stp>
        <tr r="BH139" s="3"/>
      </tp>
      <tp t="s">
        <v>#N/A N/A</v>
        <stp/>
        <stp>BDP|18031256419813755306</stp>
        <tr r="BF90" s="2"/>
      </tp>
      <tp t="s">
        <v>#N/A Requesting Data...1013627313</v>
        <stp/>
        <stp>BDP|15781767281381255095</stp>
        <tr r="K226" s="3"/>
      </tp>
      <tp t="s">
        <v>#N/A Requesting Data...1004177195</v>
        <stp/>
        <stp>BDP|17025593486778133957</stp>
        <tr r="AO40" s="4"/>
      </tp>
      <tp t="s">
        <v>#N/A Requesting Data...1401757244</v>
        <stp/>
        <stp>BDP|15034464392482718185</stp>
        <tr r="BG10" s="3"/>
      </tp>
      <tp t="s">
        <v>#N/A Requesting Data...2942917082</v>
        <stp/>
        <stp>BDP|15252485863084670842</stp>
        <tr r="AA257" s="3"/>
      </tp>
      <tp t="s">
        <v>#N/A Requesting Data...2562778272</v>
        <stp/>
        <stp>BDP|10659097277269628556</stp>
        <tr r="BB299" s="3"/>
      </tp>
      <tp t="s">
        <v>#N/A Requesting Data...2724504920</v>
        <stp/>
        <stp>BDP|11008987819245971728</stp>
        <tr r="Q204" s="3"/>
      </tp>
      <tp t="s">
        <v>#N/A Requesting Data...3432359416</v>
        <stp/>
        <stp>BDP|11748497884715474349</stp>
        <tr r="BI69" s="3"/>
      </tp>
      <tp t="s">
        <v>#N/A Requesting Data...2730343067</v>
        <stp/>
        <stp>BDP|10940256907028508148</stp>
        <tr r="Q160" s="3"/>
      </tp>
      <tp t="s">
        <v>#N/A Requesting Data...2269181754</v>
        <stp/>
        <stp>BDP|12806262381790498315</stp>
        <tr r="BF243" s="3"/>
      </tp>
      <tp t="s">
        <v>#N/A N/A</v>
        <stp/>
        <stp>BDP|11576211004968227085</stp>
        <tr r="BN54" s="2"/>
      </tp>
      <tp t="s">
        <v>#N/A Requesting Data...911812316</v>
        <stp/>
        <stp>BDP|18084996826319728120</stp>
        <tr r="K215" s="3"/>
      </tp>
      <tp t="s">
        <v>#N/A Requesting Data...2386344682</v>
        <stp/>
        <stp>BDP|14887962613235575223</stp>
        <tr r="AQ26" s="3"/>
      </tp>
      <tp t="s">
        <v>#N/A Requesting Data...1841815512</v>
        <stp/>
        <stp>BDP|18251755688534116848</stp>
        <tr r="K243" s="3"/>
      </tp>
      <tp t="s">
        <v>#N/A N/A</v>
        <stp/>
        <stp>BDP|14960744295485171433</stp>
        <tr r="V87" s="2"/>
      </tp>
      <tp t="s">
        <v>#N/A Requesting Data...2686997981</v>
        <stp/>
        <stp>BDP|17247580974689762736</stp>
        <tr r="AA93" s="3"/>
      </tp>
      <tp t="s">
        <v>#N/A Requesting Data...3184049842</v>
        <stp/>
        <stp>BDP|10010956659607736010</stp>
        <tr r="AZ184" s="3"/>
      </tp>
      <tp t="s">
        <v>#N/A Requesting Data...808162461</v>
        <stp/>
        <stp>BDP|10373722978063751840</stp>
        <tr r="F39" s="3"/>
      </tp>
      <tp t="s">
        <v>#N/A Requesting Data...3229958430</v>
        <stp/>
        <stp>BDP|17205715125488904151</stp>
        <tr r="Q164" s="3"/>
      </tp>
      <tp t="s">
        <v>#N/A Requesting Data...790419648</v>
        <stp/>
        <stp>BDP|17537172367383656890</stp>
        <tr r="Y317" s="3"/>
      </tp>
      <tp t="s">
        <v>#N/A N/A</v>
        <stp/>
        <stp>BDP|18336745408476025257</stp>
        <tr r="V29" s="2"/>
      </tp>
      <tp t="s">
        <v>#N/A Requesting Data...2085258197</v>
        <stp/>
        <stp>BDP|11346131094786769491</stp>
        <tr r="Y192" s="3"/>
      </tp>
      <tp t="s">
        <v>#N/A Requesting Data...2876526055</v>
        <stp/>
        <stp>BDP|11445656696960999546</stp>
        <tr r="BH188" s="3"/>
      </tp>
      <tp t="s">
        <v>#N/A Requesting Data...3297484752</v>
        <stp/>
        <stp>BDP|14321495428880671990</stp>
        <tr r="BG326" s="3"/>
      </tp>
      <tp t="s">
        <v>#N/A Requesting Data...3950262924</v>
        <stp/>
        <stp>BDP|13918432391117490226</stp>
        <tr r="BA307" s="3"/>
      </tp>
      <tp t="s">
        <v>#N/A N/A</v>
        <stp/>
        <stp>BDP|10895325467088498648</stp>
        <tr r="V35" s="2"/>
      </tp>
      <tp t="s">
        <v>#N/A Requesting Data...2273078508</v>
        <stp/>
        <stp>BDP|14920901812834066361</stp>
        <tr r="BH333" s="3"/>
      </tp>
      <tp t="s">
        <v>#N/A Requesting Data...536466926</v>
        <stp/>
        <stp>BDP|16021234001837609892</stp>
        <tr r="K25" s="3"/>
      </tp>
      <tp t="s">
        <v>#N/A Requesting Data...2426361594</v>
        <stp/>
        <stp>BDP|17042864510384916121</stp>
        <tr r="O269" s="3"/>
      </tp>
      <tp t="s">
        <v>#N/A Requesting Data...847471625</v>
        <stp/>
        <stp>BDP|16648438620308089384</stp>
        <tr r="Y284" s="3"/>
      </tp>
      <tp t="s">
        <v>#N/A Requesting Data...3957393412</v>
        <stp/>
        <stp>BDP|15176879358824606755</stp>
        <tr r="BH183" s="3"/>
      </tp>
      <tp t="s">
        <v>#N/A Requesting Data...1782444780</v>
        <stp/>
        <stp>BDP|15629902030483815737</stp>
        <tr r="K19" s="3"/>
      </tp>
      <tp t="s">
        <v>#N/A Requesting Data...1492746110</v>
        <stp/>
        <stp>BDP|14400933348242627041</stp>
        <tr r="AA242" s="3"/>
      </tp>
      <tp t="s">
        <v>#N/A N/A</v>
        <stp/>
        <stp>BDP|11279783917498782479</stp>
        <tr r="V64" s="2"/>
      </tp>
      <tp t="s">
        <v>#N/A Requesting Data...3990151465</v>
        <stp/>
        <stp>BDP|11956643983456031230</stp>
        <tr r="K23" s="3"/>
      </tp>
      <tp t="s">
        <v>#N/A Requesting Data...1348386482</v>
        <stp/>
        <stp>BDP|10640546608557580928</stp>
        <tr r="AS124" s="3"/>
      </tp>
      <tp t="s">
        <v>#N/A Requesting Data...530875470</v>
        <stp/>
        <stp>BDP|15438563398683646114</stp>
        <tr r="I103" s="3"/>
      </tp>
      <tp t="s">
        <v>#N/A Requesting Data...3259102555</v>
        <stp/>
        <stp>BDP|10398128539950249979</stp>
        <tr r="Y82" s="3"/>
      </tp>
      <tp t="s">
        <v>#N/A Requesting Data...4216673474</v>
        <stp/>
        <stp>BDP|11775974351304801258</stp>
        <tr r="Y133" s="3"/>
      </tp>
      <tp t="s">
        <v>#N/A N/A</v>
        <stp/>
        <stp>BDP|10452267295401216198</stp>
        <tr r="BM36" s="2"/>
      </tp>
      <tp t="s">
        <v>#N/A Requesting Data...536127350</v>
        <stp/>
        <stp>BDP|14205895301176584130</stp>
        <tr r="I39" s="3"/>
      </tp>
      <tp t="s">
        <v>#N/A Requesting Data...4141606310</v>
        <stp/>
        <stp>BDP|14786453076069017586</stp>
        <tr r="Y29" s="4"/>
      </tp>
      <tp t="s">
        <v>#N/A Requesting Data...2434050021</v>
        <stp/>
        <stp>BDP|15713604406211951941</stp>
        <tr r="BG33" s="3"/>
      </tp>
      <tp t="s">
        <v>#N/A Requesting Data...2850400190</v>
        <stp/>
        <stp>BDP|17164691634491638862</stp>
        <tr r="I232" s="3"/>
      </tp>
      <tp t="s">
        <v>#N/A Requesting Data...1228316025</v>
        <stp/>
        <stp>BDP|16575133522666811803</stp>
        <tr r="N17" s="2"/>
        <tr r="G9" s="4"/>
      </tp>
      <tp t="s">
        <v>#N/A Requesting Data...3094366040</v>
        <stp/>
        <stp>BDP|11624047265149261595</stp>
        <tr r="AS280" s="3"/>
      </tp>
      <tp t="s">
        <v>#N/A Requesting Data...1159295752</v>
        <stp/>
        <stp>BDP|11308100643907849848</stp>
        <tr r="BG238" s="3"/>
      </tp>
      <tp t="s">
        <v>#N/A N/A</v>
        <stp/>
        <stp>BDP|16209995073940610314</stp>
        <tr r="BL44" s="2"/>
      </tp>
      <tp t="s">
        <v>#N/A Requesting Data...1527392646</v>
        <stp/>
        <stp>BDP|17362099973552379954</stp>
        <tr r="AH183" s="3"/>
      </tp>
      <tp t="s">
        <v>#N/A Requesting Data...3918302083</v>
        <stp/>
        <stp>BDP|18266616907891881439</stp>
        <tr r="BI118" s="3"/>
      </tp>
      <tp t="s">
        <v>#N/A Requesting Data...3343246177</v>
        <stp/>
        <stp>BDP|10809797883765886151</stp>
        <tr r="Y168" s="3"/>
      </tp>
      <tp t="s">
        <v>#N/A Requesting Data...1406438411</v>
        <stp/>
        <stp>BDP|17834429313059326050</stp>
        <tr r="BI327" s="3"/>
      </tp>
      <tp t="s">
        <v>#N/A Requesting Data...1355840562</v>
        <stp/>
        <stp>BDP|11371326035029990320</stp>
        <tr r="BG3" s="2"/>
        <tr r="BB316" s="3"/>
      </tp>
      <tp t="s">
        <v>#N/A Requesting Data...4049849273</v>
        <stp/>
        <stp>BDP|14374180552483797814</stp>
        <tr r="AQ169" s="3"/>
      </tp>
      <tp t="s">
        <v>#N/A Requesting Data...3939321584</v>
        <stp/>
        <stp>BDP|15654850059915180649</stp>
        <tr r="K173" s="3"/>
      </tp>
      <tp t="s">
        <v>#N/A N/A</v>
        <stp/>
        <stp>BDP|16860005454421558961</stp>
        <tr r="AD64" s="2"/>
      </tp>
      <tp t="s">
        <v>#N/A Requesting Data...1346076110</v>
        <stp/>
        <stp>BDP|15090913001857929062</stp>
        <tr r="I263" s="3"/>
      </tp>
      <tp t="s">
        <v>#N/A Requesting Data...3244884550</v>
        <stp/>
        <stp>BDP|17901513393862722238</stp>
        <tr r="AS178" s="3"/>
      </tp>
      <tp t="s">
        <v>#N/A Requesting Data...2915737824</v>
        <stp/>
        <stp>BDP|15811168990586927088</stp>
        <tr r="AQ34" s="4"/>
      </tp>
      <tp t="s">
        <v>#N/A Requesting Data...1332577358</v>
        <stp/>
        <stp>BDP|17930826114154130112</stp>
        <tr r="AF5" s="4"/>
      </tp>
      <tp t="s">
        <v>#N/A N/A</v>
        <stp/>
        <stp>BDP|10820908264680676441</stp>
        <tr r="P21" s="2"/>
      </tp>
      <tp t="s">
        <v>#N/A Requesting Data...2602542894</v>
        <stp/>
        <stp>BDP|12398632780326844166</stp>
        <tr r="AZ166" s="3"/>
      </tp>
      <tp t="s">
        <v>#N/A Requesting Data...3872104741</v>
        <stp/>
        <stp>BDP|11336850352152285580</stp>
        <tr r="AS304" s="3"/>
      </tp>
      <tp t="s">
        <v>#N/A Requesting Data...3468394123</v>
        <stp/>
        <stp>BDP|14900587529090099867</stp>
        <tr r="AF3" s="2"/>
        <tr r="AA316" s="3"/>
      </tp>
      <tp t="s">
        <v>#N/A Requesting Data...1352022810</v>
        <stp/>
        <stp>BDP|13569534453648348089</stp>
        <tr r="Q53" s="3"/>
      </tp>
      <tp t="s">
        <v>#N/A Requesting Data...3588562641</v>
        <stp/>
        <stp>BDP|12770971875164296396</stp>
        <tr r="AX5" s="2"/>
      </tp>
      <tp t="s">
        <v>#N/A Requesting Data...1247444363</v>
        <stp/>
        <stp>BDP|13393176050124845825</stp>
        <tr r="AQ43" s="3"/>
      </tp>
      <tp t="s">
        <v>#N/A Requesting Data...3331767027</v>
        <stp/>
        <stp>BDP|10479192958879855636</stp>
        <tr r="Q234" s="3"/>
      </tp>
      <tp t="s">
        <v>#N/A Requesting Data...628983875</v>
        <stp/>
        <stp>BDP|17059991812726651238</stp>
        <tr r="AH24" s="4"/>
      </tp>
      <tp t="s">
        <v>#N/A Requesting Data...1007811606</v>
        <stp/>
        <stp>BDP|13232598130766464817</stp>
        <tr r="K222" s="3"/>
      </tp>
      <tp t="s">
        <v>#N/A Requesting Data...2445125800</v>
        <stp/>
        <stp>BDP|14324199086076410067</stp>
        <tr r="AA31" s="3"/>
      </tp>
      <tp t="s">
        <v>#N/A Requesting Data...2614693226</v>
        <stp/>
        <stp>BDP|11755163310288831274</stp>
        <tr r="I46" s="4"/>
        <tr r="K258" s="3"/>
      </tp>
      <tp t="s">
        <v>#N/A Requesting Data...3629677214</v>
        <stp/>
        <stp>BDP|13288897473910342751</stp>
        <tr r="K324" s="3"/>
      </tp>
      <tp t="s">
        <v>#N/A N/A</v>
        <stp/>
        <stp>BDP|16873545754359549437</stp>
        <tr r="BK68" s="2"/>
      </tp>
      <tp t="s">
        <v>#N/A Requesting Data...811084207</v>
        <stp/>
        <stp>BDP|12777854241071519480</stp>
        <tr r="BF98" s="3"/>
      </tp>
      <tp t="s">
        <v>#N/A Requesting Data...2269684701</v>
        <stp/>
        <stp>BDP|12106461449261656864</stp>
        <tr r="BI335" s="3"/>
      </tp>
      <tp t="s">
        <v>#N/A Requesting Data...953103477</v>
        <stp/>
        <stp>BDP|17689118383063911630</stp>
        <tr r="AH57" s="4"/>
      </tp>
      <tp t="s">
        <v>#N/A Requesting Data...2407794201</v>
        <stp/>
        <stp>BDP|10442053675788239483</stp>
        <tr r="Y14" s="4"/>
      </tp>
      <tp t="s">
        <v>#N/A N/A</v>
        <stp/>
        <stp>BDP|14314413760005501892</stp>
        <tr r="N83" s="2"/>
      </tp>
      <tp t="s">
        <v>#N/A Requesting Data...1054685747</v>
        <stp/>
        <stp>BDP|15570864359400569316</stp>
        <tr r="AQ220" s="3"/>
      </tp>
      <tp t="s">
        <v>#N/A Requesting Data...4208723917</v>
        <stp/>
        <stp>BDP|10800150022559324120</stp>
        <tr r="AQ333" s="3"/>
      </tp>
      <tp t="s">
        <v>#N/A Requesting Data...3349977051</v>
        <stp/>
        <stp>BDP|10798969870735762087</stp>
        <tr r="BA286" s="3"/>
      </tp>
      <tp t="s">
        <v>#N/A Requesting Data...682027238</v>
        <stp/>
        <stp>BDP|13618969000287674688</stp>
        <tr r="Y18" s="4"/>
      </tp>
      <tp t="s">
        <v>#N/A N/A</v>
        <stp/>
        <stp>BDP|14163871027624596151</stp>
        <tr r="BN63" s="2"/>
      </tp>
      <tp t="s">
        <v>#N/A Requesting Data...830533643</v>
        <stp/>
        <stp>BDP|15937858811277436084</stp>
        <tr r="AH35" s="3"/>
      </tp>
      <tp t="s">
        <v>#N/A Requesting Data...2234998900</v>
        <stp/>
        <stp>BDP|11672921994529388328</stp>
        <tr r="BH17" s="3"/>
      </tp>
      <tp t="s">
        <v>#N/A Requesting Data...2999051630</v>
        <stp/>
        <stp>BDP|11706358124422787907</stp>
        <tr r="AH230" s="3"/>
      </tp>
      <tp t="s">
        <v>#N/A Requesting Data...1094221720</v>
        <stp/>
        <stp>BDP|13095214122089356118</stp>
        <tr r="BG306" s="3"/>
      </tp>
      <tp t="s">
        <v>#N/A Requesting Data...3369429528</v>
        <stp/>
        <stp>BDP|11070762469933982873</stp>
        <tr r="BF216" s="3"/>
      </tp>
      <tp t="s">
        <v>#N/A Requesting Data...1461500812</v>
        <stp/>
        <stp>BDP|12784558869018977231</stp>
        <tr r="BF208" s="3"/>
      </tp>
      <tp t="s">
        <v>#N/A Requesting Data...3691053759</v>
        <stp/>
        <stp>BDP|13354935443620214501</stp>
        <tr r="I277" s="3"/>
      </tp>
      <tp t="s">
        <v>#N/A Requesting Data...3586816878</v>
        <stp/>
        <stp>BDP|12014801918182175282</stp>
        <tr r="BG110" s="3"/>
      </tp>
      <tp t="s">
        <v>#N/A Requesting Data...3223106783</v>
        <stp/>
        <stp>BDP|17292915719484960035</stp>
        <tr r="AA221" s="3"/>
      </tp>
      <tp t="s">
        <v>#N/A Requesting Data...3237561276</v>
        <stp/>
        <stp>BDP|16374388481190250680</stp>
        <tr r="I48" s="4"/>
      </tp>
      <tp t="s">
        <v>#N/A Requesting Data...1730965928</v>
        <stp/>
        <stp>BDP|18226552917836539150</stp>
        <tr r="AS24" s="3"/>
      </tp>
      <tp t="s">
        <v>#N/A Requesting Data...1505303780</v>
        <stp/>
        <stp>BDP|15605157351868431267</stp>
        <tr r="BA211" s="3"/>
      </tp>
      <tp t="s">
        <v>#N/A Requesting Data...3455927718</v>
        <stp/>
        <stp>BDP|15411103986603165438</stp>
        <tr r="O116" s="3"/>
      </tp>
      <tp t="s">
        <v>#N/A N/A</v>
        <stp/>
        <stp>BDP|15070451963945175977</stp>
        <tr r="BL92" s="2"/>
      </tp>
      <tp t="s">
        <v>#N/A Requesting Data...2313157210</v>
        <stp/>
        <stp>BDP|14460144304807400905</stp>
        <tr r="AJ148" s="3"/>
      </tp>
      <tp t="s">
        <v>#N/A Requesting Data...2261740984</v>
        <stp/>
        <stp>BDP|13358678915789435657</stp>
        <tr r="I142" s="3"/>
      </tp>
      <tp t="s">
        <v>#N/A N/A</v>
        <stp/>
        <stp>BDP|14561387287137363398</stp>
        <tr r="BE60" s="2"/>
      </tp>
      <tp t="s">
        <v>#N/A Requesting Data...1306730728</v>
        <stp/>
        <stp>BDP|12648892010800670095</stp>
        <tr r="I51" s="3"/>
      </tp>
      <tp t="s">
        <v>#N/A N/A</v>
        <stp/>
        <stp>BDP|16216829254613245366</stp>
        <tr r="BF31" s="2"/>
      </tp>
      <tp t="s">
        <v>#N/A N/A</v>
        <stp/>
        <stp>BDP|10449507082521735717</stp>
        <tr r="BM85" s="2"/>
      </tp>
      <tp t="s">
        <v>#N/A Requesting Data...3947517230</v>
        <stp/>
        <stp>BDP|12744345292483450052</stp>
        <tr r="F136" s="3"/>
      </tp>
      <tp t="s">
        <v>#N/A Requesting Data...2446655441</v>
        <stp/>
        <stp>BDP|15351635795728420917</stp>
        <tr r="I296" s="3"/>
      </tp>
      <tp t="s">
        <v>#N/A Requesting Data...4193557072</v>
        <stp/>
        <stp>BDP|10391142061889243547</stp>
        <tr r="AQ63" s="3"/>
      </tp>
      <tp t="s">
        <v>#N/A N/A</v>
        <stp/>
        <stp>BDP|17041723515793671910</stp>
        <tr r="AM90" s="2"/>
      </tp>
      <tp t="s">
        <v>#N/A Requesting Data...1208866697</v>
        <stp/>
        <stp>BDP|14149993071903891210</stp>
        <tr r="K237" s="3"/>
      </tp>
      <tp t="s">
        <v>#N/A N/A</v>
        <stp/>
        <stp>BDP|17393233894783632428</stp>
        <tr r="AV36" s="2"/>
      </tp>
      <tp t="s">
        <v>#N/A Requesting Data...1611506799</v>
        <stp/>
        <stp>BDP|15414937366158809992</stp>
        <tr r="BF273" s="3"/>
      </tp>
      <tp t="s">
        <v>#N/A Requesting Data...3433110195</v>
        <stp/>
        <stp>BDP|12636421628027530894</stp>
        <tr r="K54" s="3"/>
      </tp>
      <tp t="s">
        <v>#N/A Requesting Data...1576962895</v>
        <stp/>
        <stp>BDP|14857283363393682859</stp>
        <tr r="AQ227" s="3"/>
      </tp>
      <tp t="s">
        <v>#N/A N/A</v>
        <stp/>
        <stp>BDP|17904477504211255984</stp>
        <tr r="T11" s="2"/>
      </tp>
      <tp t="s">
        <v>#N/A Requesting Data...2854518665</v>
        <stp/>
        <stp>BDP|10136718726879639739</stp>
        <tr r="Q211" s="3"/>
      </tp>
      <tp t="s">
        <v>#N/A Requesting Data...2003959989</v>
        <stp/>
        <stp>BDP|12183486579659675356</stp>
        <tr r="AS335" s="3"/>
      </tp>
      <tp t="s">
        <v>#N/A Requesting Data...2761927766</v>
        <stp/>
        <stp>BDP|13410839184378835081</stp>
        <tr r="AJ167" s="3"/>
      </tp>
      <tp t="s">
        <v>#N/A N/A</v>
        <stp/>
        <stp>BDP|12535891908636389744</stp>
        <tr r="BM100" s="2"/>
      </tp>
      <tp t="s">
        <v>#N/A Requesting Data...4090851618</v>
        <stp/>
        <stp>BDP|15619427147217480942</stp>
        <tr r="BI26" s="3"/>
      </tp>
      <tp t="s">
        <v>#N/A Requesting Data...2126063620</v>
        <stp/>
        <stp>BDP|17115264941102795823</stp>
        <tr r="BG206" s="3"/>
      </tp>
      <tp t="s">
        <v>#N/A Requesting Data...1165871756</v>
        <stp/>
        <stp>BDP|15896787980456451771</stp>
        <tr r="G38" s="4"/>
      </tp>
      <tp t="s">
        <v>#N/A Requesting Data...2324945205</v>
        <stp/>
        <stp>BDP|10598156570188016532</stp>
        <tr r="AQ199" s="3"/>
      </tp>
      <tp t="s">
        <v>#N/A Requesting Data...2119233212</v>
        <stp/>
        <stp>BDP|15617468041227794950</stp>
        <tr r="Y14" s="3"/>
      </tp>
      <tp t="s">
        <v>#N/A Requesting Data...895388689</v>
        <stp/>
        <stp>BDP|10072126553038038725</stp>
        <tr r="BB261" s="3"/>
      </tp>
      <tp t="s">
        <v>#N/A Requesting Data...2562997420</v>
        <stp/>
        <stp>BDP|14262500823140368816</stp>
        <tr r="AS195" s="3"/>
      </tp>
      <tp t="s">
        <v>#N/A Requesting Data...3097110081</v>
        <stp/>
        <stp>BDP|17203222906678481619</stp>
        <tr r="AQ8" s="3"/>
      </tp>
      <tp t="s">
        <v>#N/A Requesting Data...2934053527</v>
        <stp/>
        <stp>BDP|13449878008516154698</stp>
        <tr r="AQ245" s="3"/>
      </tp>
      <tp t="s">
        <v>#N/A Requesting Data...3043457980</v>
        <stp/>
        <stp>BDP|18245142870380233572</stp>
        <tr r="BB72" s="3"/>
      </tp>
      <tp t="s">
        <v>#N/A Requesting Data...1368616549</v>
        <stp/>
        <stp>BDP|11262395633423875934</stp>
        <tr r="AZ320" s="3"/>
      </tp>
      <tp t="s">
        <v>#N/A Requesting Data...4059856198</v>
        <stp/>
        <stp>BDP|13852425926106929867</stp>
        <tr r="BB93" s="3"/>
      </tp>
      <tp t="s">
        <v>#N/A Requesting Data...3550691435</v>
        <stp/>
        <stp>BDP|14031465521959510005</stp>
        <tr r="BB41" s="3"/>
      </tp>
      <tp t="s">
        <v>#N/A Requesting Data...1384674912</v>
        <stp/>
        <stp>BDP|14653594983624789694</stp>
        <tr r="BF318" s="3"/>
      </tp>
      <tp t="s">
        <v>#N/A N/A</v>
        <stp/>
        <stp>BDP|15298447214582511951</stp>
        <tr r="AV27" s="2"/>
      </tp>
      <tp t="s">
        <v>#N/A Requesting Data...1572300582</v>
        <stp/>
        <stp>BDP|13508989273370512692</stp>
        <tr r="AZ174" s="3"/>
      </tp>
      <tp t="s">
        <v>#N/A N/A</v>
        <stp/>
        <stp>BDP|17568576943959361406</stp>
        <tr r="N54" s="2"/>
      </tp>
      <tp t="s">
        <v>#N/A Requesting Data...2460501632</v>
        <stp/>
        <stp>BDP|16371283784923474492</stp>
        <tr r="BB304" s="3"/>
      </tp>
      <tp t="s">
        <v>#N/A N/A</v>
        <stp/>
        <stp>BDP|11895109793696888411</stp>
        <tr r="K70" s="2"/>
      </tp>
      <tp t="s">
        <v>#N/A Requesting Data...2303817777</v>
        <stp/>
        <stp>BDP|14014615882725368428</stp>
        <tr r="K227" s="3"/>
      </tp>
      <tp t="s">
        <v>#N/A N/A</v>
        <stp/>
        <stp>BDP|16647652757869219743</stp>
        <tr r="BK60" s="2"/>
      </tp>
      <tp t="s">
        <v>#N/A N/A</v>
        <stp/>
        <stp>BDP|18226120386632718834</stp>
        <tr r="P18" s="2"/>
      </tp>
      <tp t="s">
        <v>#N/A Requesting Data...3668939090</v>
        <stp/>
        <stp>BDP|14452605028112647985</stp>
        <tr r="BB79" s="3"/>
      </tp>
      <tp t="s">
        <v>#N/A Requesting Data...1047905306</v>
        <stp/>
        <stp>BDP|17978852628395052364</stp>
        <tr r="BA197" s="3"/>
      </tp>
      <tp t="s">
        <v>#N/A Requesting Data...4160876310</v>
        <stp/>
        <stp>BDP|15075947453107340562</stp>
        <tr r="BG214" s="3"/>
      </tp>
      <tp t="s">
        <v>#N/A Requesting Data...3623737813</v>
        <stp/>
        <stp>BDP|12743363316192620932</stp>
        <tr r="W54" s="4"/>
      </tp>
      <tp t="s">
        <v>#N/A Requesting Data...2308583958</v>
        <stp/>
        <stp>BDP|17976944451676748694</stp>
        <tr r="AZ34" s="3"/>
      </tp>
      <tp t="s">
        <v>#N/A Requesting Data...3272501504</v>
        <stp/>
        <stp>BDP|17091923776615195770</stp>
        <tr r="I108" s="3"/>
      </tp>
      <tp t="s">
        <v>#N/A N/A</v>
        <stp/>
        <stp>BDP|13884789361261695821</stp>
        <tr r="AF50" s="2"/>
      </tp>
      <tp t="s">
        <v>#N/A Requesting Data...2607631918</v>
        <stp/>
        <stp>BDP|15935449754707834845</stp>
        <tr r="BG209" s="3"/>
      </tp>
      <tp t="s">
        <v>#N/A N/A</v>
        <stp/>
        <stp>BDP|17436840021907534113</stp>
        <tr r="BE78" s="2"/>
      </tp>
      <tp t="s">
        <v>#N/A Requesting Data...3509772309</v>
        <stp/>
        <stp>BDP|18388143405772374043</stp>
        <tr r="BH156" s="3"/>
      </tp>
      <tp t="s">
        <v>#N/A N/A</v>
        <stp/>
        <stp>BDP|12037531973748796323</stp>
        <tr r="AO95" s="2"/>
      </tp>
      <tp t="s">
        <v>#N/A Requesting Data...3512878581</v>
        <stp/>
        <stp>BDP|12764378891224570714</stp>
        <tr r="AA125" s="3"/>
      </tp>
      <tp t="s">
        <v>#N/A Requesting Data...4134709168</v>
        <stp/>
        <stp>BDP|12790228880853146013</stp>
        <tr r="AH272" s="3"/>
      </tp>
      <tp t="s">
        <v>#N/A Requesting Data...1633822594</v>
        <stp/>
        <stp>BDP|18142704606732198633</stp>
        <tr r="Y241" s="3"/>
      </tp>
      <tp t="s">
        <v>#N/A Requesting Data...3047490416</v>
        <stp/>
        <stp>BDP|10604805741721065628</stp>
        <tr r="AA120" s="3"/>
      </tp>
      <tp t="s">
        <v>#N/A Requesting Data...2916572718</v>
        <stp/>
        <stp>BDP|18092457062788709955</stp>
        <tr r="AF24" s="4"/>
      </tp>
      <tp t="s">
        <v>#N/A N/A</v>
        <stp/>
        <stp>BDP|12844607392612763480</stp>
        <tr r="AO89" s="2"/>
      </tp>
      <tp t="s">
        <v>#N/A Requesting Data...1789882422</v>
        <stp/>
        <stp>BDP|12147448995875642131</stp>
        <tr r="K130" s="3"/>
      </tp>
      <tp t="s">
        <v>#N/A Requesting Data...4029496780</v>
        <stp/>
        <stp>BDP|13145908232625644708</stp>
        <tr r="Y164" s="3"/>
      </tp>
      <tp t="s">
        <v>#N/A Requesting Data...1470673862</v>
        <stp/>
        <stp>BDP|16548968366025129718</stp>
        <tr r="BI333" s="3"/>
      </tp>
      <tp t="s">
        <v>#N/A Requesting Data...2328868324</v>
        <stp/>
        <stp>BDP|17755852601913799713</stp>
        <tr r="BH121" s="3"/>
      </tp>
      <tp t="s">
        <v>#N/A Requesting Data...4243406541</v>
        <stp/>
        <stp>BDP|10574946075366862390</stp>
        <tr r="AJ131" s="3"/>
      </tp>
      <tp t="s">
        <v>#N/A Requesting Data...1540250724</v>
        <stp/>
        <stp>BDP|11815846326475652592</stp>
        <tr r="BG148" s="3"/>
      </tp>
      <tp t="s">
        <v>#N/A Requesting Data...1979381837</v>
        <stp/>
        <stp>BDP|12872674996805903340</stp>
        <tr r="AQ6" s="3"/>
      </tp>
      <tp t="s">
        <v>#N/A N/A</v>
        <stp/>
        <stp>BDP|16180064352631363927</stp>
        <tr r="P54" s="2"/>
      </tp>
      <tp t="s">
        <v>#N/A Requesting Data...1927826296</v>
        <stp/>
        <stp>BDP|13000441180895492149</stp>
        <tr r="AZ84" s="3"/>
      </tp>
      <tp t="s">
        <v>#N/A Requesting Data...2960185696</v>
        <stp/>
        <stp>BDP|10882254222732932921</stp>
        <tr r="AQ268" s="3"/>
      </tp>
      <tp t="s">
        <v>#N/A Requesting Data...4152586190</v>
        <stp/>
        <stp>BDP|14887677796812479298</stp>
        <tr r="BB345" s="3"/>
      </tp>
      <tp t="s">
        <v>#N/A Requesting Data...3166317679</v>
        <stp/>
        <stp>BDP|17896073892520183589</stp>
        <tr r="I201" s="3"/>
      </tp>
      <tp t="s">
        <v>#N/A Requesting Data...3125633078</v>
        <stp/>
        <stp>BDP|14535851356744085623</stp>
        <tr r="BB161" s="3"/>
      </tp>
      <tp t="s">
        <v>#N/A Requesting Data...4259722230</v>
        <stp/>
        <stp>BDP|11429446394344126318</stp>
        <tr r="K220" s="3"/>
      </tp>
      <tp t="s">
        <v>#N/A Requesting Data...1766183168</v>
        <stp/>
        <stp>BDP|10534633372683134919</stp>
        <tr r="AS20" s="3"/>
      </tp>
      <tp t="s">
        <v>#N/A Requesting Data...2659030642</v>
        <stp/>
        <stp>BDP|16451534954125191865</stp>
        <tr r="AJ204" s="3"/>
      </tp>
      <tp t="s">
        <v>#N/A Requesting Data...3884499823</v>
        <stp/>
        <stp>BDP|10511137091276315509</stp>
        <tr r="I43" s="3"/>
      </tp>
      <tp t="s">
        <v>#N/A Requesting Data...1620323780</v>
        <stp/>
        <stp>BDP|16244654480043087034</stp>
        <tr r="BI189" s="3"/>
      </tp>
      <tp t="s">
        <v>#N/A Requesting Data...2584356795</v>
        <stp/>
        <stp>BDP|17673066287356101223</stp>
        <tr r="AZ123" s="3"/>
      </tp>
      <tp t="s">
        <v>#N/A Requesting Data...1662082200</v>
        <stp/>
        <stp>BDP|13753153146075749872</stp>
        <tr r="BA54" s="3"/>
      </tp>
      <tp t="s">
        <v>#N/A Requesting Data...2585379144</v>
        <stp/>
        <stp>BDP|13237844072422821584</stp>
        <tr r="Y228" s="3"/>
      </tp>
      <tp t="s">
        <v>#N/A Requesting Data...3046628134</v>
        <stp/>
        <stp>BDP|11126605387903685743</stp>
        <tr r="BG9" s="2"/>
      </tp>
      <tp t="s">
        <v>#N/A N/A</v>
        <stp/>
        <stp>BDP|17640759439250568882</stp>
        <tr r="BF93" s="2"/>
      </tp>
      <tp t="s">
        <v>#N/A Requesting Data...2733135084</v>
        <stp/>
        <stp>BDP|16626906546323378349</stp>
        <tr r="K195" s="3"/>
      </tp>
      <tp t="s">
        <v>#N/A Requesting Data...2176404386</v>
        <stp/>
        <stp>BDP|13101813937393799071</stp>
        <tr r="BH233" s="3"/>
      </tp>
      <tp t="s">
        <v>#N/A Requesting Data...2731024195</v>
        <stp/>
        <stp>BDP|18021943746078014658</stp>
        <tr r="AQ18" s="4"/>
      </tp>
      <tp t="s">
        <v>#N/A Requesting Data...3366675290</v>
        <stp/>
        <stp>BDP|11580335284405634435</stp>
        <tr r="AJ77" s="3"/>
      </tp>
      <tp t="s">
        <v>#N/A Requesting Data...3246309895</v>
        <stp/>
        <stp>BDP|15091383978672263854</stp>
        <tr r="O12" s="4"/>
      </tp>
      <tp t="s">
        <v>#N/A Requesting Data...2905595278</v>
        <stp/>
        <stp>BDP|18215478050052501074</stp>
        <tr r="Y143" s="3"/>
      </tp>
      <tp t="s">
        <v>#N/A Requesting Data...1403754465</v>
        <stp/>
        <stp>BDP|17370054526079752707</stp>
        <tr r="BG99" s="3"/>
      </tp>
      <tp t="s">
        <v>#N/A Requesting Data...2014261602</v>
        <stp/>
        <stp>BDP|13067902943222075741</stp>
        <tr r="AH15" s="3"/>
      </tp>
      <tp t="s">
        <v>#N/A Requesting Data...2524005258</v>
        <stp/>
        <stp>BDP|11496418662950984890</stp>
        <tr r="AJ103" s="3"/>
      </tp>
      <tp t="s">
        <v>#N/A Requesting Data...1395869834</v>
        <stp/>
        <stp>BDP|11004977121196810790</stp>
        <tr r="AO4" s="4"/>
      </tp>
      <tp t="s">
        <v>#N/A Requesting Data...3252940026</v>
        <stp/>
        <stp>BDP|11623206391457476640</stp>
        <tr r="G33" s="4"/>
      </tp>
      <tp t="s">
        <v>#N/A Requesting Data...3364354934</v>
        <stp/>
        <stp>BDP|14364941511683952482</stp>
        <tr r="Y238" s="3"/>
      </tp>
      <tp t="s">
        <v>#N/A Requesting Data...2453299055</v>
        <stp/>
        <stp>BDP|17157822222202355456</stp>
        <tr r="BG237" s="3"/>
      </tp>
      <tp t="s">
        <v>#N/A Requesting Data...3452281653</v>
        <stp/>
        <stp>BDP|11038243507270626825</stp>
        <tr r="AJ238" s="3"/>
      </tp>
      <tp t="s">
        <v>#N/A Requesting Data...2616538025</v>
        <stp/>
        <stp>BDP|12666587798544769167</stp>
        <tr r="Y75" s="3"/>
      </tp>
      <tp t="s">
        <v>#N/A Requesting Data...3146018567</v>
        <stp/>
        <stp>BDP|11454724772403494979</stp>
        <tr r="AZ125" s="3"/>
      </tp>
      <tp t="s">
        <v>#N/A Requesting Data...3755909138</v>
        <stp/>
        <stp>BDP|13420964503671561033</stp>
        <tr r="AH31" s="4"/>
      </tp>
      <tp t="s">
        <v>#N/A Requesting Data...3358200500</v>
        <stp/>
        <stp>BDP|15651533305472451933</stp>
        <tr r="AJ150" s="3"/>
      </tp>
      <tp t="s">
        <v>#N/A Requesting Data...4114064312</v>
        <stp/>
        <stp>BDP|14486959671416086779</stp>
        <tr r="AH175" s="3"/>
      </tp>
      <tp t="s">
        <v>#N/A Requesting Data...3092388043</v>
        <stp/>
        <stp>BDP|12170135120908425202</stp>
        <tr r="D33" s="4"/>
      </tp>
      <tp t="s">
        <v>#N/A Requesting Data...2752430618</v>
        <stp/>
        <stp>BDP|11056623964952268822</stp>
        <tr r="Q328" s="3"/>
      </tp>
      <tp t="s">
        <v>#N/A Requesting Data...3658373945</v>
        <stp/>
        <stp>BDP|16132883308956372347</stp>
        <tr r="K244" s="3"/>
      </tp>
      <tp t="s">
        <v>#N/A N/A</v>
        <stp/>
        <stp>BDP|13351888800523805350</stp>
        <tr r="BL91" s="2"/>
      </tp>
      <tp t="s">
        <v>#N/A Requesting Data...3897115803</v>
        <stp/>
        <stp>BDP|11336972238655372598</stp>
        <tr r="AS114" s="3"/>
      </tp>
      <tp t="s">
        <v>#N/A Requesting Data...2409245554</v>
        <stp/>
        <stp>BDP|12648187649824112805</stp>
        <tr r="Q157" s="3"/>
      </tp>
      <tp t="s">
        <v>#N/A Requesting Data...3126658917</v>
        <stp/>
        <stp>BDP|11243683974449045288</stp>
        <tr r="AJ152" s="3"/>
      </tp>
      <tp t="s">
        <v>#N/A N/A</v>
        <stp/>
        <stp>BDP|18088292614376304687</stp>
        <tr r="T70" s="2"/>
      </tp>
      <tp t="s">
        <v>#N/A Requesting Data...1992551662</v>
        <stp/>
        <stp>BDP|12346467184952661712</stp>
        <tr r="BF128" s="3"/>
      </tp>
      <tp t="s">
        <v>#N/A Requesting Data...1850948802</v>
        <stp/>
        <stp>BDP|17248459821169275325</stp>
        <tr r="Y163" s="3"/>
      </tp>
      <tp t="s">
        <v>#N/A Requesting Data...3944268176</v>
        <stp/>
        <stp>BDP|11707362467088867789</stp>
        <tr r="AZ28" s="3"/>
      </tp>
      <tp t="s">
        <v>#N/A N/A</v>
        <stp/>
        <stp>BDP|11258266396043274269</stp>
        <tr r="AX66" s="2"/>
      </tp>
      <tp t="s">
        <v>#N/A N/A</v>
        <stp/>
        <stp>BDP|10716645474103607978</stp>
        <tr r="AO99" s="2"/>
      </tp>
      <tp t="s">
        <v>#N/A Requesting Data...3486282798</v>
        <stp/>
        <stp>BDP|16850285814597633945</stp>
        <tr r="AX33" s="4"/>
      </tp>
      <tp t="s">
        <v>#N/A Requesting Data...2209894296</v>
        <stp/>
        <stp>BDP|17769825349518369891</stp>
        <tr r="O229" s="3"/>
      </tp>
      <tp t="s">
        <v>#N/A Requesting Data...2336263775</v>
        <stp/>
        <stp>BDP|16833234668238039151</stp>
        <tr r="AX18" s="4"/>
      </tp>
      <tp t="s">
        <v>#N/A Requesting Data...4151483917</v>
        <stp/>
        <stp>BDP|15077631376899217618</stp>
        <tr r="O74" s="3"/>
      </tp>
      <tp t="s">
        <v>#N/A N/A</v>
        <stp/>
        <stp>BDP|10591559871661020872</stp>
        <tr r="BN79" s="2"/>
      </tp>
      <tp t="s">
        <v>#N/A Requesting Data...2710585081</v>
        <stp/>
        <stp>BDP|16246252850128511243</stp>
        <tr r="F121" s="3"/>
      </tp>
      <tp t="s">
        <v>#N/A Requesting Data...3418626370</v>
        <stp/>
        <stp>BDP|11518064799043894049</stp>
        <tr r="AZ95" s="3"/>
      </tp>
      <tp t="s">
        <v>#N/A Requesting Data...3941250818</v>
        <stp/>
        <stp>BDP|11504070597287352402</stp>
        <tr r="AZ324" s="3"/>
      </tp>
      <tp t="s">
        <v>#N/A Requesting Data...1937628184</v>
        <stp/>
        <stp>BDP|18398396719856882425</stp>
        <tr r="F208" s="3"/>
      </tp>
      <tp t="s">
        <v>#N/A Requesting Data...1809216212</v>
        <stp/>
        <stp>BDP|13632145127999937155</stp>
        <tr r="BA34" s="3"/>
      </tp>
      <tp t="s">
        <v>#N/A Requesting Data...2387571824</v>
        <stp/>
        <stp>BDP|12650068088870894295</stp>
        <tr r="AM16" s="2"/>
        <tr r="AF8" s="4"/>
      </tp>
      <tp t="s">
        <v>#N/A Requesting Data...2039254627</v>
        <stp/>
        <stp>BDP|11695090394519551976</stp>
        <tr r="O121" s="3"/>
      </tp>
      <tp t="s">
        <v>#N/A Requesting Data...1613016712</v>
        <stp/>
        <stp>BDP|18006739036232539695</stp>
        <tr r="Y343" s="3"/>
      </tp>
      <tp t="s">
        <v>#N/A N/A</v>
        <stp/>
        <stp>BDP|11489912034295822607</stp>
        <tr r="AX28" s="2"/>
      </tp>
      <tp t="s">
        <v>#N/A Requesting Data...1838689254</v>
        <stp/>
        <stp>BDP|16888734784100162177</stp>
        <tr r="AA150" s="3"/>
      </tp>
      <tp t="s">
        <v>#N/A N/A</v>
        <stp/>
        <stp>BDP|15817061794443510769</stp>
        <tr r="BE90" s="2"/>
      </tp>
      <tp t="s">
        <v>#N/A N/A</v>
        <stp/>
        <stp>BDP|15983833867772688126</stp>
        <tr r="BF24" s="2"/>
      </tp>
      <tp t="s">
        <v>#N/A Requesting Data...2407693711</v>
        <stp/>
        <stp>BDP|13124933145184962277</stp>
        <tr r="Y338" s="3"/>
      </tp>
      <tp t="s">
        <v>#N/A Requesting Data...4104730490</v>
        <stp/>
        <stp>BDP|16474137133299567585</stp>
        <tr r="O128" s="3"/>
      </tp>
      <tp t="s">
        <v>#N/A Requesting Data...2364245936</v>
        <stp/>
        <stp>BDP|11387023127442797980</stp>
        <tr r="O227" s="3"/>
      </tp>
      <tp t="s">
        <v>#N/A Requesting Data...2183263252</v>
        <stp/>
        <stp>BDP|13498494975198882091</stp>
        <tr r="AA227" s="3"/>
      </tp>
      <tp t="s">
        <v>#N/A N/A</v>
        <stp/>
        <stp>BDP|11884131733012982984</stp>
        <tr r="BK94" s="2"/>
      </tp>
      <tp t="s">
        <v>#N/A Requesting Data...1844369398</v>
        <stp/>
        <stp>BDP|17817646194146557659</stp>
        <tr r="BB6" s="3"/>
      </tp>
      <tp t="s">
        <v>#N/A Requesting Data...1566552432</v>
        <stp/>
        <stp>BDP|16797398672178197253</stp>
        <tr r="BG146" s="3"/>
      </tp>
      <tp t="s">
        <v>#N/A Requesting Data...2976722792</v>
        <stp/>
        <stp>BDP|16525453581056187483</stp>
        <tr r="O283" s="3"/>
      </tp>
      <tp t="s">
        <v>#N/A Requesting Data...4017988413</v>
        <stp/>
        <stp>BDP|17502531471858958565</stp>
        <tr r="AQ33" s="4"/>
      </tp>
      <tp t="s">
        <v>#N/A N/A</v>
        <stp/>
        <stp>BDP|15808868724163470461</stp>
        <tr r="BM86" s="2"/>
      </tp>
      <tp t="s">
        <v>#N/A Requesting Data...2130342232</v>
        <stp/>
        <stp>BDP|18191816343064864834</stp>
        <tr r="BI284" s="3"/>
      </tp>
      <tp t="s">
        <v>#N/A Requesting Data...2653244052</v>
        <stp/>
        <stp>BDP|16041196287926381150</stp>
        <tr r="AA237" s="3"/>
      </tp>
      <tp t="s">
        <v>#N/A Requesting Data...1949539999</v>
        <stp/>
        <stp>BDP|14751500437313962912</stp>
        <tr r="AA229" s="3"/>
      </tp>
      <tp t="s">
        <v>#N/A Requesting Data...4224034825</v>
        <stp/>
        <stp>BDP|10566106308918008158</stp>
        <tr r="BI53" s="3"/>
      </tp>
      <tp t="s">
        <v>#N/A Requesting Data...3529149130</v>
        <stp/>
        <stp>BDP|15646947728565080329</stp>
        <tr r="BF179" s="3"/>
      </tp>
      <tp t="s">
        <v>#N/A N/A</v>
        <stp/>
        <stp>BDP|12653600902288906453</stp>
        <tr r="BL67" s="2"/>
      </tp>
      <tp t="s">
        <v>#N/A Requesting Data...3724086335</v>
        <stp/>
        <stp>BDP|15556089142550044946</stp>
        <tr r="AZ60" s="3"/>
      </tp>
      <tp t="s">
        <v>#N/A Requesting Data...3689045168</v>
        <stp/>
        <stp>BDP|16221559760005506890</stp>
        <tr r="AZ200" s="3"/>
      </tp>
      <tp t="s">
        <v>#N/A N/A</v>
        <stp/>
        <stp>BDP|10035837719972674373</stp>
        <tr r="BM93" s="2"/>
      </tp>
      <tp t="s">
        <v>#N/A Requesting Data...3490892241</v>
        <stp/>
        <stp>BDP|17085645127279111297</stp>
        <tr r="AX57" s="4"/>
      </tp>
      <tp t="s">
        <v>#N/A N/A</v>
        <stp/>
        <stp>BDP|15893817536693612521</stp>
        <tr r="BF62" s="2"/>
      </tp>
      <tp t="s">
        <v>#N/A N/A</v>
        <stp/>
        <stp>BDP|12840848462433184748</stp>
        <tr r="BF15" s="2"/>
      </tp>
      <tp t="s">
        <v>#N/A Requesting Data...2464875464</v>
        <stp/>
        <stp>BDP|14853287761570980831</stp>
        <tr r="O101" s="3"/>
      </tp>
      <tp t="s">
        <v>#N/A N/A</v>
        <stp/>
        <stp>BDP|11177497413348888486</stp>
        <tr r="P61" s="2"/>
      </tp>
      <tp t="s">
        <v>#N/A Requesting Data...3439442221</v>
        <stp/>
        <stp>BDP|15269702577158810569</stp>
        <tr r="K175" s="3"/>
      </tp>
      <tp t="s">
        <v>#N/A Requesting Data...2676230012</v>
        <stp/>
        <stp>BDP|16669441459647083805</stp>
        <tr r="AJ132" s="3"/>
      </tp>
      <tp t="s">
        <v>#N/A Requesting Data...2485705821</v>
        <stp/>
        <stp>BDP|17634075015449881776</stp>
        <tr r="AJ320" s="3"/>
      </tp>
      <tp t="s">
        <v>#N/A Requesting Data...3960910619</v>
        <stp/>
        <stp>BDP|16718741831493817917</stp>
        <tr r="AZ3" s="3"/>
      </tp>
      <tp t="s">
        <v>#N/A Requesting Data...2054677974</v>
        <stp/>
        <stp>BDP|11622970802749929915</stp>
        <tr r="AJ114" s="3"/>
      </tp>
      <tp t="s">
        <v>#N/A Requesting Data...3441511348</v>
        <stp/>
        <stp>BDP|16056993167149179841</stp>
        <tr r="AA110" s="3"/>
      </tp>
      <tp t="s">
        <v>#N/A Requesting Data...2069703520</v>
        <stp/>
        <stp>BDP|17745338518978657510</stp>
        <tr r="BH170" s="3"/>
      </tp>
      <tp t="s">
        <v>#N/A Requesting Data...2111901816</v>
        <stp/>
        <stp>BDP|18273088602996653656</stp>
        <tr r="Y111" s="3"/>
      </tp>
      <tp t="s">
        <v>#N/A Requesting Data...2220861507</v>
        <stp/>
        <stp>BDP|18200375486442945910</stp>
        <tr r="Q104" s="3"/>
      </tp>
      <tp t="s">
        <v>#N/A Requesting Data...3899078902</v>
        <stp/>
        <stp>BDP|10967073581428246860</stp>
        <tr r="AA289" s="3"/>
      </tp>
      <tp t="s">
        <v>#N/A Requesting Data...2020076793</v>
        <stp/>
        <stp>BDP|12872182760769945423</stp>
        <tr r="G37" s="4"/>
      </tp>
      <tp t="s">
        <v>#N/A Requesting Data...4203131557</v>
        <stp/>
        <stp>BDP|18222682046121487322</stp>
        <tr r="Q6" s="3"/>
      </tp>
      <tp t="s">
        <v>#N/A Requesting Data...2068161476</v>
        <stp/>
        <stp>BDP|16867114293144009209</stp>
        <tr r="BG179" s="3"/>
      </tp>
      <tp t="s">
        <v>#N/A N/A</v>
        <stp/>
        <stp>BDP|12187881723345855586</stp>
        <tr r="BE92" s="2"/>
      </tp>
      <tp t="s">
        <v>#N/A Requesting Data...2015870608</v>
        <stp/>
        <stp>BDP|10198818079166078139</stp>
        <tr r="AQ149" s="3"/>
      </tp>
      <tp t="s">
        <v>#N/A Requesting Data...1912110243</v>
        <stp/>
        <stp>BDP|15386206099126045005</stp>
        <tr r="Y52" s="3"/>
      </tp>
      <tp t="s">
        <v>#N/A Requesting Data...2195424463</v>
        <stp/>
        <stp>BDP|13919657030686191877</stp>
        <tr r="AA328" s="3"/>
      </tp>
      <tp t="s">
        <v>#N/A Requesting Data...4222770071</v>
        <stp/>
        <stp>BDP|14026595581596075729</stp>
        <tr r="BH114" s="3"/>
      </tp>
      <tp t="s">
        <v>#N/A Requesting Data...3926402226</v>
        <stp/>
        <stp>BDP|10160358166299947419</stp>
        <tr r="BH173" s="3"/>
      </tp>
      <tp t="s">
        <v>#N/A Requesting Data...4083721775</v>
        <stp/>
        <stp>BDP|11549999825031049338</stp>
        <tr r="AH42" s="3"/>
      </tp>
      <tp t="s">
        <v>#N/A Requesting Data...2797574304</v>
        <stp/>
        <stp>BDP|18205487517927371248</stp>
        <tr r="D37" s="4"/>
      </tp>
      <tp t="s">
        <v>#N/A Requesting Data...1907412654</v>
        <stp/>
        <stp>BDP|13615345961538917606</stp>
        <tr r="BG140" s="3"/>
      </tp>
      <tp t="s">
        <v>#N/A Requesting Data...2827372283</v>
        <stp/>
        <stp>BDP|15275913365133971157</stp>
        <tr r="AA53" s="3"/>
      </tp>
      <tp t="s">
        <v>#N/A Requesting Data...4195117830</v>
        <stp/>
        <stp>BDP|11847079204740679902</stp>
        <tr r="BG36" s="3"/>
      </tp>
      <tp t="s">
        <v>#N/A Requesting Data...2835756327</v>
        <stp/>
        <stp>BDP|16807697617551885835</stp>
        <tr r="BB260" s="3"/>
      </tp>
      <tp t="s">
        <v>#N/A Requesting Data...2894441371</v>
        <stp/>
        <stp>BDP|11313735222754957868</stp>
        <tr r="AF30" s="4"/>
      </tp>
      <tp t="s">
        <v>#N/A Requesting Data...2134345882</v>
        <stp/>
        <stp>BDP|14274293714499548679</stp>
        <tr r="O327" s="3"/>
      </tp>
      <tp t="s">
        <v>#N/A N/A</v>
        <stp/>
        <stp>BDP|10314945171787850135</stp>
        <tr r="AF25" s="2"/>
      </tp>
      <tp t="s">
        <v>#N/A Requesting Data...3967400611</v>
        <stp/>
        <stp>BDP|13155937112624518787</stp>
        <tr r="Y50" s="3"/>
      </tp>
      <tp t="s">
        <v>#N/A N/A</v>
        <stp/>
        <stp>BDP|15461275863749907046</stp>
        <tr r="AV68" s="2"/>
      </tp>
      <tp t="s">
        <v>#N/A Requesting Data...4209951871</v>
        <stp/>
        <stp>BDP|12415607785237840342</stp>
        <tr r="BH154" s="3"/>
      </tp>
      <tp t="s">
        <v>#N/A N/A</v>
        <stp/>
        <stp>BDP|17171861443593871015</stp>
        <tr r="K51" s="2"/>
      </tp>
      <tp t="s">
        <v>#N/A Requesting Data...4281889394</v>
        <stp/>
        <stp>BDP|10568973888058138166</stp>
        <tr r="AJ275" s="3"/>
      </tp>
      <tp t="s">
        <v>#N/A Requesting Data...2790106571</v>
        <stp/>
        <stp>BDP|16859933267093946282</stp>
        <tr r="BH135" s="3"/>
      </tp>
      <tp t="s">
        <v>#N/A Requesting Data...2459981667</v>
        <stp/>
        <stp>BDP|16666823278061075012</stp>
        <tr r="AA234" s="3"/>
      </tp>
      <tp t="s">
        <v>#N/A N/A</v>
        <stp/>
        <stp>BDP|17262831038892682621</stp>
        <tr r="BE37" s="2"/>
      </tp>
      <tp t="s">
        <v>#N/A N/A</v>
        <stp/>
        <stp>BDP|14927793099493701131</stp>
        <tr r="AO101" s="2"/>
      </tp>
      <tp t="s">
        <v>#N/A Requesting Data...2271715112</v>
        <stp/>
        <stp>BDP|13047769629707313902</stp>
        <tr r="I276" s="3"/>
      </tp>
      <tp t="s">
        <v>#N/A Requesting Data...4250575698</v>
        <stp/>
        <stp>BDP|12880919671785419108</stp>
        <tr r="AJ165" s="3"/>
      </tp>
      <tp t="s">
        <v>#N/A Requesting Data...2427723011</v>
        <stp/>
        <stp>BDP|16315089720314565823</stp>
        <tr r="AH17" s="3"/>
      </tp>
      <tp t="s">
        <v>#N/A N/A</v>
        <stp/>
        <stp>BDP|12623351632049868356</stp>
        <tr r="P72" s="2"/>
      </tp>
      <tp t="s">
        <v>#N/A Requesting Data...2519736718</v>
        <stp/>
        <stp>BDP|12307940415080933270</stp>
        <tr r="BG154" s="3"/>
      </tp>
      <tp t="s">
        <v>#N/A Requesting Data...3691959040</v>
        <stp/>
        <stp>BDP|10684078644405939904</stp>
        <tr r="O136" s="3"/>
      </tp>
      <tp t="s">
        <v>#N/A N/A</v>
        <stp/>
        <stp>BDP|16924456464069031544</stp>
        <tr r="AX89" s="2"/>
      </tp>
      <tp t="s">
        <v>#N/A Requesting Data...3190329129</v>
        <stp/>
        <stp>BDP|17137768026413486994</stp>
        <tr r="BG353" s="3"/>
      </tp>
      <tp t="s">
        <v>#N/A Requesting Data...3977255029</v>
        <stp/>
        <stp>BDP|11014975871652393599</stp>
        <tr r="I269" s="3"/>
      </tp>
      <tp t="s">
        <v>#N/A Requesting Data...3850521195</v>
        <stp/>
        <stp>BDP|10144677113329974605</stp>
        <tr r="O53" s="4"/>
      </tp>
      <tp t="s">
        <v>#N/A N/A</v>
        <stp/>
        <stp>BDP|15294684757867140901</stp>
        <tr r="AD57" s="2"/>
      </tp>
      <tp t="s">
        <v>#N/A Requesting Data...3726999061</v>
        <stp/>
        <stp>BDP|15034922142050464080</stp>
        <tr r="I55" s="4"/>
      </tp>
      <tp t="s">
        <v>#N/A Requesting Data...2699621616</v>
        <stp/>
        <stp>BDP|11020567787327426393</stp>
        <tr r="BB274" s="3"/>
      </tp>
      <tp t="s">
        <v>#N/A Requesting Data...3744720590</v>
        <stp/>
        <stp>BDP|14877565098966811610</stp>
        <tr r="AQ74" s="3"/>
      </tp>
      <tp t="s">
        <v>#N/A N/A</v>
        <stp/>
        <stp>BDP|16414067796881209694</stp>
        <tr r="AO72" s="2"/>
      </tp>
      <tp t="s">
        <v>#N/A N/A</v>
        <stp/>
        <stp>BDP|16665843614651922608</stp>
        <tr r="BM45" s="2"/>
      </tp>
      <tp t="s">
        <v>#N/A Requesting Data...4011133666</v>
        <stp/>
        <stp>BDP|15465679504358980319</stp>
        <tr r="Y11" s="4"/>
      </tp>
      <tp t="s">
        <v>#N/A Requesting Data...2330301057</v>
        <stp/>
        <stp>BDP|12204195253817493939</stp>
        <tr r="AH283" s="3"/>
      </tp>
      <tp t="s">
        <v>#N/A Requesting Data...3720394108</v>
        <stp/>
        <stp>BDP|10579762002256646981</stp>
        <tr r="BG340" s="3"/>
      </tp>
      <tp t="s">
        <v>#N/A Requesting Data...3841448089</v>
        <stp/>
        <stp>BDP|14865377483551705646</stp>
        <tr r="BG270" s="3"/>
      </tp>
      <tp t="s">
        <v>#N/A Requesting Data...4172918927</v>
        <stp/>
        <stp>BDP|12268376034362950877</stp>
        <tr r="AQ76" s="3"/>
      </tp>
      <tp t="s">
        <v>#N/A Requesting Data...4217791271</v>
        <stp/>
        <stp>BDP|13961085749757138867</stp>
        <tr r="AA13" s="3"/>
      </tp>
      <tp t="s">
        <v>#N/A Requesting Data...2400120145</v>
        <stp/>
        <stp>BDP|16521113017258467685</stp>
        <tr r="BB243" s="3"/>
      </tp>
      <tp t="s">
        <v>#N/A Requesting Data...3210202470</v>
        <stp/>
        <stp>BDP|16843352486573473601</stp>
        <tr r="AJ277" s="3"/>
      </tp>
      <tp t="s">
        <v>#N/A Requesting Data...3840803469</v>
        <stp/>
        <stp>BDP|17738993820156208235</stp>
        <tr r="BB321" s="3"/>
      </tp>
      <tp t="s">
        <v>#N/A Requesting Data...2182446305</v>
        <stp/>
        <stp>BDP|14025674499757502445</stp>
        <tr r="Y150" s="3"/>
      </tp>
      <tp t="s">
        <v>#N/A Requesting Data...3681797750</v>
        <stp/>
        <stp>BDP|17896547593745831693</stp>
        <tr r="AV17" s="2"/>
        <tr r="AO9" s="4"/>
      </tp>
      <tp t="s">
        <v>#N/A Requesting Data...2673595391</v>
        <stp/>
        <stp>BDP|12319147728980931984</stp>
        <tr r="AS106" s="3"/>
      </tp>
      <tp t="s">
        <v>#N/A Requesting Data...2102363028</v>
        <stp/>
        <stp>BDP|15147139855778835117</stp>
        <tr r="AQ339" s="3"/>
      </tp>
      <tp t="s">
        <v>#N/A Requesting Data...2064373590</v>
        <stp/>
        <stp>BDP|15596185842368608072</stp>
        <tr r="AQ207" s="3"/>
      </tp>
      <tp t="s">
        <v>#N/A Requesting Data...2766723014</v>
        <stp/>
        <stp>BDP|13605187995814564705</stp>
        <tr r="Q276" s="3"/>
      </tp>
      <tp t="s">
        <v>#N/A N/A</v>
        <stp/>
        <stp>BDP|12866222580888483806</stp>
        <tr r="BG89" s="2"/>
      </tp>
      <tp t="s">
        <v>#N/A Requesting Data...2985682323</v>
        <stp/>
        <stp>BDP|12031591856308503243</stp>
        <tr r="AX31" s="4"/>
      </tp>
      <tp t="s">
        <v>#N/A Requesting Data...3993136561</v>
        <stp/>
        <stp>BDP|13273994356231165625</stp>
        <tr r="BB178" s="3"/>
      </tp>
      <tp t="s">
        <v>#N/A Requesting Data...2505147755</v>
        <stp/>
        <stp>BDP|17944242488793968625</stp>
        <tr r="W7" s="4"/>
      </tp>
      <tp t="s">
        <v>#N/A Requesting Data...3853762077</v>
        <stp/>
        <stp>BDP|11237983971533431417</stp>
        <tr r="D58" s="4"/>
      </tp>
      <tp t="s">
        <v>#N/A N/A</v>
        <stp/>
        <stp>BDP|10304678529825226913</stp>
        <tr r="BN23" s="2"/>
      </tp>
      <tp t="s">
        <v>#N/A N/A</v>
        <stp/>
        <stp>BDP|17459083827115716820</stp>
        <tr r="BN31" s="2"/>
      </tp>
      <tp t="s">
        <v>#N/A Requesting Data...2737130408</v>
        <stp/>
        <stp>BDP|18394787148334911749</stp>
        <tr r="BA26" s="3"/>
      </tp>
      <tp t="s">
        <v>#N/A Requesting Data...3610663027</v>
        <stp/>
        <stp>BDP|15846905791339352442</stp>
        <tr r="Q76" s="3"/>
      </tp>
      <tp t="s">
        <v>#N/A Requesting Data...2071419665</v>
        <stp/>
        <stp>BDP|15478570496083307282</stp>
        <tr r="BH14" s="3"/>
      </tp>
      <tp t="s">
        <v>#N/A Requesting Data...2556628111</v>
        <stp/>
        <stp>BDP|12321168470495641921</stp>
        <tr r="BI299" s="3"/>
      </tp>
      <tp t="s">
        <v>#N/A Requesting Data...2875069075</v>
        <stp/>
        <stp>BDP|14262109845580246946</stp>
        <tr r="K230" s="3"/>
      </tp>
      <tp t="s">
        <v>#N/A Requesting Data...2850930184</v>
        <stp/>
        <stp>BDP|14475225813707439808</stp>
        <tr r="AJ55" s="3"/>
      </tp>
      <tp t="s">
        <v>#N/A Requesting Data...3789663502</v>
        <stp/>
        <stp>BDP|13880595010529279622</stp>
        <tr r="BG111" s="3"/>
      </tp>
      <tp t="s">
        <v>#N/A Requesting Data...2106282524</v>
        <stp/>
        <stp>BDP|17982606947445700886</stp>
        <tr r="BI174" s="3"/>
      </tp>
      <tp t="s">
        <v>#N/A Requesting Data...2605185274</v>
        <stp/>
        <stp>BDP|14385357433705699922</stp>
        <tr r="O57" s="3"/>
      </tp>
      <tp t="s">
        <v>#N/A Requesting Data...3890148807</v>
        <stp/>
        <stp>BDP|14410967951859353919</stp>
        <tr r="AX6" s="2"/>
      </tp>
      <tp t="s">
        <v>#N/A Requesting Data...2862474840</v>
        <stp/>
        <stp>BDP|13323319583902560256</stp>
        <tr r="Q305" s="3"/>
      </tp>
      <tp t="s">
        <v>#N/A Requesting Data...2369585343</v>
        <stp/>
        <stp>BDP|14311269195381186602</stp>
        <tr r="K161" s="3"/>
      </tp>
      <tp t="s">
        <v>#N/A Requesting Data...3250025491</v>
        <stp/>
        <stp>BDP|15927541644488136494</stp>
        <tr r="AA279" s="3"/>
      </tp>
      <tp t="s">
        <v>#N/A Requesting Data...3799422006</v>
        <stp/>
        <stp>BDP|10967808349354580045</stp>
        <tr r="F250" s="3"/>
      </tp>
      <tp t="s">
        <v>#N/A N/A</v>
        <stp/>
        <stp>BDP|16110950270056295678</stp>
        <tr r="BM59" s="2"/>
      </tp>
      <tp t="s">
        <v>#N/A Requesting Data...3080151388</v>
        <stp/>
        <stp>BDP|10120067303528155042</stp>
        <tr r="BI170" s="3"/>
      </tp>
      <tp t="s">
        <v>#N/A N/A</v>
        <stp/>
        <stp>BDP|16035262364293025937</stp>
        <tr r="AX14" s="2"/>
      </tp>
      <tp t="s">
        <v>#N/A N/A</v>
        <stp/>
        <stp>BDP|14361820462620463263</stp>
        <tr r="AF93" s="2"/>
      </tp>
      <tp t="s">
        <v>#N/A Requesting Data...3172278414</v>
        <stp/>
        <stp>BDP|10005904037437205545</stp>
        <tr r="AS305" s="3"/>
      </tp>
      <tp t="s">
        <v>#N/A Requesting Data...3909371795</v>
        <stp/>
        <stp>BDP|16224615283100677068</stp>
        <tr r="AZ214" s="3"/>
      </tp>
      <tp t="s">
        <v>#N/A N/A</v>
        <stp/>
        <stp>BDP|14200968423074325345</stp>
        <tr r="BF21" s="2"/>
      </tp>
      <tp t="s">
        <v>#N/A Requesting Data...4036812296</v>
        <stp/>
        <stp>BDP|16581857175555546401</stp>
        <tr r="O34" s="3"/>
      </tp>
      <tp t="s">
        <v>#N/A Requesting Data...3134061092</v>
        <stp/>
        <stp>BDP|17771950891636088936</stp>
        <tr r="BF253" s="3"/>
      </tp>
      <tp t="s">
        <v>#N/A Requesting Data...2289307501</v>
        <stp/>
        <stp>BDP|13279863446916334110</stp>
        <tr r="K26" s="3"/>
      </tp>
      <tp t="s">
        <v>#N/A Requesting Data...2295640915</v>
        <stp/>
        <stp>BDP|13153915371223638671</stp>
        <tr r="I208" s="3"/>
      </tp>
      <tp t="s">
        <v>#N/A N/A</v>
        <stp/>
        <stp>BDP|18301580238036513065</stp>
        <tr r="AV53" s="2"/>
      </tp>
      <tp t="s">
        <v>#N/A Requesting Data...3140152315</v>
        <stp/>
        <stp>BDP|18004728748960930308</stp>
        <tr r="W35" s="4"/>
      </tp>
      <tp t="s">
        <v>#N/A Requesting Data...3159926307</v>
        <stp/>
        <stp>BDP|14899150359370732806</stp>
        <tr r="BH228" s="3"/>
      </tp>
      <tp t="s">
        <v>#N/A Requesting Data...2899220949</v>
        <stp/>
        <stp>BDP|12616217494165110419</stp>
        <tr r="Y337" s="3"/>
      </tp>
      <tp t="s">
        <v>#N/A Requesting Data...4078278771</v>
        <stp/>
        <stp>BDP|14932169396984859028</stp>
        <tr r="AA326" s="3"/>
      </tp>
      <tp t="s">
        <v>#N/A Requesting Data...4063542769</v>
        <stp/>
        <stp>BDP|13289247727332012920</stp>
        <tr r="BL9" s="2"/>
      </tp>
      <tp t="s">
        <v>#N/A Requesting Data...3751986507</v>
        <stp/>
        <stp>BDP|10588739352902064872</stp>
        <tr r="AS53" s="3"/>
      </tp>
      <tp t="s">
        <v>#N/A Requesting Data...3621119226</v>
        <stp/>
        <stp>BDP|10290125463928698760</stp>
        <tr r="G11" s="4"/>
      </tp>
      <tp t="s">
        <v>#N/A Requesting Data...3731541492</v>
        <stp/>
        <stp>BDP|13893259824709337297</stp>
        <tr r="AX21" s="4"/>
      </tp>
      <tp t="s">
        <v>#N/A Requesting Data...3169406318</v>
        <stp/>
        <stp>BDP|13526462226154159977</stp>
        <tr r="I191" s="3"/>
      </tp>
      <tp t="s">
        <v>#N/A N/A</v>
        <stp/>
        <stp>BDP|13171572266718202010</stp>
        <tr r="AD85" s="2"/>
      </tp>
      <tp t="s">
        <v>#N/A Requesting Data...2482679809</v>
        <stp/>
        <stp>BDP|17427249680945735043</stp>
        <tr r="AQ292" s="3"/>
      </tp>
      <tp t="s">
        <v>#N/A Requesting Data...2265515495</v>
        <stp/>
        <stp>BDP|13887473520508864549</stp>
        <tr r="W45" s="4"/>
      </tp>
      <tp t="s">
        <v>#N/A Requesting Data...2605697162</v>
        <stp/>
        <stp>BDP|10124052880357122761</stp>
        <tr r="BG12" s="3"/>
      </tp>
      <tp t="s">
        <v>#N/A Requesting Data...4033772285</v>
        <stp/>
        <stp>BDP|14373783489246089518</stp>
        <tr r="O123" s="3"/>
      </tp>
      <tp t="s">
        <v>#N/A Requesting Data...2811357095</v>
        <stp/>
        <stp>BDP|14762917209547985259</stp>
        <tr r="BA273" s="3"/>
      </tp>
      <tp t="s">
        <v>#N/A Requesting Data...3873056339</v>
        <stp/>
        <stp>BDP|13817881620029765842</stp>
        <tr r="BA37" s="3"/>
      </tp>
      <tp t="s">
        <v>#N/A Requesting Data...2361950120</v>
        <stp/>
        <stp>BDP|15589855722430065704</stp>
        <tr r="AH134" s="3"/>
      </tp>
      <tp t="s">
        <v>#N/A N/A</v>
        <stp/>
        <stp>BDP|15874341828604694802</stp>
        <tr r="BL20" s="2"/>
      </tp>
      <tp t="s">
        <v>#N/A N/A</v>
        <stp/>
        <stp>BDP|14439239347868519278</stp>
        <tr r="AO28" s="2"/>
      </tp>
      <tp t="s">
        <v>#N/A Requesting Data...2444904344</v>
        <stp/>
        <stp>BDP|10417857984800735807</stp>
        <tr r="AQ352" s="3"/>
      </tp>
      <tp t="s">
        <v>#N/A Requesting Data...2813420271</v>
        <stp/>
        <stp>BDP|13537785873652891943</stp>
        <tr r="BI49" s="3"/>
      </tp>
      <tp t="s">
        <v>#N/A N/A</v>
        <stp/>
        <stp>BDP|13719732917819637472</stp>
        <tr r="V23" s="2"/>
      </tp>
      <tp t="s">
        <v>#N/A Requesting Data...2554024058</v>
        <stp/>
        <stp>BDP|11838548676332910910</stp>
        <tr r="AA180" s="3"/>
      </tp>
      <tp t="s">
        <v>#N/A Requesting Data...3523580727</v>
        <stp/>
        <stp>BDP|14395458690842410301</stp>
        <tr r="BI290" s="3"/>
      </tp>
      <tp t="s">
        <v>#N/A N/A</v>
        <stp/>
        <stp>BDP|17967808262685021492</stp>
        <tr r="BE95" s="2"/>
      </tp>
      <tp t="s">
        <v>#N/A Requesting Data...2709687789</v>
        <stp/>
        <stp>BDP|10368794609517499850</stp>
        <tr r="AQ217" s="3"/>
      </tp>
      <tp t="s">
        <v>#N/A Requesting Data...2991204261</v>
        <stp/>
        <stp>BDP|15789139256348926193</stp>
        <tr r="O239" s="3"/>
      </tp>
      <tp t="s">
        <v>#N/A Requesting Data...2573821246</v>
        <stp/>
        <stp>BDP|10199066688865433597</stp>
        <tr r="AA156" s="3"/>
      </tp>
      <tp t="s">
        <v>#N/A Requesting Data...3929027573</v>
        <stp/>
        <stp>BDP|14153881244567822770</stp>
        <tr r="AJ63" s="3"/>
      </tp>
      <tp t="s">
        <v>#N/A Requesting Data...2625277466</v>
        <stp/>
        <stp>BDP|14530528388828575986</stp>
        <tr r="Q278" s="3"/>
      </tp>
      <tp t="s">
        <v>#N/A Requesting Data...2936979472</v>
        <stp/>
        <stp>BDP|11614897409389537817</stp>
        <tr r="AJ301" s="3"/>
      </tp>
      <tp t="s">
        <v>#N/A N/A</v>
        <stp/>
        <stp>BDP|14026194867208964353</stp>
        <tr r="BK71" s="2"/>
      </tp>
      <tp t="s">
        <v>#N/A N/A</v>
        <stp/>
        <stp>BDP|17897801317660468699</stp>
        <tr r="BL36" s="2"/>
      </tp>
      <tp t="s">
        <v>#N/A Requesting Data...4104926853</v>
        <stp/>
        <stp>BDP|12502016876695492849</stp>
        <tr r="BI87" s="3"/>
      </tp>
      <tp t="s">
        <v>#N/A Requesting Data...2775743240</v>
        <stp/>
        <stp>BDP|13828297699262359295</stp>
        <tr r="K2" s="2"/>
        <tr r="D2" s="4"/>
        <tr r="F2" s="3"/>
      </tp>
      <tp t="s">
        <v>#N/A Requesting Data...2729176605</v>
        <stp/>
        <stp>BDP|13851163591156510581</stp>
        <tr r="BA205" s="3"/>
      </tp>
      <tp t="s">
        <v>#N/A Requesting Data...3163549068</v>
        <stp/>
        <stp>BDP|14025843867672726060</stp>
        <tr r="BA33" s="3"/>
      </tp>
      <tp t="s">
        <v>#N/A Requesting Data...3653176296</v>
        <stp/>
        <stp>BDP|11256908870690366739</stp>
        <tr r="Y212" s="3"/>
      </tp>
      <tp t="s">
        <v>#N/A Requesting Data...3759968100</v>
        <stp/>
        <stp>BDP|11370839109398857943</stp>
        <tr r="BB5" s="3"/>
      </tp>
      <tp t="s">
        <v>#N/A N/A</v>
        <stp/>
        <stp>BDP|15529891309945565056</stp>
        <tr r="BG17" s="2"/>
      </tp>
      <tp t="s">
        <v>#N/A Requesting Data...2638772412</v>
        <stp/>
        <stp>BDP|17606522294876391569</stp>
        <tr r="Y78" s="3"/>
      </tp>
      <tp t="s">
        <v>#N/A Requesting Data...2720539571</v>
        <stp/>
        <stp>BDP|13769667584670288527</stp>
        <tr r="BI330" s="3"/>
      </tp>
      <tp t="s">
        <v>#N/A Requesting Data...3986892727</v>
        <stp/>
        <stp>BDP|17397125862899035168</stp>
        <tr r="BH151" s="3"/>
      </tp>
      <tp t="s">
        <v>#N/A Requesting Data...4200176106</v>
        <stp/>
        <stp>BDP|16827189975088313034</stp>
        <tr r="I28" s="3"/>
      </tp>
      <tp t="s">
        <v>#N/A Requesting Data...3719486259</v>
        <stp/>
        <stp>BDP|16692493344038824666</stp>
        <tr r="BG105" s="3"/>
      </tp>
      <tp t="s">
        <v>#N/A Requesting Data...2889806403</v>
        <stp/>
        <stp>BDP|17801645377169695783</stp>
        <tr r="I233" s="3"/>
      </tp>
      <tp t="s">
        <v>#N/A Requesting Data...2862373317</v>
        <stp/>
        <stp>BDP|11789190328499141326</stp>
        <tr r="O7" s="3"/>
      </tp>
      <tp t="s">
        <v>#N/A Requesting Data...3016676431</v>
        <stp/>
        <stp>BDP|18109458954014565503</stp>
        <tr r="BB136" s="3"/>
      </tp>
      <tp t="s">
        <v>#N/A N/A</v>
        <stp/>
        <stp>BDP|13163157670115343828</stp>
        <tr r="P90" s="2"/>
      </tp>
      <tp t="s">
        <v>#N/A Requesting Data...3337027118</v>
        <stp/>
        <stp>BDP|13886152419528127301</stp>
        <tr r="O19" s="4"/>
      </tp>
      <tp t="s">
        <v>#N/A N/A</v>
        <stp/>
        <stp>BDP|12440022692841501242</stp>
        <tr r="AD61" s="2"/>
      </tp>
      <tp t="s">
        <v>#N/A Requesting Data...4076381980</v>
        <stp/>
        <stp>BDP|13467810467622512722</stp>
        <tr r="D49" s="4"/>
      </tp>
      <tp t="s">
        <v>#N/A Requesting Data...3101472168</v>
        <stp/>
        <stp>BDP|17278633085033914287</stp>
        <tr r="O31" s="4"/>
      </tp>
      <tp t="s">
        <v>#N/A Requesting Data...3497874311</v>
        <stp/>
        <stp>BDP|12749322690211738175</stp>
        <tr r="AH37" s="3"/>
      </tp>
      <tp t="s">
        <v>#N/A Requesting Data...2895246367</v>
        <stp/>
        <stp>BDP|17808956469587055714</stp>
        <tr r="AA130" s="3"/>
      </tp>
      <tp t="s">
        <v>#N/A Requesting Data...2574093783</v>
        <stp/>
        <stp>BDP|16609501295145766717</stp>
        <tr r="BG286" s="3"/>
      </tp>
      <tp t="s">
        <v>#N/A Requesting Data...2498789620</v>
        <stp/>
        <stp>BDP|18139063206360279065</stp>
        <tr r="BI143" s="3"/>
      </tp>
      <tp t="s">
        <v>#N/A N/A</v>
        <stp/>
        <stp>BDP|17732130090770635777</stp>
        <tr r="BN17" s="2"/>
      </tp>
      <tp t="s">
        <v>#N/A Requesting Data...3682661102</v>
        <stp/>
        <stp>BDP|17728019804987039876</stp>
        <tr r="BA240" s="3"/>
      </tp>
      <tp t="s">
        <v>#N/A Requesting Data...3786704190</v>
        <stp/>
        <stp>BDP|17045011655973097912</stp>
        <tr r="BA69" s="3"/>
      </tp>
      <tp t="s">
        <v>#N/A Requesting Data...3649916254</v>
        <stp/>
        <stp>BDP|18183749417041771701</stp>
        <tr r="AF43" s="4"/>
      </tp>
      <tp t="s">
        <v>#N/A Requesting Data...3862038336</v>
        <stp/>
        <stp>BDP|12951211490793550280</stp>
        <tr r="AJ100" s="3"/>
      </tp>
      <tp t="s">
        <v>#N/A Requesting Data...4264254704</v>
        <stp/>
        <stp>BDP|14174876903050205424</stp>
        <tr r="BF283" s="3"/>
      </tp>
      <tp t="s">
        <v>#N/A Requesting Data...3508420651</v>
        <stp/>
        <stp>BDP|17386001771668619001</stp>
        <tr r="O261" s="3"/>
      </tp>
      <tp t="s">
        <v>#N/A Requesting Data...2471451635</v>
        <stp/>
        <stp>BDP|14118358114038246661</stp>
        <tr r="Q266" s="3"/>
      </tp>
      <tp t="s">
        <v>#N/A Requesting Data...3331012284</v>
        <stp/>
        <stp>BDP|10545040363649513730</stp>
        <tr r="BG6" s="2"/>
      </tp>
      <tp t="s">
        <v>#N/A Requesting Data...3154151306</v>
        <stp/>
        <stp>BDP|17707915386149009746</stp>
        <tr r="AO11" s="4"/>
      </tp>
      <tp t="s">
        <v>#N/A N/A</v>
        <stp/>
        <stp>BDP|16012249802029581571</stp>
        <tr r="BM101" s="2"/>
      </tp>
      <tp t="s">
        <v>#N/A N/A</v>
        <stp/>
        <stp>BDP|12505032342157426940</stp>
        <tr r="BN34" s="2"/>
      </tp>
      <tp t="s">
        <v>#N/A Requesting Data...3991714238</v>
        <stp/>
        <stp>BDP|17850380183052656611</stp>
        <tr r="AS48" s="3"/>
      </tp>
      <tp t="s">
        <v>#N/A Requesting Data...3601171308</v>
        <stp/>
        <stp>BDP|10452628636814059946</stp>
        <tr r="AZ205" s="3"/>
      </tp>
      <tp t="s">
        <v>#N/A Requesting Data...4035688661</v>
        <stp/>
        <stp>BDP|16165211285060485459</stp>
        <tr r="AQ89" s="3"/>
      </tp>
      <tp t="s">
        <v>#N/A Requesting Data...3692542230</v>
        <stp/>
        <stp>BDP|10841840186049712193</stp>
        <tr r="AA290" s="3"/>
      </tp>
      <tp t="s">
        <v>#N/A Requesting Data...4172069187</v>
        <stp/>
        <stp>BDP|10317288789825122748</stp>
        <tr r="BB37" s="3"/>
      </tp>
      <tp t="s">
        <v>#N/A Requesting Data...4116026829</v>
        <stp/>
        <stp>BDP|14376456986045514528</stp>
        <tr r="BG124" s="3"/>
      </tp>
      <tp t="s">
        <v>#N/A Requesting Data...4168838602</v>
        <stp/>
        <stp>BDP|13167406284004373318</stp>
        <tr r="AJ276" s="3"/>
      </tp>
      <tp t="s">
        <v>#N/A Requesting Data...3552428210</v>
        <stp/>
        <stp>BDP|15973720938488542118</stp>
        <tr r="AJ18" s="3"/>
      </tp>
      <tp t="s">
        <v>#N/A N/A</v>
        <stp/>
        <stp>BDP|18023006797810488949</stp>
        <tr r="BG35" s="2"/>
      </tp>
      <tp t="s">
        <v>#N/A Requesting Data...3207819166</v>
        <stp/>
        <stp>BDP|12857086162855322964</stp>
        <tr r="AF38" s="4"/>
      </tp>
      <tp t="s">
        <v>#N/A Requesting Data...4213350770</v>
        <stp/>
        <stp>BDP|17755888323157987228</stp>
        <tr r="BG101" s="3"/>
      </tp>
      <tp t="s">
        <v>#N/A Requesting Data...4166406071</v>
        <stp/>
        <stp>BDP|16327299016149805436</stp>
        <tr r="F226" s="3"/>
      </tp>
      <tp t="s">
        <v>#N/A Requesting Data...3216332091</v>
        <stp/>
        <stp>BDP|15852830316392955630</stp>
        <tr r="BG329" s="3"/>
      </tp>
      <tp t="s">
        <v>#N/A N/A</v>
        <stp/>
        <stp>BDP|14573427621689905384</stp>
        <tr r="BN86" s="2"/>
      </tp>
      <tp t="s">
        <v>#N/A Requesting Data...3313135994</v>
        <stp/>
        <stp>BDP|13164361965016016851</stp>
        <tr r="F294" s="3"/>
      </tp>
      <tp t="s">
        <v>#N/A Requesting Data...3688553644</v>
        <stp/>
        <stp>BDP|16869315513199545580</stp>
        <tr r="AJ151" s="3"/>
      </tp>
      <tp t="s">
        <v>#N/A N/A</v>
        <stp/>
        <stp>BDP|16286936604160016737</stp>
        <tr r="AF45" s="2"/>
      </tp>
      <tp t="s">
        <v>#N/A Requesting Data...3376958451</v>
        <stp/>
        <stp>BDP|14583241209306914873</stp>
        <tr r="K155" s="3"/>
      </tp>
      <tp t="s">
        <v>#N/A Requesting Data...3686698428</v>
        <stp/>
        <stp>BDP|11895810443047934258</stp>
        <tr r="O246" s="3"/>
      </tp>
      <tp t="s">
        <v>#N/A Requesting Data...3062912755</v>
        <stp/>
        <stp>BDP|17484969246687704556</stp>
        <tr r="BA164" s="3"/>
      </tp>
      <tp t="s">
        <v>#N/A Requesting Data...4178164595</v>
        <stp/>
        <stp>BDP|17820152579199499069</stp>
        <tr r="BI249" s="3"/>
      </tp>
      <tp t="s">
        <v>#N/A Requesting Data...3548293870</v>
        <stp/>
        <stp>BDP|12829444944402917872</stp>
        <tr r="AS228" s="3"/>
      </tp>
      <tp t="s">
        <v>#N/A Requesting Data...2822979027</v>
        <stp/>
        <stp>BDP|17548311895151105465</stp>
        <tr r="O182" s="3"/>
      </tp>
      <tp t="s">
        <v>#N/A Requesting Data...3434421660</v>
        <stp/>
        <stp>BDP|12528913047034424313</stp>
        <tr r="K78" s="3"/>
      </tp>
      <tp t="s">
        <v>#N/A N/A</v>
        <stp/>
        <stp>BDP|15968283263601504813</stp>
        <tr r="AX55" s="2"/>
      </tp>
      <tp t="s">
        <v>#N/A Requesting Data...3802412614</v>
        <stp/>
        <stp>BDP|18318543770627374523</stp>
        <tr r="K263" s="3"/>
      </tp>
      <tp t="s">
        <v>#N/A Requesting Data...3533844876</v>
        <stp/>
        <stp>BDP|17788398360603935913</stp>
        <tr r="BI246" s="3"/>
      </tp>
      <tp t="s">
        <v>#N/A Requesting Data...3651475072</v>
        <stp/>
        <stp>BDP|17829684894366845759</stp>
        <tr r="AS70" s="3"/>
      </tp>
      <tp t="s">
        <v>#N/A N/A</v>
        <stp/>
        <stp>BDP|16916754543649293544</stp>
        <tr r="AD39" s="2"/>
      </tp>
      <tp t="s">
        <v>#N/A Requesting Data...4280094879</v>
        <stp/>
        <stp>BDP|11757493433799154659</stp>
        <tr r="BG40" s="3"/>
      </tp>
      <tp t="s">
        <v>#N/A Requesting Data...2737579016</v>
        <stp/>
        <stp>BDP|15686472738928898387</stp>
        <tr r="BG144" s="3"/>
      </tp>
      <tp t="s">
        <v>#N/A Requesting Data...4286723554</v>
        <stp/>
        <stp>BDP|10103230775478716498</stp>
        <tr r="BF299" s="3"/>
      </tp>
      <tp t="s">
        <v>#N/A Requesting Data...2778274267</v>
        <stp/>
        <stp>BDP|10670639130009804543</stp>
        <tr r="I195" s="3"/>
      </tp>
      <tp t="s">
        <v>#N/A N/A</v>
        <stp/>
        <stp>BDP|17150950909815193258</stp>
        <tr r="AO26" s="2"/>
      </tp>
      <tp t="s">
        <v>#N/A Requesting Data...3424502378</v>
        <stp/>
        <stp>BDP|14232659909662377948</stp>
        <tr r="AO33" s="4"/>
      </tp>
      <tp t="s">
        <v>#N/A N/A</v>
        <stp/>
        <stp>BDP|12879536688673956530</stp>
        <tr r="V25" s="2"/>
      </tp>
      <tp t="s">
        <v>#N/A Requesting Data...3245825409</v>
        <stp/>
        <stp>BDP|12929924830844341518</stp>
        <tr r="Q8" s="3"/>
      </tp>
      <tp t="s">
        <v>#N/A Requesting Data...4057537857</v>
        <stp/>
        <stp>BDP|15706700670299641587</stp>
        <tr r="BF162" s="3"/>
      </tp>
      <tp t="s">
        <v>#N/A Requesting Data...3099189277</v>
        <stp/>
        <stp>BDP|15715305399451760706</stp>
        <tr r="I32" s="3"/>
      </tp>
      <tp t="s">
        <v>#N/A Requesting Data...3934230651</v>
        <stp/>
        <stp>BDP|10722454189715411066</stp>
        <tr r="Q145" s="3"/>
      </tp>
      <tp t="s">
        <v>#N/A N/A</v>
        <stp/>
        <stp>BDP|15224601516799487299</stp>
        <tr r="BM41" s="2"/>
      </tp>
      <tp t="s">
        <v>#N/A Requesting Data...3152301259</v>
        <stp/>
        <stp>BDP|17906234011364409962</stp>
        <tr r="BI196" s="3"/>
      </tp>
      <tp t="s">
        <v>#N/A Requesting Data...3315142484</v>
        <stp/>
        <stp>BDP|15212619235831848871</stp>
        <tr r="AA96" s="3"/>
      </tp>
      <tp t="s">
        <v>#N/A N/A</v>
        <stp/>
        <stp>BDP|18015040840126414394</stp>
        <tr r="AM83" s="2"/>
      </tp>
      <tp t="s">
        <v>#N/A N/A</v>
        <stp/>
        <stp>BDP|16104276809614415925</stp>
        <tr r="V39" s="2"/>
      </tp>
      <tp t="s">
        <v>#N/A Requesting Data...3146461261</v>
        <stp/>
        <stp>BDP|17655132267700227996</stp>
        <tr r="BF37" s="3"/>
      </tp>
      <tp t="s">
        <v>#N/A Requesting Data...3393801538</v>
        <stp/>
        <stp>BDP|12095857667382216785</stp>
        <tr r="F349" s="3"/>
      </tp>
      <tp t="s">
        <v>#N/A N/A</v>
        <stp/>
        <stp>BDP|12863609039327818914</stp>
        <tr r="AD83" s="2"/>
      </tp>
      <tp t="s">
        <v>#N/A Requesting Data...3402199855</v>
        <stp/>
        <stp>BDP|12389349389549152979</stp>
        <tr r="AA303" s="3"/>
      </tp>
      <tp t="s">
        <v>#N/A Requesting Data...4077931507</v>
        <stp/>
        <stp>BDP|16529094425858343522</stp>
        <tr r="AH133" s="3"/>
      </tp>
      <tp t="s">
        <v>#N/A Requesting Data...3545009419</v>
        <stp/>
        <stp>BDP|10840577634027334803</stp>
        <tr r="Q68" s="3"/>
      </tp>
      <tp t="s">
        <v>#N/A Requesting Data...4277238075</v>
        <stp/>
        <stp>BDP|16879181588745937390</stp>
        <tr r="BI195" s="3"/>
      </tp>
      <tp t="s">
        <v>#N/A Requesting Data...3123512992</v>
        <stp/>
        <stp>BDP|11391778178731344972</stp>
        <tr r="F246" s="3"/>
      </tp>
      <tp t="s">
        <v>#N/A Requesting Data...4150526765</v>
        <stp/>
        <stp>BDP|14933846644430206137</stp>
        <tr r="Y115" s="3"/>
      </tp>
      <tp t="s">
        <v>#N/A Requesting Data...3620779194</v>
        <stp/>
        <stp>BDP|10055613434044879869</stp>
        <tr r="BF174" s="3"/>
      </tp>
      <tp t="s">
        <v>#N/A Requesting Data...3064547422</v>
        <stp/>
        <stp>BDP|13987397381094337594</stp>
        <tr r="K347" s="3"/>
      </tp>
      <tp t="s">
        <v>#N/A Requesting Data...3068819254</v>
        <stp/>
        <stp>BDP|13567059299815684641</stp>
        <tr r="BI273" s="3"/>
      </tp>
      <tp t="s">
        <v>#N/A Requesting Data...4072146721</v>
        <stp/>
        <stp>BDP|10843713247112052850</stp>
        <tr r="I340" s="3"/>
      </tp>
      <tp t="s">
        <v>#N/A Requesting Data...2964830194</v>
        <stp/>
        <stp>BDP|10149334153917999836</stp>
        <tr r="Q30" s="3"/>
      </tp>
      <tp t="s">
        <v>#N/A Requesting Data...3471634856</v>
        <stp/>
        <stp>BDP|16870895847297558480</stp>
        <tr r="BH192" s="3"/>
      </tp>
      <tp t="s">
        <v>#N/A Requesting Data...4235984310</v>
        <stp/>
        <stp>BDP|17814426694947166457</stp>
        <tr r="AA344" s="3"/>
      </tp>
      <tp t="s">
        <v>#N/A Requesting Data...3516894284</v>
        <stp/>
        <stp>BDP|11291451696406267396</stp>
        <tr r="AZ112" s="3"/>
      </tp>
      <tp t="s">
        <v>#N/A Requesting Data...3904647314</v>
        <stp/>
        <stp>BDP|13017231598167154605</stp>
        <tr r="AH270" s="3"/>
      </tp>
      <tp t="s">
        <v>#N/A Requesting Data...3093434594</v>
        <stp/>
        <stp>BDP|13955524298641033795</stp>
        <tr r="AH263" s="3"/>
      </tp>
      <tp t="s">
        <v>#N/A Requesting Data...3128976582</v>
        <stp/>
        <stp>BDP|13183250353758342590</stp>
        <tr r="F128" s="3"/>
      </tp>
      <tp t="s">
        <v>#N/A Requesting Data...3812139560</v>
        <stp/>
        <stp>BDP|10772238679748725470</stp>
        <tr r="AS264" s="3"/>
      </tp>
      <tp t="s">
        <v>#N/A Requesting Data...4059478833</v>
        <stp/>
        <stp>BDP|12684227681180947115</stp>
        <tr r="I236" s="3"/>
      </tp>
      <tp t="s">
        <v>#N/A Requesting Data...3593921672</v>
        <stp/>
        <stp>BDP|12185898004327789466</stp>
        <tr r="Q159" s="3"/>
      </tp>
      <tp t="s">
        <v>#N/A Requesting Data...3071808531</v>
        <stp/>
        <stp>BDP|10348688370468427026</stp>
        <tr r="BB122" s="3"/>
      </tp>
      <tp t="s">
        <v>#N/A Requesting Data...3902139395</v>
        <stp/>
        <stp>BDP|11774320662818975534</stp>
        <tr r="AJ328" s="3"/>
      </tp>
      <tp t="s">
        <v>#N/A Requesting Data...3926908944</v>
        <stp/>
        <stp>BDP|13600673739028750725</stp>
        <tr r="K17" s="3"/>
      </tp>
      <tp t="s">
        <v>#N/A Requesting Data...3439499135</v>
        <stp/>
        <stp>BDP|18097533018243693603</stp>
        <tr r="K339" s="3"/>
      </tp>
      <tp t="s">
        <v>#N/A Requesting Data...3606356742</v>
        <stp/>
        <stp>BDP|12605324539049727274</stp>
        <tr r="BG193" s="3"/>
      </tp>
      <tp t="s">
        <v>#N/A Requesting Data...3902574748</v>
        <stp/>
        <stp>BDP|13546511220174856911</stp>
        <tr r="O86" s="3"/>
      </tp>
      <tp t="s">
        <v>#N/A Requesting Data...3736879149</v>
        <stp/>
        <stp>BDP|11525716780967935009</stp>
        <tr r="AH279" s="3"/>
      </tp>
      <tp t="s">
        <v>#N/A Requesting Data...3580510933</v>
        <stp/>
        <stp>BDP|17876415154816587954</stp>
        <tr r="BF16" s="3"/>
      </tp>
      <tp t="s">
        <v>#N/A N/A</v>
        <stp/>
        <stp>BDP|13730896115025343655</stp>
        <tr r="AX54" s="2"/>
      </tp>
      <tp t="s">
        <v>#N/A Requesting Data...3581222173</v>
        <stp/>
        <stp>BDP|18069190901844214465</stp>
        <tr r="K262" s="3"/>
      </tp>
      <tp t="s">
        <v>#N/A Requesting Data...4243867364</v>
        <stp/>
        <stp>BDP|12593094922359057025</stp>
        <tr r="BA335" s="3"/>
      </tp>
      <tp t="s">
        <v>#N/A Requesting Data...3825443415</v>
        <stp/>
        <stp>BDP|12044156498416212539</stp>
        <tr r="AQ330" s="3"/>
      </tp>
      <tp t="s">
        <v>#N/A Requesting Data...3501237939</v>
        <stp/>
        <stp>BDP|18037765276691474084</stp>
        <tr r="AZ230" s="3"/>
      </tp>
      <tp t="s">
        <v>#N/A Requesting Data...4224058575</v>
        <stp/>
        <stp>BDP|12413935170606949325</stp>
        <tr r="BA196" s="3"/>
      </tp>
      <tp t="s">
        <v>#N/A N/A</v>
        <stp/>
        <stp>BDP|16552620089299601844</stp>
        <tr r="BG39" s="2"/>
      </tp>
      <tp t="s">
        <v>#N/A Requesting Data...4238951076</v>
        <stp/>
        <stp>BDP|13668493343752819880</stp>
        <tr r="BF169" s="3"/>
      </tp>
      <tp t="s">
        <v>#N/A Requesting Data...3989634660</v>
        <stp/>
        <stp>BDP|11893009758988881540</stp>
        <tr r="AA75" s="3"/>
      </tp>
      <tp t="s">
        <v>#N/A Requesting Data...3814466130</v>
        <stp/>
        <stp>BDP|17572416798337779474</stp>
        <tr r="AA169" s="3"/>
      </tp>
      <tp t="s">
        <v>#N/A Requesting Data...3645330440</v>
        <stp/>
        <stp>BDP|17228098492431582606</stp>
        <tr r="K165" s="3"/>
      </tp>
      <tp t="s">
        <v>#N/A Requesting Data...3481839419</v>
        <stp/>
        <stp>BDP|16502175079570183968</stp>
        <tr r="BH58" s="3"/>
      </tp>
      <tp t="s">
        <v>#N/A Requesting Data...4241653284</v>
        <stp/>
        <stp>BDP|13602085696683779031</stp>
        <tr r="F174" s="3"/>
      </tp>
      <tp t="s">
        <v>#N/A Requesting Data...4036383539</v>
        <stp/>
        <stp>BDP|17800230623408152654</stp>
        <tr r="AH88" s="3"/>
      </tp>
      <tp t="s">
        <v>#N/A Requesting Data...3201796715</v>
        <stp/>
        <stp>BDP|11732387929080333992</stp>
        <tr r="K201" s="3"/>
      </tp>
      <tp t="s">
        <v>#N/A Requesting Data...3536477714</v>
        <stp/>
        <stp>BDP|16943930664555200538</stp>
        <tr r="Y314" s="3"/>
      </tp>
      <tp t="s">
        <v>#N/A Requesting Data...3118443928</v>
        <stp/>
        <stp>BDP|13989932074694238030</stp>
        <tr r="BB33" s="3"/>
      </tp>
      <tp t="s">
        <v>#N/A N/A</v>
        <stp/>
        <stp>BDP|11079140889065783450</stp>
        <tr r="BE44" s="2"/>
      </tp>
      <tp t="s">
        <v>#N/A Requesting Data...4085745660</v>
        <stp/>
        <stp>BDP|17023103493874974253</stp>
        <tr r="AJ162" s="3"/>
      </tp>
      <tp t="s">
        <v>#N/A N/A</v>
        <stp/>
        <stp>BDP|11228083560599675730</stp>
        <tr r="AV40" s="2"/>
      </tp>
      <tp t="s">
        <v>#N/A N/A</v>
        <stp/>
        <stp>BDP|16949663730328558253</stp>
        <tr r="BK21" s="2"/>
      </tp>
      <tp t="s">
        <v>#N/A Requesting Data...3993289718</v>
        <stp/>
        <stp>BDP|14754950806245240192</stp>
        <tr r="Y60" s="3"/>
      </tp>
      <tp t="s">
        <v>#N/A Requesting Data...3898126793</v>
        <stp/>
        <stp>BDP|10993554981794396012</stp>
        <tr r="AH351" s="3"/>
      </tp>
      <tp t="s">
        <v>#N/A Requesting Data...3211543822</v>
        <stp/>
        <stp>BDP|10058396199722823176</stp>
        <tr r="BA190" s="3"/>
      </tp>
      <tp t="s">
        <v>#N/A Requesting Data...3205142532</v>
        <stp/>
        <stp>BDP|14788535029402789851</stp>
        <tr r="AA334" s="3"/>
      </tp>
      <tp t="s">
        <v>#N/A Requesting Data...3844196646</v>
        <stp/>
        <stp>BDP|12081598840109571331</stp>
        <tr r="BF4" s="3"/>
      </tp>
      <tp t="s">
        <v>#N/A Requesting Data...3641294842</v>
        <stp/>
        <stp>BDP|13851082509272753817</stp>
        <tr r="AJ232" s="3"/>
      </tp>
      <tp t="s">
        <v>#N/A Requesting Data...3515550460</v>
        <stp/>
        <stp>BDP|11404740211277685990</stp>
        <tr r="Q346" s="3"/>
      </tp>
      <tp t="s">
        <v>#N/A Requesting Data...4195673801</v>
        <stp/>
        <stp>BDP|18388834342495963857</stp>
        <tr r="AZ159" s="3"/>
      </tp>
      <tp t="s">
        <v>#N/A Requesting Data...3386729926</v>
        <stp/>
        <stp>BDP|13555878473735967064</stp>
        <tr r="BB239" s="3"/>
      </tp>
      <tp t="s">
        <v>#N/A Requesting Data...3515645581</v>
        <stp/>
        <stp>BDP|16931447988651228298</stp>
        <tr r="BA245" s="3"/>
      </tp>
      <tp t="s">
        <v>#N/A Requesting Data...3984348853</v>
        <stp/>
        <stp>BDP|11757401614248408598</stp>
        <tr r="AQ153" s="3"/>
      </tp>
      <tp t="s">
        <v>#N/A Requesting Data...4034218857</v>
        <stp/>
        <stp>BDP|13390815670255818041</stp>
        <tr r="Q161" s="3"/>
      </tp>
      <tp t="s">
        <v>#N/A Requesting Data...4220508897</v>
        <stp/>
        <stp>BDP|17337291526136465862</stp>
        <tr r="BB145" s="3"/>
      </tp>
      <tp t="s">
        <v>#N/A Requesting Data...3582952105</v>
        <stp/>
        <stp>BDP|12637159427360992834</stp>
        <tr r="K193" s="3"/>
      </tp>
      <tp t="s">
        <v>#N/A Requesting Data...3536713264</v>
        <stp/>
        <stp>BDP|10476267992737283534</stp>
        <tr r="AJ136" s="3"/>
      </tp>
      <tp t="s">
        <v>#N/A Requesting Data...3295456879</v>
        <stp/>
        <stp>BDP|17558732096287983786</stp>
        <tr r="AA206" s="3"/>
      </tp>
      <tp t="s">
        <v>#N/A N/A</v>
        <stp/>
        <stp>BDP|12192182646696707897</stp>
        <tr r="BE42" s="2"/>
      </tp>
      <tp t="s">
        <v>#N/A N/A</v>
        <stp/>
        <stp>BDP|11333893075891803661</stp>
        <tr r="BE31" s="2"/>
      </tp>
      <tp t="s">
        <v>#N/A Requesting Data...3453781084</v>
        <stp/>
        <stp>BDP|13869863228025693515</stp>
        <tr r="AQ319" s="3"/>
      </tp>
      <tp t="s">
        <v>#N/A Requesting Data...3965661710</v>
        <stp/>
        <stp>BDP|15418726393504784632</stp>
        <tr r="AZ203" s="3"/>
      </tp>
      <tp t="s">
        <v>#N/A Requesting Data...4016411865</v>
        <stp/>
        <stp>BDP|15377151326399144609</stp>
        <tr r="BA68" s="3"/>
      </tp>
      <tp t="s">
        <v>#N/A Requesting Data...3933486665</v>
        <stp/>
        <stp>BDP|14183211840253214839</stp>
        <tr r="Y272" s="3"/>
      </tp>
      <tp t="s">
        <v>#N/A N/A</v>
        <stp/>
        <stp>BDP|11606871905536725624</stp>
        <tr r="AF47" s="2"/>
      </tp>
      <tp t="s">
        <v>#N/A Requesting Data...3636881786</v>
        <stp/>
        <stp>BDP|16795780132543989856</stp>
        <tr r="I29" s="4"/>
      </tp>
      <tp t="s">
        <v>#N/A Requesting Data...3719486973</v>
        <stp/>
        <stp>BDP|12353911707686626421</stp>
        <tr r="Y332" s="3"/>
      </tp>
      <tp t="s">
        <v>#N/A Requesting Data...4087439560</v>
        <stp/>
        <stp>BDP|17791438610759008257</stp>
        <tr r="AH271" s="3"/>
      </tp>
      <tp t="s">
        <v>#N/A Requesting Data...4086973897</v>
        <stp/>
        <stp>BDP|12102502263228647054</stp>
        <tr r="AX4" s="2"/>
        <tr r="AS248" s="3"/>
      </tp>
      <tp t="s">
        <v>#N/A N/A</v>
        <stp/>
        <stp>BDP|15212823160232350025</stp>
        <tr r="BL97" s="2"/>
      </tp>
      <tp t="s">
        <v>#N/A Requesting Data...4081297441</v>
        <stp/>
        <stp>BDP|18165930197333735231</stp>
        <tr r="AH53" s="3"/>
      </tp>
      <tp t="s">
        <v>#N/A Requesting Data...3831181671</v>
        <stp/>
        <stp>BDP|18243162552355603013</stp>
        <tr r="BB351" s="3"/>
      </tp>
      <tp t="s">
        <v>#N/A Requesting Data...4088474614</v>
        <stp/>
        <stp>BDP|11053270597136305521</stp>
        <tr r="AA189" s="3"/>
      </tp>
      <tp t="s">
        <v>#N/A Requesting Data...3635063164</v>
        <stp/>
        <stp>BDP|14295965119076980351</stp>
        <tr r="AZ179" s="3"/>
      </tp>
      <tp t="s">
        <v>#N/A N/A</v>
        <stp/>
        <stp>BDP|13950963902580405387</stp>
        <tr r="N79" s="2"/>
      </tp>
      <tp t="s">
        <v>#N/A Requesting Data...3426664517</v>
        <stp/>
        <stp>BDP|17355945845021727259</stp>
        <tr r="BA98" s="3"/>
      </tp>
      <tp t="s">
        <v>#N/A Requesting Data...3982390678</v>
        <stp/>
        <stp>BDP|13992529648958070335</stp>
        <tr r="AH243" s="3"/>
      </tp>
      <tp t="s">
        <v>#N/A N/A</v>
        <stp/>
        <stp>BDP|16443100931755506809</stp>
        <tr r="AF101" s="2"/>
      </tp>
      <tp t="s">
        <v>#N/A Requesting Data...3899210216</v>
        <stp/>
        <stp>BDP|16041693682858952920</stp>
        <tr r="F86" s="3"/>
      </tp>
      <tp t="s">
        <v>#N/A Requesting Data...3895257719</v>
        <stp/>
        <stp>BDP|15985783284491225273</stp>
        <tr r="I14" s="4"/>
      </tp>
      <tp t="s">
        <v>#N/A Requesting Data...3834479222</v>
        <stp/>
        <stp>BDP|12866188049677132985</stp>
        <tr r="BG271" s="3"/>
      </tp>
      <tp t="s">
        <v>#N/A Requesting Data...3760488709</v>
        <stp/>
        <stp>BDP|16047956801914121259</stp>
        <tr r="O185" s="3"/>
      </tp>
      <tp t="s">
        <v>#N/A Requesting Data...3866252423</v>
        <stp/>
        <stp>BDP|17253327081584857194</stp>
        <tr r="AA141" s="3"/>
      </tp>
      <tp t="s">
        <v>#N/A Requesting Data...3535166412</v>
        <stp/>
        <stp>BDP|12535995194139073286</stp>
        <tr r="I140" s="3"/>
      </tp>
      <tp t="s">
        <v>#N/A Requesting Data...3594551435</v>
        <stp/>
        <stp>BDP|10271454942501466815</stp>
        <tr r="BA212" s="3"/>
      </tp>
      <tp t="s">
        <v>#N/A Requesting Data...3414064451</v>
        <stp/>
        <stp>BDP|12545452385524123344</stp>
        <tr r="BA252" s="3"/>
      </tp>
      <tp t="s">
        <v>#N/A N/A</v>
        <stp/>
        <stp>BDP|17668344833927709950</stp>
        <tr r="BE91" s="2"/>
      </tp>
      <tp t="s">
        <v>#N/A N/A</v>
        <stp/>
        <stp>BDP|11196543412639311574</stp>
        <tr r="AO79" s="2"/>
      </tp>
      <tp t="s">
        <v>#N/A Requesting Data...4127344447</v>
        <stp/>
        <stp>BDP|12930690592977746366</stp>
        <tr r="BF41" s="3"/>
      </tp>
      <tp t="s">
        <v>#N/A Requesting Data...3533617374</v>
        <stp/>
        <stp>BDP|12737622606334697968</stp>
        <tr r="AQ312" s="3"/>
      </tp>
      <tp t="s">
        <v>#N/A Requesting Data...3777997152</v>
        <stp/>
        <stp>BDP|17345501569375074892</stp>
        <tr r="O22" s="3"/>
      </tp>
      <tp t="s">
        <v>#N/A Requesting Data...3526595618</v>
        <stp/>
        <stp>BDP|17426584505332904937</stp>
        <tr r="F249" s="3"/>
      </tp>
      <tp t="s">
        <v>#N/A Requesting Data...3515102762</v>
        <stp/>
        <stp>BDP|13981864723972604294</stp>
        <tr r="BA96" s="3"/>
      </tp>
      <tp t="s">
        <v>#N/A Requesting Data...3640151465</v>
        <stp/>
        <stp>BDP|10383300872855108831</stp>
        <tr r="AQ17" s="3"/>
      </tp>
      <tp t="s">
        <v>#N/A N/A</v>
        <stp/>
        <stp>BDP|12599973196589096277</stp>
        <tr r="BN35" s="2"/>
      </tp>
      <tp t="s">
        <v>#N/A N/A</v>
        <stp/>
        <stp>BDP|11321500911855431959</stp>
        <tr r="BM78" s="2"/>
      </tp>
      <tp t="s">
        <v>#N/A Requesting Data...3809541769</v>
        <stp/>
        <stp>BDP|11445872163615717346</stp>
        <tr r="BG28" s="3"/>
      </tp>
      <tp t="s">
        <v>#N/A Requesting Data...3748231653</v>
        <stp/>
        <stp>BDP|18232711820764242025</stp>
        <tr r="BF339" s="3"/>
      </tp>
      <tp t="s">
        <v>#N/A Requesting Data...3861084961</v>
        <stp/>
        <stp>BDP|17373428151758257707</stp>
        <tr r="AQ241" s="3"/>
      </tp>
      <tp t="s">
        <v>#N/A N/A</v>
        <stp/>
        <stp>BDP|16687690784655037497</stp>
        <tr r="BF18" s="2"/>
      </tp>
      <tp t="s">
        <v>#N/A Requesting Data...4281930143</v>
        <stp/>
        <stp>BDP|18368915246299703518</stp>
        <tr r="BF68" s="3"/>
      </tp>
      <tp t="s">
        <v>#N/A N/A</v>
        <stp/>
        <stp>BDP|13747412376100593976</stp>
        <tr r="BF75" s="2"/>
      </tp>
      <tp t="s">
        <v>#N/A Requesting Data...3988436963</v>
        <stp/>
        <stp>BDP|10773909475606921192</stp>
        <tr r="BH28" s="3"/>
      </tp>
      <tp t="s">
        <v>#N/A Requesting Data...3595703329</v>
        <stp/>
        <stp>BDP|16090915148381302380</stp>
        <tr r="AJ307" s="3"/>
      </tp>
      <tp t="s">
        <v>#N/A Requesting Data...4208295827</v>
        <stp/>
        <stp>BDP|17116863952992461132</stp>
        <tr r="D20" s="4"/>
      </tp>
      <tp t="s">
        <v>#N/A Requesting Data...4079742591</v>
        <stp/>
        <stp>BDP|14300656524498798175</stp>
        <tr r="AZ257" s="3"/>
      </tp>
      <tp t="s">
        <v>#N/A Requesting Data...4175053651</v>
        <stp/>
        <stp>BDP|11757929706464637578</stp>
        <tr r="BG70" s="3"/>
      </tp>
      <tp t="s">
        <v>#N/A Requesting Data...3605546910</v>
        <stp/>
        <stp>BDP|13468815646422461453</stp>
        <tr r="AH45" s="3"/>
      </tp>
      <tp t="s">
        <v>#N/A Requesting Data...3647663813</v>
        <stp/>
        <stp>BDP|11779886618360315161</stp>
        <tr r="I113" s="3"/>
      </tp>
      <tp t="s">
        <v>#N/A Requesting Data...4292836089</v>
        <stp/>
        <stp>BDP|18270676466135106402</stp>
        <tr r="BH241" s="3"/>
      </tp>
      <tp t="s">
        <v>#N/A Requesting Data...4013202226</v>
        <stp/>
        <stp>BDP|14604031362188055355</stp>
        <tr r="AH273" s="3"/>
      </tp>
      <tp t="s">
        <v>#N/A Requesting Data...3956445213</v>
        <stp/>
        <stp>BDP|14330842976573646156</stp>
        <tr r="BB17" s="3"/>
      </tp>
      <tp t="s">
        <v>#N/A Requesting Data...4055315849</v>
        <stp/>
        <stp>BDP|12504068587101383254</stp>
        <tr r="AJ129" s="3"/>
      </tp>
      <tp t="s">
        <v>#N/A Requesting Data...3762672335</v>
        <stp/>
        <stp>BDP|17696100057688592262</stp>
        <tr r="I209" s="3"/>
      </tp>
      <tp t="s">
        <v>#N/A Requesting Data...3965032350</v>
        <stp/>
        <stp>BDP|12598712842949208119</stp>
        <tr r="O196" s="3"/>
      </tp>
      <tp t="s">
        <v>#N/A Requesting Data...4019443363</v>
        <stp/>
        <stp>BDP|15016999019827083353</stp>
        <tr r="AS137" s="3"/>
      </tp>
      <tp t="s">
        <v>#N/A Requesting Data...4065142477</v>
        <stp/>
        <stp>BDP|17740958001784095368</stp>
        <tr r="F110" s="3"/>
      </tp>
      <tp t="s">
        <v>#N/A Requesting Data...3695838595</v>
        <stp/>
        <stp>BDP|17683159943058487316</stp>
        <tr r="O245" s="3"/>
      </tp>
      <tp t="s">
        <v>#N/A Requesting Data...3926474206</v>
        <stp/>
        <stp>BDP|15755346800669138679</stp>
        <tr r="Q221" s="3"/>
      </tp>
      <tp t="s">
        <v>#N/A Requesting Data...4114316192</v>
        <stp/>
        <stp>BDP|10030718693007368043</stp>
        <tr r="K245" s="3"/>
      </tp>
      <tp t="s">
        <v>#N/A Requesting Data...3754307846</v>
        <stp/>
        <stp>BDP|14574502923312116829</stp>
        <tr r="Q54" s="3"/>
      </tp>
      <tp t="s">
        <v>#N/A N/A</v>
        <stp/>
        <stp>BDP|15359119996021418553</stp>
        <tr r="AF94" s="2"/>
      </tp>
      <tp t="s">
        <v>#N/A Requesting Data...3889373761</v>
        <stp/>
        <stp>BDP|10054635551798337248</stp>
        <tr r="Q78" s="3"/>
      </tp>
      <tp t="s">
        <v>#N/A Requesting Data...3812527815</v>
        <stp/>
        <stp>BDP|13121337489963961279</stp>
        <tr r="BF312" s="3"/>
      </tp>
      <tp t="s">
        <v>#N/A Requesting Data...4262024174</v>
        <stp/>
        <stp>BDP|15765183993323874710</stp>
        <tr r="AJ303" s="3"/>
      </tp>
      <tp t="s">
        <v>#N/A Requesting Data...3974422151</v>
        <stp/>
        <stp>BDP|17251609805318389016</stp>
        <tr r="BG266" s="3"/>
      </tp>
      <tp t="s">
        <v>#N/A Requesting Data...4048955064</v>
        <stp/>
        <stp>BDP|10968585075793003813</stp>
        <tr r="Y216" s="3"/>
      </tp>
      <tp t="s">
        <v>#N/A N/A</v>
        <stp/>
        <stp>BDP|14377413473659728736</stp>
        <tr r="AO29" s="2"/>
      </tp>
      <tp t="s">
        <v>#N/A Requesting Data...4095064117</v>
        <stp/>
        <stp>BDP|12152518716556492977</stp>
        <tr r="K344" s="3"/>
      </tp>
      <tp t="s">
        <v>#N/A Requesting Data...3891990972</v>
        <stp/>
        <stp>BDP|12420526184565038377</stp>
        <tr r="BI78" s="3"/>
      </tp>
      <tp t="s">
        <v>#N/A Requesting Data...4226505959</v>
        <stp/>
        <stp>BDP|11630892273411962606</stp>
        <tr r="BA138" s="3"/>
      </tp>
      <tp t="s">
        <v>#N/A Requesting Data...4187652441</v>
        <stp/>
        <stp>BDP|17897015925144888811</stp>
        <tr r="BG195" s="3"/>
      </tp>
      <tp t="s">
        <v>#N/A Requesting Data...3852692849</v>
        <stp/>
        <stp>BDP|10771468397282526674</stp>
        <tr r="BF201" s="3"/>
      </tp>
      <tp t="s">
        <v>#N/A Requesting Data...3978572490</v>
        <stp/>
        <stp>BDP|10409699969791871882</stp>
        <tr r="Q240" s="3"/>
      </tp>
      <tp t="s">
        <v>#N/A Requesting Data...3715423486</v>
        <stp/>
        <stp>BDP|14311047896147199347</stp>
        <tr r="Y274" s="3"/>
      </tp>
      <tp t="s">
        <v>#N/A Requesting Data...3765201973</v>
        <stp/>
        <stp>BDP|12085379366057497915</stp>
        <tr r="AJ120" s="3"/>
      </tp>
      <tp t="s">
        <v>#N/A Requesting Data...4093362945</v>
        <stp/>
        <stp>BDP|10426100082913055322</stp>
        <tr r="F261" s="3"/>
      </tp>
      <tp t="s">
        <v>#N/A N/A</v>
        <stp/>
        <stp>BDP|13262473874289080053</stp>
        <tr r="BL58" s="2"/>
      </tp>
      <tp t="s">
        <v>#N/A Requesting Data...4040548133</v>
        <stp/>
        <stp>BDP|10660283095456806472</stp>
        <tr r="AS91" s="3"/>
      </tp>
      <tp t="s">
        <v>#N/A Requesting Data...4193271046</v>
        <stp/>
        <stp>BDP|10300862944696321364</stp>
        <tr r="I186" s="3"/>
      </tp>
      <tp t="s">
        <v>#N/A Requesting Data...3864652030</v>
        <stp/>
        <stp>BDP|11821500069593047852</stp>
        <tr r="AA287" s="3"/>
      </tp>
      <tp t="s">
        <v>#N/A Requesting Data...3738852335</v>
        <stp/>
        <stp>BDP|13196419903176393848</stp>
        <tr r="O134" s="3"/>
      </tp>
      <tp t="s">
        <v>#N/A N/A</v>
        <stp/>
        <stp>BDP|14454910655219333873</stp>
        <tr r="AV34" s="2"/>
      </tp>
      <tp t="s">
        <v>#N/A Requesting Data...4041833999</v>
        <stp/>
        <stp>BDP|11330978737802530026</stp>
        <tr r="BB167" s="3"/>
      </tp>
      <tp t="s">
        <v>#N/A Requesting Data...4135752509</v>
        <stp/>
        <stp>BDP|11079852276791145663</stp>
        <tr r="BF148" s="3"/>
      </tp>
      <tp t="s">
        <v>#N/A Requesting Data...3838908106</v>
        <stp/>
        <stp>BDP|16384709687129651961</stp>
        <tr r="AJ33" s="3"/>
      </tp>
      <tp t="s">
        <v>#N/A Requesting Data...3758963391</v>
        <stp/>
        <stp>BDP|16567497091224908639</stp>
        <tr r="Q168" s="3"/>
      </tp>
      <tp t="s">
        <v>#N/A Requesting Data...3816579769</v>
        <stp/>
        <stp>BDP|14615811234962330470</stp>
        <tr r="BI186" s="3"/>
      </tp>
      <tp t="s">
        <v>#N/A Requesting Data...3900974753</v>
        <stp/>
        <stp>BDP|18244305721029799931</stp>
        <tr r="F245" s="3"/>
      </tp>
      <tp t="s">
        <v>#N/A Requesting Data...3931398111</v>
        <stp/>
        <stp>BDP|15787383890785113394</stp>
        <tr r="AX7" s="4"/>
      </tp>
      <tp t="s">
        <v>#N/A Requesting Data...3842088883</v>
        <stp/>
        <stp>BDP|13995881184588343216</stp>
        <tr r="AQ177" s="3"/>
      </tp>
      <tp t="s">
        <v>#N/A Requesting Data...4046586264</v>
        <stp/>
        <stp>BDP|15556101653730444858</stp>
        <tr r="BB190" s="3"/>
      </tp>
      <tp t="s">
        <v>#N/A Requesting Data...3904245713</v>
        <stp/>
        <stp>BDP|13949180240899723611</stp>
        <tr r="AZ86" s="3"/>
      </tp>
      <tp t="s">
        <v>#N/A Requesting Data...3877211227</v>
        <stp/>
        <stp>BDP|10161929367627366101</stp>
        <tr r="AF14" s="4"/>
      </tp>
      <tp t="s">
        <v>#N/A Requesting Data...3829698465</v>
        <stp/>
        <stp>BDP|15312306339835565984</stp>
        <tr r="AH261" s="3"/>
      </tp>
      <tp t="s">
        <v>#N/A Requesting Data...4178374704</v>
        <stp/>
        <stp>BDP|13373233604338333006</stp>
        <tr r="AS339" s="3"/>
      </tp>
      <tp t="s">
        <v>#N/A Requesting Data...4225771642</v>
        <stp/>
        <stp>BDP|14471096729166229912</stp>
        <tr r="AJ306" s="3"/>
      </tp>
      <tp t="s">
        <v>#N/A Requesting Data...4039094549</v>
        <stp/>
        <stp>BDP|14543878238781458799</stp>
        <tr r="BF288" s="3"/>
      </tp>
      <tp t="s">
        <v>#N/A Requesting Data...3975430118</v>
        <stp/>
        <stp>BDP|15020749466404587900</stp>
        <tr r="AA340" s="3"/>
      </tp>
      <tp t="s">
        <v>#N/A Requesting Data...3868299816</v>
        <stp/>
        <stp>BDP|14739672987336676560</stp>
        <tr r="AF54" s="4"/>
      </tp>
      <tp t="s">
        <v>#N/A N/A</v>
        <stp/>
        <stp>BDP|18063633234516212224</stp>
        <tr r="V89" s="2"/>
      </tp>
      <tp t="s">
        <v>#N/A Requesting Data...4225228779</v>
        <stp/>
        <stp>BDP|13507525114729327774</stp>
        <tr r="BG301" s="3"/>
      </tp>
      <tp t="s">
        <v>#N/A Requesting Data...4282645663</v>
        <stp/>
        <stp>BDP|15470919013452945695</stp>
        <tr r="F266" s="3"/>
      </tp>
      <tp t="s">
        <v>#N/A Requesting Data...4144160890</v>
        <stp/>
        <stp>BDP|17072848864118360852</stp>
        <tr r="BB202" s="3"/>
      </tp>
      <tp t="s">
        <v>#N/A Requesting Data...4149391457</v>
        <stp/>
        <stp>BDP|12681041886291568274</stp>
        <tr r="AH167" s="3"/>
      </tp>
      <tp t="s">
        <v>#N/A Requesting Data...3890536541</v>
        <stp/>
        <stp>BDP|14307027761679300258</stp>
        <tr r="F115" s="3"/>
      </tp>
      <tp t="s">
        <v>#N/A N/A</v>
        <stp/>
        <stp>BDP|11802974109937147616</stp>
        <tr r="K11" s="2"/>
      </tp>
      <tp t="s">
        <v>#N/A Requesting Data...4271059134</v>
        <stp/>
        <stp>BDP|10100910725751592360</stp>
        <tr r="Q194" s="3"/>
      </tp>
      <tp t="s">
        <v>#N/A Requesting Data...3894831454</v>
        <stp/>
        <stp>BDP|14182265352002075837</stp>
        <tr r="BI60" s="3"/>
      </tp>
      <tp t="s">
        <v>#N/A N/A</v>
        <stp/>
        <stp>BDP|17685533942338968783</stp>
        <tr r="N44" s="2"/>
      </tp>
      <tp t="s">
        <v>#N/A N/A</v>
        <stp/>
        <stp>BDP|13916973220612010389</stp>
        <tr r="AV48" s="2"/>
      </tp>
      <tp t="s">
        <v>#N/A Requesting Data...4199479774</v>
        <stp/>
        <stp>BDP|13777134090516627448</stp>
        <tr r="AH108" s="3"/>
      </tp>
      <tp t="s">
        <v>#N/A Requesting Data...3972520239</v>
        <stp/>
        <stp>BDP|11081848948666921236</stp>
        <tr r="I53" s="4"/>
      </tp>
      <tp t="s">
        <v>#N/A Requesting Data...4054149142</v>
        <stp/>
        <stp>BDP|16243442266758524531</stp>
        <tr r="AS214" s="3"/>
      </tp>
      <tp t="s">
        <v>#N/A Requesting Data...4133904975</v>
        <stp/>
        <stp>BDP|15456524702051296809</stp>
        <tr r="I235" s="3"/>
      </tp>
      <tp t="s">
        <v>#N/A Requesting Data...3996813137</v>
        <stp/>
        <stp>BDP|17370565400842685952</stp>
        <tr r="BF150" s="3"/>
      </tp>
      <tp t="s">
        <v>#N/A Requesting Data...4080001720</v>
        <stp/>
        <stp>BDP|10385558142570234802</stp>
        <tr r="BA235" s="3"/>
      </tp>
      <tp t="s">
        <v>#N/A Requesting Data...4055246534</v>
        <stp/>
        <stp>BDP|10287088594737863705</stp>
        <tr r="BH200" s="3"/>
      </tp>
      <tp t="s">
        <v>#N/A Requesting Data...3958887420</v>
        <stp/>
        <stp>BDP|13601564519690382931</stp>
        <tr r="AS139" s="3"/>
      </tp>
      <tp t="s">
        <v>#N/A N/A</v>
        <stp/>
        <stp>BDP|16486952249450448551</stp>
        <tr r="AV14" s="2"/>
      </tp>
      <tp t="s">
        <v>#N/A N/A</v>
        <stp/>
        <stp>BDP|13166196368643192985</stp>
        <tr r="N70" s="2"/>
      </tp>
      <tp t="s">
        <v>#N/A Requesting Data...4140611519</v>
        <stp/>
        <stp>BDP|15910114583865416765</stp>
        <tr r="AO38" s="4"/>
      </tp>
      <tp t="s">
        <v>#N/A Requesting Data...3995126401</v>
        <stp/>
        <stp>BDP|15167080927048476139</stp>
        <tr r="BH83" s="3"/>
      </tp>
      <tp t="s">
        <v>#N/A Requesting Data...4159631783</v>
        <stp/>
        <stp>BDP|14724996410630429238</stp>
        <tr r="AJ182" s="3"/>
      </tp>
      <tp t="s">
        <v>#N/A Requesting Data...4212019432</v>
        <stp/>
        <stp>BDP|17038717595543561488</stp>
        <tr r="BA206" s="3"/>
      </tp>
      <tp t="s">
        <v>#N/A Requesting Data...4044565142</v>
        <stp/>
        <stp>BDP|16841837652650088502</stp>
        <tr r="AA183" s="3"/>
      </tp>
      <tp t="s">
        <v>#N/A Requesting Data...4186359952</v>
        <stp/>
        <stp>BDP|12838379819618642694</stp>
        <tr r="AQ236" s="3"/>
      </tp>
      <tp t="s">
        <v>#N/A N/A</v>
        <stp/>
        <stp>BDP|10929133543203209822</stp>
        <tr r="BF86" s="2"/>
      </tp>
      <tp t="s">
        <v>#N/A Requesting Data...4068921740</v>
        <stp/>
        <stp>BDP|12966887873050276390</stp>
        <tr r="K150" s="3"/>
      </tp>
      <tp t="s">
        <v>#N/A Requesting Data...4048001274</v>
        <stp/>
        <stp>BDP|10331537897522806064</stp>
        <tr r="I165" s="3"/>
      </tp>
      <tp t="s">
        <v>#N/A Requesting Data...4091162073</v>
        <stp/>
        <stp>BDP|11469450797203691185</stp>
        <tr r="AQ91" s="3"/>
      </tp>
      <tp t="s">
        <v>#N/A N/A</v>
        <stp/>
        <stp>BDP|13947717645989666732</stp>
        <tr r="AO98" s="2"/>
      </tp>
      <tp t="s">
        <v>#N/A Requesting Data...4060757842</v>
        <stp/>
        <stp>BDP|13092361535129345480</stp>
        <tr r="AA238" s="3"/>
      </tp>
      <tp t="s">
        <v>#N/A Requesting Data...4165249368</v>
        <stp/>
        <stp>BDP|15092929365411683591</stp>
        <tr r="AH35" s="4"/>
      </tp>
      <tp t="s">
        <v>#N/A Requesting Data...4195354335</v>
        <stp/>
        <stp>BDP|15915219460268869780</stp>
        <tr r="Y177" s="3"/>
      </tp>
      <tp t="s">
        <v>#N/A N/A</v>
        <stp/>
        <stp>BDP|18131809629685556955</stp>
        <tr r="BL94" s="2"/>
      </tp>
      <tp t="s">
        <v>#N/A Requesting Data...4256958203</v>
        <stp/>
        <stp>BDP|12524987814875466158</stp>
        <tr r="F50" s="3"/>
      </tp>
      <tp t="s">
        <v>#N/A Requesting Data...4194253088</v>
        <stp/>
        <stp>BDP|16604840033557124484</stp>
        <tr r="O338" s="3"/>
      </tp>
      <tp t="s">
        <v>#N/A Requesting Data...4172473363</v>
        <stp/>
        <stp>BDP|13526124389604624003</stp>
        <tr r="AJ158" s="3"/>
      </tp>
      <tp t="s">
        <v>#N/A Requesting Data...4184505748</v>
        <stp/>
        <stp>BDP|16062855921387403580</stp>
        <tr r="AQ109" s="3"/>
      </tp>
      <tp t="s">
        <v>#N/A Requesting Data...4290800287</v>
        <stp/>
        <stp>BDP|10975859272553743218</stp>
        <tr r="BG232" s="3"/>
      </tp>
      <tp t="s">
        <v>#N/A Requesting Data...4095655163</v>
        <stp/>
        <stp>BDP|17785603671240889865</stp>
        <tr r="BA199" s="3"/>
      </tp>
      <tp t="s">
        <v>#N/A Requesting Data...4225282981</v>
        <stp/>
        <stp>BDP|10716897900686202044</stp>
        <tr r="AJ291" s="3"/>
      </tp>
      <tp t="s">
        <v>#N/A Requesting Data...4217155669</v>
        <stp/>
        <stp>BDP|10053629298195665470</stp>
        <tr r="Q284" s="3"/>
      </tp>
      <tp t="s">
        <v>#N/A Requesting Data...4149153510</v>
        <stp/>
        <stp>BDP|17224062309879451026</stp>
        <tr r="Y282" s="3"/>
      </tp>
      <tp t="s">
        <v>#N/A N/A</v>
        <stp/>
        <stp>BDP|13915858530580005676</stp>
        <tr r="BF32" s="2"/>
      </tp>
      <tp t="s">
        <v>#N/A Requesting Data...4225195348</v>
        <stp/>
        <stp>BDP|16065494757239719028</stp>
        <tr r="D11" s="4"/>
      </tp>
      <tp t="s">
        <v>#N/A Requesting Data...4114338772</v>
        <stp/>
        <stp>BDP|14940719923039801682</stp>
        <tr r="BB349" s="3"/>
      </tp>
      <tp t="s">
        <v>#N/A Requesting Data...4251855404</v>
        <stp/>
        <stp>BDP|13804051583381684434</stp>
        <tr r="BE3" s="2"/>
        <tr r="AZ316" s="3"/>
      </tp>
      <tp t="s">
        <v>#N/A Requesting Data...4104782052</v>
        <stp/>
        <stp>BDP|10808247175923750855</stp>
        <tr r="O44" s="4"/>
      </tp>
      <tp t="s">
        <v>#N/A Requesting Data...4213949061</v>
        <stp/>
        <stp>BDP|10180721549815082814</stp>
        <tr r="BF292" s="3"/>
      </tp>
      <tp t="s">
        <v>#N/A Requesting Data...4253409836</v>
        <stp/>
        <stp>BDP|11037090971909733148</stp>
        <tr r="AZ31" s="3"/>
      </tp>
      <tp t="s">
        <v>#N/A Requesting Data...4223630884</v>
        <stp/>
        <stp>BDP|13588833848983124241</stp>
        <tr r="I12" s="4"/>
      </tp>
      <tp t="s">
        <v>#N/A Requesting Data...4233664346</v>
        <stp/>
        <stp>BDP|16353966394139243187</stp>
        <tr r="AS15" s="3"/>
      </tp>
      <tp t="s">
        <v>#N/A N/A</v>
        <stp/>
        <stp>BDP|12246736904663909874</stp>
        <tr r="AM50" s="2"/>
      </tp>
      <tp t="s">
        <v>#N/A Requesting Data...4238589254</v>
        <stp/>
        <stp>BDP|16118830619350539151</stp>
        <tr r="AZ89" s="3"/>
      </tp>
      <tp t="s">
        <v>#N/A N/A</v>
        <stp/>
        <stp>BDP|14553262979866080910</stp>
        <tr r="BL17" s="2"/>
      </tp>
      <tp t="s">
        <v>#N/A N/A</v>
        <stp/>
        <stp>BDP|18126241876274076781</stp>
        <tr r="BL59" s="2"/>
      </tp>
      <tp t="s">
        <v>#N/A Requesting Data...4185437355</v>
        <stp/>
        <stp>BDP|17683982177733191432</stp>
        <tr r="AS80" s="3"/>
      </tp>
      <tp t="s">
        <v>#N/A Requesting Data...3775332695</v>
        <stp/>
        <stp>BDP|13245423889438258902</stp>
        <tr r="BG147" s="3"/>
      </tp>
      <tp t="s">
        <v>#N/A Requesting Data...2047171632</v>
        <stp/>
        <stp>BDP|14990805101500315213</stp>
        <tr r="BB146" s="3"/>
      </tp>
      <tp t="s">
        <v>#N/A N/A</v>
        <stp/>
        <stp>BDP|14325348578909791721</stp>
        <tr r="AX44" s="2"/>
      </tp>
      <tp t="s">
        <v>#N/A Requesting Data...2771669333</v>
        <stp/>
        <stp>BDP|16637100880635992455</stp>
        <tr r="Q319" s="3"/>
      </tp>
      <tp t="s">
        <v>#N/A Requesting Data...2013405682</v>
        <stp/>
        <stp>BDP|11536861552847873532</stp>
        <tr r="AA143" s="3"/>
      </tp>
      <tp t="s">
        <v>#N/A Requesting Data...2531900685</v>
        <stp/>
        <stp>BDP|11216785391852660374</stp>
        <tr r="AD8" s="2"/>
      </tp>
      <tp t="s">
        <v>#N/A Requesting Data...3680047539</v>
        <stp/>
        <stp>BDP|14580984287239883288</stp>
        <tr r="BF240" s="3"/>
      </tp>
      <tp t="s">
        <v>#N/A Requesting Data...2543935439</v>
        <stp/>
        <stp>BDP|12613289895616006112</stp>
        <tr r="G47" s="4"/>
      </tp>
      <tp t="s">
        <v>#N/A Requesting Data...2249682025</v>
        <stp/>
        <stp>BDP|16773522439607338953</stp>
        <tr r="O42" s="3"/>
      </tp>
      <tp t="s">
        <v>#N/A Requesting Data...1695061071</v>
        <stp/>
        <stp>BDP|13832057581172678700</stp>
        <tr r="K164" s="3"/>
      </tp>
      <tp t="s">
        <v>#N/A Requesting Data...2531817167</v>
        <stp/>
        <stp>BDP|15059867274084948014</stp>
        <tr r="AH204" s="3"/>
      </tp>
      <tp t="s">
        <v>#N/A N/A</v>
        <stp/>
        <stp>BDP|16873269905503194903</stp>
        <tr r="AD35" s="2"/>
      </tp>
      <tp t="s">
        <v>#N/A N/A</v>
        <stp/>
        <stp>BDP|12227838205657856369</stp>
        <tr r="BF64" s="2"/>
      </tp>
      <tp t="s">
        <v>#N/A Requesting Data...3239418721</v>
        <stp/>
        <stp>BDP|14020902751197952123</stp>
        <tr r="AQ3" s="3"/>
      </tp>
      <tp t="s">
        <v>#N/A Requesting Data...1264811913</v>
        <stp/>
        <stp>BDP|16462181914398164034</stp>
        <tr r="BI93" s="3"/>
      </tp>
      <tp t="s">
        <v>#N/A Requesting Data...1881238714</v>
        <stp/>
        <stp>BDP|17489293014902775841</stp>
        <tr r="K341" s="3"/>
      </tp>
      <tp t="s">
        <v>#N/A Requesting Data...3111248781</v>
        <stp/>
        <stp>BDP|10556511759257752978</stp>
        <tr r="AH48" s="3"/>
      </tp>
      <tp t="s">
        <v>#N/A Requesting Data...3544257124</v>
        <stp/>
        <stp>BDP|12727375781337893046</stp>
        <tr r="Y287" s="3"/>
      </tp>
      <tp t="s">
        <v>#N/A Requesting Data...1061264177</v>
        <stp/>
        <stp>BDP|13936669261954582963</stp>
        <tr r="O43" s="3"/>
      </tp>
      <tp t="s">
        <v>#N/A Requesting Data...3231521663</v>
        <stp/>
        <stp>BDP|10334839500485833353</stp>
        <tr r="BI256" s="3"/>
      </tp>
      <tp t="s">
        <v>#N/A Requesting Data...3607873602</v>
        <stp/>
        <stp>BDP|17415257355456055899</stp>
        <tr r="BH320" s="3"/>
      </tp>
      <tp t="s">
        <v>#N/A Requesting Data...3274010462</v>
        <stp/>
        <stp>BDP|18193577172722830614</stp>
        <tr r="AJ250" s="3"/>
      </tp>
      <tp t="s">
        <v>#N/A Requesting Data...2468856789</v>
        <stp/>
        <stp>BDP|16764994764820132767</stp>
        <tr r="AZ290" s="3"/>
      </tp>
      <tp t="s">
        <v>#N/A Requesting Data...623580990</v>
        <stp/>
        <stp>BDP|17777597594331170468</stp>
        <tr r="I273" s="3"/>
      </tp>
      <tp t="s">
        <v>#N/A Requesting Data...1415174153</v>
        <stp/>
        <stp>BDP|16863355690045455745</stp>
        <tr r="BF101" s="3"/>
      </tp>
      <tp t="s">
        <v>#N/A Requesting Data...2593427034</v>
        <stp/>
        <stp>BDP|18075786617698762853</stp>
        <tr r="Y45" s="4"/>
      </tp>
      <tp t="s">
        <v>#N/A Requesting Data...3835451146</v>
        <stp/>
        <stp>BDP|12808170951531345901</stp>
        <tr r="F234" s="3"/>
      </tp>
      <tp t="s">
        <v>#N/A N/A</v>
        <stp/>
        <stp>BDP|15665457621464729981</stp>
        <tr r="V56" s="2"/>
      </tp>
      <tp t="s">
        <v>#N/A Requesting Data...838363627</v>
        <stp/>
        <stp>BDP|18138494077061709452</stp>
        <tr r="Y322" s="3"/>
      </tp>
      <tp t="s">
        <v>#N/A N/A</v>
        <stp/>
        <stp>BDP|13878218546263011828</stp>
        <tr r="BF52" s="2"/>
      </tp>
      <tp t="s">
        <v>#N/A Requesting Data...1892600899</v>
        <stp/>
        <stp>BDP|16120176076176892858</stp>
        <tr r="O163" s="3"/>
      </tp>
      <tp t="s">
        <v>#N/A Requesting Data...2544645884</v>
        <stp/>
        <stp>BDP|10118010144708980215</stp>
        <tr r="M21" s="4"/>
      </tp>
      <tp t="s">
        <v>#N/A Requesting Data...3617768545</v>
        <stp/>
        <stp>BDP|15263934772135656098</stp>
        <tr r="AF58" s="4"/>
      </tp>
      <tp t="s">
        <v>#N/A N/A</v>
        <stp/>
        <stp>BDP|17976644075461168953</stp>
        <tr r="AV60" s="2"/>
      </tp>
      <tp t="s">
        <v>#N/A Requesting Data...4237957454</v>
        <stp/>
        <stp>BDP|11698384682525239129</stp>
        <tr r="AF61" s="4"/>
      </tp>
      <tp t="s">
        <v>#N/A Requesting Data...3210429304</v>
        <stp/>
        <stp>BDP|15944093308719389279</stp>
        <tr r="BA306" s="3"/>
      </tp>
      <tp t="s">
        <v>#N/A N/A</v>
        <stp/>
        <stp>BDP|17863166480500238007</stp>
        <tr r="AM91" s="2"/>
      </tp>
      <tp t="s">
        <v>#N/A Requesting Data...3239647284</v>
        <stp/>
        <stp>BDP|16528954919245566505</stp>
        <tr r="K326" s="3"/>
      </tp>
      <tp t="s">
        <v>#N/A Requesting Data...2823375184</v>
        <stp/>
        <stp>BDP|14809891535541143094</stp>
        <tr r="K345" s="3"/>
      </tp>
      <tp t="s">
        <v>#N/A Requesting Data...3452974095</v>
        <stp/>
        <stp>BDP|15306504506958806619</stp>
        <tr r="BH267" s="3"/>
      </tp>
      <tp t="s">
        <v>#N/A Requesting Data...1123817277</v>
        <stp/>
        <stp>BDP|11208844991026982814</stp>
        <tr r="BI4" s="3"/>
      </tp>
      <tp t="s">
        <v>#N/A N/A</v>
        <stp/>
        <stp>BDP|15325732928468757603</stp>
        <tr r="N56" s="2"/>
      </tp>
      <tp t="s">
        <v>#N/A Requesting Data...1514679106</v>
        <stp/>
        <stp>BDP|15399988157097376007</stp>
        <tr r="I122" s="3"/>
      </tp>
      <tp t="s">
        <v>#N/A Requesting Data...775451023</v>
        <stp/>
        <stp>BDP|14628731204515626884</stp>
        <tr r="AA351" s="3"/>
      </tp>
      <tp t="s">
        <v>#N/A Requesting Data...2935766585</v>
        <stp/>
        <stp>BDP|14894268694361019054</stp>
        <tr r="Y188" s="3"/>
      </tp>
      <tp t="s">
        <v>#N/A Requesting Data...4135560244</v>
        <stp/>
        <stp>BDP|10789711659464985890</stp>
        <tr r="BF121" s="3"/>
      </tp>
      <tp t="s">
        <v>#N/A Requesting Data...3168390049</v>
        <stp/>
        <stp>BDP|13393062545850773981</stp>
        <tr r="AJ112" s="3"/>
      </tp>
      <tp t="s">
        <v>#N/A Requesting Data...2823447196</v>
        <stp/>
        <stp>BDP|17287326418693556834</stp>
        <tr r="F222" s="3"/>
      </tp>
      <tp t="s">
        <v>#N/A N/A</v>
        <stp/>
        <stp>BDP|13017938923451755791</stp>
        <tr r="AD33" s="2"/>
      </tp>
      <tp t="s">
        <v>#N/A N/A</v>
        <stp/>
        <stp>BDP|15919750465088008279</stp>
        <tr r="M49" s="4"/>
      </tp>
      <tp t="s">
        <v>#N/A N/A</v>
        <stp/>
        <stp>BDP|10218407927069233199</stp>
        <tr r="T97" s="2"/>
      </tp>
      <tp t="s">
        <v>#N/A Requesting Data...1923392597</v>
        <stp/>
        <stp>BDP|16291787046223173837</stp>
        <tr r="AJ22" s="3"/>
      </tp>
      <tp t="s">
        <v>#N/A Requesting Data...2756224678</v>
        <stp/>
        <stp>BDP|12296978628007551067</stp>
        <tr r="BG278" s="3"/>
      </tp>
      <tp t="s">
        <v>#N/A Requesting Data...2366990008</v>
        <stp/>
        <stp>BDP|11380892457804213612</stp>
        <tr r="AJ323" s="3"/>
      </tp>
      <tp t="s">
        <v>#N/A Requesting Data...1103323167</v>
        <stp/>
        <stp>BDP|16556685746653308960</stp>
        <tr r="AS113" s="3"/>
      </tp>
      <tp t="s">
        <v>#N/A N/A</v>
        <stp/>
        <stp>BDP|10987375240098084103</stp>
        <tr r="BF99" s="2"/>
      </tp>
      <tp t="s">
        <v>#N/A Requesting Data...4237753623</v>
        <stp/>
        <stp>BDP|18213021409472004471</stp>
        <tr r="G16" s="4"/>
      </tp>
      <tp t="s">
        <v>#N/A Requesting Data...995060034</v>
        <stp/>
        <stp>BDP|16262585396483885756</stp>
        <tr r="BA327" s="3"/>
      </tp>
      <tp t="s">
        <v>#N/A Requesting Data...3937282301</v>
        <stp/>
        <stp>BDP|15779852502510586340</stp>
        <tr r="BH35" s="3"/>
      </tp>
      <tp t="s">
        <v>#N/A Requesting Data...2344323705</v>
        <stp/>
        <stp>BDP|15506656430088515649</stp>
        <tr r="Y350" s="3"/>
      </tp>
      <tp t="s">
        <v>#N/A Requesting Data...2172704329</v>
        <stp/>
        <stp>BDP|13084521256069345460</stp>
        <tr r="Y196" s="3"/>
      </tp>
      <tp t="s">
        <v>#N/A N/A</v>
        <stp/>
        <stp>BDP|17772949319368810931</stp>
        <tr r="T50" s="2"/>
      </tp>
      <tp t="s">
        <v>#N/A N/A</v>
        <stp/>
        <stp>BDP|14576706088164540199</stp>
        <tr r="T8" s="2"/>
      </tp>
      <tp t="s">
        <v>#N/A Requesting Data...618526397</v>
        <stp/>
        <stp>BDP|11355472038949403192</stp>
        <tr r="O96" s="3"/>
      </tp>
      <tp t="s">
        <v>#N/A Requesting Data...2134405332</v>
        <stp/>
        <stp>BDP|10852606421482846801</stp>
        <tr r="AQ246" s="3"/>
      </tp>
      <tp t="s">
        <v>#N/A Requesting Data...1654235801</v>
        <stp/>
        <stp>BDP|17342892444356632394</stp>
        <tr r="I24" s="3"/>
      </tp>
      <tp t="s">
        <v>#N/A Requesting Data...1029468105</v>
        <stp/>
        <stp>BDP|13890283098374898211</stp>
        <tr r="AX22" s="4"/>
      </tp>
      <tp t="s">
        <v>#N/A Requesting Data...2345203966</v>
        <stp/>
        <stp>BDP|16439855181051216936</stp>
        <tr r="AZ302" s="3"/>
      </tp>
      <tp t="s">
        <v>#N/A Requesting Data...2082760825</v>
        <stp/>
        <stp>BDP|15764641940211653840</stp>
        <tr r="BB264" s="3"/>
      </tp>
      <tp t="s">
        <v>#N/A N/A</v>
        <stp/>
        <stp>BDP|16318839256871003470</stp>
        <tr r="P37" s="2"/>
      </tp>
      <tp t="s">
        <v>#N/A Requesting Data...639194961</v>
        <stp/>
        <stp>BDP|11218067488725856254</stp>
        <tr r="BA207" s="3"/>
      </tp>
      <tp t="s">
        <v>#N/A N/A</v>
        <stp/>
        <stp>BDP|13623492549609295458</stp>
        <tr r="BN51" s="2"/>
      </tp>
      <tp t="s">
        <v>#N/A N/A</v>
        <stp/>
        <stp>BDP|10166407324200178852</stp>
        <tr r="AD29" s="2"/>
      </tp>
      <tp t="s">
        <v>#N/A Requesting Data...1414190925</v>
        <stp/>
        <stp>BDP|15738273275618799639</stp>
        <tr r="BB155" s="3"/>
      </tp>
      <tp t="s">
        <v>#N/A Requesting Data...2938072455</v>
        <stp/>
        <stp>BDP|18044979663899766027</stp>
        <tr r="Q208" s="3"/>
      </tp>
      <tp t="s">
        <v>#N/A Requesting Data...2326793876</v>
        <stp/>
        <stp>BDP|10770073490532943581</stp>
        <tr r="Y208" s="3"/>
      </tp>
      <tp t="s">
        <v>#N/A Requesting Data...3303046638</v>
        <stp/>
        <stp>BDP|17626010746704489956</stp>
        <tr r="BG346" s="3"/>
      </tp>
      <tp t="s">
        <v>#N/A Requesting Data...792468041</v>
        <stp/>
        <stp>BDP|11669807542294790735</stp>
        <tr r="K33" s="3"/>
      </tp>
      <tp t="s">
        <v>#N/A Requesting Data...3940770119</v>
        <stp/>
        <stp>BDP|13017522280345684546</stp>
        <tr r="BI34" s="3"/>
      </tp>
      <tp t="s">
        <v>#N/A Requesting Data...1010485034</v>
        <stp/>
        <stp>BDP|18201389047947408693</stp>
        <tr r="O231" s="3"/>
      </tp>
      <tp t="s">
        <v>#N/A N/A</v>
        <stp/>
        <stp>BDP|15087886244452511598</stp>
        <tr r="G6" s="4"/>
      </tp>
      <tp t="s">
        <v>#N/A Requesting Data...893713327</v>
        <stp/>
        <stp>BDP|13634622905098423352</stp>
        <tr r="AQ94" s="3"/>
      </tp>
      <tp t="s">
        <v>#N/A Requesting Data...3285252119</v>
        <stp/>
        <stp>BDP|10501854383829188723</stp>
        <tr r="I133" s="3"/>
      </tp>
      <tp t="s">
        <v>#N/A Requesting Data...1009606989</v>
        <stp/>
        <stp>BDP|14936480844643460914</stp>
        <tr r="BH8" s="3"/>
      </tp>
      <tp t="s">
        <v>#N/A Requesting Data...3853179915</v>
        <stp/>
        <stp>BDP|12850852545373142397</stp>
        <tr r="O219" s="3"/>
      </tp>
      <tp t="s">
        <v>#N/A Requesting Data...1748312627</v>
        <stp/>
        <stp>BDP|18176753564625456241</stp>
        <tr r="BB149" s="3"/>
      </tp>
      <tp t="s">
        <v>#N/A Requesting Data...1402835392</v>
        <stp/>
        <stp>BDP|12913492926883466910</stp>
        <tr r="BA4" s="3"/>
      </tp>
      <tp t="s">
        <v>#N/A Requesting Data...3865492230</v>
        <stp/>
        <stp>BDP|10415873678720092181</stp>
        <tr r="BH210" s="3"/>
      </tp>
      <tp t="s">
        <v>#N/A Requesting Data...4275862344</v>
        <stp/>
        <stp>BDP|14644168260109734443</stp>
        <tr r="AH232" s="3"/>
      </tp>
      <tp t="s">
        <v>#N/A Requesting Data...3500186864</v>
        <stp/>
        <stp>BDP|16801849811754673589</stp>
        <tr r="Q333" s="3"/>
      </tp>
      <tp t="s">
        <v>#N/A Requesting Data...1032307916</v>
        <stp/>
        <stp>BDP|18133470824277867797</stp>
        <tr r="AJ313" s="3"/>
      </tp>
      <tp t="s">
        <v>#N/A Requesting Data...1206732614</v>
        <stp/>
        <stp>BDP|11112341584023231703</stp>
        <tr r="Q13" s="3"/>
      </tp>
      <tp t="s">
        <v>#N/A Requesting Data...1043032186</v>
        <stp/>
        <stp>BDP|17558811219355767596</stp>
        <tr r="O222" s="3"/>
      </tp>
      <tp t="s">
        <v>#N/A Requesting Data...1342397373</v>
        <stp/>
        <stp>BDP|11325004937008567424</stp>
        <tr r="BH3" s="3"/>
      </tp>
      <tp t="s">
        <v>#N/A Requesting Data...1895841124</v>
        <stp/>
        <stp>BDP|11290639011070160822</stp>
        <tr r="BI10" s="3"/>
      </tp>
      <tp t="s">
        <v>#N/A N/A</v>
        <stp/>
        <stp>BDP|12386957553563075369</stp>
        <tr r="AF33" s="2"/>
      </tp>
      <tp t="s">
        <v>#N/A Requesting Data...1181756723</v>
        <stp/>
        <stp>BDP|10857549319278250250</stp>
        <tr r="AQ320" s="3"/>
      </tp>
      <tp t="s">
        <v>#N/A Requesting Data...963859081</v>
        <stp/>
        <stp>BDP|15578318443125263972</stp>
        <tr r="AJ317" s="3"/>
      </tp>
      <tp t="s">
        <v>#N/A N/A</v>
        <stp/>
        <stp>BDP|15521968315781106257</stp>
        <tr r="BL90" s="2"/>
      </tp>
      <tp t="s">
        <v>#N/A Requesting Data...3079734970</v>
        <stp/>
        <stp>BDP|10320158920165778835</stp>
        <tr r="AX17" s="2"/>
        <tr r="AQ9" s="4"/>
      </tp>
      <tp t="s">
        <v>#N/A Requesting Data...820165143</v>
        <stp/>
        <stp>BDP|13278949131200536700</stp>
        <tr r="BG245" s="3"/>
      </tp>
      <tp t="s">
        <v>#N/A Requesting Data...2275807175</v>
        <stp/>
        <stp>BDP|16564870709671181185</stp>
        <tr r="AA23" s="3"/>
      </tp>
      <tp t="s">
        <v>#N/A Requesting Data...4140515693</v>
        <stp/>
        <stp>BDP|14197364340304766925</stp>
        <tr r="BH6" s="3"/>
      </tp>
      <tp t="s">
        <v>#N/A Requesting Data...4226682925</v>
        <stp/>
        <stp>BDP|16605681393772928568</stp>
        <tr r="AA16" s="3"/>
      </tp>
      <tp t="s">
        <v>#N/A Requesting Data...3188993155</v>
        <stp/>
        <stp>BDP|15567378545424367860</stp>
        <tr r="BG5" s="2"/>
      </tp>
      <tp t="s">
        <v>#N/A Requesting Data...3554094877</v>
        <stp/>
        <stp>BDP|14092553794052398400</stp>
        <tr r="W29" s="4"/>
      </tp>
      <tp t="s">
        <v>#N/A Requesting Data...1064944134</v>
        <stp/>
        <stp>BDP|14386948826262136323</stp>
        <tr r="O105" s="3"/>
      </tp>
      <tp t="s">
        <v>#N/A Requesting Data...3044719396</v>
        <stp/>
        <stp>BDP|15652375194309154864</stp>
        <tr r="F114" s="3"/>
      </tp>
      <tp t="s">
        <v>#N/A Requesting Data...1540882768</v>
        <stp/>
        <stp>BDP|13326728767924044846</stp>
        <tr r="AH39" s="3"/>
      </tp>
      <tp t="s">
        <v>#N/A Requesting Data...1538191170</v>
        <stp/>
        <stp>BDP|13527451996396151655</stp>
        <tr r="AA177" s="3"/>
      </tp>
      <tp t="s">
        <v>#N/A N/A</v>
        <stp/>
        <stp>BDP|14662536583105725235</stp>
        <tr r="N72" s="2"/>
      </tp>
      <tp t="s">
        <v>#N/A Requesting Data...3808919621</v>
        <stp/>
        <stp>BDP|17142656809168929764</stp>
        <tr r="BA137" s="3"/>
      </tp>
      <tp t="s">
        <v>#N/A Requesting Data...3902786008</v>
        <stp/>
        <stp>BDP|11208940977645124421</stp>
        <tr r="AJ14" s="3"/>
      </tp>
      <tp t="s">
        <v>#N/A Requesting Data...2511041310</v>
        <stp/>
        <stp>BDP|15278820272144496034</stp>
        <tr r="M34" s="4"/>
      </tp>
      <tp t="s">
        <v>#N/A Requesting Data...2385326320</v>
        <stp/>
        <stp>BDP|11679164494957445054</stp>
        <tr r="I47" s="3"/>
      </tp>
      <tp t="s">
        <v>#N/A Requesting Data...1984394428</v>
        <stp/>
        <stp>BDP|13942490513861249942</stp>
        <tr r="BG344" s="3"/>
      </tp>
      <tp t="s">
        <v>#N/A Requesting Data...3896349316</v>
        <stp/>
        <stp>BDP|15792882804476656583</stp>
        <tr r="Q151" s="3"/>
      </tp>
      <tp t="s">
        <v>#N/A Requesting Data...2595071124</v>
        <stp/>
        <stp>BDP|13254559682404122412</stp>
        <tr r="K14" s="3"/>
      </tp>
      <tp t="s">
        <v>#N/A Requesting Data...2971407185</v>
        <stp/>
        <stp>BDP|11350734862146187867</stp>
        <tr r="O20" s="3"/>
      </tp>
      <tp t="s">
        <v>#N/A N/A</v>
        <stp/>
        <stp>BDP|14373932761502675728</stp>
        <tr r="K77" s="2"/>
      </tp>
      <tp t="s">
        <v>#N/A Requesting Data...1404218180</v>
        <stp/>
        <stp>BDP|15706926507915553725</stp>
        <tr r="BA192" s="3"/>
      </tp>
      <tp t="s">
        <v>#N/A Requesting Data...3515688347</v>
        <stp/>
        <stp>BDP|12162773310622187825</stp>
        <tr r="AF4" s="4"/>
      </tp>
      <tp t="s">
        <v>#N/A Requesting Data...2586424913</v>
        <stp/>
        <stp>BDP|10077778817441644932</stp>
        <tr r="BF221" s="3"/>
      </tp>
      <tp t="s">
        <v>#N/A Requesting Data...1104789008</v>
        <stp/>
        <stp>BDP|15795817670446128225</stp>
        <tr r="AZ181" s="3"/>
      </tp>
      <tp t="s">
        <v>#N/A Requesting Data...3795166235</v>
        <stp/>
        <stp>BDP|17921805108626699724</stp>
        <tr r="I283" s="3"/>
      </tp>
      <tp t="s">
        <v>#N/A Requesting Data...916410895</v>
        <stp/>
        <stp>BDP|10494462731801175877</stp>
        <tr r="O41" s="4"/>
      </tp>
      <tp t="s">
        <v>#N/A Requesting Data...2074800835</v>
        <stp/>
        <stp>BDP|11179477899391852324</stp>
        <tr r="AA204" s="3"/>
      </tp>
      <tp t="s">
        <v>#N/A Requesting Data...1331093799</v>
        <stp/>
        <stp>BDP|10837992131155600131</stp>
        <tr r="AH112" s="3"/>
      </tp>
      <tp t="s">
        <v>#N/A Requesting Data...1575060645</v>
        <stp/>
        <stp>BDP|17600337925758075057</stp>
        <tr r="BI39" s="3"/>
      </tp>
      <tp t="s">
        <v>#N/A Requesting Data...1676388851</v>
        <stp/>
        <stp>BDP|16725625452402630940</stp>
        <tr r="AZ126" s="3"/>
      </tp>
      <tp t="s">
        <v>#N/A N/A</v>
        <stp/>
        <stp>BDP|18160401115503923080</stp>
        <tr r="BG72" s="2"/>
      </tp>
      <tp t="s">
        <v>#N/A Requesting Data...3860480624</v>
        <stp/>
        <stp>BDP|14059442988675871311</stp>
        <tr r="M39" s="4"/>
      </tp>
      <tp t="s">
        <v>#N/A Requesting Data...2533733438</v>
        <stp/>
        <stp>BDP|16100913916370167020</stp>
        <tr r="AM22" s="2"/>
        <tr r="AF15" s="4"/>
      </tp>
      <tp t="s">
        <v>#N/A Requesting Data...2172465342</v>
        <stp/>
        <stp>BDP|11505970195356162933</stp>
        <tr r="AZ19" s="3"/>
      </tp>
      <tp t="s">
        <v>#N/A Requesting Data...3237581179</v>
        <stp/>
        <stp>BDP|14504369751858541421</stp>
        <tr r="Q290" s="3"/>
      </tp>
      <tp t="s">
        <v>#N/A Requesting Data...4072047893</v>
        <stp/>
        <stp>BDP|10349929729180817544</stp>
        <tr r="BF294" s="3"/>
      </tp>
      <tp t="s">
        <v>#N/A Requesting Data...4117751299</v>
        <stp/>
        <stp>BDP|17317039984214033501</stp>
        <tr r="Q59" s="3"/>
      </tp>
      <tp t="s">
        <v>#N/A N/A</v>
        <stp/>
        <stp>BDP|12191935484739617445</stp>
        <tr r="BF33" s="2"/>
      </tp>
      <tp t="s">
        <v>#N/A Requesting Data...4272859657</v>
        <stp/>
        <stp>BDP|16888035693958516999</stp>
        <tr r="BG236" s="3"/>
      </tp>
      <tp t="s">
        <v>#N/A Requesting Data...3797163194</v>
        <stp/>
        <stp>BDP|16244049852024799976</stp>
        <tr r="Y57" s="3"/>
      </tp>
      <tp t="s">
        <v>#N/A Requesting Data...3772098634</v>
        <stp/>
        <stp>BDP|13327292877100832813</stp>
        <tr r="AO35" s="4"/>
      </tp>
      <tp t="s">
        <v>#N/A Requesting Data...2623296049</v>
        <stp/>
        <stp>BDP|12449021083117839396</stp>
        <tr r="I71" s="3"/>
      </tp>
      <tp t="s">
        <v>#N/A Requesting Data...3939993264</v>
        <stp/>
        <stp>BDP|12821995205805392037</stp>
        <tr r="Q280" s="3"/>
      </tp>
      <tp t="s">
        <v>#N/A Requesting Data...1336620022</v>
        <stp/>
        <stp>BDP|12232962950377845781</stp>
        <tr r="I6" s="3"/>
      </tp>
      <tp t="s">
        <v>#N/A Requesting Data...1885985081</v>
        <stp/>
        <stp>BDP|11740914301175563360</stp>
        <tr r="BA11" s="3"/>
      </tp>
      <tp t="s">
        <v>#N/A N/A</v>
        <stp/>
        <stp>BDP|10907396946739708057</stp>
        <tr r="BG24" s="2"/>
      </tp>
      <tp t="s">
        <v>#N/A Requesting Data...2756154183</v>
        <stp/>
        <stp>BDP|13644436486547275656</stp>
        <tr r="K328" s="3"/>
      </tp>
      <tp t="s">
        <v>#N/A Requesting Data...1081915697</v>
        <stp/>
        <stp>BDP|12260933932141778706</stp>
        <tr r="BF210" s="3"/>
      </tp>
      <tp t="s">
        <v>#N/A Requesting Data...2987587492</v>
        <stp/>
        <stp>BDP|12050585095962987204</stp>
        <tr r="BB342" s="3"/>
      </tp>
      <tp t="s">
        <v>#N/A Requesting Data...1543461941</v>
        <stp/>
        <stp>BDP|17084310291610602315</stp>
        <tr r="Q216" s="3"/>
      </tp>
      <tp t="s">
        <v>#N/A Requesting Data...3643675622</v>
        <stp/>
        <stp>BDP|17882625813786906871</stp>
        <tr r="G4" s="4"/>
      </tp>
      <tp t="s">
        <v>#N/A Requesting Data...4101220442</v>
        <stp/>
        <stp>BDP|14500477585964033203</stp>
        <tr r="AS337" s="3"/>
      </tp>
      <tp t="s">
        <v>#N/A N/A</v>
        <stp/>
        <stp>BDP|18359947195702705426</stp>
        <tr r="K44" s="2"/>
      </tp>
      <tp t="s">
        <v>#N/A N/A</v>
        <stp/>
        <stp>BDP|14272983859875646328</stp>
        <tr r="BM48" s="2"/>
      </tp>
      <tp t="s">
        <v>#N/A Requesting Data...1511325756</v>
        <stp/>
        <stp>BDP|12352910212371629510</stp>
        <tr r="BH293" s="3"/>
      </tp>
      <tp t="s">
        <v>#N/A Requesting Data...3657918210</v>
        <stp/>
        <stp>BDP|12111232639748529592</stp>
        <tr r="AQ251" s="3"/>
      </tp>
      <tp t="s">
        <v>#N/A Requesting Data...1662824652</v>
        <stp/>
        <stp>BDP|11264725497209128809</stp>
        <tr r="D55" s="4"/>
      </tp>
      <tp t="s">
        <v>#N/A Requesting Data...1232285293</v>
        <stp/>
        <stp>BDP|10472699741695391998</stp>
        <tr r="Q320" s="3"/>
      </tp>
      <tp t="s">
        <v>#N/A Requesting Data...4090592533</v>
        <stp/>
        <stp>BDP|13168189313298575593</stp>
        <tr r="AS218" s="3"/>
      </tp>
      <tp t="s">
        <v>#N/A Requesting Data...2815490459</v>
        <stp/>
        <stp>BDP|10453087241513887937</stp>
        <tr r="AH161" s="3"/>
      </tp>
      <tp t="s">
        <v>#N/A Requesting Data...1441558093</v>
        <stp/>
        <stp>BDP|14129754380903644644</stp>
        <tr r="I272" s="3"/>
      </tp>
      <tp t="s">
        <v>#N/A Requesting Data...1984176765</v>
        <stp/>
        <stp>BDP|13593483869806192938</stp>
        <tr r="Y209" s="3"/>
      </tp>
      <tp t="s">
        <v>#N/A Requesting Data...4195641791</v>
        <stp/>
        <stp>BDP|13988257762180983915</stp>
        <tr r="Q205" s="3"/>
      </tp>
      <tp t="s">
        <v>#N/A Requesting Data...1234401533</v>
        <stp/>
        <stp>BDP|10328921058283827170</stp>
        <tr r="BH98" s="3"/>
      </tp>
      <tp t="s">
        <v>#N/A Requesting Data...1120984505</v>
        <stp/>
        <stp>BDP|18173937365049772065</stp>
        <tr r="K318" s="3"/>
      </tp>
      <tp t="s">
        <v>#N/A Requesting Data...4054884441</v>
        <stp/>
        <stp>BDP|11137127531099208466</stp>
        <tr r="BB76" s="3"/>
      </tp>
      <tp t="s">
        <v>#N/A N/A</v>
        <stp/>
        <stp>BDP|13415339723475781955</stp>
        <tr r="AV93" s="2"/>
      </tp>
      <tp t="s">
        <v>#N/A Requesting Data...3933216986</v>
        <stp/>
        <stp>BDP|15008399699591587033</stp>
        <tr r="AZ30" s="3"/>
      </tp>
      <tp t="s">
        <v>#N/A Requesting Data...4091542217</v>
        <stp/>
        <stp>BDP|11207262833607283939</stp>
        <tr r="K100" s="3"/>
      </tp>
      <tp t="s">
        <v>#N/A Requesting Data...3675098560</v>
        <stp/>
        <stp>BDP|15239527836088542555</stp>
        <tr r="BI341" s="3"/>
      </tp>
      <tp t="s">
        <v>#N/A Requesting Data...1286793507</v>
        <stp/>
        <stp>BDP|13440661503378573325</stp>
        <tr r="Y101" s="3"/>
      </tp>
      <tp t="s">
        <v>#N/A N/A</v>
        <stp/>
        <stp>BDP|11113886370795683461</stp>
        <tr r="AM19" s="2"/>
      </tp>
      <tp t="s">
        <v>#N/A Requesting Data...3174002493</v>
        <stp/>
        <stp>BDP|13486157825686858954</stp>
        <tr r="Y254" s="3"/>
      </tp>
      <tp t="s">
        <v>#N/A Requesting Data...3843796680</v>
        <stp/>
        <stp>BDP|14307598400026503860</stp>
        <tr r="I219" s="3"/>
      </tp>
      <tp t="s">
        <v>#N/A Requesting Data...2116715972</v>
        <stp/>
        <stp>BDP|18017030860334363597</stp>
        <tr r="AQ98" s="3"/>
      </tp>
      <tp t="s">
        <v>#N/A Requesting Data...3655664944</v>
        <stp/>
        <stp>BDP|12952945795118411554</stp>
        <tr r="BI45" s="3"/>
      </tp>
      <tp t="s">
        <v>#N/A Requesting Data...2126151411</v>
        <stp/>
        <stp>BDP|16477392216843513878</stp>
        <tr r="AA57" s="3"/>
      </tp>
      <tp t="s">
        <v>#N/A Requesting Data...1635516524</v>
        <stp/>
        <stp>BDP|11997758189510556189</stp>
        <tr r="AH166" s="3"/>
      </tp>
      <tp t="s">
        <v>#N/A N/A</v>
        <stp/>
        <stp>BDP|15292844249745635316</stp>
        <tr r="AO49" s="2"/>
      </tp>
      <tp t="s">
        <v>#N/A Requesting Data...3917945965</v>
        <stp/>
        <stp>BDP|11944890718026614167</stp>
        <tr r="AJ86" s="3"/>
      </tp>
      <tp t="s">
        <v>#N/A Requesting Data...2448991355</v>
        <stp/>
        <stp>BDP|14039741991946998343</stp>
        <tr r="BF103" s="3"/>
      </tp>
      <tp t="s">
        <v>#N/A Requesting Data...3011435423</v>
        <stp/>
        <stp>BDP|15276980438371838120</stp>
        <tr r="K312" s="3"/>
      </tp>
      <tp t="s">
        <v>#N/A N/A</v>
        <stp/>
        <stp>BDP|14316095557639527707</stp>
        <tr r="BN25" s="2"/>
      </tp>
      <tp t="s">
        <v>#N/A Requesting Data...1868941498</v>
        <stp/>
        <stp>BDP|14270165326290238884</stp>
        <tr r="Y305" s="3"/>
      </tp>
      <tp t="s">
        <v>#N/A N/A</v>
        <stp/>
        <stp>BDP|12909962308555964167</stp>
        <tr r="K83" s="2"/>
      </tp>
      <tp t="s">
        <v>#N/A Requesting Data...2857936582</v>
        <stp/>
        <stp>BDP|10644622518578113057</stp>
        <tr r="BF24" s="3"/>
      </tp>
      <tp t="s">
        <v>#N/A Requesting Data...3052626892</v>
        <stp/>
        <stp>BDP|14644366728588458247</stp>
        <tr r="AH120" s="3"/>
      </tp>
      <tp t="s">
        <v>#N/A Requesting Data...3947240423</v>
        <stp/>
        <stp>BDP|12396597491811651056</stp>
        <tr r="BG58" s="3"/>
      </tp>
      <tp t="s">
        <v>#N/A Requesting Data...4094655267</v>
        <stp/>
        <stp>BDP|16913260300572675916</stp>
        <tr r="AQ347" s="3"/>
      </tp>
      <tp t="s">
        <v>#N/A Requesting Data...2925583212</v>
        <stp/>
        <stp>BDP|15041272775949835628</stp>
        <tr r="BB317" s="3"/>
      </tp>
      <tp t="s">
        <v>#N/A N/A</v>
        <stp/>
        <stp>BDP|17847894714076936747</stp>
        <tr r="P48" s="2"/>
      </tp>
      <tp t="s">
        <v>#N/A Requesting Data...2512473592</v>
        <stp/>
        <stp>BDP|17479493195114794147</stp>
        <tr r="AA341" s="3"/>
      </tp>
      <tp t="s">
        <v>#N/A Requesting Data...2284854980</v>
        <stp/>
        <stp>BDP|10900740490927258646</stp>
        <tr r="AS78" s="3"/>
      </tp>
      <tp t="s">
        <v>#N/A Requesting Data...2477632946</v>
        <stp/>
        <stp>BDP|10529015313199480784</stp>
        <tr r="AQ38" s="4"/>
      </tp>
      <tp t="s">
        <v>#N/A N/A</v>
        <stp/>
        <stp>BDP|12466052483902818714</stp>
        <tr r="P44" s="2"/>
      </tp>
      <tp t="s">
        <v>#N/A Requesting Data...2903227721</v>
        <stp/>
        <stp>BDP|12730268498724113235</stp>
        <tr r="AA176" s="3"/>
      </tp>
      <tp t="s">
        <v>#N/A Requesting Data...3312367908</v>
        <stp/>
        <stp>BDP|14398453027389811420</stp>
        <tr r="BA191" s="3"/>
      </tp>
      <tp t="s">
        <v>#N/A Requesting Data...3025880218</v>
        <stp/>
        <stp>BDP|14080841226558913903</stp>
        <tr r="BG25" s="3"/>
      </tp>
      <tp t="s">
        <v>#N/A Requesting Data...4106230983</v>
        <stp/>
        <stp>BDP|13309554021688478388</stp>
        <tr r="AJ257" s="3"/>
      </tp>
      <tp t="s">
        <v>#N/A Requesting Data...1900567272</v>
        <stp/>
        <stp>BDP|15240916678317456349</stp>
        <tr r="BB179" s="3"/>
      </tp>
      <tp t="s">
        <v>#N/A Requesting Data...1773855355</v>
        <stp/>
        <stp>BDP|18074516901433820135</stp>
        <tr r="AS207" s="3"/>
      </tp>
      <tp t="s">
        <v>#N/A Requesting Data...3890924162</v>
        <stp/>
        <stp>BDP|10266436546808598793</stp>
        <tr r="BF91" s="3"/>
      </tp>
      <tp t="s">
        <v>#N/A Requesting Data...2384772235</v>
        <stp/>
        <stp>BDP|11876328981925736077</stp>
        <tr r="F304" s="3"/>
      </tp>
      <tp t="s">
        <v>#N/A N/A</v>
        <stp/>
        <stp>BDP|12832392798282008522</stp>
        <tr r="AD91" s="2"/>
      </tp>
      <tp t="s">
        <v>#N/A Requesting Data...2970296417</v>
        <stp/>
        <stp>BDP|11955345443090638932</stp>
        <tr r="AH259" s="3"/>
      </tp>
      <tp t="s">
        <v>#N/A Requesting Data...1956182340</v>
        <stp/>
        <stp>BDP|14822695286454976153</stp>
        <tr r="O328" s="3"/>
      </tp>
      <tp t="s">
        <v>#N/A Requesting Data...1750881220</v>
        <stp/>
        <stp>BDP|11165426731861148889</stp>
        <tr r="BH63" s="3"/>
      </tp>
      <tp t="s">
        <v>#N/A Requesting Data...2480870715</v>
        <stp/>
        <stp>BDP|12835861445621267026</stp>
        <tr r="I183" s="3"/>
      </tp>
      <tp t="s">
        <v>#N/A Requesting Data...1952891737</v>
        <stp/>
        <stp>BDP|17048382191805242710</stp>
        <tr r="BA73" s="3"/>
      </tp>
      <tp t="s">
        <v>#N/A Requesting Data...3719249497</v>
        <stp/>
        <stp>BDP|16328738073049154080</stp>
        <tr r="Q321" s="3"/>
      </tp>
      <tp t="s">
        <v>#N/A Requesting Data...2464125316</v>
        <stp/>
        <stp>BDP|12977945993845303874</stp>
        <tr r="Y181" s="3"/>
      </tp>
      <tp t="s">
        <v>#N/A N/A</v>
        <stp/>
        <stp>BDP|15055751336946985808</stp>
        <tr r="BG58" s="2"/>
      </tp>
      <tp t="s">
        <v>#N/A Requesting Data...2201562794</v>
        <stp/>
        <stp>BDP|13476326855858886213</stp>
        <tr r="M46" s="4"/>
        <tr r="O258" s="3"/>
      </tp>
      <tp t="s">
        <v>#N/A N/A</v>
        <stp/>
        <stp>BDP|15678407898230154756</stp>
        <tr r="N28" s="2"/>
      </tp>
      <tp t="s">
        <v>#N/A Requesting Data...3352834361</v>
        <stp/>
        <stp>BDP|18060217068236251517</stp>
        <tr r="BI121" s="3"/>
      </tp>
      <tp t="s">
        <v>#N/A Requesting Data...4239050330</v>
        <stp/>
        <stp>BDP|15872468787174584266</stp>
        <tr r="I52" s="4"/>
      </tp>
      <tp t="s">
        <v>#N/A Requesting Data...1942190986</v>
        <stp/>
        <stp>BDP|10188659437273815917</stp>
        <tr r="AZ242" s="3"/>
      </tp>
      <tp t="s">
        <v>#N/A Requesting Data...4103769024</v>
        <stp/>
        <stp>BDP|14027627214465828946</stp>
        <tr r="Q306" s="3"/>
      </tp>
      <tp t="s">
        <v>#N/A Requesting Data...1550553291</v>
        <stp/>
        <stp>BDP|17710034856254672999</stp>
        <tr r="Q255" s="3"/>
      </tp>
      <tp t="s">
        <v>#N/A N/A</v>
        <stp/>
        <stp>BDP|18305291760814427732</stp>
        <tr r="BM67" s="2"/>
      </tp>
      <tp t="s">
        <v>#N/A Requesting Data...1976457177</v>
        <stp/>
        <stp>BDP|11978804001471373768</stp>
        <tr r="BA337" s="3"/>
      </tp>
      <tp t="s">
        <v>#N/A N/A</v>
        <stp/>
        <stp>BDP|18386631599391332977</stp>
        <tr r="BG30" s="2"/>
      </tp>
      <tp t="s">
        <v>#N/A Requesting Data...3597523035</v>
        <stp/>
        <stp>BDP|10866290883855758085</stp>
        <tr r="Q237" s="3"/>
      </tp>
      <tp t="s">
        <v>#N/A Requesting Data...3211461141</v>
        <stp/>
        <stp>BDP|17379253286193488190</stp>
        <tr r="O308" s="3"/>
      </tp>
      <tp t="s">
        <v>#N/A Requesting Data...3070294262</v>
        <stp/>
        <stp>BDP|17520001288989470940</stp>
        <tr r="O111" s="3"/>
      </tp>
      <tp t="s">
        <v>#N/A Requesting Data...1927121467</v>
        <stp/>
        <stp>BDP|14665715997637990240</stp>
        <tr r="O76" s="3"/>
      </tp>
      <tp t="s">
        <v>#N/A Requesting Data...4292126235</v>
        <stp/>
        <stp>BDP|14979025164119483467</stp>
        <tr r="AA256" s="3"/>
      </tp>
      <tp t="s">
        <v>#N/A Requesting Data...2481311161</v>
        <stp/>
        <stp>BDP|13013495370347425809</stp>
        <tr r="AQ117" s="3"/>
      </tp>
      <tp t="s">
        <v>#N/A Requesting Data...3308459929</v>
        <stp/>
        <stp>BDP|12859913446704138431</stp>
        <tr r="AQ56" s="4"/>
      </tp>
      <tp t="s">
        <v>#N/A Requesting Data...1536262030</v>
        <stp/>
        <stp>BDP|13622168295042817608</stp>
        <tr r="BI260" s="3"/>
      </tp>
      <tp t="s">
        <v>#N/A Requesting Data...1773248702</v>
        <stp/>
        <stp>BDP|17752481789472223690</stp>
        <tr r="F210" s="3"/>
      </tp>
      <tp t="s">
        <v>#N/A N/A</v>
        <stp/>
        <stp>BDP|11679895319177872034</stp>
        <tr r="T12" s="2"/>
      </tp>
      <tp t="s">
        <v>#N/A Requesting Data...3227953357</v>
        <stp/>
        <stp>BDP|13986629992593059046</stp>
        <tr r="K59" s="3"/>
      </tp>
      <tp t="s">
        <v>#N/A Requesting Data...3565561863</v>
        <stp/>
        <stp>BDP|16558810656260772485</stp>
        <tr r="G59" s="4"/>
      </tp>
      <tp t="s">
        <v>#N/A Requesting Data...3643243776</v>
        <stp/>
        <stp>BDP|12993671843376650977</stp>
        <tr r="AS232" s="3"/>
      </tp>
      <tp t="s">
        <v>#N/A Requesting Data...3341783260</v>
        <stp/>
        <stp>BDP|18198549019652396136</stp>
        <tr r="K113" s="3"/>
      </tp>
      <tp t="s">
        <v>#N/A Requesting Data...3010820014</v>
        <stp/>
        <stp>BDP|17581174597273033391</stp>
        <tr r="AJ330" s="3"/>
      </tp>
      <tp t="s">
        <v>#N/A Requesting Data...2745012274</v>
        <stp/>
        <stp>BDP|14838002702552346952</stp>
        <tr r="I4" s="3"/>
      </tp>
      <tp t="s">
        <v>#N/A Requesting Data...2508455601</v>
        <stp/>
        <stp>BDP|13938542282354423570</stp>
        <tr r="BH280" s="3"/>
      </tp>
      <tp t="s">
        <v>#N/A Requesting Data...4037911558</v>
        <stp/>
        <stp>BDP|14520918629858174805</stp>
        <tr r="BA201" s="3"/>
      </tp>
      <tp t="s">
        <v>#N/A Requesting Data...3124877291</v>
        <stp/>
        <stp>BDP|17330133225408801313</stp>
        <tr r="O181" s="3"/>
      </tp>
      <tp t="s">
        <v>#N/A Requesting Data...2756989399</v>
        <stp/>
        <stp>BDP|16499814549285990090</stp>
        <tr r="Y35" s="3"/>
      </tp>
      <tp t="s">
        <v>#N/A Requesting Data...3979541650</v>
        <stp/>
        <stp>BDP|16963917852751600402</stp>
        <tr r="I27" s="3"/>
      </tp>
      <tp t="s">
        <v>#N/A N/A</v>
        <stp/>
        <stp>BDP|16971748440582388826</stp>
        <tr r="AX78" s="2"/>
      </tp>
      <tp t="s">
        <v>#N/A Requesting Data...4243893758</v>
        <stp/>
        <stp>BDP|17375581020908726737</stp>
        <tr r="BH250" s="3"/>
      </tp>
      <tp t="s">
        <v>#N/A N/A</v>
        <stp/>
        <stp>BDP|15327833823829481989</stp>
        <tr r="AV99" s="2"/>
      </tp>
      <tp t="s">
        <v>#N/A N/A</v>
        <stp/>
        <stp>BDP|16702958109062754231</stp>
        <tr r="BM87" s="2"/>
      </tp>
      <tp t="s">
        <v>#N/A Requesting Data...1928480713</v>
        <stp/>
        <stp>BDP|14016595162541366974</stp>
        <tr r="BA168" s="3"/>
      </tp>
      <tp t="s">
        <v>#N/A Requesting Data...3038073750</v>
        <stp/>
        <stp>BDP|13130391472499302164</stp>
        <tr r="BH31" s="3"/>
      </tp>
      <tp t="s">
        <v>#N/A N/A</v>
        <stp/>
        <stp>BDP|17832237340507331973</stp>
        <tr r="BM58" s="2"/>
      </tp>
      <tp t="s">
        <v>#N/A Requesting Data...3343848588</v>
        <stp/>
        <stp>BDP|17900977822155116627</stp>
        <tr r="BG307" s="3"/>
      </tp>
      <tp t="s">
        <v>#N/A Requesting Data...2956114393</v>
        <stp/>
        <stp>BDP|11773324088340602547</stp>
        <tr r="D47" s="4"/>
      </tp>
      <tp t="s">
        <v>#N/A N/A</v>
        <stp/>
        <stp>BDP|17916736098027537183</stp>
        <tr r="AX72" s="2"/>
      </tp>
      <tp t="s">
        <v>#N/A Requesting Data...3929485657</v>
        <stp/>
        <stp>BDP|18015315727465013397</stp>
        <tr r="AH241" s="3"/>
      </tp>
      <tp t="s">
        <v>#N/A Requesting Data...4242222383</v>
        <stp/>
        <stp>BDP|11095728099472448204</stp>
        <tr r="AJ47" s="3"/>
      </tp>
      <tp t="s">
        <v>#N/A Requesting Data...2083695619</v>
        <stp/>
        <stp>BDP|10112092459409957377</stp>
        <tr r="AS8" s="3"/>
      </tp>
      <tp t="s">
        <v>#N/A N/A</v>
        <stp/>
        <stp>BDP|13813733744768299728</stp>
        <tr r="AM55" s="2"/>
      </tp>
      <tp t="s">
        <v>#N/A Requesting Data...2283387502</v>
        <stp/>
        <stp>BDP|18304459314697418585</stp>
        <tr r="Q181" s="3"/>
      </tp>
      <tp t="s">
        <v>#N/A N/A</v>
        <stp/>
        <stp>BDP|17937558906475349872</stp>
        <tr r="AM64" s="2"/>
      </tp>
      <tp t="s">
        <v>#N/A Requesting Data...3410229728</v>
        <stp/>
        <stp>BDP|10986151764288504034</stp>
        <tr r="I55" s="3"/>
      </tp>
      <tp t="s">
        <v>#N/A N/A</v>
        <stp/>
        <stp>BDP|10233998061207556713</stp>
        <tr r="AM40" s="2"/>
      </tp>
      <tp t="s">
        <v>#N/A Requesting Data...3366128372</v>
        <stp/>
        <stp>BDP|12316439748264230947</stp>
        <tr r="AZ82" s="3"/>
      </tp>
      <tp t="s">
        <v>#N/A Requesting Data...3920975190</v>
        <stp/>
        <stp>BDP|11166713206128812108</stp>
        <tr r="AH109" s="3"/>
      </tp>
      <tp t="s">
        <v>#N/A Requesting Data...1859479058</v>
        <stp/>
        <stp>BDP|17175398782462510117</stp>
        <tr r="F64" s="3"/>
      </tp>
      <tp t="s">
        <v>#N/A Requesting Data...3267055036</v>
        <stp/>
        <stp>BDP|18129490745345079235</stp>
        <tr r="BF296" s="3"/>
      </tp>
      <tp t="s">
        <v>#N/A N/A</v>
        <stp/>
        <stp>BDP|16975943177681103650</stp>
        <tr r="K52" s="2"/>
      </tp>
      <tp t="s">
        <v>#N/A Requesting Data...3410860234</v>
        <stp/>
        <stp>BDP|13612884010615539052</stp>
        <tr r="F334" s="3"/>
      </tp>
      <tp t="s">
        <v>#N/A Requesting Data...2884634629</v>
        <stp/>
        <stp>BDP|13421814821496886028</stp>
        <tr r="AS298" s="3"/>
      </tp>
      <tp t="s">
        <v>#N/A Requesting Data...1917840173</v>
        <stp/>
        <stp>BDP|17705268008978229252</stp>
        <tr r="AA41" s="3"/>
      </tp>
      <tp t="s">
        <v>#N/A Requesting Data...4025582454</v>
        <stp/>
        <stp>BDP|17502894155455427033</stp>
        <tr r="BH268" s="3"/>
      </tp>
      <tp t="s">
        <v>#N/A Requesting Data...2952772333</v>
        <stp/>
        <stp>BDP|11897434493853663004</stp>
        <tr r="BH312" s="3"/>
      </tp>
      <tp t="s">
        <v>#N/A Requesting Data...2513126882</v>
        <stp/>
        <stp>BDP|14631992006615733703</stp>
        <tr r="BH202" s="3"/>
      </tp>
      <tp t="s">
        <v>#N/A N/A</v>
        <stp/>
        <stp>BDP|18168322186168973424</stp>
        <tr r="P38" s="2"/>
      </tp>
      <tp t="s">
        <v>#N/A Requesting Data...2682936809</v>
        <stp/>
        <stp>BDP|16259025296169976913</stp>
        <tr r="AA321" s="3"/>
      </tp>
      <tp t="s">
        <v>#N/A Requesting Data...2895297008</v>
        <stp/>
        <stp>BDP|18256199200055500309</stp>
        <tr r="I353" s="3"/>
      </tp>
      <tp t="s">
        <v>#N/A Requesting Data...2590779083</v>
        <stp/>
        <stp>BDP|14022879879722860671</stp>
        <tr r="AJ227" s="3"/>
      </tp>
      <tp t="s">
        <v>#N/A Requesting Data...4225253768</v>
        <stp/>
        <stp>BDP|15639649747769618125</stp>
        <tr r="BB124" s="3"/>
      </tp>
      <tp t="s">
        <v>#N/A Requesting Data...3448193099</v>
        <stp/>
        <stp>BDP|12146995709650508458</stp>
        <tr r="AQ334" s="3"/>
      </tp>
      <tp t="s">
        <v>#N/A Requesting Data...2415399067</v>
        <stp/>
        <stp>BDP|12203130045429512108</stp>
        <tr r="AZ116" s="3"/>
      </tp>
      <tp t="s">
        <v>#N/A Requesting Data...3969938799</v>
        <stp/>
        <stp>BDP|12270226397566459022</stp>
        <tr r="BG74" s="3"/>
      </tp>
      <tp t="s">
        <v>#N/A Requesting Data...3308427398</v>
        <stp/>
        <stp>BDP|12852998310873249623</stp>
        <tr r="BH101" s="3"/>
      </tp>
      <tp t="s">
        <v>#N/A Requesting Data...1794733906</v>
        <stp/>
        <stp>BDP|17564153450489650576</stp>
        <tr r="G3" s="4"/>
      </tp>
      <tp t="s">
        <v>#N/A Requesting Data...2642219731</v>
        <stp/>
        <stp>BDP|12569832175267014521</stp>
        <tr r="AZ338" s="3"/>
      </tp>
      <tp t="s">
        <v>#N/A Requesting Data...1868617900</v>
        <stp/>
        <stp>BDP|13665887479684201742</stp>
        <tr r="Y90" s="3"/>
      </tp>
      <tp t="s">
        <v>#N/A Requesting Data...2809323861</v>
        <stp/>
        <stp>BDP|16390336204278241262</stp>
        <tr r="K77" s="3"/>
      </tp>
      <tp t="s">
        <v>#N/A Requesting Data...2826372604</v>
        <stp/>
        <stp>BDP|10362259446311850883</stp>
        <tr r="AQ77" s="3"/>
      </tp>
      <tp t="s">
        <v>#N/A Requesting Data...3712796186</v>
        <stp/>
        <stp>BDP|10886136767719919151</stp>
        <tr r="BI225" s="3"/>
      </tp>
      <tp t="s">
        <v>#N/A Requesting Data...4264095191</v>
        <stp/>
        <stp>BDP|17601291887364093684</stp>
        <tr r="AS76" s="3"/>
      </tp>
      <tp t="s">
        <v>#N/A Requesting Data...4005342478</v>
        <stp/>
        <stp>BDP|13014329078899215182</stp>
        <tr r="Q143" s="3"/>
      </tp>
      <tp t="s">
        <v>#N/A Requesting Data...2366248896</v>
        <stp/>
        <stp>BDP|17586408630336134943</stp>
        <tr r="AQ26" s="4"/>
        <tr r="AS197" s="3"/>
      </tp>
      <tp t="s">
        <v>#N/A Requesting Data...1868819382</v>
        <stp/>
        <stp>BDP|10409446186797177475</stp>
        <tr r="BI171" s="3"/>
      </tp>
      <tp t="s">
        <v>#N/A Requesting Data...1877435882</v>
        <stp/>
        <stp>BDP|17989704579971420945</stp>
        <tr r="BF244" s="3"/>
      </tp>
      <tp t="s">
        <v>#N/A Requesting Data...3606895184</v>
        <stp/>
        <stp>BDP|10318610426253544816</stp>
        <tr r="AA136" s="3"/>
      </tp>
      <tp t="s">
        <v>#N/A Requesting Data...3896693464</v>
        <stp/>
        <stp>BDP|13409117594855704168</stp>
        <tr r="AZ237" s="3"/>
      </tp>
      <tp t="s">
        <v>#N/A Requesting Data...3476832213</v>
        <stp/>
        <stp>BDP|10426281581200508586</stp>
        <tr r="AZ70" s="3"/>
      </tp>
      <tp t="s">
        <v>#N/A Requesting Data...3235660093</v>
        <stp/>
        <stp>BDP|13370868212267527228</stp>
        <tr r="AS136" s="3"/>
      </tp>
      <tp t="s">
        <v>#N/A Requesting Data...3859675300</v>
        <stp/>
        <stp>BDP|12579890520394508390</stp>
        <tr r="AQ83" s="3"/>
      </tp>
      <tp t="s">
        <v>#N/A Requesting Data...3630187754</v>
        <stp/>
        <stp>BDP|16216203927749491026</stp>
        <tr r="AA200" s="3"/>
      </tp>
      <tp t="s">
        <v>#N/A Requesting Data...2970724396</v>
        <stp/>
        <stp>BDP|11359234784044003079</stp>
        <tr r="AQ239" s="3"/>
      </tp>
      <tp t="s">
        <v>#N/A Requesting Data...3760051615</v>
        <stp/>
        <stp>BDP|12221315558979051283</stp>
        <tr r="Y244" s="3"/>
      </tp>
      <tp t="s">
        <v>#N/A N/A</v>
        <stp/>
        <stp>BDP|10690235456048749077</stp>
        <tr r="P33" s="2"/>
      </tp>
      <tp t="s">
        <v>#N/A Requesting Data...4252196357</v>
        <stp/>
        <stp>BDP|14545774677202742918</stp>
        <tr r="AH32" s="3"/>
      </tp>
      <tp t="s">
        <v>#N/A N/A</v>
        <stp/>
        <stp>BDP|16914963451937821257</stp>
        <tr r="BK57" s="2"/>
      </tp>
      <tp t="s">
        <v>#N/A N/A</v>
        <stp/>
        <stp>BDP|10078685183710981110</stp>
        <tr r="BG81" s="2"/>
      </tp>
      <tp t="s">
        <v>#N/A Requesting Data...3251846234</v>
        <stp/>
        <stp>BDP|18347344797974316904</stp>
        <tr r="K335" s="3"/>
      </tp>
      <tp t="s">
        <v>#N/A Requesting Data...3459360298</v>
        <stp/>
        <stp>BDP|10375072677188725075</stp>
        <tr r="AJ236" s="3"/>
      </tp>
      <tp t="s">
        <v>#N/A Requesting Data...2028033183</v>
        <stp/>
        <stp>BDP|14429352292355646464</stp>
        <tr r="O234" s="3"/>
      </tp>
      <tp t="s">
        <v>#N/A Requesting Data...2305222036</v>
        <stp/>
        <stp>BDP|11513633856704601956</stp>
        <tr r="K261" s="3"/>
      </tp>
      <tp t="s">
        <v>#N/A Requesting Data...2062322397</v>
        <stp/>
        <stp>BDP|11394421469135208998</stp>
        <tr r="BI152" s="3"/>
      </tp>
      <tp t="s">
        <v>#N/A Requesting Data...2684125549</v>
        <stp/>
        <stp>BDP|14034924765466102253</stp>
        <tr r="BI73" s="3"/>
      </tp>
      <tp t="s">
        <v>#N/A N/A</v>
        <stp/>
        <stp>BDP|11705267865762710807</stp>
        <tr r="BG69" s="2"/>
      </tp>
      <tp t="s">
        <v>#N/A Requesting Data...2163203815</v>
        <stp/>
        <stp>BDP|15448820744601360721</stp>
        <tr r="F278" s="3"/>
      </tp>
      <tp t="s">
        <v>#N/A Requesting Data...2512248609</v>
        <stp/>
        <stp>BDP|13948988354446443628</stp>
        <tr r="AJ209" s="3"/>
      </tp>
      <tp t="s">
        <v>#N/A N/A</v>
        <stp/>
        <stp>BDP|16584391271869624487</stp>
        <tr r="N36" s="2"/>
      </tp>
      <tp t="s">
        <v>#N/A Requesting Data...1975930854</v>
        <stp/>
        <stp>BDP|11852993114767252140</stp>
        <tr r="AH5" s="3"/>
      </tp>
      <tp t="s">
        <v>#N/A Requesting Data...2445903756</v>
        <stp/>
        <stp>BDP|17006040661456494829</stp>
        <tr r="BA269" s="3"/>
      </tp>
      <tp t="s">
        <v>#N/A Requesting Data...2351711625</v>
        <stp/>
        <stp>BDP|14658572897744738338</stp>
        <tr r="BE16" s="2"/>
        <tr r="AX8" s="4"/>
      </tp>
      <tp t="s">
        <v>#N/A N/A</v>
        <stp/>
        <stp>BDP|14189944557692197518</stp>
        <tr r="AM99" s="2"/>
      </tp>
      <tp t="s">
        <v>#N/A Requesting Data...3636459228</v>
        <stp/>
        <stp>BDP|11129469874285076814</stp>
        <tr r="AH154" s="3"/>
      </tp>
      <tp t="s">
        <v>#N/A Requesting Data...2648383295</v>
        <stp/>
        <stp>BDP|18077256622821307663</stp>
        <tr r="BB337" s="3"/>
      </tp>
      <tp t="s">
        <v>#N/A Requesting Data...3868517890</v>
        <stp/>
        <stp>BDP|14709469996012611436</stp>
        <tr r="BA303" s="3"/>
      </tp>
      <tp t="s">
        <v>#N/A Requesting Data...2595153239</v>
        <stp/>
        <stp>BDP|11646219389014901050</stp>
        <tr r="BF199" s="3"/>
      </tp>
      <tp t="s">
        <v>#N/A Requesting Data...2302255423</v>
        <stp/>
        <stp>BDP|17689854476361217652</stp>
        <tr r="AQ112" s="3"/>
      </tp>
      <tp t="s">
        <v>#N/A Requesting Data...2545729181</v>
        <stp/>
        <stp>BDP|10564353323129279731</stp>
        <tr r="AS231" s="3"/>
      </tp>
      <tp t="s">
        <v>#N/A Requesting Data...2790125672</v>
        <stp/>
        <stp>BDP|12520968107727589337</stp>
        <tr r="BG136" s="3"/>
      </tp>
      <tp t="s">
        <v>#N/A Requesting Data...4264063234</v>
        <stp/>
        <stp>BDP|14865680502934146919</stp>
        <tr r="BF8" s="3"/>
      </tp>
      <tp t="s">
        <v>#N/A Requesting Data...4101034083</v>
        <stp/>
        <stp>BDP|11881177818596134849</stp>
        <tr r="Q51" s="3"/>
      </tp>
      <tp t="s">
        <v>#N/A Requesting Data...4198015365</v>
        <stp/>
        <stp>BDP|13372345230064370865</stp>
        <tr r="AA295" s="3"/>
      </tp>
      <tp t="s">
        <v>#N/A Requesting Data...3590782257</v>
        <stp/>
        <stp>BDP|11362417981291679370</stp>
        <tr r="G13" s="4"/>
      </tp>
      <tp t="s">
        <v>#N/A Requesting Data...2427660247</v>
        <stp/>
        <stp>BDP|15906972759116290003</stp>
        <tr r="AZ218" s="3"/>
      </tp>
      <tp t="s">
        <v>#N/A Requesting Data...3566184412</v>
        <stp/>
        <stp>BDP|12636948777117278425</stp>
        <tr r="BA322" s="3"/>
      </tp>
      <tp t="s">
        <v>#N/A N/A</v>
        <stp/>
        <stp>BDP|14248759484662014664</stp>
        <tr r="AV72" s="2"/>
      </tp>
      <tp t="s">
        <v>#N/A Requesting Data...4197256704</v>
        <stp/>
        <stp>BDP|16909597266593764949</stp>
        <tr r="N6" s="2"/>
      </tp>
      <tp t="s">
        <v>#N/A Requesting Data...2759329959</v>
        <stp/>
        <stp>BDP|10820673598389236902</stp>
        <tr r="O301" s="3"/>
      </tp>
      <tp t="s">
        <v>#N/A Requesting Data...4085969873</v>
        <stp/>
        <stp>BDP|13005293098383566417</stp>
        <tr r="AA94" s="3"/>
      </tp>
      <tp t="s">
        <v>#N/A N/A</v>
        <stp/>
        <stp>BDP|15075091453716894978</stp>
        <tr r="V92" s="2"/>
      </tp>
      <tp t="s">
        <v>#N/A Requesting Data...2253738035</v>
        <stp/>
        <stp>BDP|15527212793155625443</stp>
        <tr r="AZ49" s="3"/>
      </tp>
      <tp t="s">
        <v>#N/A Requesting Data...2125771275</v>
        <stp/>
        <stp>BDP|17376403780592458621</stp>
        <tr r="BA179" s="3"/>
      </tp>
      <tp t="s">
        <v>#N/A Requesting Data...2948725872</v>
        <stp/>
        <stp>BDP|16432314559709119685</stp>
        <tr r="BH25" s="3"/>
      </tp>
      <tp t="s">
        <v>#N/A Requesting Data...2106193724</v>
        <stp/>
        <stp>BDP|13339842518182976733</stp>
        <tr r="BI239" s="3"/>
      </tp>
      <tp t="s">
        <v>#N/A N/A</v>
        <stp/>
        <stp>BDP|13362221613206396956</stp>
        <tr r="BE79" s="2"/>
      </tp>
      <tp t="s">
        <v>#N/A N/A</v>
        <stp/>
        <stp>BDP|10879699183611336053</stp>
        <tr r="K91" s="2"/>
      </tp>
      <tp t="s">
        <v>#N/A Requesting Data...3604590095</v>
        <stp/>
        <stp>BDP|13766907947793408209</stp>
        <tr r="AH319" s="3"/>
      </tp>
      <tp t="s">
        <v>#N/A Requesting Data...2716844618</v>
        <stp/>
        <stp>BDP|18069913582523747509</stp>
        <tr r="F272" s="3"/>
      </tp>
      <tp t="s">
        <v>#N/A N/A</v>
        <stp/>
        <stp>BDP|14932183072275173868</stp>
        <tr r="K78" s="2"/>
      </tp>
      <tp t="s">
        <v>#N/A N/A</v>
        <stp/>
        <stp>BDP|17331975113186126629</stp>
        <tr r="AO63" s="2"/>
      </tp>
      <tp t="s">
        <v>#N/A N/A</v>
        <stp/>
        <stp>BDP|12450674096202017011</stp>
        <tr r="BM75" s="2"/>
      </tp>
      <tp t="s">
        <v>#N/A Requesting Data...3483070157</v>
        <stp/>
        <stp>BDP|12138694559966240878</stp>
        <tr r="AZ353" s="3"/>
      </tp>
      <tp t="s">
        <v>#N/A Requesting Data...3034258121</v>
        <stp/>
        <stp>BDP|12655438359339192595</stp>
        <tr r="BI334" s="3"/>
      </tp>
      <tp t="s">
        <v>#N/A Requesting Data...3090535699</v>
        <stp/>
        <stp>BDP|12681728838421866802</stp>
        <tr r="Q192" s="3"/>
      </tp>
      <tp t="s">
        <v>#N/A Requesting Data...2160639193</v>
        <stp/>
        <stp>BDP|12762360905368073604</stp>
        <tr r="BB230" s="3"/>
      </tp>
      <tp t="s">
        <v>#N/A N/A</v>
        <stp/>
        <stp>BDP|17460911876741512727</stp>
        <tr r="BN30" s="2"/>
      </tp>
      <tp t="s">
        <v>#N/A Requesting Data...3867451990</v>
        <stp/>
        <stp>BDP|17175652071049536040</stp>
        <tr r="I92" s="3"/>
      </tp>
      <tp t="s">
        <v>#N/A Requesting Data...2506539863</v>
        <stp/>
        <stp>BDP|10130046094906116049</stp>
        <tr r="BG162" s="3"/>
      </tp>
      <tp t="s">
        <v>#N/A Requesting Data...2617527574</v>
        <stp/>
        <stp>BDP|18152421941004529332</stp>
        <tr r="AH184" s="3"/>
      </tp>
      <tp t="s">
        <v>#N/A Requesting Data...2552373333</v>
        <stp/>
        <stp>BDP|11165814000981637711</stp>
        <tr r="BM10" s="2"/>
      </tp>
      <tp t="s">
        <v>#N/A Requesting Data...4189911083</v>
        <stp/>
        <stp>BDP|10148960045533685131</stp>
        <tr r="I72" s="3"/>
      </tp>
      <tp t="s">
        <v>#N/A Requesting Data...3951809044</v>
        <stp/>
        <stp>BDP|17681301821741175811</stp>
        <tr r="I331" s="3"/>
      </tp>
      <tp t="s">
        <v>#N/A N/A</v>
        <stp/>
        <stp>BDP|12643157104778841488</stp>
        <tr r="BG43" s="2"/>
      </tp>
      <tp t="s">
        <v>#N/A N/A</v>
        <stp/>
        <stp>BDP|11657937968611222088</stp>
        <tr r="V75" s="2"/>
      </tp>
      <tp t="s">
        <v>#N/A Requesting Data...2750527664</v>
        <stp/>
        <stp>BDP|11700811894707047851</stp>
        <tr r="BG106" s="3"/>
      </tp>
      <tp t="s">
        <v>#N/A Requesting Data...3131503152</v>
        <stp/>
        <stp>BDP|13944490997090542153</stp>
        <tr r="O14" s="3"/>
      </tp>
      <tp t="s">
        <v>#N/A Requesting Data...4116508256</v>
        <stp/>
        <stp>BDP|15771922325516411732</stp>
        <tr r="BA49" s="3"/>
      </tp>
      <tp t="s">
        <v>#N/A Requesting Data...3050915953</v>
        <stp/>
        <stp>BDP|13281052223537198926</stp>
        <tr r="Y313" s="3"/>
      </tp>
      <tp t="s">
        <v>#N/A Requesting Data...3598529834</v>
        <stp/>
        <stp>BDP|15820085398530811375</stp>
        <tr r="K229" s="3"/>
      </tp>
      <tp t="s">
        <v>#N/A Requesting Data...4066908519</v>
        <stp/>
        <stp>BDP|12384462892149688965</stp>
        <tr r="AQ60" s="4"/>
      </tp>
      <tp t="s">
        <v>#N/A Requesting Data...3871259789</v>
        <stp/>
        <stp>BDP|17664384198314011615</stp>
        <tr r="AQ276" s="3"/>
      </tp>
      <tp t="s">
        <v>#N/A Requesting Data...3066757939</v>
        <stp/>
        <stp>BDP|14340635996865648178</stp>
        <tr r="Q293" s="3"/>
      </tp>
      <tp t="s">
        <v>#N/A Requesting Data...3070695491</v>
        <stp/>
        <stp>BDP|14249010802039323253</stp>
        <tr r="AA350" s="3"/>
      </tp>
      <tp t="s">
        <v>#N/A Requesting Data...2941981458</v>
        <stp/>
        <stp>BDP|12057964746082416234</stp>
        <tr r="AO48" s="4"/>
      </tp>
      <tp t="s">
        <v>#N/A Requesting Data...4139106819</v>
        <stp/>
        <stp>BDP|16212000343638502533</stp>
        <tr r="BH115" s="3"/>
      </tp>
      <tp t="s">
        <v>#N/A Requesting Data...3395352619</v>
        <stp/>
        <stp>BDP|15597906516213125144</stp>
        <tr r="BI179" s="3"/>
      </tp>
      <tp t="s">
        <v>#N/A Requesting Data...3741293197</v>
        <stp/>
        <stp>BDP|14984540872251178887</stp>
        <tr r="BH282" s="3"/>
      </tp>
      <tp t="s">
        <v>#N/A Requesting Data...2872939823</v>
        <stp/>
        <stp>BDP|13317163031996340816</stp>
        <tr r="I138" s="3"/>
      </tp>
      <tp t="s">
        <v>#N/A Requesting Data...3478351935</v>
        <stp/>
        <stp>BDP|17856199524418431373</stp>
        <tr r="AQ257" s="3"/>
      </tp>
      <tp t="s">
        <v>#N/A Requesting Data...4019644233</v>
        <stp/>
        <stp>BDP|10147258981296708340</stp>
        <tr r="BI220" s="3"/>
      </tp>
      <tp t="s">
        <v>#N/A Requesting Data...3693172678</v>
        <stp/>
        <stp>BDP|11114790842939464482</stp>
        <tr r="BG347" s="3"/>
      </tp>
      <tp t="s">
        <v>#N/A N/A</v>
        <stp/>
        <stp>BDP|14535740051168628103</stp>
        <tr r="BE76" s="2"/>
      </tp>
      <tp t="s">
        <v>#N/A Requesting Data...3368561090</v>
        <stp/>
        <stp>BDP|17636160311028323042</stp>
        <tr r="BH129" s="3"/>
      </tp>
      <tp t="s">
        <v>#N/A N/A</v>
        <stp/>
        <stp>BDP|15896365418681520958</stp>
        <tr r="BM92" s="2"/>
      </tp>
      <tp t="s">
        <v>#N/A Requesting Data...2677615610</v>
        <stp/>
        <stp>BDP|16015332480757022556</stp>
        <tr r="AS93" s="3"/>
      </tp>
      <tp t="s">
        <v>#N/A Requesting Data...4186343881</v>
        <stp/>
        <stp>BDP|13468112245621530834</stp>
        <tr r="BB298" s="3"/>
      </tp>
      <tp t="s">
        <v>#N/A Requesting Data...3340373877</v>
        <stp/>
        <stp>BDP|13895243272628900119</stp>
        <tr r="AH27" s="3"/>
      </tp>
      <tp t="s">
        <v>#N/A N/A</v>
        <stp/>
        <stp>BDP|12423377811126285968</stp>
        <tr r="K26" s="2"/>
      </tp>
      <tp t="s">
        <v>#N/A Requesting Data...2413068961</v>
        <stp/>
        <stp>BDP|17984644249983028923</stp>
        <tr r="BA53" s="3"/>
      </tp>
      <tp t="s">
        <v>#N/A Requesting Data...3980151645</v>
        <stp/>
        <stp>BDP|17977689049111508840</stp>
        <tr r="AZ69" s="3"/>
      </tp>
      <tp t="s">
        <v>#N/A N/A</v>
        <stp/>
        <stp>BDP|18105649948292215464</stp>
        <tr r="P81" s="2"/>
      </tp>
      <tp t="s">
        <v>#N/A Requesting Data...2786549502</v>
        <stp/>
        <stp>BDP|11730679828618236133</stp>
        <tr r="BF236" s="3"/>
      </tp>
      <tp t="s">
        <v>#N/A Requesting Data...3422999768</v>
        <stp/>
        <stp>BDP|16377123785824829752</stp>
        <tr r="AA345" s="3"/>
      </tp>
      <tp t="s">
        <v>#N/A Requesting Data...2753569540</v>
        <stp/>
        <stp>BDP|17732288583883775228</stp>
        <tr r="I292" s="3"/>
      </tp>
      <tp t="s">
        <v>#N/A N/A</v>
        <stp/>
        <stp>BDP|14171742188306194153</stp>
        <tr r="BG71" s="2"/>
      </tp>
      <tp t="s">
        <v>#N/A Requesting Data...3638779521</v>
        <stp/>
        <stp>BDP|15974064618509735197</stp>
        <tr r="AA239" s="3"/>
      </tp>
      <tp t="s">
        <v>#N/A N/A</v>
        <stp/>
        <stp>BDP|17667338245879163587</stp>
        <tr r="K33" s="2"/>
      </tp>
      <tp t="s">
        <v>#N/A Requesting Data...3422452169</v>
        <stp/>
        <stp>BDP|15828671005316625954</stp>
        <tr r="AA128" s="3"/>
      </tp>
      <tp t="s">
        <v>#N/A Requesting Data...3499058646</v>
        <stp/>
        <stp>BDP|13509986677044505560</stp>
        <tr r="BF50" s="3"/>
      </tp>
      <tp t="s">
        <v>#N/A Requesting Data...2762485951</v>
        <stp/>
        <stp>BDP|12066057987020235697</stp>
        <tr r="I211" s="3"/>
      </tp>
      <tp t="s">
        <v>#N/A Requesting Data...3891358228</v>
        <stp/>
        <stp>BDP|10158218786377852162</stp>
        <tr r="AJ351" s="3"/>
      </tp>
      <tp t="s">
        <v>#N/A Requesting Data...3382416429</v>
        <stp/>
        <stp>BDP|17555619218818593415</stp>
        <tr r="O304" s="3"/>
      </tp>
      <tp t="s">
        <v>#N/A Requesting Data...2571125117</v>
        <stp/>
        <stp>BDP|14965916353867630355</stp>
        <tr r="K133" s="3"/>
      </tp>
      <tp t="s">
        <v>#N/A Requesting Data...3260251587</v>
        <stp/>
        <stp>BDP|10898729825920600914</stp>
        <tr r="BM7" s="2"/>
      </tp>
      <tp t="s">
        <v>#N/A Requesting Data...4206581464</v>
        <stp/>
        <stp>BDP|11707931119767537204</stp>
        <tr r="I12" s="3"/>
      </tp>
      <tp t="s">
        <v>#N/A Requesting Data...3872034341</v>
        <stp/>
        <stp>BDP|17067591611748657763</stp>
        <tr r="AJ46" s="3"/>
      </tp>
      <tp t="s">
        <v>#N/A Requesting Data...2769671606</v>
        <stp/>
        <stp>BDP|13579296090166044241</stp>
        <tr r="AQ21" s="3"/>
      </tp>
      <tp t="s">
        <v>#N/A Requesting Data...2781585915</v>
        <stp/>
        <stp>BDP|10311598096304582417</stp>
        <tr r="F251" s="3"/>
      </tp>
      <tp t="s">
        <v>#N/A Requesting Data...3464754028</v>
        <stp/>
        <stp>BDP|18394584876473126571</stp>
        <tr r="AH250" s="3"/>
      </tp>
      <tp t="s">
        <v>#N/A Requesting Data...3921607302</v>
        <stp/>
        <stp>BDP|12751335224959969626</stp>
        <tr r="BH96" s="3"/>
      </tp>
      <tp t="s">
        <v>#N/A Requesting Data...3356047615</v>
        <stp/>
        <stp>BDP|14227644259788610328</stp>
        <tr r="O39" s="4"/>
      </tp>
      <tp t="s">
        <v>#N/A Requesting Data...2663661492</v>
        <stp/>
        <stp>BDP|17608468884705674290</stp>
        <tr r="BH343" s="3"/>
      </tp>
      <tp t="s">
        <v>#N/A Requesting Data...2867537333</v>
        <stp/>
        <stp>BDP|17535890314136426478</stp>
        <tr r="I172" s="3"/>
      </tp>
      <tp t="s">
        <v>#N/A N/A</v>
        <stp/>
        <stp>BDP|18080135909352812790</stp>
        <tr r="AV85" s="2"/>
      </tp>
      <tp t="s">
        <v>#N/A Requesting Data...3895022421</v>
        <stp/>
        <stp>BDP|12494083591164028367</stp>
        <tr r="AO16" s="2"/>
        <tr r="AH8" s="4"/>
      </tp>
      <tp t="s">
        <v>#N/A Requesting Data...3330251826</v>
        <stp/>
        <stp>BDP|16863210126219188352</stp>
        <tr r="BA329" s="3"/>
      </tp>
      <tp t="s">
        <v>#N/A Requesting Data...4280248251</v>
        <stp/>
        <stp>BDP|12983054755229054226</stp>
        <tr r="F276" s="3"/>
      </tp>
      <tp t="s">
        <v>#N/A Requesting Data...3660931415</v>
        <stp/>
        <stp>BDP|18172241193338473791</stp>
        <tr r="BF2" s="2"/>
        <tr r="BA2" s="3"/>
      </tp>
      <tp t="s">
        <v>#N/A Requesting Data...2689900643</v>
        <stp/>
        <stp>BDP|17277659559929338166</stp>
        <tr r="W21" s="4"/>
      </tp>
      <tp t="s">
        <v>#N/A Requesting Data...3488513650</v>
        <stp/>
        <stp>BDP|14043586755378472027</stp>
        <tr r="BA45" s="3"/>
      </tp>
      <tp t="s">
        <v>#N/A Requesting Data...3512894718</v>
        <stp/>
        <stp>BDP|17820703412934797960</stp>
        <tr r="BA289" s="3"/>
      </tp>
      <tp t="s">
        <v>#N/A Requesting Data...4252868123</v>
        <stp/>
        <stp>BDP|16711019462985833972</stp>
        <tr r="Y26" s="3"/>
      </tp>
      <tp t="s">
        <v>#N/A N/A</v>
        <stp/>
        <stp>BDP|11095783614999051270</stp>
        <tr r="BM84" s="2"/>
      </tp>
      <tp t="s">
        <v>#N/A Requesting Data...2839071678</v>
        <stp/>
        <stp>BDP|10304598793504531478</stp>
        <tr r="AA278" s="3"/>
      </tp>
      <tp t="s">
        <v>#N/A Requesting Data...4004845521</v>
        <stp/>
        <stp>BDP|11602251745593449895</stp>
        <tr r="P8" s="2"/>
      </tp>
      <tp t="s">
        <v>#N/A Requesting Data...3112552131</v>
        <stp/>
        <stp>BDP|15738105491760969142</stp>
        <tr r="BG167" s="3"/>
      </tp>
      <tp t="s">
        <v>#N/A N/A</v>
        <stp/>
        <stp>BDP|11073766700408999248</stp>
        <tr r="BE39" s="2"/>
      </tp>
      <tp t="s">
        <v>#N/A N/A</v>
        <stp/>
        <stp>BDP|13392867213797412183</stp>
        <tr r="N97" s="2"/>
      </tp>
      <tp t="s">
        <v>#N/A Requesting Data...3021737626</v>
        <stp/>
        <stp>BDP|11783464619488063027</stp>
        <tr r="AZ273" s="3"/>
      </tp>
      <tp t="s">
        <v>#N/A Requesting Data...3743631950</v>
        <stp/>
        <stp>BDP|13702929738483363645</stp>
        <tr r="Y335" s="3"/>
      </tp>
      <tp t="s">
        <v>#N/A Requesting Data...3548614703</v>
        <stp/>
        <stp>BDP|10630097822897117961</stp>
        <tr r="BF22" s="3"/>
      </tp>
      <tp t="s">
        <v>#N/A Requesting Data...4191287228</v>
        <stp/>
        <stp>BDP|18033120682018250585</stp>
        <tr r="I40" s="4"/>
      </tp>
      <tp t="s">
        <v>#N/A Requesting Data...4262521848</v>
        <stp/>
        <stp>BDP|11428845921676399188</stp>
        <tr r="AZ151" s="3"/>
      </tp>
      <tp t="s">
        <v>#N/A Requesting Data...2763945602</v>
        <stp/>
        <stp>BDP|13272968046553088182</stp>
        <tr r="Y103" s="3"/>
      </tp>
      <tp t="s">
        <v>#N/A Requesting Data...4197934159</v>
        <stp/>
        <stp>BDP|12631800547945233799</stp>
        <tr r="BI212" s="3"/>
      </tp>
      <tp t="s">
        <v>#N/A Requesting Data...3531117158</v>
        <stp/>
        <stp>BDP|17027375617098352195</stp>
        <tr r="O273" s="3"/>
      </tp>
      <tp t="s">
        <v>#N/A Requesting Data...3233926717</v>
        <stp/>
        <stp>BDP|13368810682277237881</stp>
        <tr r="O47" s="3"/>
      </tp>
      <tp t="s">
        <v>#N/A Requesting Data...4114277244</v>
        <stp/>
        <stp>BDP|17209097256978084672</stp>
        <tr r="Y265" s="3"/>
      </tp>
      <tp t="s">
        <v>#N/A Requesting Data...3836093375</v>
        <stp/>
        <stp>BDP|17891628151038358020</stp>
        <tr r="AZ292" s="3"/>
      </tp>
      <tp t="s">
        <v>#N/A Requesting Data...3750208179</v>
        <stp/>
        <stp>BDP|16844270884588619809</stp>
        <tr r="BF20" s="3"/>
      </tp>
      <tp t="s">
        <v>#N/A Requesting Data...4000089566</v>
        <stp/>
        <stp>BDP|14413982868180889713</stp>
        <tr r="I60" s="3"/>
      </tp>
      <tp t="s">
        <v>#N/A Requesting Data...2885133105</v>
        <stp/>
        <stp>BDP|15794104153685942801</stp>
        <tr r="BH145" s="3"/>
      </tp>
      <tp t="s">
        <v>#N/A Requesting Data...2868715955</v>
        <stp/>
        <stp>BDP|17959190177689219480</stp>
        <tr r="AQ25" s="3"/>
      </tp>
      <tp t="s">
        <v>#N/A Requesting Data...4136377676</v>
        <stp/>
        <stp>BDP|14941302685304742763</stp>
        <tr r="AZ164" s="3"/>
      </tp>
      <tp t="s">
        <v>#N/A N/A</v>
        <stp/>
        <stp>BDP|15820972434362287149</stp>
        <tr r="BM70" s="2"/>
      </tp>
      <tp t="s">
        <v>#N/A Requesting Data...2789933547</v>
        <stp/>
        <stp>BDP|14062037639418123365</stp>
        <tr r="AO31" s="4"/>
      </tp>
      <tp t="s">
        <v>#N/A Requesting Data...3358621026</v>
        <stp/>
        <stp>BDP|14416444697450309590</stp>
        <tr r="I129" s="3"/>
      </tp>
      <tp t="s">
        <v>#N/A N/A</v>
        <stp/>
        <stp>BDP|13843969477788490906</stp>
        <tr r="BF70" s="2"/>
      </tp>
      <tp t="s">
        <v>#N/A Requesting Data...3031534224</v>
        <stp/>
        <stp>BDP|13094412347937921825</stp>
        <tr r="BI339" s="3"/>
      </tp>
      <tp t="s">
        <v>#N/A Requesting Data...3754321020</v>
        <stp/>
        <stp>BDP|17060872295558937267</stp>
        <tr r="BA215" s="3"/>
      </tp>
      <tp t="s">
        <v>#N/A Requesting Data...4238240610</v>
        <stp/>
        <stp>BDP|16475635058520289914</stp>
        <tr r="K276" s="3"/>
      </tp>
      <tp t="s">
        <v>#N/A Requesting Data...3410697562</v>
        <stp/>
        <stp>BDP|15588583269479003385</stp>
        <tr r="AJ264" s="3"/>
      </tp>
      <tp t="s">
        <v>#N/A Requesting Data...3004793831</v>
        <stp/>
        <stp>BDP|16698879406412290095</stp>
        <tr r="O352" s="3"/>
      </tp>
      <tp t="s">
        <v>#N/A Requesting Data...3293123793</v>
        <stp/>
        <stp>BDP|17680054442317960847</stp>
        <tr r="AQ215" s="3"/>
      </tp>
      <tp t="s">
        <v>#N/A N/A</v>
        <stp/>
        <stp>BDP|17746743483934576094</stp>
        <tr r="BF55" s="2"/>
      </tp>
      <tp t="s">
        <v>#N/A Requesting Data...4012732648</v>
        <stp/>
        <stp>BDP|14197095544488307434</stp>
        <tr r="AQ84" s="3"/>
      </tp>
      <tp t="s">
        <v>#N/A Requesting Data...3283908383</v>
        <stp/>
        <stp>BDP|10980246838635194880</stp>
        <tr r="F279" s="3"/>
      </tp>
      <tp t="s">
        <v>#N/A Requesting Data...3389025742</v>
        <stp/>
        <stp>BDP|10231775292450210293</stp>
        <tr r="BG257" s="3"/>
      </tp>
      <tp t="s">
        <v>#N/A Requesting Data...2858101014</v>
        <stp/>
        <stp>BDP|18053568358167299301</stp>
        <tr r="AQ28" s="3"/>
      </tp>
      <tp t="s">
        <v>#N/A Requesting Data...3528965861</v>
        <stp/>
        <stp>BDP|11645992526826725016</stp>
        <tr r="BH269" s="3"/>
      </tp>
      <tp t="s">
        <v>#N/A Requesting Data...3763445537</v>
        <stp/>
        <stp>BDP|11893938350840114151</stp>
        <tr r="F55" s="3"/>
      </tp>
      <tp t="s">
        <v>#N/A Requesting Data...3887041891</v>
        <stp/>
        <stp>BDP|16001940428144092536</stp>
        <tr r="Y69" s="3"/>
      </tp>
      <tp t="s">
        <v>#N/A Requesting Data...3746006231</v>
        <stp/>
        <stp>BDP|18214208805812180494</stp>
        <tr r="AQ225" s="3"/>
      </tp>
      <tp t="s">
        <v>#N/A Requesting Data...3400566889</v>
        <stp/>
        <stp>BDP|12496854736580929517</stp>
        <tr r="AQ238" s="3"/>
      </tp>
      <tp t="s">
        <v>#N/A Requesting Data...3705368313</v>
        <stp/>
        <stp>BDP|10228033282784984052</stp>
        <tr r="AH73" s="3"/>
      </tp>
      <tp t="s">
        <v>#N/A Requesting Data...3810148770</v>
        <stp/>
        <stp>BDP|11317096528607432892</stp>
        <tr r="AO57" s="4"/>
      </tp>
      <tp t="s">
        <v>#N/A Requesting Data...3624261688</v>
        <stp/>
        <stp>BDP|13909763130388626364</stp>
        <tr r="Y89" s="3"/>
      </tp>
      <tp t="s">
        <v>#N/A N/A</v>
        <stp/>
        <stp>BDP|11419991547107406715</stp>
        <tr r="AX100" s="2"/>
      </tp>
      <tp t="s">
        <v>#N/A Requesting Data...4264250021</v>
        <stp/>
        <stp>BDP|15890617560139578023</stp>
        <tr r="Q264" s="3"/>
      </tp>
      <tp t="s">
        <v>#N/A Requesting Data...3898992901</v>
        <stp/>
        <stp>BDP|14209139560029957663</stp>
        <tr r="AJ84" s="3"/>
      </tp>
      <tp t="s">
        <v>#N/A N/A</v>
        <stp/>
        <stp>BDP|15353052243144809938</stp>
        <tr r="AD32" s="2"/>
      </tp>
      <tp t="s">
        <v>#N/A Requesting Data...3429927546</v>
        <stp/>
        <stp>BDP|16977529170890182843</stp>
        <tr r="AZ54" s="3"/>
      </tp>
      <tp t="s">
        <v>#N/A N/A</v>
        <stp/>
        <stp>BDP|11387700591674513793</stp>
        <tr r="AD78" s="2"/>
      </tp>
      <tp t="s">
        <v>#N/A Requesting Data...3623681413</v>
        <stp/>
        <stp>BDP|13005837403101815664</stp>
        <tr r="AA14" s="3"/>
      </tp>
      <tp t="s">
        <v>#N/A Requesting Data...2914310017</v>
        <stp/>
        <stp>BDP|16976900304151637256</stp>
        <tr r="AQ298" s="3"/>
      </tp>
      <tp t="s">
        <v>#N/A Requesting Data...3885311047</v>
        <stp/>
        <stp>BDP|18118723564415008096</stp>
        <tr r="M51" s="4"/>
      </tp>
      <tp t="s">
        <v>#N/A Requesting Data...2983544806</v>
        <stp/>
        <stp>BDP|10629027898085673044</stp>
        <tr r="AZ36" s="3"/>
      </tp>
      <tp t="s">
        <v>#N/A Requesting Data...3133540296</v>
        <stp/>
        <stp>BDP|12876424048229564791</stp>
        <tr r="I317" s="3"/>
      </tp>
      <tp t="s">
        <v>#N/A Requesting Data...3329477016</v>
        <stp/>
        <stp>BDP|11626310653313197843</stp>
        <tr r="F59" s="3"/>
      </tp>
      <tp t="s">
        <v>#N/A Requesting Data...3362898887</v>
        <stp/>
        <stp>BDP|11794446202841568859</stp>
        <tr r="K287" s="3"/>
      </tp>
      <tp t="s">
        <v>#N/A Requesting Data...3418215505</v>
        <stp/>
        <stp>BDP|12481589296773837138</stp>
        <tr r="F209" s="3"/>
      </tp>
      <tp t="s">
        <v>#N/A Requesting Data...3287067139</v>
        <stp/>
        <stp>BDP|17878849235784199492</stp>
        <tr r="M42" s="4"/>
      </tp>
      <tp t="s">
        <v>#N/A Requesting Data...3937338987</v>
        <stp/>
        <stp>BDP|15755884779216457036</stp>
        <tr r="AH233" s="3"/>
      </tp>
      <tp t="s">
        <v>#N/A Requesting Data...3119434855</v>
        <stp/>
        <stp>BDP|10825808926916809074</stp>
        <tr r="BH146" s="3"/>
      </tp>
      <tp t="s">
        <v>#N/A Requesting Data...3334429542</v>
        <stp/>
        <stp>BDP|16492828559762738593</stp>
        <tr r="BI159" s="3"/>
      </tp>
      <tp t="s">
        <v>#N/A N/A</v>
        <stp/>
        <stp>BDP|10912115488083659677</stp>
        <tr r="N25" s="2"/>
      </tp>
      <tp t="s">
        <v>#N/A Requesting Data...3778336864</v>
        <stp/>
        <stp>BDP|14329800226741717331</stp>
        <tr r="BH176" s="3"/>
      </tp>
      <tp t="s">
        <v>#N/A N/A</v>
        <stp/>
        <stp>BDP|13783314431997136872</stp>
        <tr r="BG93" s="2"/>
      </tp>
      <tp t="s">
        <v>#N/A Requesting Data...3025478616</v>
        <stp/>
        <stp>BDP|14216040656325042812</stp>
        <tr r="Q315" s="3"/>
      </tp>
      <tp t="s">
        <v>#N/A Requesting Data...3838228903</v>
        <stp/>
        <stp>BDP|10336093586982980658</stp>
        <tr r="AS328" s="3"/>
      </tp>
      <tp t="s">
        <v>#N/A Requesting Data...4073582672</v>
        <stp/>
        <stp>BDP|15002145323519304349</stp>
        <tr r="AJ42" s="3"/>
      </tp>
      <tp t="s">
        <v>#N/A Requesting Data...3204690314</v>
        <stp/>
        <stp>BDP|15856249914099840301</stp>
        <tr r="BB27" s="3"/>
      </tp>
      <tp t="s">
        <v>#N/A Requesting Data...3219661625</v>
        <stp/>
        <stp>BDP|13971887320567553248</stp>
        <tr r="AF21" s="4"/>
      </tp>
      <tp t="s">
        <v>#N/A N/A</v>
        <stp/>
        <stp>BDP|17867080945489757624</stp>
        <tr r="BL41" s="2"/>
      </tp>
      <tp t="s">
        <v>#N/A Requesting Data...3753931130</v>
        <stp/>
        <stp>BDP|17032539599532991537</stp>
        <tr r="Q31" s="3"/>
      </tp>
      <tp t="s">
        <v>#N/A N/A</v>
        <stp/>
        <stp>BDP|12455470756816289975</stp>
        <tr r="K64" s="2"/>
      </tp>
      <tp t="s">
        <v>#N/A Requesting Data...3574567793</v>
        <stp/>
        <stp>BDP|18169881685263967755</stp>
        <tr r="BH160" s="3"/>
      </tp>
      <tp t="s">
        <v>#N/A Requesting Data...3445761188</v>
        <stp/>
        <stp>BDP|18437009140534334479</stp>
        <tr r="Y203" s="3"/>
      </tp>
      <tp t="s">
        <v>#N/A Requesting Data...4281514944</v>
        <stp/>
        <stp>BDP|14481299786260942222</stp>
        <tr r="AS340" s="3"/>
      </tp>
      <tp t="s">
        <v>#N/A Requesting Data...3589504879</v>
        <stp/>
        <stp>BDP|12554805919342971550</stp>
        <tr r="F179" s="3"/>
      </tp>
      <tp t="s">
        <v>#N/A Requesting Data...3916753961</v>
        <stp/>
        <stp>BDP|17726279096613309364</stp>
        <tr r="AS272" s="3"/>
      </tp>
      <tp t="s">
        <v>#N/A N/A</v>
        <stp/>
        <stp>BDP|15241906012739257819</stp>
        <tr r="AV86" s="2"/>
      </tp>
      <tp t="s">
        <v>#N/A Requesting Data...3658341439</v>
        <stp/>
        <stp>BDP|13074261697627500379</stp>
        <tr r="BI231" s="3"/>
      </tp>
      <tp t="s">
        <v>#N/A Requesting Data...3522911883</v>
        <stp/>
        <stp>BDP|15249963899910709990</stp>
        <tr r="F302" s="3"/>
      </tp>
      <tp t="s">
        <v>#N/A Requesting Data...3307553780</v>
        <stp/>
        <stp>BDP|14516604317078039718</stp>
        <tr r="AJ265" s="3"/>
      </tp>
      <tp t="s">
        <v>#N/A Requesting Data...3345786034</v>
        <stp/>
        <stp>BDP|10676278798327871025</stp>
        <tr r="W60" s="4"/>
      </tp>
      <tp t="s">
        <v>#N/A Requesting Data...3322951112</v>
        <stp/>
        <stp>BDP|16931980705575736606</stp>
        <tr r="BF212" s="3"/>
      </tp>
      <tp t="s">
        <v>#N/A N/A</v>
        <stp/>
        <stp>BDP|17920804502391861201</stp>
        <tr r="K19" s="2"/>
      </tp>
      <tp t="s">
        <v>#N/A Requesting Data...4178200552</v>
        <stp/>
        <stp>BDP|12800878606601283784</stp>
        <tr r="AQ4" s="4"/>
      </tp>
      <tp t="s">
        <v>#N/A Requesting Data...3345486843</v>
        <stp/>
        <stp>BDP|16431938864354398133</stp>
        <tr r="AA18" s="3"/>
      </tp>
      <tp t="s">
        <v>#N/A Requesting Data...3380483074</v>
        <stp/>
        <stp>BDP|12273893389257817995</stp>
        <tr r="AA97" s="3"/>
      </tp>
      <tp t="s">
        <v>#N/A N/A</v>
        <stp/>
        <stp>BDP|13620080227305297889</stp>
        <tr r="BN16" s="2"/>
      </tp>
      <tp t="s">
        <v>#N/A Requesting Data...3676294295</v>
        <stp/>
        <stp>BDP|10938814859673554275</stp>
        <tr r="Y61" s="4"/>
      </tp>
      <tp t="s">
        <v>#N/A N/A</v>
        <stp/>
        <stp>BDP|14070466956211371804</stp>
        <tr r="AX87" s="2"/>
      </tp>
      <tp t="s">
        <v>#N/A Requesting Data...3182172572</v>
        <stp/>
        <stp>BDP|14771511509105884848</stp>
        <tr r="Q213" s="3"/>
      </tp>
      <tp t="s">
        <v>#N/A Requesting Data...3425079573</v>
        <stp/>
        <stp>BDP|17112934069295006182</stp>
        <tr r="O204" s="3"/>
      </tp>
      <tp t="s">
        <v>#N/A Requesting Data...3812470620</v>
        <stp/>
        <stp>BDP|14844827378797990088</stp>
        <tr r="AZ289" s="3"/>
      </tp>
      <tp t="s">
        <v>#N/A Requesting Data...3411270026</v>
        <stp/>
        <stp>BDP|13842640449749363450</stp>
        <tr r="O60" s="4"/>
      </tp>
      <tp t="s">
        <v>#N/A Requesting Data...3144490353</v>
        <stp/>
        <stp>BDP|12332427078054284988</stp>
        <tr r="AS13" s="3"/>
      </tp>
      <tp t="s">
        <v>#N/A Requesting Data...3886907104</v>
        <stp/>
        <stp>BDP|11229104566573684900</stp>
        <tr r="W11" s="4"/>
      </tp>
      <tp t="s">
        <v>#N/A Requesting Data...4126045900</v>
        <stp/>
        <stp>BDP|14893398092297594541</stp>
        <tr r="Y5" s="3"/>
      </tp>
      <tp t="s">
        <v>#N/A Requesting Data...3366914499</v>
        <stp/>
        <stp>BDP|14466885752182587790</stp>
        <tr r="Q348" s="3"/>
      </tp>
      <tp t="s">
        <v>#N/A Requesting Data...3817062545</v>
        <stp/>
        <stp>BDP|10525412197236910789</stp>
        <tr r="Q12" s="3"/>
      </tp>
      <tp t="s">
        <v>#N/A Requesting Data...3466266726</v>
        <stp/>
        <stp>BDP|12423818021541436525</stp>
        <tr r="BF85" s="3"/>
      </tp>
      <tp t="s">
        <v>#N/A Requesting Data...3953331622</v>
        <stp/>
        <stp>BDP|13184871805953918488</stp>
        <tr r="BB314" s="3"/>
      </tp>
      <tp t="s">
        <v>#N/A Requesting Data...3833960185</v>
        <stp/>
        <stp>BDP|13679087082901666680</stp>
        <tr r="BG254" s="3"/>
      </tp>
      <tp t="s">
        <v>#N/A Requesting Data...3650057785</v>
        <stp/>
        <stp>BDP|11481161648260974813</stp>
        <tr r="BB201" s="3"/>
      </tp>
      <tp t="s">
        <v>#N/A N/A</v>
        <stp/>
        <stp>BDP|14473334305318690366</stp>
        <tr r="P26" s="2"/>
      </tp>
      <tp t="s">
        <v>#N/A Requesting Data...3553545127</v>
        <stp/>
        <stp>BDP|16044750650710685815</stp>
        <tr r="I177" s="3"/>
      </tp>
      <tp t="s">
        <v>#N/A Requesting Data...3359029481</v>
        <stp/>
        <stp>BDP|11742757761339964588</stp>
        <tr r="AJ88" s="3"/>
      </tp>
      <tp t="s">
        <v>#N/A Requesting Data...4248002101</v>
        <stp/>
        <stp>BDP|16339155270098725439</stp>
        <tr r="BF70" s="3"/>
      </tp>
      <tp t="s">
        <v>#N/A Requesting Data...3920030786</v>
        <stp/>
        <stp>BDP|17374208850728223436</stp>
        <tr r="I110" s="3"/>
      </tp>
      <tp t="s">
        <v>#N/A Requesting Data...3742256036</v>
        <stp/>
        <stp>BDP|15290707694061137651</stp>
        <tr r="BG119" s="3"/>
      </tp>
      <tp t="s">
        <v>#N/A Requesting Data...3431963456</v>
        <stp/>
        <stp>BDP|16318506481976357138</stp>
        <tr r="Y45" s="3"/>
      </tp>
      <tp t="s">
        <v>#N/A Requesting Data...3695902965</v>
        <stp/>
        <stp>BDP|10917333087057849075</stp>
        <tr r="O353" s="3"/>
      </tp>
      <tp t="s">
        <v>#N/A N/A</v>
        <stp/>
        <stp>BDP|17390104326841023974</stp>
        <tr r="K60" s="2"/>
      </tp>
      <tp t="s">
        <v>#N/A Requesting Data...3797785448</v>
        <stp/>
        <stp>BDP|14252076217038923190</stp>
        <tr r="I152" s="3"/>
      </tp>
      <tp t="s">
        <v>#N/A N/A</v>
        <stp/>
        <stp>BDP|14067481775683954862</stp>
        <tr r="BF95" s="2"/>
      </tp>
      <tp t="s">
        <v>#N/A Requesting Data...3994188954</v>
        <stp/>
        <stp>BDP|15100792709596161827</stp>
        <tr r="AH124" s="3"/>
      </tp>
      <tp t="s">
        <v>#N/A N/A</v>
        <stp/>
        <stp>BDP|12571338955510269838</stp>
        <tr r="AO83" s="2"/>
      </tp>
      <tp t="s">
        <v>#N/A Requesting Data...3270215784</v>
        <stp/>
        <stp>BDP|13737144967811163903</stp>
        <tr r="BI344" s="3"/>
      </tp>
      <tp t="s">
        <v>#N/A N/A</v>
        <stp/>
        <stp>BDP|14151800547263591763</stp>
        <tr r="AX50" s="2"/>
      </tp>
      <tp t="s">
        <v>#N/A Requesting Data...4086365159</v>
        <stp/>
        <stp>BDP|10576529713701741961</stp>
        <tr r="BG163" s="3"/>
      </tp>
      <tp t="s">
        <v>#N/A Requesting Data...3347518590</v>
        <stp/>
        <stp>BDP|12317052183960503659</stp>
        <tr r="BB214" s="3"/>
      </tp>
      <tp t="s">
        <v>#N/A N/A</v>
        <stp/>
        <stp>BDP|12787078798654526387</stp>
        <tr r="V36" s="2"/>
      </tp>
      <tp t="s">
        <v>#N/A Requesting Data...3953782335</v>
        <stp/>
        <stp>BDP|10336311887530965793</stp>
        <tr r="AH29" s="3"/>
      </tp>
      <tp t="s">
        <v>#N/A N/A</v>
        <stp/>
        <stp>BDP|10647451186793711372</stp>
        <tr r="T54" s="2"/>
      </tp>
      <tp t="s">
        <v>#N/A Requesting Data...4113815302</v>
        <stp/>
        <stp>BDP|16535206737072744901</stp>
        <tr r="Y97" s="3"/>
      </tp>
      <tp t="s">
        <v>#N/A Requesting Data...3548387488</v>
        <stp/>
        <stp>BDP|12773317991650236403</stp>
        <tr r="Y86" s="3"/>
      </tp>
      <tp t="s">
        <v>#N/A Requesting Data...3937310224</v>
        <stp/>
        <stp>BDP|11002126462669240372</stp>
        <tr r="Y108" s="3"/>
      </tp>
      <tp t="s">
        <v>#N/A N/A</v>
        <stp/>
        <stp>BDP|13819280891367358373</stp>
        <tr r="AF12" s="2"/>
      </tp>
      <tp t="s">
        <v>#N/A Requesting Data...3986097904</v>
        <stp/>
        <stp>BDP|17482463285542308505</stp>
        <tr r="AH155" s="3"/>
      </tp>
      <tp t="s">
        <v>#N/A Requesting Data...3895179684</v>
        <stp/>
        <stp>BDP|15427214760324199907</stp>
        <tr r="I111" s="3"/>
      </tp>
      <tp t="s">
        <v>#N/A Requesting Data...4248859574</v>
        <stp/>
        <stp>BDP|12897145196171737794</stp>
        <tr r="AZ201" s="3"/>
      </tp>
      <tp t="s">
        <v>#N/A Requesting Data...4228212801</v>
        <stp/>
        <stp>BDP|15543669536354013815</stp>
        <tr r="K85" s="3"/>
      </tp>
      <tp t="s">
        <v>#N/A Requesting Data...3811989803</v>
        <stp/>
        <stp>BDP|17694821217546224456</stp>
        <tr r="Q263" s="3"/>
      </tp>
      <tp t="s">
        <v>#N/A Requesting Data...3529031100</v>
        <stp/>
        <stp>BDP|10586703097586231445</stp>
        <tr r="Q130" s="3"/>
      </tp>
      <tp t="s">
        <v>#N/A Requesting Data...3357717595</v>
        <stp/>
        <stp>BDP|15130266291953442160</stp>
        <tr r="AQ299" s="3"/>
      </tp>
      <tp t="s">
        <v>#N/A Requesting Data...3785086966</v>
        <stp/>
        <stp>BDP|10646545095129249918</stp>
        <tr r="AH68" s="3"/>
      </tp>
      <tp t="s">
        <v>#N/A Requesting Data...3859220010</v>
        <stp/>
        <stp>BDP|15256951342832763666</stp>
        <tr r="Y29" s="3"/>
      </tp>
      <tp t="s">
        <v>#N/A Requesting Data...3743418205</v>
        <stp/>
        <stp>BDP|10036785116892259888</stp>
        <tr r="AZ161" s="3"/>
      </tp>
      <tp t="s">
        <v>#N/A N/A</v>
        <stp/>
        <stp>BDP|17378230085097361622</stp>
        <tr r="N29" s="2"/>
      </tp>
      <tp t="s">
        <v>#N/A Requesting Data...3935533565</v>
        <stp/>
        <stp>BDP|10622099468969683359</stp>
        <tr r="K15" s="3"/>
      </tp>
      <tp t="s">
        <v>#N/A N/A</v>
        <stp/>
        <stp>BDP|17995578799861716649</stp>
        <tr r="BM88" s="2"/>
      </tp>
      <tp t="s">
        <v>#N/A Requesting Data...4291594587</v>
        <stp/>
        <stp>BDP|17639390892683073292</stp>
        <tr r="AS322" s="3"/>
      </tp>
      <tp t="s">
        <v>#N/A Requesting Data...3751570854</v>
        <stp/>
        <stp>BDP|11800883323925724208</stp>
        <tr r="G55" s="4"/>
      </tp>
      <tp t="s">
        <v>#N/A N/A</v>
        <stp/>
        <stp>BDP|17202942562192521657</stp>
        <tr r="BM47" s="2"/>
      </tp>
      <tp t="s">
        <v>#N/A N/A</v>
        <stp/>
        <stp>BDP|11721128813899118436</stp>
        <tr r="V62" s="2"/>
      </tp>
      <tp t="s">
        <v>#N/A Requesting Data...3540126354</v>
        <stp/>
        <stp>BDP|15774458039316710888</stp>
        <tr r="Q99" s="3"/>
      </tp>
      <tp t="s">
        <v>#N/A N/A</v>
        <stp/>
        <stp>BDP|13606020770279140112</stp>
        <tr r="AX34" s="2"/>
      </tp>
      <tp t="s">
        <v>#N/A N/A</v>
        <stp/>
        <stp>BDP|14199974026297444430</stp>
        <tr r="BL80" s="2"/>
      </tp>
      <tp t="s">
        <v>#N/A Requesting Data...3741462946</v>
        <stp/>
        <stp>BDP|18410611944860628600</stp>
        <tr r="AJ343" s="3"/>
      </tp>
      <tp t="s">
        <v>#N/A Requesting Data...3527721244</v>
        <stp/>
        <stp>BDP|17654310890691921099</stp>
        <tr r="AQ137" s="3"/>
      </tp>
      <tp t="s">
        <v>#N/A Requesting Data...4192749241</v>
        <stp/>
        <stp>BDP|13383963016663572415</stp>
        <tr r="AJ208" s="3"/>
      </tp>
      <tp t="s">
        <v>#N/A N/A</v>
        <stp/>
        <stp>BDP|16477629732929694651</stp>
        <tr r="P34" s="2"/>
      </tp>
      <tp t="s">
        <v>#N/A Requesting Data...3861733000</v>
        <stp/>
        <stp>BDP|10274061130029692652</stp>
        <tr r="Y214" s="3"/>
      </tp>
      <tp t="s">
        <v>#N/A N/A</v>
        <stp/>
        <stp>BDP|13617968934636687355</stp>
        <tr r="AF32" s="2"/>
      </tp>
      <tp t="s">
        <v>#N/A Requesting Data...3887899348</v>
        <stp/>
        <stp>BDP|17401855137549961986</stp>
        <tr r="F5" s="3"/>
      </tp>
      <tp t="s">
        <v>#N/A N/A</v>
        <stp/>
        <stp>BDP|12755864206914290221</stp>
        <tr r="AX63" s="2"/>
      </tp>
      <tp t="s">
        <v>#N/A N/A</v>
        <stp/>
        <stp>BDP|12754350570099360364</stp>
        <tr r="BM16" s="2"/>
      </tp>
      <tp t="s">
        <v>#N/A Requesting Data...3838543032</v>
        <stp/>
        <stp>BDP|10335671573738871585</stp>
        <tr r="AF4" s="2"/>
        <tr r="AA248" s="3"/>
      </tp>
      <tp t="s">
        <v>#N/A Requesting Data...3912504907</v>
        <stp/>
        <stp>BDP|12992856666525859559</stp>
        <tr r="AH60" s="3"/>
      </tp>
      <tp t="s">
        <v>#N/A Requesting Data...3669465200</v>
        <stp/>
        <stp>BDP|18027817060459206347</stp>
        <tr r="AH18" s="3"/>
      </tp>
      <tp t="s">
        <v>#N/A Requesting Data...4028066462</v>
        <stp/>
        <stp>BDP|17319672951741177936</stp>
        <tr r="O45" s="3"/>
      </tp>
      <tp t="s">
        <v>#N/A N/A</v>
        <stp/>
        <stp>BDP|12894306693201507599</stp>
        <tr r="K92" s="2"/>
      </tp>
      <tp t="s">
        <v>#N/A Requesting Data...3715830770</v>
        <stp/>
        <stp>BDP|15431871430101465301</stp>
        <tr r="BA177" s="3"/>
      </tp>
      <tp t="s">
        <v>#N/A Requesting Data...3954056426</v>
        <stp/>
        <stp>BDP|14358278226229140151</stp>
        <tr r="F317" s="3"/>
      </tp>
      <tp t="s">
        <v>#N/A Requesting Data...3709144448</v>
        <stp/>
        <stp>BDP|15324849665662675520</stp>
        <tr r="AH253" s="3"/>
      </tp>
      <tp t="s">
        <v>#N/A Requesting Data...4247056434</v>
        <stp/>
        <stp>BDP|14795176186163619266</stp>
        <tr r="W31" s="4"/>
      </tp>
      <tp t="s">
        <v>#N/A Requesting Data...4054419942</v>
        <stp/>
        <stp>BDP|12333877934420281547</stp>
        <tr r="AH41" s="3"/>
      </tp>
      <tp t="s">
        <v>#N/A N/A</v>
        <stp/>
        <stp>BDP|11913158198547661245</stp>
        <tr r="BN39" s="2"/>
      </tp>
      <tp t="s">
        <v>#N/A Requesting Data...4286443455</v>
        <stp/>
        <stp>BDP|13582678375709808799</stp>
        <tr r="BF161" s="3"/>
      </tp>
      <tp t="s">
        <v>#N/A Requesting Data...3907650473</v>
        <stp/>
        <stp>BDP|14819782630828601406</stp>
        <tr r="BA231" s="3"/>
      </tp>
      <tp t="s">
        <v>#N/A Requesting Data...3664700047</v>
        <stp/>
        <stp>BDP|16327367829952274986</stp>
        <tr r="AS122" s="3"/>
      </tp>
      <tp t="s">
        <v>#N/A Requesting Data...3763454846</v>
        <stp/>
        <stp>BDP|10024915266174295732</stp>
        <tr r="Y34" s="4"/>
      </tp>
      <tp t="s">
        <v>#N/A N/A</v>
        <stp/>
        <stp>BDP|14334701901749619628</stp>
        <tr r="BM52" s="2"/>
      </tp>
      <tp t="s">
        <v>#N/A Requesting Data...3706217185</v>
        <stp/>
        <stp>BDP|12422983871661244191</stp>
        <tr r="O223" s="3"/>
      </tp>
      <tp t="s">
        <v>#N/A Requesting Data...3954715384</v>
        <stp/>
        <stp>BDP|11367106265069531351</stp>
        <tr r="BG5" s="3"/>
      </tp>
      <tp t="s">
        <v>#N/A Requesting Data...3611311325</v>
        <stp/>
        <stp>BDP|13511024955568610220</stp>
        <tr r="BF3" s="3"/>
      </tp>
      <tp t="s">
        <v>#N/A Requesting Data...3959563721</v>
        <stp/>
        <stp>BDP|11709627771289101534</stp>
        <tr r="AQ42" s="3"/>
      </tp>
      <tp t="s">
        <v>#N/A N/A</v>
        <stp/>
        <stp>BDP|18418407384769199178</stp>
        <tr r="V67" s="2"/>
      </tp>
      <tp t="s">
        <v>#N/A Requesting Data...3813898807</v>
        <stp/>
        <stp>BDP|11195890496644817808</stp>
        <tr r="AJ135" s="3"/>
      </tp>
      <tp t="s">
        <v>#N/A Requesting Data...3990360391</v>
        <stp/>
        <stp>BDP|10689147715719390525</stp>
        <tr r="V22" s="2"/>
        <tr r="O15" s="4"/>
      </tp>
      <tp t="s">
        <v>#N/A Requesting Data...3706585151</v>
        <stp/>
        <stp>BDP|17265819544380724697</stp>
        <tr r="Y27" s="3"/>
      </tp>
      <tp t="s">
        <v>#N/A Requesting Data...4082309860</v>
        <stp/>
        <stp>BDP|15826553273883274953</stp>
        <tr r="O132" s="3"/>
      </tp>
      <tp t="s">
        <v>#N/A N/A</v>
        <stp/>
        <stp>BDP|17024608228636966887</stp>
        <tr r="T28" s="2"/>
      </tp>
      <tp t="s">
        <v>#N/A Requesting Data...3682441310</v>
        <stp/>
        <stp>BDP|12458592135791558849</stp>
        <tr r="AQ114" s="3"/>
      </tp>
      <tp t="s">
        <v>#N/A Requesting Data...4044871707</v>
        <stp/>
        <stp>BDP|12629906784249344781</stp>
        <tr r="Q110" s="3"/>
      </tp>
      <tp t="s">
        <v>#N/A Requesting Data...3616022685</v>
        <stp/>
        <stp>BDP|14500193975799919697</stp>
        <tr r="BF118" s="3"/>
      </tp>
      <tp t="s">
        <v>#N/A Requesting Data...3685796459</v>
        <stp/>
        <stp>BDP|15606882162491190749</stp>
        <tr r="BF75" s="3"/>
      </tp>
      <tp t="s">
        <v>#N/A Requesting Data...3668572051</v>
        <stp/>
        <stp>BDP|10736162674229949251</stp>
        <tr r="BB286" s="3"/>
      </tp>
      <tp t="s">
        <v>#N/A N/A</v>
        <stp/>
        <stp>BDP|10850967088225932967</stp>
        <tr r="T89" s="2"/>
      </tp>
      <tp t="s">
        <v>#N/A Requesting Data...3834430441</v>
        <stp/>
        <stp>BDP|16442995525187418748</stp>
        <tr r="AJ156" s="3"/>
      </tp>
      <tp t="s">
        <v>#N/A Requesting Data...3653174444</v>
        <stp/>
        <stp>BDP|10002278889721101677</stp>
        <tr r="Q190" s="3"/>
      </tp>
      <tp t="s">
        <v>#N/A Requesting Data...3840838777</v>
        <stp/>
        <stp>BDP|17725216631733789884</stp>
        <tr r="I24" s="4"/>
      </tp>
      <tp t="s">
        <v>#N/A Requesting Data...3751080673</v>
        <stp/>
        <stp>BDP|15749354561469327485</stp>
        <tr r="AH340" s="3"/>
      </tp>
      <tp t="s">
        <v>#N/A Requesting Data...4252198348</v>
        <stp/>
        <stp>BDP|16523664921969991635</stp>
        <tr r="AA286" s="3"/>
      </tp>
      <tp t="s">
        <v>#N/A Requesting Data...3858486348</v>
        <stp/>
        <stp>BDP|18005416258377427354</stp>
        <tr r="AQ262" s="3"/>
      </tp>
      <tp t="s">
        <v>#N/A Requesting Data...3937525508</v>
        <stp/>
        <stp>BDP|10867252308357832854</stp>
        <tr r="AJ85" s="3"/>
      </tp>
      <tp t="s">
        <v>#N/A N/A</v>
        <stp/>
        <stp>BDP|14008574592172918744</stp>
        <tr r="AV89" s="2"/>
      </tp>
      <tp t="s">
        <v>#N/A Requesting Data...3888227527</v>
        <stp/>
        <stp>BDP|18212651262187871250</stp>
        <tr r="AQ3" s="4"/>
      </tp>
      <tp t="s">
        <v>#N/A Requesting Data...4216200840</v>
        <stp/>
        <stp>BDP|17559046254468597788</stp>
        <tr r="BH169" s="3"/>
      </tp>
      <tp t="s">
        <v>#N/A Requesting Data...4277681243</v>
        <stp/>
        <stp>BDP|13222597232099847194</stp>
        <tr r="K266" s="3"/>
      </tp>
      <tp t="s">
        <v>#N/A Requesting Data...4082572946</v>
        <stp/>
        <stp>BDP|15977446083002276642</stp>
        <tr r="BI108" s="3"/>
      </tp>
      <tp t="s">
        <v>#N/A Requesting Data...4193070620</v>
        <stp/>
        <stp>BDP|18094501274211654694</stp>
        <tr r="I198" s="3"/>
      </tp>
      <tp t="s">
        <v>#N/A Requesting Data...3886608513</v>
        <stp/>
        <stp>BDP|13774614289299790930</stp>
        <tr r="F339" s="3"/>
      </tp>
      <tp t="s">
        <v>#N/A Requesting Data...4187097364</v>
        <stp/>
        <stp>BDP|17895094225738823070</stp>
        <tr r="AJ23" s="3"/>
      </tp>
      <tp t="s">
        <v>#N/A Requesting Data...4037534910</v>
        <stp/>
        <stp>BDP|10003951481874859871</stp>
        <tr r="I247" s="3"/>
      </tp>
      <tp t="s">
        <v>#N/A Requesting Data...3871512281</v>
        <stp/>
        <stp>BDP|16264481443583668849</stp>
        <tr r="BB276" s="3"/>
      </tp>
      <tp t="s">
        <v>#N/A Requesting Data...3885292027</v>
        <stp/>
        <stp>BDP|13055935116096687084</stp>
        <tr r="I21" s="4"/>
      </tp>
      <tp t="s">
        <v>#N/A Requesting Data...4110071860</v>
        <stp/>
        <stp>BDP|16157570037779381496</stp>
        <tr r="Q26" s="3"/>
      </tp>
      <tp t="s">
        <v>#N/A Requesting Data...3763294923</v>
        <stp/>
        <stp>BDP|13143385680165439063</stp>
        <tr r="AS268" s="3"/>
      </tp>
      <tp t="s">
        <v>#N/A Requesting Data...4147026920</v>
        <stp/>
        <stp>BDP|11312040172252655986</stp>
        <tr r="BH330" s="3"/>
      </tp>
      <tp t="s">
        <v>#N/A Requesting Data...3816509500</v>
        <stp/>
        <stp>BDP|15896711624238526521</stp>
        <tr r="AH298" s="3"/>
      </tp>
      <tp t="s">
        <v>#N/A Requesting Data...3884981878</v>
        <stp/>
        <stp>BDP|16587607889525570033</stp>
        <tr r="AH295" s="3"/>
      </tp>
      <tp t="s">
        <v>#N/A N/A</v>
        <stp/>
        <stp>BDP|15640325646336078986</stp>
        <tr r="V90" s="2"/>
      </tp>
      <tp t="s">
        <v>#N/A Requesting Data...3835547890</v>
        <stp/>
        <stp>BDP|18413035449036302777</stp>
        <tr r="O250" s="3"/>
      </tp>
      <tp t="s">
        <v>#N/A Requesting Data...3887745245</v>
        <stp/>
        <stp>BDP|11348948053854679483</stp>
        <tr r="AA308" s="3"/>
      </tp>
      <tp t="s">
        <v>#N/A Requesting Data...4197326792</v>
        <stp/>
        <stp>BDP|14069852662794467395</stp>
        <tr r="V7" s="2"/>
      </tp>
      <tp t="s">
        <v>#N/A Requesting Data...4234981000</v>
        <stp/>
        <stp>BDP|14502248949826726955</stp>
        <tr r="AZ4" s="3"/>
      </tp>
      <tp t="s">
        <v>#N/A N/A</v>
        <stp/>
        <stp>BDP|12765016856949390396</stp>
        <tr r="N78" s="2"/>
      </tp>
      <tp t="s">
        <v>#N/A Requesting Data...3826689648</v>
        <stp/>
        <stp>BDP|17676890569320936451</stp>
        <tr r="BF350" s="3"/>
      </tp>
      <tp t="s">
        <v>#N/A N/A</v>
        <stp/>
        <stp>BDP|16337278190754004497</stp>
        <tr r="AV42" s="2"/>
      </tp>
      <tp t="s">
        <v>#N/A Requesting Data...4004208328</v>
        <stp/>
        <stp>BDP|11579434912840961904</stp>
        <tr r="F29" s="3"/>
      </tp>
      <tp t="s">
        <v>#N/A Requesting Data...4025054351</v>
        <stp/>
        <stp>BDP|16040198403272474830</stp>
        <tr r="BG264" s="3"/>
      </tp>
      <tp t="s">
        <v>#N/A Requesting Data...4085182988</v>
        <stp/>
        <stp>BDP|12726348789064414034</stp>
        <tr r="BG84" s="3"/>
      </tp>
      <tp t="s">
        <v>#N/A Requesting Data...3905830023</v>
        <stp/>
        <stp>BDP|10080965016206955344</stp>
        <tr r="M44" s="4"/>
      </tp>
      <tp t="s">
        <v>#N/A Requesting Data...3971782381</v>
        <stp/>
        <stp>BDP|10322519638438677316</stp>
        <tr r="Q34" s="3"/>
      </tp>
      <tp t="s">
        <v>#N/A Requesting Data...4005199121</v>
        <stp/>
        <stp>BDP|15708175280533457298</stp>
        <tr r="BG233" s="3"/>
      </tp>
      <tp t="s">
        <v>#N/A Requesting Data...3891056013</v>
        <stp/>
        <stp>BDP|13997796263958697782</stp>
        <tr r="Y179" s="3"/>
      </tp>
      <tp t="s">
        <v>#N/A Requesting Data...4250961155</v>
        <stp/>
        <stp>BDP|17562378908080240957</stp>
        <tr r="AS233" s="3"/>
      </tp>
      <tp t="s">
        <v>#N/A Requesting Data...3922195272</v>
        <stp/>
        <stp>BDP|14944712591147746030</stp>
        <tr r="AZ207" s="3"/>
      </tp>
      <tp t="s">
        <v>#N/A Requesting Data...3903548933</v>
        <stp/>
        <stp>BDP|18167375959486303515</stp>
        <tr r="AF19" s="4"/>
      </tp>
      <tp t="s">
        <v>#N/A Requesting Data...3951174509</v>
        <stp/>
        <stp>BDP|12508222169368245315</stp>
        <tr r="AZ327" s="3"/>
      </tp>
      <tp t="s">
        <v>#N/A Requesting Data...3935486794</v>
        <stp/>
        <stp>BDP|11710198473308053208</stp>
        <tr r="AJ211" s="3"/>
      </tp>
      <tp t="s">
        <v>#N/A Requesting Data...4176023694</v>
        <stp/>
        <stp>BDP|17721180392445288728</stp>
        <tr r="T71" s="2"/>
        <tr r="M36" s="4"/>
      </tp>
      <tp t="s">
        <v>#N/A Requesting Data...4186835633</v>
        <stp/>
        <stp>BDP|13078882324775814195</stp>
        <tr r="K107" s="3"/>
      </tp>
      <tp t="s">
        <v>#N/A Requesting Data...3983615430</v>
        <stp/>
        <stp>BDP|12834867817724409219</stp>
        <tr r="I189" s="3"/>
      </tp>
      <tp t="s">
        <v>#N/A Requesting Data...4174510588</v>
        <stp/>
        <stp>BDP|12812217685751388430</stp>
        <tr r="Y268" s="3"/>
      </tp>
      <tp t="s">
        <v>#N/A Requesting Data...4083375952</v>
        <stp/>
        <stp>BDP|16593885339318872800</stp>
        <tr r="O7" s="4"/>
      </tp>
      <tp t="s">
        <v>#N/A N/A</v>
        <stp/>
        <stp>BDP|15680497099981397491</stp>
        <tr r="AM49" s="2"/>
      </tp>
      <tp t="s">
        <v>#N/A Requesting Data...4205455693</v>
        <stp/>
        <stp>BDP|17746212956969562497</stp>
        <tr r="AZ163" s="3"/>
      </tp>
      <tp t="s">
        <v>#N/A Requesting Data...4031732218</v>
        <stp/>
        <stp>BDP|15117681081182351479</stp>
        <tr r="O171" s="3"/>
      </tp>
      <tp t="s">
        <v>#N/A Requesting Data...4109743428</v>
        <stp/>
        <stp>BDP|13400742787787910628</stp>
        <tr r="Q135" s="3"/>
      </tp>
      <tp t="s">
        <v>#N/A Requesting Data...4024305084</v>
        <stp/>
        <stp>BDP|11489992737387622107</stp>
        <tr r="Q36" s="3"/>
      </tp>
      <tp t="s">
        <v>#N/A Requesting Data...4023859279</v>
        <stp/>
        <stp>BDP|11050265450959366293</stp>
        <tr r="BF110" s="3"/>
      </tp>
      <tp t="s">
        <v>#N/A Requesting Data...4275667875</v>
        <stp/>
        <stp>BDP|10849420593646261677</stp>
        <tr r="AS119" s="3"/>
      </tp>
      <tp t="s">
        <v>#N/A Requesting Data...4281764153</v>
        <stp/>
        <stp>BDP|15592359769675668833</stp>
        <tr r="BF92" s="3"/>
      </tp>
      <tp t="s">
        <v>#N/A Requesting Data...4014313083</v>
        <stp/>
        <stp>BDP|14652935904773411394</stp>
        <tr r="AA131" s="3"/>
      </tp>
      <tp t="s">
        <v>#N/A Requesting Data...4080300284</v>
        <stp/>
        <stp>BDP|10902430410790116877</stp>
        <tr r="AZ287" s="3"/>
      </tp>
      <tp t="s">
        <v>#N/A N/A</v>
        <stp/>
        <stp>BDP|16460077389677621405</stp>
        <tr r="N87" s="2"/>
      </tp>
      <tp t="s">
        <v>#N/A Requesting Data...4160579777</v>
        <stp/>
        <stp>BDP|14250489555048187023</stp>
        <tr r="BG333" s="3"/>
      </tp>
      <tp t="s">
        <v>#N/A Requesting Data...3996623132</v>
        <stp/>
        <stp>BDP|13977088172711942869</stp>
        <tr r="G24" s="4"/>
      </tp>
      <tp t="s">
        <v>#N/A Requesting Data...4140025754</v>
        <stp/>
        <stp>BDP|14415771583410493689</stp>
        <tr r="BI265" s="3"/>
      </tp>
      <tp t="s">
        <v>#N/A Requesting Data...4001476486</v>
        <stp/>
        <stp>BDP|16056159631300253991</stp>
        <tr r="AJ69" s="3"/>
      </tp>
      <tp t="s">
        <v>#N/A Requesting Data...4294179882</v>
        <stp/>
        <stp>BDP|18152807929816268955</stp>
        <tr r="BI315" s="3"/>
      </tp>
      <tp t="s">
        <v>#N/A Requesting Data...4032761198</v>
        <stp/>
        <stp>BDP|18328431449151797415</stp>
        <tr r="BI116" s="3"/>
      </tp>
      <tp t="s">
        <v>#N/A Requesting Data...4263974017</v>
        <stp/>
        <stp>BDP|15378478619115071824</stp>
        <tr r="AS157" s="3"/>
      </tp>
      <tp t="s">
        <v>#N/A Requesting Data...4126230800</v>
        <stp/>
        <stp>BDP|13964241033819922680</stp>
        <tr r="AZ187" s="3"/>
      </tp>
      <tp t="s">
        <v>#N/A Requesting Data...4253553826</v>
        <stp/>
        <stp>BDP|18301410211727932757</stp>
        <tr r="Y236" s="3"/>
      </tp>
      <tp t="s">
        <v>#N/A Requesting Data...4255547357</v>
        <stp/>
        <stp>BDP|16781588157508671313</stp>
        <tr r="BF172" s="3"/>
      </tp>
      <tp t="s">
        <v>#N/A Requesting Data...4104373202</v>
        <stp/>
        <stp>BDP|16013817629015470436</stp>
        <tr r="F237" s="3"/>
      </tp>
      <tp t="s">
        <v>#N/A Requesting Data...4084491880</v>
        <stp/>
        <stp>BDP|16033487903688755730</stp>
        <tr r="AH151" s="3"/>
      </tp>
      <tp t="s">
        <v>#N/A N/A</v>
        <stp/>
        <stp>BDP|17906298649719793511</stp>
        <tr r="BF76" s="2"/>
      </tp>
      <tp t="s">
        <v>#N/A Requesting Data...4098275251</v>
        <stp/>
        <stp>BDP|10932085680622924774</stp>
        <tr r="D12" s="4"/>
      </tp>
      <tp t="s">
        <v>#N/A N/A</v>
        <stp/>
        <stp>BDP|11893831536600156720</stp>
        <tr r="P82" s="2"/>
      </tp>
      <tp t="s">
        <v>#N/A Requesting Data...4189579952</v>
        <stp/>
        <stp>BDP|11017092300579280555</stp>
        <tr r="AZ345" s="3"/>
      </tp>
      <tp t="s">
        <v>#N/A N/A</v>
        <stp/>
        <stp>BDP|13963350083406533348</stp>
        <tr r="N23" s="2"/>
      </tp>
      <tp t="s">
        <v>#N/A N/A</v>
        <stp/>
        <stp>BDP|11360380750353645939</stp>
        <tr r="BN97" s="2"/>
      </tp>
      <tp t="s">
        <v>#N/A Requesting Data...4208528359</v>
        <stp/>
        <stp>BDP|11224845659542649379</stp>
        <tr r="BF58" s="3"/>
      </tp>
      <tp t="s">
        <v>#N/A Requesting Data...4130614953</v>
        <stp/>
        <stp>BDP|14739369707278956210</stp>
        <tr r="AQ342" s="3"/>
      </tp>
      <tp t="s">
        <v>#N/A Requesting Data...4286595778</v>
        <stp/>
        <stp>BDP|13272486273925448830</stp>
        <tr r="BG35" s="3"/>
      </tp>
      <tp t="s">
        <v>#N/A Requesting Data...4264627095</v>
        <stp/>
        <stp>BDP|14396187604618244030</stp>
        <tr r="BI83" s="3"/>
      </tp>
      <tp t="s">
        <v>#N/A Requesting Data...4218899847</v>
        <stp/>
        <stp>BDP|15891899368471293751</stp>
        <tr r="BF18" s="3"/>
      </tp>
      <tp t="s">
        <v>#N/A Requesting Data...4186004733</v>
        <stp/>
        <stp>BDP|15061649730114248988</stp>
        <tr r="Y224" s="3"/>
      </tp>
      <tp t="s">
        <v>#N/A Requesting Data...4151910411</v>
        <stp/>
        <stp>BDP|17687449186070818622</stp>
        <tr r="Y240" s="3"/>
      </tp>
      <tp t="s">
        <v>#N/A N/A</v>
        <stp/>
        <stp>BDP|14325262899041690348</stp>
        <tr r="N77" s="2"/>
      </tp>
      <tp t="s">
        <v>#N/A Requesting Data...4270145287</v>
        <stp/>
        <stp>BDP|10511978168952303077</stp>
        <tr r="BB75" s="3"/>
      </tp>
      <tp t="s">
        <v>#N/A N/A</v>
        <stp/>
        <stp>BDP|13747146784331187670</stp>
        <tr r="AF87" s="2"/>
      </tp>
      <tp t="s">
        <v>#N/A Requesting Data...4267138704</v>
        <stp/>
        <stp>BDP|17161801149983145582</stp>
        <tr r="AS289" s="3"/>
      </tp>
      <tp t="s">
        <v>#N/A Requesting Data...4289520175</v>
        <stp/>
        <stp>BDP|17266884522846970602</stp>
        <tr r="AJ255" s="3"/>
      </tp>
      <tp t="s">
        <v>#N/A N/A</v>
        <stp/>
        <stp>BDP|16789720886783328713</stp>
        <tr r="BG31" s="2"/>
      </tp>
      <tp t="s">
        <v>#N/A Requesting Data...4247999087</v>
        <stp/>
        <stp>BDP|12859663053894925851</stp>
        <tr r="K329" s="3"/>
      </tp>
      <tp t="s">
        <v>#N/A Requesting Data...4282967570</v>
        <stp/>
        <stp>BDP|10942731058116667951</stp>
        <tr r="Q122" s="3"/>
      </tp>
      <tp t="s">
        <v>#N/A Requesting Data...4208518601</v>
        <stp/>
        <stp>BDP|13745020927478402471</stp>
        <tr r="O49" s="4"/>
      </tp>
      <tp t="s">
        <v>#N/A N/A</v>
        <stp/>
        <stp>BDP|14429861970764078233</stp>
        <tr r="AO92" s="2"/>
      </tp>
      <tp t="s">
        <v>#N/A Requesting Data...4256712756</v>
        <stp/>
        <stp>BDP|18311730098283928806</stp>
        <tr r="Y136" s="3"/>
      </tp>
      <tp t="s">
        <v>#N/A Requesting Data...4278058789</v>
        <stp/>
        <stp>BDP|17213632983706649257</stp>
        <tr r="BB101" s="3"/>
      </tp>
      <tp t="s">
        <v>#N/A Requesting Data...4269883157</v>
        <stp/>
        <stp>BDP|13304835934146506301</stp>
        <tr r="BF13" s="3"/>
      </tp>
      <tp t="s">
        <v>#N/A Requesting Data...4286371333</v>
        <stp/>
        <stp>BDP|15162984496881971978</stp>
        <tr r="BI309" s="3"/>
      </tp>
      <tp t="s">
        <v>#N/A Requesting Data...4293534010</v>
        <stp/>
        <stp>BDP|10723217055469610359</stp>
        <tr r="I56" s="3"/>
      </tp>
      <tp t="s">
        <v>#N/A Requesting Data...4292891724</v>
        <stp/>
        <stp>BDP|10323465948694569988</stp>
        <tr r="AJ345" s="3"/>
      </tp>
      <tp t="s">
        <v>#N/A Requesting Data...910490139</v>
        <stp/>
        <stp>BDP|11172860652733796224</stp>
        <tr r="W57" s="4"/>
      </tp>
      <tp t="s">
        <v>#N/A Requesting Data...3734268376</v>
        <stp/>
        <stp>BDP|11715556695495249554</stp>
        <tr r="AQ170" s="3"/>
      </tp>
      <tp t="s">
        <v>#N/A Requesting Data...1830425584</v>
        <stp/>
        <stp>BDP|11354045231587579830</stp>
        <tr r="BH309" s="3"/>
      </tp>
      <tp t="s">
        <v>#N/A Requesting Data...1578189107</v>
        <stp/>
        <stp>BDP|13748554991087321503</stp>
        <tr r="BF275" s="3"/>
      </tp>
      <tp t="s">
        <v>#N/A N/A</v>
        <stp/>
        <stp>BDP|11759767382650443377</stp>
        <tr r="V47" s="2"/>
      </tp>
      <tp t="s">
        <v>#N/A N/A</v>
        <stp/>
        <stp>BDP|17643204350644170976</stp>
        <tr r="V54" s="2"/>
      </tp>
      <tp t="s">
        <v>#N/A N/A</v>
        <stp/>
        <stp>BDP|16515837187642276930</stp>
        <tr r="N57" s="2"/>
      </tp>
      <tp t="s">
        <v>#N/A Requesting Data...1318614184</v>
        <stp/>
        <stp>BDP|16754922841046285069</stp>
        <tr r="AA346" s="3"/>
      </tp>
      <tp t="s">
        <v>#N/A Requesting Data...4055941827</v>
        <stp/>
        <stp>BDP|17069521233029753567</stp>
        <tr r="I50" s="3"/>
      </tp>
      <tp t="s">
        <v>#N/A Requesting Data...1753399943</v>
        <stp/>
        <stp>BDP|11298915973655282727</stp>
        <tr r="O43" s="4"/>
      </tp>
      <tp t="s">
        <v>#N/A Requesting Data...2389786315</v>
        <stp/>
        <stp>BDP|12019047337284233812</stp>
        <tr r="BH307" s="3"/>
      </tp>
      <tp t="s">
        <v>#N/A Requesting Data...2217843941</v>
        <stp/>
        <stp>BDP|16479857842011995693</stp>
        <tr r="BA24" s="3"/>
      </tp>
      <tp t="s">
        <v>#N/A Requesting Data...455522165</v>
        <stp/>
        <stp>BDP|11765138204379661451</stp>
        <tr r="BB229" s="3"/>
      </tp>
      <tp t="s">
        <v>#N/A Requesting Data...2993094238</v>
        <stp/>
        <stp>BDP|14238890730196836409</stp>
        <tr r="G43" s="4"/>
      </tp>
      <tp t="s">
        <v>#N/A Requesting Data...1962866367</v>
        <stp/>
        <stp>BDP|11243820366883151147</stp>
        <tr r="Y220" s="3"/>
      </tp>
      <tp t="s">
        <v>#N/A Requesting Data...3122817064</v>
        <stp/>
        <stp>BDP|11711982828575583213</stp>
        <tr r="BH71" s="3"/>
      </tp>
      <tp t="s">
        <v>#N/A Requesting Data...413232285</v>
        <stp/>
        <stp>BDP|18226024042783196205</stp>
        <tr r="K274" s="3"/>
      </tp>
      <tp t="s">
        <v>#N/A Requesting Data...1561051390</v>
        <stp/>
        <stp>BDP|14753717069601566990</stp>
        <tr r="BH207" s="3"/>
      </tp>
      <tp t="s">
        <v>#N/A Requesting Data...1708563480</v>
        <stp/>
        <stp>BDP|12557140782710163616</stp>
        <tr r="BG260" s="3"/>
      </tp>
      <tp t="s">
        <v>#N/A Requesting Data...953228837</v>
        <stp/>
        <stp>BDP|15738856025925596714</stp>
        <tr r="Y334" s="3"/>
      </tp>
      <tp t="s">
        <v>#N/A Requesting Data...1876647553</v>
        <stp/>
        <stp>BDP|17122986709236314506</stp>
        <tr r="K333" s="3"/>
      </tp>
      <tp t="s">
        <v>#N/A Requesting Data...2355932910</v>
        <stp/>
        <stp>BDP|12575644424528672306</stp>
        <tr r="Q7" s="3"/>
      </tp>
      <tp t="s">
        <v>#N/A Requesting Data...1312969643</v>
        <stp/>
        <stp>BDP|12500963605487513103</stp>
        <tr r="Y199" s="3"/>
      </tp>
      <tp t="s">
        <v>#N/A Requesting Data...2191435443</v>
        <stp/>
        <stp>BDP|10279746487266085431</stp>
        <tr r="BI30" s="3"/>
      </tp>
      <tp t="s">
        <v>#N/A N/A</v>
        <stp/>
        <stp>BDP|14762622346948809394</stp>
        <tr r="V48" s="2"/>
      </tp>
      <tp t="s">
        <v>#N/A Requesting Data...966197812</v>
        <stp/>
        <stp>BDP|16105921451264496342</stp>
        <tr r="AJ118" s="3"/>
      </tp>
      <tp t="s">
        <v>#N/A Requesting Data...1093130340</v>
        <stp/>
        <stp>BDP|16890310556075805854</stp>
        <tr r="Q97" s="3"/>
      </tp>
      <tp t="s">
        <v>#N/A Requesting Data...4008863107</v>
        <stp/>
        <stp>BDP|18395135252726164710</stp>
        <tr r="Q88" s="3"/>
      </tp>
      <tp t="s">
        <v>#N/A Requesting Data...1120729999</v>
        <stp/>
        <stp>BDP|15748148486478014975</stp>
        <tr r="BG115" s="3"/>
      </tp>
      <tp t="s">
        <v>#N/A Requesting Data...3474455422</v>
        <stp/>
        <stp>BDP|16783696249738249171</stp>
        <tr r="Y94" s="3"/>
      </tp>
      <tp t="s">
        <v>#N/A Requesting Data...1811010181</v>
        <stp/>
        <stp>BDP|16752672859010329886</stp>
        <tr r="BG59" s="3"/>
      </tp>
      <tp t="s">
        <v>#N/A N/A</v>
        <stp/>
        <stp>BDP|17090562590064719238</stp>
        <tr r="BF17" s="2"/>
      </tp>
      <tp t="s">
        <v>#N/A Requesting Data...3969559453</v>
        <stp/>
        <stp>BDP|16358879773842658633</stp>
        <tr r="BH15" s="3"/>
      </tp>
      <tp t="s">
        <v>#N/A Requesting Data...2732585856</v>
        <stp/>
        <stp>BDP|18027045177892693077</stp>
        <tr r="BH191" s="3"/>
      </tp>
      <tp t="s">
        <v>#N/A Requesting Data...885881490</v>
        <stp/>
        <stp>BDP|13287746354968858482</stp>
        <tr r="O28" s="3"/>
      </tp>
      <tp t="s">
        <v>#N/A Requesting Data...3530770722</v>
        <stp/>
        <stp>BDP|14657925781799461136</stp>
        <tr r="BG221" s="3"/>
      </tp>
      <tp t="s">
        <v>#N/A Requesting Data...2310719354</v>
        <stp/>
        <stp>BDP|13996641962937413994</stp>
        <tr r="Y242" s="3"/>
      </tp>
      <tp t="s">
        <v>#N/A Requesting Data...3671566209</v>
        <stp/>
        <stp>BDP|15722641470901439822</stp>
        <tr r="BG134" s="3"/>
      </tp>
      <tp t="s">
        <v>#N/A Requesting Data...3951000129</v>
        <stp/>
        <stp>BDP|15369988241132772781</stp>
        <tr r="K253" s="3"/>
      </tp>
      <tp t="s">
        <v>#N/A Requesting Data...3096694870</v>
        <stp/>
        <stp>BDP|15866318503409970264</stp>
        <tr r="P2" s="2"/>
        <tr r="I2" s="4"/>
        <tr r="K2" s="3"/>
      </tp>
      <tp t="s">
        <v>#N/A Requesting Data...713916094</v>
        <stp/>
        <stp>BDP|14183879613639995992</stp>
        <tr r="O321" s="3"/>
      </tp>
      <tp t="s">
        <v>#N/A N/A</v>
        <stp/>
        <stp>BDP|13090574110813357913</stp>
        <tr r="BF49" s="2"/>
      </tp>
      <tp t="s">
        <v>#N/A Requesting Data...2403748334</v>
        <stp/>
        <stp>BDP|17633721189787821206</stp>
        <tr r="AS276" s="3"/>
      </tp>
      <tp t="s">
        <v>#N/A Requesting Data...804238066</v>
        <stp/>
        <stp>BDP|10048517763556320843</stp>
        <tr r="Q295" s="3"/>
      </tp>
      <tp t="s">
        <v>#N/A Requesting Data...1716286711</v>
        <stp/>
        <stp>BDP|10625905334531151660</stp>
        <tr r="AA26" s="3"/>
      </tp>
      <tp t="s">
        <v>#N/A Requesting Data...4057967515</v>
        <stp/>
        <stp>BDP|18430210273796709641</stp>
        <tr r="AV6" s="2"/>
      </tp>
      <tp t="s">
        <v>#N/A Requesting Data...3691888840</v>
        <stp/>
        <stp>BDP|14412638122298074508</stp>
        <tr r="AJ309" s="3"/>
      </tp>
      <tp t="s">
        <v>#N/A Requesting Data...837775857</v>
        <stp/>
        <stp>BDP|15363092428829609307</stp>
        <tr r="BG60" s="3"/>
      </tp>
      <tp t="s">
        <v>#N/A Requesting Data...1480580378</v>
        <stp/>
        <stp>BDP|10972666069874073926</stp>
        <tr r="O117" s="3"/>
      </tp>
      <tp t="s">
        <v>#N/A Requesting Data...2781129124</v>
        <stp/>
        <stp>BDP|13466003168061197994</stp>
        <tr r="K176" s="3"/>
      </tp>
      <tp t="s">
        <v>#N/A N/A</v>
        <stp/>
        <stp>BDP|10294496841405907874</stp>
        <tr r="N94" s="2"/>
      </tp>
      <tp t="s">
        <v>#N/A Requesting Data...2826825136</v>
        <stp/>
        <stp>BDP|11112912573671338348</stp>
        <tr r="K93" s="3"/>
      </tp>
      <tp t="s">
        <v>#N/A Requesting Data...2965600611</v>
        <stp/>
        <stp>BDP|12321692173847878952</stp>
        <tr r="V71" s="2"/>
        <tr r="O36" s="4"/>
      </tp>
      <tp t="s">
        <v>#N/A Requesting Data...2692186657</v>
        <stp/>
        <stp>BDP|13772815370746712759</stp>
        <tr r="AA319" s="3"/>
      </tp>
      <tp t="s">
        <v>#N/A Requesting Data...2653479534</v>
        <stp/>
        <stp>BDP|15753374722818628107</stp>
        <tr r="AQ305" s="3"/>
      </tp>
      <tp t="s">
        <v>#N/A N/A</v>
        <stp/>
        <stp>BDP|17792505840162199928</stp>
        <tr r="BL32" s="2"/>
      </tp>
      <tp t="s">
        <v>#N/A Requesting Data...1069811230</v>
        <stp/>
        <stp>BDP|18084143267672790008</stp>
        <tr r="BI131" s="3"/>
      </tp>
      <tp t="s">
        <v>#N/A Requesting Data...2583054982</v>
        <stp/>
        <stp>BDP|13359320784420135501</stp>
        <tr r="BI161" s="3"/>
      </tp>
      <tp t="s">
        <v>#N/A Requesting Data...3345474047</v>
        <stp/>
        <stp>BDP|14455372871228678501</stp>
        <tr r="AQ123" s="3"/>
      </tp>
      <tp t="s">
        <v>#N/A Requesting Data...3638594699</v>
        <stp/>
        <stp>BDP|17950812742486997078</stp>
        <tr r="AH157" s="3"/>
      </tp>
      <tp t="s">
        <v>#N/A N/A</v>
        <stp/>
        <stp>BDP|14442961132940386376</stp>
        <tr r="AD47" s="2"/>
      </tp>
      <tp t="s">
        <v>#N/A N/A</v>
        <stp/>
        <stp>BDP|15093227190371765219</stp>
        <tr r="BL49" s="2"/>
      </tp>
      <tp t="s">
        <v>#N/A Requesting Data...3126693628</v>
        <stp/>
        <stp>BDP|17536552881446544100</stp>
        <tr r="BB32" s="3"/>
      </tp>
      <tp t="s">
        <v>#N/A Requesting Data...1998169214</v>
        <stp/>
        <stp>BDP|16754623131497038901</stp>
        <tr r="Q217" s="3"/>
      </tp>
      <tp t="s">
        <v>#N/A Requesting Data...2856443218</v>
        <stp/>
        <stp>BDP|13020476871784240907</stp>
        <tr r="BI206" s="3"/>
      </tp>
      <tp t="s">
        <v>#N/A Requesting Data...821993102</v>
        <stp/>
        <stp>BDP|17284808621247473732</stp>
        <tr r="Y165" s="3"/>
      </tp>
      <tp t="s">
        <v>#N/A N/A</v>
        <stp/>
        <stp>BDP|10936679188912224106</stp>
        <tr r="AX20" s="2"/>
      </tp>
      <tp t="s">
        <v>#N/A Requesting Data...3307230101</v>
        <stp/>
        <stp>BDP|15668550604714666951</stp>
        <tr r="AZ47" s="3"/>
      </tp>
      <tp t="s">
        <v>#N/A N/A</v>
        <stp/>
        <stp>BDP|12299467507078632318</stp>
        <tr r="BG37" s="2"/>
      </tp>
      <tp t="s">
        <v>#N/A Requesting Data...1045820933</v>
        <stp/>
        <stp>BDP|12663403319582310884</stp>
        <tr r="F324" s="3"/>
      </tp>
      <tp t="s">
        <v>#N/A Requesting Data...3525966870</v>
        <stp/>
        <stp>BDP|11228460455548763524</stp>
        <tr r="BA236" s="3"/>
      </tp>
      <tp t="s">
        <v>#N/A Requesting Data...1963434451</v>
        <stp/>
        <stp>BDP|17235946933868319829</stp>
        <tr r="AF20" s="4"/>
      </tp>
      <tp t="s">
        <v>#N/A N/A</v>
        <stp/>
        <stp>BDP|15644604793217340023</stp>
        <tr r="AM74" s="2"/>
      </tp>
      <tp t="s">
        <v>#N/A N/A</v>
        <stp/>
        <stp>BDP|15159308961464255968</stp>
        <tr r="BK82" s="2"/>
      </tp>
      <tp t="s">
        <v>#N/A Requesting Data...1074530352</v>
        <stp/>
        <stp>BDP|10739119383667562371</stp>
        <tr r="BG274" s="3"/>
      </tp>
      <tp t="s">
        <v>#N/A N/A</v>
        <stp/>
        <stp>BDP|14391686892746786099</stp>
        <tr r="AV66" s="2"/>
      </tp>
      <tp t="s">
        <v>#N/A Requesting Data...2493604855</v>
        <stp/>
        <stp>BDP|17533010506769297374</stp>
        <tr r="Y221" s="3"/>
      </tp>
      <tp t="s">
        <v>#N/A Requesting Data...4029144754</v>
        <stp/>
        <stp>BDP|16852775546610663888</stp>
        <tr r="BB67" s="3"/>
      </tp>
      <tp t="s">
        <v>#N/A Requesting Data...3021714095</v>
        <stp/>
        <stp>BDP|11430973440044296561</stp>
        <tr r="AS323" s="3"/>
      </tp>
      <tp t="s">
        <v>#N/A Requesting Data...4158598988</v>
        <stp/>
        <stp>BDP|11735266182205509319</stp>
        <tr r="BI109" s="3"/>
      </tp>
      <tp t="s">
        <v>#N/A Requesting Data...1713469346</v>
        <stp/>
        <stp>BDP|15149644285742507429</stp>
        <tr r="BA333" s="3"/>
      </tp>
      <tp t="s">
        <v>#N/A Requesting Data...2860647907</v>
        <stp/>
        <stp>BDP|17019910568540804569</stp>
        <tr r="Y31" s="4"/>
      </tp>
      <tp t="s">
        <v>#N/A Requesting Data...3067028293</v>
        <stp/>
        <stp>BDP|14639752120805723936</stp>
        <tr r="O224" s="3"/>
      </tp>
      <tp t="s">
        <v>#N/A Requesting Data...1445489050</v>
        <stp/>
        <stp>BDP|10117159475728117373</stp>
        <tr r="AQ61" s="3"/>
      </tp>
      <tp t="s">
        <v>#N/A Requesting Data...1562829909</v>
        <stp/>
        <stp>BDP|13920145048682497964</stp>
        <tr r="O253" s="3"/>
      </tp>
      <tp t="s">
        <v>#N/A Requesting Data...3623587374</v>
        <stp/>
        <stp>BDP|11182548934982210844</stp>
        <tr r="Q312" s="3"/>
      </tp>
      <tp t="s">
        <v>#N/A N/A</v>
        <stp/>
        <stp>BDP|15019779233239694550</stp>
        <tr r="AO43" s="2"/>
      </tp>
      <tp t="s">
        <v>#N/A N/A</v>
        <stp/>
        <stp>BDP|15133210947686127815</stp>
        <tr r="V50" s="2"/>
      </tp>
      <tp t="s">
        <v>#N/A Requesting Data...960982702</v>
        <stp/>
        <stp>BDP|10177424095762781269</stp>
        <tr r="BI125" s="3"/>
      </tp>
      <tp t="s">
        <v>#N/A Requesting Data...1677866090</v>
        <stp/>
        <stp>BDP|11733930805042361751</stp>
        <tr r="BG20" s="3"/>
      </tp>
      <tp t="s">
        <v>#N/A Requesting Data...3579365586</v>
        <stp/>
        <stp>BDP|12894126968111619924</stp>
        <tr r="F60" s="3"/>
      </tp>
      <tp t="s">
        <v>#N/A Requesting Data...3597605521</v>
        <stp/>
        <stp>BDP|13728532263229895491</stp>
        <tr r="I267" s="3"/>
      </tp>
      <tp t="s">
        <v>#N/A Requesting Data...2362091704</v>
        <stp/>
        <stp>BDP|17107000739088891160</stp>
        <tr r="Q203" s="3"/>
      </tp>
      <tp t="s">
        <v>#N/A Requesting Data...2718940332</v>
        <stp/>
        <stp>BDP|10786289817266833869</stp>
        <tr r="I312" s="3"/>
      </tp>
      <tp t="s">
        <v>#N/A Requesting Data...1471886592</v>
        <stp/>
        <stp>BDP|16204531281161777714</stp>
        <tr r="AJ142" s="3"/>
      </tp>
      <tp t="s">
        <v>#N/A Requesting Data...3166655963</v>
        <stp/>
        <stp>BDP|17008361620918230329</stp>
        <tr r="O203" s="3"/>
      </tp>
      <tp t="s">
        <v>#N/A Requesting Data...1744863163</v>
        <stp/>
        <stp>BDP|11816392399166904073</stp>
        <tr r="AS271" s="3"/>
      </tp>
      <tp t="s">
        <v>#N/A Requesting Data...664534960</v>
        <stp/>
        <stp>BDP|13069657766269010752</stp>
        <tr r="F109" s="3"/>
      </tp>
      <tp t="s">
        <v>#N/A Requesting Data...3764753869</v>
        <stp/>
        <stp>BDP|14133661901709762673</stp>
        <tr r="AJ59" s="3"/>
      </tp>
      <tp t="s">
        <v>#N/A Requesting Data...4086624849</v>
        <stp/>
        <stp>BDP|14567893649842495774</stp>
        <tr r="AQ135" s="3"/>
      </tp>
      <tp t="s">
        <v>#N/A Requesting Data...2110995378</v>
        <stp/>
        <stp>BDP|15639868945207079338</stp>
        <tr r="AZ293" s="3"/>
      </tp>
      <tp t="s">
        <v>#N/A Requesting Data...801014195</v>
        <stp/>
        <stp>BDP|13724412341477067917</stp>
        <tr r="BG327" s="3"/>
      </tp>
      <tp t="s">
        <v>#N/A Requesting Data...3069840666</v>
        <stp/>
        <stp>BDP|15760999228766254528</stp>
        <tr r="O265" s="3"/>
      </tp>
      <tp t="s">
        <v>#N/A Requesting Data...3515983249</v>
        <stp/>
        <stp>BDP|11947184687172632766</stp>
        <tr r="M48" s="4"/>
      </tp>
      <tp t="s">
        <v>#N/A Requesting Data...2618825964</v>
        <stp/>
        <stp>BDP|16319668110172435181</stp>
        <tr r="O146" s="3"/>
      </tp>
      <tp t="s">
        <v>#N/A N/A</v>
        <stp/>
        <stp>BDP|17653256508472498566</stp>
        <tr r="T92" s="2"/>
      </tp>
      <tp t="s">
        <v>#N/A N/A</v>
        <stp/>
        <stp>BDP|16984718674656362268</stp>
        <tr r="BF25" s="2"/>
      </tp>
      <tp t="s">
        <v>#N/A Requesting Data...1931006486</v>
        <stp/>
        <stp>BDP|12042038896069890049</stp>
        <tr r="BB340" s="3"/>
      </tp>
      <tp t="s">
        <v>#N/A Requesting Data...787187248</v>
        <stp/>
        <stp>BDP|12776892283877468707</stp>
        <tr r="I303" s="3"/>
      </tp>
      <tp t="s">
        <v>#N/A Requesting Data...4101600971</v>
        <stp/>
        <stp>BDP|14654783430081283352</stp>
        <tr r="I13" s="3"/>
      </tp>
      <tp t="s">
        <v>#N/A Requesting Data...2989688125</v>
        <stp/>
        <stp>BDP|17411586806364717447</stp>
        <tr r="AH58" s="4"/>
      </tp>
      <tp t="s">
        <v>#N/A Requesting Data...1591348757</v>
        <stp/>
        <stp>BDP|16889399724125458087</stp>
        <tr r="AZ342" s="3"/>
      </tp>
      <tp t="s">
        <v>#N/A Requesting Data...1772044443</v>
        <stp/>
        <stp>BDP|17894562492639682037</stp>
        <tr r="I77" s="3"/>
      </tp>
      <tp t="s">
        <v>#N/A N/A</v>
        <stp/>
        <stp>BDP|15812513661116818293</stp>
        <tr r="BM99" s="2"/>
      </tp>
      <tp t="s">
        <v>#N/A Requesting Data...1475164367</v>
        <stp/>
        <stp>BDP|12924564146548366934</stp>
        <tr r="F309" s="3"/>
      </tp>
      <tp t="s">
        <v>#N/A N/A</v>
        <stp/>
        <stp>BDP|11749984798747639484</stp>
        <tr r="AF85" s="2"/>
      </tp>
      <tp t="s">
        <v>#N/A Requesting Data...3013300939</v>
        <stp/>
        <stp>BDP|18127187372349458565</stp>
        <tr r="K114" s="3"/>
      </tp>
      <tp t="s">
        <v>#N/A Requesting Data...1773846645</v>
        <stp/>
        <stp>BDP|15759907018028370750</stp>
        <tr r="AQ35" s="3"/>
      </tp>
      <tp t="s">
        <v>#N/A Requesting Data...3919234966</v>
        <stp/>
        <stp>BDP|17533515507506221684</stp>
        <tr r="AA5" s="3"/>
      </tp>
      <tp t="s">
        <v>#N/A Requesting Data...1608512710</v>
        <stp/>
        <stp>BDP|16441117268542363174</stp>
        <tr r="AH181" s="3"/>
      </tp>
      <tp t="s">
        <v>#N/A Requesting Data...1642602501</v>
        <stp/>
        <stp>BDP|14792476277975664084</stp>
        <tr r="BA272" s="3"/>
      </tp>
      <tp t="s">
        <v>#N/A Requesting Data...1818226940</v>
        <stp/>
        <stp>BDP|18136905533934267483</stp>
        <tr r="AH244" s="3"/>
      </tp>
      <tp t="s">
        <v>#N/A N/A</v>
        <stp/>
        <stp>BDP|14206583236268619828</stp>
        <tr r="AV61" s="2"/>
      </tp>
      <tp t="s">
        <v>#N/A N/A</v>
        <stp/>
        <stp>BDP|17397010524060609786</stp>
        <tr r="AF67" s="2"/>
      </tp>
      <tp t="s">
        <v>#N/A Requesting Data...2874703261</v>
        <stp/>
        <stp>BDP|15228022489088071719</stp>
        <tr r="AQ255" s="3"/>
      </tp>
      <tp t="s">
        <v>#N/A Requesting Data...1602016534</v>
        <stp/>
        <stp>BDP|15999535066294557015</stp>
        <tr r="AS171" s="3"/>
      </tp>
      <tp t="s">
        <v>#N/A Requesting Data...1287646729</v>
        <stp/>
        <stp>BDP|14710734764331997611</stp>
        <tr r="BF29" s="3"/>
      </tp>
      <tp t="s">
        <v>#N/A Requesting Data...2222385089</v>
        <stp/>
        <stp>BDP|13047238602554052791</stp>
        <tr r="K145" s="3"/>
      </tp>
      <tp t="s">
        <v>#N/A Requesting Data...3360035710</v>
        <stp/>
        <stp>BDP|10753898242617410907</stp>
        <tr r="Q214" s="3"/>
      </tp>
      <tp t="s">
        <v>#N/A Requesting Data...1852464045</v>
        <stp/>
        <stp>BDP|18126923416690992242</stp>
        <tr r="I206" s="3"/>
      </tp>
      <tp t="s">
        <v>#N/A Requesting Data...1834644851</v>
        <stp/>
        <stp>BDP|11522134745040248691</stp>
        <tr r="BA268" s="3"/>
      </tp>
      <tp t="s">
        <v>#N/A Requesting Data...1365871064</v>
        <stp/>
        <stp>BDP|12452698343386049468</stp>
        <tr r="BF5" s="3"/>
      </tp>
      <tp t="s">
        <v>#N/A Requesting Data...2624264528</v>
        <stp/>
        <stp>BDP|16223969392993748797</stp>
        <tr r="BF322" s="3"/>
      </tp>
      <tp t="s">
        <v>#N/A N/A</v>
        <stp/>
        <stp>BDP|17276925147509748183</stp>
        <tr r="K40" s="2"/>
      </tp>
      <tp t="s">
        <v>#N/A Requesting Data...3185838235</v>
        <stp/>
        <stp>BDP|11695794206803675772</stp>
        <tr r="AZ119" s="3"/>
      </tp>
      <tp t="s">
        <v>#N/A Requesting Data...1870556848</v>
        <stp/>
        <stp>BDP|11340167688872596805</stp>
        <tr r="AA79" s="3"/>
      </tp>
      <tp t="s">
        <v>#N/A Requesting Data...2383284041</v>
        <stp/>
        <stp>BDP|11879756066882294015</stp>
        <tr r="AH210" s="3"/>
      </tp>
      <tp t="s">
        <v>#N/A Requesting Data...3144231453</v>
        <stp/>
        <stp>BDP|13280545203901993548</stp>
        <tr r="Y60" s="4"/>
      </tp>
      <tp t="s">
        <v>#N/A Requesting Data...4169574247</v>
        <stp/>
        <stp>BDP|17441590734352921180</stp>
        <tr r="F111" s="3"/>
      </tp>
      <tp t="s">
        <v>#N/A Requesting Data...4143278087</v>
        <stp/>
        <stp>BDP|15566292254218287815</stp>
        <tr r="AJ338" s="3"/>
      </tp>
      <tp t="s">
        <v>#N/A Requesting Data...2409964151</v>
        <stp/>
        <stp>BDP|11232455958397202568</stp>
        <tr r="Q219" s="3"/>
      </tp>
      <tp t="s">
        <v>#N/A N/A</v>
        <stp/>
        <stp>BDP|12027559668043500037</stp>
        <tr r="N82" s="2"/>
      </tp>
      <tp t="s">
        <v>#N/A Requesting Data...1238858338</v>
        <stp/>
        <stp>BDP|16135805548278395011</stp>
        <tr r="F14" s="3"/>
      </tp>
      <tp t="s">
        <v>#N/A Requesting Data...2832727935</v>
        <stp/>
        <stp>BDP|17522826402654817960</stp>
        <tr r="O33" s="3"/>
      </tp>
      <tp t="s">
        <v>#N/A Requesting Data...3018800132</v>
        <stp/>
        <stp>BDP|13982102654912544734</stp>
        <tr r="BI261" s="3"/>
      </tp>
      <tp t="s">
        <v>#N/A Requesting Data...4127075668</v>
        <stp/>
        <stp>BDP|12259206328691603176</stp>
        <tr r="Y113" s="3"/>
      </tp>
      <tp t="s">
        <v>#N/A N/A</v>
        <stp/>
        <stp>BDP|14423595249162658591</stp>
        <tr r="N76" s="2"/>
      </tp>
      <tp t="s">
        <v>#N/A Requesting Data...1605638650</v>
        <stp/>
        <stp>BDP|12752236069350729415</stp>
        <tr r="O62" s="3"/>
      </tp>
      <tp t="s">
        <v>#N/A Requesting Data...4115483024</v>
        <stp/>
        <stp>BDP|16504279513155895227</stp>
        <tr r="AA199" s="3"/>
      </tp>
      <tp t="s">
        <v>#N/A Requesting Data...1357045840</v>
        <stp/>
        <stp>BDP|13374241439601424117</stp>
        <tr r="O164" s="3"/>
      </tp>
      <tp t="s">
        <v>#N/A Requesting Data...1406208353</v>
        <stp/>
        <stp>BDP|11116094477453047740</stp>
        <tr r="BI323" s="3"/>
      </tp>
      <tp t="s">
        <v>#N/A Requesting Data...4025471341</v>
        <stp/>
        <stp>BDP|16615173120946215191</stp>
        <tr r="AH200" s="3"/>
      </tp>
      <tp t="s">
        <v>#N/A Requesting Data...3905831953</v>
        <stp/>
        <stp>BDP|14252986376978359055</stp>
        <tr r="F33" s="3"/>
      </tp>
      <tp t="s">
        <v>#N/A Requesting Data...3653283916</v>
        <stp/>
        <stp>BDP|16144838902654248884</stp>
        <tr r="AH59" s="4"/>
      </tp>
      <tp t="s">
        <v>#N/A Requesting Data...2715799178</v>
        <stp/>
        <stp>BDP|11043145290263728899</stp>
        <tr r="BG156" s="3"/>
      </tp>
      <tp t="s">
        <v>#N/A Requesting Data...3690203440</v>
        <stp/>
        <stp>BDP|11837209425341256254</stp>
        <tr r="AZ312" s="3"/>
      </tp>
      <tp t="s">
        <v>#N/A N/A</v>
        <stp/>
        <stp>BDP|14899746723082101140</stp>
        <tr r="AV52" s="2"/>
      </tp>
      <tp t="s">
        <v>#N/A Requesting Data...3526481106</v>
        <stp/>
        <stp>BDP|16388228008075242319</stp>
        <tr r="BI317" s="3"/>
      </tp>
      <tp t="s">
        <v>#N/A Requesting Data...3663253392</v>
        <stp/>
        <stp>BDP|17078514169924376211</stp>
        <tr r="AZ73" s="3"/>
      </tp>
      <tp t="s">
        <v>#N/A Requesting Data...2817740705</v>
        <stp/>
        <stp>BDP|13553084863027659027</stp>
        <tr r="BH87" s="3"/>
      </tp>
      <tp t="s">
        <v>#N/A Requesting Data...2601197601</v>
        <stp/>
        <stp>BDP|11823651106542116705</stp>
        <tr r="Q42" s="3"/>
      </tp>
      <tp t="s">
        <v>#N/A Requesting Data...4147505483</v>
        <stp/>
        <stp>BDP|17073236545373558096</stp>
        <tr r="BH242" s="3"/>
      </tp>
      <tp t="s">
        <v>#N/A Requesting Data...1554447895</v>
        <stp/>
        <stp>BDP|12132794637605715121</stp>
        <tr r="Y219" s="3"/>
      </tp>
      <tp t="s">
        <v>#N/A Requesting Data...1447691110</v>
        <stp/>
        <stp>BDP|15172808456289535389</stp>
        <tr r="AH6" s="3"/>
      </tp>
      <tp t="s">
        <v>#N/A N/A</v>
        <stp/>
        <stp>BDP|10522481083348435604</stp>
        <tr r="K66" s="2"/>
      </tp>
      <tp t="s">
        <v>#N/A Requesting Data...4134830467</v>
        <stp/>
        <stp>BDP|17067611024790765180</stp>
        <tr r="Y235" s="3"/>
      </tp>
      <tp t="s">
        <v>#N/A Requesting Data...1042273447</v>
        <stp/>
        <stp>BDP|17951668701163242013</stp>
        <tr r="K92" s="3"/>
      </tp>
      <tp t="s">
        <v>#N/A Requesting Data...2807372636</v>
        <stp/>
        <stp>BDP|14851632309955971563</stp>
        <tr r="Q139" s="3"/>
      </tp>
      <tp t="s">
        <v>#N/A Requesting Data...3244279531</v>
        <stp/>
        <stp>BDP|12781082606228245865</stp>
        <tr r="BG207" s="3"/>
      </tp>
      <tp t="s">
        <v>#N/A Requesting Data...2457726125</v>
        <stp/>
        <stp>BDP|17870629000700520322</stp>
        <tr r="K234" s="3"/>
      </tp>
      <tp t="s">
        <v>#N/A Requesting Data...3365225672</v>
        <stp/>
        <stp>BDP|18281947506303830051</stp>
        <tr r="AQ191" s="3"/>
      </tp>
      <tp t="s">
        <v>#N/A Requesting Data...4049736419</v>
        <stp/>
        <stp>BDP|17218367678290394123</stp>
        <tr r="Y21" s="3"/>
      </tp>
      <tp t="s">
        <v>#N/A Requesting Data...3858079821</v>
        <stp/>
        <stp>BDP|13403774994987900833</stp>
        <tr r="AH347" s="3"/>
      </tp>
      <tp t="s">
        <v>#N/A Requesting Data...2704132171</v>
        <stp/>
        <stp>BDP|14584489342872316414</stp>
        <tr r="BH100" s="3"/>
      </tp>
      <tp t="s">
        <v>#N/A Requesting Data...1482631524</v>
        <stp/>
        <stp>BDP|16171222910191703698</stp>
        <tr r="AJ226" s="3"/>
      </tp>
      <tp t="s">
        <v>#N/A Requesting Data...1590339033</v>
        <stp/>
        <stp>BDP|14831337566584965795</stp>
        <tr r="AH131" s="3"/>
      </tp>
      <tp t="s">
        <v>#N/A Requesting Data...1833563494</v>
        <stp/>
        <stp>BDP|15687746847982860600</stp>
        <tr r="AJ252" s="3"/>
      </tp>
      <tp t="s">
        <v>#N/A Requesting Data...2049193758</v>
        <stp/>
        <stp>BDP|11994674740824420576</stp>
        <tr r="F83" s="3"/>
      </tp>
      <tp t="s">
        <v>#N/A Requesting Data...3385292346</v>
        <stp/>
        <stp>BDP|10276383676681577745</stp>
        <tr r="Y102" s="3"/>
      </tp>
      <tp t="s">
        <v>#N/A Requesting Data...1871487826</v>
        <stp/>
        <stp>BDP|12955494612926689390</stp>
        <tr r="BA153" s="3"/>
      </tp>
      <tp t="s">
        <v>#N/A Requesting Data...3884776784</v>
        <stp/>
        <stp>BDP|16950775444274053370</stp>
        <tr r="AS115" s="3"/>
      </tp>
      <tp t="s">
        <v>#N/A Requesting Data...3334198625</v>
        <stp/>
        <stp>BDP|10843880468869230579</stp>
        <tr r="AH21" s="4"/>
      </tp>
      <tp t="s">
        <v>#N/A Requesting Data...3921284502</v>
        <stp/>
        <stp>BDP|15957098366262991323</stp>
        <tr r="AS67" s="3"/>
      </tp>
      <tp t="s">
        <v>#N/A Requesting Data...1255910459</v>
        <stp/>
        <stp>BDP|17978412507443721257</stp>
        <tr r="AS61" s="3"/>
      </tp>
      <tp t="s">
        <v>#N/A Requesting Data...2117726712</v>
        <stp/>
        <stp>BDP|18422172446966063997</stp>
        <tr r="BA165" s="3"/>
      </tp>
      <tp t="s">
        <v>#N/A Requesting Data...3157478235</v>
        <stp/>
        <stp>BDP|15014716950970406591</stp>
        <tr r="AA135" s="3"/>
      </tp>
      <tp t="s">
        <v>#N/A Requesting Data...3101694371</v>
        <stp/>
        <stp>BDP|15724186500313082531</stp>
        <tr r="AQ165" s="3"/>
      </tp>
      <tp t="s">
        <v>#N/A Requesting Data...1426469321</v>
        <stp/>
        <stp>BDP|14946285813385951074</stp>
        <tr r="BH292" s="3"/>
      </tp>
      <tp t="s">
        <v>#N/A Requesting Data...1793829863</v>
        <stp/>
        <stp>BDP|17163892883376531325</stp>
        <tr r="BF48" s="3"/>
      </tp>
      <tp t="s">
        <v>#N/A N/A</v>
        <stp/>
        <stp>BDP|14683337145922820345</stp>
        <tr r="N61" s="2"/>
      </tp>
      <tp t="s">
        <v>#N/A N/A</v>
        <stp/>
        <stp>BDP|14032273456279418893</stp>
        <tr r="P28" s="2"/>
      </tp>
      <tp t="s">
        <v>#N/A N/A</v>
        <stp/>
        <stp>BDP|13256733266460973025</stp>
        <tr r="BK45" s="2"/>
      </tp>
      <tp t="s">
        <v>#N/A N/A</v>
        <stp/>
        <stp>BDP|18208836645395877302</stp>
        <tr r="V70" s="2"/>
      </tp>
      <tp t="s">
        <v>#N/A Requesting Data...1830490316</v>
        <stp/>
        <stp>BDP|13742195432460848386</stp>
        <tr r="AA274" s="3"/>
      </tp>
      <tp t="s">
        <v>#N/A Requesting Data...2395463677</v>
        <stp/>
        <stp>BDP|13044287013644743606</stp>
        <tr r="W12" s="4"/>
      </tp>
      <tp t="s">
        <v>#N/A Requesting Data...3998468670</v>
        <stp/>
        <stp>BDP|15346783132396564507</stp>
        <tr r="Q322" s="3"/>
      </tp>
      <tp t="s">
        <v>#N/A Requesting Data...3220205831</v>
        <stp/>
        <stp>BDP|17328679848824242323</stp>
        <tr r="I344" s="3"/>
      </tp>
      <tp t="s">
        <v>#N/A N/A</v>
        <stp/>
        <stp>BDP|17241667059697274109</stp>
        <tr r="P27" s="2"/>
      </tp>
      <tp t="s">
        <v>#N/A N/A</v>
        <stp/>
        <stp>BDP|18108216939169348258</stp>
        <tr r="V45" s="2"/>
      </tp>
      <tp t="s">
        <v>#N/A Requesting Data...2643312948</v>
        <stp/>
        <stp>BDP|14673156843461776288</stp>
        <tr r="K177" s="3"/>
      </tp>
      <tp t="s">
        <v>#N/A Requesting Data...2366881623</v>
        <stp/>
        <stp>BDP|16619385270626288630</stp>
        <tr r="O95" s="3"/>
      </tp>
      <tp t="s">
        <v>#N/A Requesting Data...3862175312</v>
        <stp/>
        <stp>BDP|17327699637772308215</stp>
        <tr r="BA184" s="3"/>
      </tp>
      <tp t="s">
        <v>#N/A Requesting Data...2728528144</v>
        <stp/>
        <stp>BDP|12189307961495762084</stp>
        <tr r="O46" s="4"/>
        <tr r="Q258" s="3"/>
      </tp>
      <tp t="s">
        <v>#N/A Requesting Data...2184477687</v>
        <stp/>
        <stp>BDP|17044955502004196897</stp>
        <tr r="O57" s="4"/>
      </tp>
      <tp t="s">
        <v>#N/A Requesting Data...2771032803</v>
        <stp/>
        <stp>BDP|12244219468030331471</stp>
        <tr r="AZ118" s="3"/>
      </tp>
      <tp t="s">
        <v>#N/A Requesting Data...3374601412</v>
        <stp/>
        <stp>BDP|10229277401824831430</stp>
        <tr r="AZ204" s="3"/>
      </tp>
      <tp t="s">
        <v>#N/A Requesting Data...3467003279</v>
        <stp/>
        <stp>BDP|13187451768387146423</stp>
        <tr r="AS125" s="3"/>
      </tp>
      <tp t="s">
        <v>#N/A N/A</v>
        <stp/>
        <stp>BDP|18033272629849866393</stp>
        <tr r="AF89" s="2"/>
      </tp>
      <tp t="s">
        <v>#N/A Requesting Data...2012994361</v>
        <stp/>
        <stp>BDP|14325316214602179686</stp>
        <tr r="BG93" s="3"/>
      </tp>
      <tp t="s">
        <v>#N/A Requesting Data...3955756738</v>
        <stp/>
        <stp>BDP|11858048001905656643</stp>
        <tr r="Q202" s="3"/>
      </tp>
      <tp t="s">
        <v>#N/A Requesting Data...3068166147</v>
        <stp/>
        <stp>BDP|17334290621215760035</stp>
        <tr r="K308" s="3"/>
      </tp>
      <tp t="s">
        <v>#N/A Requesting Data...4244242275</v>
        <stp/>
        <stp>BDP|10205672960531234384</stp>
        <tr r="AQ179" s="3"/>
      </tp>
      <tp t="s">
        <v>#N/A N/A</v>
        <stp/>
        <stp>BDP|16506996859720315897</stp>
        <tr r="V38" s="2"/>
      </tp>
      <tp t="s">
        <v>#N/A N/A</v>
        <stp/>
        <stp>BDP|15432523229529922990</stp>
        <tr r="AV24" s="2"/>
      </tp>
      <tp t="s">
        <v>#N/A Requesting Data...2537713377</v>
        <stp/>
        <stp>BDP|15119404683242890958</stp>
        <tr r="BA143" s="3"/>
      </tp>
      <tp t="s">
        <v>#N/A N/A</v>
        <stp/>
        <stp>BDP|11158268828125337639</stp>
        <tr r="BL48" s="2"/>
      </tp>
      <tp t="s">
        <v>#N/A Requesting Data...1515932474</v>
        <stp/>
        <stp>BDP|17927294163847462692</stp>
        <tr r="BG255" s="3"/>
      </tp>
      <tp t="s">
        <v>#N/A N/A</v>
        <stp/>
        <stp>BDP|12861174545942371775</stp>
        <tr r="AD50" s="2"/>
      </tp>
      <tp t="s">
        <v>#N/A Requesting Data...1470521563</v>
        <stp/>
        <stp>BDP|11169331892739902079</stp>
        <tr r="AH67" s="3"/>
      </tp>
      <tp t="s">
        <v>#N/A Requesting Data...3588584926</v>
        <stp/>
        <stp>BDP|12909849695055657404</stp>
        <tr r="F163" s="3"/>
      </tp>
      <tp t="s">
        <v>#N/A N/A</v>
        <stp/>
        <stp>BDP|16914786433851906157</stp>
        <tr r="BL86" s="2"/>
      </tp>
      <tp t="s">
        <v>#N/A N/A</v>
        <stp/>
        <stp>BDP|15719694766980575735</stp>
        <tr r="AM92" s="2"/>
      </tp>
      <tp t="s">
        <v>#N/A N/A</v>
        <stp/>
        <stp>BDP|15609225335434646298</stp>
        <tr r="P51" s="2"/>
      </tp>
      <tp t="s">
        <v>#N/A N/A</v>
        <stp/>
        <stp>BDP|10771775762102990157</stp>
        <tr r="T76" s="2"/>
      </tp>
      <tp t="s">
        <v>#N/A Requesting Data...3806558822</v>
        <stp/>
        <stp>BDP|15591310794944754999</stp>
        <tr r="I347" s="3"/>
      </tp>
      <tp t="s">
        <v>#N/A Requesting Data...3778873875</v>
        <stp/>
        <stp>BDP|15655096874740426014</stp>
        <tr r="O6" s="3"/>
      </tp>
      <tp t="s">
        <v>#N/A N/A</v>
        <stp/>
        <stp>BDP|12267457444111568187</stp>
        <tr r="BE56" s="2"/>
      </tp>
      <tp t="s">
        <v>#N/A Requesting Data...4080566271</v>
        <stp/>
        <stp>BDP|16437526307422831375</stp>
        <tr r="O259" s="3"/>
      </tp>
      <tp t="s">
        <v>#N/A Requesting Data...1460547809</v>
        <stp/>
        <stp>BDP|11106483866246660773</stp>
        <tr r="AQ150" s="3"/>
      </tp>
      <tp t="s">
        <v>#N/A N/A</v>
        <stp/>
        <stp>BDP|14187165310205551331</stp>
        <tr r="AO97" s="2"/>
      </tp>
      <tp t="s">
        <v>#N/A Requesting Data...3256871617</v>
        <stp/>
        <stp>BDP|16180826341441270916</stp>
        <tr r="O65" s="3"/>
      </tp>
      <tp t="s">
        <v>#N/A Requesting Data...1624467727</v>
        <stp/>
        <stp>BDP|14202107858877305585</stp>
        <tr r="BI291" s="3"/>
      </tp>
      <tp t="s">
        <v>#N/A Requesting Data...3257348841</v>
        <stp/>
        <stp>BDP|12913579809093258647</stp>
        <tr r="BG294" s="3"/>
      </tp>
      <tp t="s">
        <v>#N/A Requesting Data...1771879214</v>
        <stp/>
        <stp>BDP|16212387407423592496</stp>
        <tr r="AS116" s="3"/>
      </tp>
      <tp t="s">
        <v>#N/A Requesting Data...2227973387</v>
        <stp/>
        <stp>BDP|11696545915366719113</stp>
        <tr r="AQ41" s="3"/>
      </tp>
      <tp t="s">
        <v>#N/A Requesting Data...2803875365</v>
        <stp/>
        <stp>BDP|17064175547631301128</stp>
        <tr r="BI221" s="3"/>
      </tp>
      <tp t="s">
        <v>#N/A Requesting Data...4239627393</v>
        <stp/>
        <stp>BDP|15478075333141348524</stp>
        <tr r="F12" s="3"/>
      </tp>
      <tp t="s">
        <v>#N/A N/A</v>
        <stp/>
        <stp>BDP|12629864271339005607</stp>
        <tr r="BF67" s="2"/>
      </tp>
      <tp t="s">
        <v>#N/A Requesting Data...2056701016</v>
        <stp/>
        <stp>BDP|14922526643457859017</stp>
        <tr r="Y144" s="3"/>
      </tp>
      <tp t="s">
        <v>#N/A Requesting Data...3951382698</v>
        <stp/>
        <stp>BDP|17589352139437890205</stp>
        <tr r="BA76" s="3"/>
      </tp>
      <tp t="s">
        <v>#N/A Requesting Data...1973914891</v>
        <stp/>
        <stp>BDP|12699544333012486444</stp>
        <tr r="AA155" s="3"/>
      </tp>
      <tp t="s">
        <v>#N/A Requesting Data...3294268651</v>
        <stp/>
        <stp>BDP|15823275165704329782</stp>
        <tr r="BG330" s="3"/>
      </tp>
      <tp t="s">
        <v>#N/A Requesting Data...2557808442</v>
        <stp/>
        <stp>BDP|13693029023833687000</stp>
        <tr r="BG97" s="3"/>
      </tp>
      <tp t="s">
        <v>#N/A Requesting Data...2373466242</v>
        <stp/>
        <stp>BDP|15369149867821664176</stp>
        <tr r="AJ126" s="3"/>
      </tp>
      <tp t="s">
        <v>#N/A Requesting Data...2206115283</v>
        <stp/>
        <stp>BDP|13669403112473027755</stp>
        <tr r="I339" s="3"/>
      </tp>
      <tp t="s">
        <v>#N/A N/A</v>
        <stp/>
        <stp>BDP|18044364095186000624</stp>
        <tr r="BK39" s="2"/>
      </tp>
      <tp t="s">
        <v>#N/A Requesting Data...2988623798</v>
        <stp/>
        <stp>BDP|16006227764367342745</stp>
        <tr r="BK10" s="2"/>
      </tp>
      <tp t="s">
        <v>#N/A N/A</v>
        <stp/>
        <stp>BDP|12630627234591139407</stp>
        <tr r="AV44" s="2"/>
      </tp>
      <tp t="s">
        <v>#N/A Requesting Data...4225980808</v>
        <stp/>
        <stp>BDP|15209252015123198731</stp>
        <tr r="AJ149" s="3"/>
      </tp>
      <tp t="s">
        <v>#N/A N/A</v>
        <stp/>
        <stp>BDP|14661139822721300442</stp>
        <tr r="T6" s="2"/>
      </tp>
      <tp t="s">
        <v>#N/A Requesting Data...2251730670</v>
        <stp/>
        <stp>BDP|11225677317952216604</stp>
        <tr r="O17" s="4"/>
      </tp>
      <tp t="s">
        <v>#N/A Requesting Data...4174967712</v>
        <stp/>
        <stp>BDP|15320693334986908477</stp>
        <tr r="BB156" s="3"/>
      </tp>
      <tp t="s">
        <v>#N/A Requesting Data...2129781428</v>
        <stp/>
        <stp>BDP|10027792158573000319</stp>
        <tr r="M3" s="4"/>
      </tp>
      <tp t="s">
        <v>#N/A Requesting Data...1754713873</v>
        <stp/>
        <stp>BDP|10509559977152597222</stp>
        <tr r="BB194" s="3"/>
      </tp>
      <tp t="s">
        <v>#N/A N/A</v>
        <stp/>
        <stp>BDP|18353359643089566408</stp>
        <tr r="BK29" s="2"/>
      </tp>
      <tp t="s">
        <v>#N/A Requesting Data...4081275562</v>
        <stp/>
        <stp>BDP|12363134406182760314</stp>
        <tr r="AZ176" s="3"/>
      </tp>
      <tp t="s">
        <v>#N/A Requesting Data...2078546130</v>
        <stp/>
        <stp>BDP|14772763967626402123</stp>
        <tr r="K259" s="3"/>
      </tp>
      <tp t="s">
        <v>#N/A N/A</v>
        <stp/>
        <stp>BDP|17876118024075964348</stp>
        <tr r="AM28" s="2"/>
      </tp>
      <tp t="s">
        <v>#N/A Requesting Data...1910397176</v>
        <stp/>
        <stp>BDP|15150136930394534172</stp>
        <tr r="BF52" s="3"/>
      </tp>
      <tp t="s">
        <v>#N/A Requesting Data...2447297221</v>
        <stp/>
        <stp>BDP|15793678416356644606</stp>
        <tr r="AS278" s="3"/>
      </tp>
      <tp t="s">
        <v>#N/A Requesting Data...2531771094</v>
        <stp/>
        <stp>BDP|16062128026820143752</stp>
        <tr r="AJ183" s="3"/>
      </tp>
      <tp t="s">
        <v>#N/A Requesting Data...2168007124</v>
        <stp/>
        <stp>BDP|17247273962109132863</stp>
        <tr r="Y344" s="3"/>
      </tp>
      <tp t="s">
        <v>#N/A Requesting Data...2708304133</v>
        <stp/>
        <stp>BDP|14079951626215624850</stp>
        <tr r="BB277" s="3"/>
      </tp>
      <tp t="s">
        <v>#N/A Requesting Data...2561767373</v>
        <stp/>
        <stp>BDP|14163201636687438034</stp>
        <tr r="AX55" s="4"/>
      </tp>
      <tp t="s">
        <v>#N/A Requesting Data...3866195248</v>
        <stp/>
        <stp>BDP|15843537688543793949</stp>
        <tr r="BA319" s="3"/>
      </tp>
      <tp t="s">
        <v>#N/A Requesting Data...2992525747</v>
        <stp/>
        <stp>BDP|13080251608430599380</stp>
        <tr r="BH206" s="3"/>
      </tp>
      <tp t="s">
        <v>#N/A N/A</v>
        <stp/>
        <stp>BDP|10461029178431878457</stp>
        <tr r="AO93" s="2"/>
      </tp>
      <tp t="s">
        <v>#N/A Requesting Data...2493917110</v>
        <stp/>
        <stp>BDP|15007366555960539156</stp>
        <tr r="Q223" s="3"/>
      </tp>
      <tp t="s">
        <v>#N/A Requesting Data...4006692538</v>
        <stp/>
        <stp>BDP|14618623222933599108</stp>
        <tr r="AJ78" s="3"/>
      </tp>
      <tp t="s">
        <v>#N/A Requesting Data...4198028386</v>
        <stp/>
        <stp>BDP|14845488711681770254</stp>
        <tr r="BB109" s="3"/>
      </tp>
      <tp t="s">
        <v>#N/A Requesting Data...2463520705</v>
        <stp/>
        <stp>BDP|15826666219086448609</stp>
        <tr r="BG341" s="3"/>
      </tp>
      <tp t="s">
        <v>#N/A N/A</v>
        <stp/>
        <stp>BDP|16982555519760425021</stp>
        <tr r="K80" s="2"/>
      </tp>
      <tp t="s">
        <v>#N/A N/A</v>
        <stp/>
        <stp>BDP|10990721274996994450</stp>
        <tr r="BM64" s="2"/>
      </tp>
      <tp t="s">
        <v>#N/A Requesting Data...4140176690</v>
        <stp/>
        <stp>BDP|13566374257892015563</stp>
        <tr r="O73" s="3"/>
      </tp>
      <tp t="s">
        <v>#N/A N/A</v>
        <stp/>
        <stp>BDP|17412745524998740806</stp>
        <tr r="AX74" s="2"/>
      </tp>
      <tp t="s">
        <v>#N/A Requesting Data...2303603236</v>
        <stp/>
        <stp>BDP|14912120386647666883</stp>
        <tr r="Y114" s="3"/>
      </tp>
      <tp t="s">
        <v>#N/A N/A</v>
        <stp/>
        <stp>BDP|13711889887975238493</stp>
        <tr r="AV92" s="2"/>
      </tp>
      <tp t="s">
        <v>#N/A Requesting Data...4173166082</v>
        <stp/>
        <stp>BDP|13328351496792721941</stp>
        <tr r="AS309" s="3"/>
      </tp>
      <tp t="s">
        <v>#N/A Requesting Data...3150876864</v>
        <stp/>
        <stp>BDP|10713042266756525231</stp>
        <tr r="Y3" s="4"/>
      </tp>
      <tp t="s">
        <v>#N/A Requesting Data...2797885763</v>
        <stp/>
        <stp>BDP|17612005139255902350</stp>
        <tr r="BI29" s="3"/>
      </tp>
      <tp t="s">
        <v>#N/A Requesting Data...3500845502</v>
        <stp/>
        <stp>BDP|14759268453713780267</stp>
        <tr r="AJ19" s="3"/>
      </tp>
      <tp t="s">
        <v>#N/A Requesting Data...2782640723</v>
        <stp/>
        <stp>BDP|13213779723284272066</stp>
        <tr r="F51" s="3"/>
      </tp>
      <tp t="s">
        <v>#N/A N/A</v>
        <stp/>
        <stp>BDP|16775922307368770578</stp>
        <tr r="BG53" s="2"/>
      </tp>
      <tp t="s">
        <v>#N/A Requesting Data...4065840260</v>
        <stp/>
        <stp>BDP|10925185220473192222</stp>
        <tr r="AQ82" s="3"/>
      </tp>
      <tp t="s">
        <v>#N/A Requesting Data...3715164881</v>
        <stp/>
        <stp>BDP|15170711210365788452</stp>
        <tr r="BG34" s="3"/>
      </tp>
      <tp t="s">
        <v>#N/A Requesting Data...3135827427</v>
        <stp/>
        <stp>BDP|11558253459666276299</stp>
        <tr r="AQ90" s="3"/>
      </tp>
      <tp t="s">
        <v>#N/A N/A</v>
        <stp/>
        <stp>BDP|13665148051237948286</stp>
        <tr r="AM61" s="2"/>
      </tp>
      <tp t="s">
        <v>#N/A Requesting Data...2422284205</v>
        <stp/>
        <stp>BDP|15776077061553182223</stp>
        <tr r="BH319" s="3"/>
      </tp>
      <tp t="s">
        <v>#N/A Requesting Data...3371102871</v>
        <stp/>
        <stp>BDP|12726043863161584775</stp>
        <tr r="BF144" s="3"/>
      </tp>
      <tp t="s">
        <v>#N/A Requesting Data...4148874230</v>
        <stp/>
        <stp>BDP|17781631198673642986</stp>
        <tr r="BA353" s="3"/>
      </tp>
      <tp t="s">
        <v>#N/A N/A</v>
        <stp/>
        <stp>BDP|12145707859476891422</stp>
        <tr r="V98" s="2"/>
      </tp>
      <tp t="s">
        <v>#N/A Requesting Data...2130837226</v>
        <stp/>
        <stp>BDP|13553206713704697621</stp>
        <tr r="BB99" s="3"/>
      </tp>
      <tp t="s">
        <v>#N/A Requesting Data...2169397575</v>
        <stp/>
        <stp>BDP|11394457056162586075</stp>
        <tr r="AH190" s="3"/>
      </tp>
      <tp t="s">
        <v>#N/A Requesting Data...2032761534</v>
        <stp/>
        <stp>BDP|15632718645820501451</stp>
        <tr r="AA262" s="3"/>
      </tp>
      <tp t="s">
        <v>#N/A Requesting Data...2993615048</v>
        <stp/>
        <stp>BDP|11817948620789967178</stp>
        <tr r="I216" s="3"/>
      </tp>
      <tp t="s">
        <v>#N/A N/A</v>
        <stp/>
        <stp>BDP|16241101472665324711</stp>
        <tr r="AV101" s="2"/>
      </tp>
      <tp t="s">
        <v>#N/A Requesting Data...3057879297</v>
        <stp/>
        <stp>BDP|11516760979720921312</stp>
        <tr r="AJ56" s="3"/>
      </tp>
      <tp t="s">
        <v>#N/A Requesting Data...3257808196</v>
        <stp/>
        <stp>BDP|13655466135000675612</stp>
        <tr r="AH36" s="3"/>
      </tp>
      <tp t="s">
        <v>#N/A Requesting Data...3463488488</v>
        <stp/>
        <stp>BDP|13312620664176303746</stp>
        <tr r="AJ34" s="3"/>
      </tp>
      <tp t="s">
        <v>#N/A Requesting Data...3959501268</v>
        <stp/>
        <stp>BDP|12311229776885132046</stp>
        <tr r="AH47" s="4"/>
      </tp>
      <tp t="s">
        <v>#N/A Requesting Data...2793324394</v>
        <stp/>
        <stp>BDP|10822625348355969596</stp>
        <tr r="O292" s="3"/>
      </tp>
      <tp t="s">
        <v>#N/A Requesting Data...3473417403</v>
        <stp/>
        <stp>BDP|12591750641423146052</stp>
        <tr r="O274" s="3"/>
      </tp>
      <tp t="s">
        <v>#N/A Requesting Data...4237368557</v>
        <stp/>
        <stp>BDP|13567899290812990204</stp>
        <tr r="BN5" s="2"/>
      </tp>
      <tp t="s">
        <v>#N/A N/A</v>
        <stp/>
        <stp>BDP|15965041019577738168</stp>
        <tr r="BN50" s="2"/>
      </tp>
      <tp t="s">
        <v>#N/A Requesting Data...3963814213</v>
        <stp/>
        <stp>BDP|14159706835215294731</stp>
        <tr r="BB326" s="3"/>
      </tp>
      <tp t="s">
        <v>#N/A Requesting Data...3541901608</v>
        <stp/>
        <stp>BDP|15277544050133186423</stp>
        <tr r="AQ25" s="4"/>
      </tp>
      <tp t="s">
        <v>#N/A Requesting Data...3833766845</v>
        <stp/>
        <stp>BDP|16226963100234381923</stp>
        <tr r="BF229" s="3"/>
      </tp>
      <tp t="s">
        <v>#N/A N/A</v>
        <stp/>
        <stp>BDP|14621120611295877388</stp>
        <tr r="BM49" s="2"/>
      </tp>
      <tp t="s">
        <v>#N/A Requesting Data...4190305959</v>
        <stp/>
        <stp>BDP|16543556818111982145</stp>
        <tr r="AS327" s="3"/>
      </tp>
      <tp t="s">
        <v>#N/A Requesting Data...3386658370</v>
        <stp/>
        <stp>BDP|10730048721731632111</stp>
        <tr r="Y154" s="3"/>
      </tp>
      <tp t="s">
        <v>#N/A Requesting Data...2884332952</v>
        <stp/>
        <stp>BDP|10909300785250886917</stp>
        <tr r="BB115" s="3"/>
      </tp>
      <tp t="s">
        <v>#N/A Requesting Data...2630302016</v>
        <stp/>
        <stp>BDP|18258023728068535086</stp>
        <tr r="AV22" s="2"/>
        <tr r="AO15" s="4"/>
      </tp>
      <tp t="s">
        <v>#N/A Requesting Data...2835549543</v>
        <stp/>
        <stp>BDP|15108414972087576320</stp>
        <tr r="AS51" s="3"/>
      </tp>
      <tp t="s">
        <v>#N/A Requesting Data...3071636214</v>
        <stp/>
        <stp>BDP|17356078294649209579</stp>
        <tr r="AZ175" s="3"/>
      </tp>
      <tp t="s">
        <v>#N/A Requesting Data...3898502017</v>
        <stp/>
        <stp>BDP|17178352644255159740</stp>
        <tr r="AZ148" s="3"/>
      </tp>
      <tp t="s">
        <v>#N/A Requesting Data...4095986237</v>
        <stp/>
        <stp>BDP|17695064151821704135</stp>
        <tr r="AS302" s="3"/>
      </tp>
      <tp t="s">
        <v>#N/A Requesting Data...4129906369</v>
        <stp/>
        <stp>BDP|15451365874485361605</stp>
        <tr r="AH194" s="3"/>
      </tp>
      <tp t="s">
        <v>#N/A Requesting Data...3455978257</v>
        <stp/>
        <stp>BDP|11687814654619584734</stp>
        <tr r="AS215" s="3"/>
      </tp>
      <tp t="s">
        <v>#N/A Requesting Data...3886151444</v>
        <stp/>
        <stp>BDP|13555092108550501144</stp>
        <tr r="I230" s="3"/>
      </tp>
      <tp t="s">
        <v>#N/A Requesting Data...3813166100</v>
        <stp/>
        <stp>BDP|11301454749615304694</stp>
        <tr r="AA146" s="3"/>
      </tp>
      <tp t="s">
        <v>#N/A Requesting Data...2199210301</v>
        <stp/>
        <stp>BDP|15628451165537230210</stp>
        <tr r="K126" s="3"/>
      </tp>
      <tp t="s">
        <v>#N/A Requesting Data...2243118683</v>
        <stp/>
        <stp>BDP|14098269364386657412</stp>
        <tr r="K305" s="3"/>
      </tp>
      <tp t="s">
        <v>#N/A Requesting Data...3102951839</v>
        <stp/>
        <stp>BDP|11052423935580112429</stp>
        <tr r="Q169" s="3"/>
      </tp>
      <tp t="s">
        <v>#N/A Requesting Data...3608299654</v>
        <stp/>
        <stp>BDP|12335208503794355671</stp>
        <tr r="BA29" s="3"/>
      </tp>
      <tp t="s">
        <v>#N/A Requesting Data...3850296480</v>
        <stp/>
        <stp>BDP|15083164952285244622</stp>
        <tr r="BF109" s="3"/>
      </tp>
      <tp t="s">
        <v>#N/A N/A</v>
        <stp/>
        <stp>BDP|13198734657112911181</stp>
        <tr r="BG34" s="2"/>
      </tp>
      <tp t="s">
        <v>#N/A Requesting Data...3648733951</v>
        <stp/>
        <stp>BDP|14786529147873216449</stp>
        <tr r="Q46" s="3"/>
      </tp>
      <tp t="s">
        <v>#N/A Requesting Data...2929438366</v>
        <stp/>
        <stp>BDP|10869945433691806934</stp>
        <tr r="AJ331" s="3"/>
      </tp>
      <tp t="s">
        <v>#N/A Requesting Data...2495274621</v>
        <stp/>
        <stp>BDP|16633748381658448339</stp>
        <tr r="AQ317" s="3"/>
      </tp>
      <tp t="s">
        <v>#N/A Requesting Data...4217077926</v>
        <stp/>
        <stp>BDP|17512543340475263170</stp>
        <tr r="BB25" s="3"/>
      </tp>
      <tp t="s">
        <v>#N/A N/A</v>
        <stp/>
        <stp>BDP|16561356185729040613</stp>
        <tr r="BF47" s="2"/>
      </tp>
      <tp t="s">
        <v>#N/A Requesting Data...3767278347</v>
        <stp/>
        <stp>BDP|11844695672706197468</stp>
        <tr r="AA9" s="3"/>
      </tp>
      <tp t="s">
        <v>#N/A Requesting Data...2698393457</v>
        <stp/>
        <stp>BDP|12957776023742050797</stp>
        <tr r="F16" s="3"/>
      </tp>
      <tp t="s">
        <v>#N/A Requesting Data...3228982738</v>
        <stp/>
        <stp>BDP|15873135151573817060</stp>
        <tr r="N10" s="2"/>
      </tp>
      <tp t="s">
        <v>#N/A Requesting Data...2615560619</v>
        <stp/>
        <stp>BDP|18136149167498381553</stp>
        <tr r="AZ246" s="3"/>
      </tp>
      <tp t="s">
        <v>#N/A Requesting Data...4279141710</v>
        <stp/>
        <stp>BDP|10000836400563101966</stp>
        <tr r="BH116" s="3"/>
      </tp>
      <tp t="s">
        <v>#N/A Requesting Data...3185756187</v>
        <stp/>
        <stp>BDP|12821001766061998701</stp>
        <tr r="AH339" s="3"/>
      </tp>
      <tp t="s">
        <v>#N/A Requesting Data...2370961747</v>
        <stp/>
        <stp>BDP|12713954986860447172</stp>
        <tr r="BI91" s="3"/>
      </tp>
      <tp t="s">
        <v>#N/A N/A</v>
        <stp/>
        <stp>BDP|13209953497580158169</stp>
        <tr r="AD74" s="2"/>
      </tp>
      <tp t="s">
        <v>#N/A Requesting Data...4294488490</v>
        <stp/>
        <stp>BDP|11214882031061899943</stp>
        <tr r="F218" s="3"/>
      </tp>
      <tp t="s">
        <v>#N/A N/A</v>
        <stp/>
        <stp>BDP|17452261766871534060</stp>
        <tr r="AD70" s="2"/>
      </tp>
      <tp t="s">
        <v>#N/A Requesting Data...2887218141</v>
        <stp/>
        <stp>BDP|13938779637082751791</stp>
        <tr r="BI205" s="3"/>
      </tp>
      <tp t="s">
        <v>#N/A Requesting Data...4102838669</v>
        <stp/>
        <stp>BDP|15933743009361457178</stp>
        <tr r="F298" s="3"/>
      </tp>
      <tp t="s">
        <v>#N/A Requesting Data...3748014127</v>
        <stp/>
        <stp>BDP|10636162306892755161</stp>
        <tr r="O35" s="3"/>
      </tp>
      <tp t="s">
        <v>#N/A Requesting Data...2942833543</v>
        <stp/>
        <stp>BDP|12424659650403257047</stp>
        <tr r="BN3" s="2"/>
        <tr r="BI316" s="3"/>
      </tp>
      <tp t="s">
        <v>#N/A Requesting Data...3237973336</v>
        <stp/>
        <stp>BDP|11731176415191388210</stp>
        <tr r="BA117" s="3"/>
      </tp>
      <tp t="s">
        <v>#N/A Requesting Data...3556716282</v>
        <stp/>
        <stp>BDP|14109089364743247389</stp>
        <tr r="BF297" s="3"/>
      </tp>
      <tp t="s">
        <v>#N/A Requesting Data...2405509650</v>
        <stp/>
        <stp>BDP|18258952471524146005</stp>
        <tr r="AQ104" s="3"/>
      </tp>
      <tp t="s">
        <v>#N/A Requesting Data...3107547755</v>
        <stp/>
        <stp>BDP|11332675502683674674</stp>
        <tr r="AZ64" s="3"/>
      </tp>
      <tp t="s">
        <v>#N/A Requesting Data...3987878634</v>
        <stp/>
        <stp>BDP|16160163358678921812</stp>
        <tr r="Y79" s="3"/>
      </tp>
      <tp t="s">
        <v>#N/A Requesting Data...3123674784</v>
        <stp/>
        <stp>BDP|15274503658136823154</stp>
        <tr r="BA310" s="3"/>
      </tp>
      <tp t="s">
        <v>#N/A Requesting Data...2541165701</v>
        <stp/>
        <stp>BDP|17916884696784322032</stp>
        <tr r="BA186" s="3"/>
      </tp>
      <tp t="s">
        <v>#N/A Requesting Data...2721126363</v>
        <stp/>
        <stp>BDP|14595038172354424572</stp>
        <tr r="K70" s="3"/>
      </tp>
      <tp t="s">
        <v>#N/A N/A</v>
        <stp/>
        <stp>BDP|15196957484225670319</stp>
        <tr r="BL64" s="2"/>
      </tp>
      <tp t="s">
        <v>#N/A Requesting Data...2467364650</v>
        <stp/>
        <stp>BDP|17325463504876188770</stp>
        <tr r="AZ310" s="3"/>
      </tp>
      <tp t="s">
        <v>#N/A Requesting Data...2733949673</v>
        <stp/>
        <stp>BDP|17615312854595206667</stp>
        <tr r="AJ57" s="3"/>
      </tp>
      <tp t="s">
        <v>#N/A Requesting Data...2946040355</v>
        <stp/>
        <stp>BDP|15376759147311056568</stp>
        <tr r="BB60" s="3"/>
      </tp>
      <tp t="s">
        <v>#N/A N/A</v>
        <stp/>
        <stp>BDP|16552828087987267354</stp>
        <tr r="BN60" s="2"/>
      </tp>
      <tp t="s">
        <v>#N/A Requesting Data...3403276160</v>
        <stp/>
        <stp>BDP|17820758148227369118</stp>
        <tr r="AH51" s="4"/>
      </tp>
      <tp t="s">
        <v>#N/A Requesting Data...3002042605</v>
        <stp/>
        <stp>BDP|15712656374080139602</stp>
        <tr r="AQ290" s="3"/>
      </tp>
      <tp t="s">
        <v>#N/A Requesting Data...4108840014</v>
        <stp/>
        <stp>BDP|14413262412560208552</stp>
        <tr r="I136" s="3"/>
      </tp>
      <tp t="s">
        <v>#N/A Requesting Data...2910592197</v>
        <stp/>
        <stp>BDP|11133919181161132363</stp>
        <tr r="K295" s="3"/>
      </tp>
      <tp t="s">
        <v>#N/A N/A</v>
        <stp/>
        <stp>BDP|11635536460261053138</stp>
        <tr r="BE12" s="2"/>
      </tp>
      <tp t="s">
        <v>#N/A Requesting Data...2789134998</v>
        <stp/>
        <stp>BDP|15678735515842563335</stp>
        <tr r="Y47" s="4"/>
      </tp>
      <tp t="s">
        <v>#N/A Requesting Data...3724248682</v>
        <stp/>
        <stp>BDP|18353424986774976289</stp>
        <tr r="BI202" s="3"/>
      </tp>
      <tp t="s">
        <v>#N/A Requesting Data...2979310209</v>
        <stp/>
        <stp>BDP|10354411807781752749</stp>
        <tr r="K209" s="3"/>
      </tp>
      <tp t="s">
        <v>#N/A Requesting Data...2930599511</v>
        <stp/>
        <stp>BDP|12284359551995959393</stp>
        <tr r="AS210" s="3"/>
      </tp>
      <tp t="s">
        <v>#N/A Requesting Data...3200257812</v>
        <stp/>
        <stp>BDP|13775980197949880868</stp>
        <tr r="O40" s="3"/>
      </tp>
      <tp t="s">
        <v>#N/A Requesting Data...3496633064</v>
        <stp/>
        <stp>BDP|16310219615691956686</stp>
        <tr r="AJ243" s="3"/>
      </tp>
      <tp t="s">
        <v>#N/A Requesting Data...4208080670</v>
        <stp/>
        <stp>BDP|17629689318373337136</stp>
        <tr r="AQ214" s="3"/>
      </tp>
      <tp t="s">
        <v>#N/A Requesting Data...2467779046</v>
        <stp/>
        <stp>BDP|17976152278290087323</stp>
        <tr r="BI77" s="3"/>
      </tp>
      <tp t="s">
        <v>#N/A N/A</v>
        <stp/>
        <stp>BDP|10460470903552331453</stp>
        <tr r="BE21" s="2"/>
      </tp>
      <tp t="s">
        <v>#N/A Requesting Data...3403597134</v>
        <stp/>
        <stp>BDP|14578541533503032343</stp>
        <tr r="BF329" s="3"/>
      </tp>
      <tp t="s">
        <v>#N/A Requesting Data...2866144625</v>
        <stp/>
        <stp>BDP|15685947910927324877</stp>
        <tr r="Y99" s="3"/>
      </tp>
      <tp t="s">
        <v>#N/A Requesting Data...2593017167</v>
        <stp/>
        <stp>BDP|12112390357317817110</stp>
        <tr r="AA253" s="3"/>
      </tp>
      <tp t="s">
        <v>#N/A N/A</v>
        <stp/>
        <stp>BDP|18089000823240399861</stp>
        <tr r="AF52" s="2"/>
      </tp>
      <tp t="s">
        <v>#N/A Requesting Data...2724516659</v>
        <stp/>
        <stp>BDP|18114049806258712229</stp>
        <tr r="BF215" s="3"/>
      </tp>
      <tp t="s">
        <v>#N/A Requesting Data...3402392871</v>
        <stp/>
        <stp>BDP|17508038804860571515</stp>
        <tr r="AJ115" s="3"/>
      </tp>
      <tp t="s">
        <v>#N/A N/A</v>
        <stp/>
        <stp>BDP|14920681710734759500</stp>
        <tr r="BG41" s="2"/>
      </tp>
      <tp t="s">
        <v>#N/A N/A</v>
        <stp/>
        <stp>BDP|14499688348643356713</stp>
        <tr r="BL101" s="2"/>
      </tp>
      <tp t="s">
        <v>#N/A Requesting Data...3799822252</v>
        <stp/>
        <stp>BDP|12114003137772143110</stp>
        <tr r="AZ331" s="3"/>
      </tp>
      <tp t="s">
        <v>#N/A Requesting Data...2492805155</v>
        <stp/>
        <stp>BDP|14112206953128652923</stp>
        <tr r="I70" s="3"/>
      </tp>
      <tp t="s">
        <v>#N/A Requesting Data...3602767482</v>
        <stp/>
        <stp>BDP|13921022503026729795</stp>
        <tr r="F225" s="3"/>
      </tp>
      <tp t="s">
        <v>#N/A Requesting Data...3525404522</v>
        <stp/>
        <stp>BDP|17639590272040914724</stp>
        <tr r="K330" s="3"/>
      </tp>
      <tp t="s">
        <v>#N/A Requesting Data...3595670586</v>
        <stp/>
        <stp>BDP|17853022674672038087</stp>
        <tr r="AS320" s="3"/>
      </tp>
      <tp t="s">
        <v>#N/A Requesting Data...2973293473</v>
        <stp/>
        <stp>BDP|10821629052876927774</stp>
        <tr r="BB114" s="3"/>
      </tp>
      <tp t="s">
        <v>#N/A Requesting Data...3221709073</v>
        <stp/>
        <stp>BDP|14050182956384933612</stp>
        <tr r="BB48" s="3"/>
      </tp>
      <tp t="s">
        <v>#N/A Requesting Data...3734075440</v>
        <stp/>
        <stp>BDP|15150834744118329336</stp>
        <tr r="I3" s="4"/>
      </tp>
      <tp t="s">
        <v>#N/A Requesting Data...3674652297</v>
        <stp/>
        <stp>BDP|11234093150777194035</stp>
        <tr r="BG71" s="3"/>
      </tp>
      <tp t="s">
        <v>#N/A Requesting Data...4102220455</v>
        <stp/>
        <stp>BDP|11571361948215481066</stp>
        <tr r="Y40" s="4"/>
      </tp>
      <tp t="s">
        <v>#N/A Requesting Data...3594337783</v>
        <stp/>
        <stp>BDP|17539038297184862903</stp>
        <tr r="BG185" s="3"/>
      </tp>
      <tp t="s">
        <v>#N/A Requesting Data...3144722681</v>
        <stp/>
        <stp>BDP|13604502873764929658</stp>
        <tr r="Q353" s="3"/>
      </tp>
      <tp t="s">
        <v>#N/A N/A</v>
        <stp/>
        <stp>BDP|12470592712786177379</stp>
        <tr r="AO74" s="2"/>
      </tp>
      <tp t="s">
        <v>#N/A Requesting Data...2623381090</v>
        <stp/>
        <stp>BDP|13525751636130865478</stp>
        <tr r="BI234" s="3"/>
      </tp>
      <tp t="s">
        <v>#N/A Requesting Data...4127419980</v>
        <stp/>
        <stp>BDP|14267288291565336914</stp>
        <tr r="BF340" s="3"/>
      </tp>
      <tp t="s">
        <v>#N/A N/A</v>
        <stp/>
        <stp>BDP|15280226198844195903</stp>
        <tr r="AD62" s="2"/>
      </tp>
      <tp t="s">
        <v>#N/A Requesting Data...4217615385</v>
        <stp/>
        <stp>BDP|14124128255647941464</stp>
        <tr r="AQ154" s="3"/>
      </tp>
      <tp t="s">
        <v>#N/A Requesting Data...4225294977</v>
        <stp/>
        <stp>BDP|17868232418667289086</stp>
        <tr r="W13" s="4"/>
      </tp>
      <tp t="s">
        <v>#N/A Requesting Data...2966195320</v>
        <stp/>
        <stp>BDP|12687401969695698605</stp>
        <tr r="AS155" s="3"/>
      </tp>
      <tp t="s">
        <v>#N/A Requesting Data...3312059518</v>
        <stp/>
        <stp>BDP|10780383422782292066</stp>
        <tr r="AH265" s="3"/>
      </tp>
      <tp t="s">
        <v>#N/A Requesting Data...2802640959</v>
        <stp/>
        <stp>BDP|10242849986896049592</stp>
        <tr r="F129" s="3"/>
      </tp>
      <tp t="s">
        <v>#N/A Requesting Data...3421708131</v>
        <stp/>
        <stp>BDP|17514544808356015706</stp>
        <tr r="BB61" s="3"/>
      </tp>
      <tp t="s">
        <v>#N/A Requesting Data...3945895899</v>
        <stp/>
        <stp>BDP|16050241258557719520</stp>
        <tr r="AX47" s="4"/>
      </tp>
      <tp t="s">
        <v>#N/A N/A</v>
        <stp/>
        <stp>BDP|16162000835763947543</stp>
        <tr r="BE27" s="2"/>
      </tp>
      <tp t="s">
        <v>#N/A N/A</v>
        <stp/>
        <stp>BDP|15018203238220940781</stp>
        <tr r="BL78" s="2"/>
      </tp>
      <tp t="s">
        <v>#N/A Requesting Data...3532138485</v>
        <stp/>
        <stp>BDP|12592898601260129954</stp>
        <tr r="AM3" s="2"/>
        <tr r="AH316" s="3"/>
      </tp>
      <tp t="s">
        <v>#N/A N/A</v>
        <stp/>
        <stp>BDP|12014537529184666255</stp>
        <tr r="AM94" s="2"/>
      </tp>
      <tp t="s">
        <v>#N/A Requesting Data...3813332164</v>
        <stp/>
        <stp>BDP|11864324061896475177</stp>
        <tr r="AA330" s="3"/>
      </tp>
      <tp t="s">
        <v>#N/A Requesting Data...4195211781</v>
        <stp/>
        <stp>BDP|12018788496186399959</stp>
        <tr r="BF277" s="3"/>
      </tp>
      <tp t="s">
        <v>#N/A Requesting Data...4027159267</v>
        <stp/>
        <stp>BDP|14504136213404899353</stp>
        <tr r="Q156" s="3"/>
      </tp>
      <tp t="s">
        <v>#N/A N/A</v>
        <stp/>
        <stp>BDP|12977354906224198637</stp>
        <tr r="BM73" s="2"/>
      </tp>
      <tp t="s">
        <v>#N/A Requesting Data...3859401481</v>
        <stp/>
        <stp>BDP|11700220329143280165</stp>
        <tr r="BH287" s="3"/>
      </tp>
      <tp t="s">
        <v>#N/A Requesting Data...3991095961</v>
        <stp/>
        <stp>BDP|17876793446663672499</stp>
        <tr r="BI214" s="3"/>
      </tp>
      <tp t="s">
        <v>#N/A N/A</v>
        <stp/>
        <stp>BDP|17702320166546340782</stp>
        <tr r="AM11" s="2"/>
      </tp>
      <tp t="s">
        <v>#N/A Requesting Data...3039237904</v>
        <stp/>
        <stp>BDP|13242195479432209487</stp>
        <tr r="AQ81" s="3"/>
      </tp>
      <tp t="s">
        <v>#N/A Requesting Data...3269237865</v>
        <stp/>
        <stp>BDP|15793686526526221439</stp>
        <tr r="Y257" s="3"/>
      </tp>
      <tp t="s">
        <v>#N/A Requesting Data...3823830736</v>
        <stp/>
        <stp>BDP|10769355369132519462</stp>
        <tr r="BI59" s="3"/>
      </tp>
      <tp t="s">
        <v>#N/A Requesting Data...2765423301</v>
        <stp/>
        <stp>BDP|12699974627953946977</stp>
        <tr r="Y4" s="4"/>
      </tp>
      <tp t="s">
        <v>#N/A Requesting Data...3269943141</v>
        <stp/>
        <stp>BDP|17032276658480373342</stp>
        <tr r="D27" s="4"/>
      </tp>
      <tp t="s">
        <v>#N/A Requesting Data...3324689356</v>
        <stp/>
        <stp>BDP|13316782374981186166</stp>
        <tr r="AZ319" s="3"/>
      </tp>
      <tp t="s">
        <v>#N/A Requesting Data...3075260844</v>
        <stp/>
        <stp>BDP|12936801788906842725</stp>
        <tr r="AS240" s="3"/>
      </tp>
      <tp t="s">
        <v>#N/A Requesting Data...2730644546</v>
        <stp/>
        <stp>BDP|11995621364494450600</stp>
        <tr r="G22" s="4"/>
      </tp>
      <tp t="s">
        <v>#N/A N/A</v>
        <stp/>
        <stp>BDP|11966556167733781276</stp>
        <tr r="BK27" s="2"/>
      </tp>
      <tp t="s">
        <v>#N/A Requesting Data...3382121836</v>
        <stp/>
        <stp>BDP|13141578601384868140</stp>
        <tr r="AH72" s="3"/>
      </tp>
      <tp t="s">
        <v>#N/A Requesting Data...4089670585</v>
        <stp/>
        <stp>BDP|11905438076744026572</stp>
        <tr r="F22" s="3"/>
      </tp>
      <tp t="s">
        <v>#N/A Requesting Data...3751894830</v>
        <stp/>
        <stp>BDP|15135274299685645828</stp>
        <tr r="BB42" s="3"/>
      </tp>
      <tp t="s">
        <v>#N/A N/A</v>
        <stp/>
        <stp>BDP|16270290371331193101</stp>
        <tr r="BN83" s="2"/>
      </tp>
      <tp t="s">
        <v>#N/A N/A</v>
        <stp/>
        <stp>BDP|10558039666424826139</stp>
        <tr r="BN98" s="2"/>
      </tp>
      <tp t="s">
        <v>#N/A Requesting Data...3342832718</v>
        <stp/>
        <stp>BDP|10441204438627363543</stp>
        <tr r="O113" s="3"/>
      </tp>
      <tp t="s">
        <v>#N/A Requesting Data...3760527204</v>
        <stp/>
        <stp>BDP|15464706719057000763</stp>
        <tr r="AS260" s="3"/>
      </tp>
      <tp t="s">
        <v>#N/A Requesting Data...3674400981</v>
        <stp/>
        <stp>BDP|15610201518061541406</stp>
        <tr r="AS297" s="3"/>
      </tp>
      <tp t="s">
        <v>#N/A Requesting Data...3551131894</v>
        <stp/>
        <stp>BDP|12433797248202720095</stp>
        <tr r="F165" s="3"/>
      </tp>
      <tp t="s">
        <v>#N/A Requesting Data...3529871790</v>
        <stp/>
        <stp>BDP|17311537658041245512</stp>
        <tr r="AQ64" s="3"/>
      </tp>
      <tp t="s">
        <v>#N/A Requesting Data...2813945239</v>
        <stp/>
        <stp>BDP|14587124642935748795</stp>
        <tr r="AS300" s="3"/>
      </tp>
      <tp t="s">
        <v>#N/A N/A</v>
        <stp/>
        <stp>BDP|17092029506786651289</stp>
        <tr r="BL26" s="2"/>
      </tp>
      <tp t="s">
        <v>#N/A Requesting Data...3922129475</v>
        <stp/>
        <stp>BDP|15088033928374572045</stp>
        <tr r="Y264" s="3"/>
      </tp>
      <tp t="s">
        <v>#N/A Requesting Data...3588263703</v>
        <stp/>
        <stp>BDP|17405146378200084225</stp>
        <tr r="AQ256" s="3"/>
      </tp>
      <tp t="s">
        <v>#N/A N/A</v>
        <stp/>
        <stp>BDP|11881513857463250166</stp>
        <tr r="K31" s="2"/>
      </tp>
      <tp t="s">
        <v>#N/A Requesting Data...4136446803</v>
        <stp/>
        <stp>BDP|15401126770919882944</stp>
        <tr r="O106" s="3"/>
      </tp>
      <tp t="s">
        <v>#N/A N/A</v>
        <stp/>
        <stp>BDP|13076298870693398602</stp>
        <tr r="AD63" s="2"/>
      </tp>
      <tp t="s">
        <v>#N/A Requesting Data...4083336277</v>
        <stp/>
        <stp>BDP|15521060059533565053</stp>
        <tr r="K60" s="3"/>
      </tp>
      <tp t="s">
        <v>#N/A Requesting Data...3474495044</v>
        <stp/>
        <stp>BDP|16751616246420348792</stp>
        <tr r="AJ95" s="3"/>
      </tp>
      <tp t="s">
        <v>#N/A Requesting Data...3721031275</v>
        <stp/>
        <stp>BDP|12950415954037542735</stp>
        <tr r="BB102" s="3"/>
      </tp>
      <tp t="s">
        <v>#N/A Requesting Data...2926031391</v>
        <stp/>
        <stp>BDP|11800794858575458574</stp>
        <tr r="F307" s="3"/>
      </tp>
      <tp t="s">
        <v>#N/A Requesting Data...3778806549</v>
        <stp/>
        <stp>BDP|11826309374802647402</stp>
        <tr r="AA42" s="3"/>
      </tp>
      <tp t="s">
        <v>#N/A Requesting Data...3726989068</v>
        <stp/>
        <stp>BDP|13898921911241700910</stp>
        <tr r="AH203" s="3"/>
      </tp>
      <tp t="s">
        <v>#N/A Requesting Data...3588730987</v>
        <stp/>
        <stp>BDP|10689071922005600480</stp>
        <tr r="AJ322" s="3"/>
      </tp>
      <tp t="s">
        <v>#N/A Requesting Data...3989024097</v>
        <stp/>
        <stp>BDP|14802255227176512128</stp>
        <tr r="F130" s="3"/>
      </tp>
      <tp t="s">
        <v>#N/A Requesting Data...4160678522</v>
        <stp/>
        <stp>BDP|14832448373974765059</stp>
        <tr r="Y59" s="4"/>
      </tp>
      <tp t="s">
        <v>#N/A Requesting Data...3866570542</v>
        <stp/>
        <stp>BDP|15997638645172143638</stp>
        <tr r="AQ178" s="3"/>
      </tp>
      <tp t="s">
        <v>#N/A Requesting Data...3548867868</v>
        <stp/>
        <stp>BDP|15838191106956818126</stp>
        <tr r="AZ238" s="3"/>
      </tp>
      <tp t="s">
        <v>#N/A N/A</v>
        <stp/>
        <stp>BDP|15453888289432099483</stp>
        <tr r="AM41" s="2"/>
      </tp>
      <tp t="s">
        <v>#N/A Requesting Data...3492016514</v>
        <stp/>
        <stp>BDP|14369897135028110435</stp>
        <tr r="AQ5" s="3"/>
      </tp>
      <tp t="s">
        <v>#N/A Requesting Data...4138852771</v>
        <stp/>
        <stp>BDP|14636192717801655639</stp>
        <tr r="AA166" s="3"/>
      </tp>
      <tp t="s">
        <v>#N/A N/A</v>
        <stp/>
        <stp>BDP|16543766169311397553</stp>
        <tr r="N37" s="2"/>
      </tp>
      <tp t="s">
        <v>#N/A Requesting Data...3986715376</v>
        <stp/>
        <stp>BDP|17911951694885335173</stp>
        <tr r="F192" s="3"/>
      </tp>
      <tp t="s">
        <v>#N/A Requesting Data...3285523065</v>
        <stp/>
        <stp>BDP|13375498228050772697</stp>
        <tr r="BB78" s="3"/>
      </tp>
      <tp t="s">
        <v>#N/A N/A</v>
        <stp/>
        <stp>BDP|13367396235812301206</stp>
        <tr r="BK91" s="2"/>
      </tp>
      <tp t="s">
        <v>#N/A Requesting Data...3916511884</v>
        <stp/>
        <stp>BDP|11144586800844646332</stp>
        <tr r="F69" s="3"/>
      </tp>
      <tp t="s">
        <v>#N/A Requesting Data...4242431566</v>
        <stp/>
        <stp>BDP|12288471230724064298</stp>
        <tr r="BI301" s="3"/>
      </tp>
      <tp t="s">
        <v>#N/A Requesting Data...4098785725</v>
        <stp/>
        <stp>BDP|12893844283716227718</stp>
        <tr r="AJ45" s="3"/>
      </tp>
      <tp t="s">
        <v>#N/A Requesting Data...3639536612</v>
        <stp/>
        <stp>BDP|13606904681738806936</stp>
        <tr r="F65" s="3"/>
      </tp>
      <tp t="s">
        <v>#N/A Requesting Data...4039667741</v>
        <stp/>
        <stp>BDP|10398035175872953605</stp>
        <tr r="Y233" s="3"/>
      </tp>
      <tp t="s">
        <v>#N/A Requesting Data...3341187714</v>
        <stp/>
        <stp>BDP|17648829939797155836</stp>
        <tr r="AO22" s="2"/>
        <tr r="AH15" s="4"/>
      </tp>
      <tp t="s">
        <v>#N/A N/A</v>
        <stp/>
        <stp>BDP|14700339661201213383</stp>
        <tr r="AF13" s="2"/>
      </tp>
      <tp t="s">
        <v>#N/A Requesting Data...3220406178</v>
        <stp/>
        <stp>BDP|10762537841876380499</stp>
        <tr r="Q45" s="3"/>
      </tp>
      <tp t="s">
        <v>#N/A Requesting Data...3935926906</v>
        <stp/>
        <stp>BDP|12357698877496172636</stp>
        <tr r="Y294" s="3"/>
      </tp>
      <tp t="s">
        <v>#N/A Requesting Data...3309921275</v>
        <stp/>
        <stp>BDP|15115324788444479908</stp>
        <tr r="BI113" s="3"/>
      </tp>
      <tp t="s">
        <v>#N/A Requesting Data...3563540401</v>
        <stp/>
        <stp>BDP|13781283684098756233</stp>
        <tr r="AZ196" s="3"/>
      </tp>
      <tp t="s">
        <v>#N/A N/A</v>
        <stp/>
        <stp>BDP|13463123651630111491</stp>
        <tr r="BM19" s="2"/>
      </tp>
      <tp t="s">
        <v>#N/A N/A</v>
        <stp/>
        <stp>BDP|14406506856203978441</stp>
        <tr r="BL52" s="2"/>
      </tp>
      <tp t="s">
        <v>#N/A Requesting Data...3706837881</v>
        <stp/>
        <stp>BDP|13645425550203860234</stp>
        <tr r="I214" s="3"/>
      </tp>
      <tp t="s">
        <v>#N/A Requesting Data...3739904352</v>
        <stp/>
        <stp>BDP|13951170241407740274</stp>
        <tr r="AQ17" s="4"/>
      </tp>
      <tp t="s">
        <v>#N/A Requesting Data...3188985544</v>
        <stp/>
        <stp>BDP|12677040088308119145</stp>
        <tr r="BI120" s="3"/>
      </tp>
      <tp t="s">
        <v>#N/A Requesting Data...3449819054</v>
        <stp/>
        <stp>BDP|17803646411517409465</stp>
        <tr r="BB200" s="3"/>
      </tp>
      <tp t="s">
        <v>#N/A N/A</v>
        <stp/>
        <stp>BDP|11656340117862202288</stp>
        <tr r="AM62" s="2"/>
      </tp>
      <tp t="s">
        <v>#N/A Requesting Data...4068121846</v>
        <stp/>
        <stp>BDP|11938733451613265364</stp>
        <tr r="AH122" s="3"/>
      </tp>
      <tp t="s">
        <v>#N/A Requesting Data...4069451809</v>
        <stp/>
        <stp>BDP|13104805782671813159</stp>
        <tr r="Y116" s="3"/>
      </tp>
      <tp t="s">
        <v>#N/A Requesting Data...3264039472</v>
        <stp/>
        <stp>BDP|15868096963271999153</stp>
        <tr r="BH249" s="3"/>
      </tp>
      <tp t="s">
        <v>#N/A Requesting Data...3251152036</v>
        <stp/>
        <stp>BDP|10945373432590693343</stp>
        <tr r="Y293" s="3"/>
      </tp>
      <tp t="s">
        <v>#N/A Requesting Data...3344507852</v>
        <stp/>
        <stp>BDP|17786868034349299697</stp>
        <tr r="AQ285" s="3"/>
      </tp>
      <tp t="s">
        <v>#N/A Requesting Data...3718828711</v>
        <stp/>
        <stp>BDP|12533381027487694723</stp>
        <tr r="AZ45" s="3"/>
      </tp>
      <tp t="s">
        <v>#N/A N/A</v>
        <stp/>
        <stp>BDP|14263046038751938598</stp>
        <tr r="AO32" s="2"/>
      </tp>
      <tp t="s">
        <v>#N/A Requesting Data...4221279712</v>
        <stp/>
        <stp>BDP|11076980754827749959</stp>
        <tr r="AS221" s="3"/>
      </tp>
      <tp t="s">
        <v>#N/A Requesting Data...4190520583</v>
        <stp/>
        <stp>BDP|15507692959523233695</stp>
        <tr r="AJ8" s="3"/>
      </tp>
      <tp t="s">
        <v>#N/A Requesting Data...3327652050</v>
        <stp/>
        <stp>BDP|14360650238397225527</stp>
        <tr r="AS138" s="3"/>
      </tp>
      <tp t="s">
        <v>#N/A Requesting Data...3245775815</v>
        <stp/>
        <stp>BDP|15178894775418046133</stp>
        <tr r="BG53" s="3"/>
      </tp>
      <tp t="s">
        <v>#N/A Requesting Data...3653473221</v>
        <stp/>
        <stp>BDP|11356507163078926970</stp>
        <tr r="AQ49" s="3"/>
      </tp>
      <tp t="s">
        <v>#N/A Requesting Data...4268278769</v>
        <stp/>
        <stp>BDP|13876613649740846261</stp>
        <tr r="AH235" s="3"/>
      </tp>
      <tp t="s">
        <v>#N/A Requesting Data...4016691704</v>
        <stp/>
        <stp>BDP|11312613655828515931</stp>
        <tr r="AH142" s="3"/>
      </tp>
      <tp t="s">
        <v>#N/A Requesting Data...3241031889</v>
        <stp/>
        <stp>BDP|16513118660237124543</stp>
        <tr r="AS33" s="3"/>
      </tp>
      <tp t="s">
        <v>#N/A Requesting Data...3774348609</v>
        <stp/>
        <stp>BDP|18157108045688130641</stp>
        <tr r="AZ43" s="3"/>
      </tp>
      <tp t="s">
        <v>#N/A Requesting Data...3305316510</v>
        <stp/>
        <stp>BDP|18045751180812009645</stp>
        <tr r="D39" s="4"/>
      </tp>
      <tp t="s">
        <v>#N/A Requesting Data...3916536607</v>
        <stp/>
        <stp>BDP|17974217508876555045</stp>
        <tr r="BH140" s="3"/>
      </tp>
      <tp t="s">
        <v>#N/A Requesting Data...3261144102</v>
        <stp/>
        <stp>BDP|10107709916591056466</stp>
        <tr r="Y321" s="3"/>
      </tp>
      <tp t="s">
        <v>#N/A Requesting Data...4025560479</v>
        <stp/>
        <stp>BDP|16447598073791702686</stp>
        <tr r="K352" s="3"/>
      </tp>
      <tp t="s">
        <v>#N/A N/A</v>
        <stp/>
        <stp>BDP|12498621264635033430</stp>
        <tr r="BN41" s="2"/>
      </tp>
      <tp t="s">
        <v>#N/A N/A</v>
        <stp/>
        <stp>BDP|18298974068960598490</stp>
        <tr r="BN61" s="2"/>
      </tp>
      <tp t="s">
        <v>#N/A Requesting Data...3293542815</v>
        <stp/>
        <stp>BDP|17781522224096421544</stp>
        <tr r="AQ31" s="3"/>
      </tp>
      <tp t="s">
        <v>#N/A Requesting Data...3415996815</v>
        <stp/>
        <stp>BDP|15985885396374695304</stp>
        <tr r="AZ332" s="3"/>
      </tp>
      <tp t="s">
        <v>#N/A Requesting Data...4034694001</v>
        <stp/>
        <stp>BDP|15665821287371000726</stp>
        <tr r="AS293" s="3"/>
      </tp>
      <tp t="s">
        <v>#N/A Requesting Data...3742401717</v>
        <stp/>
        <stp>BDP|16910195561704486649</stp>
        <tr r="AQ138" s="3"/>
      </tp>
      <tp t="s">
        <v>#N/A Requesting Data...3813782191</v>
        <stp/>
        <stp>BDP|13204955490583027366</stp>
        <tr r="BH37" s="3"/>
      </tp>
      <tp t="s">
        <v>#N/A Requesting Data...4056718683</v>
        <stp/>
        <stp>BDP|10014151364465252125</stp>
        <tr r="K240" s="3"/>
      </tp>
      <tp t="s">
        <v>#N/A Requesting Data...3655741377</v>
        <stp/>
        <stp>BDP|14610808658078932271</stp>
        <tr r="AF46" s="4"/>
        <tr r="AH258" s="3"/>
      </tp>
      <tp t="s">
        <v>#N/A N/A</v>
        <stp/>
        <stp>BDP|10558670461151570269</stp>
        <tr r="K12" s="2"/>
      </tp>
      <tp t="s">
        <v>#N/A N/A</v>
        <stp/>
        <stp>BDP|14049372318881815475</stp>
        <tr r="AD81" s="2"/>
      </tp>
      <tp t="s">
        <v>#N/A Requesting Data...3761314673</v>
        <stp/>
        <stp>BDP|14230040469400864178</stp>
        <tr r="BB58" s="3"/>
      </tp>
      <tp t="s">
        <v>#N/A Requesting Data...3445897534</v>
        <stp/>
        <stp>BDP|13366579727957769048</stp>
        <tr r="O103" s="3"/>
      </tp>
      <tp t="s">
        <v>#N/A N/A</v>
        <stp/>
        <stp>BDP|12677734094969518643</stp>
        <tr r="AD40" s="2"/>
      </tp>
      <tp t="s">
        <v>#N/A Requesting Data...3548756242</v>
        <stp/>
        <stp>BDP|16182180167120870266</stp>
        <tr r="F290" s="3"/>
      </tp>
      <tp t="s">
        <v>#N/A Requesting Data...3820177387</v>
        <stp/>
        <stp>BDP|17604253501632451468</stp>
        <tr r="BI185" s="3"/>
      </tp>
      <tp t="s">
        <v>#N/A Requesting Data...3823981970</v>
        <stp/>
        <stp>BDP|12149520777894536712</stp>
        <tr r="BB221" s="3"/>
      </tp>
      <tp t="s">
        <v>#N/A Requesting Data...3775575038</v>
        <stp/>
        <stp>BDP|12739872357209389546</stp>
        <tr r="AJ292" s="3"/>
      </tp>
      <tp t="s">
        <v>#N/A Requesting Data...4208448657</v>
        <stp/>
        <stp>BDP|12670258474341422533</stp>
        <tr r="Y173" s="3"/>
      </tp>
      <tp t="s">
        <v>#N/A N/A</v>
        <stp/>
        <stp>BDP|11029013653726732159</stp>
        <tr r="V21" s="2"/>
      </tp>
      <tp t="s">
        <v>#N/A Requesting Data...3963231897</v>
        <stp/>
        <stp>BDP|16577735912793518016</stp>
        <tr r="Y271" s="3"/>
      </tp>
      <tp t="s">
        <v>#N/A Requesting Data...4223634896</v>
        <stp/>
        <stp>BDP|15170917094547335174</stp>
        <tr r="AH237" s="3"/>
      </tp>
      <tp t="s">
        <v>#N/A Requesting Data...4129992201</v>
        <stp/>
        <stp>BDP|11884010809127804588</stp>
        <tr r="F142" s="3"/>
      </tp>
      <tp t="s">
        <v>#N/A N/A</v>
        <stp/>
        <stp>BDP|15308745665196414164</stp>
        <tr r="AV50" s="2"/>
      </tp>
      <tp t="s">
        <v>#N/A N/A</v>
        <stp/>
        <stp>BDP|16627833789520510594</stp>
        <tr r="AO48" s="2"/>
      </tp>
      <tp t="s">
        <v>#N/A N/A</v>
        <stp/>
        <stp>BDP|16856407379580430654</stp>
        <tr r="AM87" s="2"/>
      </tp>
      <tp t="s">
        <v>#N/A Requesting Data...3697828513</v>
        <stp/>
        <stp>BDP|16881379587698070680</stp>
        <tr r="BB205" s="3"/>
      </tp>
      <tp t="s">
        <v>#N/A Requesting Data...4055527454</v>
        <stp/>
        <stp>BDP|11780695079161683210</stp>
        <tr r="AZ129" s="3"/>
      </tp>
      <tp t="s">
        <v>#N/A Requesting Data...3473178983</v>
        <stp/>
        <stp>BDP|13481267738440918101</stp>
        <tr r="K6" s="2"/>
      </tp>
      <tp t="s">
        <v>#N/A Requesting Data...4118832354</v>
        <stp/>
        <stp>BDP|12187770523854426029</stp>
        <tr r="BG217" s="3"/>
      </tp>
      <tp t="s">
        <v>#N/A Requesting Data...3640770283</v>
        <stp/>
        <stp>BDP|14192227773677459577</stp>
        <tr r="AZ241" s="3"/>
      </tp>
      <tp t="s">
        <v>#N/A Requesting Data...4054485168</v>
        <stp/>
        <stp>BDP|17974761543556905169</stp>
        <tr r="AZ278" s="3"/>
      </tp>
      <tp t="s">
        <v>#N/A Requesting Data...3815803861</v>
        <stp/>
        <stp>BDP|10382933083681752371</stp>
        <tr r="AA63" s="3"/>
      </tp>
      <tp t="s">
        <v>#N/A Requesting Data...3846732262</v>
        <stp/>
        <stp>BDP|14397303506617667305</stp>
        <tr r="BH125" s="3"/>
      </tp>
      <tp t="s">
        <v>#N/A N/A</v>
        <stp/>
        <stp>BDP|13592114529712632187</stp>
        <tr r="P80" s="2"/>
      </tp>
      <tp t="s">
        <v>#N/A Requesting Data...3747784353</v>
        <stp/>
        <stp>BDP|11360621522295117317</stp>
        <tr r="AH238" s="3"/>
      </tp>
      <tp t="s">
        <v>#N/A Requesting Data...4059467484</v>
        <stp/>
        <stp>BDP|12136032890131299939</stp>
        <tr r="O279" s="3"/>
      </tp>
      <tp t="s">
        <v>#N/A Requesting Data...4102517236</v>
        <stp/>
        <stp>BDP|18303686879659976380</stp>
        <tr r="AX48" s="4"/>
      </tp>
      <tp t="s">
        <v>#N/A N/A</v>
        <stp/>
        <stp>BDP|16525505042766649223</stp>
        <tr r="BK100" s="2"/>
      </tp>
      <tp t="s">
        <v>#N/A Requesting Data...3993417611</v>
        <stp/>
        <stp>BDP|17136955185504108136</stp>
        <tr r="AS209" s="3"/>
      </tp>
      <tp t="s">
        <v>#N/A Requesting Data...4177204638</v>
        <stp/>
        <stp>BDP|11568202537053003011</stp>
        <tr r="AH344" s="3"/>
      </tp>
      <tp t="s">
        <v>#N/A N/A</v>
        <stp/>
        <stp>BDP|13744277308037813536</stp>
        <tr r="BG66" s="2"/>
      </tp>
      <tp t="s">
        <v>#N/A Requesting Data...4082370115</v>
        <stp/>
        <stp>BDP|11195454860178342851</stp>
        <tr r="AS164" s="3"/>
      </tp>
      <tp t="s">
        <v>#N/A Requesting Data...3922887252</v>
        <stp/>
        <stp>BDP|13995769556696983427</stp>
        <tr r="F172" s="3"/>
      </tp>
      <tp t="s">
        <v>#N/A Requesting Data...3804276319</v>
        <stp/>
        <stp>BDP|15083007447106464410</stp>
        <tr r="BA106" s="3"/>
      </tp>
      <tp t="s">
        <v>#N/A Requesting Data...3878804914</v>
        <stp/>
        <stp>BDP|17405746215026584421</stp>
        <tr r="BH64" s="3"/>
      </tp>
      <tp t="s">
        <v>#N/A Requesting Data...3744984426</v>
        <stp/>
        <stp>BDP|12951117574012746599</stp>
        <tr r="AH352" s="3"/>
      </tp>
      <tp t="s">
        <v>#N/A Requesting Data...3669129549</v>
        <stp/>
        <stp>BDP|12398426722552335527</stp>
        <tr r="BF28" s="3"/>
      </tp>
      <tp t="s">
        <v>#N/A Requesting Data...3671303876</v>
        <stp/>
        <stp>BDP|16865819452368829012</stp>
        <tr r="D46" s="4"/>
        <tr r="F258" s="3"/>
      </tp>
      <tp t="s">
        <v>#N/A N/A</v>
        <stp/>
        <stp>BDP|16895191271202439165</stp>
        <tr r="AX36" s="2"/>
      </tp>
      <tp t="s">
        <v>#N/A Requesting Data...3722451748</v>
        <stp/>
        <stp>BDP|16148665834539288930</stp>
        <tr r="AZ318" s="3"/>
      </tp>
      <tp t="s">
        <v>#N/A Requesting Data...3926211886</v>
        <stp/>
        <stp>BDP|14107708007204060440</stp>
        <tr r="AH28" s="4"/>
      </tp>
      <tp t="s">
        <v>#N/A Requesting Data...4078988302</v>
        <stp/>
        <stp>BDP|16489495405708893920</stp>
        <tr r="K116" s="3"/>
      </tp>
      <tp t="s">
        <v>#N/A Requesting Data...3658434746</v>
        <stp/>
        <stp>BDP|12421574862857356508</stp>
        <tr r="F102" s="3"/>
      </tp>
      <tp t="s">
        <v>#N/A Requesting Data...3841555847</v>
        <stp/>
        <stp>BDP|16316302054352169145</stp>
        <tr r="K153" s="3"/>
      </tp>
      <tp t="s">
        <v>#N/A Requesting Data...3637712339</v>
        <stp/>
        <stp>BDP|10871215432161045394</stp>
        <tr r="AH318" s="3"/>
      </tp>
      <tp t="s">
        <v>#N/A Requesting Data...3680419059</v>
        <stp/>
        <stp>BDP|10070108943816669072</stp>
        <tr r="BG69" s="3"/>
      </tp>
      <tp t="s">
        <v>#N/A Requesting Data...3708382503</v>
        <stp/>
        <stp>BDP|16623046508214142190</stp>
        <tr r="BI285" s="3"/>
      </tp>
      <tp t="s">
        <v>#N/A Requesting Data...3905271793</v>
        <stp/>
        <stp>BDP|12647277017007451504</stp>
        <tr r="BI322" s="3"/>
      </tp>
      <tp t="s">
        <v>#N/A N/A</v>
        <stp/>
        <stp>BDP|16462190358453510222</stp>
        <tr r="AD54" s="2"/>
      </tp>
      <tp t="s">
        <v>#N/A Requesting Data...3677700798</v>
        <stp/>
        <stp>BDP|17764925515535465961</stp>
        <tr r="Y95" s="3"/>
      </tp>
      <tp t="s">
        <v>#N/A Requesting Data...3732679782</v>
        <stp/>
        <stp>BDP|10931918039148293112</stp>
        <tr r="BA154" s="3"/>
      </tp>
      <tp t="s">
        <v>#N/A N/A</v>
        <stp/>
        <stp>BDP|14887238219072706677</stp>
        <tr r="AH6" s="4"/>
      </tp>
      <tp t="s">
        <v>#N/A Requesting Data...4170086081</v>
        <stp/>
        <stp>BDP|15646302504057170217</stp>
        <tr r="AH180" s="3"/>
      </tp>
      <tp t="s">
        <v>#N/A Requesting Data...3919906040</v>
        <stp/>
        <stp>BDP|13661824503241662932</stp>
        <tr r="AA348" s="3"/>
      </tp>
      <tp t="s">
        <v>#N/A N/A</v>
        <stp/>
        <stp>BDP|12585354576296116325</stp>
        <tr r="V77" s="2"/>
      </tp>
      <tp t="s">
        <v>#N/A Requesting Data...3885243359</v>
        <stp/>
        <stp>BDP|10756201832767994592</stp>
        <tr r="AQ40" s="3"/>
      </tp>
      <tp t="s">
        <v>#N/A Requesting Data...3849349750</v>
        <stp/>
        <stp>BDP|14152093443067718499</stp>
        <tr r="BI7" s="3"/>
      </tp>
      <tp t="s">
        <v>#N/A Requesting Data...3919822571</v>
        <stp/>
        <stp>BDP|11174561375594099474</stp>
        <tr r="AJ65" s="3"/>
      </tp>
      <tp t="s">
        <v>#N/A Requesting Data...3811092930</v>
        <stp/>
        <stp>BDP|12284044782938085110</stp>
        <tr r="K300" s="3"/>
      </tp>
      <tp t="s">
        <v>#N/A Requesting Data...4020066620</v>
        <stp/>
        <stp>BDP|10918311564735048391</stp>
        <tr r="O51" s="4"/>
      </tp>
      <tp t="s">
        <v>#N/A Requesting Data...3862672131</v>
        <stp/>
        <stp>BDP|17956295231083441605</stp>
        <tr r="AH43" s="3"/>
      </tp>
      <tp t="s">
        <v>#N/A Requesting Data...4264785817</v>
        <stp/>
        <stp>BDP|16198313834873469655</stp>
        <tr r="BG296" s="3"/>
      </tp>
      <tp t="s">
        <v>#N/A N/A</v>
        <stp/>
        <stp>BDP|15886005609176394074</stp>
        <tr r="N11" s="2"/>
      </tp>
      <tp t="s">
        <v>#N/A Requesting Data...4182583905</v>
        <stp/>
        <stp>BDP|11478353263514139363</stp>
        <tr r="AH70" s="3"/>
      </tp>
      <tp t="s">
        <v>#N/A Requesting Data...4180776115</v>
        <stp/>
        <stp>BDP|16521948496115129039</stp>
        <tr r="G46" s="4"/>
        <tr r="I258" s="3"/>
      </tp>
      <tp t="s">
        <v>#N/A Requesting Data...4224044867</v>
        <stp/>
        <stp>BDP|17346209275022493374</stp>
        <tr r="AO5" s="2"/>
      </tp>
      <tp t="s">
        <v>#N/A Requesting Data...3967902566</v>
        <stp/>
        <stp>BDP|16760172235600956797</stp>
        <tr r="BH286" s="3"/>
      </tp>
      <tp t="s">
        <v>#N/A Requesting Data...4276292584</v>
        <stp/>
        <stp>BDP|12134135113374001545</stp>
        <tr r="F47" s="3"/>
      </tp>
      <tp t="s">
        <v>#N/A Requesting Data...3861314374</v>
        <stp/>
        <stp>BDP|11761817001583405963</stp>
        <tr r="K137" s="3"/>
      </tp>
      <tp t="s">
        <v>#N/A N/A</v>
        <stp/>
        <stp>BDP|17346862032656746953</stp>
        <tr r="AV25" s="2"/>
      </tp>
      <tp t="s">
        <v>#N/A N/A</v>
        <stp/>
        <stp>BDP|16431932424066457823</stp>
        <tr r="P78" s="2"/>
      </tp>
      <tp t="s">
        <v>#N/A Requesting Data...3773107121</v>
        <stp/>
        <stp>BDP|15071974720119073423</stp>
        <tr r="Y6" s="3"/>
      </tp>
      <tp t="s">
        <v>#N/A Requesting Data...4034130090</v>
        <stp/>
        <stp>BDP|10617379207040457078</stp>
        <tr r="BI253" s="3"/>
      </tp>
      <tp t="s">
        <v>#N/A N/A</v>
        <stp/>
        <stp>BDP|13704735411706576050</stp>
        <tr r="BK64" s="2"/>
      </tp>
      <tp t="s">
        <v>#N/A Requesting Data...3846450971</v>
        <stp/>
        <stp>BDP|13787446626721886785</stp>
        <tr r="BA300" s="3"/>
      </tp>
      <tp t="s">
        <v>#N/A Requesting Data...3919918981</v>
        <stp/>
        <stp>BDP|10030899186214906723</stp>
        <tr r="M47" s="4"/>
      </tp>
      <tp t="s">
        <v>#N/A Requesting Data...3823546792</v>
        <stp/>
        <stp>BDP|11864094344292987482</stp>
        <tr r="AS227" s="3"/>
      </tp>
      <tp t="s">
        <v>#N/A Requesting Data...4190955590</v>
        <stp/>
        <stp>BDP|18446329592033368232</stp>
        <tr r="BA12" s="3"/>
      </tp>
      <tp t="s">
        <v>#N/A Requesting Data...3882416410</v>
        <stp/>
        <stp>BDP|14845444496913901970</stp>
        <tr r="AH76" s="3"/>
      </tp>
      <tp t="s">
        <v>#N/A Requesting Data...4049745544</v>
        <stp/>
        <stp>BDP|11153603412065061078</stp>
        <tr r="BG281" s="3"/>
      </tp>
      <tp t="s">
        <v>#N/A Requesting Data...4000516469</v>
        <stp/>
        <stp>BDP|10391562754982144149</stp>
        <tr r="BF10" s="2"/>
      </tp>
      <tp t="s">
        <v>#N/A Requesting Data...3978726217</v>
        <stp/>
        <stp>BDP|11507639462757868585</stp>
        <tr r="F345" s="3"/>
      </tp>
      <tp t="s">
        <v>#N/A Requesting Data...3832881672</v>
        <stp/>
        <stp>BDP|17632623099109027290</stp>
        <tr r="Y10" s="3"/>
      </tp>
      <tp t="s">
        <v>#N/A N/A</v>
        <stp/>
        <stp>BDP|13764761354834842698</stp>
        <tr r="BL27" s="2"/>
      </tp>
      <tp t="s">
        <v>#N/A Requesting Data...3925426770</v>
        <stp/>
        <stp>BDP|17565578068667638089</stp>
        <tr r="BB347" s="3"/>
      </tp>
      <tp t="s">
        <v>#N/A Requesting Data...3892117456</v>
        <stp/>
        <stp>BDP|11286602657344236538</stp>
        <tr r="Y85" s="3"/>
      </tp>
      <tp t="s">
        <v>#N/A Requesting Data...3890779532</v>
        <stp/>
        <stp>BDP|17382327500103598406</stp>
        <tr r="AX60" s="4"/>
      </tp>
      <tp t="s">
        <v>#N/A Requesting Data...3865287033</v>
        <stp/>
        <stp>BDP|18403732041539360110</stp>
        <tr r="K64" s="3"/>
      </tp>
      <tp t="s">
        <v>#N/A Requesting Data...3935904572</v>
        <stp/>
        <stp>BDP|16005582631397956444</stp>
        <tr r="AQ182" s="3"/>
      </tp>
      <tp t="s">
        <v>#N/A Requesting Data...4045106954</v>
        <stp/>
        <stp>BDP|17581778973064253072</stp>
        <tr r="K158" s="3"/>
      </tp>
      <tp t="s">
        <v>#N/A Requesting Data...4017293329</v>
        <stp/>
        <stp>BDP|15900573806966897544</stp>
        <tr r="O178" s="3"/>
      </tp>
      <tp t="s">
        <v>#N/A Requesting Data...4158677572</v>
        <stp/>
        <stp>BDP|15032655134121482219</stp>
        <tr r="I127" s="3"/>
      </tp>
      <tp t="s">
        <v>#N/A Requesting Data...4068745914</v>
        <stp/>
        <stp>BDP|18088417266329710048</stp>
        <tr r="F169" s="3"/>
      </tp>
      <tp t="s">
        <v>#N/A N/A</v>
        <stp/>
        <stp>BDP|10326280951067919377</stp>
        <tr r="AD37" s="2"/>
      </tp>
      <tp t="s">
        <v>#N/A Requesting Data...4291513804</v>
        <stp/>
        <stp>BDP|17139335350805044751</stp>
        <tr r="BG145" s="3"/>
      </tp>
      <tp t="s">
        <v>#N/A Requesting Data...4149648227</v>
        <stp/>
        <stp>BDP|16736043736262131439</stp>
        <tr r="AH31" s="3"/>
      </tp>
      <tp t="s">
        <v>#N/A Requesting Data...4252279540</v>
        <stp/>
        <stp>BDP|14959959391122331590</stp>
        <tr r="AJ43" s="3"/>
      </tp>
      <tp t="s">
        <v>#N/A Requesting Data...4112617682</v>
        <stp/>
        <stp>BDP|15848065121922126697</stp>
        <tr r="BB113" s="3"/>
      </tp>
      <tp t="s">
        <v>#N/A Requesting Data...4069376442</v>
        <stp/>
        <stp>BDP|16624569628673777187</stp>
        <tr r="Y96" s="3"/>
      </tp>
      <tp t="s">
        <v>#N/A Requesting Data...3999697685</v>
        <stp/>
        <stp>BDP|10606701594099697434</stp>
        <tr r="Q105" s="3"/>
      </tp>
      <tp t="s">
        <v>#N/A Requesting Data...4021791567</v>
        <stp/>
        <stp>BDP|11822133132729835966</stp>
        <tr r="O173" s="3"/>
      </tp>
      <tp t="s">
        <v>#N/A Requesting Data...4214701096</v>
        <stp/>
        <stp>BDP|14338122734594102137</stp>
        <tr r="AS35" s="3"/>
      </tp>
      <tp t="s">
        <v>#N/A Requesting Data...3955701451</v>
        <stp/>
        <stp>BDP|14099032360997742635</stp>
        <tr r="Q90" s="3"/>
      </tp>
      <tp t="s">
        <v>#N/A Requesting Data...4282256352</v>
        <stp/>
        <stp>BDP|15641326994088479434</stp>
        <tr r="AH54" s="3"/>
      </tp>
      <tp t="s">
        <v>#N/A Requesting Data...4281910103</v>
        <stp/>
        <stp>BDP|18205924563220469400</stp>
        <tr r="AS225" s="3"/>
      </tp>
      <tp t="s">
        <v>#N/A Requesting Data...3998815558</v>
        <stp/>
        <stp>BDP|14643408236078328849</stp>
        <tr r="BH288" s="3"/>
      </tp>
      <tp t="s">
        <v>#N/A N/A</v>
        <stp/>
        <stp>BDP|12277531795315115822</stp>
        <tr r="T78" s="2"/>
      </tp>
      <tp t="s">
        <v>#N/A Requesting Data...4225431401</v>
        <stp/>
        <stp>BDP|11285047376957000270</stp>
        <tr r="AQ86" s="3"/>
      </tp>
      <tp t="s">
        <v>#N/A Requesting Data...4087838083</v>
        <stp/>
        <stp>BDP|10740787975054545782</stp>
        <tr r="BB3" s="3"/>
      </tp>
      <tp t="s">
        <v>#N/A Requesting Data...4238469671</v>
        <stp/>
        <stp>BDP|12536396906636450492</stp>
        <tr r="BH9" s="3"/>
      </tp>
      <tp t="s">
        <v>#N/A Requesting Data...4088973977</v>
        <stp/>
        <stp>BDP|12011935144458630467</stp>
        <tr r="BI343" s="3"/>
      </tp>
      <tp t="s">
        <v>#N/A Requesting Data...4195995245</v>
        <stp/>
        <stp>BDP|10925941389365234717</stp>
        <tr r="O276" s="3"/>
      </tp>
      <tp t="s">
        <v>#N/A Requesting Data...4167210392</v>
        <stp/>
        <stp>BDP|12927454212477817308</stp>
        <tr r="AZ168" s="3"/>
      </tp>
      <tp t="s">
        <v>#N/A Requesting Data...4095805550</v>
        <stp/>
        <stp>BDP|11116788962165856654</stp>
        <tr r="K325" s="3"/>
      </tp>
      <tp t="s">
        <v>#N/A Requesting Data...4056513550</v>
        <stp/>
        <stp>BDP|16751820326498184741</stp>
        <tr r="I320" s="3"/>
      </tp>
      <tp t="s">
        <v>#N/A Requesting Data...4099201202</v>
        <stp/>
        <stp>BDP|15419009886297204967</stp>
        <tr r="BH42" s="3"/>
      </tp>
      <tp t="s">
        <v>#N/A Requesting Data...4036600823</v>
        <stp/>
        <stp>BDP|16486552600060606017</stp>
        <tr r="AH247" s="3"/>
      </tp>
      <tp t="s">
        <v>#N/A Requesting Data...4051090387</v>
        <stp/>
        <stp>BDP|12353218147783022434</stp>
        <tr r="AH299" s="3"/>
      </tp>
      <tp t="s">
        <v>#N/A Requesting Data...4205571536</v>
        <stp/>
        <stp>BDP|11969702144641870036</stp>
        <tr r="AZ311" s="3"/>
      </tp>
      <tp t="s">
        <v>#N/A N/A</v>
        <stp/>
        <stp>BDP|15624216673794757755</stp>
        <tr r="BK25" s="2"/>
      </tp>
      <tp t="s">
        <v>#N/A Requesting Data...4153283110</v>
        <stp/>
        <stp>BDP|11143250565513106563</stp>
        <tr r="BN7" s="2"/>
      </tp>
      <tp t="s">
        <v>#N/A Requesting Data...4291109706</v>
        <stp/>
        <stp>BDP|12963181625624513671</stp>
        <tr r="BK4" s="2"/>
        <tr r="BF248" s="3"/>
      </tp>
      <tp t="s">
        <v>#N/A Requesting Data...4198590264</v>
        <stp/>
        <stp>BDP|14390774797908542100</stp>
        <tr r="O300" s="3"/>
      </tp>
      <tp t="s">
        <v>#N/A Requesting Data...4271607774</v>
        <stp/>
        <stp>BDP|14019025603936232158</stp>
        <tr r="AA302" s="3"/>
      </tp>
      <tp t="s">
        <v>#N/A N/A</v>
        <stp/>
        <stp>BDP|14604487921273888218</stp>
        <tr r="AD96" s="2"/>
      </tp>
      <tp t="s">
        <v>#N/A Requesting Data...4115966795</v>
        <stp/>
        <stp>BDP|13443201768451269583</stp>
        <tr r="BF342" s="3"/>
      </tp>
      <tp t="s">
        <v>#N/A Requesting Data...4223108740</v>
        <stp/>
        <stp>BDP|12977723426732712539</stp>
        <tr r="AA228" s="3"/>
      </tp>
      <tp t="s">
        <v>#N/A Requesting Data...4163187269</v>
        <stp/>
        <stp>BDP|11990295279696532253</stp>
        <tr r="BB284" s="3"/>
      </tp>
      <tp t="s">
        <v>#N/A N/A</v>
        <stp/>
        <stp>BDP|15238785773355621069</stp>
        <tr r="AO57" s="2"/>
      </tp>
      <tp t="s">
        <v>#N/A Requesting Data...4151895157</v>
        <stp/>
        <stp>BDP|13718286183759288076</stp>
        <tr r="BA244" s="3"/>
      </tp>
      <tp t="s">
        <v>#N/A Requesting Data...4255049047</v>
        <stp/>
        <stp>BDP|10362095550732399700</stp>
        <tr r="AZ59" s="3"/>
      </tp>
      <tp t="s">
        <v>#N/A Requesting Data...4290285703</v>
        <stp/>
        <stp>BDP|16103545972931876568</stp>
        <tr r="AQ24" s="3"/>
      </tp>
      <tp t="s">
        <v>#N/A Requesting Data...4284071632</v>
        <stp/>
        <stp>BDP|15934216453535578774</stp>
        <tr r="BI348" s="3"/>
      </tp>
      <tp t="s">
        <v>#N/A Requesting Data...4231112487</v>
        <stp/>
        <stp>BDP|15198417824196445599</stp>
        <tr r="AS349" s="3"/>
      </tp>
      <tp t="s">
        <v>#N/A Requesting Data...4208214112</v>
        <stp/>
        <stp>BDP|15117241956675878723</stp>
        <tr r="AH3" s="4"/>
      </tp>
      <tp t="s">
        <v>#N/A N/A</v>
        <stp/>
        <stp>BDP|14455703960516913343</stp>
        <tr r="P49" s="2"/>
      </tp>
      <tp t="s">
        <v>#N/A Requesting Data...4205958700</v>
        <stp/>
        <stp>BDP|18418423968228526223</stp>
        <tr r="AZ149" s="3"/>
      </tp>
      <tp t="s">
        <v>#N/A Requesting Data...4276478341</v>
        <stp/>
        <stp>BDP|17528591536786211714</stp>
        <tr r="K102" s="3"/>
      </tp>
      <tp t="s">
        <v>#N/A Requesting Data...4241778937</v>
        <stp/>
        <stp>BDP|13370069550946447083</stp>
        <tr r="AQ310" s="3"/>
      </tp>
      <tp t="s">
        <v>#N/A Requesting Data...4195079797</v>
        <stp/>
        <stp>BDP|12325926238438725072</stp>
        <tr r="I135" s="3"/>
      </tp>
      <tp t="s">
        <v>#N/A Requesting Data...4240744550</v>
        <stp/>
        <stp>BDP|13467961597551849241</stp>
        <tr r="AO7" s="2"/>
      </tp>
      <tp t="s">
        <v>#N/A Requesting Data...4285990857</v>
        <stp/>
        <stp>BDP|11381554199945552837</stp>
        <tr r="Y17" s="3"/>
      </tp>
      <tp t="s">
        <v>#N/A Requesting Data...4233020157</v>
        <stp/>
        <stp>BDP|16953686970612138591</stp>
        <tr r="BF159" s="3"/>
      </tp>
      <tp t="s">
        <v>#N/A Requesting Data...4190651571</v>
        <stp/>
        <stp>BDP|16848567219846994477</stp>
        <tr r="I18" s="4"/>
      </tp>
      <tp t="s">
        <v>#N/A Requesting Data...4176921857</v>
        <stp/>
        <stp>BDP|13378723249129377926</stp>
        <tr r="AZ279" s="3"/>
      </tp>
      <tp t="s">
        <v>#N/A Requesting Data...4278898461</v>
        <stp/>
        <stp>BDP|16602655597590861952</stp>
        <tr r="AZ42" s="3"/>
      </tp>
      <tp t="s">
        <v>#N/A Requesting Data...4290636649</v>
        <stp/>
        <stp>BDP|13779562508781003719</stp>
        <tr r="Y124" s="3"/>
      </tp>
      <tp t="s">
        <v>#N/A Requesting Data...4258064701</v>
        <stp/>
        <stp>BDP|18283940700001631082</stp>
        <tr r="BA173" s="3"/>
      </tp>
      <tp t="s">
        <v>#N/A Requesting Data...4284799871</v>
        <stp/>
        <stp>BDP|15275383171270337109</stp>
        <tr r="AJ98" s="3"/>
      </tp>
      <tp t="s">
        <v>#N/A Requesting Data...4224976264</v>
        <stp/>
        <stp>BDP|16486553228367063612</stp>
        <tr r="Q313" s="3"/>
      </tp>
      <tp t="s">
        <v>#N/A N/A</v>
        <stp/>
        <stp>BDP|11857039004495198463</stp>
        <tr r="AX62" s="2"/>
      </tp>
      <tp t="s">
        <v>#N/A N/A</v>
        <stp/>
        <stp>BDP|14215167113243903766</stp>
        <tr r="AX83" s="2"/>
      </tp>
      <tp t="s">
        <v>#N/A Requesting Data...4255392067</v>
        <stp/>
        <stp>BDP|11253487337455633335</stp>
        <tr r="Q311" s="3"/>
      </tp>
      <tp t="s">
        <v>#N/A Requesting Data...4276357580</v>
        <stp/>
        <stp>BDP|18024023009651484978</stp>
        <tr r="AZ259" s="3"/>
      </tp>
      <tp t="s">
        <v>#N/A N/A</v>
        <stp/>
        <stp>BDP|14681224320037982352</stp>
        <tr r="P55" s="2"/>
      </tp>
      <tp t="s">
        <v>#N/A Requesting Data...4281152361</v>
        <stp/>
        <stp>BDP|11083634950891821330</stp>
        <tr r="AA352" s="3"/>
      </tp>
      <tp t="s">
        <v>#N/A Requesting Data...4277250605</v>
        <stp/>
        <stp>BDP|15577794386683226902</stp>
        <tr r="K24" s="3"/>
      </tp>
      <tp t="s">
        <v>#N/A Requesting Data...4290994504</v>
        <stp/>
        <stp>BDP|14750379474850560097</stp>
        <tr r="BA217" s="3"/>
      </tp>
      <tp t="s">
        <v>#N/A Requesting Data...4277313923</v>
        <stp/>
        <stp>BDP|13492396378053940470</stp>
        <tr r="AQ221" s="3"/>
      </tp>
      <tp t="s">
        <v>#N/A N/A</v>
        <stp/>
        <stp>BDP|14846676840914414205</stp>
        <tr r="AO19" s="2"/>
      </tp>
      <tp t="s">
        <v>#N/A Requesting Data...4294386130</v>
        <stp/>
        <stp>BDP|18381472068349259352</stp>
        <tr r="AH26" s="4"/>
        <tr r="AJ197" s="3"/>
      </tp>
      <tp t="s">
        <v>#N/A Requesting Data...4294225553</v>
        <stp/>
        <stp>BDP|12331389513496414671</stp>
        <tr r="BG121" s="3"/>
      </tp>
      <tp t="s">
        <v>#N/A Requesting Data...2647419637</v>
        <stp/>
        <stp>BDP|11331479019717131370</stp>
        <tr r="BI85" s="3"/>
      </tp>
      <tp t="s">
        <v>#N/A Requesting Data...3082267172</v>
        <stp/>
        <stp>BDP|10511410338596001176</stp>
        <tr r="AA28" s="3"/>
      </tp>
      <tp t="s">
        <v>#N/A N/A</v>
        <stp/>
        <stp>BDP|18374617724265571985</stp>
        <tr r="BF43" s="2"/>
      </tp>
      <tp t="s">
        <v>#N/A Requesting Data...192865112</v>
        <stp/>
        <stp>BDP|14418417215598247990</stp>
        <tr r="BF289" s="3"/>
      </tp>
      <tp t="s">
        <v>#N/A Requesting Data...3192589882</v>
        <stp/>
        <stp>BDP|10789113889800347971</stp>
        <tr r="AQ183" s="3"/>
      </tp>
      <tp t="s">
        <v>#N/A Requesting Data...4079014879</v>
        <stp/>
        <stp>BDP|12089615523001137794</stp>
        <tr r="AJ161" s="3"/>
      </tp>
      <tp t="s">
        <v>#N/A N/A</v>
        <stp/>
        <stp>BDP|13979616627965371266</stp>
        <tr r="P29" s="2"/>
      </tp>
      <tp t="s">
        <v>#N/A Requesting Data...767303305</v>
        <stp/>
        <stp>BDP|16870230423860627642</stp>
        <tr r="BH7" s="3"/>
      </tp>
      <tp t="s">
        <v>#N/A Requesting Data...3122187769</v>
        <stp/>
        <stp>BDP|11349957096069277889</stp>
        <tr r="O199" s="3"/>
      </tp>
      <tp t="s">
        <v>#N/A Requesting Data...2889413833</v>
        <stp/>
        <stp>BDP|13070169640785861343</stp>
        <tr r="O51" s="3"/>
      </tp>
      <tp t="s">
        <v>#N/A Requesting Data...2048775717</v>
        <stp/>
        <stp>BDP|15095587211302664357</stp>
        <tr r="BF185" s="3"/>
      </tp>
      <tp t="s">
        <v>#N/A Requesting Data...528843310</v>
        <stp/>
        <stp>BDP|11429309762816932251</stp>
        <tr r="AJ341" s="3"/>
      </tp>
      <tp t="s">
        <v>#N/A N/A</v>
        <stp/>
        <stp>BDP|17878134530627926286</stp>
        <tr r="T7" s="2"/>
      </tp>
      <tp t="s">
        <v>#N/A N/A</v>
        <stp/>
        <stp>BDP|15913297660476239780</stp>
        <tr r="BL23" s="2"/>
      </tp>
      <tp t="s">
        <v>#N/A N/A</v>
        <stp/>
        <stp>BDP|12847349933972679032</stp>
        <tr r="BG25" s="2"/>
      </tp>
      <tp t="s">
        <v>#N/A Requesting Data...2480398887</v>
        <stp/>
        <stp>BDP|14212521578413750551</stp>
        <tr r="BB343" s="3"/>
      </tp>
      <tp t="s">
        <v>#N/A N/A</v>
        <stp/>
        <stp>BDP|12548630336885934238</stp>
        <tr r="BG12" s="2"/>
      </tp>
      <tp t="s">
        <v>#N/A Requesting Data...3600987959</v>
        <stp/>
        <stp>BDP|15186120705632585690</stp>
        <tr r="BF310" s="3"/>
      </tp>
      <tp t="s">
        <v>#N/A Requesting Data...1852281167</v>
        <stp/>
        <stp>BDP|11497799500045166360</stp>
        <tr r="AS135" s="3"/>
      </tp>
      <tp t="s">
        <v>#N/A N/A</v>
        <stp/>
        <stp>BDP|16089261368555187751</stp>
        <tr r="AX31" s="2"/>
      </tp>
      <tp t="s">
        <v>#N/A Requesting Data...1702926958</v>
        <stp/>
        <stp>BDP|14318854325038076696</stp>
        <tr r="AJ337" s="3"/>
      </tp>
      <tp t="s">
        <v>#N/A Requesting Data...2218074575</v>
        <stp/>
        <stp>BDP|15837326764298277864</stp>
        <tr r="AA270" s="3"/>
      </tp>
      <tp t="s">
        <v>#N/A Requesting Data...2432519091</v>
        <stp/>
        <stp>BDP|16496226702034977002</stp>
        <tr r="BG175" s="3"/>
      </tp>
      <tp t="s">
        <v>#N/A Requesting Data...3552002454</v>
        <stp/>
        <stp>BDP|15650225207920985779</stp>
        <tr r="BH180" s="3"/>
      </tp>
      <tp t="s">
        <v>#N/A N/A</v>
        <stp/>
        <stp>BDP|16281458174602911778</stp>
        <tr r="BG67" s="2"/>
      </tp>
      <tp t="s">
        <v>#N/A Requesting Data...1010342872</v>
        <stp/>
        <stp>BDP|10265191410925469525</stp>
        <tr r="AS239" s="3"/>
      </tp>
      <tp t="s">
        <v>#N/A Requesting Data...887930753</v>
        <stp/>
        <stp>BDP|17109159248763696174</stp>
        <tr r="F122" s="3"/>
      </tp>
      <tp t="s">
        <v>#N/A Requesting Data...3378287727</v>
        <stp/>
        <stp>BDP|13341194154996014138</stp>
        <tr r="Y189" s="3"/>
      </tp>
      <tp t="s">
        <v>#N/A Requesting Data...1996281902</v>
        <stp/>
        <stp>BDP|16709144602551970656</stp>
        <tr r="BB247" s="3"/>
      </tp>
      <tp t="s">
        <v>#N/A N/A</v>
        <stp/>
        <stp>BDP|15867840357639313151</stp>
        <tr r="P93" s="2"/>
      </tp>
      <tp t="s">
        <v>#N/A Requesting Data...821517403</v>
        <stp/>
        <stp>BDP|13002698670591395373</stp>
        <tr r="BI160" s="3"/>
      </tp>
      <tp t="s">
        <v>#N/A Requesting Data...4055098872</v>
        <stp/>
        <stp>BDP|14217695464397343315</stp>
        <tr r="AZ264" s="3"/>
      </tp>
      <tp t="s">
        <v>#N/A N/A</v>
        <stp/>
        <stp>BDP|16178710907722815324</stp>
        <tr r="AD68" s="2"/>
      </tp>
      <tp t="s">
        <v>#N/A Requesting Data...3631657731</v>
        <stp/>
        <stp>BDP|10474020108193341306</stp>
        <tr r="AH163" s="3"/>
      </tp>
      <tp t="s">
        <v>#N/A Requesting Data...3235731626</v>
        <stp/>
        <stp>BDP|10091660955543683080</stp>
        <tr r="I246" s="3"/>
      </tp>
      <tp t="s">
        <v>#N/A N/A</v>
        <stp/>
        <stp>BDP|17230590731867296649</stp>
        <tr r="AF75" s="2"/>
      </tp>
      <tp t="s">
        <v>#N/A Requesting Data...2252928102</v>
        <stp/>
        <stp>BDP|14435382719331813718</stp>
        <tr r="Q261" s="3"/>
      </tp>
      <tp t="s">
        <v>#N/A Requesting Data...3463550308</v>
        <stp/>
        <stp>BDP|14452208029687140306</stp>
        <tr r="Y25" s="3"/>
      </tp>
      <tp t="s">
        <v>#N/A Requesting Data...2961743553</v>
        <stp/>
        <stp>BDP|14748520941893822607</stp>
        <tr r="F58" s="3"/>
      </tp>
      <tp t="s">
        <v>#N/A Requesting Data...2924283719</v>
        <stp/>
        <stp>BDP|14483484935904099755</stp>
        <tr r="BH229" s="3"/>
      </tp>
      <tp t="s">
        <v>#N/A Requesting Data...3343428368</v>
        <stp/>
        <stp>BDP|16405473217732157198</stp>
        <tr r="K48" s="3"/>
      </tp>
      <tp t="s">
        <v>#N/A Requesting Data...3443491351</v>
        <stp/>
        <stp>BDP|14717162868654656738</stp>
        <tr r="AH335" s="3"/>
      </tp>
      <tp t="s">
        <v>#N/A Requesting Data...3626166229</v>
        <stp/>
        <stp>BDP|17512085478857138780</stp>
        <tr r="BB187" s="3"/>
      </tp>
      <tp t="s">
        <v>#N/A Requesting Data...1857309170</v>
        <stp/>
        <stp>BDP|16478342344981132090</stp>
        <tr r="N9" s="2"/>
      </tp>
      <tp t="s">
        <v>#N/A Requesting Data...1066241969</v>
        <stp/>
        <stp>BDP|14765822292851354487</stp>
        <tr r="BI162" s="3"/>
      </tp>
      <tp t="s">
        <v>#N/A Requesting Data...1909466775</v>
        <stp/>
        <stp>BDP|11126107116964293598</stp>
        <tr r="AS255" s="3"/>
      </tp>
      <tp t="s">
        <v>#N/A Requesting Data...3267644447</v>
        <stp/>
        <stp>BDP|11645390544933465538</stp>
        <tr r="K5" s="2"/>
      </tp>
      <tp t="s">
        <v>#N/A Requesting Data...1250383638</v>
        <stp/>
        <stp>BDP|15722666747015216287</stp>
        <tr r="BA128" s="3"/>
      </tp>
      <tp t="s">
        <v>#N/A N/A</v>
        <stp/>
        <stp>BDP|13712723625376585099</stp>
        <tr r="P52" s="2"/>
      </tp>
      <tp t="s">
        <v>#N/A Requesting Data...3222470502</v>
        <stp/>
        <stp>BDP|16454325114544847061</stp>
        <tr r="BB185" s="3"/>
      </tp>
      <tp t="s">
        <v>#N/A Requesting Data...554192631</v>
        <stp/>
        <stp>BDP|10336639719261485617</stp>
        <tr r="AQ196" s="3"/>
      </tp>
      <tp t="s">
        <v>#N/A Requesting Data...517890967</v>
        <stp/>
        <stp>BDP|12437186671555410157</stp>
        <tr r="BF157" s="3"/>
      </tp>
      <tp t="s">
        <v>#N/A N/A</v>
        <stp/>
        <stp>BDP|11637185373672245532</stp>
        <tr r="AF58" s="2"/>
      </tp>
      <tp t="s">
        <v>#N/A Requesting Data...1887315653</v>
        <stp/>
        <stp>BDP|10534861545294210884</stp>
        <tr r="K181" s="3"/>
      </tp>
      <tp t="s">
        <v>#N/A Requesting Data...1944316266</v>
        <stp/>
        <stp>BDP|10347305526383120285</stp>
        <tr r="AJ294" s="3"/>
      </tp>
      <tp t="s">
        <v>#N/A Requesting Data...1161089806</v>
        <stp/>
        <stp>BDP|10995540401311393436</stp>
        <tr r="BA339" s="3"/>
      </tp>
      <tp t="s">
        <v>#N/A N/A</v>
        <stp/>
        <stp>BDP|15822557253296351316</stp>
        <tr r="BM91" s="2"/>
      </tp>
      <tp t="s">
        <v>#N/A Requesting Data...3911073341</v>
        <stp/>
        <stp>BDP|10649468120047408188</stp>
        <tr r="AJ261" s="3"/>
      </tp>
      <tp t="s">
        <v>#N/A Requesting Data...487285222</v>
        <stp/>
        <stp>BDP|11631890256104224874</stp>
        <tr r="O25" s="3"/>
      </tp>
      <tp t="s">
        <v>#N/A Requesting Data...2713616260</v>
        <stp/>
        <stp>BDP|10769332615092780097</stp>
        <tr r="F280" s="3"/>
      </tp>
      <tp t="s">
        <v>#N/A Requesting Data...1401214911</v>
        <stp/>
        <stp>BDP|14806504562920461710</stp>
        <tr r="BH112" s="3"/>
      </tp>
      <tp t="s">
        <v>#N/A Requesting Data...1691623415</v>
        <stp/>
        <stp>BDP|16061891132935673822</stp>
        <tr r="BG120" s="3"/>
      </tp>
      <tp t="s">
        <v>#N/A Requesting Data...743771174</v>
        <stp/>
        <stp>BDP|14272990987140391506</stp>
        <tr r="AS294" s="3"/>
      </tp>
      <tp t="s">
        <v>#N/A Requesting Data...4039322401</v>
        <stp/>
        <stp>BDP|18444532808964245923</stp>
        <tr r="F154" s="3"/>
      </tp>
      <tp t="s">
        <v>#N/A N/A</v>
        <stp/>
        <stp>BDP|11843142200814148427</stp>
        <tr r="T96" s="2"/>
      </tp>
      <tp t="s">
        <v>#N/A N/A</v>
        <stp/>
        <stp>BDP|13979506249382687097</stp>
        <tr r="BM51" s="2"/>
      </tp>
      <tp t="s">
        <v>#N/A Requesting Data...4055644191</v>
        <stp/>
        <stp>BDP|11271490839222400496</stp>
        <tr r="F269" s="3"/>
      </tp>
      <tp t="s">
        <v>#N/A N/A</v>
        <stp/>
        <stp>BDP|17506290231257279107</stp>
        <tr r="AD93" s="2"/>
      </tp>
      <tp t="s">
        <v>#N/A Requesting Data...1276337458</v>
        <stp/>
        <stp>BDP|13648282920293620077</stp>
        <tr r="K81" s="3"/>
      </tp>
      <tp t="s">
        <v>#N/A Requesting Data...2470582948</v>
        <stp/>
        <stp>BDP|11144620108397517017</stp>
        <tr r="BG180" s="3"/>
      </tp>
      <tp t="s">
        <v>#N/A Requesting Data...1236978099</v>
        <stp/>
        <stp>BDP|15166381611236277153</stp>
        <tr r="G7" s="4"/>
      </tp>
      <tp t="s">
        <v>#N/A Requesting Data...1889688644</v>
        <stp/>
        <stp>BDP|16410490037732623331</stp>
        <tr r="BH253" s="3"/>
      </tp>
      <tp t="s">
        <v>#N/A Requesting Data...3891274860</v>
        <stp/>
        <stp>BDP|15819626345006326131</stp>
        <tr r="Y250" s="3"/>
      </tp>
      <tp t="s">
        <v>#N/A Requesting Data...3355163040</v>
        <stp/>
        <stp>BDP|16163121116375827322</stp>
        <tr r="BI165" s="3"/>
      </tp>
      <tp t="s">
        <v>#N/A Requesting Data...3058969531</v>
        <stp/>
        <stp>BDP|14250086342681267149</stp>
        <tr r="AQ38" s="3"/>
      </tp>
      <tp t="s">
        <v>#N/A Requesting Data...3393129777</v>
        <stp/>
        <stp>BDP|15866156355905624401</stp>
        <tr r="BG299" s="3"/>
      </tp>
      <tp t="s">
        <v>#N/A Requesting Data...1541863009</v>
        <stp/>
        <stp>BDP|13499471404894026398</stp>
        <tr r="BG318" s="3"/>
      </tp>
      <tp t="s">
        <v>#N/A Requesting Data...1662963664</v>
        <stp/>
        <stp>BDP|18211518888331447417</stp>
        <tr r="BF180" s="3"/>
      </tp>
      <tp t="s">
        <v>#N/A Requesting Data...1168980625</v>
        <stp/>
        <stp>BDP|13986452137374103040</stp>
        <tr r="BH326" s="3"/>
      </tp>
      <tp t="s">
        <v>#N/A Requesting Data...1558709364</v>
        <stp/>
        <stp>BDP|11277740860000888007</stp>
        <tr r="AF39" s="4"/>
      </tp>
      <tp t="s">
        <v>#N/A Requesting Data...3408303128</v>
        <stp/>
        <stp>BDP|17563048765605883428</stp>
        <tr r="BG198" s="3"/>
      </tp>
      <tp t="s">
        <v>#N/A Requesting Data...2928969157</v>
        <stp/>
        <stp>BDP|12465142759911300745</stp>
        <tr r="AH61" s="3"/>
      </tp>
      <tp t="s">
        <v>#N/A Requesting Data...4061576173</v>
        <stp/>
        <stp>BDP|14585010044133923374</stp>
        <tr r="AZ247" s="3"/>
      </tp>
      <tp t="s">
        <v>#N/A Requesting Data...3882945546</v>
        <stp/>
        <stp>BDP|18157828257802887723</stp>
        <tr r="O46" s="3"/>
      </tp>
      <tp t="s">
        <v>#N/A Requesting Data...1995483259</v>
        <stp/>
        <stp>BDP|10271787569945868452</stp>
        <tr r="BF269" s="3"/>
      </tp>
      <tp t="s">
        <v>#N/A Requesting Data...1969663007</v>
        <stp/>
        <stp>BDP|14277260501691949728</stp>
        <tr r="M37" s="4"/>
      </tp>
      <tp t="s">
        <v>#N/A Requesting Data...1687433017</v>
        <stp/>
        <stp>BDP|12263096006026453479</stp>
        <tr r="AH245" s="3"/>
      </tp>
      <tp t="s">
        <v>#N/A Requesting Data...1276528937</v>
        <stp/>
        <stp>BDP|13151233222507972474</stp>
        <tr r="AQ263" s="3"/>
      </tp>
      <tp t="s">
        <v>#N/A Requesting Data...1751825551</v>
        <stp/>
        <stp>BDP|10338596261947313468</stp>
        <tr r="AJ143" s="3"/>
      </tp>
      <tp t="s">
        <v>#N/A N/A</v>
        <stp/>
        <stp>BDP|12925815646329758775</stp>
        <tr r="AO94" s="2"/>
      </tp>
      <tp t="s">
        <v>#N/A Requesting Data...3168291026</v>
        <stp/>
        <stp>BDP|16107321053604960475</stp>
        <tr r="Q154" s="3"/>
      </tp>
      <tp t="s">
        <v>#N/A Requesting Data...2843643551</v>
        <stp/>
        <stp>BDP|11473185305770286059</stp>
        <tr r="O68" s="3"/>
      </tp>
      <tp t="s">
        <v>#N/A N/A</v>
        <stp/>
        <stp>BDP|14311636954287842025</stp>
        <tr r="BF80" s="2"/>
      </tp>
      <tp t="s">
        <v>#N/A Requesting Data...3504283579</v>
        <stp/>
        <stp>BDP|15240069836842060439</stp>
        <tr r="AJ67" s="3"/>
      </tp>
      <tp t="s">
        <v>#N/A Requesting Data...2578042568</v>
        <stp/>
        <stp>BDP|10813862676036026998</stp>
        <tr r="BF325" s="3"/>
      </tp>
      <tp t="s">
        <v>#N/A Requesting Data...3195173641</v>
        <stp/>
        <stp>BDP|16634524223935127475</stp>
        <tr r="BG123" s="3"/>
      </tp>
      <tp t="s">
        <v>#N/A Requesting Data...1722851827</v>
        <stp/>
        <stp>BDP|12018969882747776420</stp>
        <tr r="BG199" s="3"/>
      </tp>
      <tp t="s">
        <v>#N/A Requesting Data...3117919236</v>
        <stp/>
        <stp>BDP|12047664722747515109</stp>
        <tr r="BB28" s="3"/>
      </tp>
      <tp t="s">
        <v>#N/A Requesting Data...3844708116</v>
        <stp/>
        <stp>BDP|13723353367363094545</stp>
        <tr r="AO8" s="2"/>
      </tp>
      <tp t="s">
        <v>#N/A Requesting Data...862022714</v>
        <stp/>
        <stp>BDP|12287702944899167865</stp>
        <tr r="AH326" s="3"/>
      </tp>
      <tp t="s">
        <v>#N/A Requesting Data...3090631787</v>
        <stp/>
        <stp>BDP|15027786234637546686</stp>
        <tr r="K167" s="3"/>
      </tp>
      <tp t="s">
        <v>#N/A Requesting Data...3530679425</v>
        <stp/>
        <stp>BDP|17421947980764639276</stp>
        <tr r="BA113" s="3"/>
      </tp>
      <tp t="s">
        <v>#N/A Requesting Data...1965158098</v>
        <stp/>
        <stp>BDP|13167432962344655574</stp>
        <tr r="AZ78" s="3"/>
      </tp>
      <tp t="s">
        <v>#N/A Requesting Data...3405487670</v>
        <stp/>
        <stp>BDP|15205639485723584800</stp>
        <tr r="AZ100" s="3"/>
      </tp>
      <tp t="s">
        <v>#N/A Requesting Data...3382526176</v>
        <stp/>
        <stp>BDP|10042050005682123205</stp>
        <tr r="AJ128" s="3"/>
      </tp>
      <tp t="s">
        <v>#N/A Requesting Data...2103866145</v>
        <stp/>
        <stp>BDP|14064356826402099728</stp>
        <tr r="Q347" s="3"/>
      </tp>
      <tp t="s">
        <v>#N/A Requesting Data...1896160552</v>
        <stp/>
        <stp>BDP|15028173114897296205</stp>
        <tr r="AS154" s="3"/>
      </tp>
      <tp t="s">
        <v>#N/A Requesting Data...2251302061</v>
        <stp/>
        <stp>BDP|13588508914982886585</stp>
        <tr r="AO3" s="2"/>
        <tr r="AJ316" s="3"/>
      </tp>
      <tp t="s">
        <v>#N/A N/A</v>
        <stp/>
        <stp>BDP|14084001461170870294</stp>
        <tr r="AO59" s="2"/>
      </tp>
      <tp t="s">
        <v>#N/A N/A</v>
        <stp/>
        <stp>BDP|10958889283392612245</stp>
        <tr r="P87" s="2"/>
      </tp>
      <tp t="s">
        <v>#N/A Requesting Data...3434647545</v>
        <stp/>
        <stp>BDP|11145174057973956684</stp>
        <tr r="Q262" s="3"/>
      </tp>
      <tp t="s">
        <v>#N/A Requesting Data...4192534723</v>
        <stp/>
        <stp>BDP|17355352417377156209</stp>
        <tr r="AZ251" s="3"/>
      </tp>
      <tp t="s">
        <v>#N/A Requesting Data...2188538668</v>
        <stp/>
        <stp>BDP|15376270167840758147</stp>
        <tr r="BH119" s="3"/>
      </tp>
      <tp t="s">
        <v>#N/A N/A</v>
        <stp/>
        <stp>BDP|15791632234168806887</stp>
        <tr r="N66" s="2"/>
      </tp>
      <tp t="s">
        <v>#N/A Requesting Data...3300188756</v>
        <stp/>
        <stp>BDP|10648494688774326849</stp>
        <tr r="K309" s="3"/>
      </tp>
      <tp t="s">
        <v>#N/A Requesting Data...3317743986</v>
        <stp/>
        <stp>BDP|12661515321367660205</stp>
        <tr r="AH269" s="3"/>
      </tp>
      <tp t="s">
        <v>#N/A N/A</v>
        <stp/>
        <stp>BDP|14631346722021403446</stp>
        <tr r="BK74" s="2"/>
      </tp>
      <tp t="s">
        <v>#N/A Requesting Data...1416743929</v>
        <stp/>
        <stp>BDP|13268303045702317642</stp>
        <tr r="BG314" s="3"/>
      </tp>
      <tp t="s">
        <v>#N/A Requesting Data...2793983524</v>
        <stp/>
        <stp>BDP|14981035059732521369</stp>
        <tr r="Y226" s="3"/>
      </tp>
      <tp t="s">
        <v>#N/A Requesting Data...1296802323</v>
        <stp/>
        <stp>BDP|14451116781108223560</stp>
        <tr r="AJ289" s="3"/>
      </tp>
      <tp t="s">
        <v>#N/A Requesting Data...2602868640</v>
        <stp/>
        <stp>BDP|18369931925907564408</stp>
        <tr r="BB172" s="3"/>
      </tp>
      <tp t="s">
        <v>#N/A Requesting Data...2869525252</v>
        <stp/>
        <stp>BDP|12125256107976682652</stp>
        <tr r="AJ293" s="3"/>
      </tp>
      <tp t="s">
        <v>#N/A Requesting Data...3436001341</v>
        <stp/>
        <stp>BDP|16109039373965413457</stp>
        <tr r="K128" s="3"/>
      </tp>
      <tp t="s">
        <v>#N/A Requesting Data...4152915715</v>
        <stp/>
        <stp>BDP|11002859756158394407</stp>
        <tr r="O314" s="3"/>
      </tp>
      <tp t="s">
        <v>#N/A Requesting Data...1649925415</v>
        <stp/>
        <stp>BDP|17551189512295719289</stp>
        <tr r="Q226" s="3"/>
      </tp>
      <tp t="s">
        <v>#N/A N/A</v>
        <stp/>
        <stp>BDP|13365574910263039445</stp>
        <tr r="AV69" s="2"/>
      </tp>
      <tp t="s">
        <v>#N/A N/A</v>
        <stp/>
        <stp>BDP|11479266991512511860</stp>
        <tr r="AF49" s="2"/>
      </tp>
      <tp t="s">
        <v>#N/A Requesting Data...2934584980</v>
        <stp/>
        <stp>BDP|16157750112259454926</stp>
        <tr r="BF184" s="3"/>
      </tp>
      <tp t="s">
        <v>#N/A Requesting Data...3572071246</v>
        <stp/>
        <stp>BDP|10732124624363333023</stp>
        <tr r="Q182" s="3"/>
      </tp>
      <tp t="s">
        <v>#N/A Requesting Data...3175170855</v>
        <stp/>
        <stp>BDP|15887409348341343432</stp>
        <tr r="AZ183" s="3"/>
      </tp>
      <tp t="s">
        <v>#N/A Requesting Data...2520953632</v>
        <stp/>
        <stp>BDP|14011508205420525134</stp>
        <tr r="AD2" s="2"/>
        <tr r="W2" s="4"/>
        <tr r="Y2" s="3"/>
      </tp>
      <tp t="s">
        <v>#N/A Requesting Data...3083991758</v>
        <stp/>
        <stp>BDP|16184024433435576065</stp>
        <tr r="AZ169" s="3"/>
      </tp>
      <tp t="s">
        <v>#N/A Requesting Data...3016533274</v>
        <stp/>
        <stp>BDP|10925488506475216165</stp>
        <tr r="AZ186" s="3"/>
      </tp>
      <tp t="s">
        <v>#N/A Requesting Data...2339867528</v>
        <stp/>
        <stp>BDP|13151506763089393923</stp>
        <tr r="W55" s="4"/>
      </tp>
      <tp t="s">
        <v>#N/A Requesting Data...1688649182</v>
        <stp/>
        <stp>BDP|17769203434071446748</stp>
        <tr r="F244" s="3"/>
      </tp>
      <tp t="s">
        <v>#N/A Requesting Data...1001331694</v>
        <stp/>
        <stp>BDP|13183020810026908491</stp>
        <tr r="AQ108" s="3"/>
      </tp>
      <tp t="s">
        <v>#N/A Requesting Data...4126684997</v>
        <stp/>
        <stp>BDP|17162370608881964540</stp>
        <tr r="BG3" s="3"/>
      </tp>
      <tp t="s">
        <v>#N/A Requesting Data...1936675668</v>
        <stp/>
        <stp>BDP|14567013726024794264</stp>
        <tr r="AH21" s="3"/>
      </tp>
      <tp t="s">
        <v>#N/A Requesting Data...1213829254</v>
        <stp/>
        <stp>BDP|15929996890964613153</stp>
        <tr r="BH70" s="3"/>
      </tp>
      <tp t="s">
        <v>#N/A N/A</v>
        <stp/>
        <stp>BDP|12615138241213111465</stp>
        <tr r="BF77" s="2"/>
      </tp>
      <tp t="s">
        <v>#N/A Requesting Data...2644235147</v>
        <stp/>
        <stp>BDP|12290987113062378897</stp>
        <tr r="AZ315" s="3"/>
      </tp>
      <tp t="s">
        <v>#N/A Requesting Data...3331481569</v>
        <stp/>
        <stp>BDP|13737629944122617344</stp>
        <tr r="AS143" s="3"/>
      </tp>
      <tp t="s">
        <v>#N/A Requesting Data...2980320373</v>
        <stp/>
        <stp>BDP|11274145512865552422</stp>
        <tr r="F281" s="3"/>
      </tp>
      <tp t="s">
        <v>#N/A Requesting Data...2799153172</v>
        <stp/>
        <stp>BDP|16571367693099631550</stp>
        <tr r="BA135" s="3"/>
      </tp>
      <tp t="s">
        <v>#N/A Requesting Data...2405773791</v>
        <stp/>
        <stp>BDP|16385369575952394002</stp>
        <tr r="BI88" s="3"/>
      </tp>
      <tp t="s">
        <v>#N/A N/A</v>
        <stp/>
        <stp>BDP|14104733441184708371</stp>
        <tr r="AO60" s="2"/>
      </tp>
      <tp t="s">
        <v>#N/A Requesting Data...2770608192</v>
        <stp/>
        <stp>BDP|10420016663260203674</stp>
        <tr r="BA263" s="3"/>
      </tp>
      <tp t="s">
        <v>#N/A Requesting Data...4024381753</v>
        <stp/>
        <stp>BDP|15645447763285701250</stp>
        <tr r="Y330" s="3"/>
      </tp>
      <tp t="s">
        <v>#N/A N/A</v>
        <stp/>
        <stp>BDP|13372840906699384219</stp>
        <tr r="AM76" s="2"/>
      </tp>
      <tp t="s">
        <v>#N/A Requesting Data...978000030</v>
        <stp/>
        <stp>BDP|15908084215544458033</stp>
        <tr r="AQ329" s="3"/>
      </tp>
      <tp t="s">
        <v>#N/A Requesting Data...3281083718</v>
        <stp/>
        <stp>BDP|14411881568009674310</stp>
        <tr r="AF33" s="4"/>
      </tp>
      <tp t="s">
        <v>#N/A Requesting Data...969424546</v>
        <stp/>
        <stp>BDP|12681873606263048948</stp>
        <tr r="BI308" s="3"/>
      </tp>
      <tp t="s">
        <v>#N/A Requesting Data...2487048802</v>
        <stp/>
        <stp>BDP|13731716144032525242</stp>
        <tr r="Y253" s="3"/>
      </tp>
      <tp t="s">
        <v>#N/A Requesting Data...1529151524</v>
        <stp/>
        <stp>BDP|16207643893631004861</stp>
        <tr r="AA99" s="3"/>
      </tp>
      <tp t="s">
        <v>#N/A Requesting Data...3888786821</v>
        <stp/>
        <stp>BDP|13604182628625792529</stp>
        <tr r="Q162" s="3"/>
      </tp>
      <tp t="s">
        <v>#N/A N/A</v>
        <stp/>
        <stp>BDP|12225021712376339538</stp>
        <tr r="K25" s="2"/>
      </tp>
      <tp t="s">
        <v>#N/A Requesting Data...2717790812</v>
        <stp/>
        <stp>BDP|13265998164164808854</stp>
        <tr r="BH329" s="3"/>
      </tp>
      <tp t="s">
        <v>#N/A Requesting Data...3934574132</v>
        <stp/>
        <stp>BDP|14742204920085405118</stp>
        <tr r="Q73" s="3"/>
      </tp>
      <tp t="s">
        <v>#N/A Requesting Data...3508614288</v>
        <stp/>
        <stp>BDP|18233616256269105269</stp>
        <tr r="BI251" s="3"/>
      </tp>
      <tp t="s">
        <v>#N/A Requesting Data...1449505252</v>
        <stp/>
        <stp>BDP|14442765274522696620</stp>
        <tr r="O66" s="3"/>
      </tp>
      <tp t="s">
        <v>#N/A N/A</v>
        <stp/>
        <stp>BDP|18102906122997268434</stp>
        <tr r="AX99" s="2"/>
      </tp>
      <tp t="s">
        <v>#N/A Requesting Data...1702031428</v>
        <stp/>
        <stp>BDP|13052437277489503935</stp>
        <tr r="BI55" s="3"/>
      </tp>
      <tp t="s">
        <v>#N/A N/A</v>
        <stp/>
        <stp>BDP|16693811426238011438</stp>
        <tr r="K81" s="2"/>
      </tp>
      <tp t="s">
        <v>#N/A Requesting Data...2827793153</v>
        <stp/>
        <stp>BDP|14738366621186021325</stp>
        <tr r="Y198" s="3"/>
      </tp>
      <tp t="s">
        <v>#N/A Requesting Data...4030824112</v>
        <stp/>
        <stp>BDP|10037879491889112853</stp>
        <tr r="AZ301" s="3"/>
      </tp>
      <tp t="s">
        <v>#N/A Requesting Data...2126887022</v>
        <stp/>
        <stp>BDP|17148567721537012740</stp>
        <tr r="Y44" s="4"/>
      </tp>
      <tp t="s">
        <v>#N/A N/A</v>
        <stp/>
        <stp>BDP|17428094008821584621</stp>
        <tr r="BE89" s="2"/>
      </tp>
      <tp t="s">
        <v>#N/A N/A</v>
        <stp/>
        <stp>BDP|10866231573254203182</stp>
        <tr r="BK40" s="2"/>
      </tp>
      <tp t="s">
        <v>#N/A Requesting Data...3566711293</v>
        <stp/>
        <stp>BDP|11356277340614524330</stp>
        <tr r="F167" s="3"/>
      </tp>
      <tp t="s">
        <v>#N/A Requesting Data...4210920414</v>
        <stp/>
        <stp>BDP|14033100050416069624</stp>
        <tr r="AZ71" s="3"/>
      </tp>
      <tp t="s">
        <v>#N/A Requesting Data...1486161281</v>
        <stp/>
        <stp>BDP|10145634439460827513</stp>
        <tr r="BH93" s="3"/>
      </tp>
      <tp t="s">
        <v>#N/A Requesting Data...1201919312</v>
        <stp/>
        <stp>BDP|14537700767241838486</stp>
        <tr r="BH157" s="3"/>
      </tp>
      <tp t="s">
        <v>#N/A Requesting Data...1543514106</v>
        <stp/>
        <stp>BDP|11115426620687182073</stp>
        <tr r="O38" s="4"/>
      </tp>
      <tp t="s">
        <v>#N/A Requesting Data...2429809647</v>
        <stp/>
        <stp>BDP|16122142043897125422</stp>
        <tr r="BH353" s="3"/>
      </tp>
      <tp t="s">
        <v>#N/A Requesting Data...1281051212</v>
        <stp/>
        <stp>BDP|17228557571320698557</stp>
        <tr r="BH103" s="3"/>
      </tp>
      <tp t="s">
        <v>#N/A Requesting Data...4021706004</v>
        <stp/>
        <stp>BDP|13043119255010721767</stp>
        <tr r="AS256" s="3"/>
      </tp>
      <tp t="s">
        <v>#N/A Requesting Data...1500588034</v>
        <stp/>
        <stp>BDP|15658666167950147533</stp>
        <tr r="BG89" s="3"/>
      </tp>
      <tp t="s">
        <v>#N/A Requesting Data...4259851665</v>
        <stp/>
        <stp>BDP|11776313326658680837</stp>
        <tr r="I153" s="3"/>
      </tp>
      <tp t="s">
        <v>#N/A Requesting Data...3834309823</v>
        <stp/>
        <stp>BDP|17387555728335876535</stp>
        <tr r="Y172" s="3"/>
      </tp>
      <tp t="s">
        <v>#N/A Requesting Data...1967158974</v>
        <stp/>
        <stp>BDP|12707951445586526975</stp>
        <tr r="AQ348" s="3"/>
      </tp>
      <tp t="s">
        <v>#N/A Requesting Data...2162690713</v>
        <stp/>
        <stp>BDP|17733469754997177117</stp>
        <tr r="O54" s="4"/>
      </tp>
      <tp t="s">
        <v>#N/A Requesting Data...1712935382</v>
        <stp/>
        <stp>BDP|14875034859214401530</stp>
        <tr r="Q33" s="3"/>
      </tp>
      <tp t="s">
        <v>#N/A Requesting Data...2030477580</v>
        <stp/>
        <stp>BDP|18187630497422159518</stp>
        <tr r="AH264" s="3"/>
      </tp>
      <tp t="s">
        <v>#N/A Requesting Data...3049370538</v>
        <stp/>
        <stp>BDP|13271450407694251372</stp>
        <tr r="BG292" s="3"/>
      </tp>
      <tp t="s">
        <v>#N/A Requesting Data...2206553788</v>
        <stp/>
        <stp>BDP|17394409284549409263</stp>
        <tr r="BA74" s="3"/>
      </tp>
      <tp t="s">
        <v>#N/A Requesting Data...4219748384</v>
        <stp/>
        <stp>BDP|13619409944665381640</stp>
        <tr r="AZ348" s="3"/>
      </tp>
      <tp t="s">
        <v>#N/A N/A</v>
        <stp/>
        <stp>BDP|17790016765821282054</stp>
        <tr r="BL79" s="2"/>
      </tp>
      <tp t="s">
        <v>#N/A Requesting Data...3610105494</v>
        <stp/>
        <stp>BDP|12194137665787472276</stp>
        <tr r="AH325" s="3"/>
      </tp>
      <tp t="s">
        <v>#N/A N/A</v>
        <stp/>
        <stp>BDP|10272718264150055135</stp>
        <tr r="AD43" s="2"/>
      </tp>
      <tp t="s">
        <v>#N/A Requesting Data...2360307920</v>
        <stp/>
        <stp>BDP|14949615011970917344</stp>
        <tr r="I128" s="3"/>
      </tp>
      <tp t="s">
        <v>#N/A N/A</v>
        <stp/>
        <stp>BDP|18154658640078903290</stp>
        <tr r="P31" s="2"/>
      </tp>
      <tp t="s">
        <v>#N/A Requesting Data...3175531060</v>
        <stp/>
        <stp>BDP|16339665931927551457</stp>
        <tr r="Q55" s="3"/>
      </tp>
      <tp t="s">
        <v>#N/A Requesting Data...1772667905</v>
        <stp/>
        <stp>BDP|12606584511360891632</stp>
        <tr r="AJ207" s="3"/>
      </tp>
      <tp t="s">
        <v>#N/A Requesting Data...3421158609</v>
        <stp/>
        <stp>BDP|13746841677095753973</stp>
        <tr r="AS149" s="3"/>
      </tp>
      <tp t="s">
        <v>#N/A Requesting Data...3279202809</v>
        <stp/>
        <stp>BDP|13339291178674459222</stp>
        <tr r="AQ29" s="4"/>
      </tp>
      <tp t="s">
        <v>#N/A N/A</v>
        <stp/>
        <stp>BDP|10202024426717297508</stp>
        <tr r="AO42" s="2"/>
      </tp>
      <tp t="s">
        <v>#N/A Requesting Data...3348290151</v>
        <stp/>
        <stp>BDP|16732937999112035497</stp>
        <tr r="BI307" s="3"/>
      </tp>
      <tp t="s">
        <v>#N/A Requesting Data...3907077328</v>
        <stp/>
        <stp>BDP|13729739163267289510</stp>
        <tr r="BF343" s="3"/>
      </tp>
      <tp t="s">
        <v>#N/A Requesting Data...2298849639</v>
        <stp/>
        <stp>BDP|14335615067526329227</stp>
        <tr r="F170" s="3"/>
      </tp>
      <tp t="s">
        <v>#N/A Requesting Data...1758704120</v>
        <stp/>
        <stp>BDP|17827972127769803543</stp>
        <tr r="AQ300" s="3"/>
      </tp>
      <tp t="s">
        <v>#N/A Requesting Data...1916526529</v>
        <stp/>
        <stp>BDP|18095005717678316131</stp>
        <tr r="K321" s="3"/>
      </tp>
      <tp t="s">
        <v>#N/A Requesting Data...1293485148</v>
        <stp/>
        <stp>BDP|17908131362541894174</stp>
        <tr r="AQ124" s="3"/>
      </tp>
      <tp t="s">
        <v>#N/A Requesting Data...1422098067</v>
        <stp/>
        <stp>BDP|14164472015380302178</stp>
        <tr r="F132" s="3"/>
      </tp>
      <tp t="s">
        <v>#N/A Requesting Data...3837254311</v>
        <stp/>
        <stp>BDP|14685321065855589436</stp>
        <tr r="K101" s="3"/>
      </tp>
      <tp t="s">
        <v>#N/A N/A</v>
        <stp/>
        <stp>BDP|18208088127382973831</stp>
        <tr r="BF89" s="2"/>
      </tp>
      <tp t="s">
        <v>#N/A Requesting Data...3163706918</v>
        <stp/>
        <stp>BDP|12726317458854073099</stp>
        <tr r="BG349" s="3"/>
      </tp>
      <tp t="s">
        <v>#N/A Requesting Data...4009086680</v>
        <stp/>
        <stp>BDP|14410245653252036144</stp>
        <tr r="Y218" s="3"/>
      </tp>
      <tp t="s">
        <v>#N/A N/A</v>
        <stp/>
        <stp>BDP|11189895877036892805</stp>
        <tr r="BE97" s="2"/>
      </tp>
      <tp t="s">
        <v>#N/A Requesting Data...2186975282</v>
        <stp/>
        <stp>BDP|10287133190899326151</stp>
        <tr r="AA325" s="3"/>
      </tp>
      <tp t="s">
        <v>#N/A Requesting Data...3268137566</v>
        <stp/>
        <stp>BDP|14783396728796592347</stp>
        <tr r="AA255" s="3"/>
      </tp>
      <tp t="s">
        <v>#N/A Requesting Data...2131597897</v>
        <stp/>
        <stp>BDP|12098423664598714869</stp>
        <tr r="BA295" s="3"/>
      </tp>
      <tp t="s">
        <v>#N/A Requesting Data...3180090425</v>
        <stp/>
        <stp>BDP|16198168550687268524</stp>
        <tr r="G17" s="4"/>
      </tp>
      <tp t="s">
        <v>#N/A Requesting Data...2830705115</v>
        <stp/>
        <stp>BDP|14606721733721310132</stp>
        <tr r="BG315" s="3"/>
      </tp>
      <tp t="s">
        <v>#N/A Requesting Data...3829347405</v>
        <stp/>
        <stp>BDP|16565520732316077626</stp>
        <tr r="O262" s="3"/>
      </tp>
      <tp t="s">
        <v>#N/A Requesting Data...1850117891</v>
        <stp/>
        <stp>BDP|13086111727749506955</stp>
        <tr r="F191" s="3"/>
      </tp>
      <tp t="s">
        <v>#N/A Requesting Data...3375636518</v>
        <stp/>
        <stp>BDP|12745525277998546816</stp>
        <tr r="BG63" s="3"/>
      </tp>
      <tp t="s">
        <v>#N/A N/A</v>
        <stp/>
        <stp>BDP|11593489867707959458</stp>
        <tr r="BG44" s="2"/>
      </tp>
      <tp t="s">
        <v>#N/A Requesting Data...1996752161</v>
        <stp/>
        <stp>BDP|17205236455075444568</stp>
        <tr r="Q123" s="3"/>
      </tp>
      <tp t="s">
        <v>#N/A Requesting Data...1556706948</v>
        <stp/>
        <stp>BDP|11673758937593716652</stp>
        <tr r="AH268" s="3"/>
      </tp>
      <tp t="s">
        <v>#N/A Requesting Data...3738844000</v>
        <stp/>
        <stp>BDP|13431761732704398354</stp>
        <tr r="AO7" s="4"/>
      </tp>
      <tp t="s">
        <v>#N/A Requesting Data...3796730125</v>
        <stp/>
        <stp>BDP|17298255538352910406</stp>
        <tr r="AJ249" s="3"/>
      </tp>
      <tp t="s">
        <v>#N/A Requesting Data...4073527369</v>
        <stp/>
        <stp>BDP|14457675374180494557</stp>
        <tr r="W16" s="4"/>
      </tp>
      <tp t="s">
        <v>#N/A Requesting Data...2334390138</v>
        <stp/>
        <stp>BDP|16390344510082646674</stp>
        <tr r="BG309" s="3"/>
      </tp>
      <tp t="s">
        <v>#N/A Requesting Data...2191301603</v>
        <stp/>
        <stp>BDP|12589068704495590741</stp>
        <tr r="BA261" s="3"/>
      </tp>
      <tp t="s">
        <v>#N/A Requesting Data...2849878497</v>
        <stp/>
        <stp>BDP|17295377031916377113</stp>
        <tr r="BB250" s="3"/>
      </tp>
      <tp t="s">
        <v>#N/A Requesting Data...3240763093</v>
        <stp/>
        <stp>BDP|10393650861007825799</stp>
        <tr r="BI216" s="3"/>
      </tp>
      <tp t="s">
        <v>#N/A Requesting Data...2744226454</v>
        <stp/>
        <stp>BDP|12758159532440523038</stp>
        <tr r="AZ266" s="3"/>
      </tp>
      <tp t="s">
        <v>#N/A Requesting Data...3647085361</v>
        <stp/>
        <stp>BDP|14335865864473651910</stp>
        <tr r="BB319" s="3"/>
      </tp>
      <tp t="s">
        <v>#N/A N/A</v>
        <stp/>
        <stp>BDP|15051014333664309271</stp>
        <tr r="N75" s="2"/>
      </tp>
      <tp t="s">
        <v>#N/A Requesting Data...2508303701</v>
        <stp/>
        <stp>BDP|12022395815492682330</stp>
        <tr r="AH135" s="3"/>
      </tp>
      <tp t="s">
        <v>#N/A Requesting Data...2636575021</v>
        <stp/>
        <stp>BDP|13828798148741669062</stp>
        <tr r="AZ153" s="3"/>
      </tp>
      <tp t="s">
        <v>#N/A Requesting Data...2831173035</v>
        <stp/>
        <stp>BDP|10154468490594897869</stp>
        <tr r="AH331" s="3"/>
      </tp>
      <tp t="s">
        <v>#N/A N/A</v>
        <stp/>
        <stp>BDP|12500249622747257483</stp>
        <tr r="K27" s="2"/>
      </tp>
      <tp t="s">
        <v>#N/A Requesting Data...2012519255</v>
        <stp/>
        <stp>BDP|15288452423352440093</stp>
        <tr r="BH315" s="3"/>
      </tp>
      <tp t="s">
        <v>#N/A Requesting Data...2215213836</v>
        <stp/>
        <stp>BDP|11184141087620315983</stp>
        <tr r="I13" s="4"/>
      </tp>
      <tp t="s">
        <v>#N/A Requesting Data...1702492881</v>
        <stp/>
        <stp>BDP|13375975295285133791</stp>
        <tr r="AQ216" s="3"/>
      </tp>
      <tp t="s">
        <v>#N/A Requesting Data...2384763666</v>
        <stp/>
        <stp>BDP|14592365673784080591</stp>
        <tr r="AJ312" s="3"/>
      </tp>
      <tp t="s">
        <v>#N/A Requesting Data...3571007943</v>
        <stp/>
        <stp>BDP|14075292612882184437</stp>
        <tr r="G61" s="4"/>
      </tp>
      <tp t="s">
        <v>#N/A Requesting Data...2751332119</v>
        <stp/>
        <stp>BDP|13442383177243470560</stp>
        <tr r="I294" s="3"/>
      </tp>
      <tp t="s">
        <v>#N/A Requesting Data...1761045141</v>
        <stp/>
        <stp>BDP|11080909141149160496</stp>
        <tr r="AF12" s="4"/>
      </tp>
      <tp t="s">
        <v>#N/A Requesting Data...3779694950</v>
        <stp/>
        <stp>BDP|10563364849172158421</stp>
        <tr r="F152" s="3"/>
      </tp>
      <tp t="s">
        <v>#N/A N/A</v>
        <stp/>
        <stp>BDP|16217238445893516285</stp>
        <tr r="P85" s="2"/>
      </tp>
      <tp t="s">
        <v>#N/A Requesting Data...2303200723</v>
        <stp/>
        <stp>BDP|14643885042281782832</stp>
        <tr r="Q349" s="3"/>
      </tp>
      <tp t="s">
        <v>#N/A Requesting Data...1707500199</v>
        <stp/>
        <stp>BDP|17746124874242883213</stp>
        <tr r="Q235" s="3"/>
      </tp>
      <tp t="s">
        <v>#N/A Requesting Data...3155754420</v>
        <stp/>
        <stp>BDP|14072477625932349192</stp>
        <tr r="F11" s="3"/>
      </tp>
      <tp t="s">
        <v>#N/A Requesting Data...1752641246</v>
        <stp/>
        <stp>BDP|15743140858968309801</stp>
        <tr r="Q314" s="3"/>
      </tp>
      <tp t="s">
        <v>#N/A Requesting Data...2521293939</v>
        <stp/>
        <stp>BDP|10601499977835845787</stp>
        <tr r="I7" s="3"/>
      </tp>
      <tp t="s">
        <v>#N/A Requesting Data...1616681375</v>
        <stp/>
        <stp>BDP|12662946172889082482</stp>
        <tr r="BH219" s="3"/>
      </tp>
      <tp t="s">
        <v>#N/A N/A</v>
        <stp/>
        <stp>BDP|15120392023956430378</stp>
        <tr r="BF83" s="2"/>
      </tp>
      <tp t="s">
        <v>#N/A N/A</v>
        <stp/>
        <stp>BDP|14371160045542043284</stp>
        <tr r="AV47" s="2"/>
      </tp>
      <tp t="s">
        <v>#N/A Requesting Data...3178485939</v>
        <stp/>
        <stp>BDP|12926015492013521974</stp>
        <tr r="BH216" s="3"/>
      </tp>
      <tp t="s">
        <v>#N/A Requesting Data...2673034690</v>
        <stp/>
        <stp>BDP|16404815099414272266</stp>
        <tr r="F341" s="3"/>
      </tp>
      <tp t="s">
        <v>#N/A Requesting Data...3384870959</v>
        <stp/>
        <stp>BDP|13281568418704276260</stp>
        <tr r="AJ76" s="3"/>
      </tp>
      <tp t="s">
        <v>#N/A Requesting Data...3633540988</v>
        <stp/>
        <stp>BDP|15083201040832913010</stp>
        <tr r="AH262" s="3"/>
      </tp>
      <tp t="s">
        <v>#N/A Requesting Data...2316383391</v>
        <stp/>
        <stp>BDP|11164396195173660937</stp>
        <tr r="BI72" s="3"/>
      </tp>
      <tp t="s">
        <v>#N/A Requesting Data...3060297616</v>
        <stp/>
        <stp>BDP|15918792615331476390</stp>
        <tr r="I22" s="3"/>
      </tp>
      <tp t="s">
        <v>#N/A Requesting Data...3928958305</v>
        <stp/>
        <stp>BDP|10287050544370391585</stp>
        <tr r="AQ229" s="3"/>
      </tp>
      <tp t="s">
        <v>#N/A N/A</v>
        <stp/>
        <stp>BDP|12936192020437085788</stp>
        <tr r="AF92" s="2"/>
      </tp>
      <tp t="s">
        <v>#N/A Requesting Data...3809353723</v>
        <stp/>
        <stp>BDP|11907669403261218751</stp>
        <tr r="BG57" s="3"/>
      </tp>
      <tp t="s">
        <v>#N/A Requesting Data...3761783366</v>
        <stp/>
        <stp>BDP|16391770155385950034</stp>
        <tr r="P17" s="2"/>
        <tr r="I9" s="4"/>
      </tp>
      <tp t="s">
        <v>#N/A Requesting Data...2442922060</v>
        <stp/>
        <stp>BDP|17531065499937657870</stp>
        <tr r="O349" s="3"/>
      </tp>
      <tp t="s">
        <v>#N/A N/A</v>
        <stp/>
        <stp>BDP|11830278088253930953</stp>
        <tr r="BK52" s="2"/>
      </tp>
      <tp t="s">
        <v>#N/A Requesting Data...1738154243</v>
        <stp/>
        <stp>BDP|14731289475111249137</stp>
        <tr r="O166" s="3"/>
      </tp>
      <tp t="s">
        <v>#N/A Requesting Data...1918977881</v>
        <stp/>
        <stp>BDP|11005209151371277681</stp>
        <tr r="BH289" s="3"/>
      </tp>
      <tp t="s">
        <v>#N/A Requesting Data...3674908649</v>
        <stp/>
        <stp>BDP|17217317663252286190</stp>
        <tr r="BA78" s="3"/>
      </tp>
      <tp t="s">
        <v>#N/A Requesting Data...2278831273</v>
        <stp/>
        <stp>BDP|17870776557253572768</stp>
        <tr r="BF301" s="3"/>
      </tp>
      <tp t="s">
        <v>#N/A Requesting Data...3008327800</v>
        <stp/>
        <stp>BDP|13042583490779402773</stp>
        <tr r="I328" s="3"/>
      </tp>
      <tp t="s">
        <v>#N/A Requesting Data...2288871842</v>
        <stp/>
        <stp>BDP|11819165363720364754</stp>
        <tr r="K129" s="3"/>
      </tp>
      <tp t="s">
        <v>#N/A Requesting Data...3862001587</v>
        <stp/>
        <stp>BDP|13248816113603800835</stp>
        <tr r="Y353" s="3"/>
      </tp>
      <tp t="s">
        <v>#N/A N/A</v>
        <stp/>
        <stp>BDP|15545474320114122683</stp>
        <tr r="AM51" s="2"/>
      </tp>
      <tp t="s">
        <v>#N/A Requesting Data...2116859412</v>
        <stp/>
        <stp>BDP|15563311268723612211</stp>
        <tr r="AJ12" s="3"/>
      </tp>
      <tp t="s">
        <v>#N/A N/A</v>
        <stp/>
        <stp>BDP|12529827786015313692</stp>
        <tr r="K45" s="2"/>
      </tp>
      <tp t="s">
        <v>#N/A Requesting Data...3292317159</v>
        <stp/>
        <stp>BDP|17552144463622884319</stp>
        <tr r="AA89" s="3"/>
      </tp>
      <tp t="s">
        <v>#N/A N/A</v>
        <stp/>
        <stp>BDP|12198104171705866038</stp>
        <tr r="N81" s="2"/>
      </tp>
      <tp t="s">
        <v>#N/A Requesting Data...3523674201</v>
        <stp/>
        <stp>BDP|13001405811641259682</stp>
        <tr r="O126" s="3"/>
      </tp>
      <tp t="s">
        <v>#N/A Requesting Data...3782330854</v>
        <stp/>
        <stp>BDP|15427266978287356627</stp>
        <tr r="BG72" s="3"/>
      </tp>
      <tp t="s">
        <v>#N/A Requesting Data...3632444493</v>
        <stp/>
        <stp>BDP|12340908648609801790</stp>
        <tr r="AA174" s="3"/>
      </tp>
      <tp t="s">
        <v>#N/A Requesting Data...4016734801</v>
        <stp/>
        <stp>BDP|14115503895678750198</stp>
        <tr r="BA140" s="3"/>
      </tp>
      <tp t="s">
        <v>#N/A N/A</v>
        <stp/>
        <stp>BDP|15449068758153928296</stp>
        <tr r="AX97" s="2"/>
      </tp>
      <tp t="s">
        <v>#N/A Requesting Data...3897205355</v>
        <stp/>
        <stp>BDP|15772654010970854307</stp>
        <tr r="AH214" s="3"/>
      </tp>
      <tp t="s">
        <v>#N/A Requesting Data...2068009656</v>
        <stp/>
        <stp>BDP|14466093910686546228</stp>
        <tr r="Y178" s="3"/>
      </tp>
      <tp t="s">
        <v>#N/A N/A</v>
        <stp/>
        <stp>BDP|17940626737475283641</stp>
        <tr r="T51" s="2"/>
      </tp>
      <tp t="s">
        <v>#N/A Requesting Data...4089682169</v>
        <stp/>
        <stp>BDP|12763219568114227362</stp>
        <tr r="F74" s="3"/>
      </tp>
      <tp t="s">
        <v>#N/A Requesting Data...4124074557</v>
        <stp/>
        <stp>BDP|10918300870947709245</stp>
        <tr r="I166" s="3"/>
      </tp>
      <tp t="s">
        <v>#N/A Requesting Data...2749180638</v>
        <stp/>
        <stp>BDP|16914356559704999564</stp>
        <tr r="AF42" s="4"/>
      </tp>
      <tp t="s">
        <v>#N/A Requesting Data...3126778304</v>
        <stp/>
        <stp>BDP|10431031979906025045</stp>
        <tr r="BF314" s="3"/>
      </tp>
      <tp t="s">
        <v>#N/A Requesting Data...2011002256</v>
        <stp/>
        <stp>BDP|16310409068027821299</stp>
        <tr r="Y30" s="4"/>
      </tp>
      <tp t="s">
        <v>#N/A Requesting Data...2743885225</v>
        <stp/>
        <stp>BDP|17609372856198841856</stp>
        <tr r="AO45" s="4"/>
      </tp>
      <tp t="s">
        <v>#N/A Requesting Data...1857386816</v>
        <stp/>
        <stp>BDP|10103741274668856933</stp>
        <tr r="AA98" s="3"/>
      </tp>
      <tp t="s">
        <v>#N/A Requesting Data...2934840980</v>
        <stp/>
        <stp>BDP|11160384824997021679</stp>
        <tr r="AJ169" s="3"/>
      </tp>
      <tp t="s">
        <v>#N/A Requesting Data...4248927632</v>
        <stp/>
        <stp>BDP|13820007305453635112</stp>
        <tr r="I19" s="3"/>
      </tp>
      <tp t="s">
        <v>#N/A Requesting Data...2580380020</v>
        <stp/>
        <stp>BDP|14347251938663179752</stp>
        <tr r="AA59" s="3"/>
      </tp>
      <tp t="s">
        <v>#N/A Requesting Data...3864689517</v>
        <stp/>
        <stp>BDP|12232053928561379019</stp>
        <tr r="AX25" s="4"/>
      </tp>
      <tp t="s">
        <v>#N/A Requesting Data...4200586848</v>
        <stp/>
        <stp>BDP|16320399723004760236</stp>
        <tr r="BF188" s="3"/>
      </tp>
      <tp t="s">
        <v>#N/A Requesting Data...4084959941</v>
        <stp/>
        <stp>BDP|14084245254077870550</stp>
        <tr r="AA212" s="3"/>
      </tp>
      <tp t="s">
        <v>#N/A Requesting Data...3403963955</v>
        <stp/>
        <stp>BDP|18047514050880817940</stp>
        <tr r="O59" s="3"/>
      </tp>
      <tp t="s">
        <v>#N/A Requesting Data...2385798304</v>
        <stp/>
        <stp>BDP|11989651704064477216</stp>
        <tr r="Q15" s="3"/>
      </tp>
      <tp t="s">
        <v>#N/A Requesting Data...2156907260</v>
        <stp/>
        <stp>BDP|15263588900717234652</stp>
        <tr r="AA124" s="3"/>
      </tp>
      <tp t="s">
        <v>#N/A N/A</v>
        <stp/>
        <stp>BDP|14171701934437121698</stp>
        <tr r="P94" s="2"/>
      </tp>
      <tp t="s">
        <v>#N/A Requesting Data...1992539384</v>
        <stp/>
        <stp>BDP|15585090220122063410</stp>
        <tr r="AF13" s="4"/>
      </tp>
      <tp t="s">
        <v>#N/A N/A</v>
        <stp/>
        <stp>BDP|17989401395733635873</stp>
        <tr r="BM96" s="2"/>
      </tp>
      <tp t="s">
        <v>#N/A Requesting Data...3305660827</v>
        <stp/>
        <stp>BDP|17684916228619212407</stp>
        <tr r="Q188" s="3"/>
      </tp>
      <tp t="s">
        <v>#N/A Requesting Data...3323961962</v>
        <stp/>
        <stp>BDP|11849452548520976019</stp>
        <tr r="AS81" s="3"/>
      </tp>
      <tp t="s">
        <v>#N/A Requesting Data...3510336436</v>
        <stp/>
        <stp>BDP|13202780254650727048</stp>
        <tr r="AH107" s="3"/>
      </tp>
      <tp t="s">
        <v>#N/A Requesting Data...4272724869</v>
        <stp/>
        <stp>BDP|15734194204432502722</stp>
        <tr r="AJ230" s="3"/>
      </tp>
      <tp t="s">
        <v>#N/A Requesting Data...3803261368</v>
        <stp/>
        <stp>BDP|15219360938196058215</stp>
        <tr r="Q256" s="3"/>
      </tp>
      <tp t="s">
        <v>#N/A Requesting Data...2234346714</v>
        <stp/>
        <stp>BDP|12778902494351662287</stp>
        <tr r="K336" s="3"/>
      </tp>
      <tp t="s">
        <v>#N/A N/A</v>
        <stp/>
        <stp>BDP|17020084683208160674</stp>
        <tr r="BK47" s="2"/>
      </tp>
      <tp t="s">
        <v>#N/A Requesting Data...3555518056</v>
        <stp/>
        <stp>BDP|13698958280221907276</stp>
        <tr r="BA348" s="3"/>
      </tp>
      <tp t="s">
        <v>#N/A Requesting Data...4292528087</v>
        <stp/>
        <stp>BDP|17085214730852528593</stp>
        <tr r="Q180" s="3"/>
      </tp>
      <tp t="s">
        <v>#N/A N/A</v>
        <stp/>
        <stp>BDP|17969863301738637654</stp>
        <tr r="AF14" s="2"/>
      </tp>
      <tp t="s">
        <v>#N/A Requesting Data...2597696141</v>
        <stp/>
        <stp>BDP|11493592714404231077</stp>
        <tr r="BB344" s="3"/>
      </tp>
      <tp t="s">
        <v>#N/A Requesting Data...3740946331</v>
        <stp/>
        <stp>BDP|11290732306234267394</stp>
        <tr r="AA225" s="3"/>
      </tp>
      <tp t="s">
        <v>#N/A Requesting Data...3956280498</v>
        <stp/>
        <stp>BDP|17179186645015128618</stp>
        <tr r="AS74" s="3"/>
      </tp>
      <tp t="s">
        <v>#N/A Requesting Data...2577900096</v>
        <stp/>
        <stp>BDP|15349938819745301961</stp>
        <tr r="BH13" s="3"/>
      </tp>
      <tp t="s">
        <v>#N/A Requesting Data...2318169323</v>
        <stp/>
        <stp>BDP|16536636476735998353</stp>
        <tr r="AX29" s="4"/>
      </tp>
      <tp t="s">
        <v>#N/A N/A</v>
        <stp/>
        <stp>BDP|11520872598910544135</stp>
        <tr r="P57" s="2"/>
      </tp>
      <tp t="s">
        <v>#N/A Requesting Data...3392056163</v>
        <stp/>
        <stp>BDP|16948157541791346328</stp>
        <tr r="Y112" s="3"/>
      </tp>
      <tp t="s">
        <v>#N/A Requesting Data...2162834478</v>
        <stp/>
        <stp>BDP|15656317023645186093</stp>
        <tr r="BB180" s="3"/>
      </tp>
      <tp t="s">
        <v>#N/A Requesting Data...3693497088</v>
        <stp/>
        <stp>BDP|13860617863147386556</stp>
        <tr r="BA130" s="3"/>
      </tp>
      <tp t="s">
        <v>#N/A Requesting Data...2690740298</v>
        <stp/>
        <stp>BDP|11328408069540420220</stp>
        <tr r="Q19" s="3"/>
      </tp>
      <tp t="s">
        <v>#N/A Requesting Data...4065076325</v>
        <stp/>
        <stp>BDP|12168094020161334071</stp>
        <tr r="AQ13" s="4"/>
      </tp>
      <tp t="s">
        <v>#N/A Requesting Data...4167636982</v>
        <stp/>
        <stp>BDP|15192692723534298457</stp>
        <tr r="AX9" s="2"/>
      </tp>
      <tp t="s">
        <v>#N/A Requesting Data...3536518702</v>
        <stp/>
        <stp>BDP|18369572357499699099</stp>
        <tr r="AQ152" s="3"/>
      </tp>
      <tp t="s">
        <v>#N/A Requesting Data...3256145232</v>
        <stp/>
        <stp>BDP|15436791737052611203</stp>
        <tr r="AS88" s="3"/>
      </tp>
      <tp t="s">
        <v>#N/A Requesting Data...3815318966</v>
        <stp/>
        <stp>BDP|15420212211241841606</stp>
        <tr r="AA252" s="3"/>
      </tp>
      <tp t="s">
        <v>#N/A Requesting Data...3699866081</v>
        <stp/>
        <stp>BDP|10446119304149947948</stp>
        <tr r="AQ45" s="4"/>
      </tp>
      <tp t="s">
        <v>#N/A Requesting Data...2510565512</v>
        <stp/>
        <stp>BDP|12035386996989028028</stp>
        <tr r="BB195" s="3"/>
      </tp>
      <tp t="s">
        <v>#N/A Requesting Data...3203714775</v>
        <stp/>
        <stp>BDP|18408003344764423980</stp>
        <tr r="BF57" s="3"/>
      </tp>
      <tp t="s">
        <v>#N/A Requesting Data...2613884366</v>
        <stp/>
        <stp>BDP|11430036957031933450</stp>
        <tr r="AS140" s="3"/>
      </tp>
      <tp t="s">
        <v>#N/A Requesting Data...3764891711</v>
        <stp/>
        <stp>BDP|15255345039314126027</stp>
        <tr r="Q112" s="3"/>
      </tp>
      <tp t="s">
        <v>#N/A Requesting Data...2799243826</v>
        <stp/>
        <stp>BDP|16335754566216961057</stp>
        <tr r="AQ193" s="3"/>
      </tp>
      <tp t="s">
        <v>#N/A Requesting Data...2459061228</v>
        <stp/>
        <stp>BDP|12121754046567845763</stp>
        <tr r="Y132" s="3"/>
      </tp>
      <tp t="s">
        <v>#N/A Requesting Data...3213260278</v>
        <stp/>
        <stp>BDP|15964330491306576819</stp>
        <tr r="K10" s="3"/>
      </tp>
      <tp t="s">
        <v>#N/A Requesting Data...2433944574</v>
        <stp/>
        <stp>BDP|10919042429887369487</stp>
        <tr r="I279" s="3"/>
      </tp>
      <tp t="s">
        <v>#N/A Requesting Data...4034607715</v>
        <stp/>
        <stp>BDP|10815544220002285417</stp>
        <tr r="Y134" s="3"/>
      </tp>
      <tp t="s">
        <v>#N/A Requesting Data...2475002562</v>
        <stp/>
        <stp>BDP|10648181437791085264</stp>
        <tr r="BI114" s="3"/>
      </tp>
      <tp t="s">
        <v>#N/A Requesting Data...3804232898</v>
        <stp/>
        <stp>BDP|10969032554112894690</stp>
        <tr r="Q343" s="3"/>
      </tp>
      <tp t="s">
        <v>#N/A Requesting Data...4213784857</v>
        <stp/>
        <stp>BDP|11856348903032075106</stp>
        <tr r="BA10" s="3"/>
      </tp>
      <tp t="s">
        <v>#N/A Requesting Data...3785290950</v>
        <stp/>
        <stp>BDP|11109822983409612996</stp>
        <tr r="AA62" s="3"/>
      </tp>
      <tp t="s">
        <v>#N/A Requesting Data...4092186266</v>
        <stp/>
        <stp>BDP|16650305138445920286</stp>
        <tr r="AZ335" s="3"/>
      </tp>
      <tp t="s">
        <v>#N/A Requesting Data...3364112165</v>
        <stp/>
        <stp>BDP|10608631816263978553</stp>
        <tr r="Y53" s="3"/>
      </tp>
      <tp t="s">
        <v>#N/A Requesting Data...2814439968</v>
        <stp/>
        <stp>BDP|13176529863907708680</stp>
        <tr r="F137" s="3"/>
      </tp>
      <tp t="s">
        <v>#N/A Requesting Data...3451745928</v>
        <stp/>
        <stp>BDP|15958364479775855515</stp>
        <tr r="K156" s="3"/>
      </tp>
      <tp t="s">
        <v>#N/A Requesting Data...2699686522</v>
        <stp/>
        <stp>BDP|15733346902945611288</stp>
        <tr r="BB66" s="3"/>
      </tp>
      <tp t="s">
        <v>#N/A N/A</v>
        <stp/>
        <stp>BDP|11511342925879961828</stp>
        <tr r="AO96" s="2"/>
      </tp>
      <tp t="s">
        <v>#N/A N/A</v>
        <stp/>
        <stp>BDP|11241035009775019573</stp>
        <tr r="BG20" s="2"/>
      </tp>
      <tp t="s">
        <v>#N/A Requesting Data...3090751982</v>
        <stp/>
        <stp>BDP|11085811897263893216</stp>
        <tr r="AA263" s="3"/>
      </tp>
      <tp t="s">
        <v>#N/A N/A</v>
        <stp/>
        <stp>BDP|11506225297309805272</stp>
        <tr r="BN40" s="2"/>
      </tp>
      <tp t="s">
        <v>#N/A Requesting Data...2301303615</v>
        <stp/>
        <stp>BDP|12683046484172827904</stp>
        <tr r="BI236" s="3"/>
      </tp>
      <tp t="s">
        <v>#N/A Requesting Data...3251950692</v>
        <stp/>
        <stp>BDP|16767985131304605969</stp>
        <tr r="AS318" s="3"/>
      </tp>
      <tp t="s">
        <v>#N/A Requesting Data...2296348930</v>
        <stp/>
        <stp>BDP|17804058247381000343</stp>
        <tr r="W58" s="4"/>
      </tp>
      <tp t="s">
        <v>#N/A Requesting Data...3859510465</v>
        <stp/>
        <stp>BDP|12064230068065013258</stp>
        <tr r="AA261" s="3"/>
      </tp>
      <tp t="s">
        <v>#N/A Requesting Data...2588776919</v>
        <stp/>
        <stp>BDP|16870852395181121778</stp>
        <tr r="BB331" s="3"/>
      </tp>
      <tp t="s">
        <v>#N/A Requesting Data...2466774769</v>
        <stp/>
        <stp>BDP|11786495951187830693</stp>
        <tr r="BI313" s="3"/>
      </tp>
      <tp t="s">
        <v>#N/A Requesting Data...2944829241</v>
        <stp/>
        <stp>BDP|13423594254225437734</stp>
        <tr r="AH159" s="3"/>
      </tp>
      <tp t="s">
        <v>#N/A Requesting Data...4081474647</v>
        <stp/>
        <stp>BDP|14097627359847044151</stp>
        <tr r="BG65" s="3"/>
      </tp>
      <tp t="s">
        <v>#N/A Requesting Data...2895387712</v>
        <stp/>
        <stp>BDP|15523814850591904830</stp>
        <tr r="AH91" s="3"/>
      </tp>
      <tp t="s">
        <v>#N/A Requesting Data...2769981895</v>
        <stp/>
        <stp>BDP|13058286855732724744</stp>
        <tr r="AA173" s="3"/>
      </tp>
      <tp t="s">
        <v>#N/A Requesting Data...2545097843</v>
        <stp/>
        <stp>BDP|16006610444452200796</stp>
        <tr r="K306" s="3"/>
      </tp>
      <tp t="s">
        <v>#N/A Requesting Data...2930085160</v>
        <stp/>
        <stp>BDP|15348910929476028953</stp>
        <tr r="I288" s="3"/>
      </tp>
      <tp t="s">
        <v>#N/A Requesting Data...2237696039</v>
        <stp/>
        <stp>BDP|12247675312771076597</stp>
        <tr r="BB71" s="3"/>
      </tp>
      <tp t="s">
        <v>#N/A Requesting Data...2507170378</v>
        <stp/>
        <stp>BDP|12389557665610758056</stp>
        <tr r="AH324" s="3"/>
      </tp>
      <tp t="s">
        <v>#N/A Requesting Data...3908548016</v>
        <stp/>
        <stp>BDP|17462121490687198962</stp>
        <tr r="BI63" s="3"/>
      </tp>
      <tp t="s">
        <v>#N/A Requesting Data...3951009372</v>
        <stp/>
        <stp>BDP|15640538703786004772</stp>
        <tr r="Y23" s="4"/>
      </tp>
      <tp t="s">
        <v>#N/A Requesting Data...3865539053</v>
        <stp/>
        <stp>BDP|15996730605092952175</stp>
        <tr r="BH167" s="3"/>
      </tp>
      <tp t="s">
        <v>#N/A Requesting Data...3217471947</v>
        <stp/>
        <stp>BDP|17790473266615357140</stp>
        <tr r="F273" s="3"/>
      </tp>
      <tp t="s">
        <v>#N/A Requesting Data...2793506086</v>
        <stp/>
        <stp>BDP|17048248864714907682</stp>
        <tr r="AQ187" s="3"/>
      </tp>
      <tp t="s">
        <v>#N/A Requesting Data...2226628748</v>
        <stp/>
        <stp>BDP|17392601741111422574</stp>
        <tr r="AJ116" s="3"/>
      </tp>
      <tp t="s">
        <v>#N/A Requesting Data...4287007740</v>
        <stp/>
        <stp>BDP|16935128805766906062</stp>
        <tr r="AA222" s="3"/>
      </tp>
      <tp t="s">
        <v>#N/A Requesting Data...4238589199</v>
        <stp/>
        <stp>BDP|15522174887895708833</stp>
        <tr r="BG48" s="3"/>
      </tp>
      <tp t="s">
        <v>#N/A Requesting Data...3596923488</v>
        <stp/>
        <stp>BDP|10852683017995642308</stp>
        <tr r="G20" s="4"/>
      </tp>
      <tp t="s">
        <v>#N/A Requesting Data...3382624077</v>
        <stp/>
        <stp>BDP|18050444316565719947</stp>
        <tr r="BF132" s="3"/>
      </tp>
      <tp t="s">
        <v>#N/A Requesting Data...4112893388</v>
        <stp/>
        <stp>BDP|10129634734241020577</stp>
        <tr r="BF230" s="3"/>
      </tp>
      <tp t="s">
        <v>#N/A Requesting Data...3172527190</v>
        <stp/>
        <stp>BDP|11334132046743035674</stp>
        <tr r="AZ228" s="3"/>
      </tp>
      <tp t="s">
        <v>#N/A N/A</v>
        <stp/>
        <stp>BDP|17214395358743433360</stp>
        <tr r="AD56" s="2"/>
      </tp>
      <tp t="s">
        <v>#N/A N/A</v>
        <stp/>
        <stp>BDP|11661103010473148360</stp>
        <tr r="AX86" s="2"/>
      </tp>
      <tp t="s">
        <v>#N/A Requesting Data...3389367063</v>
        <stp/>
        <stp>BDP|11295511553900954081</stp>
        <tr r="AF37" s="4"/>
      </tp>
      <tp t="s">
        <v>#N/A Requesting Data...4141926136</v>
        <stp/>
        <stp>BDP|11902606416622864563</stp>
        <tr r="AJ3" s="3"/>
      </tp>
      <tp t="s">
        <v>#N/A Requesting Data...4147957583</v>
        <stp/>
        <stp>BDP|14040628091389423369</stp>
        <tr r="Q146" s="3"/>
      </tp>
      <tp t="s">
        <v>#N/A Requesting Data...3143834511</v>
        <stp/>
        <stp>BDP|11940111156062768698</stp>
        <tr r="BG4" s="2"/>
        <tr r="BB248" s="3"/>
      </tp>
      <tp t="s">
        <v>#N/A Requesting Data...3062513154</v>
        <stp/>
        <stp>BDP|11673627575071198002</stp>
        <tr r="Y47" s="3"/>
      </tp>
      <tp t="s">
        <v>#N/A N/A</v>
        <stp/>
        <stp>BDP|18253919903478868884</stp>
        <tr r="AO13" s="2"/>
      </tp>
      <tp t="s">
        <v>#N/A Requesting Data...3487742502</v>
        <stp/>
        <stp>BDP|17996756344996886306</stp>
        <tr r="BA72" s="3"/>
      </tp>
      <tp t="s">
        <v>#N/A Requesting Data...2515114897</v>
        <stp/>
        <stp>BDP|12397408912684917289</stp>
        <tr r="Y243" s="3"/>
      </tp>
      <tp t="s">
        <v>#N/A Requesting Data...2839673787</v>
        <stp/>
        <stp>BDP|13897159639924624425</stp>
        <tr r="AA123" s="3"/>
      </tp>
      <tp t="s">
        <v>#N/A Requesting Data...3687243928</v>
        <stp/>
        <stp>BDP|13693051671183261602</stp>
        <tr r="AA67" s="3"/>
      </tp>
      <tp t="s">
        <v>#N/A Requesting Data...3718979449</v>
        <stp/>
        <stp>BDP|16712194251221932269</stp>
        <tr r="AQ19" s="3"/>
      </tp>
      <tp t="s">
        <v>#N/A Requesting Data...4061462850</v>
        <stp/>
        <stp>BDP|11245508577024411610</stp>
        <tr r="BI146" s="3"/>
      </tp>
      <tp t="s">
        <v>#N/A Requesting Data...3832336356</v>
        <stp/>
        <stp>BDP|16983688416150499034</stp>
        <tr r="AZ107" s="3"/>
      </tp>
      <tp t="s">
        <v>#N/A Requesting Data...4232107832</v>
        <stp/>
        <stp>BDP|13377533445641482216</stp>
        <tr r="AQ125" s="3"/>
      </tp>
      <tp t="s">
        <v>#N/A Requesting Data...2801704778</v>
        <stp/>
        <stp>BDP|12993361524505882739</stp>
        <tr r="BI32" s="3"/>
      </tp>
      <tp t="s">
        <v>#N/A N/A</v>
        <stp/>
        <stp>BDP|12196244064244545347</stp>
        <tr r="BG99" s="2"/>
      </tp>
      <tp t="s">
        <v>#N/A Requesting Data...2544787057</v>
        <stp/>
        <stp>BDP|13798264033262708153</stp>
        <tr r="M56" s="4"/>
      </tp>
      <tp t="s">
        <v>#N/A Requesting Data...3110879822</v>
        <stp/>
        <stp>BDP|13628276513214051520</stp>
        <tr r="BG76" s="3"/>
      </tp>
      <tp t="s">
        <v>#N/A Requesting Data...2660028557</v>
        <stp/>
        <stp>BDP|12545173667932243679</stp>
        <tr r="K9" s="3"/>
      </tp>
      <tp t="s">
        <v>#N/A Requesting Data...3358995796</v>
        <stp/>
        <stp>BDP|10621290493312834840</stp>
        <tr r="BI80" s="3"/>
      </tp>
      <tp t="s">
        <v>#N/A N/A</v>
        <stp/>
        <stp>BDP|16163511868373030787</stp>
        <tr r="BE65" s="2"/>
      </tp>
      <tp t="s">
        <v>#N/A Requesting Data...3740436143</v>
        <stp/>
        <stp>BDP|10754184277311816603</stp>
        <tr r="K239" s="3"/>
      </tp>
      <tp t="s">
        <v>#N/A Requesting Data...2459606468</v>
        <stp/>
        <stp>BDP|14680409391951594921</stp>
        <tr r="I175" s="3"/>
      </tp>
      <tp t="s">
        <v>#N/A N/A</v>
        <stp/>
        <stp>BDP|17260447875672070736</stp>
        <tr r="BN48" s="2"/>
      </tp>
      <tp t="s">
        <v>#N/A Requesting Data...2749020973</v>
        <stp/>
        <stp>BDP|13936113849021072611</stp>
        <tr r="F205" s="3"/>
      </tp>
      <tp t="s">
        <v>#N/A N/A</v>
        <stp/>
        <stp>BDP|13559877638429256085</stp>
        <tr r="T80" s="2"/>
      </tp>
      <tp t="s">
        <v>#N/A Requesting Data...2551749397</v>
        <stp/>
        <stp>BDP|16715661137387622505</stp>
        <tr r="BF153" s="3"/>
      </tp>
      <tp t="s">
        <v>#N/A Requesting Data...2848938721</v>
        <stp/>
        <stp>BDP|11807097525613524128</stp>
        <tr r="K143" s="3"/>
      </tp>
      <tp t="s">
        <v>#N/A N/A</v>
        <stp/>
        <stp>BDP|12115098919073344117</stp>
        <tr r="V73" s="2"/>
      </tp>
      <tp t="s">
        <v>#N/A Requesting Data...2891258445</v>
        <stp/>
        <stp>BDP|16273679710199668903</stp>
        <tr r="AQ244" s="3"/>
      </tp>
      <tp t="s">
        <v>#N/A Requesting Data...3583751395</v>
        <stp/>
        <stp>BDP|10388499110717897316</stp>
        <tr r="BH137" s="3"/>
      </tp>
      <tp t="s">
        <v>#N/A Requesting Data...3711682038</v>
        <stp/>
        <stp>BDP|12196425251730141202</stp>
        <tr r="AX44" s="4"/>
      </tp>
      <tp t="s">
        <v>#N/A N/A</v>
        <stp/>
        <stp>BDP|10261815143859154423</stp>
        <tr r="K53" s="2"/>
      </tp>
      <tp t="s">
        <v>#N/A Requesting Data...4114105764</v>
        <stp/>
        <stp>BDP|12045205546983722626</stp>
        <tr r="Q281" s="3"/>
      </tp>
      <tp t="s">
        <v>#N/A Requesting Data...3368308262</v>
        <stp/>
        <stp>BDP|15468546614045535520</stp>
        <tr r="AH46" s="4"/>
        <tr r="AJ258" s="3"/>
      </tp>
      <tp t="s">
        <v>#N/A Requesting Data...3955321877</v>
        <stp/>
        <stp>BDP|16466445454283732501</stp>
        <tr r="AS208" s="3"/>
      </tp>
      <tp t="s">
        <v>#N/A Requesting Data...2761362499</v>
        <stp/>
        <stp>BDP|11107269884439598357</stp>
        <tr r="Q37" s="3"/>
      </tp>
      <tp t="s">
        <v>#N/A Requesting Data...3853356228</v>
        <stp/>
        <stp>BDP|13026317953771844594</stp>
        <tr r="I187" s="3"/>
      </tp>
      <tp t="s">
        <v>#N/A Requesting Data...3974572037</v>
        <stp/>
        <stp>BDP|11930354622234822555</stp>
        <tr r="BH123" s="3"/>
      </tp>
      <tp t="s">
        <v>#N/A Requesting Data...3598785017</v>
        <stp/>
        <stp>BDP|12178549675213283215</stp>
        <tr r="BI188" s="3"/>
      </tp>
      <tp t="s">
        <v>#N/A Requesting Data...3018389913</v>
        <stp/>
        <stp>BDP|16746410669696478385</stp>
        <tr r="Q272" s="3"/>
      </tp>
      <tp t="s">
        <v>#N/A Requesting Data...3321933354</v>
        <stp/>
        <stp>BDP|15537741771134331000</stp>
        <tr r="Q40" s="3"/>
      </tp>
      <tp t="s">
        <v>#N/A Requesting Data...3225177665</v>
        <stp/>
        <stp>BDP|11237221255732176575</stp>
        <tr r="AS192" s="3"/>
      </tp>
      <tp t="s">
        <v>#N/A N/A</v>
        <stp/>
        <stp>BDP|13045421621746962292</stp>
        <tr r="AX59" s="2"/>
      </tp>
      <tp t="s">
        <v>#N/A Requesting Data...3910116247</v>
        <stp/>
        <stp>BDP|15749410761984487203</stp>
        <tr r="O36" s="3"/>
      </tp>
      <tp t="s">
        <v>#N/A Requesting Data...3905114187</v>
        <stp/>
        <stp>BDP|13574033440106313062</stp>
        <tr r="AH10" s="3"/>
      </tp>
      <tp t="s">
        <v>#N/A Requesting Data...3383910605</v>
        <stp/>
        <stp>BDP|18131564603254619810</stp>
        <tr r="AH143" s="3"/>
      </tp>
      <tp t="s">
        <v>#N/A N/A</v>
        <stp/>
        <stp>BDP|17186001952513869093</stp>
        <tr r="BK18" s="2"/>
      </tp>
      <tp t="s">
        <v>#N/A Requesting Data...2822096228</v>
        <stp/>
        <stp>BDP|12052140827664998482</stp>
        <tr r="F242" s="3"/>
      </tp>
      <tp t="s">
        <v>#N/A N/A</v>
        <stp/>
        <stp>BDP|16076673061202304578</stp>
        <tr r="BF58" s="2"/>
      </tp>
      <tp t="s">
        <v>#N/A Requesting Data...3613310005</v>
        <stp/>
        <stp>BDP|16809188340966662444</stp>
        <tr r="K289" s="3"/>
      </tp>
      <tp t="s">
        <v>#N/A Requesting Data...4097266469</v>
        <stp/>
        <stp>BDP|15444053315622020763</stp>
        <tr r="BG250" s="3"/>
      </tp>
      <tp t="s">
        <v>#N/A Requesting Data...3197193761</v>
        <stp/>
        <stp>BDP|11334384135381463185</stp>
        <tr r="AA95" s="3"/>
      </tp>
      <tp t="s">
        <v>#N/A Requesting Data...2755228188</v>
        <stp/>
        <stp>BDP|14021116240291399109</stp>
        <tr r="BB293" s="3"/>
      </tp>
      <tp t="s">
        <v>#N/A Requesting Data...3386513577</v>
        <stp/>
        <stp>BDP|11963944250349804575</stp>
        <tr r="K32" s="3"/>
      </tp>
      <tp t="s">
        <v>#N/A Requesting Data...3253752551</v>
        <stp/>
        <stp>BDP|14816039025123974425</stp>
        <tr r="I188" s="3"/>
      </tp>
      <tp t="s">
        <v>#N/A Requesting Data...3811260100</v>
        <stp/>
        <stp>BDP|16139106535480884590</stp>
        <tr r="Y222" s="3"/>
      </tp>
      <tp t="s">
        <v>#N/A N/A</v>
        <stp/>
        <stp>BDP|16179222509062786785</stp>
        <tr r="T31" s="2"/>
      </tp>
      <tp t="s">
        <v>#N/A Requesting Data...3807507715</v>
        <stp/>
        <stp>BDP|12780102821313709341</stp>
        <tr r="BL10" s="2"/>
      </tp>
      <tp t="s">
        <v>#N/A Requesting Data...3005756816</v>
        <stp/>
        <stp>BDP|13425450448410890247</stp>
        <tr r="BG283" s="3"/>
      </tp>
      <tp t="s">
        <v>#N/A Requesting Data...3904063169</v>
        <stp/>
        <stp>BDP|13553848055756156907</stp>
        <tr r="W48" s="4"/>
      </tp>
      <tp t="s">
        <v>#N/A Requesting Data...3257761519</v>
        <stp/>
        <stp>BDP|13758635091068490546</stp>
        <tr r="AS191" s="3"/>
      </tp>
      <tp t="s">
        <v>#N/A Requesting Data...3984090851</v>
        <stp/>
        <stp>BDP|14299444201569421867</stp>
        <tr r="BH88" s="3"/>
      </tp>
      <tp t="s">
        <v>#N/A Requesting Data...3924134883</v>
        <stp/>
        <stp>BDP|13187236459951623488</stp>
        <tr r="AZ72" s="3"/>
      </tp>
      <tp t="s">
        <v>#N/A Requesting Data...3581714053</v>
        <stp/>
        <stp>BDP|13795648650863752211</stp>
        <tr r="Y104" s="3"/>
      </tp>
      <tp t="s">
        <v>#N/A Requesting Data...3061563898</v>
        <stp/>
        <stp>BDP|17140455373681365412</stp>
        <tr r="BF302" s="3"/>
      </tp>
      <tp t="s">
        <v>#N/A Requesting Data...3024673096</v>
        <stp/>
        <stp>BDP|11656571842827571639</stp>
        <tr r="AF29" s="4"/>
      </tp>
      <tp t="s">
        <v>#N/A Requesting Data...4230168239</v>
        <stp/>
        <stp>BDP|17971247210715169090</stp>
        <tr r="BH290" s="3"/>
      </tp>
      <tp t="s">
        <v>#N/A N/A</v>
        <stp/>
        <stp>BDP|10526165193711503801</stp>
        <tr r="AM68" s="2"/>
      </tp>
      <tp t="s">
        <v>#N/A Requesting Data...3160790510</v>
        <stp/>
        <stp>BDP|10003931732129572216</stp>
        <tr r="AA223" s="3"/>
      </tp>
      <tp t="s">
        <v>#N/A Requesting Data...2971767690</v>
        <stp/>
        <stp>BDP|14113239836616978288</stp>
        <tr r="Y56" s="4"/>
      </tp>
      <tp t="s">
        <v>#N/A Requesting Data...3030691214</v>
        <stp/>
        <stp>BDP|10016406358892984247</stp>
        <tr r="AH63" s="3"/>
      </tp>
      <tp t="s">
        <v>#N/A Requesting Data...3818597943</v>
        <stp/>
        <stp>BDP|16494907715116093946</stp>
        <tr r="BB290" s="3"/>
      </tp>
      <tp t="s">
        <v>#N/A Requesting Data...3765461161</v>
        <stp/>
        <stp>BDP|13284622117883039627</stp>
        <tr r="BB217" s="3"/>
      </tp>
      <tp t="s">
        <v>#N/A N/A</v>
        <stp/>
        <stp>BDP|17259686463890877649</stp>
        <tr r="V49" s="2"/>
      </tp>
      <tp t="s">
        <v>#N/A Requesting Data...3578529449</v>
        <stp/>
        <stp>BDP|15083155431843192508</stp>
        <tr r="I335" s="3"/>
      </tp>
      <tp t="s">
        <v>#N/A Requesting Data...3602777505</v>
        <stp/>
        <stp>BDP|14101201941906031540</stp>
        <tr r="AA327" s="3"/>
      </tp>
      <tp t="s">
        <v>#N/A Requesting Data...2814632833</v>
        <stp/>
        <stp>BDP|10370226754775752369</stp>
        <tr r="BH222" s="3"/>
      </tp>
      <tp t="s">
        <v>#N/A Requesting Data...3878583253</v>
        <stp/>
        <stp>BDP|16525058157191305302</stp>
        <tr r="AO37" s="4"/>
      </tp>
      <tp t="s">
        <v>#N/A N/A</v>
        <stp/>
        <stp>BDP|10947659631217108387</stp>
        <tr r="T19" s="2"/>
      </tp>
      <tp t="s">
        <v>#N/A N/A</v>
        <stp/>
        <stp>BDP|11008823152874134955</stp>
        <tr r="AV15" s="2"/>
      </tp>
      <tp t="s">
        <v>#N/A Requesting Data...3160694445</v>
        <stp/>
        <stp>BDP|10743600234754474039</stp>
        <tr r="AZ22" s="3"/>
      </tp>
      <tp t="s">
        <v>#N/A N/A</v>
        <stp/>
        <stp>BDP|16859078360680355182</stp>
        <tr r="AX46" s="2"/>
      </tp>
      <tp t="s">
        <v>#N/A Requesting Data...2964459495</v>
        <stp/>
        <stp>BDP|15997434378007606001</stp>
        <tr r="AA292" s="3"/>
      </tp>
      <tp t="s">
        <v>#N/A Requesting Data...3385919401</v>
        <stp/>
        <stp>BDP|11370072307278228857</stp>
        <tr r="AO14" s="4"/>
      </tp>
      <tp t="s">
        <v>#N/A Requesting Data...2920374477</v>
        <stp/>
        <stp>BDP|10310503570454208754</stp>
        <tr r="Q218" s="3"/>
      </tp>
      <tp t="s">
        <v>#N/A Requesting Data...4081574713</v>
        <stp/>
        <stp>BDP|18405967492531250866</stp>
        <tr r="BF33" s="3"/>
      </tp>
      <tp t="s">
        <v>#N/A N/A</v>
        <stp/>
        <stp>BDP|13926931515693902925</stp>
        <tr r="BE62" s="2"/>
      </tp>
      <tp t="s">
        <v>#N/A N/A</v>
        <stp/>
        <stp>BDP|16712143666267205736</stp>
        <tr r="T94" s="2"/>
      </tp>
      <tp t="s">
        <v>#N/A Requesting Data...3517439315</v>
        <stp/>
        <stp>BDP|13197173042641507665</stp>
        <tr r="AD6" s="2"/>
      </tp>
      <tp t="s">
        <v>#N/A Requesting Data...3122363100</v>
        <stp/>
        <stp>BDP|15114381022655581097</stp>
        <tr r="W18" s="4"/>
      </tp>
      <tp t="s">
        <v>#N/A Requesting Data...3154148630</v>
        <stp/>
        <stp>BDP|18411450210168581430</stp>
        <tr r="O15" s="3"/>
      </tp>
      <tp t="s">
        <v>#N/A N/A</v>
        <stp/>
        <stp>BDP|16147698209477439625</stp>
        <tr r="BF68" s="2"/>
      </tp>
      <tp t="s">
        <v>#N/A Requesting Data...3254366574</v>
        <stp/>
        <stp>BDP|10410446864752241118</stp>
        <tr r="AZ178" s="3"/>
      </tp>
      <tp t="s">
        <v>#N/A Requesting Data...4002415748</v>
        <stp/>
        <stp>BDP|17754150472661516121</stp>
        <tr r="BB297" s="3"/>
      </tp>
      <tp t="s">
        <v>#N/A Requesting Data...3753466006</v>
        <stp/>
        <stp>BDP|14851655226745815445</stp>
        <tr r="AA83" s="3"/>
      </tp>
      <tp t="s">
        <v>#N/A Requesting Data...3731373666</v>
        <stp/>
        <stp>BDP|14445423870241450752</stp>
        <tr r="AS141" s="3"/>
      </tp>
      <tp t="s">
        <v>#N/A Requesting Data...3141487915</v>
        <stp/>
        <stp>BDP|13915495542325478711</stp>
        <tr r="W28" s="4"/>
      </tp>
      <tp t="s">
        <v>#N/A Requesting Data...3193075131</v>
        <stp/>
        <stp>BDP|13693472304264789257</stp>
        <tr r="BG41" s="3"/>
      </tp>
      <tp t="s">
        <v>#N/A Requesting Data...3280967014</v>
        <stp/>
        <stp>BDP|10011124800298038852</stp>
        <tr r="BF30" s="3"/>
      </tp>
      <tp t="s">
        <v>#N/A Requesting Data...3482333641</v>
        <stp/>
        <stp>BDP|10092611496297673968</stp>
        <tr r="BB212" s="3"/>
      </tp>
      <tp t="s">
        <v>#N/A Requesting Data...3376104759</v>
        <stp/>
        <stp>BDP|12283263383468233129</stp>
        <tr r="AA165" s="3"/>
      </tp>
      <tp t="s">
        <v>#N/A Requesting Data...3972313786</v>
        <stp/>
        <stp>BDP|12012445172531904184</stp>
        <tr r="BG73" s="3"/>
      </tp>
      <tp t="s">
        <v>#N/A Requesting Data...4034518249</v>
        <stp/>
        <stp>BDP|14464741321435716517</stp>
        <tr r="AH19" s="4"/>
      </tp>
      <tp t="s">
        <v>#N/A Requesting Data...3029846967</v>
        <stp/>
        <stp>BDP|15954109316386096282</stp>
        <tr r="AZ124" s="3"/>
      </tp>
      <tp t="s">
        <v>#N/A Requesting Data...3590481469</v>
        <stp/>
        <stp>BDP|15304615526070555064</stp>
        <tr r="BK8" s="2"/>
      </tp>
      <tp t="s">
        <v>#N/A Requesting Data...3935035455</v>
        <stp/>
        <stp>BDP|15682067743885446519</stp>
        <tr r="AA271" s="3"/>
      </tp>
      <tp t="s">
        <v>#N/A Requesting Data...3757814383</v>
        <stp/>
        <stp>BDP|16872549929588295818</stp>
        <tr r="Y34" s="3"/>
      </tp>
      <tp t="s">
        <v>#N/A Requesting Data...4172919427</v>
        <stp/>
        <stp>BDP|15719050564922013000</stp>
        <tr r="AJ286" s="3"/>
      </tp>
      <tp t="s">
        <v>#N/A Requesting Data...3725562011</v>
        <stp/>
        <stp>BDP|12159027757431796757</stp>
        <tr r="Q329" s="3"/>
      </tp>
      <tp t="s">
        <v>#N/A Requesting Data...3293468948</v>
        <stp/>
        <stp>BDP|11335607158351861259</stp>
        <tr r="Y352" s="3"/>
      </tp>
      <tp t="s">
        <v>#N/A Requesting Data...3560473813</v>
        <stp/>
        <stp>BDP|17418235077876149577</stp>
        <tr r="Y195" s="3"/>
      </tp>
      <tp t="s">
        <v>#N/A Requesting Data...3421560984</v>
        <stp/>
        <stp>BDP|11428395986302423999</stp>
        <tr r="BG211" s="3"/>
      </tp>
      <tp t="s">
        <v>#N/A Requesting Data...3046787014</v>
        <stp/>
        <stp>BDP|11680764567634800594</stp>
        <tr r="I226" s="3"/>
      </tp>
      <tp t="s">
        <v>#N/A Requesting Data...4130788558</v>
        <stp/>
        <stp>BDP|14026490449161387455</stp>
        <tr r="Q103" s="3"/>
      </tp>
      <tp t="s">
        <v>#N/A Requesting Data...3586564191</v>
        <stp/>
        <stp>BDP|11074239393468004367</stp>
        <tr r="BI136" s="3"/>
      </tp>
      <tp t="s">
        <v>#N/A N/A</v>
        <stp/>
        <stp>BDP|14271707121663327369</stp>
        <tr r="BF42" s="2"/>
      </tp>
      <tp t="s">
        <v>#N/A Requesting Data...3805898944</v>
        <stp/>
        <stp>BDP|16844923704397163990</stp>
        <tr r="I125" s="3"/>
      </tp>
      <tp t="s">
        <v>#N/A Requesting Data...3101767191</v>
        <stp/>
        <stp>BDP|13500041472457518204</stp>
        <tr r="AH348" s="3"/>
      </tp>
      <tp t="s">
        <v>#N/A N/A</v>
        <stp/>
        <stp>BDP|12259657329335828204</stp>
        <tr r="K23" s="2"/>
      </tp>
      <tp t="s">
        <v>#N/A Requesting Data...3227442778</v>
        <stp/>
        <stp>BDP|11417727749240582437</stp>
        <tr r="BA132" s="3"/>
      </tp>
      <tp t="s">
        <v>#N/A Requesting Data...3581974310</v>
        <stp/>
        <stp>BDP|13384228862844326593</stp>
        <tr r="BF207" s="3"/>
      </tp>
      <tp t="s">
        <v>#N/A Requesting Data...4051412202</v>
        <stp/>
        <stp>BDP|13466947689820052405</stp>
        <tr r="BI135" s="3"/>
      </tp>
      <tp t="s">
        <v>#N/A N/A</v>
        <stp/>
        <stp>BDP|12570607880578897244</stp>
        <tr r="AV78" s="2"/>
      </tp>
      <tp t="s">
        <v>#N/A Requesting Data...3334787322</v>
        <stp/>
        <stp>BDP|11006741514052099397</stp>
        <tr r="Y308" s="3"/>
      </tp>
      <tp t="s">
        <v>#N/A Requesting Data...3298349114</v>
        <stp/>
        <stp>BDP|14808192015747891551</stp>
        <tr r="BB52" s="3"/>
      </tp>
      <tp t="s">
        <v>#N/A Requesting Data...3310061567</v>
        <stp/>
        <stp>BDP|16872743623800510531</stp>
        <tr r="F17" s="3"/>
      </tp>
      <tp t="s">
        <v>#N/A Requesting Data...3891264761</v>
        <stp/>
        <stp>BDP|17271728988377879999</stp>
        <tr r="AA66" s="3"/>
      </tp>
      <tp t="s">
        <v>#N/A Requesting Data...3747914566</v>
        <stp/>
        <stp>BDP|18418350798642714677</stp>
        <tr r="BB57" s="3"/>
      </tp>
      <tp t="s">
        <v>#N/A Requesting Data...3354035383</v>
        <stp/>
        <stp>BDP|17828384254877965049</stp>
        <tr r="AA15" s="3"/>
      </tp>
      <tp t="s">
        <v>#N/A Requesting Data...3981142411</v>
        <stp/>
        <stp>BDP|10529743004119977850</stp>
        <tr r="BG332" s="3"/>
      </tp>
      <tp t="s">
        <v>#N/A N/A</v>
        <stp/>
        <stp>BDP|16856891778017543857</stp>
        <tr r="AV73" s="2"/>
      </tp>
      <tp t="s">
        <v>#N/A N/A</v>
        <stp/>
        <stp>BDP|14290316945751714493</stp>
        <tr r="BG57" s="2"/>
      </tp>
      <tp t="s">
        <v>#N/A Requesting Data...4180215513</v>
        <stp/>
        <stp>BDP|13644622197053988927</stp>
        <tr r="K294" s="3"/>
      </tp>
      <tp t="s">
        <v>#N/A Requesting Data...3944504527</v>
        <stp/>
        <stp>BDP|16976611537442384742</stp>
        <tr r="AA12" s="3"/>
      </tp>
      <tp t="s">
        <v>#N/A Requesting Data...4229380149</v>
        <stp/>
        <stp>BDP|13092399404265210375</stp>
        <tr r="BA36" s="3"/>
      </tp>
      <tp t="s">
        <v>#N/A Requesting Data...4076197599</v>
        <stp/>
        <stp>BDP|16302716768191013022</stp>
        <tr r="BB323" s="3"/>
      </tp>
      <tp t="s">
        <v>#N/A Requesting Data...3486640909</v>
        <stp/>
        <stp>BDP|11983063348624845742</stp>
        <tr r="AH29" s="4"/>
      </tp>
      <tp t="s">
        <v>#N/A N/A</v>
        <stp/>
        <stp>BDP|15912544072683184252</stp>
        <tr r="BE101" s="2"/>
      </tp>
      <tp t="s">
        <v>#N/A N/A</v>
        <stp/>
        <stp>BDP|10512189481539738601</stp>
        <tr r="BN57" s="2"/>
      </tp>
      <tp t="s">
        <v>#N/A Requesting Data...3480886792</v>
        <stp/>
        <stp>BDP|14243875140249685784</stp>
        <tr r="I149" s="3"/>
      </tp>
      <tp t="s">
        <v>#N/A Requesting Data...3520442445</v>
        <stp/>
        <stp>BDP|13894567244622736664</stp>
        <tr r="AS267" s="3"/>
      </tp>
      <tp t="s">
        <v>#N/A Requesting Data...3913550408</v>
        <stp/>
        <stp>BDP|16950898072479148681</stp>
        <tr r="AQ237" s="3"/>
      </tp>
      <tp t="s">
        <v>#N/A Requesting Data...4179227647</v>
        <stp/>
        <stp>BDP|11915919252373605877</stp>
        <tr r="AS201" s="3"/>
      </tp>
      <tp t="s">
        <v>#N/A Requesting Data...3602457946</v>
        <stp/>
        <stp>BDP|10368212706534865076</stp>
        <tr r="K121" s="3"/>
      </tp>
      <tp t="s">
        <v>#N/A Requesting Data...3695048239</v>
        <stp/>
        <stp>BDP|14801523305785460202</stp>
        <tr r="BH255" s="3"/>
      </tp>
      <tp t="s">
        <v>#N/A Requesting Data...3703499249</v>
        <stp/>
        <stp>BDP|13312197784769512500</stp>
        <tr r="Q87" s="3"/>
      </tp>
      <tp t="s">
        <v>#N/A Requesting Data...4017452841</v>
        <stp/>
        <stp>BDP|17498312135494871538</stp>
        <tr r="AH165" s="3"/>
      </tp>
      <tp t="s">
        <v>#N/A Requesting Data...3920970944</v>
        <stp/>
        <stp>BDP|13974579781949627125</stp>
        <tr r="BA210" s="3"/>
      </tp>
      <tp t="s">
        <v>#N/A Requesting Data...3886608877</v>
        <stp/>
        <stp>BDP|11404286464950204318</stp>
        <tr r="W30" s="4"/>
      </tp>
      <tp t="s">
        <v>#N/A N/A</v>
        <stp/>
        <stp>BDP|13945651521749560832</stp>
        <tr r="V33" s="2"/>
      </tp>
      <tp t="s">
        <v>#N/A N/A</v>
        <stp/>
        <stp>BDP|13350361034920291582</stp>
        <tr r="V100" s="2"/>
      </tp>
      <tp t="s">
        <v>#N/A Requesting Data...3897512544</v>
        <stp/>
        <stp>BDP|16002372659534785229</stp>
        <tr r="K323" s="3"/>
      </tp>
      <tp t="s">
        <v>#N/A Requesting Data...3933374820</v>
        <stp/>
        <stp>BDP|13003257176386184698</stp>
        <tr r="AS152" s="3"/>
      </tp>
      <tp t="s">
        <v>#N/A Requesting Data...3816722259</v>
        <stp/>
        <stp>BDP|10332377965502960133</stp>
        <tr r="AJ242" s="3"/>
      </tp>
      <tp t="s">
        <v>#N/A Requesting Data...4169598636</v>
        <stp/>
        <stp>BDP|13623252140136006598</stp>
        <tr r="BB282" s="3"/>
      </tp>
      <tp t="s">
        <v>#N/A N/A</v>
        <stp/>
        <stp>BDP|16843977264187395823</stp>
        <tr r="BF82" s="2"/>
      </tp>
      <tp t="s">
        <v>#N/A Requesting Data...4191000915</v>
        <stp/>
        <stp>BDP|15470529153494940766</stp>
        <tr r="Y72" s="3"/>
      </tp>
      <tp t="s">
        <v>#N/A Requesting Data...3547561995</v>
        <stp/>
        <stp>BDP|11387030538155466160</stp>
        <tr r="O109" s="3"/>
      </tp>
      <tp t="s">
        <v>#N/A Requesting Data...4209517198</v>
        <stp/>
        <stp>BDP|17606633708714323349</stp>
        <tr r="Y249" s="3"/>
      </tp>
      <tp t="s">
        <v>#N/A Requesting Data...3611786043</v>
        <stp/>
        <stp>BDP|16855759594168677654</stp>
        <tr r="AA171" s="3"/>
      </tp>
      <tp t="s">
        <v>#N/A N/A</v>
        <stp/>
        <stp>BDP|16897438910150644579</stp>
        <tr r="P39" s="2"/>
      </tp>
      <tp t="s">
        <v>#N/A Requesting Data...3920327462</v>
        <stp/>
        <stp>BDP|10206497555565787237</stp>
        <tr r="AJ192" s="3"/>
      </tp>
      <tp t="s">
        <v>#N/A Requesting Data...4116716518</v>
        <stp/>
        <stp>BDP|10274149430627535398</stp>
        <tr r="I184" s="3"/>
      </tp>
      <tp t="s">
        <v>#N/A Requesting Data...3535109826</v>
        <stp/>
        <stp>BDP|12801313467394561514</stp>
        <tr r="BG22" s="3"/>
      </tp>
      <tp t="s">
        <v>#N/A Requesting Data...3596093030</v>
        <stp/>
        <stp>BDP|15799807853499713799</stp>
        <tr r="AS84" s="3"/>
      </tp>
      <tp t="s">
        <v>#N/A Requesting Data...4167051647</v>
        <stp/>
        <stp>BDP|15302568368863656317</stp>
        <tr r="I250" s="3"/>
      </tp>
      <tp t="s">
        <v>#N/A N/A</v>
        <stp/>
        <stp>BDP|13952244897377074904</stp>
        <tr r="BL12" s="2"/>
      </tp>
      <tp t="s">
        <v>#N/A N/A</v>
        <stp/>
        <stp>BDP|10162128758485594744</stp>
        <tr r="BE73" s="2"/>
      </tp>
      <tp t="s">
        <v>#N/A N/A</v>
        <stp/>
        <stp>BDP|17627708683419999760</stp>
        <tr r="AD23" s="2"/>
      </tp>
      <tp t="s">
        <v>#N/A Requesting Data...3814869585</v>
        <stp/>
        <stp>BDP|13110075299169201570</stp>
        <tr r="K83" s="3"/>
      </tp>
      <tp t="s">
        <v>#N/A Requesting Data...3624478890</v>
        <stp/>
        <stp>BDP|13385989201245827984</stp>
        <tr r="BH295" s="3"/>
      </tp>
      <tp t="s">
        <v>#N/A N/A</v>
        <stp/>
        <stp>BDP|12675281513425165261</stp>
        <tr r="AX73" s="2"/>
      </tp>
      <tp t="s">
        <v>#N/A Requesting Data...3973158536</v>
        <stp/>
        <stp>BDP|11560627036924892634</stp>
        <tr r="AH221" s="3"/>
      </tp>
      <tp t="s">
        <v>#N/A Requesting Data...3849873985</v>
        <stp/>
        <stp>BDP|14989168435370136014</stp>
        <tr r="BG280" s="3"/>
      </tp>
      <tp t="s">
        <v>#N/A Requesting Data...3558878054</v>
        <stp/>
        <stp>BDP|14218311318455485558</stp>
        <tr r="AZ298" s="3"/>
      </tp>
      <tp t="s">
        <v>#N/A Requesting Data...4044879036</v>
        <stp/>
        <stp>BDP|11443743729177469574</stp>
        <tr r="K41" s="3"/>
      </tp>
      <tp t="s">
        <v>#N/A N/A</v>
        <stp/>
        <stp>BDP|11889496206353824024</stp>
        <tr r="AM65" s="2"/>
      </tp>
      <tp t="s">
        <v>#N/A Requesting Data...3658478785</v>
        <stp/>
        <stp>BDP|15879929886526236433</stp>
        <tr r="K349" s="3"/>
      </tp>
      <tp t="s">
        <v>#N/A Requesting Data...3593501770</v>
        <stp/>
        <stp>BDP|14828010825981208130</stp>
        <tr r="BB186" s="3"/>
      </tp>
      <tp t="s">
        <v>#N/A N/A</v>
        <stp/>
        <stp>BDP|16260173452446390292</stp>
        <tr r="AV32" s="2"/>
      </tp>
      <tp t="s">
        <v>#N/A Requesting Data...3696063618</v>
        <stp/>
        <stp>BDP|13037604431792410288</stp>
        <tr r="BB254" s="3"/>
      </tp>
      <tp t="s">
        <v>#N/A N/A</v>
        <stp/>
        <stp>BDP|11634076109721021659</stp>
        <tr r="AX91" s="2"/>
      </tp>
      <tp t="s">
        <v>#N/A Requesting Data...3541023454</v>
        <stp/>
        <stp>BDP|16808083866324972229</stp>
        <tr r="AQ349" s="3"/>
      </tp>
      <tp t="s">
        <v>#N/A Requesting Data...4103940957</v>
        <stp/>
        <stp>BDP|10976785469632190541</stp>
        <tr r="BA343" s="3"/>
      </tp>
      <tp t="s">
        <v>#N/A Requesting Data...3777105893</v>
        <stp/>
        <stp>BDP|11879714632764599731</stp>
        <tr r="AH219" s="3"/>
      </tp>
      <tp t="s">
        <v>#N/A Requesting Data...4179252284</v>
        <stp/>
        <stp>BDP|16674110138350448263</stp>
        <tr r="BG153" s="3"/>
      </tp>
      <tp t="s">
        <v>#N/A Requesting Data...3778754023</v>
        <stp/>
        <stp>BDP|15613468458981124341</stp>
        <tr r="AA92" s="3"/>
      </tp>
      <tp t="s">
        <v>#N/A Requesting Data...3870668109</v>
        <stp/>
        <stp>BDP|11622531787863913969</stp>
        <tr r="G40" s="4"/>
      </tp>
      <tp t="s">
        <v>#N/A Requesting Data...4240702209</v>
        <stp/>
        <stp>BDP|13044238669038083976</stp>
        <tr r="I349" s="3"/>
      </tp>
      <tp t="s">
        <v>#N/A N/A</v>
        <stp/>
        <stp>BDP|13993197018996163340</stp>
        <tr r="BN36" s="2"/>
      </tp>
      <tp t="s">
        <v>#N/A Requesting Data...3772746380</v>
        <stp/>
        <stp>BDP|14590467428846456222</stp>
        <tr r="O236" s="3"/>
      </tp>
      <tp t="s">
        <v>#N/A Requesting Data...3878110477</v>
        <stp/>
        <stp>BDP|18441104448262960985</stp>
        <tr r="Q325" s="3"/>
      </tp>
      <tp t="s">
        <v>#N/A N/A</v>
        <stp/>
        <stp>BDP|11302555629790756057</stp>
        <tr r="T34" s="2"/>
      </tp>
      <tp t="s">
        <v>#N/A N/A</v>
        <stp/>
        <stp>BDP|15639396850080549576</stp>
        <tr r="BM77" s="2"/>
      </tp>
      <tp t="s">
        <v>#N/A Requesting Data...4172090053</v>
        <stp/>
        <stp>BDP|13513929359259478078</stp>
        <tr r="F7" s="3"/>
      </tp>
      <tp t="s">
        <v>#N/A N/A</v>
        <stp/>
        <stp>BDP|10753602143736959200</stp>
        <tr r="T66" s="2"/>
      </tp>
      <tp t="s">
        <v>#N/A Requesting Data...3629185831</v>
        <stp/>
        <stp>BDP|17806835292739242963</stp>
        <tr r="BF198" s="3"/>
      </tp>
      <tp t="s">
        <v>#N/A N/A</v>
        <stp/>
        <stp>BDP|11902245335465151341</stp>
        <tr r="BL74" s="2"/>
      </tp>
      <tp t="s">
        <v>#N/A Requesting Data...4185343766</v>
        <stp/>
        <stp>BDP|10053280518775508099</stp>
        <tr r="D7" s="4"/>
      </tp>
      <tp t="s">
        <v>#N/A Requesting Data...3868689179</v>
        <stp/>
        <stp>BDP|18429187355588798222</stp>
        <tr r="Y43" s="4"/>
      </tp>
      <tp t="s">
        <v>#N/A Requesting Data...3741100625</v>
        <stp/>
        <stp>BDP|13640734167643988774</stp>
        <tr r="BG288" s="3"/>
      </tp>
      <tp t="s">
        <v>#N/A Requesting Data...4215800326</v>
        <stp/>
        <stp>BDP|11232237929017060048</stp>
        <tr r="AS347" s="3"/>
      </tp>
      <tp t="s">
        <v>#N/A Requesting Data...3847375759</v>
        <stp/>
        <stp>BDP|16120043187449872168</stp>
        <tr r="BF130" s="3"/>
      </tp>
      <tp t="s">
        <v>#N/A N/A</v>
        <stp/>
        <stp>BDP|17526652893866761887</stp>
        <tr r="T37" s="2"/>
      </tp>
      <tp t="s">
        <v>#N/A Requesting Data...3895195607</v>
        <stp/>
        <stp>BDP|15798901419658439364</stp>
        <tr r="BB103" s="3"/>
      </tp>
      <tp t="s">
        <v>#N/A N/A</v>
        <stp/>
        <stp>BDP|15846578947222280069</stp>
        <tr r="BM39" s="2"/>
      </tp>
      <tp t="s">
        <v>#N/A Requesting Data...4285957679</v>
        <stp/>
        <stp>BDP|16122134756293020789</stp>
        <tr r="Y39" s="4"/>
      </tp>
      <tp t="s">
        <v>#N/A Requesting Data...4292397617</v>
        <stp/>
        <stp>BDP|17864902715618297134</stp>
        <tr r="BI134" s="3"/>
      </tp>
      <tp t="s">
        <v>#N/A Requesting Data...3771510841</v>
        <stp/>
        <stp>BDP|10746567815394064689</stp>
        <tr r="BG169" s="3"/>
      </tp>
      <tp t="s">
        <v>#N/A Requesting Data...3945360662</v>
        <stp/>
        <stp>BDP|11527378752014963551</stp>
        <tr r="O263" s="3"/>
      </tp>
      <tp t="s">
        <v>#N/A Requesting Data...3685173733</v>
        <stp/>
        <stp>BDP|16156755486568801766</stp>
        <tr r="BG200" s="3"/>
      </tp>
      <tp t="s">
        <v>#N/A N/A</v>
        <stp/>
        <stp>BDP|14982750515135790123</stp>
        <tr r="K101" s="2"/>
      </tp>
      <tp t="s">
        <v>#N/A Requesting Data...4074866335</v>
        <stp/>
        <stp>BDP|13173101082628920461</stp>
        <tr r="K272" s="3"/>
      </tp>
      <tp t="s">
        <v>#N/A Requesting Data...3688802310</v>
        <stp/>
        <stp>BDP|16723171928325015640</stp>
        <tr r="F271" s="3"/>
      </tp>
      <tp t="s">
        <v>#N/A Requesting Data...4137298670</v>
        <stp/>
        <stp>BDP|13837559936062086172</stp>
        <tr r="AS170" s="3"/>
      </tp>
      <tp t="s">
        <v>#N/A Requesting Data...3823783778</v>
        <stp/>
        <stp>BDP|10895907051963217971</stp>
        <tr r="BG272" s="3"/>
      </tp>
      <tp t="s">
        <v>#N/A N/A</v>
        <stp/>
        <stp>BDP|14825334924520677352</stp>
        <tr r="N99" s="2"/>
      </tp>
      <tp t="s">
        <v>#N/A Requesting Data...4235149403</v>
        <stp/>
        <stp>BDP|10949357931293865592</stp>
        <tr r="BI64" s="3"/>
      </tp>
      <tp t="s">
        <v>#N/A Requesting Data...3736083115</v>
        <stp/>
        <stp>BDP|11301420017885383795</stp>
        <tr r="Y277" s="3"/>
      </tp>
      <tp t="s">
        <v>#N/A Requesting Data...3751380459</v>
        <stp/>
        <stp>BDP|15269100099843287853</stp>
        <tr r="AH148" s="3"/>
      </tp>
      <tp t="s">
        <v>#N/A Requesting Data...4125292603</v>
        <stp/>
        <stp>BDP|13661984801615564959</stp>
        <tr r="AA215" s="3"/>
      </tp>
      <tp t="s">
        <v>#N/A Requesting Data...4177536730</v>
        <stp/>
        <stp>BDP|10005593444970036723</stp>
        <tr r="BA15" s="3"/>
      </tp>
      <tp t="s">
        <v>#N/A Requesting Data...3829928310</v>
        <stp/>
        <stp>BDP|14880536217006339004</stp>
        <tr r="BI12" s="3"/>
      </tp>
      <tp t="s">
        <v>#N/A Requesting Data...3876268202</v>
        <stp/>
        <stp>BDP|16864782051681819360</stp>
        <tr r="AS9" s="3"/>
      </tp>
      <tp t="s">
        <v>#N/A N/A</v>
        <stp/>
        <stp>BDP|11610573039521470033</stp>
        <tr r="AM34" s="2"/>
      </tp>
      <tp t="s">
        <v>#N/A Requesting Data...4205451864</v>
        <stp/>
        <stp>BDP|10973542194272615804</stp>
        <tr r="AJ271" s="3"/>
      </tp>
      <tp t="s">
        <v>#N/A Requesting Data...3931062603</v>
        <stp/>
        <stp>BDP|17010784764650138021</stp>
        <tr r="Y190" s="3"/>
      </tp>
      <tp t="s">
        <v>#N/A Requesting Data...4072664588</v>
        <stp/>
        <stp>BDP|14928209705282493271</stp>
        <tr r="AQ96" s="3"/>
      </tp>
      <tp t="s">
        <v>#N/A Requesting Data...3948658761</v>
        <stp/>
        <stp>BDP|12589666850806807146</stp>
        <tr r="K247" s="3"/>
      </tp>
      <tp t="s">
        <v>#N/A N/A</v>
        <stp/>
        <stp>BDP|16875419171131013279</stp>
        <tr r="AO54" s="2"/>
      </tp>
      <tp t="s">
        <v>#N/A Requesting Data...3894497123</v>
        <stp/>
        <stp>BDP|12298792517321763348</stp>
        <tr r="AH171" s="3"/>
      </tp>
      <tp t="s">
        <v>#N/A Requesting Data...4094892779</v>
        <stp/>
        <stp>BDP|11089724990110598982</stp>
        <tr r="I158" s="3"/>
      </tp>
      <tp t="s">
        <v>#N/A Requesting Data...3784810181</v>
        <stp/>
        <stp>BDP|13112286145022062137</stp>
        <tr r="O213" s="3"/>
      </tp>
      <tp t="s">
        <v>#N/A Requesting Data...4269313151</v>
        <stp/>
        <stp>BDP|16156239521977868746</stp>
        <tr r="BB216" s="3"/>
      </tp>
      <tp t="s">
        <v>#N/A Requesting Data...4134678701</v>
        <stp/>
        <stp>BDP|14571012001620228285</stp>
        <tr r="AH54" s="4"/>
      </tp>
      <tp t="s">
        <v>#N/A Requesting Data...3972112021</v>
        <stp/>
        <stp>BDP|14911531562622276355</stp>
        <tr r="BG9" s="3"/>
      </tp>
      <tp t="s">
        <v>#N/A Requesting Data...4161681998</v>
        <stp/>
        <stp>BDP|17780946553654738991</stp>
        <tr r="AH147" s="3"/>
      </tp>
      <tp t="s">
        <v>#N/A Requesting Data...3983581334</v>
        <stp/>
        <stp>BDP|15486189011151606259</stp>
        <tr r="K74" s="3"/>
      </tp>
      <tp t="s">
        <v>#N/A N/A</v>
        <stp/>
        <stp>BDP|12169850383295154188</stp>
        <tr r="AD73" s="2"/>
      </tp>
      <tp t="s">
        <v>#N/A Requesting Data...4183260764</v>
        <stp/>
        <stp>BDP|17906129751043339672</stp>
        <tr r="I11" s="4"/>
      </tp>
      <tp t="s">
        <v>#N/A Requesting Data...3765435114</v>
        <stp/>
        <stp>BDP|14931742482948771567</stp>
        <tr r="AH188" s="3"/>
      </tp>
      <tp t="s">
        <v>#N/A Requesting Data...3862725938</v>
        <stp/>
        <stp>BDP|12677869795155397089</stp>
        <tr r="BB54" s="3"/>
      </tp>
      <tp t="s">
        <v>#N/A N/A</v>
        <stp/>
        <stp>BDP|10203072513674984312</stp>
        <tr r="AM31" s="2"/>
      </tp>
      <tp t="s">
        <v>#N/A Requesting Data...3962728045</v>
        <stp/>
        <stp>BDP|14028026239858426913</stp>
        <tr r="Q114" s="3"/>
      </tp>
      <tp t="s">
        <v>#N/A Requesting Data...4116065896</v>
        <stp/>
        <stp>BDP|11724612006835656480</stp>
        <tr r="I243" s="3"/>
      </tp>
      <tp t="s">
        <v>#N/A Requesting Data...4218726865</v>
        <stp/>
        <stp>BDP|11658339350746242793</stp>
        <tr r="O271" s="3"/>
      </tp>
      <tp t="s">
        <v>#N/A Requesting Data...3782671989</v>
        <stp/>
        <stp>BDP|13884138955446421745</stp>
        <tr r="AS277" s="3"/>
      </tp>
      <tp t="s">
        <v>#N/A Requesting Data...4016036501</v>
        <stp/>
        <stp>BDP|13365451638314944693</stp>
        <tr r="AH320" s="3"/>
      </tp>
      <tp t="s">
        <v>#N/A Requesting Data...4185846675</v>
        <stp/>
        <stp>BDP|17180222227248296980</stp>
        <tr r="F353" s="3"/>
      </tp>
      <tp t="s">
        <v>#N/A Requesting Data...3942073802</v>
        <stp/>
        <stp>BDP|10073928350118889241</stp>
        <tr r="I350" s="3"/>
      </tp>
      <tp t="s">
        <v>#N/A Requesting Data...4004392739</v>
        <stp/>
        <stp>BDP|17319164908618027836</stp>
        <tr r="BI139" s="3"/>
      </tp>
      <tp t="s">
        <v>#N/A Requesting Data...3868106212</v>
        <stp/>
        <stp>BDP|17862471264002119143</stp>
        <tr r="BJ110" s="3"/>
        <tr r="BJ111" s="3"/>
        <tr r="BJ121" s="3"/>
        <tr r="BJ122" s="3"/>
        <tr r="BJ123" s="3"/>
        <tr r="BJ135" s="3"/>
        <tr r="BJ14" s="3"/>
        <tr r="BJ15" s="3"/>
        <tr r="BJ154" s="3"/>
        <tr r="BJ169" s="3"/>
        <tr r="BJ17" s="3"/>
        <tr r="BJ192" s="3"/>
        <tr r="BJ208" s="3"/>
        <tr r="BJ210" s="3"/>
        <tr r="BJ222" s="3"/>
        <tr r="BJ226" s="3"/>
        <tr r="BJ230" s="3"/>
        <tr r="BJ237" s="3"/>
        <tr r="BJ244" s="3"/>
        <tr r="BJ245" s="3"/>
        <tr r="BJ249" s="3"/>
        <tr r="BJ258" s="3"/>
        <tr r="BJ267" s="3"/>
        <tr r="BJ271" s="3"/>
        <tr r="BJ272" s="3"/>
        <tr r="BJ273" s="3"/>
        <tr r="BJ290" s="3"/>
        <tr r="BJ312" s="3"/>
        <tr r="BJ313" s="3"/>
        <tr r="BJ316" s="3"/>
        <tr r="BJ335" s="3"/>
        <tr r="BJ341" s="3"/>
        <tr r="BJ353" s="3"/>
        <tr r="BJ46" s="3"/>
        <tr r="BJ5" s="3"/>
        <tr r="BJ63" s="3"/>
        <tr r="BJ64" s="3"/>
        <tr r="BJ79" s="3"/>
        <tr r="BJ86" s="3"/>
        <tr r="BJ102" s="3"/>
        <tr r="BJ109" s="3"/>
        <tr r="BJ11" s="3"/>
        <tr r="BJ114" s="3"/>
        <tr r="BJ115" s="3"/>
        <tr r="BJ12" s="3"/>
        <tr r="BJ128" s="3"/>
        <tr r="BJ130" s="3"/>
        <tr r="BJ132" s="3"/>
        <tr r="BJ136" s="3"/>
        <tr r="BJ137" s="3"/>
        <tr r="BJ142" s="3"/>
        <tr r="BJ144" s="3"/>
        <tr r="BJ159" s="3"/>
        <tr r="BJ16" s="3"/>
        <tr r="BJ163" s="3"/>
        <tr r="BJ165" s="3"/>
        <tr r="BJ167" s="3"/>
        <tr r="BJ170" s="3"/>
        <tr r="BJ172" s="3"/>
        <tr r="BJ174" s="3"/>
        <tr r="BJ179" s="3"/>
        <tr r="BJ182" s="3"/>
        <tr r="BJ183" s="3"/>
        <tr r="BJ188" s="3"/>
        <tr r="BJ191" s="3"/>
        <tr r="BJ198" s="3"/>
        <tr r="BJ2" s="3"/>
        <tr r="BJ205" s="3"/>
        <tr r="BJ206" s="3"/>
        <tr r="BJ207" s="3"/>
        <tr r="BJ209" s="3"/>
        <tr r="BJ214" s="3"/>
        <tr r="BJ218" s="3"/>
        <tr r="BJ22" s="3"/>
        <tr r="BJ220" s="3"/>
        <tr r="BJ225" s="3"/>
        <tr r="BJ227" s="3"/>
        <tr r="BJ231" s="3"/>
        <tr r="BJ234" s="3"/>
        <tr r="BJ242" s="3"/>
        <tr r="BJ246" s="3"/>
        <tr r="BJ250" s="3"/>
        <tr r="BJ266" s="3"/>
        <tr r="BJ269" s="3"/>
        <tr r="BJ276" s="3"/>
        <tr r="BJ278" s="3"/>
        <tr r="BJ279" s="3"/>
        <tr r="BJ280" s="3"/>
        <tr r="BJ281" s="3"/>
        <tr r="BJ288" s="3"/>
        <tr r="BJ29" s="3"/>
        <tr r="BJ294" s="3"/>
        <tr r="BJ298" s="3"/>
        <tr r="BJ302" s="3"/>
        <tr r="BJ304" s="3"/>
        <tr r="BJ307" s="3"/>
        <tr r="BJ309" s="3"/>
        <tr r="BJ317" s="3"/>
        <tr r="BJ324" s="3"/>
        <tr r="BJ33" s="3"/>
        <tr r="BJ334" s="3"/>
        <tr r="BJ339" s="3"/>
        <tr r="BJ34" s="3"/>
        <tr r="BJ345" s="3"/>
        <tr r="BJ349" s="3"/>
        <tr r="BJ39" s="3"/>
        <tr r="BJ44" s="3"/>
        <tr r="BJ47" s="3"/>
        <tr r="BJ50" s="3"/>
        <tr r="BJ51" s="3"/>
        <tr r="BJ55" s="3"/>
        <tr r="BJ58" s="3"/>
        <tr r="BJ59" s="3"/>
        <tr r="BJ60" s="3"/>
        <tr r="BJ65" s="3"/>
        <tr r="BJ69" s="3"/>
        <tr r="BJ7" s="3"/>
        <tr r="BJ74" s="3"/>
        <tr r="BJ77" s="3"/>
        <tr r="BJ82" s="3"/>
        <tr r="BJ83" s="3"/>
        <tr r="BJ88" s="3"/>
        <tr r="BJ90" s="3"/>
        <tr r="BJ97" s="3"/>
        <tr r="BJ101" s="3"/>
        <tr r="BJ103" s="3"/>
        <tr r="BJ106" s="3"/>
        <tr r="BJ108" s="3"/>
        <tr r="BJ112" s="3"/>
        <tr r="BJ116" s="3"/>
        <tr r="BJ117" s="3"/>
        <tr r="BJ118" s="3"/>
        <tr r="BJ127" s="3"/>
        <tr r="BJ129" s="3"/>
        <tr r="BJ13" s="3"/>
        <tr r="BJ131" s="3"/>
        <tr r="BJ134" s="3"/>
        <tr r="BJ138" s="3"/>
        <tr r="BJ145" s="3"/>
        <tr r="BJ146" s="3"/>
        <tr r="BJ149" s="3"/>
        <tr r="BJ151" s="3"/>
        <tr r="BJ152" s="3"/>
        <tr r="BJ155" s="3"/>
        <tr r="BJ156" s="3"/>
        <tr r="BJ158" s="3"/>
        <tr r="BJ166" s="3"/>
        <tr r="BJ168" s="3"/>
        <tr r="BJ178" s="3"/>
        <tr r="BJ18" s="3"/>
        <tr r="BJ185" s="3"/>
        <tr r="BJ19" s="3"/>
        <tr r="BJ194" s="3"/>
        <tr r="BJ197" s="3"/>
        <tr r="BJ199" s="3"/>
        <tr r="BJ200" s="3"/>
        <tr r="BJ202" s="3"/>
        <tr r="BJ203" s="3"/>
        <tr r="BJ21" s="3"/>
        <tr r="BJ212" s="3"/>
        <tr r="BJ215" s="3"/>
        <tr r="BJ221" s="3"/>
        <tr r="BJ224" s="3"/>
        <tr r="BJ23" s="3"/>
        <tr r="BJ232" s="3"/>
        <tr r="BJ236" s="3"/>
        <tr r="BJ238" s="3"/>
        <tr r="BJ239" s="3"/>
        <tr r="BJ240" s="3"/>
        <tr r="BJ243" s="3"/>
        <tr r="BJ248" s="3"/>
        <tr r="BJ25" s="3"/>
        <tr r="BJ251" s="3"/>
        <tr r="BJ254" s="3"/>
        <tr r="BJ255" s="3"/>
        <tr r="BJ256" s="3"/>
        <tr r="BJ26" s="3"/>
        <tr r="BJ260" s="3"/>
        <tr r="BJ261" s="3"/>
        <tr r="BJ262" s="3"/>
        <tr r="BJ265" s="3"/>
        <tr r="BJ268" s="3"/>
        <tr r="BJ270" s="3"/>
        <tr r="BJ274" s="3"/>
        <tr r="BJ28" s="3"/>
        <tr r="BJ282" s="3"/>
        <tr r="BJ283" s="3"/>
        <tr r="BJ284" s="3"/>
        <tr r="BJ286" s="3"/>
        <tr r="BJ293" s="3"/>
        <tr r="BJ299" s="3"/>
        <tr r="BJ3" s="3"/>
        <tr r="BJ30" s="3"/>
        <tr r="BJ303" s="3"/>
        <tr r="BJ305" s="3"/>
        <tr r="BJ306" s="3"/>
        <tr r="BJ31" s="3"/>
        <tr r="BJ310" s="3"/>
        <tr r="BJ311" s="3"/>
        <tr r="BJ315" s="3"/>
        <tr r="BJ318" s="3"/>
        <tr r="BJ321" s="3"/>
        <tr r="BJ323" s="3"/>
        <tr r="BJ326" s="3"/>
        <tr r="BJ327" s="3"/>
        <tr r="BJ330" s="3"/>
        <tr r="BJ332" s="3"/>
        <tr r="BJ336" s="3"/>
        <tr r="BJ338" s="3"/>
        <tr r="BJ340" s="3"/>
        <tr r="BJ343" s="3"/>
        <tr r="BJ344" s="3"/>
        <tr r="BJ347" s="3"/>
        <tr r="BJ348" s="3"/>
        <tr r="BJ35" s="3"/>
        <tr r="BJ352" s="3"/>
        <tr r="BJ37" s="3"/>
        <tr r="BJ38" s="3"/>
        <tr r="BJ4" s="3"/>
        <tr r="BJ41" s="3"/>
        <tr r="BJ45" s="3"/>
        <tr r="BJ54" s="3"/>
        <tr r="BJ67" s="3"/>
        <tr r="BJ68" s="3"/>
        <tr r="BJ70" s="3"/>
        <tr r="BJ72" s="3"/>
        <tr r="BJ78" s="3"/>
        <tr r="BJ8" s="3"/>
        <tr r="BJ85" s="3"/>
        <tr r="BJ87" s="3"/>
        <tr r="BJ89" s="3"/>
        <tr r="BJ93" s="3"/>
        <tr r="BJ94" s="3"/>
        <tr r="BJ95" s="3"/>
        <tr r="BJ99" s="3"/>
        <tr r="BJ10" s="3"/>
        <tr r="BJ100" s="3"/>
        <tr r="BJ104" s="3"/>
        <tr r="BJ107" s="3"/>
        <tr r="BJ113" s="3"/>
        <tr r="BJ124" s="3"/>
        <tr r="BJ125" s="3"/>
        <tr r="BJ126" s="3"/>
        <tr r="BJ133" s="3"/>
        <tr r="BJ139" s="3"/>
        <tr r="BJ140" s="3"/>
        <tr r="BJ141" s="3"/>
        <tr r="BJ143" s="3"/>
        <tr r="BJ147" s="3"/>
        <tr r="BJ148" s="3"/>
        <tr r="BJ150" s="3"/>
        <tr r="BJ153" s="3"/>
        <tr r="BJ157" s="3"/>
        <tr r="BJ160" s="3"/>
        <tr r="BJ161" s="3"/>
        <tr r="BJ162" s="3"/>
        <tr r="BJ171" s="3"/>
        <tr r="BJ173" s="3"/>
        <tr r="BJ175" s="3"/>
        <tr r="BJ176" s="3"/>
        <tr r="BJ180" s="3"/>
        <tr r="BJ181" s="3"/>
        <tr r="BJ186" s="3"/>
        <tr r="BJ187" s="3"/>
        <tr r="BJ189" s="3"/>
        <tr r="BJ190" s="3"/>
        <tr r="BJ195" s="3"/>
        <tr r="BJ196" s="3"/>
        <tr r="BJ20" s="3"/>
        <tr r="BJ204" s="3"/>
        <tr r="BJ211" s="3"/>
        <tr r="BJ213" s="3"/>
        <tr r="BJ216" s="3"/>
        <tr r="BJ217" s="3"/>
        <tr r="BJ219" s="3"/>
        <tr r="BJ223" s="3"/>
        <tr r="BJ228" s="3"/>
        <tr r="BJ229" s="3"/>
        <tr r="BJ233" s="3"/>
        <tr r="BJ235" s="3"/>
        <tr r="BJ24" s="3"/>
        <tr r="BJ241" s="3"/>
        <tr r="BJ247" s="3"/>
        <tr r="BJ252" s="3"/>
        <tr r="BJ259" s="3"/>
        <tr r="BJ263" s="3"/>
        <tr r="BJ264" s="3"/>
        <tr r="BJ27" s="3"/>
        <tr r="BJ275" s="3"/>
        <tr r="BJ277" s="3"/>
        <tr r="BJ285" s="3"/>
        <tr r="BJ287" s="3"/>
        <tr r="BJ289" s="3"/>
        <tr r="BJ291" s="3"/>
        <tr r="BJ292" s="3"/>
        <tr r="BJ295" s="3"/>
        <tr r="BJ296" s="3"/>
        <tr r="BJ297" s="3"/>
        <tr r="BJ300" s="3"/>
        <tr r="BJ314" s="3"/>
        <tr r="BJ319" s="3"/>
        <tr r="BJ32" s="3"/>
        <tr r="BJ322" s="3"/>
        <tr r="BJ329" s="3"/>
        <tr r="BJ331" s="3"/>
        <tr r="BJ337" s="3"/>
        <tr r="BJ342" s="3"/>
        <tr r="BJ346" s="3"/>
        <tr r="BJ36" s="3"/>
        <tr r="BJ40" s="3"/>
        <tr r="BJ43" s="3"/>
        <tr r="BJ48" s="3"/>
        <tr r="BJ49" s="3"/>
        <tr r="BJ53" s="3"/>
        <tr r="BJ56" s="3"/>
        <tr r="BJ57" s="3"/>
        <tr r="BJ6" s="3"/>
        <tr r="BJ61" s="3"/>
        <tr r="BJ62" s="3"/>
        <tr r="BJ66" s="3"/>
        <tr r="BJ73" s="3"/>
        <tr r="BJ75" s="3"/>
        <tr r="BJ76" s="3"/>
        <tr r="BJ80" s="3"/>
        <tr r="BJ81" s="3"/>
        <tr r="BJ84" s="3"/>
        <tr r="BJ9" s="3"/>
        <tr r="BJ91" s="3"/>
        <tr r="BJ92" s="3"/>
        <tr r="BJ96" s="3"/>
        <tr r="BJ98" s="3"/>
        <tr r="BJ105" s="3"/>
        <tr r="BJ119" s="3"/>
        <tr r="BJ120" s="3"/>
        <tr r="BJ164" s="3"/>
        <tr r="BJ177" s="3"/>
        <tr r="BJ184" s="3"/>
        <tr r="BJ193" s="3"/>
        <tr r="BJ201" s="3"/>
        <tr r="BJ253" s="3"/>
        <tr r="BJ257" s="3"/>
        <tr r="BJ301" s="3"/>
        <tr r="BJ308" s="3"/>
        <tr r="BJ320" s="3"/>
        <tr r="BJ325" s="3"/>
        <tr r="BJ328" s="3"/>
        <tr r="BJ333" s="3"/>
        <tr r="BJ350" s="3"/>
        <tr r="BJ351" s="3"/>
        <tr r="BJ42" s="3"/>
        <tr r="BJ52" s="3"/>
        <tr r="BJ71" s="3"/>
      </tp>
      <tp t="s">
        <v>#N/A Requesting Data...3859038297</v>
        <stp/>
        <stp>BDP|16859282028604372452</stp>
        <tr r="BB18" s="3"/>
      </tp>
      <tp t="s">
        <v>#N/A Requesting Data...4257285721</v>
        <stp/>
        <stp>BDP|12252819318724081957</stp>
        <tr r="BH38" s="3"/>
      </tp>
      <tp t="s">
        <v>#N/A Requesting Data...4028996544</v>
        <stp/>
        <stp>BDP|11704184513535595283</stp>
        <tr r="BN6" s="2"/>
      </tp>
      <tp t="s">
        <v>#N/A Requesting Data...4182203339</v>
        <stp/>
        <stp>BDP|12027623233106131719</stp>
        <tr r="AH4" s="4"/>
      </tp>
      <tp t="s">
        <v>#N/A N/A</v>
        <stp/>
        <stp>BDP|17301828820988421349</stp>
        <tr r="T84" s="2"/>
      </tp>
      <tp t="s">
        <v>#N/A N/A</v>
        <stp/>
        <stp>BDP|10593449411620157309</stp>
        <tr r="BE48" s="2"/>
      </tp>
      <tp t="s">
        <v>#N/A Requesting Data...4004348364</v>
        <stp/>
        <stp>BDP|17005222487612162958</stp>
        <tr r="BF125" s="3"/>
      </tp>
      <tp t="s">
        <v>#N/A Requesting Data...4163761700</v>
        <stp/>
        <stp>BDP|17233048440981130469</stp>
        <tr r="Y161" s="3"/>
      </tp>
      <tp t="s">
        <v>#N/A Requesting Data...3913892395</v>
        <stp/>
        <stp>BDP|11143657554011097512</stp>
        <tr r="AJ221" s="3"/>
      </tp>
      <tp t="s">
        <v>#N/A Requesting Data...3922278754</v>
        <stp/>
        <stp>BDP|11389172774746173705</stp>
        <tr r="AZ322" s="3"/>
      </tp>
      <tp t="s">
        <v>#N/A Requesting Data...3879785653</v>
        <stp/>
        <stp>BDP|15689691129560539721</stp>
        <tr r="BA62" s="3"/>
      </tp>
      <tp t="s">
        <v>#N/A Requesting Data...4133939693</v>
        <stp/>
        <stp>BDP|15456573232846120311</stp>
        <tr r="BA84" s="3"/>
      </tp>
      <tp t="s">
        <v>#N/A Requesting Data...4241633578</v>
        <stp/>
        <stp>BDP|17242933253328728544</stp>
        <tr r="AZ63" s="3"/>
      </tp>
      <tp t="s">
        <v>#N/A Requesting Data...4089426174</v>
        <stp/>
        <stp>BDP|15334176926313709344</stp>
        <tr r="AS26" s="3"/>
      </tp>
      <tp t="s">
        <v>#N/A Requesting Data...4242267754</v>
        <stp/>
        <stp>BDP|10495423327082588250</stp>
        <tr r="BB197" s="3"/>
      </tp>
      <tp t="s">
        <v>#N/A Requesting Data...4070214786</v>
        <stp/>
        <stp>BDP|17041307117103164075</stp>
        <tr r="AQ315" s="3"/>
      </tp>
      <tp t="s">
        <v>#N/A Requesting Data...4187826177</v>
        <stp/>
        <stp>BDP|15643488957685999714</stp>
        <tr r="BF317" s="3"/>
      </tp>
      <tp t="s">
        <v>#N/A Requesting Data...4174497234</v>
        <stp/>
        <stp>BDP|16356630443163460165</stp>
        <tr r="BH153" s="3"/>
      </tp>
      <tp t="s">
        <v>#N/A Requesting Data...3933570729</v>
        <stp/>
        <stp>BDP|17692194713385509489</stp>
        <tr r="Q174" s="3"/>
      </tp>
      <tp t="s">
        <v>#N/A Requesting Data...4111142001</v>
        <stp/>
        <stp>BDP|10462087129001454502</stp>
        <tr r="AA329" s="3"/>
      </tp>
      <tp t="s">
        <v>#N/A Requesting Data...4126631829</v>
        <stp/>
        <stp>BDP|11063882592436334086</stp>
        <tr r="BI147" s="3"/>
      </tp>
      <tp t="s">
        <v>#N/A N/A</v>
        <stp/>
        <stp>BDP|13812154718341615423</stp>
        <tr r="T74" s="2"/>
      </tp>
      <tp t="s">
        <v>#N/A Requesting Data...4154423256</v>
        <stp/>
        <stp>BDP|14753667771347702465</stp>
        <tr r="W10" s="4"/>
      </tp>
      <tp t="s">
        <v>#N/A N/A</v>
        <stp/>
        <stp>BDP|16632629236077520273</stp>
        <tr r="BM26" s="2"/>
      </tp>
      <tp t="s">
        <v>#N/A Requesting Data...4263356576</v>
        <stp/>
        <stp>BDP|15241491690248878639</stp>
        <tr r="BG113" s="3"/>
      </tp>
      <tp t="s">
        <v>#N/A Requesting Data...4031765854</v>
        <stp/>
        <stp>BDP|10691067515582265572</stp>
        <tr r="BH332" s="3"/>
      </tp>
      <tp t="s">
        <v>#N/A Requesting Data...4266282501</v>
        <stp/>
        <stp>BDP|17882296274006667237</stp>
        <tr r="Q93" s="3"/>
      </tp>
      <tp t="s">
        <v>#N/A Requesting Data...4029622808</v>
        <stp/>
        <stp>BDP|12914482322060587264</stp>
        <tr r="AQ22" s="3"/>
      </tp>
      <tp t="s">
        <v>#N/A Requesting Data...4149153475</v>
        <stp/>
        <stp>BDP|11328468331209057940</stp>
        <tr r="BF149" s="3"/>
      </tp>
      <tp t="s">
        <v>#N/A Requesting Data...4057969143</v>
        <stp/>
        <stp>BDP|10815885443903308900</stp>
        <tr r="AZ281" s="3"/>
      </tp>
      <tp t="s">
        <v>#N/A Requesting Data...4171660487</v>
        <stp/>
        <stp>BDP|14566380213447669789</stp>
        <tr r="BF124" s="3"/>
      </tp>
      <tp t="s">
        <v>#N/A Requesting Data...4036883463</v>
        <stp/>
        <stp>BDP|18427025117077588842</stp>
        <tr r="AS52" s="3"/>
      </tp>
      <tp t="s">
        <v>#N/A N/A</v>
        <stp/>
        <stp>BDP|16967075864756382091</stp>
        <tr r="BF61" s="2"/>
      </tp>
      <tp t="s">
        <v>#N/A Requesting Data...4162129221</v>
        <stp/>
        <stp>BDP|15169323519001818029</stp>
        <tr r="AA342" s="3"/>
      </tp>
      <tp t="s">
        <v>#N/A Requesting Data...4158865380</v>
        <stp/>
        <stp>BDP|13643940953499881095</stp>
        <tr r="BI272" s="3"/>
      </tp>
      <tp t="s">
        <v>#N/A N/A</v>
        <stp/>
        <stp>BDP|16325601055556157570</stp>
        <tr r="N101" s="2"/>
      </tp>
      <tp t="s">
        <v>#N/A Requesting Data...4156333270</v>
        <stp/>
        <stp>BDP|11269083278570583079</stp>
        <tr r="AS153" s="3"/>
      </tp>
      <tp t="s">
        <v>#N/A Requesting Data...4292630251</v>
        <stp/>
        <stp>BDP|18231407165605368944</stp>
        <tr r="I179" s="3"/>
      </tp>
      <tp t="s">
        <v>#N/A Requesting Data...4232280075</v>
        <stp/>
        <stp>BDP|16546371825426206751</stp>
        <tr r="I242" s="3"/>
      </tp>
      <tp t="s">
        <v>#N/A Requesting Data...4225768997</v>
        <stp/>
        <stp>BDP|17727513675326100522</stp>
        <tr r="BA27" s="3"/>
      </tp>
      <tp t="s">
        <v>#N/A Requesting Data...4140612824</v>
        <stp/>
        <stp>BDP|10571781508621736024</stp>
        <tr r="BB204" s="3"/>
      </tp>
      <tp t="s">
        <v>#N/A Requesting Data...4183988750</v>
        <stp/>
        <stp>BDP|15489626654999724952</stp>
        <tr r="BF160" s="3"/>
      </tp>
      <tp t="s">
        <v>#N/A Requesting Data...4224419867</v>
        <stp/>
        <stp>BDP|16635116152040142446</stp>
        <tr r="Q241" s="3"/>
      </tp>
      <tp t="s">
        <v>#N/A Requesting Data...4147808813</v>
        <stp/>
        <stp>BDP|15661605733066308065</stp>
        <tr r="AH64" s="3"/>
      </tp>
      <tp t="s">
        <v>#N/A N/A</v>
        <stp/>
        <stp>BDP|15738061320581788069</stp>
        <tr r="T15" s="2"/>
      </tp>
      <tp t="s">
        <v>#N/A Requesting Data...4209921578</v>
        <stp/>
        <stp>BDP|11640277275617316572</stp>
        <tr r="AQ210" s="3"/>
      </tp>
      <tp t="s">
        <v>#N/A Requesting Data...4226994744</v>
        <stp/>
        <stp>BDP|17093438246757639630</stp>
        <tr r="Y139" s="3"/>
      </tp>
      <tp t="s">
        <v>#N/A Requesting Data...4266615405</v>
        <stp/>
        <stp>BDP|17099189375796970145</stp>
        <tr r="AA73" s="3"/>
      </tp>
      <tp t="s">
        <v>#N/A N/A</v>
        <stp/>
        <stp>BDP|10199714427432713133</stp>
        <tr r="V82" s="2"/>
      </tp>
      <tp t="s">
        <v>#N/A Requesting Data...4198295336</v>
        <stp/>
        <stp>BDP|17771108240132738636</stp>
        <tr r="T2" s="2"/>
        <tr r="M2" s="4"/>
        <tr r="O2" s="3"/>
      </tp>
      <tp t="s">
        <v>#N/A N/A</v>
        <stp/>
        <stp>BDP|15837419551043396188</stp>
        <tr r="BE36" s="2"/>
      </tp>
      <tp t="s">
        <v>#N/A Requesting Data...4212431694</v>
        <stp/>
        <stp>BDP|14484596861971743089</stp>
        <tr r="Q27" s="3"/>
      </tp>
      <tp t="s">
        <v>#N/A Requesting Data...4185418816</v>
        <stp/>
        <stp>BDP|12734477723574783670</stp>
        <tr r="AS158" s="3"/>
      </tp>
      <tp t="s">
        <v>#N/A Requesting Data...4280470429</v>
        <stp/>
        <stp>BDP|13729126519301872478</stp>
        <tr r="BG259" s="3"/>
      </tp>
      <tp t="s">
        <v>#N/A Requesting Data...4229925529</v>
        <stp/>
        <stp>BDP|15257244108471815059</stp>
        <tr r="I38" s="3"/>
      </tp>
      <tp t="s">
        <v>#N/A Requesting Data...4223338026</v>
        <stp/>
        <stp>BDP|15132326758343102695</stp>
        <tr r="BH227" s="3"/>
      </tp>
      <tp t="s">
        <v>#N/A N/A</v>
        <stp/>
        <stp>BDP|12852873982251943572</stp>
        <tr r="BG13" s="2"/>
      </tp>
      <tp t="s">
        <v>#N/A Requesting Data...4279907252</v>
        <stp/>
        <stp>BDP|13634782012397761486</stp>
        <tr r="BB13" s="3"/>
      </tp>
      <tp t="s">
        <v>#N/A Requesting Data...4277297598</v>
        <stp/>
        <stp>BDP|15801653233604955240</stp>
        <tr r="AQ185" s="3"/>
      </tp>
      <tp t="s">
        <v>#N/A Requesting Data...4249535663</v>
        <stp/>
        <stp>BDP|13730208525917160202</stp>
        <tr r="AQ235" s="3"/>
      </tp>
      <tp t="s">
        <v>#N/A Requesting Data...4241301543</v>
        <stp/>
        <stp>BDP|14390908360659828480</stp>
        <tr r="G12" s="4"/>
      </tp>
      <tp t="s">
        <v>#N/A Requesting Data...4285381657</v>
        <stp/>
        <stp>BDP|13049263656020675254</stp>
        <tr r="AS12" s="3"/>
      </tp>
      <tp t="s">
        <v>#N/A Requesting Data...4263638448</v>
        <stp/>
        <stp>BDP|15346912822980721849</stp>
        <tr r="BB253" s="3"/>
      </tp>
      <tp t="s">
        <v>#N/A N/A</v>
        <stp/>
        <stp>BDP|17931865499195151559</stp>
        <tr r="BK89" s="2"/>
      </tp>
      <tp t="s">
        <v>#N/A Requesting Data...4276524279</v>
        <stp/>
        <stp>BDP|10473761467866333146</stp>
        <tr r="O19" s="3"/>
      </tp>
      <tp t="s">
        <v>#N/A N/A</v>
        <stp/>
        <stp>BDP|11073819583357607067</stp>
        <tr r="N80" s="2"/>
      </tp>
      <tp t="s">
        <v>#N/A N/A</v>
        <stp/>
        <stp>BDP|13427088220663867460</stp>
        <tr r="BF51" s="2"/>
      </tp>
      <tp t="s">
        <v>#N/A N/A</v>
        <stp/>
        <stp>BDP|12366232616303290464</stp>
        <tr r="BL35" s="2"/>
      </tp>
      <tp t="s">
        <v>#N/A Requesting Data...4278819949</v>
        <stp/>
        <stp>BDP|15039368435706610574</stp>
        <tr r="AZ24" s="3"/>
      </tp>
      <tp t="s">
        <v>#N/A Requesting Data...4281604851</v>
        <stp/>
        <stp>BDP|12297856686717294318</stp>
        <tr r="AH55" s="3"/>
      </tp>
      <tp t="s">
        <v>#N/A Requesting Data...4280076154</v>
        <stp/>
        <stp>BDP|13101448312120726022</stp>
        <tr r="F159" s="3"/>
      </tp>
      <tp t="s">
        <v>#N/A Requesting Data...4287824111</v>
        <stp/>
        <stp>BDP|13037341677444988586</stp>
        <tr r="BK3" s="2"/>
        <tr r="BF316" s="3"/>
      </tp>
      <tp t="s">
        <v>#N/A Requesting Data...4294771877</v>
        <stp/>
        <stp>BDP|11790164404781526720</stp>
        <tr r="BF260" s="3"/>
      </tp>
      <tp t="s">
        <v>#N/A Requesting Data...4283255484</v>
        <stp/>
        <stp>BDP|15693737055107147634</stp>
        <tr r="Y10" s="4"/>
      </tp>
      <tp t="s">
        <v>#N/A Requesting Data...4290412901</v>
        <stp/>
        <stp>BDP|15268213178312107488</stp>
        <tr r="BI178" s="3"/>
      </tp>
      <tp t="s">
        <v>#N/A Requesting Data...4289160619</v>
        <stp/>
        <stp>BDP|17278588608887681361</stp>
        <tr r="BI145" s="3"/>
      </tp>
      <tp t="s">
        <v>#N/A Requesting Data...4291374552</v>
        <stp/>
        <stp>BDP|12326875093873513600</stp>
        <tr r="I298" s="3"/>
      </tp>
      <tp t="s">
        <v>#N/A Requesting Data...4293926890</v>
        <stp/>
        <stp>BDP|12477669072071305413</stp>
        <tr r="BH243" s="3"/>
      </tp>
      <tp t="s">
        <v>#N/A Requesting Data...3206504318</v>
        <stp/>
        <stp>BDP|10709563152993521544</stp>
        <tr r="AZ192" s="3"/>
      </tp>
      <tp t="s">
        <v>#N/A N/A</v>
        <stp/>
        <stp>BDP|17133911994841010068</stp>
        <tr r="BL28" s="2"/>
      </tp>
      <tp t="s">
        <v>#N/A Requesting Data...1556509602</v>
        <stp/>
        <stp>BDP|16225371634162324203</stp>
        <tr r="Y298" s="3"/>
      </tp>
      <tp t="s">
        <v>#N/A Requesting Data...1755727313</v>
        <stp/>
        <stp>BDP|16645751776126002677</stp>
        <tr r="Y155" s="3"/>
      </tp>
      <tp t="s">
        <v>#N/A Requesting Data...99007878</v>
        <stp/>
        <stp>BDP|17415107640857392355</stp>
        <tr r="AZ185" s="3"/>
      </tp>
      <tp t="s">
        <v>#N/A N/A</v>
        <stp/>
        <stp>BDP|17736052373404560262</stp>
        <tr r="N68" s="2"/>
      </tp>
      <tp t="s">
        <v>#N/A Requesting Data...3927633218</v>
        <stp/>
        <stp>BDP|12380460630910026372</stp>
        <tr r="Y58" s="4"/>
      </tp>
      <tp t="s">
        <v>#N/A N/A</v>
        <stp/>
        <stp>BDP|12075048703717701329</stp>
        <tr r="BF100" s="2"/>
      </tp>
      <tp t="s">
        <v>#N/A Requesting Data...1292885151</v>
        <stp/>
        <stp>BDP|15697414349182854149</stp>
        <tr r="BG47" s="3"/>
      </tp>
      <tp t="s">
        <v>#N/A Requesting Data...3095112695</v>
        <stp/>
        <stp>BDP|17912325833135357497</stp>
        <tr r="BI211" s="3"/>
      </tp>
      <tp t="s">
        <v>#N/A N/A</v>
        <stp/>
        <stp>BDP|12618124019612623697</stp>
        <tr r="AV98" s="2"/>
      </tp>
      <tp t="s">
        <v>#N/A Requesting Data...3961132544</v>
        <stp/>
        <stp>BDP|16411234998392875954</stp>
        <tr r="F135" s="3"/>
      </tp>
      <tp t="s">
        <v>#N/A Requesting Data...2704378426</v>
        <stp/>
        <stp>BDP|12587575031222772013</stp>
        <tr r="AQ335" s="3"/>
      </tp>
      <tp t="s">
        <v>#N/A Requesting Data...1259200245</v>
        <stp/>
        <stp>BDP|16705058260252208453</stp>
        <tr r="BA111" s="3"/>
      </tp>
      <tp t="s">
        <v>#N/A Requesting Data...1013186179</v>
        <stp/>
        <stp>BDP|15155539419491677681</stp>
        <tr r="K216" s="3"/>
      </tp>
      <tp t="s">
        <v>#N/A Requesting Data...1202425145</v>
        <stp/>
        <stp>BDP|13573273670204599423</stp>
        <tr r="Y323" s="3"/>
      </tp>
      <tp t="s">
        <v>#N/A Requesting Data...162614980</v>
        <stp/>
        <stp>BDP|10783017942963087112</stp>
        <tr r="O54" s="3"/>
      </tp>
      <tp t="s">
        <v>#N/A Requesting Data...4197336175</v>
        <stp/>
        <stp>BDP|12457472611941675015</stp>
        <tr r="AH149" s="3"/>
      </tp>
      <tp t="s">
        <v>#N/A N/A</v>
        <stp/>
        <stp>BDP|16281318921151751007</stp>
        <tr r="BN90" s="2"/>
      </tp>
      <tp t="s">
        <v>#N/A Requesting Data...4099388536</v>
        <stp/>
        <stp>BDP|16321755004665378245</stp>
        <tr r="BB272" s="3"/>
      </tp>
      <tp t="s">
        <v>#N/A Requesting Data...3890692573</v>
        <stp/>
        <stp>BDP|14131151833692168231</stp>
        <tr r="I210" s="3"/>
      </tp>
      <tp t="s">
        <v>#N/A Requesting Data...1368633263</v>
        <stp/>
        <stp>BDP|10983770506836878755</stp>
        <tr r="BG177" s="3"/>
      </tp>
      <tp t="s">
        <v>#N/A Requesting Data...2975260200</v>
        <stp/>
        <stp>BDP|12141754833568268805</stp>
        <tr r="Q170" s="3"/>
      </tp>
      <tp t="s">
        <v>#N/A Requesting Data...3367142496</v>
        <stp/>
        <stp>BDP|16713487578865700658</stp>
        <tr r="BH252" s="3"/>
      </tp>
      <tp t="s">
        <v>#N/A Requesting Data...314060156</v>
        <stp/>
        <stp>BDP|11622456625028269917</stp>
        <tr r="BF89" s="3"/>
      </tp>
      <tp t="s">
        <v>#N/A Requesting Data...4046400025</v>
        <stp/>
        <stp>BDP|10232575904310519311</stp>
        <tr r="BG43" s="3"/>
      </tp>
      <tp t="s">
        <v>#N/A Requesting Data...2278738000</v>
        <stp/>
        <stp>BDP|15733172865626449247</stp>
        <tr r="K286" s="3"/>
      </tp>
      <tp t="s">
        <v>#N/A Requesting Data...3599123757</v>
        <stp/>
        <stp>BDP|12369395443201885252</stp>
        <tr r="AZ165" s="3"/>
      </tp>
      <tp t="s">
        <v>#N/A Requesting Data...945430782</v>
        <stp/>
        <stp>BDP|15280112035378342916</stp>
        <tr r="AA233" s="3"/>
      </tp>
      <tp t="s">
        <v>#N/A Requesting Data...3140886701</v>
        <stp/>
        <stp>BDP|10831942598140326639</stp>
        <tr r="BI164" s="3"/>
      </tp>
      <tp t="s">
        <v>#N/A Requesting Data...2025166674</v>
        <stp/>
        <stp>BDP|10518483540714943208</stp>
        <tr r="K184" s="3"/>
      </tp>
      <tp t="s">
        <v>#N/A Requesting Data...605558473</v>
        <stp/>
        <stp>BDP|11518374877131299232</stp>
        <tr r="K236" s="3"/>
      </tp>
      <tp t="s">
        <v>#N/A Requesting Data...817264173</v>
        <stp/>
        <stp>BDP|11300249959080955033</stp>
        <tr r="BG227" s="3"/>
      </tp>
      <tp t="s">
        <v>#N/A Requesting Data...1960029756</v>
        <stp/>
        <stp>BDP|14777015132493412249</stp>
        <tr r="I297" s="3"/>
      </tp>
      <tp t="s">
        <v>#N/A Requesting Data...3259956207</v>
        <stp/>
        <stp>BDP|16244390360155682090</stp>
        <tr r="O112" s="3"/>
      </tp>
      <tp t="s">
        <v>#N/A Requesting Data...2570990713</v>
        <stp/>
        <stp>BDP|16304165826203520026</stp>
        <tr r="I131" s="3"/>
      </tp>
      <tp t="s">
        <v>#N/A N/A</v>
        <stp/>
        <stp>BDP|10965730449857446239</stp>
        <tr r="N18" s="2"/>
      </tp>
      <tp t="s">
        <v>#N/A Requesting Data...2745512341</v>
        <stp/>
        <stp>BDP|10106420916314831792</stp>
        <tr r="F315" s="3"/>
      </tp>
      <tp t="s">
        <v>#N/A Requesting Data...1582889325</v>
        <stp/>
        <stp>BDP|10735013306491357771</stp>
        <tr r="BF232" s="3"/>
      </tp>
      <tp t="s">
        <v>#N/A Requesting Data...1249690662</v>
        <stp/>
        <stp>BDP|16818518418971306567</stp>
        <tr r="BF268" s="3"/>
      </tp>
      <tp t="s">
        <v>#N/A Requesting Data...2970204307</v>
        <stp/>
        <stp>BDP|16529422110302007734</stp>
        <tr r="AH185" s="3"/>
      </tp>
      <tp t="s">
        <v>#N/A Requesting Data...2828451043</v>
        <stp/>
        <stp>BDP|17019372002147044511</stp>
        <tr r="D14" s="4"/>
      </tp>
      <tp t="s">
        <v>#N/A N/A</v>
        <stp/>
        <stp>BDP|13624077861415201667</stp>
        <tr r="BF74" s="2"/>
      </tp>
      <tp t="s">
        <v>#N/A Requesting Data...3120512918</v>
        <stp/>
        <stp>BDP|14782047655713591477</stp>
        <tr r="AQ113" s="3"/>
      </tp>
      <tp t="s">
        <v>#N/A Requesting Data...975456732</v>
        <stp/>
        <stp>BDP|14391591619290083677</stp>
        <tr r="BH230" s="3"/>
      </tp>
      <tp t="s">
        <v>#N/A Requesting Data...656595967</v>
        <stp/>
        <stp>BDP|12604756142185233271</stp>
        <tr r="BA77" s="3"/>
      </tp>
      <tp t="s">
        <v>#N/A Requesting Data...1575529700</v>
        <stp/>
        <stp>BDP|14786051086903273922</stp>
        <tr r="AZ328" s="3"/>
      </tp>
      <tp t="s">
        <v>#N/A Requesting Data...3205666424</v>
        <stp/>
        <stp>BDP|15607761387575327903</stp>
        <tr r="Y246" s="3"/>
      </tp>
      <tp t="s">
        <v>#N/A Requesting Data...1399517847</v>
        <stp/>
        <stp>BDP|14520000466465755106</stp>
        <tr r="BB128" s="3"/>
      </tp>
      <tp t="s">
        <v>#N/A Requesting Data...546582455</v>
        <stp/>
        <stp>BDP|11405439317667231568</stp>
        <tr r="BG276" s="3"/>
      </tp>
      <tp t="s">
        <v>#N/A Requesting Data...1259866252</v>
        <stp/>
        <stp>BDP|13552514352395129034</stp>
        <tr r="BI277" s="3"/>
      </tp>
      <tp t="s">
        <v>#N/A Requesting Data...1949109177</v>
        <stp/>
        <stp>BDP|13355450802993116219</stp>
        <tr r="AQ116" s="3"/>
      </tp>
      <tp t="s">
        <v>#N/A N/A</v>
        <stp/>
        <stp>BDP|16697606851366266521</stp>
        <tr r="BM28" s="2"/>
      </tp>
      <tp t="s">
        <v>#N/A Requesting Data...3675709700</v>
        <stp/>
        <stp>BDP|12600289793329233682</stp>
        <tr r="AX37" s="4"/>
      </tp>
      <tp t="s">
        <v>#N/A Requesting Data...2680652152</v>
        <stp/>
        <stp>BDP|10685736430974453668</stp>
        <tr r="AH104" s="3"/>
      </tp>
      <tp t="s">
        <v>#N/A Requesting Data...376397873</v>
        <stp/>
        <stp>BDP|15515306253941756462</stp>
        <tr r="AQ97" s="3"/>
      </tp>
      <tp t="s">
        <v>#N/A N/A</v>
        <stp/>
        <stp>BDP|13489514196668152157</stp>
        <tr r="BK83" s="2"/>
      </tp>
      <tp t="s">
        <v>#N/A N/A</v>
        <stp/>
        <stp>BDP|18361873991959491668</stp>
        <tr r="AX30" s="2"/>
      </tp>
      <tp t="s">
        <v>#N/A Requesting Data...1460457701</v>
        <stp/>
        <stp>BDP|10829590186158285326</stp>
        <tr r="AQ200" s="3"/>
      </tp>
      <tp t="s">
        <v>#N/A Requesting Data...4192828092</v>
        <stp/>
        <stp>BDP|11719919101987950999</stp>
        <tr r="AQ230" s="3"/>
      </tp>
      <tp t="s">
        <v>#N/A Requesting Data...1777588156</v>
        <stp/>
        <stp>BDP|11131469322635462469</stp>
        <tr r="BI268" s="3"/>
      </tp>
      <tp t="s">
        <v>#N/A Requesting Data...3134375247</v>
        <stp/>
        <stp>BDP|13020730565020160406</stp>
        <tr r="BF135" s="3"/>
      </tp>
      <tp t="s">
        <v>#N/A N/A</v>
        <stp/>
        <stp>BDP|10915686382110624825</stp>
        <tr r="AV70" s="2"/>
      </tp>
      <tp t="s">
        <v>#N/A Requesting Data...2214780333</v>
        <stp/>
        <stp>BDP|14658449323927177372</stp>
        <tr r="K117" s="3"/>
      </tp>
      <tp t="s">
        <v>#N/A Requesting Data...721076943</v>
        <stp/>
        <stp>BDP|11818546261266868225</stp>
        <tr r="AS270" s="3"/>
      </tp>
      <tp t="s">
        <v>#N/A Requesting Data...1527866172</v>
        <stp/>
        <stp>BDP|13846313514145252286</stp>
        <tr r="AS144" s="3"/>
      </tp>
      <tp t="s">
        <v>#N/A Requesting Data...3747558122</v>
        <stp/>
        <stp>BDP|18291206484962273634</stp>
        <tr r="BH49" s="3"/>
      </tp>
      <tp t="s">
        <v>#N/A Requesting Data...485413586</v>
        <stp/>
        <stp>BDP|10474068770163333269</stp>
        <tr r="BF323" s="3"/>
      </tp>
      <tp t="s">
        <v>#N/A Requesting Data...1905252191</v>
        <stp/>
        <stp>BDP|16717148955562125615</stp>
        <tr r="BG122" s="3"/>
      </tp>
      <tp t="s">
        <v>#N/A Requesting Data...957612118</v>
        <stp/>
        <stp>BDP|12518859385066028230</stp>
        <tr r="BB24" s="3"/>
      </tp>
      <tp t="s">
        <v>#N/A N/A</v>
        <stp/>
        <stp>BDP|12859159054090627094</stp>
        <tr r="T68" s="2"/>
      </tp>
      <tp t="s">
        <v>#N/A N/A</v>
        <stp/>
        <stp>BDP|11065799779572443527</stp>
        <tr r="AO64" s="2"/>
      </tp>
      <tp t="s">
        <v>#N/A N/A</v>
        <stp/>
        <stp>BDP|15584778926674387216</stp>
        <tr r="AM15" s="2"/>
      </tp>
      <tp t="s">
        <v>#N/A Requesting Data...698926951</v>
        <stp/>
        <stp>BDP|13653539879680963733</stp>
        <tr r="BI151" s="3"/>
      </tp>
      <tp t="s">
        <v>#N/A Requesting Data...4045395154</v>
        <stp/>
        <stp>BDP|12890301179962795207</stp>
        <tr r="AQ259" s="3"/>
      </tp>
      <tp t="s">
        <v>#N/A Requesting Data...2446271119</v>
        <stp/>
        <stp>BDP|14273148834019679926</stp>
        <tr r="BH21" s="3"/>
      </tp>
      <tp t="s">
        <v>#N/A Requesting Data...1736124719</v>
        <stp/>
        <stp>BDP|13783307121333866787</stp>
        <tr r="AQ100" s="3"/>
      </tp>
      <tp t="s">
        <v>#N/A Requesting Data...1200914894</v>
        <stp/>
        <stp>BDP|15827408649542458136</stp>
        <tr r="K204" s="3"/>
      </tp>
      <tp t="s">
        <v>#N/A Requesting Data...4285514117</v>
        <stp/>
        <stp>BDP|10049114205145449269</stp>
        <tr r="AQ9" s="3"/>
      </tp>
      <tp t="s">
        <v>#N/A Requesting Data...1981887384</v>
        <stp/>
        <stp>BDP|15711550806290063629</stp>
        <tr r="O140" s="3"/>
      </tp>
      <tp t="s">
        <v>#N/A Requesting Data...3787439151</v>
        <stp/>
        <stp>BDP|11808985286090338635</stp>
        <tr r="AA34" s="3"/>
      </tp>
      <tp t="s">
        <v>#N/A Requesting Data...1089941261</v>
        <stp/>
        <stp>BDP|12236295275791956017</stp>
        <tr r="BH143" s="3"/>
      </tp>
      <tp t="s">
        <v>#N/A Requesting Data...1202807271</v>
        <stp/>
        <stp>BDP|14760763860666175565</stp>
        <tr r="D17" s="4"/>
      </tp>
      <tp t="s">
        <v>#N/A N/A</v>
        <stp/>
        <stp>BDP|14830277579166628166</stp>
        <tr r="BL98" s="2"/>
      </tp>
      <tp t="s">
        <v>#N/A Requesting Data...2146295415</v>
        <stp/>
        <stp>BDP|14598687909976741252</stp>
        <tr r="I352" s="3"/>
      </tp>
      <tp t="s">
        <v>#N/A Requesting Data...612145810</v>
        <stp/>
        <stp>BDP|15164707391329258440</stp>
        <tr r="BG114" s="3"/>
      </tp>
      <tp t="s">
        <v>#N/A Requesting Data...3317336009</v>
        <stp/>
        <stp>BDP|14574255034070703355</stp>
        <tr r="F188" s="3"/>
      </tp>
      <tp t="s">
        <v>#N/A Requesting Data...3053393728</v>
        <stp/>
        <stp>BDP|13356002855473260323</stp>
        <tr r="BG218" s="3"/>
      </tp>
      <tp t="s">
        <v>#N/A N/A</v>
        <stp/>
        <stp>BDP|10178462542767549160</stp>
        <tr r="AD65" s="2"/>
      </tp>
      <tp t="s">
        <v>#N/A N/A</v>
        <stp/>
        <stp>BDP|11074915744273206916</stp>
        <tr r="BN80" s="2"/>
      </tp>
      <tp t="s">
        <v>#N/A Requesting Data...1183005596</v>
        <stp/>
        <stp>BDP|13339326090088329742</stp>
        <tr r="AQ32" s="3"/>
      </tp>
      <tp t="s">
        <v>#N/A Requesting Data...623105925</v>
        <stp/>
        <stp>BDP|15371353437966480530</stp>
        <tr r="AS103" s="3"/>
      </tp>
      <tp t="s">
        <v>#N/A Requesting Data...3154590469</v>
        <stp/>
        <stp>BDP|17074428613905551126</stp>
        <tr r="AH317" s="3"/>
      </tp>
      <tp t="s">
        <v>#N/A N/A</v>
        <stp/>
        <stp>BDP|12260886392611868464</stp>
        <tr r="AD95" s="2"/>
      </tp>
      <tp t="s">
        <v>#N/A N/A</v>
        <stp/>
        <stp>BDP|17517510769506941424</stp>
        <tr r="BK35" s="2"/>
      </tp>
      <tp t="s">
        <v>#N/A Requesting Data...2762042286</v>
        <stp/>
        <stp>BDP|12736392436972986674</stp>
        <tr r="Y122" s="3"/>
      </tp>
      <tp t="s">
        <v>#N/A N/A</v>
        <stp/>
        <stp>BDP|10196414429422154317</stp>
        <tr r="BE82" s="2"/>
      </tp>
      <tp t="s">
        <v>#N/A N/A</v>
        <stp/>
        <stp>BDP|14446183218690496392</stp>
        <tr r="BE59" s="2"/>
      </tp>
      <tp t="s">
        <v>#N/A Requesting Data...4261315729</v>
        <stp/>
        <stp>BDP|14088377740622747697</stp>
        <tr r="AQ27" s="3"/>
      </tp>
      <tp t="s">
        <v>#N/A N/A</v>
        <stp/>
        <stp>BDP|10715410249956202142</stp>
        <tr r="V19" s="2"/>
      </tp>
      <tp t="s">
        <v>#N/A Requesting Data...918284268</v>
        <stp/>
        <stp>BDP|13229611456454494383</stp>
        <tr r="AQ195" s="3"/>
      </tp>
      <tp t="s">
        <v>#N/A Requesting Data...1186617780</v>
        <stp/>
        <stp>BDP|18334201438298056628</stp>
        <tr r="O329" s="3"/>
      </tp>
      <tp t="s">
        <v>#N/A Requesting Data...3307113332</v>
        <stp/>
        <stp>BDP|11682589813930608225</stp>
        <tr r="AQ157" s="3"/>
      </tp>
      <tp t="s">
        <v>#N/A N/A</v>
        <stp/>
        <stp>BDP|17126734534187975362</stp>
        <tr r="T41" s="2"/>
      </tp>
      <tp t="s">
        <v>#N/A Requesting Data...2089729938</v>
        <stp/>
        <stp>BDP|17812954258269571592</stp>
        <tr r="AS350" s="3"/>
      </tp>
      <tp t="s">
        <v>#N/A Requesting Data...1844554513</v>
        <stp/>
        <stp>BDP|10177152349071553312</stp>
        <tr r="AS285" s="3"/>
      </tp>
      <tp t="s">
        <v>#N/A Requesting Data...3051723183</v>
        <stp/>
        <stp>BDP|16970591888265216935</stp>
        <tr r="AS87" s="3"/>
      </tp>
      <tp t="s">
        <v>#N/A Requesting Data...3161101195</v>
        <stp/>
        <stp>BDP|16763233207221890229</stp>
        <tr r="O142" s="3"/>
      </tp>
      <tp t="s">
        <v>#N/A Requesting Data...841838241</v>
        <stp/>
        <stp>BDP|10506700299809698037</stp>
        <tr r="K249" s="3"/>
      </tp>
      <tp t="s">
        <v>#N/A Requesting Data...709706472</v>
        <stp/>
        <stp>BDP|17245690522337017300</stp>
        <tr r="Q81" s="3"/>
      </tp>
      <tp t="s">
        <v>#N/A Requesting Data...987802082</v>
        <stp/>
        <stp>BDP|11323518046245876259</stp>
        <tr r="AF28" s="4"/>
      </tp>
      <tp t="s">
        <v>#N/A Requesting Data...3822562459</v>
        <stp/>
        <stp>BDP|16486788160623759326</stp>
        <tr r="BF254" s="3"/>
      </tp>
      <tp t="s">
        <v>#N/A Requesting Data...3082559981</v>
        <stp/>
        <stp>BDP|13336680810247705454</stp>
        <tr r="AH313" s="3"/>
      </tp>
      <tp t="s">
        <v>#N/A N/A</v>
        <stp/>
        <stp>BDP|14225872096775801723</stp>
        <tr r="AD92" s="2"/>
      </tp>
      <tp t="s">
        <v>#N/A Requesting Data...2419143441</v>
        <stp/>
        <stp>BDP|15011113459886084009</stp>
        <tr r="AS10" s="3"/>
      </tp>
      <tp t="s">
        <v>#N/A Requesting Data...1297407942</v>
        <stp/>
        <stp>BDP|10286814088242763542</stp>
        <tr r="I69" s="3"/>
      </tp>
      <tp t="s">
        <v>#N/A N/A</v>
        <stp/>
        <stp>BDP|17039224352586038188</stp>
        <tr r="T100" s="2"/>
      </tp>
      <tp t="s">
        <v>#N/A Requesting Data...727729841</v>
        <stp/>
        <stp>BDP|14549218210706913652</stp>
        <tr r="BB312" s="3"/>
      </tp>
      <tp t="s">
        <v>#N/A Requesting Data...2239935963</v>
        <stp/>
        <stp>BDP|10916469472616555204</stp>
        <tr r="BA67" s="3"/>
      </tp>
      <tp t="s">
        <v>#N/A Requesting Data...2993178772</v>
        <stp/>
        <stp>BDP|12145053052069785990</stp>
        <tr r="I168" s="3"/>
      </tp>
      <tp t="s">
        <v>#N/A Requesting Data...637155798</v>
        <stp/>
        <stp>BDP|15106058990089856242</stp>
        <tr r="O44" s="3"/>
      </tp>
      <tp t="s">
        <v>#N/A Requesting Data...3213434374</v>
        <stp/>
        <stp>BDP|13139295253832472177</stp>
        <tr r="BF171" s="3"/>
      </tp>
      <tp t="s">
        <v>#N/A Requesting Data...974785491</v>
        <stp/>
        <stp>BDP|10792595335949580863</stp>
        <tr r="AH199" s="3"/>
      </tp>
      <tp t="s">
        <v>#N/A Requesting Data...646514976</v>
        <stp/>
        <stp>BDP|16239966389849295979</stp>
        <tr r="O317" s="3"/>
      </tp>
      <tp t="s">
        <v>#N/A N/A</v>
        <stp/>
        <stp>BDP|17367934399190173008</stp>
        <tr r="AO27" s="2"/>
      </tp>
      <tp t="s">
        <v>#N/A Requesting Data...2812291413</v>
        <stp/>
        <stp>BDP|10010945198287033049</stp>
        <tr r="AZ232" s="3"/>
      </tp>
      <tp t="s">
        <v>#N/A Requesting Data...1762388065</v>
        <stp/>
        <stp>BDP|15232640470931875261</stp>
        <tr r="Y84" s="3"/>
      </tp>
      <tp t="s">
        <v>#N/A Requesting Data...2016701579</v>
        <stp/>
        <stp>BDP|17831213756806623119</stp>
        <tr r="F267" s="3"/>
      </tp>
      <tp t="s">
        <v>#N/A N/A</v>
        <stp/>
        <stp>BDP|12960442681689668027</stp>
        <tr r="BM35" s="2"/>
      </tp>
      <tp t="s">
        <v>#N/A Requesting Data...2716347323</v>
        <stp/>
        <stp>BDP|16671551260020261293</stp>
        <tr r="I39" s="4"/>
      </tp>
      <tp t="s">
        <v>#N/A N/A</v>
        <stp/>
        <stp>BDP|11511689928595860759</stp>
        <tr r="BK31" s="2"/>
      </tp>
      <tp t="s">
        <v>#N/A Requesting Data...829942697</v>
        <stp/>
        <stp>BDP|16871045229514864751</stp>
        <tr r="AZ295" s="3"/>
      </tp>
      <tp t="s">
        <v>#N/A N/A</v>
        <stp/>
        <stp>BDP|13840314770114113406</stp>
        <tr r="AF38" s="2"/>
      </tp>
      <tp t="s">
        <v>#N/A Requesting Data...2312191231</v>
        <stp/>
        <stp>BDP|11331420072596902323</stp>
        <tr r="Y252" s="3"/>
      </tp>
      <tp t="s">
        <v>#N/A Requesting Data...2643529731</v>
        <stp/>
        <stp>BDP|13173706148144838397</stp>
        <tr r="F144" s="3"/>
      </tp>
      <tp t="s">
        <v>#N/A Requesting Data...1683302178</v>
        <stp/>
        <stp>BDP|10954051072249624900</stp>
        <tr r="G31" s="4"/>
      </tp>
      <tp t="s">
        <v>#N/A Requesting Data...2832012417</v>
        <stp/>
        <stp>BDP|14275960645027031990</stp>
        <tr r="AQ145" s="3"/>
      </tp>
      <tp t="s">
        <v>#N/A Requesting Data...1359102731</v>
        <stp/>
        <stp>BDP|10620681127141400269</stp>
        <tr r="AQ44" s="4"/>
      </tp>
      <tp t="s">
        <v>#N/A Requesting Data...2245670887</v>
        <stp/>
        <stp>BDP|12177021039553290531</stp>
        <tr r="BI133" s="3"/>
      </tp>
      <tp t="s">
        <v>#N/A N/A</v>
        <stp/>
        <stp>BDP|15417830608409468309</stp>
        <tr r="BF40" s="2"/>
      </tp>
      <tp t="s">
        <v>#N/A N/A</v>
        <stp/>
        <stp>BDP|17465270829193088316</stp>
        <tr r="AM32" s="2"/>
      </tp>
      <tp t="s">
        <v>#N/A Requesting Data...1344528253</v>
        <stp/>
        <stp>BDP|14501704957192081392</stp>
        <tr r="BM3" s="2"/>
        <tr r="BH316" s="3"/>
      </tp>
      <tp t="s">
        <v>#N/A N/A</v>
        <stp/>
        <stp>BDP|17127680210413119439</stp>
        <tr r="AF84" s="2"/>
      </tp>
      <tp t="s">
        <v>#N/A Requesting Data...2864659629</v>
        <stp/>
        <stp>BDP|11425400425574392490</stp>
        <tr r="AA284" s="3"/>
      </tp>
      <tp t="s">
        <v>#N/A Requesting Data...2896048816</v>
        <stp/>
        <stp>BDP|17839161313171303151</stp>
        <tr r="BF211" s="3"/>
      </tp>
      <tp t="s">
        <v>#N/A Requesting Data...3550317682</v>
        <stp/>
        <stp>BDP|10970840596717006102</stp>
        <tr r="O311" s="3"/>
      </tp>
      <tp t="s">
        <v>#N/A Requesting Data...3039331870</v>
        <stp/>
        <stp>BDP|13825000952636117704</stp>
        <tr r="AQ208" s="3"/>
      </tp>
      <tp t="s">
        <v>#N/A Requesting Data...3372604788</v>
        <stp/>
        <stp>BDP|15004212496651538897</stp>
        <tr r="K250" s="3"/>
      </tp>
      <tp t="s">
        <v>#N/A N/A</v>
        <stp/>
        <stp>BDP|10720069400835826227</stp>
        <tr r="BE87" s="2"/>
      </tp>
      <tp t="s">
        <v>#N/A Requesting Data...3627718069</v>
        <stp/>
        <stp>BDP|16203050965062865512</stp>
        <tr r="AH281" s="3"/>
      </tp>
      <tp t="s">
        <v>#N/A Requesting Data...3725095908</v>
        <stp/>
        <stp>BDP|10286122555241633290</stp>
        <tr r="BA91" s="3"/>
      </tp>
      <tp t="s">
        <v>#N/A Requesting Data...1135846636</v>
        <stp/>
        <stp>BDP|15963096908342505079</stp>
        <tr r="K8" s="3"/>
      </tp>
      <tp t="s">
        <v>#N/A Requesting Data...3858060596</v>
        <stp/>
        <stp>BDP|10979887256869960347</stp>
        <tr r="BI331" s="3"/>
      </tp>
      <tp t="s">
        <v>#N/A Requesting Data...3195814599</v>
        <stp/>
        <stp>BDP|15084353608542573320</stp>
        <tr r="AZ254" s="3"/>
      </tp>
      <tp t="s">
        <v>#N/A N/A</v>
        <stp/>
        <stp>BDP|12319391380169904799</stp>
        <tr r="AF23" s="2"/>
      </tp>
      <tp t="s">
        <v>#N/A Requesting Data...3930105627</v>
        <stp/>
        <stp>BDP|12639023730145799390</stp>
        <tr r="I45" s="4"/>
      </tp>
      <tp t="s">
        <v>#N/A Requesting Data...2687358128</v>
        <stp/>
        <stp>BDP|11037976492757951164</stp>
        <tr r="AQ181" s="3"/>
      </tp>
      <tp t="s">
        <v>#N/A Requesting Data...3117916269</v>
        <stp/>
        <stp>BDP|15355606350471819014</stp>
        <tr r="BG275" s="3"/>
      </tp>
      <tp t="s">
        <v>#N/A Requesting Data...3157338172</v>
        <stp/>
        <stp>BDP|13926089376663882057</stp>
        <tr r="BG30" s="3"/>
      </tp>
      <tp t="s">
        <v>#N/A Requesting Data...3147929623</v>
        <stp/>
        <stp>BDP|15325711318850401449</stp>
        <tr r="N2" s="2"/>
        <tr r="G2" s="4"/>
        <tr r="I2" s="3"/>
      </tp>
      <tp t="s">
        <v>#N/A Requesting Data...1306446855</v>
        <stp/>
        <stp>BDP|17778632870784628580</stp>
        <tr r="AQ80" s="3"/>
      </tp>
      <tp t="s">
        <v>#N/A Requesting Data...3618154326</v>
        <stp/>
        <stp>BDP|13813989692625964118</stp>
        <tr r="AA61" s="3"/>
      </tp>
      <tp t="s">
        <v>#N/A Requesting Data...1927599419</v>
        <stp/>
        <stp>BDP|14680220548904677106</stp>
        <tr r="BI21" s="3"/>
      </tp>
      <tp t="s">
        <v>#N/A Requesting Data...3659836922</v>
        <stp/>
        <stp>BDP|16136234409263241036</stp>
        <tr r="BF62" s="3"/>
      </tp>
      <tp t="s">
        <v>#N/A Requesting Data...1518968149</v>
        <stp/>
        <stp>BDP|14239542869035721524</stp>
        <tr r="BF67" s="3"/>
      </tp>
      <tp t="s">
        <v>#N/A Requesting Data...2075556461</v>
        <stp/>
        <stp>BDP|17243896388428819812</stp>
        <tr r="BE71" s="2"/>
        <tr r="AX36" s="4"/>
      </tp>
      <tp t="s">
        <v>#N/A Requesting Data...2468008080</v>
        <stp/>
        <stp>BDP|10282145311754463398</stp>
        <tr r="AH78" s="3"/>
      </tp>
      <tp t="s">
        <v>#N/A Requesting Data...3431497389</v>
        <stp/>
        <stp>BDP|15713388703449306859</stp>
        <tr r="AQ12" s="3"/>
      </tp>
      <tp t="s">
        <v>#N/A Requesting Data...1141150557</v>
        <stp/>
        <stp>BDP|10485746326313314186</stp>
        <tr r="O325" s="3"/>
      </tp>
      <tp t="s">
        <v>#N/A N/A</v>
        <stp/>
        <stp>BDP|12368887110369597532</stp>
        <tr r="AM63" s="2"/>
      </tp>
      <tp t="s">
        <v>#N/A Requesting Data...4006567101</v>
        <stp/>
        <stp>BDP|12847065945370537139</stp>
        <tr r="O206" s="3"/>
      </tp>
      <tp t="s">
        <v>#N/A Requesting Data...4064418703</v>
        <stp/>
        <stp>BDP|11878139033776084259</stp>
        <tr r="AS156" s="3"/>
      </tp>
      <tp t="s">
        <v>#N/A Requesting Data...4216496679</v>
        <stp/>
        <stp>BDP|14338093673082681620</stp>
        <tr r="O125" s="3"/>
      </tp>
      <tp t="s">
        <v>#N/A Requesting Data...1868365586</v>
        <stp/>
        <stp>BDP|14859406617335162338</stp>
        <tr r="K342" s="3"/>
      </tp>
      <tp t="s">
        <v>#N/A Requesting Data...1708162389</v>
        <stp/>
        <stp>BDP|17513622120877823325</stp>
        <tr r="BM2" s="2"/>
        <tr r="BH2" s="3"/>
      </tp>
      <tp t="s">
        <v>#N/A Requesting Data...2991162250</v>
        <stp/>
        <stp>BDP|11624857137444153988</stp>
        <tr r="AZ173" s="3"/>
      </tp>
      <tp t="s">
        <v>#N/A Requesting Data...3009958761</v>
        <stp/>
        <stp>BDP|13936593343846753391</stp>
        <tr r="BB210" s="3"/>
      </tp>
      <tp t="s">
        <v>#N/A Requesting Data...3954139309</v>
        <stp/>
        <stp>BDP|11606267833060940771</stp>
        <tr r="AS94" s="3"/>
      </tp>
      <tp t="s">
        <v>#N/A N/A</v>
        <stp/>
        <stp>BDP|10079915519766770920</stp>
        <tr r="BK50" s="2"/>
      </tp>
      <tp t="s">
        <v>#N/A Requesting Data...2488806433</v>
        <stp/>
        <stp>BDP|11101472858411628656</stp>
        <tr r="BF315" s="3"/>
      </tp>
      <tp t="s">
        <v>#N/A Requesting Data...3111484589</v>
        <stp/>
        <stp>BDP|16985912696989135820</stp>
        <tr r="I95" s="3"/>
      </tp>
      <tp t="s">
        <v>#N/A N/A</v>
        <stp/>
        <stp>BDP|12068720323836892640</stp>
        <tr r="AD79" s="2"/>
      </tp>
      <tp t="s">
        <v>#N/A Requesting Data...3309623082</v>
        <stp/>
        <stp>BDP|12110577867017510192</stp>
        <tr r="AQ127" s="3"/>
      </tp>
      <tp t="s">
        <v>#N/A Requesting Data...2715713119</v>
        <stp/>
        <stp>BDP|14062752422242316493</stp>
        <tr r="O190" s="3"/>
      </tp>
      <tp t="s">
        <v>#N/A Requesting Data...4287427543</v>
        <stp/>
        <stp>BDP|17740474158692596314</stp>
        <tr r="BF4" s="2"/>
        <tr r="BA248" s="3"/>
      </tp>
      <tp t="s">
        <v>#N/A Requesting Data...1487649220</v>
        <stp/>
        <stp>BDP|12200313327475999117</stp>
        <tr r="I207" s="3"/>
      </tp>
      <tp t="s">
        <v>#N/A Requesting Data...1689608458</v>
        <stp/>
        <stp>BDP|14222148850207938033</stp>
        <tr r="O214" s="3"/>
      </tp>
      <tp t="s">
        <v>#N/A Requesting Data...2972016549</v>
        <stp/>
        <stp>BDP|17169929987879903818</stp>
        <tr r="AJ325" s="3"/>
      </tp>
      <tp t="s">
        <v>#N/A N/A</v>
        <stp/>
        <stp>BDP|16096971065658701690</stp>
        <tr r="AM39" s="2"/>
      </tp>
      <tp t="s">
        <v>#N/A Requesting Data...1211994324</v>
        <stp/>
        <stp>BDP|10801369638692273585</stp>
        <tr r="W3" s="4"/>
      </tp>
      <tp t="s">
        <v>#N/A Requesting Data...3181425472</v>
        <stp/>
        <stp>BDP|14568070727820036190</stp>
        <tr r="Q286" s="3"/>
      </tp>
      <tp t="s">
        <v>#N/A Requesting Data...2388170074</v>
        <stp/>
        <stp>BDP|17786180254072271652</stp>
        <tr r="Y100" s="3"/>
      </tp>
      <tp t="s">
        <v>#N/A Requesting Data...1736785848</v>
        <stp/>
        <stp>BDP|12976314765508821898</stp>
        <tr r="K273" s="3"/>
      </tp>
      <tp t="s">
        <v>#N/A Requesting Data...1273515895</v>
        <stp/>
        <stp>BDP|14102374850722983738</stp>
        <tr r="AX71" s="2"/>
        <tr r="AQ36" s="4"/>
      </tp>
      <tp t="s">
        <v>#N/A Requesting Data...3260372886</v>
        <stp/>
        <stp>BDP|16360112446110843402</stp>
        <tr r="BH305" s="3"/>
      </tp>
      <tp t="s">
        <v>#N/A N/A</v>
        <stp/>
        <stp>BDP|16508999337259697212</stp>
        <tr r="T62" s="2"/>
      </tp>
      <tp t="s">
        <v>#N/A Requesting Data...3591338846</v>
        <stp/>
        <stp>BDP|16494814359335291920</stp>
        <tr r="AO16" s="4"/>
      </tp>
      <tp t="s">
        <v>#N/A Requesting Data...1348147193</v>
        <stp/>
        <stp>BDP|16132300185589875307</stp>
        <tr r="F206" s="3"/>
      </tp>
      <tp t="s">
        <v>#N/A Requesting Data...3368216689</v>
        <stp/>
        <stp>BDP|10111554257626845172</stp>
        <tr r="I157" s="3"/>
      </tp>
      <tp t="s">
        <v>#N/A N/A</v>
        <stp/>
        <stp>BDP|10833434334238418870</stp>
        <tr r="BN59" s="2"/>
      </tp>
      <tp t="s">
        <v>#N/A N/A</v>
        <stp/>
        <stp>BDP|10883173694737508817</stp>
        <tr r="BG85" s="2"/>
      </tp>
      <tp t="s">
        <v>#N/A Requesting Data...2623634246</v>
        <stp/>
        <stp>BDP|12192380400701273743</stp>
        <tr r="O33" s="4"/>
      </tp>
      <tp t="s">
        <v>#N/A Requesting Data...3024031312</v>
        <stp/>
        <stp>BDP|16485345019540632301</stp>
        <tr r="N16" s="2"/>
        <tr r="G8" s="4"/>
      </tp>
      <tp t="s">
        <v>#N/A Requesting Data...1898449105</v>
        <stp/>
        <stp>BDP|10699513050242196598</stp>
        <tr r="BI112" s="3"/>
      </tp>
      <tp t="s">
        <v>#N/A Requesting Data...2551483236</v>
        <stp/>
        <stp>BDP|11092593733246437613</stp>
        <tr r="O256" s="3"/>
      </tp>
      <tp t="s">
        <v>#N/A N/A</v>
        <stp/>
        <stp>BDP|15789500358293865184</stp>
        <tr r="BE94" s="2"/>
      </tp>
      <tp t="s">
        <v>#N/A Requesting Data...3295704234</v>
        <stp/>
        <stp>BDP|13272711704810159394</stp>
        <tr r="BI271" s="3"/>
      </tp>
      <tp t="s">
        <v>#N/A Requesting Data...2334691982</v>
        <stp/>
        <stp>BDP|16865109970152141565</stp>
        <tr r="I14" s="3"/>
      </tp>
      <tp t="s">
        <v>#N/A Requesting Data...1691935746</v>
        <stp/>
        <stp>BDP|15744818699291127212</stp>
        <tr r="BG173" s="3"/>
      </tp>
      <tp t="s">
        <v>#N/A N/A</v>
        <stp/>
        <stp>BDP|11094152080588368795</stp>
        <tr r="BG14" s="2"/>
      </tp>
      <tp t="s">
        <v>#N/A N/A</v>
        <stp/>
        <stp>BDP|15087359009768326909</stp>
        <tr r="BK93" s="2"/>
      </tp>
      <tp t="s">
        <v>#N/A Requesting Data...2621072486</v>
        <stp/>
        <stp>BDP|16844679866737007668</stp>
        <tr r="BG241" s="3"/>
      </tp>
      <tp t="s">
        <v>#N/A N/A</v>
        <stp/>
        <stp>BDP|17284240266832838672</stp>
        <tr r="BE41" s="2"/>
      </tp>
      <tp t="s">
        <v>#N/A Requesting Data...2028810125</v>
        <stp/>
        <stp>BDP|13519210675765675480</stp>
        <tr r="BF96" s="3"/>
      </tp>
      <tp t="s">
        <v>#N/A Requesting Data...2239140310</v>
        <stp/>
        <stp>BDP|12507533629855824788</stp>
        <tr r="AH290" s="3"/>
      </tp>
      <tp t="s">
        <v>#N/A Requesting Data...2571703749</v>
        <stp/>
        <stp>BDP|11111298372737608438</stp>
        <tr r="Y13" s="3"/>
      </tp>
      <tp t="s">
        <v>#N/A N/A</v>
        <stp/>
        <stp>BDP|16578841606648132195</stp>
        <tr r="T30" s="2"/>
      </tp>
      <tp t="s">
        <v>#N/A Requesting Data...3810641677</v>
        <stp/>
        <stp>BDP|15805637721652300467</stp>
        <tr r="AH110" s="3"/>
      </tp>
      <tp t="s">
        <v>#N/A Requesting Data...2842611900</v>
        <stp/>
        <stp>BDP|13752026789775373905</stp>
        <tr r="BA341" s="3"/>
      </tp>
      <tp t="s">
        <v>#N/A Requesting Data...4265515404</v>
        <stp/>
        <stp>BDP|11081480119410923378</stp>
        <tr r="BG273" s="3"/>
      </tp>
      <tp t="s">
        <v>#N/A N/A</v>
        <stp/>
        <stp>BDP|10574476832325817577</stp>
        <tr r="BE35" s="2"/>
      </tp>
      <tp t="s">
        <v>#N/A Requesting Data...3189102670</v>
        <stp/>
        <stp>BDP|17352174458486166227</stp>
        <tr r="AQ85" s="3"/>
      </tp>
      <tp t="s">
        <v>#N/A Requesting Data...2621867824</v>
        <stp/>
        <stp>BDP|16855811827939300234</stp>
        <tr r="F313" s="3"/>
      </tp>
      <tp t="s">
        <v>#N/A Requesting Data...2690679779</v>
        <stp/>
        <stp>BDP|11580816679408359107</stp>
        <tr r="AH40" s="3"/>
      </tp>
      <tp t="s">
        <v>#N/A Requesting Data...1394693337</v>
        <stp/>
        <stp>BDP|10210335771813713095</stp>
        <tr r="I193" s="3"/>
      </tp>
      <tp t="s">
        <v>#N/A Requesting Data...1940373040</v>
        <stp/>
        <stp>BDP|16772482106723252658</stp>
        <tr r="BA3" s="3"/>
      </tp>
      <tp t="s">
        <v>#N/A Requesting Data...2868608068</v>
        <stp/>
        <stp>BDP|10147799073083698439</stp>
        <tr r="K189" s="3"/>
      </tp>
      <tp t="s">
        <v>#N/A N/A</v>
        <stp/>
        <stp>BDP|17583952998318179873</stp>
        <tr r="V46" s="2"/>
      </tp>
      <tp t="s">
        <v>#N/A Requesting Data...2435425475</v>
        <stp/>
        <stp>BDP|13187070809775005113</stp>
        <tr r="BI349" s="3"/>
      </tp>
      <tp t="s">
        <v>#N/A Requesting Data...3599612720</v>
        <stp/>
        <stp>BDP|12086530809197520717</stp>
        <tr r="BF166" s="3"/>
      </tp>
      <tp t="s">
        <v>#N/A Requesting Data...2994785381</v>
        <stp/>
        <stp>BDP|18278983870934703531</stp>
        <tr r="G26" s="4"/>
        <tr r="I197" s="3"/>
      </tp>
      <tp t="s">
        <v>#N/A Requesting Data...2257638123</v>
        <stp/>
        <stp>BDP|10366808669949604024</stp>
        <tr r="Q96" s="3"/>
      </tp>
      <tp t="s">
        <v>#N/A Requesting Data...1956915530</v>
        <stp/>
        <stp>BDP|13809395084129935625</stp>
        <tr r="BB291" s="3"/>
      </tp>
      <tp t="s">
        <v>#N/A Requesting Data...4131438097</v>
        <stp/>
        <stp>BDP|16113085954586324202</stp>
        <tr r="O254" s="3"/>
      </tp>
      <tp t="s">
        <v>#N/A Requesting Data...1985313881</v>
        <stp/>
        <stp>BDP|10155099506855035200</stp>
        <tr r="AQ67" s="3"/>
      </tp>
      <tp t="s">
        <v>#N/A Requesting Data...3575366542</v>
        <stp/>
        <stp>BDP|15500581127992212792</stp>
        <tr r="BI102" s="3"/>
      </tp>
      <tp t="s">
        <v>#N/A Requesting Data...4152347842</v>
        <stp/>
        <stp>BDP|10213264474672191000</stp>
        <tr r="AZ131" s="3"/>
      </tp>
      <tp t="s">
        <v>#N/A Requesting Data...1368241560</v>
        <stp/>
        <stp>BDP|13255020677831240243</stp>
        <tr r="AQ198" s="3"/>
      </tp>
      <tp t="s">
        <v>#N/A Requesting Data...4053341462</v>
        <stp/>
        <stp>BDP|11901960118818442626</stp>
        <tr r="AQ72" s="3"/>
      </tp>
      <tp t="s">
        <v>#N/A Requesting Data...2260847263</v>
        <stp/>
        <stp>BDP|14052805468835837811</stp>
        <tr r="AJ336" s="3"/>
      </tp>
      <tp t="s">
        <v>#N/A Requesting Data...3962042397</v>
        <stp/>
        <stp>BDP|17196604390347044803</stp>
        <tr r="AQ46" s="3"/>
      </tp>
      <tp t="s">
        <v>#N/A N/A</v>
        <stp/>
        <stp>BDP|16195736257617422402</stp>
        <tr r="N86" s="2"/>
      </tp>
      <tp t="s">
        <v>#N/A Requesting Data...3773269829</v>
        <stp/>
        <stp>BDP|16609834347765398803</stp>
        <tr r="M16" s="4"/>
      </tp>
      <tp t="s">
        <v>#N/A Requesting Data...1752659797</v>
        <stp/>
        <stp>BDP|12596705126344133435</stp>
        <tr r="AH117" s="3"/>
      </tp>
      <tp t="s">
        <v>#N/A N/A</v>
        <stp/>
        <stp>BDP|11716177740047971489</stp>
        <tr r="BN94" s="2"/>
      </tp>
      <tp t="s">
        <v>#N/A Requesting Data...1352167413</v>
        <stp/>
        <stp>BDP|11483458017947471436</stp>
        <tr r="AO52" s="4"/>
      </tp>
      <tp t="s">
        <v>#N/A Requesting Data...2693145459</v>
        <stp/>
        <stp>BDP|11157287788455174919</stp>
        <tr r="BH179" s="3"/>
      </tp>
      <tp t="s">
        <v>#N/A Requesting Data...3119830784</v>
        <stp/>
        <stp>BDP|14470874526599182051</stp>
        <tr r="AS42" s="3"/>
      </tp>
      <tp t="s">
        <v>#N/A Requesting Data...3339337751</v>
        <stp/>
        <stp>BDP|15508079753695063206</stp>
        <tr r="AH11" s="3"/>
      </tp>
      <tp t="s">
        <v>#N/A Requesting Data...2305911202</v>
        <stp/>
        <stp>BDP|16940452057157882720</stp>
        <tr r="AH10" s="4"/>
      </tp>
      <tp t="s">
        <v>#N/A Requesting Data...3370267443</v>
        <stp/>
        <stp>BDP|15968339949731012426</stp>
        <tr r="AQ119" s="3"/>
      </tp>
      <tp t="s">
        <v>#N/A Requesting Data...2253442799</v>
        <stp/>
        <stp>BDP|10135703704692194252</stp>
        <tr r="Y289" s="3"/>
      </tp>
      <tp t="s">
        <v>#N/A Requesting Data...3893382699</v>
        <stp/>
        <stp>BDP|16878941895401062089</stp>
        <tr r="BF116" s="3"/>
      </tp>
      <tp t="s">
        <v>#N/A Requesting Data...4182711583</v>
        <stp/>
        <stp>BDP|15133191669167570256</stp>
        <tr r="BF76" s="3"/>
      </tp>
      <tp t="s">
        <v>#N/A Requesting Data...4060144731</v>
        <stp/>
        <stp>BDP|15301476103051201746</stp>
        <tr r="BA56" s="3"/>
      </tp>
      <tp t="s">
        <v>#N/A N/A</v>
        <stp/>
        <stp>BDP|13232827042048342007</stp>
        <tr r="BL89" s="2"/>
      </tp>
      <tp t="s">
        <v>#N/A Requesting Data...3103453301</v>
        <stp/>
        <stp>BDP|16899488841857049608</stp>
        <tr r="AS19" s="3"/>
      </tp>
      <tp t="s">
        <v>#N/A Requesting Data...3122900992</v>
        <stp/>
        <stp>BDP|17375544149790798188</stp>
        <tr r="Q111" s="3"/>
      </tp>
      <tp t="s">
        <v>#N/A Requesting Data...1921038549</v>
        <stp/>
        <stp>BDP|16587105116454120523</stp>
        <tr r="O152" s="3"/>
      </tp>
      <tp t="s">
        <v>#N/A N/A</v>
        <stp/>
        <stp>BDP|11312138674158279860</stp>
        <tr r="T61" s="2"/>
      </tp>
      <tp t="s">
        <v>#N/A Requesting Data...3751224059</v>
        <stp/>
        <stp>BDP|12259035000067273239</stp>
        <tr r="AZ85" s="3"/>
      </tp>
      <tp t="s">
        <v>#N/A Requesting Data...3454205617</v>
        <stp/>
        <stp>BDP|14368004937009559919</stp>
        <tr r="K200" s="3"/>
      </tp>
      <tp t="s">
        <v>#N/A Requesting Data...2159878015</v>
        <stp/>
        <stp>BDP|10174499358893904598</stp>
        <tr r="AA313" s="3"/>
      </tp>
      <tp t="s">
        <v>#N/A Requesting Data...4185798475</v>
        <stp/>
        <stp>BDP|13456402091149124049</stp>
        <tr r="AS30" s="3"/>
      </tp>
      <tp t="s">
        <v>#N/A Requesting Data...3103405926</v>
        <stp/>
        <stp>BDP|16251225817982451030</stp>
        <tr r="F46" s="3"/>
      </tp>
      <tp t="s">
        <v>#N/A Requesting Data...3966555818</v>
        <stp/>
        <stp>BDP|16936176792218478183</stp>
        <tr r="AZ38" s="3"/>
      </tp>
      <tp t="s">
        <v>#N/A Requesting Data...2682908913</v>
        <stp/>
        <stp>BDP|10166477418884710699</stp>
        <tr r="BH75" s="3"/>
      </tp>
      <tp t="s">
        <v>#N/A Requesting Data...3811024498</v>
        <stp/>
        <stp>BDP|16348301191583729855</stp>
        <tr r="K115" s="3"/>
      </tp>
      <tp t="s">
        <v>#N/A Requesting Data...2173984808</v>
        <stp/>
        <stp>BDP|15310283345392605687</stp>
        <tr r="BI3" s="3"/>
      </tp>
      <tp t="s">
        <v>#N/A N/A</v>
        <stp/>
        <stp>BDP|13125304514324366266</stp>
        <tr r="AF8" s="2"/>
      </tp>
      <tp t="s">
        <v>#N/A Requesting Data...1904158730</v>
        <stp/>
        <stp>BDP|15552193235276090698</stp>
        <tr r="AS112" s="3"/>
      </tp>
      <tp t="s">
        <v>#N/A Requesting Data...2439740261</v>
        <stp/>
        <stp>BDP|10473684251750887459</stp>
        <tr r="AQ132" s="3"/>
      </tp>
      <tp t="s">
        <v>#N/A N/A</v>
        <stp/>
        <stp>BDP|11910215741674872410</stp>
        <tr r="N51" s="2"/>
      </tp>
      <tp t="s">
        <v>#N/A N/A</v>
        <stp/>
        <stp>BDP|13220741980328235347</stp>
        <tr r="AM7" s="2"/>
      </tp>
      <tp t="s">
        <v>#N/A Requesting Data...3547830030</v>
        <stp/>
        <stp>BDP|16376010262780244720</stp>
        <tr r="BF65" s="3"/>
      </tp>
      <tp t="s">
        <v>#N/A Requesting Data...3836282105</v>
        <stp/>
        <stp>BDP|15766030560643513715</stp>
        <tr r="BH113" s="3"/>
      </tp>
      <tp t="s">
        <v>#N/A Requesting Data...2327651010</v>
        <stp/>
        <stp>BDP|11925270233920610781</stp>
        <tr r="BB234" s="3"/>
      </tp>
      <tp t="s">
        <v>#N/A N/A</v>
        <stp/>
        <stp>BDP|10489411512114792638</stp>
        <tr r="BE68" s="2"/>
      </tp>
      <tp t="s">
        <v>#N/A N/A</v>
        <stp/>
        <stp>BDP|16075021301503463248</stp>
        <tr r="BK24" s="2"/>
      </tp>
      <tp t="s">
        <v>#N/A Requesting Data...2533614931</v>
        <stp/>
        <stp>BDP|13330212728081054598</stp>
        <tr r="Y16" s="3"/>
      </tp>
      <tp t="s">
        <v>#N/A N/A</v>
        <stp/>
        <stp>BDP|13283576210295442529</stp>
        <tr r="V84" s="2"/>
      </tp>
      <tp t="s">
        <v>#N/A Requesting Data...4058977300</v>
        <stp/>
        <stp>BDP|10465407537754279421</stp>
        <tr r="BA92" s="3"/>
      </tp>
      <tp t="s">
        <v>#N/A Requesting Data...2805840007</v>
        <stp/>
        <stp>BDP|15487679217144189168</stp>
        <tr r="AH17" s="4"/>
      </tp>
      <tp t="s">
        <v>#N/A Requesting Data...3194312555</v>
        <stp/>
        <stp>BDP|15679201615331964094</stp>
        <tr r="I85" s="3"/>
      </tp>
      <tp t="s">
        <v>#N/A Requesting Data...4102079912</v>
        <stp/>
        <stp>BDP|11412681024931392387</stp>
        <tr r="AD3" s="2"/>
        <tr r="Y316" s="3"/>
      </tp>
      <tp t="s">
        <v>#N/A N/A</v>
        <stp/>
        <stp>BDP|15547065313655591668</stp>
        <tr r="T58" s="2"/>
      </tp>
      <tp t="s">
        <v>#N/A Requesting Data...2367418577</v>
        <stp/>
        <stp>BDP|15408746351001474165</stp>
        <tr r="M5" s="4"/>
      </tp>
      <tp t="s">
        <v>#N/A Requesting Data...2826392509</v>
        <stp/>
        <stp>BDP|17793032077700142702</stp>
        <tr r="BA283" s="3"/>
      </tp>
      <tp t="s">
        <v>#N/A Requesting Data...3398130792</v>
        <stp/>
        <stp>BDP|11866388702752275727</stp>
        <tr r="BI257" s="3"/>
      </tp>
      <tp t="s">
        <v>#N/A N/A</v>
        <stp/>
        <stp>BDP|18292015276619707105</stp>
        <tr r="BK79" s="2"/>
      </tp>
      <tp t="s">
        <v>#N/A Requesting Data...1911982033</v>
        <stp/>
        <stp>BDP|13290052254355118407</stp>
        <tr r="I145" s="3"/>
      </tp>
      <tp t="s">
        <v>#N/A Requesting Data...2628507141</v>
        <stp/>
        <stp>BDP|16399252638461543195</stp>
        <tr r="BG191" s="3"/>
      </tp>
      <tp t="s">
        <v>#N/A Requesting Data...2898773224</v>
        <stp/>
        <stp>BDP|11163323356048335848</stp>
        <tr r="BB246" s="3"/>
      </tp>
      <tp t="s">
        <v>#N/A N/A</v>
        <stp/>
        <stp>BDP|15530683138061283654</stp>
        <tr r="AM10" s="2"/>
      </tp>
      <tp t="s">
        <v>#N/A N/A</v>
        <stp/>
        <stp>BDP|15581196715073870135</stp>
        <tr r="BK12" s="2"/>
      </tp>
      <tp t="s">
        <v>#N/A N/A</v>
        <stp/>
        <stp>BDP|18042105476739563013</stp>
        <tr r="BL63" s="2"/>
      </tp>
      <tp t="s">
        <v>#N/A Requesting Data...2649589352</v>
        <stp/>
        <stp>BDP|15178908330771108929</stp>
        <tr r="BH65" s="3"/>
      </tp>
      <tp t="s">
        <v>#N/A Requesting Data...3651141253</v>
        <stp/>
        <stp>BDP|15138226025037216564</stp>
        <tr r="K299" s="3"/>
      </tp>
      <tp t="s">
        <v>#N/A Requesting Data...3949330673</v>
        <stp/>
        <stp>BDP|14150926033381720852</stp>
        <tr r="Q269" s="3"/>
      </tp>
      <tp t="s">
        <v>#N/A Requesting Data...4053730291</v>
        <stp/>
        <stp>BDP|17137167320467021455</stp>
        <tr r="AM2" s="2"/>
        <tr r="AF2" s="4"/>
        <tr r="AH2" s="3"/>
      </tp>
      <tp t="s">
        <v>#N/A N/A</v>
        <stp/>
        <stp>BDP|16247095768802099516</stp>
        <tr r="AX32" s="2"/>
      </tp>
      <tp t="s">
        <v>#N/A N/A</v>
        <stp/>
        <stp>BDP|17618310551654477205</stp>
        <tr r="AF26" s="2"/>
      </tp>
      <tp t="s">
        <v>#N/A Requesting Data...3390067419</v>
        <stp/>
        <stp>BDP|10493515066344523048</stp>
        <tr r="AQ184" s="3"/>
      </tp>
      <tp t="s">
        <v>#N/A N/A</v>
        <stp/>
        <stp>BDP|16871583456364343576</stp>
        <tr r="P68" s="2"/>
      </tp>
      <tp t="s">
        <v>#N/A Requesting Data...3103770087</v>
        <stp/>
        <stp>BDP|13018070564725935781</stp>
        <tr r="AJ216" s="3"/>
      </tp>
      <tp t="s">
        <v>#N/A Requesting Data...3630301246</v>
        <stp/>
        <stp>BDP|15304278008617838716</stp>
        <tr r="AA51" s="3"/>
      </tp>
      <tp t="s">
        <v>#N/A Requesting Data...3115548010</v>
        <stp/>
        <stp>BDP|16243688700837971069</stp>
        <tr r="BA31" s="3"/>
      </tp>
      <tp t="s">
        <v>#N/A Requesting Data...4180574590</v>
        <stp/>
        <stp>BDP|15717467705086260038</stp>
        <tr r="AH308" s="3"/>
      </tp>
      <tp t="s">
        <v>#N/A Requesting Data...2647920564</v>
        <stp/>
        <stp>BDP|12335801915288502468</stp>
        <tr r="BB279" s="3"/>
      </tp>
      <tp t="s">
        <v>#N/A Requesting Data...3877495497</v>
        <stp/>
        <stp>BDP|11194999187767813029</stp>
        <tr r="Y51" s="3"/>
      </tp>
      <tp t="s">
        <v>#N/A Requesting Data...3170338917</v>
        <stp/>
        <stp>BDP|18087801357672712053</stp>
        <tr r="F15" s="3"/>
      </tp>
      <tp t="s">
        <v>#N/A Requesting Data...4164572213</v>
        <stp/>
        <stp>BDP|16599323036732405301</stp>
        <tr r="Q344" s="3"/>
      </tp>
      <tp t="s">
        <v>#N/A Requesting Data...3623393036</v>
        <stp/>
        <stp>BDP|12695960488980451496</stp>
        <tr r="AZ190" s="3"/>
      </tp>
      <tp t="s">
        <v>#N/A Requesting Data...3020231586</v>
        <stp/>
        <stp>BDP|14272577630557054203</stp>
        <tr r="D56" s="4"/>
      </tp>
      <tp t="s">
        <v>#N/A Requesting Data...3610749571</v>
        <stp/>
        <stp>BDP|10064613271164021255</stp>
        <tr r="O18" s="4"/>
      </tp>
      <tp t="s">
        <v>#N/A Requesting Data...4192567828</v>
        <stp/>
        <stp>BDP|14527885097341757383</stp>
        <tr r="BF271" s="3"/>
      </tp>
      <tp t="s">
        <v>#N/A Requesting Data...1876295280</v>
        <stp/>
        <stp>BDP|15122479814627794005</stp>
        <tr r="BB280" s="3"/>
      </tp>
      <tp t="s">
        <v>#N/A Requesting Data...2692150991</v>
        <stp/>
        <stp>BDP|11226170844543003046</stp>
        <tr r="BA188" s="3"/>
      </tp>
      <tp t="s">
        <v>#N/A Requesting Data...3691492152</v>
        <stp/>
        <stp>BDP|13869456543383815733</stp>
        <tr r="AA7" s="3"/>
      </tp>
      <tp t="s">
        <v>#N/A Requesting Data...4232219878</v>
        <stp/>
        <stp>BDP|17444926594819621919</stp>
        <tr r="O81" s="3"/>
      </tp>
      <tp t="s">
        <v>#N/A Requesting Data...3246871032</v>
        <stp/>
        <stp>BDP|12807533145050217497</stp>
        <tr r="I42" s="3"/>
      </tp>
      <tp t="s">
        <v>#N/A Requesting Data...2992772174</v>
        <stp/>
        <stp>BDP|10063079746361519207</stp>
        <tr r="Y3" s="3"/>
      </tp>
      <tp t="s">
        <v>#N/A Requesting Data...2329543361</v>
        <stp/>
        <stp>BDP|14361253939833924126</stp>
        <tr r="AH285" s="3"/>
      </tp>
      <tp t="s">
        <v>#N/A Requesting Data...2213251537</v>
        <stp/>
        <stp>BDP|11935134173828963841</stp>
        <tr r="AS205" s="3"/>
      </tp>
      <tp t="s">
        <v>#N/A Requesting Data...4120512941</v>
        <stp/>
        <stp>BDP|15412049967213112724</stp>
        <tr r="F198" s="3"/>
      </tp>
      <tp t="s">
        <v>#N/A Requesting Data...3490110332</v>
        <stp/>
        <stp>BDP|15020819796224033734</stp>
        <tr r="BG244" s="3"/>
      </tp>
      <tp t="s">
        <v>#N/A Requesting Data...2627822239</v>
        <stp/>
        <stp>BDP|14842495260457207679</stp>
        <tr r="AH58" s="3"/>
      </tp>
      <tp t="s">
        <v>#N/A N/A</v>
        <stp/>
        <stp>BDP|11903868476829958046</stp>
        <tr r="T26" s="2"/>
      </tp>
      <tp t="s">
        <v>#N/A Requesting Data...2203899467</v>
        <stp/>
        <stp>BDP|13311546260562699558</stp>
        <tr r="AO23" s="4"/>
      </tp>
      <tp t="s">
        <v>#N/A Requesting Data...3704408380</v>
        <stp/>
        <stp>BDP|13005326025577304200</stp>
        <tr r="BI86" s="3"/>
      </tp>
      <tp t="s">
        <v>#N/A Requesting Data...1899511066</v>
        <stp/>
        <stp>BDP|12142543722051630356</stp>
        <tr r="I49" s="4"/>
      </tp>
      <tp t="s">
        <v>#N/A Requesting Data...2505983981</v>
        <stp/>
        <stp>BDP|10872965399522762540</stp>
        <tr r="AQ59" s="3"/>
      </tp>
      <tp t="s">
        <v>#N/A Requesting Data...3420663418</v>
        <stp/>
        <stp>BDP|17927955079227244930</stp>
        <tr r="BF336" s="3"/>
      </tp>
      <tp t="s">
        <v>#N/A N/A</v>
        <stp/>
        <stp>BDP|15829807349537652935</stp>
        <tr r="BG90" s="2"/>
      </tp>
      <tp t="s">
        <v>#N/A Requesting Data...2019046939</v>
        <stp/>
        <stp>BDP|17761735450130739276</stp>
        <tr r="AQ203" s="3"/>
      </tp>
      <tp t="s">
        <v>#N/A Requesting Data...4178862977</v>
        <stp/>
        <stp>BDP|13125247861327722772</stp>
        <tr r="BI115" s="3"/>
      </tp>
      <tp t="s">
        <v>#N/A Requesting Data...2869598777</v>
        <stp/>
        <stp>BDP|16522831352398254423</stp>
        <tr r="BH90" s="3"/>
      </tp>
      <tp t="s">
        <v>#N/A N/A</v>
        <stp/>
        <stp>BDP|12464021755026112660</stp>
        <tr r="AD80" s="2"/>
      </tp>
      <tp t="s">
        <v>#N/A Requesting Data...2581464287</v>
        <stp/>
        <stp>BDP|10583577572530288559</stp>
        <tr r="K118" s="3"/>
      </tp>
      <tp t="s">
        <v>#N/A Requesting Data...4099734112</v>
        <stp/>
        <stp>BDP|14767154246825059334</stp>
        <tr r="AS282" s="3"/>
      </tp>
      <tp t="s">
        <v>#N/A Requesting Data...2143086577</v>
        <stp/>
        <stp>BDP|12960253912810953603</stp>
        <tr r="K264" s="3"/>
      </tp>
      <tp t="s">
        <v>#N/A Requesting Data...2263777139</v>
        <stp/>
        <stp>BDP|12840456366947477087</stp>
        <tr r="AH336" s="3"/>
      </tp>
      <tp t="s">
        <v>#N/A Requesting Data...3212812101</v>
        <stp/>
        <stp>BDP|13654768421135457420</stp>
        <tr r="BH138" s="3"/>
      </tp>
      <tp t="s">
        <v>#N/A N/A</v>
        <stp/>
        <stp>BDP|15905688727223648573</stp>
        <tr r="AX101" s="2"/>
      </tp>
      <tp t="s">
        <v>#N/A Requesting Data...3583706422</v>
        <stp/>
        <stp>BDP|11742344267511418276</stp>
        <tr r="Y318" s="3"/>
      </tp>
      <tp t="s">
        <v>#N/A Requesting Data...4250004602</v>
        <stp/>
        <stp>BDP|12447041589334728996</stp>
        <tr r="AX13" s="4"/>
      </tp>
      <tp t="s">
        <v>#N/A Requesting Data...4211158642</v>
        <stp/>
        <stp>BDP|17226731504954415369</stp>
        <tr r="F230" s="3"/>
      </tp>
      <tp t="s">
        <v>#N/A N/A</v>
        <stp/>
        <stp>BDP|15191454158954334786</stp>
        <tr r="N40" s="2"/>
      </tp>
      <tp t="s">
        <v>#N/A Requesting Data...3924401379</v>
        <stp/>
        <stp>BDP|18013242265273630802</stp>
        <tr r="BA213" s="3"/>
      </tp>
      <tp t="s">
        <v>#N/A Requesting Data...3417418258</v>
        <stp/>
        <stp>BDP|14011449169273837229</stp>
        <tr r="AF10" s="4"/>
      </tp>
      <tp t="s">
        <v>#N/A Requesting Data...3588162188</v>
        <stp/>
        <stp>BDP|17296013272217617009</stp>
        <tr r="BA313" s="3"/>
      </tp>
      <tp t="s">
        <v>#N/A Requesting Data...3219397228</v>
        <stp/>
        <stp>BDP|14340946263939098535</stp>
        <tr r="O346" s="3"/>
      </tp>
      <tp t="s">
        <v>#N/A Requesting Data...2338225017</v>
        <stp/>
        <stp>BDP|17891498231481551627</stp>
        <tr r="AQ336" s="3"/>
      </tp>
      <tp t="s">
        <v>#N/A Requesting Data...3667852545</v>
        <stp/>
        <stp>BDP|12628823363068827385</stp>
        <tr r="BH351" s="3"/>
      </tp>
      <tp t="s">
        <v>#N/A Requesting Data...3179905565</v>
        <stp/>
        <stp>BDP|17124171657534350055</stp>
        <tr r="AO43" s="4"/>
      </tp>
      <tp t="s">
        <v>#N/A Requesting Data...4294401686</v>
        <stp/>
        <stp>BDP|12478025773024147633</stp>
        <tr r="BI31" s="3"/>
      </tp>
      <tp t="s">
        <v>#N/A N/A</v>
        <stp/>
        <stp>BDP|17554711907973267470</stp>
        <tr r="AO78" s="2"/>
      </tp>
      <tp t="s">
        <v>#N/A Requesting Data...2289376815</v>
        <stp/>
        <stp>BDP|10763786470143929408</stp>
        <tr r="BG26" s="3"/>
      </tp>
      <tp t="s">
        <v>#N/A Requesting Data...3151335734</v>
        <stp/>
        <stp>BDP|11146054145720489235</stp>
        <tr r="BG15" s="3"/>
      </tp>
      <tp t="s">
        <v>#N/A Requesting Data...2413079365</v>
        <stp/>
        <stp>BDP|13648301211240347629</stp>
        <tr r="AH228" s="3"/>
      </tp>
      <tp t="s">
        <v>#N/A Requesting Data...3873299767</v>
        <stp/>
        <stp>BDP|15769431641492002039</stp>
        <tr r="I173" s="3"/>
      </tp>
      <tp t="s">
        <v>#N/A Requesting Data...3555117448</v>
        <stp/>
        <stp>BDP|18050419704128000334</stp>
        <tr r="O145" s="3"/>
      </tp>
      <tp t="s">
        <v>#N/A Requesting Data...3369288881</v>
        <stp/>
        <stp>BDP|13986644112120973303</stp>
        <tr r="AH303" s="3"/>
      </tp>
      <tp t="s">
        <v>#N/A Requesting Data...3717682777</v>
        <stp/>
        <stp>BDP|15407234781908444041</stp>
        <tr r="AA117" s="3"/>
      </tp>
      <tp t="s">
        <v>#N/A Requesting Data...4059048952</v>
        <stp/>
        <stp>BDP|16122238863174666113</stp>
        <tr r="O39" s="3"/>
      </tp>
      <tp t="s">
        <v>#N/A Requesting Data...3080525730</v>
        <stp/>
        <stp>BDP|14613315314830246175</stp>
        <tr r="K45" s="3"/>
      </tp>
      <tp t="s">
        <v>#N/A N/A</v>
        <stp/>
        <stp>BDP|10689791559860546559</stp>
        <tr r="K93" s="2"/>
      </tp>
      <tp t="s">
        <v>#N/A Requesting Data...4150522025</v>
        <stp/>
        <stp>BDP|17785905813248441067</stp>
        <tr r="AZ194" s="3"/>
      </tp>
      <tp t="s">
        <v>#N/A Requesting Data...3708955139</v>
        <stp/>
        <stp>BDP|15218992229671225864</stp>
        <tr r="BA243" s="3"/>
      </tp>
      <tp t="s">
        <v>#N/A Requesting Data...2555575845</v>
        <stp/>
        <stp>BDP|11623259644932018211</stp>
        <tr r="AH296" s="3"/>
      </tp>
      <tp t="s">
        <v>#N/A Requesting Data...3163733563</v>
        <stp/>
        <stp>BDP|10106286370503961164</stp>
        <tr r="BH344" s="3"/>
      </tp>
      <tp t="s">
        <v>#N/A Requesting Data...3104598006</v>
        <stp/>
        <stp>BDP|16041018859753649789</stp>
        <tr r="AH13" s="3"/>
      </tp>
      <tp t="s">
        <v>#N/A N/A</v>
        <stp/>
        <stp>BDP|16080448513747454357</stp>
        <tr r="AF91" s="2"/>
      </tp>
      <tp t="s">
        <v>#N/A Requesting Data...3016042522</v>
        <stp/>
        <stp>BDP|15311618801255328292</stp>
        <tr r="K265" s="3"/>
      </tp>
      <tp t="s">
        <v>#N/A N/A</v>
        <stp/>
        <stp>BDP|12884232308660260481</stp>
        <tr r="N49" s="2"/>
      </tp>
      <tp t="s">
        <v>#N/A Requesting Data...4191655088</v>
        <stp/>
        <stp>BDP|16964606813915769045</stp>
        <tr r="O291" s="3"/>
      </tp>
      <tp t="s">
        <v>#N/A Requesting Data...2288215810</v>
        <stp/>
        <stp>BDP|15336759666167827713</stp>
        <tr r="BH299" s="3"/>
      </tp>
      <tp t="s">
        <v>#N/A Requesting Data...2520247720</v>
        <stp/>
        <stp>BDP|17430418729071380469</stp>
        <tr r="Y182" s="3"/>
      </tp>
      <tp t="s">
        <v>#N/A Requesting Data...3657300297</v>
        <stp/>
        <stp>BDP|10895559171826274075</stp>
        <tr r="AS216" s="3"/>
      </tp>
      <tp t="s">
        <v>#N/A Requesting Data...3738647260</v>
        <stp/>
        <stp>BDP|12550890081873473503</stp>
        <tr r="AJ53" s="3"/>
      </tp>
      <tp t="s">
        <v>#N/A Requesting Data...2230751658</v>
        <stp/>
        <stp>BDP|18109313779331887987</stp>
        <tr r="AF47" s="4"/>
      </tp>
      <tp t="s">
        <v>#N/A Requesting Data...3730045924</v>
        <stp/>
        <stp>BDP|17897231662447940097</stp>
        <tr r="D45" s="4"/>
      </tp>
      <tp t="s">
        <v>#N/A N/A</v>
        <stp/>
        <stp>BDP|14482323733860483085</stp>
        <tr r="AF49" s="4"/>
      </tp>
      <tp t="s">
        <v>#N/A N/A</v>
        <stp/>
        <stp>BDP|10472101038607284175</stp>
        <tr r="AV45" s="2"/>
      </tp>
      <tp t="s">
        <v>#N/A Requesting Data...2842772298</v>
        <stp/>
        <stp>BDP|15798241958550082628</stp>
        <tr r="AA243" s="3"/>
      </tp>
      <tp t="s">
        <v>#N/A Requesting Data...2400181579</v>
        <stp/>
        <stp>BDP|14642289190498570322</stp>
        <tr r="I148" s="3"/>
      </tp>
      <tp t="s">
        <v>#N/A Requesting Data...3121919519</v>
        <stp/>
        <stp>BDP|17182318674805535287</stp>
        <tr r="Q230" s="3"/>
      </tp>
      <tp t="s">
        <v>#N/A N/A</v>
        <stp/>
        <stp>BDP|18090483570537560848</stp>
        <tr r="N47" s="2"/>
      </tp>
      <tp t="s">
        <v>#N/A Requesting Data...3244906178</v>
        <stp/>
        <stp>BDP|15719724715387156083</stp>
        <tr r="AJ304" s="3"/>
      </tp>
      <tp t="s">
        <v>#N/A Requesting Data...3697531251</v>
        <stp/>
        <stp>BDP|13811481869310478542</stp>
        <tr r="AA210" s="3"/>
      </tp>
      <tp t="s">
        <v>#N/A Requesting Data...3805592866</v>
        <stp/>
        <stp>BDP|17096459317830894634</stp>
        <tr r="AS107" s="3"/>
      </tp>
      <tp t="s">
        <v>#N/A Requesting Data...2478870658</v>
        <stp/>
        <stp>BDP|11891916112549076429</stp>
        <tr r="BB203" s="3"/>
      </tp>
      <tp t="s">
        <v>#N/A Requesting Data...3981934071</v>
        <stp/>
        <stp>BDP|11947045910075439119</stp>
        <tr r="Y351" s="3"/>
      </tp>
      <tp t="s">
        <v>#N/A Requesting Data...3468236226</v>
        <stp/>
        <stp>BDP|15805260823591682037</stp>
        <tr r="BI279" s="3"/>
      </tp>
      <tp t="s">
        <v>#N/A Requesting Data...4139212337</v>
        <stp/>
        <stp>BDP|13303047949351456228</stp>
        <tr r="AQ54" s="4"/>
      </tp>
      <tp t="s">
        <v>#N/A Requesting Data...3718571053</v>
        <stp/>
        <stp>BDP|11631281310381175779</stp>
        <tr r="AA142" s="3"/>
      </tp>
      <tp t="s">
        <v>#N/A Requesting Data...3154736605</v>
        <stp/>
        <stp>BDP|15478600798258230669</stp>
        <tr r="AS244" s="3"/>
      </tp>
      <tp t="s">
        <v>#N/A Requesting Data...4028729079</v>
        <stp/>
        <stp>BDP|15462977516201851858</stp>
        <tr r="AH226" s="3"/>
      </tp>
      <tp t="s">
        <v>#N/A Requesting Data...3226103390</v>
        <stp/>
        <stp>BDP|18283255598430416736</stp>
        <tr r="O34" s="4"/>
      </tp>
      <tp t="s">
        <v>#N/A N/A</v>
        <stp/>
        <stp>BDP|13388496631620696053</stp>
        <tr r="BL39" s="2"/>
      </tp>
      <tp t="s">
        <v>#N/A Requesting Data...2591968519</v>
        <stp/>
        <stp>BDP|18109089122558484675</stp>
        <tr r="AQ53" s="3"/>
      </tp>
      <tp t="s">
        <v>#N/A Requesting Data...3461047355</v>
        <stp/>
        <stp>BDP|11038567852970597595</stp>
        <tr r="Q138" s="3"/>
      </tp>
      <tp t="s">
        <v>#N/A N/A</v>
        <stp/>
        <stp>BDP|14323649515015820229</stp>
        <tr r="BG60" s="2"/>
      </tp>
      <tp t="s">
        <v>#N/A Requesting Data...3632831226</v>
        <stp/>
        <stp>BDP|13287733537586428594</stp>
        <tr r="AZ18" s="3"/>
      </tp>
      <tp t="s">
        <v>#N/A Requesting Data...2979781439</v>
        <stp/>
        <stp>BDP|12079296822527233128</stp>
        <tr r="K86" s="3"/>
      </tp>
      <tp t="s">
        <v>#N/A Requesting Data...2917653507</v>
        <stp/>
        <stp>BDP|15236640469752227368</stp>
        <tr r="AA50" s="3"/>
      </tp>
      <tp t="s">
        <v>#N/A Requesting Data...2879617631</v>
        <stp/>
        <stp>BDP|10690375928122381716</stp>
        <tr r="BA232" s="3"/>
      </tp>
      <tp t="s">
        <v>#N/A Requesting Data...3092548057</v>
        <stp/>
        <stp>BDP|10726504134177920517</stp>
        <tr r="D16" s="4"/>
      </tp>
      <tp t="s">
        <v>#N/A N/A</v>
        <stp/>
        <stp>BDP|10011946100735636892</stp>
        <tr r="D6" s="4"/>
      </tp>
      <tp t="s">
        <v>#N/A Requesting Data...4120762792</v>
        <stp/>
        <stp>BDP|12897595969335488076</stp>
        <tr r="AQ240" s="3"/>
      </tp>
      <tp t="s">
        <v>#N/A N/A</v>
        <stp/>
        <stp>BDP|16750009422895614585</stp>
        <tr r="AV19" s="2"/>
      </tp>
      <tp t="s">
        <v>#N/A Requesting Data...3298671120</v>
        <stp/>
        <stp>BDP|11849077140038227964</stp>
        <tr r="AA296" s="3"/>
      </tp>
      <tp t="s">
        <v>#N/A Requesting Data...3680952175</v>
        <stp/>
        <stp>BDP|14754245151411868617</stp>
        <tr r="AZ263" s="3"/>
      </tp>
      <tp t="s">
        <v>#N/A Requesting Data...4059662602</v>
        <stp/>
        <stp>BDP|17149648306243992612</stp>
        <tr r="O147" s="3"/>
      </tp>
      <tp t="s">
        <v>#N/A Requesting Data...4211765360</v>
        <stp/>
        <stp>BDP|14377885586183038365</stp>
        <tr r="AS6" s="3"/>
      </tp>
      <tp t="s">
        <v>#N/A Requesting Data...2528071526</v>
        <stp/>
        <stp>BDP|11038499141521762450</stp>
        <tr r="AQ12" s="4"/>
      </tp>
      <tp t="s">
        <v>#N/A Requesting Data...3413266612</v>
        <stp/>
        <stp>BDP|16461490560120690017</stp>
        <tr r="K147" s="3"/>
      </tp>
      <tp t="s">
        <v>#N/A Requesting Data...4023422261</v>
        <stp/>
        <stp>BDP|16413979897384610682</stp>
        <tr r="AQ233" s="3"/>
      </tp>
      <tp t="s">
        <v>#N/A N/A</v>
        <stp/>
        <stp>BDP|14809701933193989787</stp>
        <tr r="AO12" s="2"/>
      </tp>
      <tp t="s">
        <v>#N/A Requesting Data...4273956697</v>
        <stp/>
        <stp>BDP|12181156854423905136</stp>
        <tr r="AJ24" s="3"/>
      </tp>
      <tp t="s">
        <v>#N/A Requesting Data...4164254323</v>
        <stp/>
        <stp>BDP|17782280520126021557</stp>
        <tr r="K112" s="3"/>
      </tp>
      <tp t="s">
        <v>#N/A N/A</v>
        <stp/>
        <stp>BDP|13280082500551426641</stp>
        <tr r="BF94" s="2"/>
      </tp>
      <tp t="s">
        <v>#N/A N/A</v>
        <stp/>
        <stp>BDP|12942747754353715742</stp>
        <tr r="BF73" s="2"/>
      </tp>
      <tp t="s">
        <v>#N/A Requesting Data...3984859706</v>
        <stp/>
        <stp>BDP|18403996996378945480</stp>
        <tr r="O110" s="3"/>
      </tp>
      <tp t="s">
        <v>#N/A N/A</v>
        <stp/>
        <stp>BDP|16698318271490943654</stp>
        <tr r="BM66" s="2"/>
      </tp>
      <tp t="s">
        <v>#N/A Requesting Data...3217949879</v>
        <stp/>
        <stp>BDP|16565190350905338358</stp>
        <tr r="AX61" s="4"/>
      </tp>
      <tp t="s">
        <v>#N/A Requesting Data...3903124765</v>
        <stp/>
        <stp>BDP|11946461159150962456</stp>
        <tr r="AQ228" s="3"/>
      </tp>
      <tp t="s">
        <v>#N/A Requesting Data...3389647133</v>
        <stp/>
        <stp>BDP|15897841794533342362</stp>
        <tr r="BF233" s="3"/>
      </tp>
      <tp t="s">
        <v>#N/A Requesting Data...4000984842</v>
        <stp/>
        <stp>BDP|12554343624602005589</stp>
        <tr r="Y147" s="3"/>
      </tp>
      <tp t="s">
        <v>#N/A N/A</v>
        <stp/>
        <stp>BDP|15549583827955742305</stp>
        <tr r="T20" s="2"/>
      </tp>
      <tp t="s">
        <v>#N/A N/A</v>
        <stp/>
        <stp>BDP|10897235914304498368</stp>
        <tr r="V63" s="2"/>
      </tp>
      <tp t="s">
        <v>#N/A N/A</v>
        <stp/>
        <stp>BDP|10136047505875459194</stp>
        <tr r="N26" s="2"/>
      </tp>
      <tp t="s">
        <v>#N/A Requesting Data...2528469957</v>
        <stp/>
        <stp>BDP|15189564277861503289</stp>
        <tr r="AH121" s="3"/>
      </tp>
      <tp t="s">
        <v>#N/A N/A</v>
        <stp/>
        <stp>BDP|14439828492663018291</stp>
        <tr r="BM65" s="2"/>
      </tp>
      <tp t="s">
        <v>#N/A N/A</v>
        <stp/>
        <stp>BDP|11005489074471720763</stp>
        <tr r="AF60" s="2"/>
      </tp>
      <tp t="s">
        <v>#N/A Requesting Data...3425686775</v>
        <stp/>
        <stp>BDP|12814389058627664734</stp>
        <tr r="F34" s="3"/>
      </tp>
      <tp t="s">
        <v>#N/A Requesting Data...3329645516</v>
        <stp/>
        <stp>BDP|14872590427751354686</stp>
        <tr r="G28" s="4"/>
      </tp>
      <tp t="s">
        <v>#N/A Requesting Data...2838743999</v>
        <stp/>
        <stp>BDP|17509031996439504386</stp>
        <tr r="BH72" s="3"/>
      </tp>
      <tp t="s">
        <v>#N/A Requesting Data...4159013150</v>
        <stp/>
        <stp>BDP|13844311522697148174</stp>
        <tr r="K18" s="3"/>
      </tp>
      <tp t="s">
        <v>#N/A Requesting Data...3775686331</v>
        <stp/>
        <stp>BDP|14833911792185489529</stp>
        <tr r="BL2" s="2"/>
        <tr r="BG2" s="3"/>
      </tp>
      <tp t="s">
        <v>#N/A N/A</v>
        <stp/>
        <stp>BDP|12624741519084329453</stp>
        <tr r="BK76" s="2"/>
      </tp>
      <tp t="s">
        <v>#N/A Requesting Data...3155344463</v>
        <stp/>
        <stp>BDP|14111781003112748502</stp>
        <tr r="BI235" s="3"/>
      </tp>
      <tp t="s">
        <v>#N/A N/A</v>
        <stp/>
        <stp>BDP|11967415631362353072</stp>
        <tr r="P95" s="2"/>
      </tp>
      <tp t="s">
        <v>#N/A Requesting Data...3968488016</v>
        <stp/>
        <stp>BDP|12340303163665563681</stp>
        <tr r="BH251" s="3"/>
      </tp>
      <tp t="s">
        <v>#N/A Requesting Data...3089478318</v>
        <stp/>
        <stp>BDP|16018922617429904312</stp>
        <tr r="BG345" s="3"/>
      </tp>
      <tp t="s">
        <v>#N/A Requesting Data...3250082166</v>
        <stp/>
        <stp>BDP|15506297777653341750</stp>
        <tr r="AJ245" s="3"/>
      </tp>
      <tp t="s">
        <v>#N/A Requesting Data...3320380617</v>
        <stp/>
        <stp>BDP|12206132846774908730</stp>
        <tr r="AS79" s="3"/>
      </tp>
      <tp t="s">
        <v>#N/A N/A</v>
        <stp/>
        <stp>BDP|11923919247861269901</stp>
        <tr r="BN72" s="2"/>
      </tp>
      <tp t="s">
        <v>#N/A Requesting Data...2830605622</v>
        <stp/>
        <stp>BDP|15907753866942620203</stp>
        <tr r="BB207" s="3"/>
      </tp>
      <tp t="s">
        <v>#N/A Requesting Data...2980354891</v>
        <stp/>
        <stp>BDP|13454496174571782527</stp>
        <tr r="AH95" s="3"/>
      </tp>
      <tp t="s">
        <v>#N/A Requesting Data...2953944406</v>
        <stp/>
        <stp>BDP|14082391247335574275</stp>
        <tr r="K87" s="3"/>
      </tp>
      <tp t="s">
        <v>#N/A Requesting Data...3096022299</v>
        <stp/>
        <stp>BDP|10807507787578786142</stp>
        <tr r="BF168" s="3"/>
      </tp>
      <tp t="s">
        <v>#N/A Requesting Data...4126197439</v>
        <stp/>
        <stp>BDP|12428109730524826002</stp>
        <tr r="BA315" s="3"/>
      </tp>
      <tp t="s">
        <v>#N/A Requesting Data...4032174795</v>
        <stp/>
        <stp>BDP|14836726126827858285</stp>
        <tr r="BG336" s="3"/>
      </tp>
      <tp t="s">
        <v>#N/A Requesting Data...4015377165</v>
        <stp/>
        <stp>BDP|17582690276107726516</stp>
        <tr r="AA249" s="3"/>
      </tp>
      <tp t="s">
        <v>#N/A Requesting Data...4108748235</v>
        <stp/>
        <stp>BDP|16136480817557029028</stp>
        <tr r="BH270" s="3"/>
      </tp>
      <tp t="s">
        <v>#N/A Requesting Data...3921012879</v>
        <stp/>
        <stp>BDP|13465218634671538788</stp>
        <tr r="Y33" s="4"/>
      </tp>
      <tp t="s">
        <v>#N/A Requesting Data...3009884964</v>
        <stp/>
        <stp>BDP|14509767059406375457</stp>
        <tr r="AS333" s="3"/>
      </tp>
      <tp t="s">
        <v>#N/A Requesting Data...2677295942</v>
        <stp/>
        <stp>BDP|13498290357954160475</stp>
        <tr r="I93" s="3"/>
      </tp>
      <tp t="s">
        <v>#N/A N/A</v>
        <stp/>
        <stp>BDP|15172420640080906165</stp>
        <tr r="BN38" s="2"/>
      </tp>
      <tp t="s">
        <v>#N/A Requesting Data...3981664854</v>
        <stp/>
        <stp>BDP|14915132253853687733</stp>
        <tr r="BF303" s="3"/>
      </tp>
      <tp t="s">
        <v>#N/A N/A</v>
        <stp/>
        <stp>BDP|10744520489261600860</stp>
        <tr r="BE19" s="2"/>
      </tp>
      <tp t="s">
        <v>#N/A Requesting Data...4217578779</v>
        <stp/>
        <stp>BDP|11056045065046848551</stp>
        <tr r="Y230" s="3"/>
      </tp>
      <tp t="s">
        <v>#N/A Requesting Data...4048594457</v>
        <stp/>
        <stp>BDP|16976642963523318114</stp>
        <tr r="AS183" s="3"/>
      </tp>
      <tp t="s">
        <v>#N/A Requesting Data...2697788014</v>
        <stp/>
        <stp>BDP|12887444876421068455</stp>
        <tr r="D10" s="4"/>
      </tp>
      <tp t="s">
        <v>#N/A N/A</v>
        <stp/>
        <stp>BDP|18203897162355474729</stp>
        <tr r="P19" s="2"/>
      </tp>
      <tp t="s">
        <v>#N/A N/A</v>
        <stp/>
        <stp>BDP|17553164432141765099</stp>
        <tr r="AV59" s="2"/>
      </tp>
      <tp t="s">
        <v>#N/A N/A</v>
        <stp/>
        <stp>BDP|10111750826187989646</stp>
        <tr r="AM82" s="2"/>
      </tp>
      <tp t="s">
        <v>#N/A Requesting Data...3339817397</v>
        <stp/>
        <stp>BDP|14139775584697995847</stp>
        <tr r="AZ341" s="3"/>
      </tp>
      <tp t="s">
        <v>#N/A Requesting Data...4276653715</v>
        <stp/>
        <stp>BDP|16613450324857036384</stp>
        <tr r="AH223" s="3"/>
      </tp>
      <tp t="s">
        <v>#N/A N/A</v>
        <stp/>
        <stp>BDP|18021163589777834289</stp>
        <tr r="BL55" s="2"/>
      </tp>
      <tp t="s">
        <v>#N/A Requesting Data...3497737029</v>
        <stp/>
        <stp>BDP|14491497805995047172</stp>
        <tr r="BH133" s="3"/>
      </tp>
      <tp t="s">
        <v>#N/A Requesting Data...4210015589</v>
        <stp/>
        <stp>BDP|15035680337806688263</stp>
        <tr r="BA265" s="3"/>
      </tp>
      <tp t="s">
        <v>#N/A Requesting Data...3666898924</v>
        <stp/>
        <stp>BDP|16308978310348897237</stp>
        <tr r="AZ113" s="3"/>
      </tp>
      <tp t="s">
        <v>#N/A Requesting Data...3505590754</v>
        <stp/>
        <stp>BDP|12119193215257359111</stp>
        <tr r="AZ347" s="3"/>
      </tp>
      <tp t="s">
        <v>#N/A Requesting Data...4077043306</v>
        <stp/>
        <stp>BDP|15522209342000855715</stp>
        <tr r="BF120" s="3"/>
      </tp>
      <tp t="s">
        <v>#N/A Requesting Data...4138906932</v>
        <stp/>
        <stp>BDP|17188010563837822258</stp>
        <tr r="F123" s="3"/>
      </tp>
      <tp t="s">
        <v>#N/A Requesting Data...2802684834</v>
        <stp/>
        <stp>BDP|10813071247034489422</stp>
        <tr r="BI193" s="3"/>
      </tp>
      <tp t="s">
        <v>#N/A Requesting Data...2987157158</v>
        <stp/>
        <stp>BDP|14247516651871433180</stp>
        <tr r="K186" s="3"/>
      </tp>
      <tp t="s">
        <v>#N/A N/A</v>
        <stp/>
        <stp>BDP|11335385721314436009</stp>
        <tr r="N85" s="2"/>
      </tp>
      <tp t="s">
        <v>#N/A N/A</v>
        <stp/>
        <stp>BDP|13991603026244016716</stp>
        <tr r="K98" s="2"/>
      </tp>
      <tp t="s">
        <v>#N/A Requesting Data...3081235367</v>
        <stp/>
        <stp>BDP|12641577477817818304</stp>
        <tr r="BA256" s="3"/>
      </tp>
      <tp t="s">
        <v>#N/A Requesting Data...3273667007</v>
        <stp/>
        <stp>BDP|16944853090963219003</stp>
        <tr r="AS254" s="3"/>
      </tp>
      <tp t="s">
        <v>#N/A Requesting Data...3925324283</v>
        <stp/>
        <stp>BDP|12004337065307185490</stp>
        <tr r="O21" s="4"/>
      </tp>
      <tp t="s">
        <v>#N/A N/A</v>
        <stp/>
        <stp>BDP|17427445050340719296</stp>
        <tr r="V52" s="2"/>
      </tp>
      <tp t="s">
        <v>#N/A Requesting Data...4196145959</v>
        <stp/>
        <stp>BDP|16219603568862205068</stp>
        <tr r="F312" s="3"/>
      </tp>
      <tp t="s">
        <v>#N/A Requesting Data...3134271713</v>
        <stp/>
        <stp>BDP|14081147515077989766</stp>
        <tr r="Q75" s="3"/>
      </tp>
      <tp t="s">
        <v>#N/A Requesting Data...3534043578</v>
        <stp/>
        <stp>BDP|14287399834109609971</stp>
        <tr r="AH266" s="3"/>
      </tp>
      <tp t="s">
        <v>#N/A Requesting Data...4240435969</v>
        <stp/>
        <stp>BDP|13693255470255972748</stp>
        <tr r="AS204" s="3"/>
      </tp>
      <tp t="s">
        <v>#N/A Requesting Data...3934787901</v>
        <stp/>
        <stp>BDP|15146410638695046366</stp>
        <tr r="I104" s="3"/>
      </tp>
      <tp t="s">
        <v>#N/A Requesting Data...3046130805</v>
        <stp/>
        <stp>BDP|11415652038341542124</stp>
        <tr r="BF119" s="3"/>
      </tp>
      <tp t="s">
        <v>#N/A N/A</v>
        <stp/>
        <stp>BDP|11107500479607192078</stp>
        <tr r="BL72" s="2"/>
      </tp>
      <tp t="s">
        <v>#N/A Requesting Data...4028465304</v>
        <stp/>
        <stp>BDP|14970317856927622190</stp>
        <tr r="BB227" s="3"/>
      </tp>
      <tp t="s">
        <v>#N/A Requesting Data...3762269936</v>
        <stp/>
        <stp>BDP|12702940322569862488</stp>
        <tr r="AH208" s="3"/>
      </tp>
      <tp t="s">
        <v>#N/A Requesting Data...3707968309</v>
        <stp/>
        <stp>BDP|14332762737032024638</stp>
        <tr r="P71" s="2"/>
        <tr r="I36" s="4"/>
      </tp>
      <tp t="s">
        <v>#N/A Requesting Data...3657024963</v>
        <stp/>
        <stp>BDP|12574155549931885209</stp>
        <tr r="I143" s="3"/>
      </tp>
      <tp t="s">
        <v>#N/A Requesting Data...2894351366</v>
        <stp/>
        <stp>BDP|16711084252157486082</stp>
        <tr r="AH30" s="4"/>
      </tp>
      <tp t="s">
        <v>#N/A N/A</v>
        <stp/>
        <stp>BDP|13594768045255275159</stp>
        <tr r="BG33" s="2"/>
      </tp>
      <tp t="s">
        <v>#N/A Requesting Data...4231678872</v>
        <stp/>
        <stp>BDP|11471428086001336821</stp>
        <tr r="AZ88" s="3"/>
      </tp>
      <tp t="s">
        <v>#N/A Requesting Data...3846271949</v>
        <stp/>
        <stp>BDP|14701654355181006264</stp>
        <tr r="BH349" s="3"/>
      </tp>
      <tp t="s">
        <v>#N/A Requesting Data...2940248707</v>
        <stp/>
        <stp>BDP|11220766106450350202</stp>
        <tr r="O32" s="4"/>
      </tp>
      <tp t="s">
        <v>#N/A Requesting Data...3131200126</v>
        <stp/>
        <stp>BDP|12112124734203360754</stp>
        <tr r="AA168" s="3"/>
      </tp>
      <tp t="s">
        <v>#N/A Requesting Data...3536903361</v>
        <stp/>
        <stp>BDP|18197725801928470376</stp>
        <tr r="O24" s="3"/>
      </tp>
      <tp t="s">
        <v>#N/A Requesting Data...3485594347</v>
        <stp/>
        <stp>BDP|18436333501129238656</stp>
        <tr r="AJ168" s="3"/>
      </tp>
      <tp t="s">
        <v>#N/A Requesting Data...3557034281</v>
        <stp/>
        <stp>BDP|13430370437584119343</stp>
        <tr r="BH107" s="3"/>
      </tp>
      <tp t="s">
        <v>#N/A Requesting Data...4266785811</v>
        <stp/>
        <stp>BDP|12869348796714219883</stp>
        <tr r="F214" s="3"/>
      </tp>
      <tp t="s">
        <v>#N/A Requesting Data...4052499447</v>
        <stp/>
        <stp>BDP|10087122249306978727</stp>
        <tr r="F67" s="3"/>
      </tp>
      <tp t="s">
        <v>#N/A Requesting Data...4167934164</v>
        <stp/>
        <stp>BDP|16478025631803220250</stp>
        <tr r="I17" s="3"/>
      </tp>
      <tp t="s">
        <v>#N/A Requesting Data...4202768061</v>
        <stp/>
        <stp>BDP|12462131541874127775</stp>
        <tr r="AS237" s="3"/>
      </tp>
      <tp t="s">
        <v>#N/A Requesting Data...3170994883</v>
        <stp/>
        <stp>BDP|14077964362976519914</stp>
        <tr r="BH54" s="3"/>
      </tp>
      <tp t="s">
        <v>#N/A N/A</v>
        <stp/>
        <stp>BDP|10055332116233498512</stp>
        <tr r="K55" s="2"/>
      </tp>
      <tp t="s">
        <v>#N/A N/A</v>
        <stp/>
        <stp>BDP|11345526634222494117</stp>
        <tr r="T63" s="2"/>
      </tp>
      <tp t="s">
        <v>#N/A Requesting Data...4038024147</v>
        <stp/>
        <stp>BDP|15248190665087986172</stp>
        <tr r="BA280" s="3"/>
      </tp>
      <tp t="s">
        <v>#N/A N/A</v>
        <stp/>
        <stp>BDP|10169005627241146778</stp>
        <tr r="AO47" s="2"/>
      </tp>
      <tp t="s">
        <v>#N/A Requesting Data...3903578973</v>
        <stp/>
        <stp>BDP|12873748854694825006</stp>
        <tr r="BA311" s="3"/>
      </tp>
      <tp t="s">
        <v>#N/A N/A</v>
        <stp/>
        <stp>BDP|16559168940246717142</stp>
        <tr r="BN69" s="2"/>
      </tp>
      <tp t="s">
        <v>#N/A Requesting Data...3485380423</v>
        <stp/>
        <stp>BDP|14686391224991278094</stp>
        <tr r="O94" s="3"/>
      </tp>
      <tp t="s">
        <v>#N/A N/A</v>
        <stp/>
        <stp>BDP|14576781463840690185</stp>
        <tr r="AV67" s="2"/>
      </tp>
      <tp t="s">
        <v>#N/A Requesting Data...3130201332</v>
        <stp/>
        <stp>BDP|10004335247590787338</stp>
        <tr r="BA249" s="3"/>
      </tp>
      <tp t="s">
        <v>#N/A Requesting Data...4005168025</v>
        <stp/>
        <stp>BDP|11256263823192135764</stp>
        <tr r="M27" s="4"/>
      </tp>
      <tp t="s">
        <v>#N/A N/A</v>
        <stp/>
        <stp>BDP|15738181021731725390</stp>
        <tr r="BK37" s="2"/>
      </tp>
      <tp t="s">
        <v>#N/A Requesting Data...3894798539</v>
        <stp/>
        <stp>BDP|15177670350233232140</stp>
        <tr r="I251" s="3"/>
      </tp>
      <tp t="s">
        <v>#N/A N/A</v>
        <stp/>
        <stp>BDP|16210241661504057276</stp>
        <tr r="AO61" s="2"/>
      </tp>
      <tp t="s">
        <v>#N/A Requesting Data...3432881289</v>
        <stp/>
        <stp>BDP|13654723665037703160</stp>
        <tr r="BG129" s="3"/>
      </tp>
      <tp t="s">
        <v>#N/A Requesting Data...3097283061</v>
        <stp/>
        <stp>BDP|17059628543403454259</stp>
        <tr r="K275" s="3"/>
      </tp>
      <tp t="s">
        <v>#N/A Requesting Data...3806702746</v>
        <stp/>
        <stp>BDP|18281478958224560981</stp>
        <tr r="BG328" s="3"/>
      </tp>
      <tp t="s">
        <v>#N/A Requesting Data...3062735782</v>
        <stp/>
        <stp>BDP|17826073554652863434</stp>
        <tr r="I213" s="3"/>
      </tp>
      <tp t="s">
        <v>#N/A Requesting Data...3476705805</v>
        <stp/>
        <stp>BDP|15230556534297557066</stp>
        <tr r="BA203" s="3"/>
      </tp>
      <tp t="s">
        <v>#N/A Requesting Data...4081164618</v>
        <stp/>
        <stp>BDP|15871160459355693019</stp>
        <tr r="BA103" s="3"/>
      </tp>
      <tp t="s">
        <v>#N/A Requesting Data...3825271128</v>
        <stp/>
        <stp>BDP|17864478237965955129</stp>
        <tr r="BI67" s="3"/>
      </tp>
      <tp t="s">
        <v>#N/A Requesting Data...3612040622</v>
        <stp/>
        <stp>BDP|17498300620622514024</stp>
        <tr r="AH39" s="4"/>
      </tp>
      <tp t="s">
        <v>#N/A Requesting Data...3704827280</v>
        <stp/>
        <stp>BDP|14529342477602199645</stp>
        <tr r="K120" s="3"/>
      </tp>
      <tp t="s">
        <v>#N/A N/A</v>
        <stp/>
        <stp>BDP|13044240570001496337</stp>
        <tr r="AD49" s="2"/>
      </tp>
      <tp t="s">
        <v>#N/A N/A</v>
        <stp/>
        <stp>BDP|17362537366436480614</stp>
        <tr r="AD24" s="2"/>
      </tp>
      <tp t="s">
        <v>#N/A Requesting Data...3203132925</v>
        <stp/>
        <stp>BDP|13630644810151281136</stp>
        <tr r="AQ318" s="3"/>
      </tp>
      <tp t="s">
        <v>#N/A Requesting Data...4072531483</v>
        <stp/>
        <stp>BDP|15310128373886793160</stp>
        <tr r="BA6" s="3"/>
      </tp>
      <tp t="s">
        <v>#N/A N/A</v>
        <stp/>
        <stp>BDP|14978547583438831559</stp>
        <tr r="BL21" s="2"/>
      </tp>
      <tp t="s">
        <v>#N/A Requesting Data...3352556108</v>
        <stp/>
        <stp>BDP|10403653900046495464</stp>
        <tr r="AS311" s="3"/>
      </tp>
      <tp t="s">
        <v>#N/A Requesting Data...4272378553</v>
        <stp/>
        <stp>BDP|18251140382233702609</stp>
        <tr r="BH324" s="3"/>
      </tp>
      <tp t="s">
        <v>#N/A Requesting Data...3934240454</v>
        <stp/>
        <stp>BDP|13030399913241877413</stp>
        <tr r="F231" s="3"/>
      </tp>
      <tp t="s">
        <v>#N/A Requesting Data...3454060217</v>
        <stp/>
        <stp>BDP|17747497819364443208</stp>
        <tr r="AZ46" s="3"/>
      </tp>
      <tp t="s">
        <v>#N/A N/A</v>
        <stp/>
        <stp>BDP|15503215328519645898</stp>
        <tr r="BN67" s="2"/>
      </tp>
      <tp t="s">
        <v>#N/A Requesting Data...3511337869</v>
        <stp/>
        <stp>BDP|18105805972576672564</stp>
        <tr r="AJ296" s="3"/>
      </tp>
      <tp t="s">
        <v>#N/A Requesting Data...3298570475</v>
        <stp/>
        <stp>BDP|11256407868704976301</stp>
        <tr r="BI328" s="3"/>
      </tp>
      <tp t="s">
        <v>#N/A Requesting Data...3880780093</v>
        <stp/>
        <stp>BDP|12219517479021065593</stp>
        <tr r="BB30" s="3"/>
      </tp>
      <tp t="s">
        <v>#N/A N/A</v>
        <stp/>
        <stp>BDP|13506558003533883187</stp>
        <tr r="AO55" s="2"/>
      </tp>
      <tp t="s">
        <v>#N/A Requesting Data...4279978964</v>
        <stp/>
        <stp>BDP|16437202924525008735</stp>
        <tr r="BI84" s="3"/>
      </tp>
      <tp t="s">
        <v>#N/A Requesting Data...3368830539</v>
        <stp/>
        <stp>BDP|12570221535246727166</stp>
        <tr r="BB257" s="3"/>
      </tp>
      <tp t="s">
        <v>#N/A Requesting Data...4096109485</v>
        <stp/>
        <stp>BDP|12451615832402364175</stp>
        <tr r="Y341" s="3"/>
      </tp>
      <tp t="s">
        <v>#N/A Requesting Data...3709258095</v>
        <stp/>
        <stp>BDP|17450518563834178445</stp>
        <tr r="BF6" s="3"/>
      </tp>
      <tp t="s">
        <v>#N/A Requesting Data...3754193756</v>
        <stp/>
        <stp>BDP|17321101102680457265</stp>
        <tr r="AJ66" s="3"/>
      </tp>
      <tp t="s">
        <v>#N/A Requesting Data...3767212544</v>
        <stp/>
        <stp>BDP|17566005513043028154</stp>
        <tr r="BH285" s="3"/>
      </tp>
      <tp t="s">
        <v>#N/A Requesting Data...3232738402</v>
        <stp/>
        <stp>BDP|17019490005086914165</stp>
        <tr r="O58" s="4"/>
      </tp>
      <tp t="s">
        <v>#N/A N/A</v>
        <stp/>
        <stp>BDP|11862475598258358070</stp>
        <tr r="AX56" s="2"/>
      </tp>
      <tp t="s">
        <v>#N/A Requesting Data...3544190107</v>
        <stp/>
        <stp>BDP|17723731771513448039</stp>
        <tr r="G45" s="4"/>
      </tp>
      <tp t="s">
        <v>#N/A N/A</v>
        <stp/>
        <stp>BDP|15037375346544000238</stp>
        <tr r="T29" s="2"/>
      </tp>
      <tp t="s">
        <v>#N/A Requesting Data...3596199194</v>
        <stp/>
        <stp>BDP|13597786442325468190</stp>
        <tr r="BG337" s="3"/>
      </tp>
      <tp t="s">
        <v>#N/A Requesting Data...3673298583</v>
        <stp/>
        <stp>BDP|13856097133923215720</stp>
        <tr r="O189" s="3"/>
      </tp>
      <tp t="s">
        <v>#N/A Requesting Data...3212251331</v>
        <stp/>
        <stp>BDP|12329638318679869823</stp>
        <tr r="W38" s="4"/>
      </tp>
      <tp t="s">
        <v>#N/A Requesting Data...3514292894</v>
        <stp/>
        <stp>BDP|16180106324250364143</stp>
        <tr r="BF219" s="3"/>
      </tp>
      <tp t="s">
        <v>#N/A N/A</v>
        <stp/>
        <stp>BDP|14575691322267497382</stp>
        <tr r="AV11" s="2"/>
      </tp>
      <tp t="s">
        <v>#N/A Requesting Data...3717145601</v>
        <stp/>
        <stp>BDP|13802296574315126768</stp>
        <tr r="AQ11" s="4"/>
      </tp>
      <tp t="s">
        <v>#N/A N/A</v>
        <stp/>
        <stp>BDP|10267887402558221488</stp>
        <tr r="K79" s="2"/>
      </tp>
      <tp t="s">
        <v>#N/A Requesting Data...3335571320</v>
        <stp/>
        <stp>BDP|15585636933295063177</stp>
        <tr r="BG171" s="3"/>
      </tp>
      <tp t="s">
        <v>#N/A N/A</v>
        <stp/>
        <stp>BDP|13958224940843937209</stp>
        <tr r="V65" s="2"/>
      </tp>
      <tp t="s">
        <v>#N/A Requesting Data...3661612810</v>
        <stp/>
        <stp>BDP|10796348551684512657</stp>
        <tr r="BI74" s="3"/>
      </tp>
      <tp t="s">
        <v>#N/A N/A</v>
        <stp/>
        <stp>BDP|10536211665549282918</stp>
        <tr r="AF36" s="2"/>
      </tp>
      <tp t="s">
        <v>#N/A Requesting Data...4152435882</v>
        <stp/>
        <stp>BDP|12552660197851187872</stp>
        <tr r="AQ249" s="3"/>
      </tp>
      <tp t="s">
        <v>#N/A Requesting Data...3723248532</v>
        <stp/>
        <stp>BDP|15018473590228372461</stp>
        <tr r="O324" s="3"/>
      </tp>
      <tp t="s">
        <v>#N/A Requesting Data...3462063527</v>
        <stp/>
        <stp>BDP|16607713635455401341</stp>
        <tr r="AJ93" s="3"/>
      </tp>
      <tp t="s">
        <v>#N/A Requesting Data...3328838839</v>
        <stp/>
        <stp>BDP|16696193337202372299</stp>
        <tr r="I146" s="3"/>
      </tp>
      <tp t="s">
        <v>#N/A Requesting Data...3570320675</v>
        <stp/>
        <stp>BDP|17342730830607158031</stp>
        <tr r="K3" s="2"/>
        <tr r="F316" s="3"/>
      </tp>
      <tp t="s">
        <v>#N/A Requesting Data...4275406539</v>
        <stp/>
        <stp>BDP|12001641559183669693</stp>
        <tr r="Y227" s="3"/>
      </tp>
      <tp t="s">
        <v>#N/A Requesting Data...3718950878</v>
        <stp/>
        <stp>BDP|16464240206584024445</stp>
        <tr r="K136" s="3"/>
      </tp>
      <tp t="s">
        <v>#N/A Requesting Data...4214228766</v>
        <stp/>
        <stp>BDP|14388229569156358291</stp>
        <tr r="AH90" s="3"/>
      </tp>
      <tp t="s">
        <v>#N/A N/A</v>
        <stp/>
        <stp>BDP|18208859503942139609</stp>
        <tr r="BF12" s="2"/>
      </tp>
      <tp t="s">
        <v>#N/A Requesting Data...4218100666</v>
        <stp/>
        <stp>BDP|10777138255446029640</stp>
        <tr r="K194" s="3"/>
      </tp>
      <tp t="s">
        <v>#N/A Requesting Data...4219419098</v>
        <stp/>
        <stp>BDP|13607309844620151062</stp>
        <tr r="Q303" s="3"/>
      </tp>
      <tp t="s">
        <v>#N/A Requesting Data...3360305356</v>
        <stp/>
        <stp>BDP|17720019063133519653</stp>
        <tr r="AH25" s="4"/>
      </tp>
      <tp t="s">
        <v>#N/A N/A</v>
        <stp/>
        <stp>BDP|16442688146244680499</stp>
        <tr r="AX11" s="2"/>
      </tp>
      <tp t="s">
        <v>#N/A Requesting Data...3986233656</v>
        <stp/>
        <stp>BDP|10977355979927840781</stp>
        <tr r="BG116" s="3"/>
      </tp>
      <tp t="s">
        <v>#N/A Requesting Data...4289091995</v>
        <stp/>
        <stp>BDP|15062326370063771609</stp>
        <tr r="O37" s="4"/>
      </tp>
      <tp t="s">
        <v>#N/A Requesting Data...3525627374</v>
        <stp/>
        <stp>BDP|16521411499477183892</stp>
        <tr r="Q279" s="3"/>
      </tp>
      <tp t="s">
        <v>#N/A Requesting Data...3802110756</v>
        <stp/>
        <stp>BDP|13576419159613844501</stp>
        <tr r="K208" s="3"/>
      </tp>
      <tp t="s">
        <v>#N/A N/A</v>
        <stp/>
        <stp>BDP|16128553970424807499</stp>
        <tr r="BM62" s="2"/>
      </tp>
      <tp t="s">
        <v>#N/A N/A</v>
        <stp/>
        <stp>BDP|14181039263313553514</stp>
        <tr r="BN70" s="2"/>
      </tp>
      <tp t="s">
        <v>#N/A Requesting Data...3546046852</v>
        <stp/>
        <stp>BDP|12738029377791370048</stp>
        <tr r="AZ235" s="3"/>
      </tp>
      <tp t="s">
        <v>#N/A Requesting Data...3683995159</v>
        <stp/>
        <stp>BDP|17962410075663858304</stp>
        <tr r="AQ35" s="4"/>
      </tp>
      <tp t="s">
        <v>#N/A Requesting Data...3380712184</v>
        <stp/>
        <stp>BDP|15199718491048167757</stp>
        <tr r="Y53" s="4"/>
      </tp>
      <tp t="s">
        <v>#N/A Requesting Data...3869661994</v>
        <stp/>
        <stp>BDP|14615112334601441321</stp>
        <tr r="I60" s="4"/>
      </tp>
      <tp t="s">
        <v>#N/A Requesting Data...3765838990</v>
        <stp/>
        <stp>BDP|15544589896289965479</stp>
        <tr r="AZ253" s="3"/>
      </tp>
      <tp t="s">
        <v>#N/A Requesting Data...4206836011</v>
        <stp/>
        <stp>BDP|16518282179233266430</stp>
        <tr r="AZ29" s="3"/>
      </tp>
      <tp t="s">
        <v>#N/A N/A</v>
        <stp/>
        <stp>BDP|15453376020024621406</stp>
        <tr r="AO11" s="2"/>
      </tp>
      <tp t="s">
        <v>#N/A Requesting Data...3594145092</v>
        <stp/>
        <stp>BDP|11217144894918493533</stp>
        <tr r="F207" s="3"/>
      </tp>
      <tp t="s">
        <v>#N/A Requesting Data...4222454314</v>
        <stp/>
        <stp>BDP|17720013074161509526</stp>
        <tr r="Y61" s="3"/>
      </tp>
      <tp t="s">
        <v>#N/A Requesting Data...3943284505</v>
        <stp/>
        <stp>BDP|16734501272445843584</stp>
        <tr r="AJ44" s="3"/>
      </tp>
      <tp t="s">
        <v>#N/A Requesting Data...3731729229</v>
        <stp/>
        <stp>BDP|12076001691026562915</stp>
        <tr r="AH328" s="3"/>
      </tp>
      <tp t="s">
        <v>#N/A N/A</v>
        <stp/>
        <stp>BDP|14774618373489880887</stp>
        <tr r="AV79" s="2"/>
      </tp>
      <tp t="s">
        <v>#N/A Requesting Data...3718536489</v>
        <stp/>
        <stp>BDP|17682407787486730927</stp>
        <tr r="AH260" s="3"/>
      </tp>
      <tp t="s">
        <v>#N/A N/A</v>
        <stp/>
        <stp>BDP|11521761123879238966</stp>
        <tr r="V78" s="2"/>
      </tp>
      <tp t="s">
        <v>#N/A Requesting Data...3522569221</v>
        <stp/>
        <stp>BDP|16386553953657511540</stp>
        <tr r="AZ56" s="3"/>
      </tp>
      <tp t="s">
        <v>#N/A Requesting Data...4242333443</v>
        <stp/>
        <stp>BDP|16170484429322182654</stp>
        <tr r="BA200" s="3"/>
      </tp>
      <tp t="s">
        <v>#N/A Requesting Data...4241663190</v>
        <stp/>
        <stp>BDP|14911908389342219368</stp>
        <tr r="AQ130" s="3"/>
      </tp>
      <tp t="s">
        <v>#N/A Requesting Data...4194727352</v>
        <stp/>
        <stp>BDP|10591069944755408575</stp>
        <tr r="BG104" s="3"/>
      </tp>
      <tp t="s">
        <v>#N/A Requesting Data...4235698213</v>
        <stp/>
        <stp>BDP|17808274300785847436</stp>
        <tr r="AO2" s="2"/>
        <tr r="AH2" s="4"/>
        <tr r="AJ2" s="3"/>
      </tp>
      <tp t="s">
        <v>#N/A Requesting Data...3653527316</v>
        <stp/>
        <stp>BDP|11053076379362243084</stp>
        <tr r="P16" s="2"/>
        <tr r="I8" s="4"/>
      </tp>
      <tp t="s">
        <v>#N/A N/A</v>
        <stp/>
        <stp>BDP|16834147619996785462</stp>
        <tr r="AV56" s="2"/>
      </tp>
      <tp t="s">
        <v>#N/A Requesting Data...3634192441</v>
        <stp/>
        <stp>BDP|11164001122844610319</stp>
        <tr r="AH332" s="3"/>
      </tp>
      <tp t="s">
        <v>#N/A N/A</v>
        <stp/>
        <stp>BDP|16695943216172540859</stp>
        <tr r="AD21" s="2"/>
      </tp>
      <tp t="s">
        <v>#N/A Requesting Data...3844137692</v>
        <stp/>
        <stp>BDP|15079780617190918722</stp>
        <tr r="K334" s="3"/>
      </tp>
      <tp t="s">
        <v>#N/A N/A</v>
        <stp/>
        <stp>BDP|16766987596381808357</stp>
        <tr r="BE49" s="2"/>
      </tp>
      <tp t="s">
        <v>#N/A Requesting Data...3919934135</v>
        <stp/>
        <stp>BDP|14074609310535271268</stp>
        <tr r="I141" s="3"/>
      </tp>
      <tp t="s">
        <v>#N/A Requesting Data...3841603448</v>
        <stp/>
        <stp>BDP|10004793651392418485</stp>
        <tr r="Q152" s="3"/>
      </tp>
      <tp t="s">
        <v>#N/A Requesting Data...3975872715</v>
        <stp/>
        <stp>BDP|16318708101186218373</stp>
        <tr r="Q317" s="3"/>
      </tp>
      <tp t="s">
        <v>#N/A Requesting Data...4046878787</v>
        <stp/>
        <stp>BDP|12053233324205390337</stp>
        <tr r="Q220" s="3"/>
      </tp>
      <tp t="s">
        <v>#N/A Requesting Data...3938027071</v>
        <stp/>
        <stp>BDP|13508105478010841128</stp>
        <tr r="BA328" s="3"/>
      </tp>
      <tp t="s">
        <v>#N/A Requesting Data...4241469116</v>
        <stp/>
        <stp>BDP|17709030526179312869</stp>
        <tr r="AM71" s="2"/>
        <tr r="AF36" s="4"/>
      </tp>
      <tp t="s">
        <v>#N/A N/A</v>
        <stp/>
        <stp>BDP|14340128962125567213</stp>
        <tr r="V69" s="2"/>
      </tp>
      <tp t="s">
        <v>#N/A Requesting Data...4096723490</v>
        <stp/>
        <stp>BDP|15260948389620123092</stp>
        <tr r="Y310" s="3"/>
      </tp>
      <tp t="s">
        <v>#N/A N/A</v>
        <stp/>
        <stp>BDP|15511508177371649231</stp>
        <tr r="AX45" s="2"/>
      </tp>
      <tp t="s">
        <v>#N/A N/A</v>
        <stp/>
        <stp>BDP|16371007233405581422</stp>
        <tr r="BK97" s="2"/>
      </tp>
      <tp t="s">
        <v>#N/A Requesting Data...3643103702</v>
        <stp/>
        <stp>BDP|16752580072406895624</stp>
        <tr r="AJ7" s="3"/>
      </tp>
      <tp t="s">
        <v>#N/A N/A</v>
        <stp/>
        <stp>BDP|12722508156027041162</stp>
        <tr r="K43" s="2"/>
      </tp>
      <tp t="s">
        <v>#N/A N/A</v>
        <stp/>
        <stp>BDP|10865567326601859270</stp>
        <tr r="BL29" s="2"/>
      </tp>
      <tp t="s">
        <v>#N/A Requesting Data...4139568596</v>
        <stp/>
        <stp>BDP|10056122974174720665</stp>
        <tr r="O31" s="3"/>
      </tp>
      <tp t="s">
        <v>#N/A Requesting Data...4291176843</v>
        <stp/>
        <stp>BDP|13710532117166010542</stp>
        <tr r="BF330" s="3"/>
      </tp>
      <tp t="s">
        <v>#N/A Requesting Data...3633923692</v>
        <stp/>
        <stp>BDP|11035358365259392941</stp>
        <tr r="AH65" s="3"/>
      </tp>
      <tp t="s">
        <v>#N/A Requesting Data...3981398042</v>
        <stp/>
        <stp>BDP|16520612246002781229</stp>
        <tr r="Q4" s="3"/>
      </tp>
      <tp t="s">
        <v>#N/A Requesting Data...3781262173</v>
        <stp/>
        <stp>BDP|17953895930671544924</stp>
        <tr r="AJ140" s="3"/>
      </tp>
      <tp t="s">
        <v>#N/A Requesting Data...3704451096</v>
        <stp/>
        <stp>BDP|16034407675603305217</stp>
        <tr r="AX12" s="4"/>
      </tp>
      <tp t="s">
        <v>#N/A Requesting Data...4031082791</v>
        <stp/>
        <stp>BDP|14954598854944229413</stp>
        <tr r="AA133" s="3"/>
      </tp>
      <tp t="s">
        <v>#N/A Requesting Data...3779103422</v>
        <stp/>
        <stp>BDP|12029015911217263048</stp>
        <tr r="AH82" s="3"/>
      </tp>
      <tp t="s">
        <v>#N/A Requesting Data...4271231612</v>
        <stp/>
        <stp>BDP|14729294618880570353</stp>
        <tr r="BF251" s="3"/>
      </tp>
      <tp t="s">
        <v>#N/A Requesting Data...4112401697</v>
        <stp/>
        <stp>BDP|17717046396448397200</stp>
        <tr r="BI270" s="3"/>
      </tp>
      <tp t="s">
        <v>#N/A Requesting Data...3645326856</v>
        <stp/>
        <stp>BDP|16906655026684521298</stp>
        <tr r="BH262" s="3"/>
      </tp>
      <tp t="s">
        <v>#N/A Requesting Data...3682160441</v>
        <stp/>
        <stp>BDP|16867703078580272249</stp>
        <tr r="D48" s="4"/>
      </tp>
      <tp t="s">
        <v>#N/A Requesting Data...4069654126</v>
        <stp/>
        <stp>BDP|10375783075413188796</stp>
        <tr r="AA145" s="3"/>
      </tp>
      <tp t="s">
        <v>#N/A Requesting Data...4091450270</v>
        <stp/>
        <stp>BDP|12966084444713586160</stp>
        <tr r="AS184" s="3"/>
      </tp>
      <tp t="s">
        <v>#N/A Requesting Data...3820005046</v>
        <stp/>
        <stp>BDP|15652506982938011429</stp>
        <tr r="BI167" s="3"/>
      </tp>
      <tp t="s">
        <v>#N/A Requesting Data...3936983066</v>
        <stp/>
        <stp>BDP|17424526570140677160</stp>
        <tr r="BF51" s="3"/>
      </tp>
      <tp t="s">
        <v>#N/A Requesting Data...4218438877</v>
        <stp/>
        <stp>BDP|18219123034217100931</stp>
        <tr r="BA151" s="3"/>
      </tp>
      <tp t="s">
        <v>#N/A N/A</v>
        <stp/>
        <stp>BDP|10765216922292067625</stp>
        <tr r="BL83" s="2"/>
      </tp>
      <tp t="s">
        <v>#N/A Requesting Data...3772912471</v>
        <stp/>
        <stp>BDP|14206398848540497714</stp>
        <tr r="M38" s="4"/>
      </tp>
      <tp t="s">
        <v>#N/A Requesting Data...4239642826</v>
        <stp/>
        <stp>BDP|11558367482609151766</stp>
        <tr r="F227" s="3"/>
      </tp>
      <tp t="s">
        <v>#N/A N/A</v>
        <stp/>
        <stp>BDP|17784760235256093125</stp>
        <tr r="BL51" s="2"/>
      </tp>
      <tp t="s">
        <v>#N/A Requesting Data...4278591611</v>
        <stp/>
        <stp>BDP|17407827351828328628</stp>
        <tr r="W26" s="4"/>
        <tr r="Y197" s="3"/>
      </tp>
      <tp t="s">
        <v>#N/A Requesting Data...4113066087</v>
        <stp/>
        <stp>BDP|10548941832037579907</stp>
        <tr r="AZ269" s="3"/>
      </tp>
      <tp t="s">
        <v>#N/A Requesting Data...4148931238</v>
        <stp/>
        <stp>BDP|18064741552006606862</stp>
        <tr r="BA250" s="3"/>
      </tp>
      <tp t="s">
        <v>#N/A Requesting Data...3751464641</v>
        <stp/>
        <stp>BDP|12631303605874541109</stp>
        <tr r="BA146" s="3"/>
      </tp>
      <tp t="s">
        <v>#N/A Requesting Data...4143492278</v>
        <stp/>
        <stp>BDP|11048011531473109574</stp>
        <tr r="K322" s="3"/>
      </tp>
      <tp t="s">
        <v>#N/A Requesting Data...3767296052</v>
        <stp/>
        <stp>BDP|18092156226807019852</stp>
        <tr r="I5" s="3"/>
      </tp>
      <tp t="s">
        <v>#N/A Requesting Data...3871545796</v>
        <stp/>
        <stp>BDP|17367033704645377610</stp>
        <tr r="O174" s="3"/>
      </tp>
      <tp t="s">
        <v>#N/A N/A</v>
        <stp/>
        <stp>BDP|17634591441847339442</stp>
        <tr r="BM20" s="2"/>
      </tp>
      <tp t="s">
        <v>#N/A Requesting Data...3760671865</v>
        <stp/>
        <stp>BDP|16628744692974023996</stp>
        <tr r="BF353" s="3"/>
      </tp>
      <tp t="s">
        <v>#N/A Requesting Data...4135622899</v>
        <stp/>
        <stp>BDP|12850061032864623034</stp>
        <tr r="BF143" s="3"/>
      </tp>
      <tp t="s">
        <v>#N/A Requesting Data...4115721180</v>
        <stp/>
        <stp>BDP|13685424866500938422</stp>
        <tr r="BH165" s="3"/>
      </tp>
      <tp t="s">
        <v>#N/A Requesting Data...4114136618</v>
        <stp/>
        <stp>BDP|12073577706212831009</stp>
        <tr r="AS303" s="3"/>
      </tp>
      <tp t="s">
        <v>#N/A Requesting Data...4238410046</v>
        <stp/>
        <stp>BDP|17549272275557947078</stp>
        <tr r="BG324" s="3"/>
      </tp>
      <tp t="s">
        <v>#N/A Requesting Data...3764600871</v>
        <stp/>
        <stp>BDP|11171995625098348779</stp>
        <tr r="AA170" s="3"/>
      </tp>
      <tp t="s">
        <v>#N/A N/A</v>
        <stp/>
        <stp>BDP|16833181878845164001</stp>
        <tr r="AM30" s="2"/>
      </tp>
      <tp t="s">
        <v>#N/A N/A</v>
        <stp/>
        <stp>BDP|16280979552156795995</stp>
        <tr r="BE61" s="2"/>
      </tp>
      <tp t="s">
        <v>#N/A N/A</v>
        <stp/>
        <stp>BDP|13899442851447150059</stp>
        <tr r="AX64" s="2"/>
      </tp>
      <tp t="s">
        <v>#N/A Requesting Data...4056929638</v>
        <stp/>
        <stp>BDP|11801610970043417641</stp>
        <tr r="AH85" s="3"/>
      </tp>
      <tp t="s">
        <v>#N/A Requesting Data...4041590611</v>
        <stp/>
        <stp>BDP|18028090894335486109</stp>
        <tr r="Q291" s="3"/>
      </tp>
      <tp t="s">
        <v>#N/A Requesting Data...4014726581</v>
        <stp/>
        <stp>BDP|17916818785371049349</stp>
        <tr r="O16" s="4"/>
      </tp>
      <tp t="s">
        <v>#N/A Requesting Data...4286617597</v>
        <stp/>
        <stp>BDP|11074026668546410473</stp>
        <tr r="O45" s="4"/>
      </tp>
      <tp t="s">
        <v>#N/A Requesting Data...4088723260</v>
        <stp/>
        <stp>BDP|16543830611439922377</stp>
        <tr r="AH252" s="3"/>
      </tp>
      <tp t="s">
        <v>#N/A N/A</v>
        <stp/>
        <stp>BDP|15811394619153890198</stp>
        <tr r="N14" s="2"/>
      </tp>
      <tp t="s">
        <v>#N/A Requesting Data...4078620694</v>
        <stp/>
        <stp>BDP|15853573713452638635</stp>
        <tr r="BG45" s="3"/>
      </tp>
      <tp t="s">
        <v>#N/A Requesting Data...4119528819</v>
        <stp/>
        <stp>BDP|11631440537877593488</stp>
        <tr r="BH50" s="3"/>
      </tp>
      <tp t="s">
        <v>#N/A Requesting Data...4258001838</v>
        <stp/>
        <stp>BDP|13076542333488801878</stp>
        <tr r="AJ27" s="3"/>
      </tp>
      <tp t="s">
        <v>#N/A Requesting Data...4236880932</v>
        <stp/>
        <stp>BDP|11326186172990671273</stp>
        <tr r="AJ35" s="3"/>
      </tp>
      <tp t="s">
        <v>#N/A Requesting Data...3993079644</v>
        <stp/>
        <stp>BDP|16731305790721885871</stp>
        <tr r="BH189" s="3"/>
      </tp>
      <tp t="s">
        <v>#N/A Requesting Data...4197098380</v>
        <stp/>
        <stp>BDP|11072827080053279789</stp>
        <tr r="AZ20" s="3"/>
      </tp>
      <tp t="s">
        <v>#N/A Requesting Data...4030941034</v>
        <stp/>
        <stp>BDP|13672513353174996252</stp>
        <tr r="BF225" s="3"/>
      </tp>
      <tp t="s">
        <v>#N/A Requesting Data...4067886348</v>
        <stp/>
        <stp>BDP|14176938558539310415</stp>
        <tr r="AH23" s="4"/>
      </tp>
      <tp t="s">
        <v>#N/A Requesting Data...3917767608</v>
        <stp/>
        <stp>BDP|13868438702426931484</stp>
        <tr r="AJ266" s="3"/>
      </tp>
      <tp t="s">
        <v>#N/A Requesting Data...4030239080</v>
        <stp/>
        <stp>BDP|16693045248214720350</stp>
        <tr r="BA180" s="3"/>
      </tp>
      <tp t="s">
        <v>#N/A N/A</v>
        <stp/>
        <stp>BDP|14854360203532470014</stp>
        <tr r="BG77" s="2"/>
      </tp>
      <tp t="s">
        <v>#N/A Requesting Data...3926005833</v>
        <stp/>
        <stp>BDP|12593478660575339095</stp>
        <tr r="AH4" s="3"/>
      </tp>
      <tp t="s">
        <v>#N/A Requesting Data...4139855785</v>
        <stp/>
        <stp>BDP|15616083987459550141</stp>
        <tr r="AS306" s="3"/>
      </tp>
      <tp t="s">
        <v>#N/A Requesting Data...4086319801</v>
        <stp/>
        <stp>BDP|13906054188776577896</stp>
        <tr r="BI314" s="3"/>
      </tp>
      <tp t="s">
        <v>#N/A Requesting Data...4037403009</v>
        <stp/>
        <stp>BDP|14092497323750707758</stp>
        <tr r="AZ92" s="3"/>
      </tp>
      <tp t="s">
        <v>#N/A Requesting Data...3986801172</v>
        <stp/>
        <stp>BDP|17261692844044725402</stp>
        <tr r="BA139" s="3"/>
      </tp>
      <tp t="s">
        <v>#N/A Requesting Data...3956760160</v>
        <stp/>
        <stp>BDP|13242036459443521050</stp>
        <tr r="F97" s="3"/>
      </tp>
      <tp t="s">
        <v>#N/A Requesting Data...4235919781</v>
        <stp/>
        <stp>BDP|17510054511971227284</stp>
        <tr r="AQ27" s="4"/>
      </tp>
      <tp t="s">
        <v>#N/A Requesting Data...3965582174</v>
        <stp/>
        <stp>BDP|15734362079756280214</stp>
        <tr r="I322" s="3"/>
      </tp>
      <tp t="s">
        <v>#N/A Requesting Data...4047972509</v>
        <stp/>
        <stp>BDP|12667499338441865144</stp>
        <tr r="BF94" s="3"/>
      </tp>
      <tp t="s">
        <v>#N/A Requesting Data...4134141855</v>
        <stp/>
        <stp>BDP|10416890885454543169</stp>
        <tr r="K103" s="3"/>
      </tp>
      <tp t="s">
        <v>#N/A N/A</v>
        <stp/>
        <stp>BDP|18348666793977447591</stp>
        <tr r="BM42" s="2"/>
      </tp>
      <tp t="s">
        <v>#N/A Requesting Data...4025548483</v>
        <stp/>
        <stp>BDP|17909727024471784635</stp>
        <tr r="BB313" s="3"/>
      </tp>
      <tp t="s">
        <v>#N/A Requesting Data...3987362689</v>
        <stp/>
        <stp>BDP|13160142353383981143</stp>
        <tr r="AH207" s="3"/>
      </tp>
      <tp t="s">
        <v>#N/A N/A</v>
        <stp/>
        <stp>BDP|13409630550584954153</stp>
        <tr r="V83" s="2"/>
      </tp>
      <tp t="s">
        <v>#N/A Requesting Data...4031576448</v>
        <stp/>
        <stp>BDP|17215144708021753223</stp>
        <tr r="BF145" s="3"/>
      </tp>
      <tp t="s">
        <v>#N/A Requesting Data...4069843672</v>
        <stp/>
        <stp>BDP|11980458093049733034</stp>
        <tr r="BF44" s="3"/>
      </tp>
      <tp t="s">
        <v>#N/A Requesting Data...4277159807</v>
        <stp/>
        <stp>BDP|15349861228528217244</stp>
        <tr r="BH186" s="3"/>
      </tp>
      <tp t="s">
        <v>#N/A N/A</v>
        <stp/>
        <stp>BDP|15955178179985898348</stp>
        <tr r="AF61" s="2"/>
      </tp>
      <tp t="s">
        <v>#N/A N/A</v>
        <stp/>
        <stp>BDP|16765483225224545146</stp>
        <tr r="BF29" s="2"/>
      </tp>
      <tp t="s">
        <v>#N/A Requesting Data...4156315293</v>
        <stp/>
        <stp>BDP|10117314153055141695</stp>
        <tr r="AA25" s="3"/>
      </tp>
      <tp t="s">
        <v>#N/A Requesting Data...4201810474</v>
        <stp/>
        <stp>BDP|11706336550803975171</stp>
        <tr r="V3" s="2"/>
        <tr r="Q316" s="3"/>
      </tp>
      <tp t="s">
        <v>#N/A Requesting Data...4102736729</v>
        <stp/>
        <stp>BDP|15715897364766201829</stp>
        <tr r="K124" s="3"/>
      </tp>
      <tp t="s">
        <v>#N/A Requesting Data...4072071105</v>
        <stp/>
        <stp>BDP|15243790792878126621</stp>
        <tr r="W40" s="4"/>
      </tp>
      <tp t="s">
        <v>#N/A Requesting Data...4223289737</v>
        <stp/>
        <stp>BDP|10223583854953520616</stp>
        <tr r="K82" s="3"/>
      </tp>
      <tp t="s">
        <v>#N/A Requesting Data...4225194887</v>
        <stp/>
        <stp>BDP|18397107979503087801</stp>
        <tr r="AQ202" s="3"/>
      </tp>
      <tp t="s">
        <v>#N/A Requesting Data...4288047375</v>
        <stp/>
        <stp>BDP|12371808866060783981</stp>
        <tr r="BG230" s="3"/>
      </tp>
      <tp t="s">
        <v>#N/A Requesting Data...4119948126</v>
        <stp/>
        <stp>BDP|15039732191466075884</stp>
        <tr r="Q184" s="3"/>
      </tp>
      <tp t="s">
        <v>#N/A Requesting Data...4235303026</v>
        <stp/>
        <stp>BDP|14444443739276277014</stp>
        <tr r="Y127" s="3"/>
      </tp>
      <tp t="s">
        <v>#N/A N/A</v>
        <stp/>
        <stp>BDP|12515731010978858949</stp>
        <tr r="AD15" s="2"/>
      </tp>
      <tp t="s">
        <v>#N/A Requesting Data...4290113182</v>
        <stp/>
        <stp>BDP|16726681666236145520</stp>
        <tr r="K302" s="3"/>
      </tp>
      <tp t="s">
        <v>#N/A Requesting Data...4250068165</v>
        <stp/>
        <stp>BDP|12971454450893551544</stp>
        <tr r="BB335" s="3"/>
      </tp>
      <tp t="s">
        <v>#N/A Requesting Data...4278212903</v>
        <stp/>
        <stp>BDP|17040404920472494697</stp>
        <tr r="D51" s="4"/>
      </tp>
      <tp t="s">
        <v>#N/A Requesting Data...4204940248</v>
        <stp/>
        <stp>BDP|14673928869479222721</stp>
        <tr r="M58" s="4"/>
      </tp>
      <tp t="s">
        <v>#N/A Requesting Data...4215188936</v>
        <stp/>
        <stp>BDP|13110638408267563725</stp>
        <tr r="BH67" s="3"/>
      </tp>
      <tp t="s">
        <v>#N/A N/A</v>
        <stp/>
        <stp>BDP|17687725737641971773</stp>
        <tr r="AX18" s="2"/>
      </tp>
      <tp t="s">
        <v>#N/A Requesting Data...4206841529</v>
        <stp/>
        <stp>BDP|11499521879083067520</stp>
        <tr r="AA100" s="3"/>
      </tp>
      <tp t="s">
        <v>#N/A Requesting Data...4262197807</v>
        <stp/>
        <stp>BDP|12728020233971901528</stp>
        <tr r="BF31" s="3"/>
      </tp>
      <tp t="s">
        <v>#N/A Requesting Data...4272187665</v>
        <stp/>
        <stp>BDP|11217989804898245516</stp>
        <tr r="BI228" s="3"/>
      </tp>
      <tp t="s">
        <v>#N/A Requesting Data...4246896259</v>
        <stp/>
        <stp>BDP|17556445984708923614</stp>
        <tr r="AQ43" s="4"/>
      </tp>
      <tp t="s">
        <v>#N/A Requesting Data...4229294533</v>
        <stp/>
        <stp>BDP|14845621238657778384</stp>
        <tr r="K270" s="3"/>
      </tp>
      <tp t="s">
        <v>#N/A Requesting Data...4249358139</v>
        <stp/>
        <stp>BDP|15950917830799306365</stp>
        <tr r="AQ260" s="3"/>
      </tp>
      <tp t="s">
        <v>#N/A Requesting Data...4257059994</v>
        <stp/>
        <stp>BDP|10076894661218547302</stp>
        <tr r="BG231" s="3"/>
      </tp>
      <tp t="s">
        <v>#N/A Requesting Data...4236634823</v>
        <stp/>
        <stp>BDP|13975164686619774635</stp>
        <tr r="BB95" s="3"/>
      </tp>
      <tp t="s">
        <v>#N/A Requesting Data...4213048965</v>
        <stp/>
        <stp>BDP|11731727154935592393</stp>
        <tr r="AJ172" s="3"/>
      </tp>
      <tp t="s">
        <v>#N/A Requesting Data...4250259226</v>
        <stp/>
        <stp>BDP|12805020945383742051</stp>
        <tr r="Y54" s="4"/>
      </tp>
      <tp t="s">
        <v>#N/A Requesting Data...4232342130</v>
        <stp/>
        <stp>BDP|11208171075410811250</stp>
        <tr r="F82" s="3"/>
      </tp>
      <tp t="s">
        <v>#N/A Requesting Data...4231451560</v>
        <stp/>
        <stp>BDP|14979471923872056511</stp>
        <tr r="G54" s="4"/>
      </tp>
      <tp t="s">
        <v>#N/A Requesting Data...4224012155</v>
        <stp/>
        <stp>BDP|17151135371020691493</stp>
        <tr r="AS196" s="3"/>
      </tp>
      <tp t="s">
        <v>#N/A Requesting Data...4284662677</v>
        <stp/>
        <stp>BDP|10739233148576696565</stp>
        <tr r="AS97" s="3"/>
      </tp>
      <tp t="s">
        <v>#N/A Requesting Data...4251627115</v>
        <stp/>
        <stp>BDP|15727091902026225628</stp>
        <tr r="I32" s="4"/>
      </tp>
      <tp t="s">
        <v>#N/A Requesting Data...4250813087</v>
        <stp/>
        <stp>BDP|11490737922621914001</stp>
        <tr r="G10" s="4"/>
      </tp>
      <tp t="s">
        <v>#N/A N/A</v>
        <stp/>
        <stp>BDP|11589147353238941876</stp>
        <tr r="BM40" s="2"/>
      </tp>
      <tp t="s">
        <v>#N/A N/A</v>
        <stp/>
        <stp>BDP|17409318618414439451</stp>
        <tr r="AM53" s="2"/>
      </tp>
      <tp t="s">
        <v>#N/A Requesting Data...4273392945</v>
        <stp/>
        <stp>BDP|10998846408629150480</stp>
        <tr r="AZ91" s="3"/>
      </tp>
      <tp t="s">
        <v>#N/A Requesting Data...4274104618</v>
        <stp/>
        <stp>BDP|13877051972523774248</stp>
        <tr r="BI68" s="3"/>
      </tp>
      <tp t="s">
        <v>#N/A Requesting Data...4268294075</v>
        <stp/>
        <stp>BDP|12344285540218042974</stp>
        <tr r="BG223" s="3"/>
      </tp>
      <tp t="s">
        <v>#N/A N/A</v>
        <stp/>
        <stp>BDP|10826626439088954863</stp>
        <tr r="T82" s="2"/>
      </tp>
      <tp t="s">
        <v>#N/A Requesting Data...4269355452</v>
        <stp/>
        <stp>BDP|14146286460322122741</stp>
        <tr r="AF52" s="4"/>
      </tp>
      <tp t="s">
        <v>#N/A N/A</v>
        <stp/>
        <stp>BDP|12269191530193146665</stp>
        <tr r="AV41" s="2"/>
      </tp>
      <tp t="s">
        <v>#N/A Requesting Data...3421572039</v>
        <stp/>
        <stp>BDP|14377344645237768192</stp>
        <tr r="BB132" s="3"/>
      </tp>
      <tp t="s">
        <v>#N/A Requesting Data...1751062536</v>
        <stp/>
        <stp>BDP|12535001016343771583</stp>
        <tr r="BH240" s="3"/>
      </tp>
      <tp t="s">
        <v>#N/A Requesting Data...88848305</v>
        <stp/>
        <stp>BDP|16875232842981484410</stp>
        <tr r="K207" s="3"/>
      </tp>
      <tp t="s">
        <v>#N/A Requesting Data...1026897085</v>
        <stp/>
        <stp>BDP|16785500862172236281</stp>
        <tr r="Q24" s="3"/>
      </tp>
      <tp t="s">
        <v>#N/A N/A</v>
        <stp/>
        <stp>BDP|13550956578089717108</stp>
        <tr r="BK13" s="2"/>
      </tp>
      <tp t="s">
        <v>#N/A Requesting Data...3642833291</v>
        <stp/>
        <stp>BDP|15172446841026887630</stp>
        <tr r="F182" s="3"/>
      </tp>
      <tp t="s">
        <v>#N/A Requesting Data...938628000</v>
        <stp/>
        <stp>BDP|14941520275795722669</stp>
        <tr r="BH234" s="3"/>
      </tp>
      <tp t="s">
        <v>#N/A Requesting Data...1355264158</v>
        <stp/>
        <stp>BDP|13065409708797161566</stp>
        <tr r="AJ28" s="3"/>
      </tp>
      <tp t="s">
        <v>#N/A Requesting Data...2133162984</v>
        <stp/>
        <stp>BDP|12950762163482514460</stp>
        <tr r="BA71" s="3"/>
      </tp>
      <tp t="s">
        <v>#N/A Requesting Data...809358502</v>
        <stp/>
        <stp>BDP|13976307215683635754</stp>
        <tr r="AJ308" s="3"/>
      </tp>
      <tp t="s">
        <v>#N/A N/A</v>
        <stp/>
        <stp>BDP|17939953143367016803</stp>
        <tr r="BK22" s="2"/>
      </tp>
      <tp t="s">
        <v>#N/A N/A</v>
        <stp/>
        <stp>BDP|12415635868366333134</stp>
        <tr r="AO69" s="2"/>
      </tp>
      <tp t="s">
        <v>#N/A Requesting Data...3179475482</v>
        <stp/>
        <stp>BDP|12084787716926634772</stp>
        <tr r="AQ148" s="3"/>
      </tp>
      <tp t="s">
        <v>#N/A Requesting Data...1729804217</v>
        <stp/>
        <stp>BDP|12574086535463707703</stp>
        <tr r="AA101" s="3"/>
      </tp>
      <tp t="s">
        <v>#N/A N/A</v>
        <stp/>
        <stp>BDP|15399180147933157621</stp>
        <tr r="AV28" s="2"/>
      </tp>
      <tp t="s">
        <v>#N/A Requesting Data...648392103</v>
        <stp/>
        <stp>BDP|14233747306884924275</stp>
        <tr r="BA169" s="3"/>
      </tp>
      <tp t="s">
        <v>#N/A Requesting Data...3048869781</v>
        <stp/>
        <stp>BDP|10738496030812618067</stp>
        <tr r="AQ274" s="3"/>
      </tp>
      <tp t="s">
        <v>#N/A Requesting Data...538252507</v>
        <stp/>
        <stp>BDP|12776139382759102792</stp>
        <tr r="AJ153" s="3"/>
      </tp>
      <tp t="s">
        <v>#N/A Requesting Data...1585456825</v>
        <stp/>
        <stp>BDP|13860718694439491179</stp>
        <tr r="AZ231" s="3"/>
      </tp>
      <tp t="s">
        <v>#N/A Requesting Data...3521041475</v>
        <stp/>
        <stp>BDP|13237788225347657477</stp>
        <tr r="K28" s="3"/>
      </tp>
      <tp t="s">
        <v>#N/A Requesting Data...928095411</v>
        <stp/>
        <stp>BDP|13446287441897651757</stp>
        <tr r="BB215" s="3"/>
      </tp>
      <tp t="s">
        <v>#N/A Requesting Data...2958673262</v>
        <stp/>
        <stp>BDP|11149308072645409593</stp>
        <tr r="BF61" s="3"/>
      </tp>
      <tp t="s">
        <v>#N/A Requesting Data...3906604594</v>
        <stp/>
        <stp>BDP|13403413590459980227</stp>
        <tr r="BI194" s="3"/>
      </tp>
      <tp t="s">
        <v>#N/A Requesting Data...4291210231</v>
        <stp/>
        <stp>BDP|13539575457667298197</stp>
        <tr r="AS236" s="3"/>
      </tp>
      <tp t="s">
        <v>#N/A Requesting Data...1658030890</v>
        <stp/>
        <stp>BDP|12517727084509985146</stp>
        <tr r="Y141" s="3"/>
      </tp>
      <tp t="s">
        <v>#N/A Requesting Data...4115865672</v>
        <stp/>
        <stp>BDP|11835147880138248502</stp>
        <tr r="BF11" s="3"/>
      </tp>
      <tp t="s">
        <v>#N/A Requesting Data...1749069759</v>
        <stp/>
        <stp>BDP|10410408948730751559</stp>
        <tr r="O55" s="3"/>
      </tp>
      <tp t="s">
        <v>#N/A Requesting Data...2644940622</v>
        <stp/>
        <stp>BDP|17179239038262197154</stp>
        <tr r="I342" s="3"/>
      </tp>
      <tp t="s">
        <v>#N/A N/A</v>
        <stp/>
        <stp>BDP|14532286030780556067</stp>
        <tr r="BM68" s="2"/>
      </tp>
      <tp t="s">
        <v>#N/A Requesting Data...233981231</v>
        <stp/>
        <stp>BDP|17033481735074166124</stp>
        <tr r="Y50" s="4"/>
      </tp>
      <tp t="s">
        <v>#N/A Requesting Data...1810446896</v>
        <stp/>
        <stp>BDP|14041553511390347597</stp>
        <tr r="AQ23" s="4"/>
      </tp>
      <tp t="s">
        <v>#N/A Requesting Data...2688013421</v>
        <stp/>
        <stp>BDP|17208340232082208087</stp>
        <tr r="AJ206" s="3"/>
      </tp>
      <tp t="s">
        <v>#N/A Requesting Data...741686589</v>
        <stp/>
        <stp>BDP|16428033309151717274</stp>
        <tr r="I238" s="3"/>
      </tp>
      <tp t="s">
        <v>#N/A Requesting Data...1539143432</v>
        <stp/>
        <stp>BDP|17956786564630833332</stp>
        <tr r="AH212" s="3"/>
      </tp>
      <tp t="s">
        <v>#N/A Requesting Data...4202859553</v>
        <stp/>
        <stp>BDP|15440309841347429007</stp>
        <tr r="G19" s="4"/>
      </tp>
      <tp t="s">
        <v>#N/A Requesting Data...4183056139</v>
        <stp/>
        <stp>BDP|18235970531807316061</stp>
        <tr r="AH205" s="3"/>
      </tp>
      <tp t="s">
        <v>#N/A Requesting Data...297621475</v>
        <stp/>
        <stp>BDP|14915423857312881250</stp>
        <tr r="BI5" s="3"/>
      </tp>
      <tp t="s">
        <v>#N/A Requesting Data...2193707802</v>
        <stp/>
        <stp>BDP|17529669789155305982</stp>
        <tr r="AX32" s="4"/>
      </tp>
      <tp t="s">
        <v>#N/A Requesting Data...1130003797</v>
        <stp/>
        <stp>BDP|17759405082897453905</stp>
        <tr r="K205" s="3"/>
      </tp>
      <tp t="s">
        <v>#N/A Requesting Data...4036756352</v>
        <stp/>
        <stp>BDP|10040222939873893728</stp>
        <tr r="Q49" s="3"/>
      </tp>
      <tp t="s">
        <v>#N/A Requesting Data...2582614249</v>
        <stp/>
        <stp>BDP|15114954185861867084</stp>
        <tr r="O22" s="4"/>
      </tp>
      <tp t="s">
        <v>#N/A Requesting Data...3998755977</v>
        <stp/>
        <stp>BDP|15280160402751591028</stp>
        <tr r="O129" s="3"/>
      </tp>
      <tp t="s">
        <v>#N/A Requesting Data...2547200602</v>
        <stp/>
        <stp>BDP|14500536753931118053</stp>
        <tr r="BG287" s="3"/>
      </tp>
      <tp t="s">
        <v>#N/A Requesting Data...987417558</v>
        <stp/>
        <stp>BDP|17806828530411241895</stp>
        <tr r="Y35" s="4"/>
      </tp>
      <tp t="s">
        <v>#N/A Requesting Data...3496049515</v>
        <stp/>
        <stp>BDP|10460542310216622778</stp>
        <tr r="Q23" s="3"/>
      </tp>
      <tp t="s">
        <v>#N/A N/A</v>
        <stp/>
        <stp>BDP|11929575723935952659</stp>
        <tr r="AD41" s="2"/>
      </tp>
      <tp t="s">
        <v>#N/A Requesting Data...1630451473</v>
        <stp/>
        <stp>BDP|15823241661641503594</stp>
        <tr r="BA150" s="3"/>
      </tp>
      <tp t="s">
        <v>#N/A Requesting Data...1802252026</v>
        <stp/>
        <stp>BDP|16110262454980090423</stp>
        <tr r="Q331" s="3"/>
      </tp>
      <tp t="s">
        <v>#N/A Requesting Data...3659098518</v>
        <stp/>
        <stp>BDP|11164093772997353489</stp>
        <tr r="BI336" s="3"/>
      </tp>
      <tp t="s">
        <v>#N/A Requesting Data...3469694625</v>
        <stp/>
        <stp>BDP|14870482879594076687</stp>
        <tr r="AO18" s="4"/>
      </tp>
      <tp t="s">
        <v>#N/A Requesting Data...1829172929</v>
        <stp/>
        <stp>BDP|13194339695674373851</stp>
        <tr r="BF138" s="3"/>
      </tp>
      <tp t="s">
        <v>#N/A Requesting Data...1403228274</v>
        <stp/>
        <stp>BDP|10733733056921190620</stp>
        <tr r="D21" s="4"/>
      </tp>
      <tp t="s">
        <v>#N/A Requesting Data...1787447184</v>
        <stp/>
        <stp>BDP|15441358844865436200</stp>
        <tr r="AH239" s="3"/>
      </tp>
      <tp t="s">
        <v>#N/A Requesting Data...3841828993</v>
        <stp/>
        <stp>BDP|15360851092122219370</stp>
        <tr r="BA238" s="3"/>
      </tp>
      <tp t="s">
        <v>#N/A Requesting Data...2012750561</v>
        <stp/>
        <stp>BDP|15410227957104182318</stp>
        <tr r="BA155" s="3"/>
      </tp>
      <tp t="s">
        <v>#N/A Requesting Data...3685132309</v>
        <stp/>
        <stp>BDP|12092559181708606233</stp>
        <tr r="Q297" s="3"/>
      </tp>
      <tp t="s">
        <v>#N/A N/A</v>
        <stp/>
        <stp>BDP|18277003101384739950</stp>
        <tr r="N31" s="2"/>
      </tp>
      <tp t="s">
        <v>#N/A Requesting Data...2884154863</v>
        <stp/>
        <stp>BDP|13594366475202582021</stp>
        <tr r="BH336" s="3"/>
      </tp>
      <tp t="s">
        <v>#N/A Requesting Data...3791823149</v>
        <stp/>
        <stp>BDP|17207426043886472471</stp>
        <tr r="BH33" s="3"/>
      </tp>
      <tp t="s">
        <v>#N/A N/A</v>
        <stp/>
        <stp>BDP|16693476513082767451</stp>
        <tr r="T69" s="2"/>
      </tp>
      <tp t="s">
        <v>#N/A N/A</v>
        <stp/>
        <stp>BDP|15257000376856555117</stp>
        <tr r="AX43" s="2"/>
      </tp>
      <tp t="s">
        <v>#N/A Requesting Data...1843411557</v>
        <stp/>
        <stp>BDP|13030734613815609561</stp>
        <tr r="K246" s="3"/>
      </tp>
      <tp t="s">
        <v>#N/A Requesting Data...2358959030</v>
        <stp/>
        <stp>BDP|11571327565594227509</stp>
        <tr r="AQ13" s="3"/>
      </tp>
      <tp t="s">
        <v>#N/A Requesting Data...3859446897</v>
        <stp/>
        <stp>BDP|12242864483913010475</stp>
        <tr r="BA279" s="3"/>
      </tp>
      <tp t="s">
        <v>#N/A Requesting Data...1092033373</v>
        <stp/>
        <stp>BDP|14161842687181431065</stp>
        <tr r="BG18" s="3"/>
      </tp>
      <tp t="s">
        <v>#N/A Requesting Data...1196864944</v>
        <stp/>
        <stp>BDP|13638615486469571146</stp>
        <tr r="O249" s="3"/>
      </tp>
      <tp t="s">
        <v>#N/A Requesting Data...1234305646</v>
        <stp/>
        <stp>BDP|12508427719002923074</stp>
        <tr r="AV3" s="2"/>
        <tr r="AQ316" s="3"/>
      </tp>
      <tp t="s">
        <v>#N/A Requesting Data...3039122496</v>
        <stp/>
        <stp>BDP|10604476762232473573</stp>
        <tr r="BH274" s="3"/>
      </tp>
      <tp t="s">
        <v>#N/A Requesting Data...1194173112</v>
        <stp/>
        <stp>BDP|11264018801386798253</stp>
        <tr r="Q158" s="3"/>
      </tp>
      <tp t="s">
        <v>#N/A Requesting Data...2767476100</v>
        <stp/>
        <stp>BDP|12213108123827010317</stp>
        <tr r="Y202" s="3"/>
      </tp>
      <tp t="s">
        <v>#N/A Requesting Data...2309321936</v>
        <stp/>
        <stp>BDP|18413313582751553727</stp>
        <tr r="K35" s="3"/>
      </tp>
      <tp t="s">
        <v>#N/A Requesting Data...3292038794</v>
        <stp/>
        <stp>BDP|10357131660425847781</stp>
        <tr r="BF113" s="3"/>
      </tp>
      <tp t="s">
        <v>#N/A Requesting Data...2010324596</v>
        <stp/>
        <stp>BDP|14003428491435957992</stp>
        <tr r="Q3" s="3"/>
      </tp>
      <tp t="s">
        <v>#N/A Requesting Data...2930401632</v>
        <stp/>
        <stp>BDP|10989014764853887076</stp>
        <tr r="F77" s="3"/>
      </tp>
      <tp t="s">
        <v>#N/A Requesting Data...1823543647</v>
        <stp/>
        <stp>BDP|15359332161993709654</stp>
        <tr r="Y312" s="3"/>
      </tp>
      <tp t="s">
        <v>#N/A N/A</v>
        <stp/>
        <stp>BDP|14917272218580373269</stp>
        <tr r="BL75" s="2"/>
      </tp>
      <tp t="s">
        <v>#N/A Requesting Data...3621188307</v>
        <stp/>
        <stp>BDP|10721770337215518419</stp>
        <tr r="K232" s="3"/>
      </tp>
      <tp t="s">
        <v>#N/A Requesting Data...3302168883</v>
        <stp/>
        <stp>BDP|15712302274987832381</stp>
        <tr r="BH265" s="3"/>
      </tp>
      <tp t="s">
        <v>#N/A N/A</v>
        <stp/>
        <stp>BDP|10707386809993100541</stp>
        <tr r="V95" s="2"/>
      </tp>
      <tp t="s">
        <v>#N/A Requesting Data...3444944595</v>
        <stp/>
        <stp>BDP|10002651121956614717</stp>
        <tr r="F303" s="3"/>
      </tp>
      <tp t="s">
        <v>#N/A Requesting Data...2070991334</v>
        <stp/>
        <stp>BDP|18427472410099099104</stp>
        <tr r="O216" s="3"/>
      </tp>
      <tp t="s">
        <v>#N/A N/A</v>
        <stp/>
        <stp>BDP|14705004756357036328</stp>
        <tr r="P41" s="2"/>
      </tp>
      <tp t="s">
        <v>#N/A Requesting Data...2093741691</v>
        <stp/>
        <stp>BDP|12726807043403405833</stp>
        <tr r="BI129" s="3"/>
      </tp>
      <tp t="s">
        <v>#N/A Requesting Data...3581531179</v>
        <stp/>
        <stp>BDP|11499198858132074266</stp>
        <tr r="AJ212" s="3"/>
      </tp>
      <tp t="s">
        <v>#N/A N/A</v>
        <stp/>
        <stp>BDP|13462856143548439251</stp>
        <tr r="BE66" s="2"/>
      </tp>
      <tp t="s">
        <v>#N/A Requesting Data...3252117399</v>
        <stp/>
        <stp>BDP|15283558676785773757</stp>
        <tr r="BK2" s="2"/>
        <tr r="BF2" s="3"/>
      </tp>
      <tp t="s">
        <v>#N/A Requesting Data...2698316892</v>
        <stp/>
        <stp>BDP|10878710699402616955</stp>
        <tr r="BB339" s="3"/>
      </tp>
      <tp t="s">
        <v>#N/A Requesting Data...3435838818</v>
        <stp/>
        <stp>BDP|11604676354206355156</stp>
        <tr r="AJ61" s="3"/>
      </tp>
      <tp t="s">
        <v>#N/A Requesting Data...4220504780</v>
        <stp/>
        <stp>BDP|12936410666711949446</stp>
        <tr r="AZ10" s="3"/>
      </tp>
      <tp t="s">
        <v>#N/A N/A</v>
        <stp/>
        <stp>BDP|11403316873912701229</stp>
        <tr r="BN46" s="2"/>
      </tp>
      <tp t="s">
        <v>#N/A Requesting Data...2196440572</v>
        <stp/>
        <stp>BDP|11439781608744294759</stp>
        <tr r="F88" s="3"/>
      </tp>
      <tp t="s">
        <v>#N/A Requesting Data...2338140413</v>
        <stp/>
        <stp>BDP|15300734145627714417</stp>
        <tr r="AS246" s="3"/>
      </tp>
      <tp t="s">
        <v>#N/A N/A</v>
        <stp/>
        <stp>BDP|16121607313130171407</stp>
        <tr r="AF31" s="2"/>
      </tp>
      <tp t="s">
        <v>#N/A N/A</v>
        <stp/>
        <stp>BDP|13234470022916036652</stp>
        <tr r="BN99" s="2"/>
      </tp>
      <tp t="s">
        <v>#N/A Requesting Data...2260878208</v>
        <stp/>
        <stp>BDP|16203538670394331502</stp>
        <tr r="AQ47" s="3"/>
      </tp>
      <tp t="s">
        <v>#N/A Requesting Data...2304597072</v>
        <stp/>
        <stp>BDP|11643739127893473248</stp>
        <tr r="AQ65" s="3"/>
      </tp>
      <tp t="s">
        <v>#N/A Requesting Data...3071682067</v>
        <stp/>
        <stp>BDP|16108318334524479720</stp>
        <tr r="BA247" s="3"/>
      </tp>
      <tp t="s">
        <v>#N/A N/A</v>
        <stp/>
        <stp>BDP|10301228641960502378</stp>
        <tr r="BG96" s="2"/>
      </tp>
      <tp t="s">
        <v>#N/A Requesting Data...3763381699</v>
        <stp/>
        <stp>BDP|16916713046528568899</stp>
        <tr r="AA138" s="3"/>
      </tp>
      <tp t="s">
        <v>#N/A Requesting Data...2835491194</v>
        <stp/>
        <stp>BDP|14374774775094491572</stp>
        <tr r="I19" s="4"/>
      </tp>
      <tp t="s">
        <v>#N/A Requesting Data...4037971487</v>
        <stp/>
        <stp>BDP|11510084378156680512</stp>
        <tr r="Q119" s="3"/>
      </tp>
      <tp t="s">
        <v>#N/A Requesting Data...4184197056</v>
        <stp/>
        <stp>BDP|11691251073056002726</stp>
        <tr r="BH134" s="3"/>
      </tp>
      <tp t="s">
        <v>#N/A Requesting Data...3307031209</v>
        <stp/>
        <stp>BDP|10835782629396959629</stp>
        <tr r="Y46" s="4"/>
        <tr r="AA258" s="3"/>
      </tp>
      <tp t="s">
        <v>#N/A Requesting Data...3277296949</v>
        <stp/>
        <stp>BDP|17181859594156449569</stp>
        <tr r="AJ74" s="3"/>
      </tp>
      <tp t="s">
        <v>#N/A Requesting Data...3409755807</v>
        <stp/>
        <stp>BDP|14203737981886607842</stp>
        <tr r="BA88" s="3"/>
      </tp>
      <tp t="s">
        <v>#N/A Requesting Data...3195574560</v>
        <stp/>
        <stp>BDP|11109459045511395509</stp>
        <tr r="BB188" s="3"/>
      </tp>
      <tp t="s">
        <v>#N/A Requesting Data...2452385311</v>
        <stp/>
        <stp>BDP|16692128652422488501</stp>
        <tr r="BH130" s="3"/>
      </tp>
      <tp t="s">
        <v>#N/A Requesting Data...3960323791</v>
        <stp/>
        <stp>BDP|13932184434175683112</stp>
        <tr r="Y57" s="4"/>
      </tp>
      <tp t="s">
        <v>#N/A Requesting Data...2581984800</v>
        <stp/>
        <stp>BDP|16263175253384776334</stp>
        <tr r="AH216" s="3"/>
      </tp>
      <tp t="s">
        <v>#N/A Requesting Data...4233495253</v>
        <stp/>
        <stp>BDP|16289337608587211799</stp>
        <tr r="BH197" s="3"/>
      </tp>
      <tp t="s">
        <v>#N/A N/A</v>
        <stp/>
        <stp>BDP|16158567804172974486</stp>
        <tr r="N46" s="2"/>
      </tp>
      <tp t="s">
        <v>#N/A N/A</v>
        <stp/>
        <stp>BDP|12000173250743659030</stp>
        <tr r="N89" s="2"/>
      </tp>
      <tp t="s">
        <v>#N/A Requesting Data...2402935068</v>
        <stp/>
        <stp>BDP|16239256803739135870</stp>
        <tr r="AA280" s="3"/>
      </tp>
      <tp t="s">
        <v>#N/A N/A</v>
        <stp/>
        <stp>BDP|12807064809455543203</stp>
        <tr r="AV76" s="2"/>
      </tp>
      <tp t="s">
        <v>#N/A Requesting Data...3168529275</v>
        <stp/>
        <stp>BDP|15294106114092604228</stp>
        <tr r="K206" s="3"/>
      </tp>
      <tp t="s">
        <v>#N/A Requesting Data...4188369599</v>
        <stp/>
        <stp>BDP|16383719883684329802</stp>
        <tr r="BB7" s="3"/>
      </tp>
      <tp t="s">
        <v>#N/A Requesting Data...3332046981</v>
        <stp/>
        <stp>BDP|16947214233403110182</stp>
        <tr r="BF43" s="3"/>
      </tp>
      <tp t="s">
        <v>#N/A Requesting Data...3465808507</v>
        <stp/>
        <stp>BDP|11742472421121337303</stp>
        <tr r="AQ304" s="3"/>
      </tp>
      <tp t="s">
        <v>#N/A Requesting Data...2063988385</v>
        <stp/>
        <stp>BDP|11516458952326267329</stp>
        <tr r="Q118" s="3"/>
      </tp>
      <tp t="s">
        <v>#N/A N/A</v>
        <stp/>
        <stp>BDP|17776845368689028592</stp>
        <tr r="N27" s="2"/>
      </tp>
      <tp t="s">
        <v>#N/A Requesting Data...3536357405</v>
        <stp/>
        <stp>BDP|13024655867686262023</stp>
        <tr r="O267" s="3"/>
      </tp>
      <tp t="s">
        <v>#N/A N/A</v>
        <stp/>
        <stp>BDP|15839400082308982463</stp>
        <tr r="AV84" s="2"/>
      </tp>
      <tp t="s">
        <v>#N/A Requesting Data...1345753228</v>
        <stp/>
        <stp>BDP|17280749979411299386</stp>
        <tr r="Y19" s="3"/>
      </tp>
      <tp t="s">
        <v>#N/A Requesting Data...1835631045</v>
        <stp/>
        <stp>BDP|12937113285787183997</stp>
        <tr r="AQ302" s="3"/>
      </tp>
      <tp t="s">
        <v>#N/A Requesting Data...3479019128</v>
        <stp/>
        <stp>BDP|14211923296965440477</stp>
        <tr r="AA17" s="3"/>
      </tp>
      <tp t="s">
        <v>#N/A Requesting Data...2924429626</v>
        <stp/>
        <stp>BDP|17037010633252180361</stp>
        <tr r="O26" s="4"/>
        <tr r="Q197" s="3"/>
      </tp>
      <tp t="s">
        <v>#N/A Requesting Data...3177359715</v>
        <stp/>
        <stp>BDP|10003238424774252105</stp>
        <tr r="F286" s="3"/>
      </tp>
      <tp t="s">
        <v>#N/A N/A</v>
        <stp/>
        <stp>BDP|17333560825345663038</stp>
        <tr r="V57" s="2"/>
      </tp>
      <tp t="s">
        <v>#N/A Requesting Data...4147253776</v>
        <stp/>
        <stp>BDP|15480827757178231563</stp>
        <tr r="AA32" s="3"/>
      </tp>
      <tp t="s">
        <v>#N/A Requesting Data...2453343812</v>
        <stp/>
        <stp>BDP|14569099428172118103</stp>
        <tr r="O3" s="4"/>
      </tp>
      <tp t="s">
        <v>#N/A Requesting Data...3793495192</v>
        <stp/>
        <stp>BDP|17425271720695345751</stp>
        <tr r="O100" s="3"/>
      </tp>
      <tp t="s">
        <v>#N/A Requesting Data...1584203847</v>
        <stp/>
        <stp>BDP|11602517302234840586</stp>
        <tr r="Q124" s="3"/>
      </tp>
      <tp t="s">
        <v>#N/A Requesting Data...3203299102</v>
        <stp/>
        <stp>BDP|12176953201109943797</stp>
        <tr r="F183" s="3"/>
      </tp>
      <tp t="s">
        <v>#N/A Requesting Data...2909881973</v>
        <stp/>
        <stp>BDP|12856279929050207719</stp>
        <tr r="BF112" s="3"/>
      </tp>
      <tp t="s">
        <v>#N/A Requesting Data...3857498549</v>
        <stp/>
        <stp>BDP|17840495945790756266</stp>
        <tr r="BB118" s="3"/>
      </tp>
      <tp t="s">
        <v>#N/A Requesting Data...1425302991</v>
        <stp/>
        <stp>BDP|11469019975501260279</stp>
        <tr r="BG117" s="3"/>
      </tp>
      <tp t="s">
        <v>#N/A Requesting Data...3562273892</v>
        <stp/>
        <stp>BDP|12393549110483649045</stp>
        <tr r="O47" s="4"/>
      </tp>
      <tp t="s">
        <v>#N/A Requesting Data...2532957238</v>
        <stp/>
        <stp>BDP|16700620350597324733</stp>
        <tr r="BF284" s="3"/>
      </tp>
      <tp t="s">
        <v>#N/A N/A</v>
        <stp/>
        <stp>BDP|14969222801357823471</stp>
        <tr r="V96" s="2"/>
      </tp>
      <tp t="s">
        <v>#N/A Requesting Data...3611633244</v>
        <stp/>
        <stp>BDP|17731744266076790564</stp>
        <tr r="I41" s="3"/>
      </tp>
      <tp t="s">
        <v>#N/A Requesting Data...2178285623</v>
        <stp/>
        <stp>BDP|16528164333938670921</stp>
        <tr r="F63" s="3"/>
      </tp>
      <tp t="s">
        <v>#N/A Requesting Data...4128369585</v>
        <stp/>
        <stp>BDP|14074029757334901085</stp>
        <tr r="BG282" s="3"/>
      </tp>
      <tp t="s">
        <v>#N/A Requesting Data...4180067755</v>
        <stp/>
        <stp>BDP|16935161226474970449</stp>
        <tr r="BF152" s="3"/>
      </tp>
      <tp t="s">
        <v>#N/A Requesting Data...1687211196</v>
        <stp/>
        <stp>BDP|11006580757714916028</stp>
        <tr r="D5" s="4"/>
      </tp>
      <tp t="s">
        <v>#N/A Requesting Data...4232038258</v>
        <stp/>
        <stp>BDP|17647232633864648746</stp>
        <tr r="O307" s="3"/>
      </tp>
      <tp t="s">
        <v>#N/A Requesting Data...3795072573</v>
        <stp/>
        <stp>BDP|10977823599383088763</stp>
        <tr r="BA292" s="3"/>
      </tp>
      <tp t="s">
        <v>#N/A Requesting Data...1712067232</v>
        <stp/>
        <stp>BDP|14172530252607512611</stp>
        <tr r="Q63" s="3"/>
      </tp>
      <tp t="s">
        <v>#N/A Requesting Data...4065315400</v>
        <stp/>
        <stp>BDP|10706654395812280811</stp>
        <tr r="AH44" s="3"/>
      </tp>
      <tp t="s">
        <v>#N/A Requesting Data...3504745479</v>
        <stp/>
        <stp>BDP|10781573962880067660</stp>
        <tr r="D4" s="4"/>
      </tp>
      <tp t="s">
        <v>#N/A Requesting Data...2779052016</v>
        <stp/>
        <stp>BDP|11374845073002667961</stp>
        <tr r="O215" s="3"/>
      </tp>
      <tp t="s">
        <v>#N/A Requesting Data...1736646547</v>
        <stp/>
        <stp>BDP|14058160149021979527</stp>
        <tr r="AJ40" s="3"/>
      </tp>
      <tp t="s">
        <v>#N/A Requesting Data...3434449012</v>
        <stp/>
        <stp>BDP|16823091146613374406</stp>
        <tr r="BI183" s="3"/>
      </tp>
      <tp t="s">
        <v>#N/A Requesting Data...3758760928</v>
        <stp/>
        <stp>BDP|12784048730574422033</stp>
        <tr r="BF196" s="3"/>
      </tp>
      <tp t="s">
        <v>#N/A Requesting Data...2471208940</v>
        <stp/>
        <stp>BDP|16693658112944187044</stp>
        <tr r="BH86" s="3"/>
      </tp>
      <tp t="s">
        <v>#N/A Requesting Data...2503875739</v>
        <stp/>
        <stp>BDP|16383428100947584005</stp>
        <tr r="AJ285" s="3"/>
      </tp>
      <tp t="s">
        <v>#N/A Requesting Data...1688763881</v>
        <stp/>
        <stp>BDP|14350510124514080213</stp>
        <tr r="AA224" s="3"/>
      </tp>
      <tp t="s">
        <v>#N/A N/A</v>
        <stp/>
        <stp>BDP|16683473301156185169</stp>
        <tr r="AV58" s="2"/>
      </tp>
      <tp t="s">
        <v>#N/A N/A</v>
        <stp/>
        <stp>BDP|14889219820645691484</stp>
        <tr r="BL53" s="2"/>
      </tp>
      <tp t="s">
        <v>#N/A Requesting Data...2269675599</v>
        <stp/>
        <stp>BDP|18051346489387987137</stp>
        <tr r="BL4" s="2"/>
        <tr r="BG248" s="3"/>
      </tp>
      <tp t="s">
        <v>#N/A Requesting Data...3745273705</v>
        <stp/>
        <stp>BDP|13360974472619781162</stp>
        <tr r="AX58" s="4"/>
      </tp>
      <tp t="s">
        <v>#N/A Requesting Data...2532029872</v>
        <stp/>
        <stp>BDP|11581057666615548740</stp>
        <tr r="AS174" s="3"/>
      </tp>
      <tp t="s">
        <v>#N/A Requesting Data...4284884031</v>
        <stp/>
        <stp>BDP|14338038721744192778</stp>
        <tr r="O302" s="3"/>
      </tp>
      <tp t="s">
        <v>#N/A N/A</v>
        <stp/>
        <stp>BDP|16695168500761453331</stp>
        <tr r="T10" s="2"/>
      </tp>
      <tp t="s">
        <v>#N/A N/A</v>
        <stp/>
        <stp>BDP|16817485411027032166</stp>
        <tr r="T93" s="2"/>
      </tp>
      <tp t="s">
        <v>#N/A Requesting Data...1577652219</v>
        <stp/>
        <stp>BDP|15331790815017028186</stp>
        <tr r="BK7" s="2"/>
      </tp>
      <tp t="s">
        <v>#N/A Requesting Data...3404053150</v>
        <stp/>
        <stp>BDP|14222603575796756675</stp>
        <tr r="O27" s="3"/>
      </tp>
      <tp t="s">
        <v>#N/A Requesting Data...2962924017</v>
        <stp/>
        <stp>BDP|10965203267845100489</stp>
        <tr r="BB196" s="3"/>
      </tp>
      <tp t="s">
        <v>#N/A Requesting Data...1847468317</v>
        <stp/>
        <stp>BDP|10754181647207687784</stp>
        <tr r="BH19" s="3"/>
      </tp>
      <tp t="s">
        <v>#N/A Requesting Data...2583340550</v>
        <stp/>
        <stp>BDP|11261011521186498005</stp>
        <tr r="I291" s="3"/>
      </tp>
      <tp t="s">
        <v>#N/A N/A</v>
        <stp/>
        <stp>BDP|11740698839093200236</stp>
        <tr r="AF34" s="2"/>
      </tp>
      <tp t="s">
        <v>#N/A N/A</v>
        <stp/>
        <stp>BDP|15671494079675680665</stp>
        <tr r="AF15" s="2"/>
      </tp>
      <tp t="s">
        <v>#N/A Requesting Data...3066023282</v>
        <stp/>
        <stp>BDP|10693525327207034552</stp>
        <tr r="Y15" s="3"/>
      </tp>
      <tp t="s">
        <v>#N/A Requesting Data...2118155039</v>
        <stp/>
        <stp>BDP|12500471162934430125</stp>
        <tr r="BB158" s="3"/>
      </tp>
      <tp t="s">
        <v>#N/A N/A</v>
        <stp/>
        <stp>BDP|12294344531805995281</stp>
        <tr r="AF83" s="2"/>
      </tp>
      <tp t="s">
        <v>#N/A Requesting Data...3365271357</v>
        <stp/>
        <stp>BDP|11885094294885256813</stp>
        <tr r="K353" s="3"/>
      </tp>
      <tp t="s">
        <v>#N/A Requesting Data...3009042433</v>
        <stp/>
        <stp>BDP|12876005908653020466</stp>
        <tr r="BH311" s="3"/>
      </tp>
      <tp t="s">
        <v>#N/A Requesting Data...4235871364</v>
        <stp/>
        <stp>BDP|12844797454345005037</stp>
        <tr r="BI306" s="3"/>
      </tp>
      <tp t="s">
        <v>#N/A Requesting Data...3009189321</v>
        <stp/>
        <stp>BDP|12199596425059203999</stp>
        <tr r="AZ21" s="3"/>
      </tp>
      <tp t="s">
        <v>#N/A Requesting Data...2832165546</v>
        <stp/>
        <stp>BDP|16526695185545715885</stp>
        <tr r="AS169" s="3"/>
      </tp>
      <tp t="s">
        <v>#N/A Requesting Data...3444652879</v>
        <stp/>
        <stp>BDP|14476367966227252302</stp>
        <tr r="AH138" s="3"/>
      </tp>
      <tp t="s">
        <v>#N/A Requesting Data...4258042893</v>
        <stp/>
        <stp>BDP|12977891537334873897</stp>
        <tr r="O230" s="3"/>
      </tp>
      <tp t="s">
        <v>#N/A Requesting Data...2423332670</v>
        <stp/>
        <stp>BDP|12000650932571371326</stp>
        <tr r="BG7" s="2"/>
      </tp>
    </main>
    <main first="bofaddin.rtdserver">
      <tp t="s">
        <v>#N/A Requesting Data...2733933710</v>
        <stp/>
        <stp>BDP|2505160002061960</stp>
        <tr r="BG31" s="3"/>
      </tp>
      <tp t="s">
        <v>#N/A Requesting Data...3055132578</v>
        <stp/>
        <stp>BDP|2286034471245345</stp>
        <tr r="BG321" s="3"/>
      </tp>
      <tp t="s">
        <v>#N/A Requesting Data...3218625575</v>
        <stp/>
        <stp>BDP|1568836706105665</stp>
        <tr r="AA84" s="3"/>
      </tp>
      <tp t="s">
        <v>#N/A Requesting Data...2457680061</v>
        <stp/>
        <stp>BDP|1091363006319296789</stp>
        <tr r="O315" s="3"/>
      </tp>
      <tp t="s">
        <v>#N/A Requesting Data...2014572248</v>
        <stp/>
        <stp>BDP|7771126709458088265</stp>
        <tr r="BH203" s="3"/>
      </tp>
      <tp t="s">
        <v>#N/A Requesting Data...2358610154</v>
        <stp/>
        <stp>BDP|8541839169793254974</stp>
        <tr r="BF249" s="3"/>
      </tp>
      <tp t="s">
        <v>#N/A Requesting Data...3708035539</v>
        <stp/>
        <stp>BDP|2487830576505930424</stp>
        <tr r="Y68" s="3"/>
      </tp>
      <tp t="s">
        <v>#N/A Requesting Data...3800593744</v>
        <stp/>
        <stp>BDP|8017254373085564499</stp>
        <tr r="AD7" s="2"/>
      </tp>
      <tp t="s">
        <v>#N/A N/A</v>
        <stp/>
        <stp>BDP|7956822083579497266</stp>
        <tr r="BE24" s="2"/>
      </tp>
      <tp t="s">
        <v>#N/A N/A</v>
        <stp/>
        <stp>BDP|6453884064666496263</stp>
        <tr r="AM21" s="2"/>
      </tp>
      <tp t="s">
        <v>#N/A Requesting Data...3519973385</v>
        <stp/>
        <stp>BDP|3185173054799824202</stp>
        <tr r="Q91" s="3"/>
      </tp>
      <tp t="s">
        <v>#N/A Requesting Data...2596108316</v>
        <stp/>
        <stp>BDP|1869447490460727019</stp>
        <tr r="BG212" s="3"/>
      </tp>
      <tp t="s">
        <v>#N/A Requesting Data...2454891409</v>
        <stp/>
        <stp>BDP|9493766821755844512</stp>
        <tr r="BG168" s="3"/>
      </tp>
      <tp t="s">
        <v>#N/A Requesting Data...2892298428</v>
        <stp/>
        <stp>BDP|2666404920671969953</stp>
        <tr r="AQ68" s="3"/>
      </tp>
      <tp t="s">
        <v>#N/A N/A</v>
        <stp/>
        <stp>BDP|7822980714736815565</stp>
        <tr r="AD60" s="2"/>
      </tp>
      <tp t="s">
        <v>#N/A N/A</v>
        <stp/>
        <stp>BDP|5770883740994340168</stp>
        <tr r="BF35" s="2"/>
      </tp>
      <tp t="s">
        <v>#N/A N/A</v>
        <stp/>
        <stp>BDP|2157576094867198593</stp>
        <tr r="AM23" s="2"/>
      </tp>
      <tp t="s">
        <v>#N/A Requesting Data...3018936927</v>
        <stp/>
        <stp>BDP|5769192898152814344</stp>
        <tr r="AA116" s="3"/>
      </tp>
      <tp t="s">
        <v>#N/A Requesting Data...2896028043</v>
        <stp/>
        <stp>BDP|9394377079204187567</stp>
        <tr r="AQ293" s="3"/>
      </tp>
      <tp t="s">
        <v>#N/A Requesting Data...2128399662</v>
        <stp/>
        <stp>BDP|8939454676625550257</stp>
        <tr r="K138" s="3"/>
      </tp>
      <tp t="s">
        <v>#N/A Requesting Data...2087588327</v>
        <stp/>
        <stp>BDP|4491093272759310669</stp>
        <tr r="AS307" s="3"/>
      </tp>
      <tp t="s">
        <v>#N/A Requesting Data...3487152952</v>
        <stp/>
        <stp>BDP|1122754897291861217</stp>
        <tr r="AH59" s="3"/>
      </tp>
      <tp t="s">
        <v>#N/A Requesting Data...4184072939</v>
        <stp/>
        <stp>BDP|9536944744638857070</stp>
        <tr r="AJ260" s="3"/>
      </tp>
      <tp t="s">
        <v>#N/A Requesting Data...3447575207</v>
        <stp/>
        <stp>BDP|7208491997243054562</stp>
        <tr r="BB189" s="3"/>
      </tp>
      <tp t="s">
        <v>#N/A Requesting Data...2225425272</v>
        <stp/>
        <stp>BDP|3239157488695516305</stp>
        <tr r="BB302" s="3"/>
      </tp>
      <tp t="s">
        <v>#N/A N/A</v>
        <stp/>
        <stp>BDP|3835761433808067365</stp>
        <tr r="BF96" s="2"/>
      </tp>
      <tp t="s">
        <v>#N/A Requesting Data...2335351503</v>
        <stp/>
        <stp>BDP|1288163729286227842</stp>
        <tr r="AH215" s="3"/>
      </tp>
      <tp t="s">
        <v>#N/A Requesting Data...3095342747</v>
        <stp/>
        <stp>BDP|3664633080604726599</stp>
        <tr r="K252" s="3"/>
      </tp>
      <tp t="s">
        <v>#N/A N/A</v>
        <stp/>
        <stp>BDP|1151943506851035587</stp>
        <tr r="AD20" s="2"/>
      </tp>
      <tp t="s">
        <v>#N/A N/A</v>
        <stp/>
        <stp>BDP|1660619167709343486</stp>
        <tr r="AX13" s="2"/>
      </tp>
      <tp t="s">
        <v>#N/A Requesting Data...2874662695</v>
        <stp/>
        <stp>BDP|9329376566022094292</stp>
        <tr r="K141" s="3"/>
      </tp>
      <tp t="s">
        <v>#N/A Requesting Data...2366311490</v>
        <stp/>
        <stp>BDP|5074895919077892735</stp>
        <tr r="AQ350" s="3"/>
      </tp>
      <tp t="s">
        <v>#N/A Requesting Data...3138698214</v>
        <stp/>
        <stp>BDP|2125440254097826821</stp>
        <tr r="Q224" s="3"/>
      </tp>
      <tp t="s">
        <v>#N/A Requesting Data...3798107894</v>
        <stp/>
        <stp>BDP|1805817067121110247</stp>
        <tr r="BF79" s="3"/>
      </tp>
      <tp t="s">
        <v>#N/A Requesting Data...3424037545</v>
        <stp/>
        <stp>BDP|8844765333666178673</stp>
        <tr r="BF82" s="3"/>
      </tp>
      <tp t="s">
        <v>#N/A Requesting Data...3882472634</v>
        <stp/>
        <stp>BDP|4889563519275480982</stp>
        <tr r="BB82" s="3"/>
      </tp>
      <tp t="s">
        <v>#N/A Requesting Data...3489884233</v>
        <stp/>
        <stp>BDP|3914563659749502687</stp>
        <tr r="K131" s="3"/>
      </tp>
      <tp t="s">
        <v>#N/A Requesting Data...3441167903</v>
        <stp/>
        <stp>BDP|3505876618071955786</stp>
        <tr r="BB123" s="3"/>
      </tp>
      <tp t="s">
        <v>#N/A Requesting Data...3909842612</v>
        <stp/>
        <stp>BDP|8849422512535429475</stp>
        <tr r="BA97" s="3"/>
      </tp>
      <tp t="s">
        <v>#N/A N/A</v>
        <stp/>
        <stp>BDP|8079787424077527625</stp>
        <tr r="BN27" s="2"/>
      </tp>
      <tp t="s">
        <v>#N/A Requesting Data...3504104083</v>
        <stp/>
        <stp>BDP|7040305035809862254</stp>
        <tr r="F343" s="3"/>
      </tp>
      <tp t="s">
        <v>#N/A Requesting Data...1951672655</v>
        <stp/>
        <stp>BDP|6614479725288994458</stp>
        <tr r="BB259" s="3"/>
      </tp>
      <tp t="s">
        <v>#N/A Requesting Data...2531305243</v>
        <stp/>
        <stp>BDP|7556360999122471369</stp>
        <tr r="O155" s="3"/>
      </tp>
      <tp t="s">
        <v>#N/A Requesting Data...2670380253</v>
        <stp/>
        <stp>BDP|1844684954499990750</stp>
        <tr r="Y326" s="3"/>
      </tp>
      <tp t="s">
        <v>#N/A Requesting Data...2128182559</v>
        <stp/>
        <stp>BDP|5401353654966865951</stp>
        <tr r="Q273" s="3"/>
      </tp>
      <tp t="s">
        <v>#N/A Requesting Data...1977067134</v>
        <stp/>
        <stp>BDP|1489792995543926092</stp>
        <tr r="O61" s="4"/>
      </tp>
      <tp t="s">
        <v>#N/A Requesting Data...2490134038</v>
        <stp/>
        <stp>BDP|3827122852988235325</stp>
        <tr r="O50" s="3"/>
      </tp>
      <tp t="s">
        <v>#N/A Requesting Data...4217012492</v>
        <stp/>
        <stp>BDP|9082763444224866221</stp>
        <tr r="AH33" s="3"/>
      </tp>
      <tp t="s">
        <v>#N/A N/A</v>
        <stp/>
        <stp>BDP|4779011910961645888</stp>
        <tr r="BN88" s="2"/>
      </tp>
      <tp t="s">
        <v>#N/A N/A</v>
        <stp/>
        <stp>BDP|1482762086086880441</stp>
        <tr r="BK59" s="2"/>
      </tp>
      <tp t="s">
        <v>#N/A Requesting Data...4151195170</v>
        <stp/>
        <stp>BDP|7961916131692673372</stp>
        <tr r="K97" s="3"/>
      </tp>
      <tp t="s">
        <v>#N/A Requesting Data...2062298203</v>
        <stp/>
        <stp>BDP|7382720959298287120</stp>
        <tr r="BB294" s="3"/>
      </tp>
      <tp t="s">
        <v>#N/A Requesting Data...2987404506</v>
        <stp/>
        <stp>BDP|3792643209098603148</stp>
        <tr r="O218" s="3"/>
      </tp>
      <tp t="s">
        <v>#N/A Requesting Data...2949783415</v>
        <stp/>
        <stp>BDP|7254397977277043841</stp>
        <tr r="F284" s="3"/>
      </tp>
      <tp t="s">
        <v>#N/A Requesting Data...1959218828</v>
        <stp/>
        <stp>BDP|2819680207600659896</stp>
        <tr r="BB77" s="3"/>
      </tp>
      <tp t="s">
        <v>#N/A N/A</v>
        <stp/>
        <stp>BDP|4685716593866484088</stp>
        <tr r="P60" s="2"/>
      </tp>
      <tp t="s">
        <v>#N/A Requesting Data...3463744866</v>
        <stp/>
        <stp>BDP|5878970952165470008</stp>
        <tr r="Q337" s="3"/>
      </tp>
      <tp t="s">
        <v>#N/A Requesting Data...3156818728</v>
        <stp/>
        <stp>BDP|7235989035658321957</stp>
        <tr r="BH283" s="3"/>
      </tp>
      <tp t="s">
        <v>#N/A Requesting Data...3075583088</v>
        <stp/>
        <stp>BDP|3770483894896768453</stp>
        <tr r="F62" s="3"/>
      </tp>
      <tp t="s">
        <v>#N/A Requesting Data...4292714947</v>
        <stp/>
        <stp>BDP|6786063375158404592</stp>
        <tr r="I313" s="3"/>
      </tp>
      <tp t="s">
        <v>#N/A Requesting Data...3094891155</v>
        <stp/>
        <stp>BDP|3748871214916951042</stp>
        <tr r="BF93" s="3"/>
      </tp>
      <tp t="s">
        <v>#N/A Requesting Data...3477565852</v>
        <stp/>
        <stp>BDP|5002067719601350959</stp>
        <tr r="AF41" s="4"/>
      </tp>
      <tp t="s">
        <v>#N/A Requesting Data...2619889040</v>
        <stp/>
        <stp>BDP|2842447924520383823</stp>
        <tr r="Y48" s="3"/>
      </tp>
      <tp t="s">
        <v>#N/A Requesting Data...2626664341</v>
        <stp/>
        <stp>BDP|7925239408209857033</stp>
        <tr r="BF7" s="3"/>
      </tp>
      <tp t="s">
        <v>#N/A N/A</v>
        <stp/>
        <stp>BDP|3616489546297542841</stp>
        <tr r="AM98" s="2"/>
      </tp>
      <tp t="s">
        <v>#N/A Requesting Data...2837649189</v>
        <stp/>
        <stp>BDP|8041436068562432465</stp>
        <tr r="BF111" s="3"/>
      </tp>
      <tp t="s">
        <v>#N/A Requesting Data...2984475013</v>
        <stp/>
        <stp>BDP|9937664039537764785</stp>
        <tr r="AZ66" s="3"/>
      </tp>
      <tp t="s">
        <v>#N/A N/A</v>
        <stp/>
        <stp>BDP|5578549850478139199</stp>
        <tr r="BN92" s="2"/>
      </tp>
      <tp t="s">
        <v>#N/A Requesting Data...2071528328</v>
        <stp/>
        <stp>BDP|4382539293201823522</stp>
        <tr r="BB350" s="3"/>
      </tp>
      <tp t="s">
        <v>#N/A Requesting Data...3269960982</v>
        <stp/>
        <stp>BDP|9164122138784491369</stp>
        <tr r="AF27" s="4"/>
      </tp>
      <tp t="s">
        <v>#N/A Requesting Data...3533936398</v>
        <stp/>
        <stp>BDP|9631801180013875670</stp>
        <tr r="O156" s="3"/>
      </tp>
      <tp t="s">
        <v>#N/A N/A</v>
        <stp/>
        <stp>BDP|3036239613864008897</stp>
        <tr r="BK77" s="2"/>
      </tp>
      <tp t="s">
        <v>#N/A Requesting Data...2597412682</v>
        <stp/>
        <stp>BDP|6906947872256439221</stp>
        <tr r="AA194" s="3"/>
      </tp>
      <tp t="s">
        <v>#N/A Requesting Data...3677923171</v>
        <stp/>
        <stp>BDP|5778835895048795083</stp>
        <tr r="BB181" s="3"/>
      </tp>
      <tp t="s">
        <v>#N/A Requesting Data...4199715715</v>
        <stp/>
        <stp>BDP|5376254803813970824</stp>
        <tr r="AS166" s="3"/>
      </tp>
      <tp t="s">
        <v>#N/A Requesting Data...4049571814</v>
        <stp/>
        <stp>BDP|9589966349159527115</stp>
        <tr r="M26" s="4"/>
        <tr r="O197" s="3"/>
      </tp>
      <tp t="s">
        <v>#N/A Requesting Data...3812359245</v>
        <stp/>
        <stp>BDP|8617882160792681867</stp>
        <tr r="BH314" s="3"/>
      </tp>
      <tp t="s">
        <v>#N/A Requesting Data...2756159582</v>
        <stp/>
        <stp>BDP|2330961657557498584</stp>
        <tr r="Q225" s="3"/>
      </tp>
      <tp t="s">
        <v>#N/A Requesting Data...2227027012</v>
        <stp/>
        <stp>BDP|7676954311444826748</stp>
        <tr r="AZ262" s="3"/>
      </tp>
      <tp t="s">
        <v>#N/A Requesting Data...3265589595</v>
        <stp/>
        <stp>BDP|5388553377823661898</stp>
        <tr r="BB137" s="3"/>
      </tp>
      <tp t="s">
        <v>#N/A N/A</v>
        <stp/>
        <stp>BDP|7897865920915386432</stp>
        <tr r="BM56" s="2"/>
      </tp>
      <tp t="s">
        <v>#N/A Requesting Data...2428092772</v>
        <stp/>
        <stp>BDP|5751850448764265165</stp>
        <tr r="AS36" s="3"/>
      </tp>
      <tp t="s">
        <v>#N/A Requesting Data...2120303130</v>
        <stp/>
        <stp>BDP|9354200049652124151</stp>
        <tr r="O93" s="3"/>
      </tp>
      <tp t="s">
        <v>#N/A Requesting Data...2789318600</v>
        <stp/>
        <stp>BDP|2490697490939651852</stp>
        <tr r="AZ188" s="3"/>
      </tp>
      <tp t="s">
        <v>#N/A Requesting Data...2458635837</v>
        <stp/>
        <stp>BDP|7842124070085180858</stp>
        <tr r="Q65" s="3"/>
      </tp>
      <tp t="s">
        <v>#N/A Requesting Data...3396271404</v>
        <stp/>
        <stp>BDP|8070994987911998491</stp>
        <tr r="F330" s="3"/>
      </tp>
      <tp t="s">
        <v>#N/A Requesting Data...3576388742</v>
        <stp/>
        <stp>BDP|8209717055281148793</stp>
        <tr r="I334" s="3"/>
      </tp>
      <tp t="s">
        <v>#N/A Requesting Data...4277258239</v>
        <stp/>
        <stp>BDP|3862056592582012411</stp>
        <tr r="AS279" s="3"/>
      </tp>
      <tp t="s">
        <v>#N/A N/A</v>
        <stp/>
        <stp>BDP|8185057653999003892</stp>
        <tr r="BF101" s="2"/>
      </tp>
      <tp t="s">
        <v>#N/A N/A</v>
        <stp/>
        <stp>BDP|2371025785921883725</stp>
        <tr r="N90" s="2"/>
      </tp>
      <tp t="s">
        <v>#N/A Requesting Data...2330520603</v>
        <stp/>
        <stp>BDP|5783910724075564798</stp>
        <tr r="AQ272" s="3"/>
      </tp>
      <tp t="s">
        <v>#N/A Requesting Data...2953550460</v>
        <stp/>
        <stp>BDP|4433771370849572194</stp>
        <tr r="AA164" s="3"/>
      </tp>
      <tp t="s">
        <v>#N/A Requesting Data...3591340037</v>
        <stp/>
        <stp>BDP|2035930088818059746</stp>
        <tr r="M23" s="4"/>
      </tp>
      <tp t="s">
        <v>#N/A N/A</v>
        <stp/>
        <stp>BDP|6391067642206812807</stp>
        <tr r="BM22" s="2"/>
      </tp>
      <tp t="s">
        <v>#N/A Requesting Data...3301850688</v>
        <stp/>
        <stp>BDP|7589990340296755042</stp>
        <tr r="BI42" s="3"/>
      </tp>
      <tp t="s">
        <v>#N/A Requesting Data...2614537998</v>
        <stp/>
        <stp>BDP|3552358091395608083</stp>
        <tr r="AS163" s="3"/>
      </tp>
      <tp t="s">
        <v>#N/A Requesting Data...4170250522</v>
        <stp/>
        <stp>BDP|3286705094379072897</stp>
        <tr r="BA326" s="3"/>
      </tp>
      <tp t="s">
        <v>#N/A N/A</v>
        <stp/>
        <stp>BDP|9883709435548319916</stp>
        <tr r="BK32" s="2"/>
      </tp>
      <tp t="s">
        <v>#N/A Requesting Data...2351173912</v>
        <stp/>
        <stp>BDP|5585971527451307398</stp>
        <tr r="BB237" s="3"/>
      </tp>
      <tp t="s">
        <v>#N/A Requesting Data...2589164526</v>
        <stp/>
        <stp>BDP|5580901231984253790</stp>
        <tr r="Q41" s="3"/>
      </tp>
      <tp t="s">
        <v>#N/A N/A</v>
        <stp/>
        <stp>BDP|9257652276376826262</stp>
        <tr r="BM69" s="2"/>
      </tp>
      <tp t="s">
        <v>#N/A Requesting Data...3727351084</v>
        <stp/>
        <stp>BDP|4516297007763198961</stp>
        <tr r="F287" s="3"/>
      </tp>
      <tp t="s">
        <v>#N/A Requesting Data...4209382793</v>
        <stp/>
        <stp>BDP|9809703771633488615</stp>
        <tr r="BE7" s="2"/>
      </tp>
      <tp t="s">
        <v>#N/A Requesting Data...3094993074</v>
        <stp/>
        <stp>BDP|2453126843069813218</stp>
        <tr r="AA220" s="3"/>
      </tp>
      <tp t="s">
        <v>#N/A Requesting Data...3425455917</v>
        <stp/>
        <stp>BDP|7012936404892324080</stp>
        <tr r="K40" s="3"/>
      </tp>
      <tp t="s">
        <v>#N/A N/A</v>
        <stp/>
        <stp>BDP|4056760707577580884</stp>
        <tr r="AO67" s="2"/>
      </tp>
      <tp t="s">
        <v>#N/A Requesting Data...2435155237</v>
        <stp/>
        <stp>BDP|5007080295149241939</stp>
        <tr r="AS83" s="3"/>
      </tp>
      <tp t="s">
        <v>#N/A Requesting Data...3935621609</v>
        <stp/>
        <stp>BDP|1351831674936855404</stp>
        <tr r="K198" s="3"/>
      </tp>
      <tp t="s">
        <v>#N/A Requesting Data...2276014321</v>
        <stp/>
        <stp>BDP|3642543588007735518</stp>
        <tr r="BB320" s="3"/>
      </tp>
      <tp t="s">
        <v>#N/A Requesting Data...3202376316</v>
        <stp/>
        <stp>BDP|5012621919447025979</stp>
        <tr r="BG127" s="3"/>
      </tp>
      <tp t="s">
        <v>#N/A Requesting Data...4144745008</v>
        <stp/>
        <stp>BDP|3886742288363034384</stp>
        <tr r="AA54" s="3"/>
      </tp>
      <tp t="s">
        <v>#N/A Requesting Data...2430170206</v>
        <stp/>
        <stp>BDP|1289597490609314849</stp>
        <tr r="AH307" s="3"/>
      </tp>
      <tp t="s">
        <v>#N/A N/A</v>
        <stp/>
        <stp>BDP|4521876714159852827</stp>
        <tr r="AF11" s="2"/>
      </tp>
      <tp t="s">
        <v>#N/A Requesting Data...4261356478</v>
        <stp/>
        <stp>BDP|4625985927002700121</stp>
        <tr r="O198" s="3"/>
      </tp>
      <tp t="s">
        <v>#N/A N/A</v>
        <stp/>
        <stp>BDP|7654100992252966108</stp>
        <tr r="AO85" s="2"/>
      </tp>
      <tp t="s">
        <v>#N/A Requesting Data...3001202622</v>
        <stp/>
        <stp>BDP|9490488680428290134</stp>
        <tr r="F45" s="3"/>
      </tp>
      <tp t="s">
        <v>#N/A Requesting Data...2761741923</v>
        <stp/>
        <stp>BDP|8900208275524571541</stp>
        <tr r="BA163" s="3"/>
      </tp>
      <tp t="s">
        <v>#N/A Requesting Data...4131200312</v>
        <stp/>
        <stp>BDP|7929384780371584196</stp>
        <tr r="K3" s="3"/>
      </tp>
      <tp t="s">
        <v>#N/A N/A</v>
        <stp/>
        <stp>BDP|6809268732563307826</stp>
        <tr r="BL96" s="2"/>
      </tp>
      <tp t="s">
        <v>#N/A Requesting Data...4223792438</v>
        <stp/>
        <stp>BDP|9101146816575911078</stp>
        <tr r="AQ47" s="4"/>
      </tp>
      <tp t="s">
        <v>#N/A Requesting Data...2669978835</v>
        <stp/>
        <stp>BDP|9858484862524969368</stp>
        <tr r="BI175" s="3"/>
      </tp>
      <tp t="s">
        <v>#N/A Requesting Data...3618778852</v>
        <stp/>
        <stp>BDP|5591892650937582345</stp>
        <tr r="AJ160" s="3"/>
      </tp>
      <tp t="s">
        <v>#N/A Requesting Data...3755960892</v>
        <stp/>
        <stp>BDP|8959406914204681566</stp>
        <tr r="O200" s="3"/>
      </tp>
      <tp t="s">
        <v>#N/A Requesting Data...2673621744</v>
        <stp/>
        <stp>BDP|9544917429679968792</stp>
        <tr r="AH350" s="3"/>
      </tp>
      <tp t="s">
        <v>#N/A Requesting Data...2739640948</v>
        <stp/>
        <stp>BDP|6671099743329396724</stp>
        <tr r="BI8" s="3"/>
      </tp>
      <tp t="s">
        <v>#N/A Requesting Data...3139799086</v>
        <stp/>
        <stp>BDP|7003659375822413893</stp>
        <tr r="AH52" s="3"/>
      </tp>
      <tp t="s">
        <v>#N/A Requesting Data...3460998223</v>
        <stp/>
        <stp>BDP|8873880941729426181</stp>
        <tr r="Y232" s="3"/>
      </tp>
      <tp t="s">
        <v>#N/A Requesting Data...3617294121</v>
        <stp/>
        <stp>BDP|7848012739351965941</stp>
        <tr r="D25" s="4"/>
      </tp>
      <tp t="s">
        <v>#N/A Requesting Data...3358920549</v>
        <stp/>
        <stp>BDP|3171397631467010840</stp>
        <tr r="AH22" s="3"/>
      </tp>
      <tp t="s">
        <v>#N/A N/A</v>
        <stp/>
        <stp>BDP|2682042949328775218</stp>
        <tr r="BN47" s="2"/>
      </tp>
      <tp t="s">
        <v>#N/A Requesting Data...3978587346</v>
        <stp/>
        <stp>BDP|2079733297855057560</stp>
        <tr r="AH289" s="3"/>
      </tp>
      <tp t="s">
        <v>#N/A Requesting Data...3584607986</v>
        <stp/>
        <stp>BDP|5113367168175841958</stp>
        <tr r="Q22" s="3"/>
      </tp>
      <tp t="s">
        <v>#N/A Requesting Data...3734233531</v>
        <stp/>
        <stp>BDP|7353025261924609942</stp>
        <tr r="I161" s="3"/>
      </tp>
      <tp t="s">
        <v>#N/A Requesting Data...3104531298</v>
        <stp/>
        <stp>BDP|8641784304494864708</stp>
        <tr r="BF87" s="3"/>
      </tp>
      <tp t="s">
        <v>#N/A N/A</v>
        <stp/>
        <stp>BDP|1285833229387978033</stp>
        <tr r="BF28" s="2"/>
      </tp>
      <tp t="s">
        <v>#N/A Requesting Data...3282645035</v>
        <stp/>
        <stp>BDP|8631755565576677325</stp>
        <tr r="Y137" s="3"/>
      </tp>
      <tp t="s">
        <v>#N/A N/A</v>
        <stp/>
        <stp>BDP|9843492477651094748</stp>
        <tr r="K46" s="2"/>
      </tp>
      <tp t="s">
        <v>#N/A Requesting Data...4036765284</v>
        <stp/>
        <stp>BDP|7419254529692332991</stp>
        <tr r="BF108" s="3"/>
      </tp>
      <tp t="s">
        <v>#N/A Requesting Data...3252155776</v>
        <stp/>
        <stp>BDP|8419967586693367657</stp>
        <tr r="BH162" s="3"/>
      </tp>
      <tp t="s">
        <v>#N/A Requesting Data...3799148416</v>
        <stp/>
        <stp>BDP|9628883522427627886</stp>
        <tr r="BF278" s="3"/>
      </tp>
      <tp t="s">
        <v>#N/A Requesting Data...3683411175</v>
        <stp/>
        <stp>BDP|4203865609625933560</stp>
        <tr r="I144" s="3"/>
      </tp>
      <tp t="s">
        <v>#N/A Requesting Data...2638970712</v>
        <stp/>
        <stp>BDP|1877907543724942403</stp>
        <tr r="K303" s="3"/>
      </tp>
      <tp t="s">
        <v>#N/A N/A</v>
        <stp/>
        <stp>BDP|7775135696377964495</stp>
        <tr r="AD82" s="2"/>
      </tp>
      <tp t="s">
        <v>#N/A N/A</v>
        <stp/>
        <stp>BDP|2079141889332715580</stp>
        <tr r="P63" s="2"/>
      </tp>
      <tp t="s">
        <v>#N/A N/A</v>
        <stp/>
        <stp>BDP|8736344327171337452</stp>
        <tr r="BK34" s="2"/>
      </tp>
      <tp t="s">
        <v>#N/A Requesting Data...4223174725</v>
        <stp/>
        <stp>BDP|1104908304626589221</stp>
        <tr r="BI6" s="3"/>
      </tp>
      <tp t="s">
        <v>#N/A Requesting Data...4094047703</v>
        <stp/>
        <stp>BDP|2225765921239367244</stp>
        <tr r="BB94" s="3"/>
      </tp>
      <tp t="s">
        <v>#N/A Requesting Data...3021883465</v>
        <stp/>
        <stp>BDP|9453327527983120731</stp>
        <tr r="BA296" s="3"/>
      </tp>
      <tp t="s">
        <v>#N/A Requesting Data...3803248420</v>
        <stp/>
        <stp>BDP|7108207483300087114</stp>
        <tr r="AA149" s="3"/>
      </tp>
      <tp t="s">
        <v>#N/A Requesting Data...3050796582</v>
        <stp/>
        <stp>BDP|7324166994421786253</stp>
        <tr r="AH32" s="4"/>
      </tp>
      <tp t="s">
        <v>#N/A Requesting Data...3375748995</v>
        <stp/>
        <stp>BDP|9091972311844465919</stp>
        <tr r="M20" s="4"/>
      </tp>
      <tp t="s">
        <v>#N/A Requesting Data...4074985869</v>
        <stp/>
        <stp>BDP|5328434771963260907</stp>
        <tr r="BF63" s="3"/>
      </tp>
      <tp t="s">
        <v>#N/A Requesting Data...2840315152</v>
        <stp/>
        <stp>BDP|5675963007584509410</stp>
        <tr r="BF146" s="3"/>
      </tp>
      <tp t="s">
        <v>#N/A Requesting Data...3196892494</v>
        <stp/>
        <stp>BDP|3504674870707665975</stp>
        <tr r="BG83" s="3"/>
      </tp>
      <tp t="s">
        <v>#N/A Requesting Data...3347722150</v>
        <stp/>
        <stp>BDP|6548207988307970774</stp>
        <tr r="BI237" s="3"/>
      </tp>
      <tp t="s">
        <v>#N/A Requesting Data...3626542325</v>
        <stp/>
        <stp>BDP|9162233520114468150</stp>
        <tr r="AZ67" s="3"/>
      </tp>
      <tp t="s">
        <v>#N/A Requesting Data...3294924577</v>
        <stp/>
        <stp>BDP|8484651770137094224</stp>
        <tr r="F254" s="3"/>
      </tp>
      <tp t="s">
        <v>#N/A N/A</v>
        <stp/>
        <stp>BDP|4287260564584213819</stp>
        <tr r="AX60" s="2"/>
      </tp>
      <tp t="s">
        <v>#N/A Requesting Data...3500070930</v>
        <stp/>
        <stp>BDP|1658576490279670843</stp>
        <tr r="Q56" s="3"/>
      </tp>
      <tp t="s">
        <v>#N/A Requesting Data...3166977549</v>
        <stp/>
        <stp>BDP|4666841655156620320</stp>
        <tr r="AS283" s="3"/>
      </tp>
      <tp t="s">
        <v>#N/A Requesting Data...3498758907</v>
        <stp/>
        <stp>BDP|5369451034077416952</stp>
        <tr r="AQ158" s="3"/>
      </tp>
      <tp t="s">
        <v>#N/A Requesting Data...3719409674</v>
        <stp/>
        <stp>BDP|7820223690138022895</stp>
        <tr r="AS145" s="3"/>
      </tp>
      <tp t="s">
        <v>#N/A N/A</v>
        <stp/>
        <stp>BDP|3668411151956594800</stp>
        <tr r="BM54" s="2"/>
      </tp>
      <tp t="s">
        <v>#N/A Requesting Data...2833137462</v>
        <stp/>
        <stp>BDP|9195226042074311718</stp>
        <tr r="BB104" s="3"/>
      </tp>
      <tp t="s">
        <v>#N/A Requesting Data...2819232843</v>
        <stp/>
        <stp>BDP|2067986899969271708</stp>
        <tr r="I18" s="3"/>
      </tp>
      <tp t="s">
        <v>#N/A N/A</v>
        <stp/>
        <stp>BDP|8395851834378592744</stp>
        <tr r="BM15" s="2"/>
      </tp>
      <tp t="s">
        <v>#N/A Requesting Data...3981084105</v>
        <stp/>
        <stp>BDP|1169722020861026908</stp>
        <tr r="I50" s="4"/>
      </tp>
      <tp t="s">
        <v>#N/A Requesting Data...2814018619</v>
        <stp/>
        <stp>BDP|4682804737172053111</stp>
        <tr r="O202" s="3"/>
      </tp>
      <tp t="s">
        <v>#N/A Requesting Data...2599173928</v>
        <stp/>
        <stp>BDP|1842762872879422484</stp>
        <tr r="AH30" s="3"/>
      </tp>
      <tp t="s">
        <v>#N/A Requesting Data...4180140988</v>
        <stp/>
        <stp>BDP|6409933077895219121</stp>
        <tr r="BA216" s="3"/>
      </tp>
      <tp t="s">
        <v>#N/A Requesting Data...3200235278</v>
        <stp/>
        <stp>BDP|5470949358874050189</stp>
        <tr r="AZ193" s="3"/>
      </tp>
      <tp t="s">
        <v>#N/A Requesting Data...3970728228</v>
        <stp/>
        <stp>BDP|2245477740308286675</stp>
        <tr r="I57" s="4"/>
      </tp>
      <tp t="s">
        <v>#N/A Requesting Data...3768172265</v>
        <stp/>
        <stp>BDP|1410926841039194963</stp>
        <tr r="AS14" s="3"/>
      </tp>
      <tp t="s">
        <v>#N/A Requesting Data...3821037038</v>
        <stp/>
        <stp>BDP|5103092055808515487</stp>
        <tr r="Q137" s="3"/>
      </tp>
      <tp t="s">
        <v>#N/A Requesting Data...4108759216</v>
        <stp/>
        <stp>BDP|8294952680411652415</stp>
        <tr r="BH16" s="3"/>
      </tp>
      <tp t="s">
        <v>#N/A Requesting Data...2743296560</v>
        <stp/>
        <stp>BDP|8429237601951350757</stp>
        <tr r="O130" s="3"/>
      </tp>
      <tp t="s">
        <v>#N/A Requesting Data...3284729160</v>
        <stp/>
        <stp>BDP|4388599124099854665</stp>
        <tr r="AS117" s="3"/>
      </tp>
      <tp t="s">
        <v>#N/A Requesting Data...2853187176</v>
        <stp/>
        <stp>BDP|5800147248234740831</stp>
        <tr r="BF192" s="3"/>
      </tp>
      <tp t="s">
        <v>#N/A Requesting Data...3240865722</v>
        <stp/>
        <stp>BDP|8255021828725933310</stp>
        <tr r="AX5" s="4"/>
      </tp>
      <tp t="s">
        <v>#N/A Requesting Data...2944066506</v>
        <stp/>
        <stp>BDP|9642127041794430417</stp>
        <tr r="BH211" s="3"/>
      </tp>
      <tp t="s">
        <v>#N/A Requesting Data...3186801773</v>
        <stp/>
        <stp>BDP|6158631607595468915</stp>
        <tr r="AS213" s="3"/>
      </tp>
      <tp t="s">
        <v>#N/A Requesting Data...3599136373</v>
        <stp/>
        <stp>BDP|8335157323414379361</stp>
        <tr r="BA228" s="3"/>
      </tp>
      <tp t="s">
        <v>#N/A Requesting Data...4024942454</v>
        <stp/>
        <stp>BDP|3599380842500729897</stp>
        <tr r="BI46" s="3"/>
      </tp>
      <tp t="s">
        <v>#N/A N/A</v>
        <stp/>
        <stp>BDP|8227990025729692694</stp>
        <tr r="BG87" s="2"/>
      </tp>
      <tp t="s">
        <v>#N/A N/A</v>
        <stp/>
        <stp>BDP|8366342541434483730</stp>
        <tr r="AD45" s="2"/>
      </tp>
      <tp t="s">
        <v>#N/A Requesting Data...3278028914</v>
        <stp/>
        <stp>BDP|5448107881503086345</stp>
        <tr r="AH193" s="3"/>
      </tp>
      <tp t="s">
        <v>#N/A Requesting Data...3584054767</v>
        <stp/>
        <stp>BDP|8329718412377919583</stp>
        <tr r="Q198" s="3"/>
      </tp>
      <tp t="s">
        <v>#N/A Requesting Data...3420536402</v>
        <stp/>
        <stp>BDP|5534369608233827927</stp>
        <tr r="AQ144" s="3"/>
      </tp>
      <tp t="s">
        <v>#N/A Requesting Data...4092623244</v>
        <stp/>
        <stp>BDP|1964229459673104925</stp>
        <tr r="BG82" s="3"/>
      </tp>
      <tp t="s">
        <v>#N/A Requesting Data...3342425943</v>
        <stp/>
        <stp>BDP|1291088599911447563</stp>
        <tr r="AH115" s="3"/>
      </tp>
      <tp t="s">
        <v>#N/A Requesting Data...2791588268</v>
        <stp/>
        <stp>BDP|9822599421406531442</stp>
        <tr r="AZ325" s="3"/>
      </tp>
      <tp t="s">
        <v>#N/A Requesting Data...4119859938</v>
        <stp/>
        <stp>BDP|8152372462068511908</stp>
        <tr r="G60" s="4"/>
      </tp>
      <tp t="s">
        <v>#N/A Requesting Data...4234475962</v>
        <stp/>
        <stp>BDP|2520895867425384595</stp>
        <tr r="BI57" s="3"/>
      </tp>
      <tp t="s">
        <v>#N/A Requesting Data...2792115290</v>
        <stp/>
        <stp>BDP|2087260895667475269</stp>
        <tr r="AZ132" s="3"/>
      </tp>
      <tp t="s">
        <v>#N/A Requesting Data...4099270660</v>
        <stp/>
        <stp>BDP|8044706467285707013</stp>
        <tr r="AA236" s="3"/>
      </tp>
      <tp t="s">
        <v>#N/A Requesting Data...3766467522</v>
        <stp/>
        <stp>BDP|2071857421440403416</stp>
        <tr r="BA18" s="3"/>
      </tp>
      <tp t="s">
        <v>#N/A Requesting Data...3463366009</v>
        <stp/>
        <stp>BDP|9053406041002816787</stp>
        <tr r="BI222" s="3"/>
      </tp>
      <tp t="s">
        <v>#N/A Requesting Data...2788700335</v>
        <stp/>
        <stp>BDP|8274507864991352649</stp>
        <tr r="O282" s="3"/>
      </tp>
      <tp t="s">
        <v>#N/A Requesting Data...3736374231</v>
        <stp/>
        <stp>BDP|7603171987430162266</stp>
        <tr r="BB131" s="3"/>
      </tp>
      <tp t="s">
        <v>#N/A Requesting Data...3900577272</v>
        <stp/>
        <stp>BDP|1836993346082758211</stp>
        <tr r="N8" s="2"/>
      </tp>
      <tp t="s">
        <v>#N/A N/A</v>
        <stp/>
        <stp>BDP|9930593279525023283</stp>
        <tr r="AM8" s="2"/>
      </tp>
      <tp t="s">
        <v>#N/A Requesting Data...3453106898</v>
        <stp/>
        <stp>BDP|8558562958937475390</stp>
        <tr r="BI104" s="3"/>
      </tp>
      <tp t="s">
        <v>#N/A Requesting Data...3231925610</v>
        <stp/>
        <stp>BDP|6527524130994506845</stp>
        <tr r="BA123" s="3"/>
      </tp>
      <tp t="s">
        <v>#N/A Requesting Data...4255070895</v>
        <stp/>
        <stp>BDP|3496336914668100545</stp>
        <tr r="F223" s="3"/>
      </tp>
      <tp t="s">
        <v>#N/A N/A</v>
        <stp/>
        <stp>BDP|9698346114506838186</stp>
        <tr r="P43" s="2"/>
      </tp>
      <tp t="s">
        <v>#N/A Requesting Data...3114689028</v>
        <stp/>
        <stp>BDP|7546632806808776516</stp>
        <tr r="M31" s="4"/>
      </tp>
      <tp t="s">
        <v>#N/A N/A</v>
        <stp/>
        <stp>BDP|3287644182986530778</stp>
        <tr r="P62" s="2"/>
      </tp>
      <tp t="s">
        <v>#N/A Requesting Data...3035955866</v>
        <stp/>
        <stp>BDP|8789596978097573159</stp>
        <tr r="AZ26" s="3"/>
      </tp>
      <tp t="s">
        <v>#N/A Requesting Data...3316273218</v>
        <stp/>
        <stp>BDP|2041999641585991673</stp>
        <tr r="BI169" s="3"/>
      </tp>
      <tp t="s">
        <v>#N/A Requesting Data...3908299595</v>
        <stp/>
        <stp>BDP|1484843423356089155</stp>
        <tr r="BH213" s="3"/>
      </tp>
      <tp t="s">
        <v>#N/A Requesting Data...3303248349</v>
        <stp/>
        <stp>BDP|9171177377115174662</stp>
        <tr r="BF40" s="3"/>
      </tp>
      <tp t="s">
        <v>#N/A Requesting Data...3863523633</v>
        <stp/>
        <stp>BDP|7105660954699454117</stp>
        <tr r="Q287" s="3"/>
      </tp>
      <tp t="s">
        <v>#N/A Requesting Data...3431198309</v>
        <stp/>
        <stp>BDP|7610653152180474830</stp>
        <tr r="BA321" s="3"/>
      </tp>
      <tp t="s">
        <v>#N/A N/A</v>
        <stp/>
        <stp>BDP|6174836850334428307</stp>
        <tr r="AD76" s="2"/>
      </tp>
      <tp t="s">
        <v>#N/A Requesting Data...3814764989</v>
        <stp/>
        <stp>BDP|4877315384040818334</stp>
        <tr r="BH257" s="3"/>
      </tp>
      <tp t="s">
        <v>#N/A Requesting Data...4153023708</v>
        <stp/>
        <stp>BDP|9424202173202824296</stp>
        <tr r="BH281" s="3"/>
      </tp>
      <tp t="s">
        <v>#N/A N/A</v>
        <stp/>
        <stp>BDP|8648712731024322432</stp>
        <tr r="AM93" s="2"/>
      </tp>
      <tp t="s">
        <v>#N/A Requesting Data...3445067743</v>
        <stp/>
        <stp>BDP|2379115006189387602</stp>
        <tr r="AZ276" s="3"/>
      </tp>
      <tp t="s">
        <v>#N/A Requesting Data...3824399043</v>
        <stp/>
        <stp>BDP|8739211825637563318</stp>
        <tr r="Q83" s="3"/>
      </tp>
      <tp t="s">
        <v>#N/A N/A</v>
        <stp/>
        <stp>BDP|2805729035519808306</stp>
        <tr r="AX67" s="2"/>
      </tp>
      <tp t="s">
        <v>#N/A Requesting Data...4204175748</v>
        <stp/>
        <stp>BDP|4208792518918250663</stp>
        <tr r="K332" s="3"/>
      </tp>
      <tp t="s">
        <v>#N/A Requesting Data...3450446858</v>
        <stp/>
        <stp>BDP|9663366842174096655</stp>
        <tr r="G34" s="4"/>
      </tp>
      <tp t="s">
        <v>#N/A Requesting Data...4088588155</v>
        <stp/>
        <stp>BDP|2067535981604719728</stp>
        <tr r="AQ78" s="3"/>
      </tp>
      <tp t="s">
        <v>#N/A N/A</v>
        <stp/>
        <stp>BDP|3095936555442369122</stp>
        <tr r="K36" s="2"/>
      </tp>
      <tp t="s">
        <v>#N/A Requesting Data...3396929139</v>
        <stp/>
        <stp>BDP|8308289941702893059</stp>
        <tr r="I59" s="4"/>
      </tp>
      <tp t="s">
        <v>#N/A Requesting Data...3546335906</v>
        <stp/>
        <stp>BDP|8701207368394193493</stp>
        <tr r="BB346" s="3"/>
      </tp>
      <tp t="s">
        <v>#N/A N/A</v>
        <stp/>
        <stp>BDP|7085838141963449413</stp>
        <tr r="N15" s="2"/>
      </tp>
      <tp t="s">
        <v>#N/A Requesting Data...4123491832</v>
        <stp/>
        <stp>BDP|4263231775688534563</stp>
        <tr r="O294" s="3"/>
      </tp>
      <tp t="s">
        <v>#N/A N/A</v>
        <stp/>
        <stp>BDP|9659684128360416152</stp>
        <tr r="N93" s="2"/>
      </tp>
      <tp t="s">
        <v>#N/A N/A</v>
        <stp/>
        <stp>BDP|9525113987199600520</stp>
        <tr r="AM26" s="2"/>
      </tp>
      <tp t="s">
        <v>#N/A Requesting Data...3037539209</v>
        <stp/>
        <stp>BDP|5533412570338251215</stp>
        <tr r="BA144" s="3"/>
      </tp>
      <tp t="s">
        <v>#N/A Requesting Data...3354109664</v>
        <stp/>
        <stp>BDP|3443937441672816096</stp>
        <tr r="M60" s="4"/>
      </tp>
      <tp t="s">
        <v>#N/A Requesting Data...3645728602</v>
        <stp/>
        <stp>BDP|3761716695011506014</stp>
        <tr r="AQ291" s="3"/>
      </tp>
      <tp t="s">
        <v>#N/A N/A</v>
        <stp/>
        <stp>BDP|8363535768614762384</stp>
        <tr r="AM46" s="2"/>
      </tp>
      <tp t="s">
        <v>#N/A Requesting Data...3484393312</v>
        <stp/>
        <stp>BDP|1185363486847124149</stp>
        <tr r="Y331" s="3"/>
      </tp>
      <tp t="s">
        <v>#N/A Requesting Data...3743376251</v>
        <stp/>
        <stp>BDP|2048363803208395526</stp>
        <tr r="AQ57" s="4"/>
      </tp>
      <tp t="s">
        <v>#N/A Requesting Data...3642549718</v>
        <stp/>
        <stp>BDP|6782249384364773448</stp>
        <tr r="F348" s="3"/>
      </tp>
      <tp t="s">
        <v>#N/A Requesting Data...4207590946</v>
        <stp/>
        <stp>BDP|8067645130847462640</stp>
        <tr r="AJ342" s="3"/>
      </tp>
      <tp t="s">
        <v>#N/A Requesting Data...3320188383</v>
        <stp/>
        <stp>BDP|2064240924009795732</stp>
        <tr r="Y210" s="3"/>
      </tp>
      <tp t="s">
        <v>#N/A Requesting Data...3268822442</v>
        <stp/>
        <stp>BDP|7265115264674483871</stp>
        <tr r="BA178" s="3"/>
      </tp>
      <tp t="s">
        <v>#N/A Requesting Data...3420471686</v>
        <stp/>
        <stp>BDP|9213199074010323385</stp>
        <tr r="I105" s="3"/>
      </tp>
      <tp t="s">
        <v>#N/A Requesting Data...3783369046</v>
        <stp/>
        <stp>BDP|9770087602681891411</stp>
        <tr r="AZ111" s="3"/>
      </tp>
      <tp t="s">
        <v>#N/A Requesting Data...3129721075</v>
        <stp/>
        <stp>BDP|5007101155279519443</stp>
        <tr r="BH5" s="3"/>
      </tp>
      <tp t="s">
        <v>#N/A Requesting Data...4081474203</v>
        <stp/>
        <stp>BDP|9278102646418327833</stp>
        <tr r="F270" s="3"/>
      </tp>
      <tp t="s">
        <v>#N/A N/A</v>
        <stp/>
        <stp>BDP|9315122054901391020</stp>
        <tr r="T60" s="2"/>
      </tp>
      <tp t="s">
        <v>#N/A N/A</v>
        <stp/>
        <stp>BDP|9620976691556200363</stp>
        <tr r="V81" s="2"/>
      </tp>
      <tp t="s">
        <v>#N/A Requesting Data...3157410637</v>
        <stp/>
        <stp>BDP|1246301794725659243</stp>
        <tr r="BG317" s="3"/>
      </tp>
      <tp t="s">
        <v>#N/A Requesting Data...3471121622</v>
        <stp/>
        <stp>BDP|7237049599183353189</stp>
        <tr r="Y239" s="3"/>
      </tp>
      <tp t="s">
        <v>#N/A Requesting Data...3163060328</v>
        <stp/>
        <stp>BDP|4079580652700745893</stp>
        <tr r="AZ44" s="3"/>
      </tp>
      <tp t="s">
        <v>#N/A Requesting Data...3906616683</v>
        <stp/>
        <stp>BDP|1458749074699020410</stp>
        <tr r="I245" s="3"/>
      </tp>
      <tp t="s">
        <v>#N/A Requesting Data...3242112456</v>
        <stp/>
        <stp>BDP|1052775192791195216</stp>
        <tr r="AJ62" s="3"/>
      </tp>
      <tp t="s">
        <v>#N/A Requesting Data...3469560908</v>
        <stp/>
        <stp>BDP|1148532631999143270</stp>
        <tr r="AQ61" s="4"/>
      </tp>
      <tp t="s">
        <v>#N/A Requesting Data...4287562881</v>
        <stp/>
        <stp>BDP|5966166188235090520</stp>
        <tr r="BI187" s="3"/>
      </tp>
      <tp t="s">
        <v>#N/A N/A</v>
        <stp/>
        <stp>BDP|4201604520854178860</stp>
        <tr r="AM70" s="2"/>
      </tp>
      <tp t="s">
        <v>#N/A N/A</v>
        <stp/>
        <stp>BDP|6432518801577735860</stp>
        <tr r="AV74" s="2"/>
      </tp>
      <tp t="s">
        <v>#N/A Requesting Data...3481250104</v>
        <stp/>
        <stp>BDP|9288417542670138556</stp>
        <tr r="AO12" s="4"/>
      </tp>
      <tp t="s">
        <v>#N/A Requesting Data...3273308174</v>
        <stp/>
        <stp>BDP|9975589112770764110</stp>
        <tr r="Q167" s="3"/>
      </tp>
      <tp t="s">
        <v>#N/A Requesting Data...3874993467</v>
        <stp/>
        <stp>BDP|3713058684542494574</stp>
        <tr r="BB238" s="3"/>
      </tp>
      <tp t="s">
        <v>#N/A Requesting Data...3972191367</v>
        <stp/>
        <stp>BDP|5313523287415175120</stp>
        <tr r="F264" s="3"/>
      </tp>
      <tp t="s">
        <v>#N/A Requesting Data...3378516189</v>
        <stp/>
        <stp>BDP|9240760006643727101</stp>
        <tr r="AH213" s="3"/>
      </tp>
      <tp t="s">
        <v>#N/A N/A</v>
        <stp/>
        <stp>BDP|8465011033950441779</stp>
        <tr r="BK51" s="2"/>
      </tp>
      <tp t="s">
        <v>#N/A Requesting Data...4228902143</v>
        <stp/>
        <stp>BDP|1936657489020642363</stp>
        <tr r="F157" s="3"/>
      </tp>
      <tp t="s">
        <v>#N/A Requesting Data...4222359845</v>
        <stp/>
        <stp>BDP|6147339141565698802</stp>
        <tr r="Q309" s="3"/>
      </tp>
      <tp t="s">
        <v>#N/A Requesting Data...3416190852</v>
        <stp/>
        <stp>BDP|2221741387479662823</stp>
        <tr r="AA122" s="3"/>
      </tp>
      <tp t="s">
        <v>#N/A Requesting Data...3425740498</v>
        <stp/>
        <stp>BDP|9633669144970438752</stp>
        <tr r="Q301" s="3"/>
      </tp>
      <tp t="s">
        <v>#N/A Requesting Data...3447942211</v>
        <stp/>
        <stp>BDP|3953143379710440950</stp>
        <tr r="AQ19" s="4"/>
      </tp>
      <tp t="s">
        <v>#N/A Requesting Data...4086558418</v>
        <stp/>
        <stp>BDP|5235880930200808275</stp>
        <tr r="AZ27" s="3"/>
      </tp>
      <tp t="s">
        <v>#N/A Requesting Data...3348827732</v>
        <stp/>
        <stp>BDP|2577127753053418955</stp>
        <tr r="AZ282" s="3"/>
      </tp>
      <tp t="s">
        <v>#N/A Requesting Data...3471120206</v>
        <stp/>
        <stp>BDP|8193499948615174145</stp>
        <tr r="AJ348" s="3"/>
      </tp>
      <tp t="s">
        <v>#N/A Requesting Data...3471059525</v>
        <stp/>
        <stp>BDP|1921778484792689093</stp>
        <tr r="AA254" s="3"/>
      </tp>
      <tp t="s">
        <v>#N/A Requesting Data...4040154604</v>
        <stp/>
        <stp>BDP|1348820241133116242</stp>
        <tr r="BA198" s="3"/>
      </tp>
      <tp t="s">
        <v>#N/A Requesting Data...3356535019</v>
        <stp/>
        <stp>BDP|7650569509528452775</stp>
        <tr r="AJ9" s="3"/>
      </tp>
      <tp t="s">
        <v>#N/A Requesting Data...4062207596</v>
        <stp/>
        <stp>BDP|5738353534838424083</stp>
        <tr r="AH71" s="3"/>
      </tp>
      <tp t="s">
        <v>#N/A Requesting Data...3877312315</v>
        <stp/>
        <stp>BDP|3989673153935330848</stp>
        <tr r="AF50" s="4"/>
      </tp>
      <tp t="s">
        <v>#N/A Requesting Data...3509498703</v>
        <stp/>
        <stp>BDP|8124142046930130082</stp>
        <tr r="K134" s="3"/>
      </tp>
      <tp t="s">
        <v>#N/A Requesting Data...4128314709</v>
        <stp/>
        <stp>BDP|8086454006857893615</stp>
        <tr r="BH220" s="3"/>
      </tp>
      <tp t="s">
        <v>#N/A N/A</v>
        <stp/>
        <stp>BDP|4167147082683990346</stp>
        <tr r="V37" s="2"/>
      </tp>
      <tp t="s">
        <v>#N/A N/A</v>
        <stp/>
        <stp>BDP|4588601281534819366</stp>
        <tr r="AD58" s="2"/>
      </tp>
      <tp t="s">
        <v>#N/A Requesting Data...3341463347</v>
        <stp/>
        <stp>BDP|2814278931379467701</stp>
        <tr r="O348" s="3"/>
      </tp>
      <tp t="s">
        <v>#N/A Requesting Data...3837998459</v>
        <stp/>
        <stp>BDP|9078332224776890356</stp>
        <tr r="AH129" s="3"/>
      </tp>
      <tp t="s">
        <v>#N/A Requesting Data...4182750529</v>
        <stp/>
        <stp>BDP|9470577169742417549</stp>
        <tr r="I91" s="3"/>
      </tp>
      <tp t="s">
        <v>#N/A Requesting Data...3826128503</v>
        <stp/>
        <stp>BDP|3436168989593466456</stp>
        <tr r="BB127" s="3"/>
      </tp>
      <tp t="s">
        <v>#N/A N/A</v>
        <stp/>
        <stp>BDP|1454575430599812315</stp>
        <tr r="T36" s="2"/>
      </tp>
      <tp t="s">
        <v>#N/A N/A</v>
        <stp/>
        <stp>BDP|8346242873033775394</stp>
        <tr r="BL76" s="2"/>
      </tp>
      <tp t="s">
        <v>#N/A Requesting Data...3701810767</v>
        <stp/>
        <stp>BDP|9623037462086595489</stp>
        <tr r="O153" s="3"/>
      </tp>
      <tp t="s">
        <v>#N/A Requesting Data...4206630691</v>
        <stp/>
        <stp>BDP|7800636397096778316</stp>
        <tr r="I61" s="4"/>
      </tp>
      <tp t="s">
        <v>#N/A Requesting Data...4057423319</v>
        <stp/>
        <stp>BDP|7210884235519259872</stp>
        <tr r="AS292" s="3"/>
      </tp>
      <tp t="s">
        <v>#N/A N/A</v>
        <stp/>
        <stp>BDP|9866114126631072655</stp>
        <tr r="P83" s="2"/>
      </tp>
      <tp t="s">
        <v>#N/A N/A</v>
        <stp/>
        <stp>BDP|6838607413004351827</stp>
        <tr r="BL38" s="2"/>
      </tp>
      <tp t="s">
        <v>#N/A Requesting Data...4262434909</v>
        <stp/>
        <stp>BDP|4757743696074959365</stp>
        <tr r="AJ73" s="3"/>
      </tp>
      <tp t="s">
        <v>#N/A N/A</v>
        <stp/>
        <stp>BDP|4160487827269691631</stp>
        <tr r="P15" s="2"/>
      </tp>
      <tp t="s">
        <v>#N/A Requesting Data...3782502228</v>
        <stp/>
        <stp>BDP|9888376634220769477</stp>
        <tr r="Q25" s="3"/>
      </tp>
      <tp t="s">
        <v>#N/A Requesting Data...3436115381</v>
        <stp/>
        <stp>BDP|9245896281305529142</stp>
        <tr r="AJ279" s="3"/>
      </tp>
      <tp t="s">
        <v>#N/A N/A</v>
        <stp/>
        <stp>BDP|4628435343670844956</stp>
        <tr r="AV31" s="2"/>
      </tp>
      <tp t="s">
        <v>#N/A Requesting Data...4265131083</v>
        <stp/>
        <stp>BDP|4650814400844858549</stp>
        <tr r="BH245" s="3"/>
      </tp>
      <tp t="s">
        <v>#N/A Requesting Data...3708779783</v>
        <stp/>
        <stp>BDP|7663872734114861567</stp>
        <tr r="I3" s="3"/>
      </tp>
      <tp t="s">
        <v>#N/A Requesting Data...3413892255</v>
        <stp/>
        <stp>BDP|9909403642251911597</stp>
        <tr r="AX43" s="4"/>
      </tp>
      <tp t="s">
        <v>#N/A Requesting Data...3878690975</v>
        <stp/>
        <stp>BDP|3029314354119777196</stp>
        <tr r="Q179" s="3"/>
      </tp>
      <tp t="s">
        <v>#N/A Requesting Data...4142813835</v>
        <stp/>
        <stp>BDP|9141604824414937471</stp>
        <tr r="K337" s="3"/>
      </tp>
      <tp t="s">
        <v>#N/A Requesting Data...4139735202</v>
        <stp/>
        <stp>BDP|9241734431727993717</stp>
        <tr r="Q195" s="3"/>
      </tp>
      <tp t="s">
        <v>#N/A Requesting Data...3506507761</v>
        <stp/>
        <stp>BDP|8515574138856166530</stp>
        <tr r="BB223" s="3"/>
      </tp>
      <tp t="s">
        <v>#N/A Requesting Data...3955208447</v>
        <stp/>
        <stp>BDP|5565133518908352052</stp>
        <tr r="I23" s="3"/>
      </tp>
      <tp t="s">
        <v>#N/A Requesting Data...3490428419</v>
        <stp/>
        <stp>BDP|7271981832786493643</stp>
        <tr r="AS159" s="3"/>
      </tp>
      <tp t="s">
        <v>#N/A Requesting Data...3984221074</v>
        <stp/>
        <stp>BDP|5568950750735197193</stp>
        <tr r="BM8" s="2"/>
      </tp>
      <tp t="s">
        <v>#N/A Requesting Data...3612595055</v>
        <stp/>
        <stp>BDP|8029151635092094580</stp>
        <tr r="Y200" s="3"/>
      </tp>
      <tp t="s">
        <v>#N/A N/A</v>
        <stp/>
        <stp>BDP|4893660023049151441</stp>
        <tr r="BG28" s="2"/>
      </tp>
      <tp t="s">
        <v>#N/A Requesting Data...3573081840</v>
        <stp/>
        <stp>BDP|8586060040779351887</stp>
        <tr r="AO49" s="4"/>
      </tp>
      <tp t="s">
        <v>#N/A N/A</v>
        <stp/>
        <stp>BDP|2850089695782450493</stp>
        <tr r="AD38" s="2"/>
      </tp>
      <tp t="s">
        <v>#N/A Requesting Data...4135552838</v>
        <stp/>
        <stp>BDP|9937470767341950789</stp>
        <tr r="BG201" s="3"/>
      </tp>
      <tp t="s">
        <v>#N/A Requesting Data...3939668079</v>
        <stp/>
        <stp>BDP|1243699215389373255</stp>
        <tr r="AH12" s="4"/>
      </tp>
      <tp t="s">
        <v>#N/A N/A</v>
        <stp/>
        <stp>BDP|5939750365191116806</stp>
        <tr r="K100" s="2"/>
      </tp>
      <tp t="s">
        <v>#N/A Requesting Data...3957930832</v>
        <stp/>
        <stp>BDP|8843784426589960974</stp>
        <tr r="I321" s="3"/>
      </tp>
      <tp t="s">
        <v>#N/A Requesting Data...3873351472</v>
        <stp/>
        <stp>BDP|2134788112641681853</stp>
        <tr r="BF307" s="3"/>
      </tp>
      <tp t="s">
        <v>#N/A Requesting Data...4171324413</v>
        <stp/>
        <stp>BDP|6051232285249746897</stp>
        <tr r="AH152" s="3"/>
      </tp>
      <tp t="s">
        <v>#N/A Requesting Data...4104624646</v>
        <stp/>
        <stp>BDP|8578304604826010081</stp>
        <tr r="AJ349" s="3"/>
      </tp>
      <tp t="s">
        <v>#N/A N/A</v>
        <stp/>
        <stp>BDP|7906760222517383877</stp>
        <tr r="AO18" s="2"/>
      </tp>
      <tp t="s">
        <v>#N/A Requesting Data...3789945616</v>
        <stp/>
        <stp>BDP|5752258979918796557</stp>
        <tr r="BB164" s="3"/>
      </tp>
      <tp t="s">
        <v>#N/A Requesting Data...4056417714</v>
        <stp/>
        <stp>BDP|3481799509270981946</stp>
        <tr r="AJ29" s="3"/>
      </tp>
      <tp t="s">
        <v>#N/A Requesting Data...4054223207</v>
        <stp/>
        <stp>BDP|2132815655252418088</stp>
        <tr r="F107" s="3"/>
      </tp>
      <tp t="s">
        <v>#N/A Requesting Data...4223998171</v>
        <stp/>
        <stp>BDP|6433143299811665260</stp>
        <tr r="AH209" s="3"/>
      </tp>
      <tp t="s">
        <v>#N/A Requesting Data...4178095662</v>
        <stp/>
        <stp>BDP|2813075917966752869</stp>
        <tr r="Y162" s="3"/>
      </tp>
      <tp t="s">
        <v>#N/A Requesting Data...3720293005</v>
        <stp/>
        <stp>BDP|3236581785031627200</stp>
        <tr r="AZ216" s="3"/>
      </tp>
      <tp t="s">
        <v>#N/A Requesting Data...3698612439</v>
        <stp/>
        <stp>BDP|6161928718945424665</stp>
        <tr r="BH337" s="3"/>
      </tp>
      <tp t="s">
        <v>#N/A Requesting Data...3581457120</v>
        <stp/>
        <stp>BDP|1096998703224451176</stp>
        <tr r="BA174" s="3"/>
      </tp>
      <tp t="s">
        <v>#N/A Requesting Data...4204949631</v>
        <stp/>
        <stp>BDP|1900618136118502129</stp>
        <tr r="BA170" s="3"/>
      </tp>
      <tp t="s">
        <v>#N/A Requesting Data...4092134123</v>
        <stp/>
        <stp>BDP|2684347419528713558</stp>
        <tr r="Q61" s="3"/>
      </tp>
      <tp t="s">
        <v>#N/A Requesting Data...3687953776</v>
        <stp/>
        <stp>BDP|6238848992133418998</stp>
        <tr r="I9" s="3"/>
      </tp>
      <tp t="s">
        <v>#N/A N/A</v>
        <stp/>
        <stp>BDP|6809184786197776586</stp>
        <tr r="BK42" s="2"/>
      </tp>
      <tp t="s">
        <v>#N/A Requesting Data...3681269399</v>
        <stp/>
        <stp>BDP|9460362813775034384</stp>
        <tr r="AJ240" s="3"/>
      </tp>
      <tp t="s">
        <v>#N/A Requesting Data...3594632898</v>
        <stp/>
        <stp>BDP|8215569316981309086</stp>
        <tr r="O149" s="3"/>
      </tp>
      <tp t="s">
        <v>#N/A Requesting Data...3922101899</v>
        <stp/>
        <stp>BDP|9137007752438962930</stp>
        <tr r="AX11" s="4"/>
      </tp>
      <tp t="s">
        <v>#N/A Requesting Data...3635383153</v>
        <stp/>
        <stp>BDP|4552103069247348966</stp>
        <tr r="AH288" s="3"/>
      </tp>
      <tp t="s">
        <v>#N/A N/A</v>
        <stp/>
        <stp>BDP|2871549603893482957</stp>
        <tr r="AV91" s="2"/>
      </tp>
      <tp t="s">
        <v>#N/A Requesting Data...4098736852</v>
        <stp/>
        <stp>BDP|3824048132768972591</stp>
        <tr r="BA16" s="3"/>
      </tp>
      <tp t="s">
        <v>#N/A N/A</v>
        <stp/>
        <stp>BDP|9317535546486937318</stp>
        <tr r="N48" s="2"/>
      </tp>
      <tp t="s">
        <v>#N/A Requesting Data...4075761561</v>
        <stp/>
        <stp>BDP|9904230656573183030</stp>
        <tr r="AQ20" s="3"/>
      </tp>
      <tp t="s">
        <v>#N/A N/A</v>
        <stp/>
        <stp>BDP|8777051065630862318</stp>
        <tr r="BN24" s="2"/>
      </tp>
      <tp t="s">
        <v>#N/A Requesting Data...3883974933</v>
        <stp/>
        <stp>BDP|8579112203463084798</stp>
        <tr r="AQ50" s="4"/>
      </tp>
      <tp t="s">
        <v>#N/A Requesting Data...3765249257</v>
        <stp/>
        <stp>BDP|5942907014620066033</stp>
        <tr r="AS226" s="3"/>
      </tp>
      <tp t="s">
        <v>#N/A Requesting Data...3840245482</v>
        <stp/>
        <stp>BDP|8210171558411569062</stp>
        <tr r="AH3" s="3"/>
      </tp>
      <tp t="s">
        <v>#N/A Requesting Data...3822115754</v>
        <stp/>
        <stp>BDP|6833606436649438740</stp>
        <tr r="G32" s="4"/>
      </tp>
      <tp t="s">
        <v>#N/A Requesting Data...3917758799</v>
        <stp/>
        <stp>BDP|5722890834585645620</stp>
        <tr r="G21" s="4"/>
      </tp>
      <tp t="s">
        <v>#N/A Requesting Data...4250020370</v>
        <stp/>
        <stp>BDP|3748136288837506079</stp>
        <tr r="O37" s="3"/>
      </tp>
      <tp t="s">
        <v>#N/A Requesting Data...4149442361</v>
        <stp/>
        <stp>BDP|9186157855723796382</stp>
        <tr r="AS45" s="3"/>
      </tp>
      <tp t="s">
        <v>#N/A Requesting Data...4096815669</v>
        <stp/>
        <stp>BDP|8276352312072200590</stp>
        <tr r="BA39" s="3"/>
      </tp>
      <tp t="s">
        <v>#N/A N/A</v>
        <stp/>
        <stp>BDP|9958212408847624194</stp>
        <tr r="K56" s="2"/>
      </tp>
      <tp t="s">
        <v>#N/A Requesting Data...4073385357</v>
        <stp/>
        <stp>BDP|1973053222879962781</stp>
        <tr r="AH92" s="3"/>
      </tp>
      <tp t="s">
        <v>#N/A N/A</v>
        <stp/>
        <stp>BDP|5330936398949440133</stp>
        <tr r="N12" s="2"/>
      </tp>
      <tp t="s">
        <v>#N/A N/A</v>
        <stp/>
        <stp>BDP|1994543914001143975</stp>
        <tr r="BE80" s="2"/>
      </tp>
      <tp t="s">
        <v>#N/A Requesting Data...3959011131</v>
        <stp/>
        <stp>BDP|6136976449783612569</stp>
        <tr r="AQ22" s="4"/>
      </tp>
      <tp t="s">
        <v>#N/A N/A</v>
        <stp/>
        <stp>BDP|3269299204628802483</stp>
        <tr r="T85" s="2"/>
      </tp>
      <tp t="s">
        <v>#N/A Requesting Data...4253108783</v>
        <stp/>
        <stp>BDP|9881710312702428002</stp>
        <tr r="F194" s="3"/>
      </tp>
      <tp t="s">
        <v>#N/A Requesting Data...3789876911</v>
        <stp/>
        <stp>BDP|9297754679755715168</stp>
        <tr r="Y73" s="3"/>
      </tp>
      <tp t="s">
        <v>#N/A Requesting Data...3944161457</v>
        <stp/>
        <stp>BDP|1740296479451902815</stp>
        <tr r="AZ288" s="3"/>
      </tp>
      <tp t="s">
        <v>#N/A N/A</v>
        <stp/>
        <stp>BDP|4609722306707856953</stp>
        <tr r="N74" s="2"/>
      </tp>
      <tp t="s">
        <v>#N/A N/A</v>
        <stp/>
        <stp>BDP|3927696089591045166</stp>
        <tr r="AX65" s="2"/>
      </tp>
      <tp t="s">
        <v>#N/A Requesting Data...3850070565</v>
        <stp/>
        <stp>BDP|6432970641645929345</stp>
        <tr r="AA301" s="3"/>
      </tp>
      <tp t="s">
        <v>#N/A Requesting Data...4216650611</v>
        <stp/>
        <stp>BDP|9169047618090355511</stp>
        <tr r="F78" s="3"/>
      </tp>
      <tp t="s">
        <v>#N/A N/A</v>
        <stp/>
        <stp>BDP|3492211452070071989</stp>
        <tr r="AO21" s="2"/>
      </tp>
      <tp t="s">
        <v>#N/A Requesting Data...4269551715</v>
        <stp/>
        <stp>BDP|3830258061709855380</stp>
        <tr r="BB270" s="3"/>
      </tp>
      <tp t="s">
        <v>#N/A Requesting Data...4043329224</v>
        <stp/>
        <stp>BDP|8474077642997935643</stp>
        <tr r="K89" s="3"/>
      </tp>
      <tp t="s">
        <v>#N/A N/A</v>
        <stp/>
        <stp>BDP|7673029661374958801</stp>
        <tr r="AV95" s="2"/>
      </tp>
      <tp t="s">
        <v>#N/A Requesting Data...4149728758</v>
        <stp/>
        <stp>BDP|3143451842368298687</stp>
        <tr r="G44" s="4"/>
      </tp>
      <tp t="s">
        <v>#N/A Requesting Data...3908535807</v>
        <stp/>
        <stp>BDP|1743678894123915014</stp>
        <tr r="BI280" s="3"/>
      </tp>
      <tp t="s">
        <v>#N/A Requesting Data...3984651394</v>
        <stp/>
        <stp>BDP|3176367367719968259</stp>
        <tr r="AJ205" s="3"/>
      </tp>
      <tp t="s">
        <v>#N/A Requesting Data...3975479348</v>
        <stp/>
        <stp>BDP|3934736480954529534</stp>
        <tr r="BG323" s="3"/>
      </tp>
      <tp t="s">
        <v>#N/A Requesting Data...4189131555</v>
        <stp/>
        <stp>BDP|3855805266637692742</stp>
        <tr r="BH44" s="3"/>
      </tp>
      <tp t="s">
        <v>#N/A Requesting Data...4202732265</v>
        <stp/>
        <stp>BDP|6267744199082296716</stp>
        <tr r="K179" s="3"/>
      </tp>
      <tp t="s">
        <v>#N/A Requesting Data...3890166574</v>
        <stp/>
        <stp>BDP|1224959078624599668</stp>
        <tr r="BH4" s="3"/>
      </tp>
      <tp t="s">
        <v>#N/A Requesting Data...4289663256</v>
        <stp/>
        <stp>BDP|7728467396986246197</stp>
        <tr r="BB244" s="3"/>
      </tp>
      <tp t="s">
        <v>#N/A Requesting Data...4115440246</v>
        <stp/>
        <stp>BDP|5988905952810332449</stp>
        <tr r="AS142" s="3"/>
      </tp>
      <tp t="s">
        <v>#N/A N/A</v>
        <stp/>
        <stp>BDP|7011721274812916837</stp>
        <tr r="N35" s="2"/>
      </tp>
      <tp t="s">
        <v>#N/A Requesting Data...4164983796</v>
        <stp/>
        <stp>BDP|7495179016668997201</stp>
        <tr r="F332" s="3"/>
      </tp>
      <tp t="s">
        <v>#N/A N/A</v>
        <stp/>
        <stp>BDP|6658269483202945364</stp>
        <tr r="AO39" s="2"/>
      </tp>
      <tp t="s">
        <v>#N/A Requesting Data...4067999929</v>
        <stp/>
        <stp>BDP|8506179544120958033</stp>
        <tr r="BI269" s="3"/>
      </tp>
      <tp t="s">
        <v>#N/A N/A</v>
        <stp/>
        <stp>BDP|3979656902339418160</stp>
        <tr r="K21" s="2"/>
      </tp>
      <tp t="s">
        <v>#N/A Requesting Data...4009928782</v>
        <stp/>
        <stp>BDP|2198660029983522876</stp>
        <tr r="BA270" s="3"/>
      </tp>
      <tp t="s">
        <v>#N/A Requesting Data...4051710076</v>
        <stp/>
        <stp>BDP|8858946986792023662</stp>
        <tr r="BG234" s="3"/>
      </tp>
      <tp t="s">
        <v>#N/A Requesting Data...4252010143</v>
        <stp/>
        <stp>BDP|9873240825182326663</stp>
        <tr r="BF258" s="3"/>
      </tp>
      <tp t="s">
        <v>#N/A Requesting Data...3913059166</v>
        <stp/>
        <stp>BDP|9842081648380179057</stp>
        <tr r="BA104" s="3"/>
      </tp>
      <tp t="s">
        <v>#N/A Requesting Data...3927997642</v>
        <stp/>
        <stp>BDP|8171407658641350565</stp>
        <tr r="AJ195" s="3"/>
      </tp>
      <tp t="s">
        <v>#N/A Requesting Data...4227491700</v>
        <stp/>
        <stp>BDP|8573451409392054356</stp>
        <tr r="AZ303" s="3"/>
      </tp>
      <tp t="s">
        <v>#N/A Requesting Data...4263757706</v>
        <stp/>
        <stp>BDP|9790598052397020318</stp>
        <tr r="BF175" s="3"/>
      </tp>
      <tp t="s">
        <v>#N/A N/A</v>
        <stp/>
        <stp>BDP|5773984772037398130</stp>
        <tr r="N95" s="2"/>
      </tp>
      <tp t="s">
        <v>#N/A Requesting Data...4193230464</v>
        <stp/>
        <stp>BDP|7222927847253897424</stp>
        <tr r="I47" s="4"/>
      </tp>
      <tp t="s">
        <v>#N/A Requesting Data...3930139351</v>
        <stp/>
        <stp>BDP|8151983047341391901</stp>
        <tr r="AS346" s="3"/>
      </tp>
      <tp t="s">
        <v>#N/A Requesting Data...4243957890</v>
        <stp/>
        <stp>BDP|7834651846740715818</stp>
        <tr r="O339" s="3"/>
      </tp>
      <tp t="s">
        <v>#N/A Requesting Data...4195220749</v>
        <stp/>
        <stp>BDP|7722475680217898153</stp>
        <tr r="AA179" s="3"/>
      </tp>
      <tp t="s">
        <v>#N/A Requesting Data...4207285142</v>
        <stp/>
        <stp>BDP|9036529206539840815</stp>
        <tr r="BF59" s="3"/>
      </tp>
      <tp t="s">
        <v>#N/A Requesting Data...4028346494</v>
        <stp/>
        <stp>BDP|1618376996312392493</stp>
        <tr r="Y255" s="3"/>
      </tp>
      <tp t="s">
        <v>#N/A Requesting Data...3970730112</v>
        <stp/>
        <stp>BDP|7033161382187879415</stp>
        <tr r="BI38" s="3"/>
      </tp>
      <tp t="s">
        <v>#N/A N/A</v>
        <stp/>
        <stp>BDP|3009488470055614838</stp>
        <tr r="AD87" s="2"/>
      </tp>
      <tp t="s">
        <v>#N/A N/A</v>
        <stp/>
        <stp>BDP|4528107988786667665</stp>
        <tr r="AO50" s="2"/>
      </tp>
      <tp t="s">
        <v>#N/A Requesting Data...3957321225</v>
        <stp/>
        <stp>BDP|8079741723159874923</stp>
        <tr r="K135" s="3"/>
      </tp>
      <tp t="s">
        <v>#N/A N/A</v>
        <stp/>
        <stp>BDP|7085768673708001283</stp>
        <tr r="K97" s="2"/>
      </tp>
      <tp t="s">
        <v>#N/A Requesting Data...4147459487</v>
        <stp/>
        <stp>BDP|8174312448273340164</stp>
        <tr r="K292" s="3"/>
      </tp>
      <tp t="s">
        <v>#N/A Requesting Data...4229745190</v>
        <stp/>
        <stp>BDP|8583774938583570229</stp>
        <tr r="AH86" s="3"/>
      </tp>
      <tp t="s">
        <v>#N/A Requesting Data...4164592953</v>
        <stp/>
        <stp>BDP|6219197186927097501</stp>
        <tr r="BB338" s="3"/>
      </tp>
      <tp t="s">
        <v>#N/A Requesting Data...4028047376</v>
        <stp/>
        <stp>BDP|4539804448320525550</stp>
        <tr r="AZ350" s="3"/>
      </tp>
      <tp t="s">
        <v>#N/A N/A</v>
        <stp/>
        <stp>BDP|5357291655186441998</stp>
        <tr r="BF66" s="2"/>
      </tp>
      <tp t="s">
        <v>#N/A N/A</v>
        <stp/>
        <stp>BDP|5489613277119833081</stp>
        <tr r="BE72" s="2"/>
      </tp>
      <tp t="s">
        <v>#N/A Requesting Data...4098918842</v>
        <stp/>
        <stp>BDP|3458001841098390247</stp>
        <tr r="I31" s="4"/>
      </tp>
      <tp t="s">
        <v>#N/A Requesting Data...3965447064</v>
        <stp/>
        <stp>BDP|4752759185056526003</stp>
        <tr r="BA284" s="3"/>
      </tp>
      <tp t="s">
        <v>#N/A Requesting Data...4214066284</v>
        <stp/>
        <stp>BDP|9380506904769611835</stp>
        <tr r="AA251" s="3"/>
      </tp>
      <tp t="s">
        <v>#N/A Requesting Data...4017861193</v>
        <stp/>
        <stp>BDP|2239645040898270565</stp>
        <tr r="AF16" s="2"/>
        <tr r="Y8" s="4"/>
      </tp>
      <tp t="s">
        <v>#N/A Requesting Data...4167056108</v>
        <stp/>
        <stp>BDP|7350709521298104711</stp>
        <tr r="K47" s="3"/>
      </tp>
      <tp t="s">
        <v>#N/A Requesting Data...4110392607</v>
        <stp/>
        <stp>BDP|6291875710302752004</stp>
        <tr r="N3" s="2"/>
        <tr r="I316" s="3"/>
      </tp>
      <tp t="s">
        <v>#N/A N/A</v>
        <stp/>
        <stp>BDP|8066255577868610864</stp>
        <tr r="K58" s="2"/>
      </tp>
      <tp t="s">
        <v>#N/A Requesting Data...4249552245</v>
        <stp/>
        <stp>BDP|8332580468083960584</stp>
        <tr r="BG50" s="3"/>
      </tp>
      <tp t="s">
        <v>#N/A Requesting Data...4206931047</v>
        <stp/>
        <stp>BDP|2564151537038340560</stp>
        <tr r="BA167" s="3"/>
      </tp>
      <tp t="s">
        <v>#N/A N/A</v>
        <stp/>
        <stp>BDP|8339362275559065821</stp>
        <tr r="N96" s="2"/>
      </tp>
      <tp t="s">
        <v>#N/A Requesting Data...4044778303</v>
        <stp/>
        <stp>BDP|2334101132304034937</stp>
        <tr r="AZ309" s="3"/>
      </tp>
      <tp t="s">
        <v>#N/A N/A</v>
        <stp/>
        <stp>BDP|5141633634075563814</stp>
        <tr r="AD25" s="2"/>
      </tp>
      <tp t="s">
        <v>#N/A Requesting Data...4266813871</v>
        <stp/>
        <stp>BDP|1883313044168789387</stp>
        <tr r="AO50" s="4"/>
      </tp>
      <tp t="s">
        <v>#N/A Requesting Data...4201442841</v>
        <stp/>
        <stp>BDP|1290258913499780619</stp>
        <tr r="AO60" s="4"/>
      </tp>
      <tp t="s">
        <v>#N/A Requesting Data...4265218925</v>
        <stp/>
        <stp>BDP|8778070143201513040</stp>
        <tr r="BI99" s="3"/>
      </tp>
      <tp t="s">
        <v>#N/A Requesting Data...4290729771</v>
        <stp/>
        <stp>BDP|4345294149669854694</stp>
        <tr r="AX7" s="2"/>
      </tp>
      <tp t="s">
        <v>#N/A Requesting Data...4108156110</v>
        <stp/>
        <stp>BDP|5618953338351813316</stp>
        <tr r="Y125" s="3"/>
      </tp>
      <tp t="s">
        <v>#N/A Requesting Data...4293991297</v>
        <stp/>
        <stp>BDP|2998689808881318891</stp>
        <tr r="BA351" s="3"/>
      </tp>
      <tp t="s">
        <v>#N/A N/A</v>
        <stp/>
        <stp>BDP|3064155763921143846</stp>
        <tr r="BN64" s="2"/>
      </tp>
      <tp t="s">
        <v>#N/A N/A</v>
        <stp/>
        <stp>BDP|6519451580123097432</stp>
        <tr r="BL43" s="2"/>
      </tp>
      <tp t="s">
        <v>#N/A Requesting Data...4163635942</v>
        <stp/>
        <stp>BDP|9602653220386444649</stp>
        <tr r="BG313" s="3"/>
      </tp>
      <tp t="s">
        <v>#N/A Requesting Data...4127626031</v>
        <stp/>
        <stp>BDP|5946582092820996498</stp>
        <tr r="AO44" s="4"/>
      </tp>
      <tp t="s">
        <v>#N/A Requesting Data...4262091518</v>
        <stp/>
        <stp>BDP|9337978489194902175</stp>
        <tr r="BH41" s="3"/>
      </tp>
      <tp t="s">
        <v>#N/A N/A</v>
        <stp/>
        <stp>BDP|4813169501709466187</stp>
        <tr r="K82" s="2"/>
      </tp>
      <tp t="s">
        <v>#N/A Requesting Data...4163899299</v>
        <stp/>
        <stp>BDP|7654958636863260342</stp>
        <tr r="BN8" s="2"/>
      </tp>
      <tp t="s">
        <v>#N/A N/A</v>
        <stp/>
        <stp>BDP|7841742584560366584</stp>
        <tr r="T38" s="2"/>
      </tp>
      <tp t="s">
        <v>#N/A Requesting Data...4277565189</v>
        <stp/>
        <stp>BDP|2174333891526308330</stp>
        <tr r="BF12" s="3"/>
      </tp>
      <tp t="s">
        <v>#N/A Requesting Data...4203103394</v>
        <stp/>
        <stp>BDP|5488481889343534738</stp>
        <tr r="AZ130" s="3"/>
      </tp>
      <tp t="s">
        <v>#N/A Requesting Data...4285248876</v>
        <stp/>
        <stp>BDP|3852290471563789848</stp>
        <tr r="Y67" s="3"/>
      </tp>
      <tp t="s">
        <v>#N/A Requesting Data...4288090522</v>
        <stp/>
        <stp>BDP|3163880553977041498</stp>
        <tr r="AA39" s="3"/>
      </tp>
      <tp t="s">
        <v>#N/A Requesting Data...4184803607</v>
        <stp/>
        <stp>BDP|5223401072019637255</stp>
        <tr r="O139" s="3"/>
      </tp>
      <tp t="s">
        <v>#N/A Requesting Data...4190666474</v>
        <stp/>
        <stp>BDP|9512428833222576128</stp>
        <tr r="AQ143" s="3"/>
      </tp>
      <tp t="s">
        <v>#N/A Requesting Data...4164246599</v>
        <stp/>
        <stp>BDP|1941907624890889765</stp>
        <tr r="BG269" s="3"/>
      </tp>
      <tp t="s">
        <v>#N/A N/A</v>
        <stp/>
        <stp>BDP|8491519566200853681</stp>
        <tr r="AF79" s="2"/>
      </tp>
      <tp t="s">
        <v>#N/A Requesting Data...4250253457</v>
        <stp/>
        <stp>BDP|4520636098460836655</stp>
        <tr r="BA204" s="3"/>
      </tp>
      <tp t="s">
        <v>#N/A Requesting Data...4161617465</v>
        <stp/>
        <stp>BDP|5465226551029685611</stp>
        <tr r="G42" s="4"/>
      </tp>
      <tp t="s">
        <v>#N/A Requesting Data...4202614410</v>
        <stp/>
        <stp>BDP|8553414300287520618</stp>
        <tr r="O13" s="4"/>
      </tp>
      <tp t="s">
        <v>#N/A Requesting Data...4280005115</v>
        <stp/>
        <stp>BDP|6929494142532105938</stp>
        <tr r="AH33" s="4"/>
      </tp>
      <tp t="s">
        <v>#N/A Requesting Data...4177264708</v>
        <stp/>
        <stp>BDP|9346166620505345269</stp>
        <tr r="AA52" s="3"/>
      </tp>
      <tp t="s">
        <v>#N/A N/A</v>
        <stp/>
        <stp>BDP|5179859094040750976</stp>
        <tr r="BF27" s="2"/>
      </tp>
      <tp t="s">
        <v>#N/A Requesting Data...4245123656</v>
        <stp/>
        <stp>BDP|2873854374133073399</stp>
        <tr r="Q98" s="3"/>
      </tp>
      <tp t="s">
        <v>#N/A Requesting Data...4265672973</v>
        <stp/>
        <stp>BDP|6433637298561671598</stp>
        <tr r="BG132" s="3"/>
      </tp>
      <tp t="s">
        <v>#N/A N/A</v>
        <stp/>
        <stp>BDP|6055005882521259200</stp>
        <tr r="AV80" s="2"/>
      </tp>
      <tp t="s">
        <v>#N/A Requesting Data...4293914664</v>
        <stp/>
        <stp>BDP|5564636891225249252</stp>
        <tr r="AS96" s="3"/>
      </tp>
      <tp t="s">
        <v>#N/A Requesting Data...4234500933</v>
        <stp/>
        <stp>BDP|2066795685404900453</stp>
        <tr r="BG151" s="3"/>
      </tp>
      <tp t="s">
        <v>#N/A Requesting Data...4225808331</v>
        <stp/>
        <stp>BDP|6268314583690535053</stp>
        <tr r="AS69" s="3"/>
      </tp>
      <tp t="s">
        <v>#N/A N/A</v>
        <stp/>
        <stp>BDP|6194441420898511507</stp>
        <tr r="T43" s="2"/>
      </tp>
      <tp t="s">
        <v>#N/A Requesting Data...4257297417</v>
        <stp/>
        <stp>BDP|7396651943168081057</stp>
        <tr r="O135" s="3"/>
      </tp>
      <tp t="s">
        <v>#N/A Requesting Data...4264325332</v>
        <stp/>
        <stp>BDP|2803847669418789932</stp>
        <tr r="BG183" s="3"/>
      </tp>
      <tp t="s">
        <v>#N/A Requesting Data...4230992144</v>
        <stp/>
        <stp>BDP|3100138895056602001</stp>
        <tr r="AJ96" s="3"/>
      </tp>
      <tp t="s">
        <v>#N/A Requesting Data...4258330079</v>
        <stp/>
        <stp>BDP|7266107088901905220</stp>
        <tr r="O170" s="3"/>
      </tp>
      <tp t="s">
        <v>#N/A Requesting Data...4236098922</v>
        <stp/>
        <stp>BDP|4240455270303138979</stp>
        <tr r="AZ102" s="3"/>
      </tp>
      <tp t="s">
        <v>#N/A N/A</v>
        <stp/>
        <stp>BDP|6610945537404720538</stp>
        <tr r="AX6" s="4"/>
      </tp>
      <tp t="s">
        <v>#N/A Requesting Data...4258568574</v>
        <stp/>
        <stp>BDP|7989165251748924662</stp>
        <tr r="AJ15" s="3"/>
      </tp>
      <tp t="s">
        <v>#N/A Requesting Data...4288047702</v>
        <stp/>
        <stp>BDP|6118849575015850190</stp>
        <tr r="I96" s="3"/>
      </tp>
      <tp t="s">
        <v>#N/A Requesting Data...4284293327</v>
        <stp/>
        <stp>BDP|5125039233288824386</stp>
        <tr r="AS194" s="3"/>
      </tp>
      <tp t="s">
        <v>#N/A Requesting Data...4292151580</v>
        <stp/>
        <stp>BDP|5512279808702314882</stp>
        <tr r="I170" s="3"/>
      </tp>
      <tp t="s">
        <v>#N/A Requesting Data...4280349712</v>
        <stp/>
        <stp>BDP|3300529340486755979</stp>
        <tr r="BG131" s="3"/>
      </tp>
      <tp t="s">
        <v>#N/A Requesting Data...4273961013</v>
        <stp/>
        <stp>BDP|7308928251485399324</stp>
        <tr r="BB193" s="3"/>
      </tp>
      <tp t="s">
        <v>#N/A N/A</v>
        <stp/>
        <stp>BDP|1370051183845782135</stp>
        <tr r="T81" s="2"/>
      </tp>
      <tp t="s">
        <v>#N/A Requesting Data...2512485160</v>
        <stp/>
        <stp>BDP|6554475386645220270</stp>
        <tr r="F37" s="3"/>
      </tp>
      <tp t="s">
        <v>#N/A N/A</v>
        <stp/>
        <stp>BDP|1211857752211494074</stp>
        <tr r="BN12" s="2"/>
      </tp>
      <tp t="s">
        <v>#N/A Requesting Data...1628150284</v>
        <stp/>
        <stp>BDP|2762202562028446378</stp>
        <tr r="K108" s="3"/>
      </tp>
      <tp t="s">
        <v>#N/A Requesting Data...3247360065</v>
        <stp/>
        <stp>BDP|1841944503953815613</stp>
        <tr r="AA35" s="3"/>
      </tp>
      <tp t="s">
        <v>#N/A Requesting Data...700346932</v>
        <stp/>
        <stp>BDP|5002915404947466677</stp>
        <tr r="I260" s="3"/>
      </tp>
      <tp t="s">
        <v>#N/A Requesting Data...3981076629</v>
        <stp/>
        <stp>BDP|8601466735254483670</stp>
        <tr r="AA4" s="3"/>
      </tp>
      <tp t="s">
        <v>#N/A Requesting Data...2410653909</v>
        <stp/>
        <stp>BDP|2493854977712026207</stp>
        <tr r="BH294" s="3"/>
      </tp>
      <tp t="s">
        <v>#N/A Requesting Data...2298756557</v>
        <stp/>
        <stp>BDP|5593308495743388150</stp>
        <tr r="BF204" s="3"/>
      </tp>
      <tp t="s">
        <v>#N/A Requesting Data...1779169872</v>
        <stp/>
        <stp>BDP|7467664457631715845</stp>
        <tr r="AH111" s="3"/>
      </tp>
      <tp t="s">
        <v>#N/A Requesting Data...1742498225</v>
        <stp/>
        <stp>BDP|7056055236739643030</stp>
        <tr r="BA99" s="3"/>
      </tp>
      <tp t="s">
        <v>#N/A Requesting Data...1311277170</v>
        <stp/>
        <stp>BDP|3533167439624503890</stp>
        <tr r="G51" s="4"/>
      </tp>
      <tp t="s">
        <v>#N/A Requesting Data...2625782612</v>
        <stp/>
        <stp>BDP|5139915183310202977</stp>
        <tr r="I265" s="3"/>
      </tp>
      <tp t="s">
        <v>#N/A Requesting Data...3559583592</v>
        <stp/>
        <stp>BDP|7652322792052235221</stp>
        <tr r="AA269" s="3"/>
      </tp>
      <tp t="s">
        <v>#N/A Requesting Data...2252824046</v>
        <stp/>
        <stp>BDP|1038816002053622732</stp>
        <tr r="BH73" s="3"/>
      </tp>
      <tp t="s">
        <v>#N/A N/A</v>
        <stp/>
        <stp>BDP|1946277470529106092</stp>
        <tr r="P89" s="2"/>
      </tp>
      <tp t="s">
        <v>#N/A Requesting Data...1327782635</v>
        <stp/>
        <stp>BDP|4659851729774955752</stp>
        <tr r="BA208" s="3"/>
      </tp>
      <tp t="s">
        <v>#N/A Requesting Data...1696091549</v>
        <stp/>
        <stp>BDP|3578180817986895843</stp>
        <tr r="AZ177" s="3"/>
      </tp>
      <tp t="s">
        <v>#N/A Requesting Data...2180020556</v>
        <stp/>
        <stp>BDP|7932583055798298208</stp>
        <tr r="BF25" s="3"/>
      </tp>
      <tp t="s">
        <v>#N/A Requesting Data...2021727388</v>
        <stp/>
        <stp>BDP|2360853116117585125</stp>
        <tr r="AQ101" s="3"/>
      </tp>
      <tp t="s">
        <v>#N/A Requesting Data...886916108</v>
        <stp/>
        <stp>BDP|4793343643077037970</stp>
        <tr r="BB140" s="3"/>
      </tp>
      <tp t="s">
        <v>#N/A Requesting Data...531722693</v>
        <stp/>
        <stp>BDP|2406867995996563850</stp>
        <tr r="BI310" s="3"/>
      </tp>
      <tp t="s">
        <v>#N/A Requesting Data...547888849</v>
        <stp/>
        <stp>BDP|9643933597475300168</stp>
        <tr r="BG190" s="3"/>
      </tp>
      <tp t="s">
        <v>#N/A Requesting Data...845758769</v>
        <stp/>
        <stp>BDP|5408771407217563869</stp>
        <tr r="BH108" s="3"/>
      </tp>
      <tp t="s">
        <v>#N/A Requesting Data...3066399257</v>
        <stp/>
        <stp>BDP|6342756035537715839</stp>
        <tr r="BF38" s="3"/>
      </tp>
      <tp t="s">
        <v>#N/A Requesting Data...2306838505</v>
        <stp/>
        <stp>BDP|4040890299881426931</stp>
        <tr r="K212" s="3"/>
      </tp>
      <tp t="s">
        <v>#N/A Requesting Data...964076532</v>
        <stp/>
        <stp>BDP|2204462762469552442</stp>
        <tr r="K182" s="3"/>
      </tp>
      <tp t="s">
        <v>#N/A Requesting Data...489790352</v>
        <stp/>
        <stp>BDP|5608914914095039546</stp>
        <tr r="AQ107" s="3"/>
      </tp>
      <tp t="s">
        <v>#N/A Requesting Data...1020272505</v>
        <stp/>
        <stp>BDP|5828928560890917742</stp>
        <tr r="O211" s="3"/>
      </tp>
      <tp t="s">
        <v>#N/A Requesting Data...3194239280</v>
        <stp/>
        <stp>BDP|1641456681343706321</stp>
        <tr r="K84" s="3"/>
      </tp>
      <tp t="s">
        <v>#N/A Requesting Data...3362885737</v>
        <stp/>
        <stp>BDP|1072216947428336226</stp>
        <tr r="F125" s="3"/>
      </tp>
      <tp t="s">
        <v>#N/A Requesting Data...399102146</v>
        <stp/>
        <stp>BDP|7393011517349190231</stp>
        <tr r="AA86" s="3"/>
      </tp>
      <tp t="s">
        <v>#N/A N/A</v>
        <stp/>
        <stp>BDP|2084911815270008738</stp>
        <tr r="AF7" s="2"/>
      </tp>
      <tp t="s">
        <v>#N/A Requesting Data...4195184279</v>
        <stp/>
        <stp>BDP|9504677528204574487</stp>
        <tr r="K188" s="3"/>
      </tp>
      <tp t="s">
        <v>#N/A N/A</v>
        <stp/>
        <stp>BDP|9612656025202030213</stp>
        <tr r="BL46" s="2"/>
      </tp>
      <tp t="s">
        <v>#N/A N/A</v>
        <stp/>
        <stp>BDP|9500750905457074426</stp>
        <tr r="AV97" s="2"/>
      </tp>
      <tp t="s">
        <v>#N/A Requesting Data...1148065341</v>
        <stp/>
        <stp>BDP|4042703978190784989</stp>
        <tr r="BG64" s="3"/>
      </tp>
      <tp t="s">
        <v>#N/A Requesting Data...4175815304</v>
        <stp/>
        <stp>BDP|2795860247936636575</stp>
        <tr r="Y234" s="3"/>
      </tp>
      <tp t="s">
        <v>#N/A Requesting Data...2999523051</v>
        <stp/>
        <stp>BDP|5585987514265555580</stp>
        <tr r="AS243" s="3"/>
      </tp>
      <tp t="s">
        <v>#N/A Requesting Data...2829385911</v>
        <stp/>
        <stp>BDP|2970670487861818056</stp>
        <tr r="AS120" s="3"/>
      </tp>
      <tp t="s">
        <v>#N/A N/A</v>
        <stp/>
        <stp>BDP|5210524242890249942</stp>
        <tr r="BG16" s="2"/>
      </tp>
      <tp t="s">
        <v>#N/A Requesting Data...4089963616</v>
        <stp/>
        <stp>BDP|5433850176881187628</stp>
        <tr r="AF18" s="4"/>
      </tp>
      <tp t="s">
        <v>#N/A N/A</v>
        <stp/>
        <stp>BDP|3009805836383096624</stp>
        <tr r="BG86" s="2"/>
      </tp>
      <tp t="s">
        <v>#N/A Requesting Data...3124941632</v>
        <stp/>
        <stp>BDP|4238906153830156542</stp>
        <tr r="BG182" s="3"/>
      </tp>
      <tp t="s">
        <v>#N/A Requesting Data...2043483010</v>
        <stp/>
        <stp>BDP|5271229428819458189</stp>
        <tr r="I53" s="3"/>
      </tp>
      <tp t="s">
        <v>#N/A N/A</v>
        <stp/>
        <stp>BDP|4497256633079521133</stp>
        <tr r="BE57" s="2"/>
      </tp>
      <tp t="s">
        <v>#N/A Requesting Data...3455949530</v>
        <stp/>
        <stp>BDP|4372293988625093665</stp>
        <tr r="BA223" s="3"/>
      </tp>
      <tp t="s">
        <v>#N/A N/A</v>
        <stp/>
        <stp>BDP|3372866124862607638</stp>
        <tr r="K14" s="2"/>
      </tp>
      <tp t="s">
        <v>#N/A Requesting Data...4272467749</v>
        <stp/>
        <stp>BDP|1430869765677292517</stp>
        <tr r="AQ205" s="3"/>
      </tp>
      <tp t="s">
        <v>#N/A Requesting Data...3796958725</v>
        <stp/>
        <stp>BDP|5522079318728703198</stp>
        <tr r="AJ194" s="3"/>
      </tp>
      <tp t="s">
        <v>#N/A Requesting Data...4003119645</v>
        <stp/>
        <stp>BDP|9115829175808542372</stp>
        <tr r="BA101" s="3"/>
      </tp>
      <tp t="s">
        <v>#N/A Requesting Data...2469550464</v>
        <stp/>
        <stp>BDP|6664884055843911572</stp>
        <tr r="AZ8" s="3"/>
      </tp>
      <tp t="s">
        <v>#N/A Requesting Data...4262474186</v>
        <stp/>
        <stp>BDP|6111960204975460725</stp>
        <tr r="BB106" s="3"/>
      </tp>
      <tp t="s">
        <v>#N/A N/A</v>
        <stp/>
        <stp>BDP|9307148676035310772</stp>
        <tr r="BE29" s="2"/>
      </tp>
      <tp t="s">
        <v>#N/A Requesting Data...4281584882</v>
        <stp/>
        <stp>BDP|7377320236889212304</stp>
        <tr r="BF231" s="3"/>
      </tp>
      <tp t="s">
        <v>#N/A N/A</v>
        <stp/>
        <stp>BDP|6763929205161439310</stp>
        <tr r="AX15" s="2"/>
      </tp>
      <tp t="s">
        <v>#N/A Requesting Data...3226648132</v>
        <stp/>
        <stp>BDP|6713908267150500407</stp>
        <tr r="F138" s="3"/>
      </tp>
      <tp t="s">
        <v>#N/A Requesting Data...4175911633</v>
        <stp/>
        <stp>BDP|5173024490806639707</stp>
        <tr r="BH99" s="3"/>
      </tp>
      <tp t="s">
        <v>#N/A Requesting Data...2864421620</v>
        <stp/>
        <stp>BDP|1344345311866683850</stp>
        <tr r="BG176" s="3"/>
      </tp>
      <tp t="s">
        <v>#N/A Requesting Data...616823075</v>
        <stp/>
        <stp>BDP|4266573852241307816</stp>
        <tr r="BF332" s="3"/>
      </tp>
      <tp t="s">
        <v>#N/A Requesting Data...969577130</v>
        <stp/>
        <stp>BDP|9154034841637707716</stp>
        <tr r="BI149" s="3"/>
      </tp>
      <tp t="s">
        <v>#N/A Requesting Data...2962204169</v>
        <stp/>
        <stp>BDP|2514001330058776477</stp>
        <tr r="F96" s="3"/>
      </tp>
      <tp t="s">
        <v>#N/A Requesting Data...673612362</v>
        <stp/>
        <stp>BDP|2403413104212534912</stp>
        <tr r="AZ252" s="3"/>
      </tp>
      <tp t="s">
        <v>#N/A N/A</v>
        <stp/>
        <stp>BDP|3174072945773708912</stp>
        <tr r="AF42" s="2"/>
      </tp>
      <tp t="s">
        <v>#N/A Requesting Data...2808935683</v>
        <stp/>
        <stp>BDP|6676537726308152476</stp>
        <tr r="BB22" s="3"/>
      </tp>
      <tp t="s">
        <v>#N/A N/A</v>
        <stp/>
        <stp>BDP|3786517097352198055</stp>
        <tr r="Y6" s="4"/>
      </tp>
      <tp t="s">
        <v>#N/A N/A</v>
        <stp/>
        <stp>BDP|2618250988015615083</stp>
        <tr r="AV94" s="2"/>
      </tp>
      <tp t="s">
        <v>#N/A Requesting Data...1929916030</v>
        <stp/>
        <stp>BDP|4685520387824636006</stp>
        <tr r="AA297" s="3"/>
      </tp>
      <tp t="s">
        <v>#N/A Requesting Data...1368867519</v>
        <stp/>
        <stp>BDP|8566313921715016106</stp>
        <tr r="N71" s="2"/>
        <tr r="G36" s="4"/>
      </tp>
      <tp t="s">
        <v>#N/A N/A</v>
        <stp/>
        <stp>BDP|9414000041323843380</stp>
        <tr r="AO84" s="2"/>
      </tp>
      <tp t="s">
        <v>#N/A Requesting Data...673049415</v>
        <stp/>
        <stp>BDP|7195617398621196738</stp>
        <tr r="AS123" s="3"/>
      </tp>
      <tp t="s">
        <v>#N/A Requesting Data...3739483207</v>
        <stp/>
        <stp>BDP|8498083463038722821</stp>
        <tr r="AH74" s="3"/>
      </tp>
      <tp t="s">
        <v>#N/A Requesting Data...3582229485</v>
        <stp/>
        <stp>BDP|5444711433836806945</stp>
        <tr r="AJ217" s="3"/>
      </tp>
      <tp t="s">
        <v>#N/A Requesting Data...3378303940</v>
        <stp/>
        <stp>BDP|6501850201463382384</stp>
        <tr r="AS235" s="3"/>
      </tp>
      <tp t="s">
        <v>#N/A Requesting Data...2108699467</v>
        <stp/>
        <stp>BDP|8900119323157662274</stp>
        <tr r="Y22" s="4"/>
      </tp>
      <tp t="s">
        <v>#N/A Requesting Data...3739664554</v>
        <stp/>
        <stp>BDP|6485765089942584541</stp>
        <tr r="G14" s="4"/>
      </tp>
      <tp t="s">
        <v>#N/A Requesting Data...3371209071</v>
        <stp/>
        <stp>BDP|9996936512268539773</stp>
        <tr r="AQ102" s="3"/>
      </tp>
      <tp t="s">
        <v>#N/A Requesting Data...3266802761</v>
        <stp/>
        <stp>BDP|3990290398483043524</stp>
        <tr r="F259" s="3"/>
      </tp>
      <tp t="s">
        <v>#N/A Requesting Data...3739731547</v>
        <stp/>
        <stp>BDP|6405023796869325895</stp>
        <tr r="AH18" s="4"/>
      </tp>
      <tp t="s">
        <v>#N/A Requesting Data...1115132657</v>
        <stp/>
        <stp>BDP|8625324638932250444</stp>
        <tr r="AZ53" s="3"/>
      </tp>
      <tp t="s">
        <v>#N/A Requesting Data...4115181786</v>
        <stp/>
        <stp>BDP|8605256366673973166</stp>
        <tr r="Q86" s="3"/>
      </tp>
      <tp t="s">
        <v>#N/A Requesting Data...3136722355</v>
        <stp/>
        <stp>BDP|5019990116293075054</stp>
        <tr r="BG213" s="3"/>
      </tp>
      <tp t="s">
        <v>#N/A Requesting Data...1715610624</v>
        <stp/>
        <stp>BDP|2075461888491725133</stp>
        <tr r="K340" s="3"/>
      </tp>
      <tp t="s">
        <v>#N/A N/A</v>
        <stp/>
        <stp>BDP|7521392980442760010</stp>
        <tr r="AO14" s="2"/>
      </tp>
      <tp t="s">
        <v>#N/A N/A</v>
        <stp/>
        <stp>BDP|8319677134277349496</stp>
        <tr r="BL54" s="2"/>
      </tp>
      <tp t="s">
        <v>#N/A Requesting Data...2772315566</v>
        <stp/>
        <stp>BDP|7803165263767521938</stp>
        <tr r="AJ228" s="3"/>
      </tp>
      <tp t="s">
        <v>#N/A Requesting Data...4218756740</v>
        <stp/>
        <stp>BDP|7921615435388792415</stp>
        <tr r="F326" s="3"/>
      </tp>
      <tp t="s">
        <v>#N/A N/A</v>
        <stp/>
        <stp>BDP|8361584954972376474</stp>
        <tr r="BN32" s="2"/>
      </tp>
      <tp t="s">
        <v>#N/A Requesting Data...2528060630</v>
        <stp/>
        <stp>BDP|9902707962826312036</stp>
        <tr r="AJ203" s="3"/>
      </tp>
      <tp t="s">
        <v>#N/A N/A</v>
        <stp/>
        <stp>BDP|6136713328644591964</stp>
        <tr r="BG65" s="2"/>
      </tp>
      <tp t="s">
        <v>#N/A Requesting Data...899822341</v>
        <stp/>
        <stp>BDP|1026008238065380909</stp>
        <tr r="AQ33" s="3"/>
      </tp>
      <tp t="s">
        <v>#N/A Requesting Data...2101345871</v>
        <stp/>
        <stp>BDP|4892935682538116332</stp>
        <tr r="AZ122" s="3"/>
      </tp>
      <tp t="s">
        <v>#N/A Requesting Data...1482035442</v>
        <stp/>
        <stp>BDP|8272118514742410483</stp>
        <tr r="BI71" s="3"/>
      </tp>
      <tp t="s">
        <v>#N/A Requesting Data...1520648012</v>
        <stp/>
        <stp>BDP|5704413407589937639</stp>
        <tr r="Y183" s="3"/>
      </tp>
      <tp t="s">
        <v>#N/A Requesting Data...3699877762</v>
        <stp/>
        <stp>BDP|6099912405225704485</stp>
        <tr r="AJ346" s="3"/>
      </tp>
      <tp t="s">
        <v>#N/A Requesting Data...3753925622</v>
        <stp/>
        <stp>BDP|5572177669578673462</stp>
        <tr r="BB168" s="3"/>
      </tp>
      <tp t="s">
        <v>#N/A Requesting Data...1182462603</v>
        <stp/>
        <stp>BDP|1730940332482914736</stp>
        <tr r="AZ198" s="3"/>
      </tp>
      <tp t="s">
        <v>#N/A Requesting Data...756425658</v>
        <stp/>
        <stp>BDP|7648708576900247991</stp>
        <tr r="AZ114" s="3"/>
      </tp>
      <tp t="s">
        <v>#N/A Requesting Data...1500552826</v>
        <stp/>
        <stp>BDP|5815652681793142663</stp>
        <tr r="O88" s="3"/>
      </tp>
      <tp t="s">
        <v>#N/A Requesting Data...1734192957</v>
        <stp/>
        <stp>BDP|2560360489351655672</stp>
        <tr r="AS247" s="3"/>
      </tp>
      <tp t="s">
        <v>#N/A Requesting Data...3578271082</v>
        <stp/>
        <stp>BDP|9275414185498568383</stp>
        <tr r="BA55" s="3"/>
      </tp>
      <tp t="s">
        <v>#N/A N/A</v>
        <stp/>
        <stp>BDP|4553116138040169867</stp>
        <tr r="BL37" s="2"/>
      </tp>
      <tp t="s">
        <v>#N/A Requesting Data...2319738960</v>
        <stp/>
        <stp>BDP|9794777956514804159</stp>
        <tr r="AX16" s="2"/>
        <tr r="AQ8" s="4"/>
      </tp>
      <tp t="s">
        <v>#N/A N/A</v>
        <stp/>
        <stp>BDP|5561683795136002233</stp>
        <tr r="AV81" s="2"/>
      </tp>
      <tp t="s">
        <v>#N/A Requesting Data...3845325055</v>
        <stp/>
        <stp>BDP|3078264621839993455</stp>
        <tr r="AS198" s="3"/>
      </tp>
      <tp t="s">
        <v>#N/A Requesting Data...1097498484</v>
        <stp/>
        <stp>BDP|8993570057481592773</stp>
        <tr r="AD5" s="2"/>
      </tp>
      <tp t="s">
        <v>#N/A Requesting Data...2654946277</v>
        <stp/>
        <stp>BDP|2113626088634287612</stp>
        <tr r="AS150" s="3"/>
      </tp>
      <tp t="s">
        <v>#N/A Requesting Data...2051184453</v>
        <stp/>
        <stp>BDP|3058357839915319871</stp>
        <tr r="AZ297" s="3"/>
      </tp>
      <tp t="s">
        <v>#N/A Requesting Data...3599082344</v>
        <stp/>
        <stp>BDP|4279513441682991931</stp>
        <tr r="Q171" s="3"/>
      </tp>
      <tp t="s">
        <v>#N/A Requesting Data...862026922</v>
        <stp/>
        <stp>BDP|5396093997605327764</stp>
        <tr r="AZ87" s="3"/>
      </tp>
      <tp t="s">
        <v>#N/A Requesting Data...1498117047</v>
        <stp/>
        <stp>BDP|5701523308136676838</stp>
        <tr r="AH84" s="3"/>
      </tp>
      <tp t="s">
        <v>#N/A N/A</v>
        <stp/>
        <stp>BDP|2335247274479899034</stp>
        <tr r="BM25" s="2"/>
      </tp>
      <tp t="s">
        <v>#N/A Requesting Data...2287956519</v>
        <stp/>
        <stp>BDP|6915885409659919992</stp>
        <tr r="F21" s="3"/>
      </tp>
      <tp t="s">
        <v>#N/A Requesting Data...1385059967</v>
        <stp/>
        <stp>BDP|4752078531780030998</stp>
        <tr r="AH22" s="4"/>
      </tp>
      <tp t="s">
        <v>#N/A N/A</v>
        <stp/>
        <stp>BDP|8845669560893075562</stp>
        <tr r="BF57" s="2"/>
      </tp>
      <tp t="s">
        <v>#N/A Requesting Data...759967521</v>
        <stp/>
        <stp>BDP|4252587092815784370</stp>
        <tr r="BB336" s="3"/>
      </tp>
      <tp t="s">
        <v>#N/A Requesting Data...3352173636</v>
        <stp/>
        <stp>BDP|1499858740854095792</stp>
        <tr r="AA315" s="3"/>
      </tp>
      <tp t="s">
        <v>#N/A Requesting Data...2884858762</v>
        <stp/>
        <stp>BDP|6962226315082377953</stp>
        <tr r="BG178" s="3"/>
      </tp>
      <tp t="s">
        <v>#N/A N/A</v>
        <stp/>
        <stp>BDP|8148181642673345000</stp>
        <tr r="BF60" s="2"/>
      </tp>
      <tp t="s">
        <v>#N/A Requesting Data...3434841752</v>
        <stp/>
        <stp>BDP|3002974197628927516</stp>
        <tr r="AZ346" s="3"/>
      </tp>
      <tp t="s">
        <v>#N/A Requesting Data...2096994699</v>
        <stp/>
        <stp>BDP|9196116532186967323</stp>
        <tr r="I58" s="4"/>
      </tp>
      <tp t="s">
        <v>#N/A Requesting Data...3608657403</v>
        <stp/>
        <stp>BDP|5091469065038387192</stp>
        <tr r="AQ121" s="3"/>
      </tp>
      <tp t="s">
        <v>#N/A N/A</v>
        <stp/>
        <stp>BDP|6361879162463707581</stp>
        <tr r="AM97" s="2"/>
      </tp>
      <tp t="s">
        <v>#N/A Requesting Data...2734512976</v>
        <stp/>
        <stp>BDP|6580617570601436897</stp>
        <tr r="F243" s="3"/>
      </tp>
      <tp t="s">
        <v>#N/A Requesting Data...2705691359</v>
        <stp/>
        <stp>BDP|2904694451506149998</stp>
        <tr r="AH240" s="3"/>
      </tp>
      <tp t="s">
        <v>#N/A N/A</v>
        <stp/>
        <stp>BDP|6842058185496960683</stp>
        <tr r="BM79" s="2"/>
      </tp>
      <tp t="s">
        <v>#N/A Requesting Data...1985318292</v>
        <stp/>
        <stp>BDP|2089274257312944904</stp>
        <tr r="BH62" s="3"/>
      </tp>
      <tp t="s">
        <v>#N/A N/A</v>
        <stp/>
        <stp>BDP|3158021352260093880</stp>
        <tr r="BF87" s="2"/>
      </tp>
      <tp t="s">
        <v>#N/A N/A</v>
        <stp/>
        <stp>BDP|2178119319869313539</stp>
        <tr r="BL42" s="2"/>
      </tp>
      <tp t="s">
        <v>#N/A Requesting Data...4020972002</v>
        <stp/>
        <stp>BDP|1827012415627069950</stp>
        <tr r="K219" s="3"/>
      </tp>
      <tp t="s">
        <v>#N/A Requesting Data...2413145640</v>
        <stp/>
        <stp>BDP|8387096537092470709</stp>
        <tr r="AZ275" s="3"/>
      </tp>
      <tp t="s">
        <v>#N/A Requesting Data...3234741062</v>
        <stp/>
        <stp>BDP|3956472909809983075</stp>
        <tr r="BB108" s="3"/>
      </tp>
      <tp t="s">
        <v>#N/A Requesting Data...4235789047</v>
        <stp/>
        <stp>BDP|6305085120182341812</stp>
        <tr r="K9" s="2"/>
      </tp>
      <tp t="s">
        <v>#N/A N/A</v>
        <stp/>
        <stp>BDP|5717866152265374396</stp>
        <tr r="BM12" s="2"/>
      </tp>
      <tp t="s">
        <v>#N/A Requesting Data...2484480858</v>
        <stp/>
        <stp>BDP|9071258189979243476</stp>
        <tr r="BI197" s="3"/>
      </tp>
      <tp t="s">
        <v>#N/A Requesting Data...1179540606</v>
        <stp/>
        <stp>BDP|4871451352548032366</stp>
        <tr r="AA29" s="3"/>
      </tp>
      <tp t="s">
        <v>#N/A Requesting Data...3846477589</v>
        <stp/>
        <stp>BDP|4766887042962554465</stp>
        <tr r="AH40" s="4"/>
      </tp>
      <tp t="s">
        <v>#N/A Requesting Data...1782784280</v>
        <stp/>
        <stp>BDP|4412589395704146263</stp>
        <tr r="BB19" s="3"/>
      </tp>
      <tp t="s">
        <v>#N/A Requesting Data...2370496671</v>
        <stp/>
        <stp>BDP|3091389086102332438</stp>
        <tr r="Y153" s="3"/>
      </tp>
      <tp t="s">
        <v>#N/A Requesting Data...3508002460</v>
        <stp/>
        <stp>BDP|9392585063196634204</stp>
        <tr r="Q345" s="3"/>
      </tp>
      <tp t="s">
        <v>#N/A N/A</v>
        <stp/>
        <stp>BDP|9444767417126972728</stp>
        <tr r="AV35" s="2"/>
      </tp>
      <tp t="s">
        <v>#N/A N/A</v>
        <stp/>
        <stp>BDP|2776515811809058190</stp>
        <tr r="BK19" s="2"/>
      </tp>
      <tp t="s">
        <v>#N/A Requesting Data...1064471334</v>
        <stp/>
        <stp>BDP|2418280374099185076</stp>
        <tr r="AA339" s="3"/>
      </tp>
      <tp t="s">
        <v>#N/A Requesting Data...1289671454</v>
        <stp/>
        <stp>BDP|2186065268003835991</stp>
        <tr r="AX42" s="4"/>
      </tp>
      <tp t="s">
        <v>#N/A Requesting Data...2331468149</v>
        <stp/>
        <stp>BDP|4232828879363664610</stp>
        <tr r="Q35" s="3"/>
      </tp>
      <tp t="s">
        <v>#N/A Requesting Data...3581867357</v>
        <stp/>
        <stp>BDP|6980905214181380105</stp>
        <tr r="AA247" s="3"/>
      </tp>
      <tp t="s">
        <v>#N/A Requesting Data...1627044023</v>
        <stp/>
        <stp>BDP|7114375988793161115</stp>
        <tr r="I182" s="3"/>
      </tp>
      <tp t="s">
        <v>#N/A Requesting Data...863519451</v>
        <stp/>
        <stp>BDP|9645145053643820075</stp>
        <tr r="Q125" s="3"/>
      </tp>
      <tp t="s">
        <v>#N/A Requesting Data...1492768963</v>
        <stp/>
        <stp>BDP|8739939748819208206</stp>
        <tr r="BA239" s="3"/>
      </tp>
      <tp t="s">
        <v>#N/A Requesting Data...2130265857</v>
        <stp/>
        <stp>BDP|5621616640519964003</stp>
        <tr r="AH125" s="3"/>
      </tp>
      <tp t="s">
        <v>#N/A Requesting Data...1299562422</v>
        <stp/>
        <stp>BDP|7063304786664820601</stp>
        <tr r="BA82" s="3"/>
      </tp>
      <tp t="s">
        <v>#N/A Requesting Data...3690005463</v>
        <stp/>
        <stp>BDP|3127510952114845941</stp>
        <tr r="BF197" s="3"/>
      </tp>
      <tp t="s">
        <v>#N/A Requesting Data...3486991604</v>
        <stp/>
        <stp>BDP|5644545291884413383</stp>
        <tr r="AX59" s="4"/>
      </tp>
      <tp t="s">
        <v>#N/A Requesting Data...1390090921</v>
        <stp/>
        <stp>BDP|9754671477405184392</stp>
        <tr r="O264" s="3"/>
      </tp>
      <tp t="s">
        <v>#N/A Requesting Data...3300694080</v>
        <stp/>
        <stp>BDP|3973447887452383361</stp>
        <tr r="BI320" s="3"/>
      </tp>
      <tp t="s">
        <v>#N/A Requesting Data...3204318451</v>
        <stp/>
        <stp>BDP|8762310766002984161</stp>
        <tr r="D42" s="4"/>
      </tp>
      <tp t="s">
        <v>#N/A N/A</v>
        <stp/>
        <stp>BDP|1300958758963373028</stp>
        <tr r="BG84" s="2"/>
      </tp>
      <tp t="s">
        <v>#N/A Requesting Data...3254073022</v>
        <stp/>
        <stp>BDP|8753547904971903215</stp>
        <tr r="AZ234" s="3"/>
      </tp>
      <tp t="s">
        <v>#N/A Requesting Data...1799983644</v>
        <stp/>
        <stp>BDP|9943544112255041606</stp>
        <tr r="AZ101" s="3"/>
      </tp>
      <tp t="s">
        <v>#N/A N/A</v>
        <stp/>
        <stp>BDP|4177493558998798384</stp>
        <tr r="T25" s="2"/>
      </tp>
      <tp t="s">
        <v>#N/A Requesting Data...1422470110</v>
        <stp/>
        <stp>BDP|6101863608932912299</stp>
        <tr r="AX56" s="4"/>
      </tp>
      <tp t="s">
        <v>#N/A N/A</v>
        <stp/>
        <stp>BDP|4984243565927231954</stp>
        <tr r="AF63" s="2"/>
      </tp>
      <tp t="s">
        <v>#N/A Requesting Data...3859429109</v>
        <stp/>
        <stp>BDP|4876431376491315816</stp>
        <tr r="I7" s="4"/>
      </tp>
      <tp t="s">
        <v>#N/A Requesting Data...2452420595</v>
        <stp/>
        <stp>BDP|1012872475181853153</stp>
        <tr r="AJ101" s="3"/>
      </tp>
      <tp t="s">
        <v>#N/A Requesting Data...3933015718</v>
        <stp/>
        <stp>BDP|2484787786922059157</stp>
        <tr r="BH118" s="3"/>
      </tp>
      <tp t="s">
        <v>#N/A N/A</v>
        <stp/>
        <stp>BDP|8337900002718974774</stp>
        <tr r="N67" s="2"/>
      </tp>
      <tp t="s">
        <v>#N/A Requesting Data...2835739209</v>
        <stp/>
        <stp>BDP|1100967473582923319</stp>
        <tr r="I286" s="3"/>
      </tp>
      <tp t="s">
        <v>#N/A Requesting Data...3626063716</v>
        <stp/>
        <stp>BDP|9620709809652254210</stp>
        <tr r="BB251" s="3"/>
      </tp>
      <tp t="s">
        <v>#N/A Requesting Data...4036856646</v>
        <stp/>
        <stp>BDP|2249995042536178749</stp>
        <tr r="Y348" s="3"/>
      </tp>
      <tp t="s">
        <v>#N/A Requesting Data...3051981518</v>
        <stp/>
        <stp>BDP|7755119085565655591</stp>
        <tr r="AM4" s="2"/>
        <tr r="AH248" s="3"/>
      </tp>
      <tp t="s">
        <v>#N/A Requesting Data...2145705598</v>
        <stp/>
        <stp>BDP|8501991406129274646</stp>
        <tr r="BG81" s="3"/>
      </tp>
      <tp t="s">
        <v>#N/A Requesting Data...1731387626</v>
        <stp/>
        <stp>BDP|4633111838699438176</stp>
        <tr r="AA137" s="3"/>
      </tp>
      <tp t="s">
        <v>#N/A Requesting Data...1272943630</v>
        <stp/>
        <stp>BDP|8292771410152988201</stp>
        <tr r="BH334" s="3"/>
      </tp>
      <tp t="s">
        <v>#N/A Requesting Data...1033578677</v>
        <stp/>
        <stp>BDP|2989876378505288680</stp>
        <tr r="AO53" s="4"/>
      </tp>
      <tp t="s">
        <v>#N/A Requesting Data...3924157965</v>
        <stp/>
        <stp>BDP|8169792136104432662</stp>
        <tr r="BA133" s="3"/>
      </tp>
      <tp t="s">
        <v>#N/A Requesting Data...1299232112</v>
        <stp/>
        <stp>BDP|9572548604115890710</stp>
        <tr r="AQ351" s="3"/>
      </tp>
      <tp t="s">
        <v>#N/A Requesting Data...1019862991</v>
        <stp/>
        <stp>BDP|4502284762039443769</stp>
        <tr r="BB133" s="3"/>
      </tp>
      <tp t="s">
        <v>#N/A Requesting Data...1263526373</v>
        <stp/>
        <stp>BDP|5768835738425967589</stp>
        <tr r="BE10" s="2"/>
      </tp>
      <tp t="s">
        <v>#N/A Requesting Data...4245323329</v>
        <stp/>
        <stp>BDP|2100810226826848037</stp>
        <tr r="I171" s="3"/>
      </tp>
      <tp t="s">
        <v>#N/A Requesting Data...2991309584</v>
        <stp/>
        <stp>BDP|9395828889804162342</stp>
        <tr r="AH349" s="3"/>
      </tp>
      <tp t="s">
        <v>#N/A Requesting Data...1717383685</v>
        <stp/>
        <stp>BDP|4317571505937835845</stp>
        <tr r="BB68" s="3"/>
      </tp>
      <tp t="s">
        <v>#N/A Requesting Data...1550466575</v>
        <stp/>
        <stp>BDP|4987044773029495474</stp>
        <tr r="Q250" s="3"/>
      </tp>
      <tp t="s">
        <v>#N/A N/A</v>
        <stp/>
        <stp>BDP|4948413738334975943</stp>
        <tr r="AO73" s="2"/>
      </tp>
      <tp t="s">
        <v>#N/A Requesting Data...1370688304</v>
        <stp/>
        <stp>BDP|2786300399076485075</stp>
        <tr r="AH145" s="3"/>
      </tp>
      <tp t="s">
        <v>#N/A Requesting Data...3192822101</v>
        <stp/>
        <stp>BDP|7416854048126073346</stp>
        <tr r="BH60" s="3"/>
      </tp>
      <tp t="s">
        <v>#N/A Requesting Data...1336792667</v>
        <stp/>
        <stp>BDP|9873631290420551832</stp>
        <tr r="D26" s="4"/>
        <tr r="F197" s="3"/>
      </tp>
      <tp t="s">
        <v>#N/A Requesting Data...1275321792</v>
        <stp/>
        <stp>BDP|3806388246022998825</stp>
        <tr r="F314" s="3"/>
      </tp>
      <tp t="s">
        <v>#N/A Requesting Data...3524376010</v>
        <stp/>
        <stp>BDP|3995639773024250863</stp>
        <tr r="W56" s="4"/>
      </tp>
      <tp t="s">
        <v>#N/A Requesting Data...2654209508</v>
        <stp/>
        <stp>BDP|5826852767310212554</stp>
        <tr r="BG339" s="3"/>
      </tp>
      <tp t="s">
        <v>#N/A Requesting Data...3022585025</v>
        <stp/>
        <stp>BDP|2124406110921301804</stp>
        <tr r="BI142" s="3"/>
      </tp>
      <tp t="s">
        <v>#N/A Requesting Data...3997631221</v>
        <stp/>
        <stp>BDP|5068989668647506370</stp>
        <tr r="AZ206" s="3"/>
      </tp>
      <tp t="s">
        <v>#N/A Requesting Data...3208050238</v>
        <stp/>
        <stp>BDP|5845553922808431495</stp>
        <tr r="AJ171" s="3"/>
      </tp>
      <tp t="s">
        <v>#N/A Requesting Data...4142489615</v>
        <stp/>
        <stp>BDP|3271163486945428147</stp>
        <tr r="F143" s="3"/>
      </tp>
      <tp t="s">
        <v>#N/A N/A</v>
        <stp/>
        <stp>BDP|5034391059939232403</stp>
        <tr r="AF96" s="2"/>
      </tp>
      <tp t="s">
        <v>#N/A Requesting Data...3860904865</v>
        <stp/>
        <stp>BDP|5053188219438314303</stp>
        <tr r="AX16" s="4"/>
      </tp>
      <tp t="s">
        <v>#N/A Requesting Data...3604615626</v>
        <stp/>
        <stp>BDP|8407619107216315637</stp>
        <tr r="AH224" s="3"/>
      </tp>
      <tp t="s">
        <v>#N/A Requesting Data...3929228273</v>
        <stp/>
        <stp>BDP|2229410600781814999</stp>
        <tr r="BA234" s="3"/>
      </tp>
      <tp t="s">
        <v>#N/A Requesting Data...1139220413</v>
        <stp/>
        <stp>BDP|3399349584665391322</stp>
        <tr r="F76" s="3"/>
      </tp>
      <tp t="s">
        <v>#N/A Requesting Data...1589462843</v>
        <stp/>
        <stp>BDP|8603688336065936637</stp>
        <tr r="BH247" s="3"/>
      </tp>
      <tp t="s">
        <v>#N/A Requesting Data...3744148859</v>
        <stp/>
        <stp>BDP|2567979145690652130</stp>
        <tr r="I215" s="3"/>
      </tp>
      <tp t="s">
        <v>#N/A Requesting Data...2079331174</v>
        <stp/>
        <stp>BDP|6026846380888733010</stp>
        <tr r="AZ299" s="3"/>
      </tp>
      <tp t="s">
        <v>#N/A Requesting Data...1730451016</v>
        <stp/>
        <stp>BDP|3176749556056782968</stp>
        <tr r="AZ152" s="3"/>
      </tp>
      <tp t="s">
        <v>#N/A Requesting Data...2138499852</v>
        <stp/>
        <stp>BDP|9636219307560655544</stp>
        <tr r="BA246" s="3"/>
      </tp>
      <tp t="s">
        <v>#N/A Requesting Data...3386063902</v>
        <stp/>
        <stp>BDP|6485170897548172874</stp>
        <tr r="AJ170" s="3"/>
      </tp>
      <tp t="s">
        <v>#N/A Requesting Data...3226524806</v>
        <stp/>
        <stp>BDP|2414903844006418763</stp>
        <tr r="BF84" s="3"/>
      </tp>
      <tp t="s">
        <v>#N/A Requesting Data...2665781537</v>
        <stp/>
        <stp>BDP|9830552609991614309</stp>
        <tr r="AQ188" s="3"/>
      </tp>
      <tp t="s">
        <v>#N/A Requesting Data...2661428773</v>
        <stp/>
        <stp>BDP|3450817004456663352</stp>
        <tr r="O195" s="3"/>
      </tp>
      <tp t="s">
        <v>#N/A N/A</v>
        <stp/>
        <stp>BDP|6541610957633924882</stp>
        <tr r="BE53" s="2"/>
      </tp>
      <tp t="s">
        <v>#N/A Requesting Data...1257080823</v>
        <stp/>
        <stp>BDP|7934582989394825025</stp>
        <tr r="F268" s="3"/>
      </tp>
      <tp t="s">
        <v>#N/A Requesting Data...1576855524</v>
        <stp/>
        <stp>BDP|1707117431859132448</stp>
        <tr r="AZ250" s="3"/>
      </tp>
      <tp t="s">
        <v>#N/A Requesting Data...4248695750</v>
        <stp/>
        <stp>BDP|4185111463865804896</stp>
        <tr r="BI311" s="3"/>
      </tp>
      <tp t="s">
        <v>#N/A Requesting Data...2822324649</v>
        <stp/>
        <stp>BDP|3947648238829218152</stp>
        <tr r="BA114" s="3"/>
      </tp>
      <tp t="s">
        <v>#N/A Requesting Data...3175729005</v>
        <stp/>
        <stp>BDP|7170847642925211061</stp>
        <tr r="AJ64" s="3"/>
      </tp>
      <tp t="s">
        <v>#N/A N/A</v>
        <stp/>
        <stp>BDP|3882884796469225573</stp>
        <tr r="T79" s="2"/>
      </tp>
      <tp t="s">
        <v>#N/A Requesting Data...2913397963</v>
        <stp/>
        <stp>BDP|9286702372343268416</stp>
        <tr r="BI18" s="3"/>
      </tp>
      <tp t="s">
        <v>#N/A Requesting Data...2890831384</v>
        <stp/>
        <stp>BDP|6606479468179214384</stp>
        <tr r="W19" s="4"/>
      </tp>
      <tp t="s">
        <v>#N/A Requesting Data...1909771341</v>
        <stp/>
        <stp>BDP|2162426884954124457</stp>
        <tr r="BG128" s="3"/>
      </tp>
      <tp t="s">
        <v>#N/A Requesting Data...2798214844</v>
        <stp/>
        <stp>BDP|9071120132004019139</stp>
        <tr r="BA41" s="3"/>
      </tp>
      <tp t="s">
        <v>#N/A N/A</v>
        <stp/>
        <stp>BDP|6838774850842599898</stp>
        <tr r="N73" s="2"/>
      </tp>
      <tp t="s">
        <v>#N/A N/A</v>
        <stp/>
        <stp>BDP|9133444634758388818</stp>
        <tr r="AM54" s="2"/>
      </tp>
      <tp t="s">
        <v>#N/A Requesting Data...2009729264</v>
        <stp/>
        <stp>BDP|9258662167107210025</stp>
        <tr r="F134" s="3"/>
      </tp>
      <tp t="s">
        <v>#N/A N/A</v>
        <stp/>
        <stp>BDP|8281704817834271441</stp>
        <tr r="K88" s="2"/>
      </tp>
      <tp t="s">
        <v>#N/A N/A</v>
        <stp/>
        <stp>BDP|9374854047538671344</stp>
        <tr r="AV26" s="2"/>
      </tp>
      <tp t="s">
        <v>#N/A Requesting Data...3590613840</v>
        <stp/>
        <stp>BDP|3229582188725509542</stp>
        <tr r="AZ79" s="3"/>
      </tp>
      <tp t="s">
        <v>#N/A N/A</v>
        <stp/>
        <stp>BDP|4156762698463473780</stp>
        <tr r="BM33" s="2"/>
      </tp>
      <tp t="s">
        <v>#N/A Requesting Data...2612585825</v>
        <stp/>
        <stp>BDP|8473816315487414870</stp>
        <tr r="AS299" s="3"/>
      </tp>
      <tp t="s">
        <v>#N/A Requesting Data...4204589113</v>
        <stp/>
        <stp>BDP|8475158013933242535</stp>
        <tr r="F118" s="3"/>
      </tp>
      <tp t="s">
        <v>#N/A Requesting Data...1885726675</v>
        <stp/>
        <stp>BDP|6590800914977650642</stp>
        <tr r="AV9" s="2"/>
      </tp>
      <tp t="s">
        <v>#N/A Requesting Data...3376737337</v>
        <stp/>
        <stp>BDP|8172104858094329696</stp>
        <tr r="BF279" s="3"/>
      </tp>
      <tp t="s">
        <v>#N/A Requesting Data...3116519754</v>
        <stp/>
        <stp>BDP|8146363574243053106</stp>
        <tr r="K284" s="3"/>
      </tp>
      <tp t="s">
        <v>#N/A Requesting Data...2823753042</v>
        <stp/>
        <stp>BDP|6959995967812473537</stp>
        <tr r="BA142" s="3"/>
      </tp>
      <tp t="s">
        <v>#N/A Requesting Data...3112864505</v>
        <stp/>
        <stp>BDP|6186790869330773966</stp>
        <tr r="F185" s="3"/>
      </tp>
      <tp t="s">
        <v>#N/A N/A</v>
        <stp/>
        <stp>BDP|3630039082463001673</stp>
        <tr r="V34" s="2"/>
      </tp>
      <tp t="s">
        <v>#N/A Requesting Data...3959114251</v>
        <stp/>
        <stp>BDP|6828889735342609135</stp>
        <tr r="AZ25" s="3"/>
      </tp>
      <tp t="s">
        <v>#N/A N/A</v>
        <stp/>
        <stp>BDP|2584827713635433007</stp>
        <tr r="AV30" s="2"/>
      </tp>
      <tp t="s">
        <v>#N/A Requesting Data...3559324877</v>
        <stp/>
        <stp>BDP|3723436427052293913</stp>
        <tr r="BB112" s="3"/>
      </tp>
      <tp t="s">
        <v>#N/A Requesting Data...1439774520</v>
        <stp/>
        <stp>BDP|6660788618408518635</stp>
        <tr r="AH34" s="4"/>
      </tp>
      <tp t="s">
        <v>#N/A Requesting Data...3209426627</v>
        <stp/>
        <stp>BDP|1564862213271363730</stp>
        <tr r="BF163" s="3"/>
      </tp>
      <tp t="s">
        <v>#N/A Requesting Data...2227615982</v>
        <stp/>
        <stp>BDP|4401925408253646080</stp>
        <tr r="Q120" s="3"/>
      </tp>
      <tp t="s">
        <v>#N/A Requesting Data...3511473027</v>
        <stp/>
        <stp>BDP|5140283499843040308</stp>
        <tr r="M28" s="4"/>
      </tp>
      <tp t="s">
        <v>#N/A Requesting Data...2019179614</v>
        <stp/>
        <stp>BDP|4368163002443471834</stp>
        <tr r="AZ65" s="3"/>
      </tp>
      <tp t="s">
        <v>#N/A Requesting Data...2307316291</v>
        <stp/>
        <stp>BDP|8806723104496903775</stp>
        <tr r="AH11" s="4"/>
      </tp>
      <tp t="s">
        <v>#N/A Requesting Data...2385206243</v>
        <stp/>
        <stp>BDP|1990896935763524708</stp>
        <tr r="Y39" s="3"/>
      </tp>
      <tp t="s">
        <v>#N/A Requesting Data...1809942643</v>
        <stp/>
        <stp>BDP|8557941287265124270</stp>
        <tr r="O48" s="3"/>
      </tp>
      <tp t="s">
        <v>#N/A Requesting Data...1619033903</v>
        <stp/>
        <stp>BDP|7976037984628641986</stp>
        <tr r="F305" s="3"/>
      </tp>
      <tp t="s">
        <v>#N/A N/A</v>
        <stp/>
        <stp>BDP|5881586574171467810</stp>
        <tr r="AM84" s="2"/>
      </tp>
      <tp t="s">
        <v>#N/A Requesting Data...2690212971</v>
        <stp/>
        <stp>BDP|6042000347915337957</stp>
        <tr r="O341" s="3"/>
      </tp>
      <tp t="s">
        <v>#N/A Requesting Data...2932701721</v>
        <stp/>
        <stp>BDP|2793234308086417894</stp>
        <tr r="K99" s="3"/>
      </tp>
      <tp t="s">
        <v>#N/A Requesting Data...3133264483</v>
        <stp/>
        <stp>BDP|8158309161685939681</stp>
        <tr r="AS148" s="3"/>
      </tp>
      <tp t="s">
        <v>#N/A Requesting Data...3690744714</v>
        <stp/>
        <stp>BDP|1555973861997014725</stp>
        <tr r="AA293" s="3"/>
      </tp>
      <tp t="s">
        <v>#N/A N/A</v>
        <stp/>
        <stp>BDP|3197193945851505999</stp>
        <tr r="AD100" s="2"/>
      </tp>
      <tp t="s">
        <v>#N/A Requesting Data...4221206175</v>
        <stp/>
        <stp>BDP|1412766094084399543</stp>
        <tr r="BI274" s="3"/>
      </tp>
      <tp t="s">
        <v>#N/A Requesting Data...2946845074</v>
        <stp/>
        <stp>BDP|2360732782755686657</stp>
        <tr r="AQ174" s="3"/>
      </tp>
      <tp t="s">
        <v>#N/A Requesting Data...2550529334</v>
        <stp/>
        <stp>BDP|4903284724839219361</stp>
        <tr r="AV5" s="2"/>
      </tp>
      <tp t="s">
        <v>#N/A Requesting Data...2323777120</v>
        <stp/>
        <stp>BDP|4946632098782082736</stp>
        <tr r="AZ220" s="3"/>
      </tp>
      <tp t="s">
        <v>#N/A Requesting Data...3711792605</v>
        <stp/>
        <stp>BDP|7008685719649882784</stp>
        <tr r="BB199" s="3"/>
      </tp>
      <tp t="s">
        <v>#N/A N/A</v>
        <stp/>
        <stp>BDP|1046161683896135050</stp>
        <tr r="AM37" s="2"/>
      </tp>
      <tp t="s">
        <v>#N/A N/A</v>
        <stp/>
        <stp>BDP|8410622263264565216</stp>
        <tr r="N38" s="2"/>
      </tp>
      <tp t="s">
        <v>#N/A N/A</v>
        <stp/>
        <stp>BDP|3609061602638178520</stp>
        <tr r="AD46" s="2"/>
      </tp>
      <tp t="s">
        <v>#N/A Requesting Data...2415379561</v>
        <stp/>
        <stp>BDP|7293680470828243095</stp>
        <tr r="AS86" s="3"/>
      </tp>
      <tp t="s">
        <v>#N/A N/A</v>
        <stp/>
        <stp>BDP|8148340762384120775</stp>
        <tr r="K87" s="2"/>
      </tp>
      <tp t="s">
        <v>#N/A N/A</v>
        <stp/>
        <stp>BDP|7429763591614509374</stp>
        <tr r="P70" s="2"/>
      </tp>
      <tp t="s">
        <v>#N/A Requesting Data...4271941311</v>
        <stp/>
        <stp>BDP|1688843890767567969</stp>
        <tr r="AJ333" s="3"/>
      </tp>
      <tp t="s">
        <v>#N/A N/A</v>
        <stp/>
        <stp>BDP|6144005393270367107</stp>
        <tr r="BK48" s="2"/>
      </tp>
      <tp t="s">
        <v>#N/A N/A</v>
        <stp/>
        <stp>BDP|3500853946142484338</stp>
        <tr r="N98" s="2"/>
      </tp>
      <tp t="s">
        <v>#N/A Requesting Data...2595805602</v>
        <stp/>
        <stp>BDP|2776066039729053696</stp>
        <tr r="BB110" s="3"/>
      </tp>
      <tp t="s">
        <v>#N/A Requesting Data...1807976109</v>
        <stp/>
        <stp>BDP|7576657344409437212</stp>
        <tr r="Q185" s="3"/>
      </tp>
      <tp t="s">
        <v>#N/A Requesting Data...2912688035</v>
        <stp/>
        <stp>BDP|8946402294779805245</stp>
        <tr r="AQ111" s="3"/>
      </tp>
      <tp t="s">
        <v>#N/A Requesting Data...2759878293</v>
        <stp/>
        <stp>BDP|9646520732175454434</stp>
        <tr r="Y237" s="3"/>
      </tp>
      <tp t="s">
        <v>#N/A N/A</v>
        <stp/>
        <stp>BDP|6385863735784915789</stp>
        <tr r="BN68" s="2"/>
      </tp>
      <tp t="s">
        <v>#N/A N/A</v>
        <stp/>
        <stp>BDP|1014952266372414267</stp>
        <tr r="AO82" s="2"/>
      </tp>
      <tp t="s">
        <v>#N/A N/A</v>
        <stp/>
        <stp>BDP|4367416651423758857</stp>
        <tr r="AD84" s="2"/>
      </tp>
      <tp t="s">
        <v>#N/A Requesting Data...1539443397</v>
        <stp/>
        <stp>BDP|2724244192066362149</stp>
        <tr r="Y121" s="3"/>
      </tp>
      <tp t="s">
        <v>#N/A Requesting Data...1531787789</v>
        <stp/>
        <stp>BDP|4760939834092523237</stp>
        <tr r="BI230" s="3"/>
      </tp>
      <tp t="s">
        <v>#N/A Requesting Data...3644618747</v>
        <stp/>
        <stp>BDP|8681835854639376246</stp>
        <tr r="Y32" s="3"/>
      </tp>
      <tp t="s">
        <v>#N/A Requesting Data...3424472035</v>
        <stp/>
        <stp>BDP|8776319662042767155</stp>
        <tr r="Q16" s="3"/>
      </tp>
      <tp t="s">
        <v>#N/A Requesting Data...1685881671</v>
        <stp/>
        <stp>BDP|9296127866679860983</stp>
        <tr r="AS5" s="3"/>
      </tp>
      <tp t="s">
        <v>#N/A Requesting Data...4004683370</v>
        <stp/>
        <stp>BDP|7731368500539575326</stp>
        <tr r="BB163" s="3"/>
      </tp>
      <tp t="s">
        <v>#N/A Requesting Data...3008090509</v>
        <stp/>
        <stp>BDP|8628357144050780163</stp>
        <tr r="AS352" s="3"/>
      </tp>
      <tp t="s">
        <v>#N/A Requesting Data...1889196511</v>
        <stp/>
        <stp>BDP|1397652463979643656</stp>
        <tr r="W49" s="4"/>
      </tp>
      <tp t="s">
        <v>#N/A Requesting Data...3938614038</v>
        <stp/>
        <stp>BDP|8909773266614813364</stp>
        <tr r="AS105" s="3"/>
      </tp>
      <tp t="s">
        <v>#N/A Requesting Data...3654892435</v>
        <stp/>
        <stp>BDP|9528576492642350952</stp>
        <tr r="BB208" s="3"/>
      </tp>
      <tp t="s">
        <v>#N/A N/A</v>
        <stp/>
        <stp>BDP|5367793795457972200</stp>
        <tr r="BM34" s="2"/>
      </tp>
      <tp t="s">
        <v>#N/A Requesting Data...3210188991</v>
        <stp/>
        <stp>BDP|8434012220910392418</stp>
        <tr r="BF186" s="3"/>
      </tp>
      <tp t="s">
        <v>#N/A N/A</v>
        <stp/>
        <stp>BDP|6578403402299571559</stp>
        <tr r="AO68" s="2"/>
      </tp>
      <tp t="s">
        <v>#N/A Requesting Data...4066589290</v>
        <stp/>
        <stp>BDP|3711814950259856999</stp>
        <tr r="Y31" s="3"/>
      </tp>
      <tp t="s">
        <v>#N/A Requesting Data...3057639853</v>
        <stp/>
        <stp>BDP|3681889344637495694</stp>
        <tr r="Y145" s="3"/>
      </tp>
      <tp t="s">
        <v>#N/A Requesting Data...2834880939</v>
        <stp/>
        <stp>BDP|5536155720640183865</stp>
        <tr r="BF114" s="3"/>
      </tp>
      <tp t="s">
        <v>#N/A Requesting Data...4059586076</v>
        <stp/>
        <stp>BDP|2945780144136116939</stp>
        <tr r="F296" s="3"/>
      </tp>
      <tp t="s">
        <v>#N/A Requesting Data...2710219680</v>
        <stp/>
        <stp>BDP|9245410878227506399</stp>
        <tr r="O120" s="3"/>
      </tp>
      <tp t="s">
        <v>#N/A Requesting Data...2100205214</v>
        <stp/>
        <stp>BDP|9767894987980653780</stp>
        <tr r="AS351" s="3"/>
      </tp>
      <tp t="s">
        <v>#N/A Requesting Data...3547878137</v>
        <stp/>
        <stp>BDP|8232062323595039106</stp>
        <tr r="I34" s="4"/>
      </tp>
      <tp t="s">
        <v>#N/A Requesting Data...3883666630</v>
        <stp/>
        <stp>BDP|9655483010792009091</stp>
        <tr r="AH23" s="3"/>
      </tp>
      <tp t="s">
        <v>#N/A Requesting Data...1682227465</v>
        <stp/>
        <stp>BDP|7594441356018009008</stp>
        <tr r="BG88" s="3"/>
      </tp>
      <tp t="s">
        <v>#N/A Requesting Data...3689203158</v>
        <stp/>
        <stp>BDP|6545792569269522075</stp>
        <tr r="AF3" s="4"/>
      </tp>
      <tp t="s">
        <v>#N/A Requesting Data...3700415599</v>
        <stp/>
        <stp>BDP|4075108993951148357</stp>
        <tr r="AA198" s="3"/>
      </tp>
      <tp t="s">
        <v>#N/A Requesting Data...2011304217</v>
        <stp/>
        <stp>BDP|7965468855219903149</stp>
        <tr r="BF47" s="3"/>
      </tp>
      <tp t="s">
        <v>#N/A Requesting Data...1758263346</v>
        <stp/>
        <stp>BDP|7645293790483113197</stp>
        <tr r="AJ199" s="3"/>
      </tp>
      <tp t="s">
        <v>#N/A Requesting Data...3336285715</v>
        <stp/>
        <stp>BDP|4788247576979622640</stp>
        <tr r="K168" s="3"/>
      </tp>
      <tp t="s">
        <v>#N/A Requesting Data...2633180492</v>
        <stp/>
        <stp>BDP|1243571752439706676</stp>
        <tr r="Q176" s="3"/>
      </tp>
      <tp t="s">
        <v>#N/A Requesting Data...2183560067</v>
        <stp/>
        <stp>BDP|6091275334818317173</stp>
        <tr r="BF97" s="3"/>
      </tp>
      <tp t="s">
        <v>#N/A Requesting Data...2203850782</v>
        <stp/>
        <stp>BDP|2252892859653386254</stp>
        <tr r="BH235" s="3"/>
      </tp>
      <tp t="s">
        <v>#N/A Requesting Data...2361447480</v>
        <stp/>
        <stp>BDP|2444848124187717170</stp>
        <tr r="AS224" s="3"/>
      </tp>
      <tp t="s">
        <v>#N/A Requesting Data...2369445282</v>
        <stp/>
        <stp>BDP|6722654857139984280</stp>
        <tr r="BH117" s="3"/>
      </tp>
      <tp t="s">
        <v>#N/A Requesting Data...4079232852</v>
        <stp/>
        <stp>BDP|6802148740929059484</stp>
        <tr r="BF272" s="3"/>
      </tp>
      <tp t="s">
        <v>#N/A Requesting Data...3372183602</v>
        <stp/>
        <stp>BDP|3395660277154584833</stp>
        <tr r="Q177" s="3"/>
      </tp>
      <tp t="s">
        <v>#N/A Requesting Data...4103826362</v>
        <stp/>
        <stp>BDP|6328063997144215542</stp>
        <tr r="BB135" s="3"/>
      </tp>
      <tp t="s">
        <v>#N/A Requesting Data...3343978846</v>
        <stp/>
        <stp>BDP|3291603473674673838</stp>
        <tr r="AX20" s="4"/>
      </tp>
      <tp t="s">
        <v>#N/A N/A</v>
        <stp/>
        <stp>BDP|5082324260386090864</stp>
        <tr r="AO86" s="2"/>
      </tp>
      <tp t="s">
        <v>#N/A Requesting Data...2587702124</v>
        <stp/>
        <stp>BDP|2618056326276871896</stp>
        <tr r="Q292" s="3"/>
      </tp>
      <tp t="s">
        <v>#N/A Requesting Data...3790461259</v>
        <stp/>
        <stp>BDP|5372931801602732024</stp>
        <tr r="BI278" s="3"/>
      </tp>
      <tp t="s">
        <v>#N/A N/A</v>
        <stp/>
        <stp>BDP|7039049233419737354</stp>
        <tr r="N20" s="2"/>
      </tp>
      <tp t="s">
        <v>#N/A Requesting Data...3310604481</v>
        <stp/>
        <stp>BDP|1783321129269864715</stp>
        <tr r="BA127" s="3"/>
      </tp>
      <tp t="s">
        <v>#N/A Requesting Data...3805554636</v>
        <stp/>
        <stp>BDP|2220149051639008127</stp>
        <tr r="W37" s="4"/>
      </tp>
      <tp t="s">
        <v>#N/A Requesting Data...3125979304</v>
        <stp/>
        <stp>BDP|1244222957060093820</stp>
        <tr r="D29" s="4"/>
      </tp>
      <tp t="s">
        <v>#N/A Requesting Data...3169272064</v>
        <stp/>
        <stp>BDP|8993695116283666258</stp>
        <tr r="F256" s="3"/>
      </tp>
      <tp t="s">
        <v>#N/A Requesting Data...4089999248</v>
        <stp/>
        <stp>BDP|4218479183374309208</stp>
        <tr r="O337" s="3"/>
      </tp>
      <tp t="s">
        <v>#N/A Requesting Data...2901249432</v>
        <stp/>
        <stp>BDP|8328919382872056555</stp>
        <tr r="K187" s="3"/>
      </tp>
      <tp t="s">
        <v>#N/A Requesting Data...2760570537</v>
        <stp/>
        <stp>BDP|5880280196126683654</stp>
        <tr r="Y12" s="4"/>
      </tp>
      <tp t="s">
        <v>#N/A Requesting Data...3668568534</v>
        <stp/>
        <stp>BDP|6575641992193098469</stp>
        <tr r="AJ297" s="3"/>
      </tp>
      <tp t="s">
        <v>#N/A N/A</v>
        <stp/>
        <stp>BDP|3929897661524702737</stp>
        <tr r="V42" s="2"/>
      </tp>
      <tp t="s">
        <v>#N/A Requesting Data...1991077115</v>
        <stp/>
        <stp>BDP|9334216848478944962</stp>
        <tr r="O280" s="3"/>
      </tp>
      <tp t="s">
        <v>#N/A Requesting Data...3642883484</v>
        <stp/>
        <stp>BDP|6662885433335184763</stp>
        <tr r="I64" s="3"/>
      </tp>
      <tp t="s">
        <v>#N/A Requesting Data...1923675047</v>
        <stp/>
        <stp>BDP|7994204141689208701</stp>
        <tr r="AS47" s="3"/>
      </tp>
      <tp t="s">
        <v>#N/A Requesting Data...3245081187</v>
        <stp/>
        <stp>BDP|8385560672780873552</stp>
        <tr r="F327" s="3"/>
      </tp>
      <tp t="s">
        <v>#N/A Requesting Data...3153458228</v>
        <stp/>
        <stp>BDP|9005003188177399914</stp>
        <tr r="O41" s="3"/>
      </tp>
      <tp t="s">
        <v>#N/A Requesting Data...3219134064</v>
        <stp/>
        <stp>BDP|3396813233054304384</stp>
        <tr r="AH170" s="3"/>
      </tp>
      <tp t="s">
        <v>#N/A N/A</v>
        <stp/>
        <stp>BDP|1073871309034613229</stp>
        <tr r="V10" s="2"/>
      </tp>
      <tp t="s">
        <v>#N/A Requesting Data...2233385134</v>
        <stp/>
        <stp>BDP|5674709875139873316</stp>
        <tr r="BG135" s="3"/>
      </tp>
      <tp t="s">
        <v>#N/A Requesting Data...2425263324</v>
        <stp/>
        <stp>BDP|9456946093012825410</stp>
        <tr r="F117" s="3"/>
      </tp>
      <tp t="s">
        <v>#N/A Requesting Data...2369449986</v>
        <stp/>
        <stp>BDP|7391477575933949822</stp>
        <tr r="BH177" s="3"/>
      </tp>
      <tp t="s">
        <v>#N/A Requesting Data...3281692852</v>
        <stp/>
        <stp>BDP|6217146139289258270</stp>
        <tr r="AJ163" s="3"/>
      </tp>
      <tp t="s">
        <v>#N/A Requesting Data...3219663639</v>
        <stp/>
        <stp>BDP|8898931927059393551</stp>
        <tr r="BB327" s="3"/>
      </tp>
      <tp t="s">
        <v>#N/A Requesting Data...3796246248</v>
        <stp/>
        <stp>BDP|4363908691948168392</stp>
        <tr r="I181" s="3"/>
      </tp>
      <tp t="s">
        <v>#N/A Requesting Data...3819166116</v>
        <stp/>
        <stp>BDP|9527422732516931763</stp>
        <tr r="BI345" s="3"/>
      </tp>
      <tp t="s">
        <v>#N/A Requesting Data...2737348863</v>
        <stp/>
        <stp>BDP|8876749985410577869</stp>
        <tr r="BA254" s="3"/>
      </tp>
      <tp t="s">
        <v>#N/A N/A</v>
        <stp/>
        <stp>BDP|9459789445262737751</stp>
        <tr r="AF44" s="2"/>
      </tp>
      <tp t="s">
        <v>#N/A Requesting Data...2593566776</v>
        <stp/>
        <stp>BDP|5367554089547738038</stp>
        <tr r="AO13" s="4"/>
      </tp>
      <tp t="s">
        <v>#N/A Requesting Data...3775994043</v>
        <stp/>
        <stp>BDP|8035158785677325980</stp>
        <tr r="AH174" s="3"/>
      </tp>
      <tp t="s">
        <v>#N/A N/A</v>
        <stp/>
        <stp>BDP|7542830602045719584</stp>
        <tr r="AF40" s="2"/>
      </tp>
      <tp t="s">
        <v>#N/A Requesting Data...2894700532</v>
        <stp/>
        <stp>BDP|9466226643279652987</stp>
        <tr r="AZ291" s="3"/>
      </tp>
      <tp t="s">
        <v>#N/A Requesting Data...2616710442</v>
        <stp/>
        <stp>BDP|9137229661695067799</stp>
        <tr r="AZ221" s="3"/>
      </tp>
      <tp t="s">
        <v>#N/A N/A</v>
        <stp/>
        <stp>BDP|1895868444702909085</stp>
        <tr r="V43" s="2"/>
      </tp>
      <tp t="s">
        <v>#N/A Requesting Data...2632919734</v>
        <stp/>
        <stp>BDP|2209861508306605317</stp>
        <tr r="Y30" s="3"/>
      </tp>
      <tp t="s">
        <v>#N/A Requesting Data...3632471389</v>
        <stp/>
        <stp>BDP|4690624982353493690</stp>
        <tr r="BA110" s="3"/>
      </tp>
      <tp t="s">
        <v>#N/A Requesting Data...4014417280</v>
        <stp/>
        <stp>BDP|1861585708818966394</stp>
        <tr r="Y63" s="3"/>
      </tp>
      <tp t="s">
        <v>#N/A N/A</v>
        <stp/>
        <stp>BDP|9688011252410957344</stp>
        <tr r="BN52" s="2"/>
      </tp>
      <tp t="s">
        <v>#N/A Requesting Data...3510842942</v>
        <stp/>
        <stp>BDP|5500358968796159916</stp>
        <tr r="O330" s="3"/>
      </tp>
      <tp t="s">
        <v>#N/A Requesting Data...3692568377</v>
        <stp/>
        <stp>BDP|8566298490419429504</stp>
        <tr r="BF142" s="3"/>
      </tp>
      <tp t="s">
        <v>#N/A Requesting Data...3030155999</v>
        <stp/>
        <stp>BDP|6773012683958477994</stp>
        <tr r="AQ176" s="3"/>
      </tp>
      <tp t="s">
        <v>#N/A Requesting Data...4112356212</v>
        <stp/>
        <stp>BDP|8364323120973029591</stp>
        <tr r="BI144" s="3"/>
      </tp>
      <tp t="s">
        <v>#N/A Requesting Data...2270547782</v>
        <stp/>
        <stp>BDP|1310521287716803567</stp>
        <tr r="O238" s="3"/>
      </tp>
      <tp t="s">
        <v>#N/A Requesting Data...3570085896</v>
        <stp/>
        <stp>BDP|6341891022890394334</stp>
        <tr r="BG7" s="3"/>
      </tp>
      <tp t="s">
        <v>#N/A Requesting Data...2878896703</v>
        <stp/>
        <stp>BDP|6856906666654258240</stp>
        <tr r="Y193" s="3"/>
      </tp>
      <tp t="s">
        <v>#N/A Requesting Data...4077385037</v>
        <stp/>
        <stp>BDP|8105764836484878714</stp>
        <tr r="BH350" s="3"/>
      </tp>
      <tp t="s">
        <v>#N/A N/A</v>
        <stp/>
        <stp>BDP|3864891619281760470</stp>
        <tr r="BL25" s="2"/>
      </tp>
      <tp t="s">
        <v>#N/A Requesting Data...4247523149</v>
        <stp/>
        <stp>BDP|9853439204690361249</stp>
        <tr r="BG304" s="3"/>
      </tp>
      <tp t="s">
        <v>#N/A N/A</v>
        <stp/>
        <stp>BDP|6764241999647373512</stp>
        <tr r="BE99" s="2"/>
      </tp>
      <tp t="s">
        <v>#N/A Requesting Data...3304404229</v>
        <stp/>
        <stp>BDP|8199997300958204623</stp>
        <tr r="K151" s="3"/>
      </tp>
      <tp t="s">
        <v>#N/A Requesting Data...4071913200</v>
        <stp/>
        <stp>BDP|7205284182081953396</stp>
        <tr r="F260" s="3"/>
      </tp>
      <tp t="s">
        <v>#N/A Requesting Data...2647031854</v>
        <stp/>
        <stp>BDP|1993151898921456782</stp>
        <tr r="Y51" s="4"/>
      </tp>
      <tp t="s">
        <v>#N/A Requesting Data...3023089205</v>
        <stp/>
        <stp>BDP|5158493891271190616</stp>
        <tr r="I345" s="3"/>
      </tp>
      <tp t="s">
        <v>#N/A Requesting Data...3850939180</v>
        <stp/>
        <stp>BDP|7189853025485820706</stp>
        <tr r="D38" s="4"/>
      </tp>
      <tp t="s">
        <v>#N/A N/A</v>
        <stp/>
        <stp>BDP|8430621129866195578</stp>
        <tr r="T32" s="2"/>
      </tp>
      <tp t="s">
        <v>#N/A Requesting Data...2475096713</v>
        <stp/>
        <stp>BDP|8084882881150833783</stp>
        <tr r="O332" s="3"/>
      </tp>
      <tp t="s">
        <v>#N/A Requesting Data...3267098205</v>
        <stp/>
        <stp>BDP|4569715471558599393</stp>
        <tr r="AA87" s="3"/>
      </tp>
      <tp t="s">
        <v>#N/A N/A</v>
        <stp/>
        <stp>BDP|8028271040880938174</stp>
        <tr r="BK15" s="2"/>
      </tp>
      <tp t="s">
        <v>#N/A Requesting Data...2521172073</v>
        <stp/>
        <stp>BDP|1995995749311445244</stp>
        <tr r="AQ264" s="3"/>
      </tp>
      <tp t="s">
        <v>#N/A Requesting Data...2337429786</v>
        <stp/>
        <stp>BDP|9274552489732481934</stp>
        <tr r="I268" s="3"/>
      </tp>
      <tp t="s">
        <v>#N/A Requesting Data...4241085973</v>
        <stp/>
        <stp>BDP|3965957641655641423</stp>
        <tr r="BH194" s="3"/>
      </tp>
      <tp t="s">
        <v>#N/A Requesting Data...3994094579</v>
        <stp/>
        <stp>BDP|1951375784790729543</stp>
        <tr r="AX35" s="4"/>
      </tp>
      <tp t="s">
        <v>#N/A Requesting Data...2895762208</v>
        <stp/>
        <stp>BDP|2594097532638443644</stp>
        <tr r="BF71" s="3"/>
      </tp>
      <tp t="s">
        <v>#N/A Requesting Data...3653360474</v>
        <stp/>
        <stp>BDP|3123865175866545593</stp>
        <tr r="BG228" s="3"/>
      </tp>
      <tp t="s">
        <v>#N/A Requesting Data...4132120036</v>
        <stp/>
        <stp>BDP|7340662084702727488</stp>
        <tr r="BG279" s="3"/>
      </tp>
      <tp t="s">
        <v>#N/A N/A</v>
        <stp/>
        <stp>BDP|9889290377387173497</stp>
        <tr r="AO37" s="2"/>
      </tp>
      <tp t="s">
        <v>#N/A Requesting Data...2676608307</v>
        <stp/>
        <stp>BDP|9548310030540834629</stp>
        <tr r="I336" s="3"/>
      </tp>
      <tp t="s">
        <v>#N/A N/A</v>
        <stp/>
        <stp>BDP|9703658108492420205</stp>
        <tr r="BK81" s="2"/>
      </tp>
      <tp t="s">
        <v>#N/A N/A</v>
        <stp/>
        <stp>BDP|6754791297060498730</stp>
        <tr r="P92" s="2"/>
      </tp>
      <tp t="s">
        <v>#N/A N/A</v>
        <stp/>
        <stp>BDP|6851136096541727048</stp>
        <tr r="AF70" s="2"/>
      </tp>
      <tp t="s">
        <v>#N/A Requesting Data...2393035160</v>
        <stp/>
        <stp>BDP|2532626199770843288</stp>
        <tr r="AJ108" s="3"/>
      </tp>
      <tp t="s">
        <v>#N/A Requesting Data...2505840762</v>
        <stp/>
        <stp>BDP|5974456276879023045</stp>
        <tr r="I130" s="3"/>
      </tp>
      <tp t="s">
        <v>#N/A Requesting Data...3693906564</v>
        <stp/>
        <stp>BDP|8933533100750254263</stp>
        <tr r="BH149" s="3"/>
      </tp>
      <tp t="s">
        <v>#N/A N/A</v>
        <stp/>
        <stp>BDP|2295177369559373319</stp>
        <tr r="BG55" s="2"/>
      </tp>
      <tp t="s">
        <v>#N/A Requesting Data...3553770738</v>
        <stp/>
        <stp>BDP|2423254099141210742</stp>
        <tr r="I98" s="3"/>
      </tp>
      <tp t="s">
        <v>#N/A Requesting Data...2322447928</v>
        <stp/>
        <stp>BDP|6175874166795939270</stp>
        <tr r="K285" s="3"/>
      </tp>
      <tp t="s">
        <v>#N/A N/A</v>
        <stp/>
        <stp>BDP|6905910186051865981</stp>
        <tr r="BF16" s="2"/>
      </tp>
      <tp t="s">
        <v>#N/A Requesting Data...3153116808</v>
        <stp/>
        <stp>BDP|6262476518345364903</stp>
        <tr r="BB235" s="3"/>
      </tp>
      <tp t="s">
        <v>#N/A Requesting Data...4119042735</v>
        <stp/>
        <stp>BDP|4238903612096902569</stp>
        <tr r="O30" s="4"/>
      </tp>
      <tp t="s">
        <v>#N/A Requesting Data...2385198675</v>
        <stp/>
        <stp>BDP|8490983590583016437</stp>
        <tr r="K238" s="3"/>
      </tp>
      <tp t="s">
        <v>#N/A N/A</v>
        <stp/>
        <stp>BDP|4924889526529153893</stp>
        <tr r="AX42" s="2"/>
      </tp>
      <tp t="s">
        <v>#N/A Requesting Data...3770061400</v>
        <stp/>
        <stp>BDP|9378859192402918521</stp>
        <tr r="F265" s="3"/>
      </tp>
      <tp t="s">
        <v>#N/A N/A</v>
        <stp/>
        <stp>BDP|3428282636288390564</stp>
        <tr r="K54" s="2"/>
      </tp>
      <tp t="s">
        <v>#N/A Requesting Data...2755847293</v>
        <stp/>
        <stp>BDP|4198388501831303949</stp>
        <tr r="AJ137" s="3"/>
      </tp>
      <tp t="s">
        <v>#N/A Requesting Data...3899574004</v>
        <stp/>
        <stp>BDP|3368468388898353810</stp>
        <tr r="BH254" s="3"/>
      </tp>
      <tp t="s">
        <v>#N/A Requesting Data...2372246640</v>
        <stp/>
        <stp>BDP|5999175971208993495</stp>
        <tr r="O210" s="3"/>
      </tp>
      <tp t="s">
        <v>#N/A Requesting Data...2662440726</v>
        <stp/>
        <stp>BDP|4549827545347438096</stp>
        <tr r="BA122" s="3"/>
      </tp>
      <tp t="s">
        <v>#N/A Requesting Data...3032722868</v>
        <stp/>
        <stp>BDP|3485360198817712125</stp>
        <tr r="Y256" s="3"/>
      </tp>
      <tp t="s">
        <v>#N/A N/A</v>
        <stp/>
        <stp>BDP|5324414999304296368</stp>
        <tr r="T67" s="2"/>
      </tp>
      <tp t="s">
        <v>#N/A Requesting Data...3701096514</v>
        <stp/>
        <stp>BDP|9936155290838512669</stp>
        <tr r="AH123" s="3"/>
      </tp>
      <tp t="s">
        <v>#N/A N/A</v>
        <stp/>
        <stp>BDP|8430010128636102333</stp>
        <tr r="BF88" s="2"/>
      </tp>
      <tp t="s">
        <v>#N/A Requesting Data...3220085965</v>
        <stp/>
        <stp>BDP|1691261719668399551</stp>
        <tr r="O277" s="3"/>
      </tp>
      <tp t="s">
        <v>#N/A Requesting Data...3764567390</v>
        <stp/>
        <stp>BDP|4149333796842812307</stp>
        <tr r="BB121" s="3"/>
      </tp>
      <tp t="s">
        <v>#N/A Requesting Data...3119427599</v>
        <stp/>
        <stp>BDP|9123956210179985717</stp>
        <tr r="O212" s="3"/>
      </tp>
      <tp t="s">
        <v>#N/A Requesting Data...3044623880</v>
        <stp/>
        <stp>BDP|8947216634990984699</stp>
        <tr r="I115" s="3"/>
      </tp>
      <tp t="s">
        <v>#N/A N/A</v>
        <stp/>
        <stp>BDP|6263592141340523838</stp>
        <tr r="AV37" s="2"/>
      </tp>
      <tp t="s">
        <v>#N/A Requesting Data...2887312541</v>
        <stp/>
        <stp>BDP|8042191916786191126</stp>
        <tr r="BG56" s="3"/>
      </tp>
      <tp t="s">
        <v>#N/A Requesting Data...4272897140</v>
        <stp/>
        <stp>BDP|8250340433687081096</stp>
        <tr r="Q206" s="3"/>
      </tp>
      <tp t="s">
        <v>#N/A N/A</v>
        <stp/>
        <stp>BDP|8990281029491577616</stp>
        <tr r="BL77" s="2"/>
      </tp>
      <tp t="s">
        <v>#N/A Requesting Data...2490111984</v>
        <stp/>
        <stp>BDP|8703639278185762372</stp>
        <tr r="Y339" s="3"/>
      </tp>
      <tp t="s">
        <v>#N/A N/A</v>
        <stp/>
        <stp>BDP|5832119758816877855</stp>
        <tr r="BM72" s="2"/>
      </tp>
      <tp t="s">
        <v>#N/A Requesting Data...2729180267</v>
        <stp/>
        <stp>BDP|3105942976373862177</stp>
        <tr r="Y187" s="3"/>
      </tp>
      <tp t="s">
        <v>#N/A Requesting Data...3897153809</v>
        <stp/>
        <stp>BDP|8418535928308709844</stp>
        <tr r="F72" s="3"/>
      </tp>
      <tp t="s">
        <v>#N/A Requesting Data...4281250510</v>
        <stp/>
        <stp>BDP|8837396447630376096</stp>
        <tr r="AA331" s="3"/>
      </tp>
      <tp t="s">
        <v>#N/A Requesting Data...3061201136</v>
        <stp/>
        <stp>BDP|8282050577527996751</stp>
        <tr r="BH352" s="3"/>
      </tp>
      <tp t="s">
        <v>#N/A Requesting Data...2870074899</v>
        <stp/>
        <stp>BDP|4754089793757110503</stp>
        <tr r="F141" s="3"/>
      </tp>
      <tp t="s">
        <v>#N/A N/A</v>
        <stp/>
        <stp>BDP|6310643485100886774</stp>
        <tr r="BE96" s="2"/>
      </tp>
      <tp t="s">
        <v>#N/A N/A</v>
        <stp/>
        <stp>BDP|7228955118212635249</stp>
        <tr r="N43" s="2"/>
      </tp>
      <tp t="s">
        <v>#N/A Requesting Data...2601976087</v>
        <stp/>
        <stp>BDP|7857314655689141702</stp>
        <tr r="M30" s="4"/>
      </tp>
      <tp t="s">
        <v>#N/A Requesting Data...2960104687</v>
        <stp/>
        <stp>BDP|1458012455669418292</stp>
        <tr r="O30" s="3"/>
      </tp>
      <tp t="s">
        <v>#N/A Requesting Data...2560579443</v>
        <stp/>
        <stp>BDP|4447405519749879783</stp>
        <tr r="BB152" s="3"/>
      </tp>
      <tp t="s">
        <v>#N/A N/A</v>
        <stp/>
        <stp>BDP|6013930076013025487</stp>
        <tr r="BN43" s="2"/>
      </tp>
      <tp t="s">
        <v>#N/A Requesting Data...4237978558</v>
        <stp/>
        <stp>BDP|3212720166319681423</stp>
        <tr r="O40" s="4"/>
      </tp>
      <tp t="s">
        <v>#N/A Requesting Data...3364269259</v>
        <stp/>
        <stp>BDP|7886777949149102257</stp>
        <tr r="AS71" s="3"/>
      </tp>
      <tp t="s">
        <v>#N/A N/A</v>
        <stp/>
        <stp>BDP|5523779589192851717</stp>
        <tr r="BN45" s="2"/>
      </tp>
      <tp t="s">
        <v>#N/A Requesting Data...2891014729</v>
        <stp/>
        <stp>BDP|1891920139301636572</stp>
        <tr r="AS259" s="3"/>
      </tp>
      <tp t="s">
        <v>#N/A Requesting Data...4036250409</v>
        <stp/>
        <stp>BDP|6238976894940545965</stp>
        <tr r="K55" s="3"/>
      </tp>
      <tp t="s">
        <v>#N/A Requesting Data...2933010029</v>
        <stp/>
        <stp>BDP|5708288896587226692</stp>
        <tr r="BG251" s="3"/>
      </tp>
      <tp t="s">
        <v>#N/A Requesting Data...2872398199</v>
        <stp/>
        <stp>BDP|7525474119835062897</stp>
        <tr r="AH114" s="3"/>
      </tp>
      <tp t="s">
        <v>#N/A Requesting Data...4033196530</v>
        <stp/>
        <stp>BDP|1867099074238702102</stp>
        <tr r="AQ296" s="3"/>
      </tp>
      <tp t="s">
        <v>#N/A Requesting Data...2928769017</v>
        <stp/>
        <stp>BDP|3268916371903519157</stp>
        <tr r="AZ57" s="3"/>
      </tp>
      <tp t="s">
        <v>#N/A Requesting Data...3708559868</v>
        <stp/>
        <stp>BDP|6856117442795026998</stp>
        <tr r="AH80" s="3"/>
      </tp>
      <tp t="s">
        <v>#N/A Requesting Data...2707858025</v>
        <stp/>
        <stp>BDP|7457954530575252710</stp>
        <tr r="M41" s="4"/>
      </tp>
      <tp t="s">
        <v>#N/A Requesting Data...3139037994</v>
        <stp/>
        <stp>BDP|7088184500899948031</stp>
        <tr r="K278" s="3"/>
      </tp>
      <tp t="s">
        <v>#N/A N/A</v>
        <stp/>
        <stp>BDP|9240763711259373942</stp>
        <tr r="V13" s="2"/>
      </tp>
      <tp t="s">
        <v>#N/A N/A</v>
        <stp/>
        <stp>BDP|8797899008269177656</stp>
        <tr r="BG62" s="2"/>
      </tp>
      <tp t="s">
        <v>#N/A Requesting Data...3827123637</v>
        <stp/>
        <stp>BDP|4552317909809902168</stp>
        <tr r="AA10" s="3"/>
      </tp>
      <tp t="s">
        <v>#N/A Requesting Data...2992969253</v>
        <stp/>
        <stp>BDP|9488978293511688749</stp>
        <tr r="AA332" s="3"/>
      </tp>
      <tp t="s">
        <v>#N/A Requesting Data...3373352783</v>
        <stp/>
        <stp>BDP|3179414086575333571</stp>
        <tr r="BB70" s="3"/>
      </tp>
      <tp t="s">
        <v>#N/A Requesting Data...2971246131</v>
        <stp/>
        <stp>BDP|8381753860071583717</stp>
        <tr r="BA267" s="3"/>
      </tp>
      <tp t="s">
        <v>#N/A N/A</v>
        <stp/>
        <stp>BDP|4486432606538504769</stp>
        <tr r="N91" s="2"/>
      </tp>
      <tp t="s">
        <v>#N/A N/A</v>
        <stp/>
        <stp>BDP|8540662412280750047</stp>
        <tr r="AD88" s="2"/>
      </tp>
      <tp t="s">
        <v>#N/A Requesting Data...3276880345</v>
        <stp/>
        <stp>BDP|2264786029821305931</stp>
        <tr r="BH164" s="3"/>
      </tp>
      <tp t="s">
        <v>#N/A Requesting Data...3728856097</v>
        <stp/>
        <stp>BDP|1308688448774848883</stp>
        <tr r="AQ59" s="4"/>
      </tp>
      <tp t="s">
        <v>#N/A Requesting Data...2815854604</v>
        <stp/>
        <stp>BDP|4114449926648234525</stp>
        <tr r="AJ50" s="3"/>
      </tp>
      <tp t="s">
        <v>#N/A N/A</v>
        <stp/>
        <stp>BDP|6557055417048680022</stp>
        <tr r="AO51" s="2"/>
      </tp>
      <tp t="s">
        <v>#N/A Requesting Data...3905995378</v>
        <stp/>
        <stp>BDP|4450921978933848654</stp>
        <tr r="AH153" s="3"/>
      </tp>
      <tp t="s">
        <v>#N/A Requesting Data...3224550638</v>
        <stp/>
        <stp>BDP|8892225861527045480</stp>
        <tr r="BH11" s="3"/>
      </tp>
      <tp t="s">
        <v>#N/A Requesting Data...3981414845</v>
        <stp/>
        <stp>BDP|3668970620090283702</stp>
        <tr r="I10" s="4"/>
      </tp>
      <tp t="s">
        <v>#N/A Requesting Data...3472885835</v>
        <stp/>
        <stp>BDP|7134409575452029970</stp>
        <tr r="AH287" s="3"/>
      </tp>
      <tp t="s">
        <v>#N/A Requesting Data...3331014049</v>
        <stp/>
        <stp>BDP|4919457934948200490</stp>
        <tr r="AA318" s="3"/>
      </tp>
      <tp t="s">
        <v>#N/A Requesting Data...2992858016</v>
        <stp/>
        <stp>BDP|9070698766693867540</stp>
        <tr r="BG319" s="3"/>
      </tp>
      <tp t="s">
        <v>#N/A Requesting Data...3595616496</v>
        <stp/>
        <stp>BDP|8384704183668515065</stp>
        <tr r="BA342" s="3"/>
      </tp>
      <tp t="s">
        <v>#N/A Requesting Data...3699529186</v>
        <stp/>
        <stp>BDP|6296841331250211265</stp>
        <tr r="Q62" s="3"/>
      </tp>
      <tp t="s">
        <v>#N/A Requesting Data...3250759890</v>
        <stp/>
        <stp>BDP|5448717846621330837</stp>
        <tr r="D40" s="4"/>
      </tp>
      <tp t="s">
        <v>#N/A Requesting Data...4231020699</v>
        <stp/>
        <stp>BDP|2105670261318358576</stp>
        <tr r="I234" s="3"/>
      </tp>
      <tp t="s">
        <v>#N/A Requesting Data...3898676649</v>
        <stp/>
        <stp>BDP|3096802971594052728</stp>
        <tr r="BI101" s="3"/>
      </tp>
      <tp t="s">
        <v>#N/A Requesting Data...3042325204</v>
        <stp/>
        <stp>BDP|1456905414452775440</stp>
        <tr r="AS65" s="3"/>
      </tp>
      <tp t="s">
        <v>#N/A Requesting Data...3838776861</v>
        <stp/>
        <stp>BDP|8337401070502161615</stp>
        <tr r="AH127" s="3"/>
      </tp>
      <tp t="s">
        <v>#N/A N/A</v>
        <stp/>
        <stp>BDP|2348456974986563849</stp>
        <tr r="T55" s="2"/>
      </tp>
      <tp t="s">
        <v>#N/A Requesting Data...3333881977</v>
        <stp/>
        <stp>BDP|1372181380597124096</stp>
        <tr r="AO58" s="4"/>
      </tp>
      <tp t="s">
        <v>#N/A N/A</v>
        <stp/>
        <stp>BDP|4572309581006198660</stp>
        <tr r="BG73" s="2"/>
      </tp>
      <tp t="s">
        <v>#N/A Requesting Data...3389262339</v>
        <stp/>
        <stp>BDP|4689434410727185974</stp>
        <tr r="O85" s="3"/>
      </tp>
      <tp t="s">
        <v>#N/A N/A</v>
        <stp/>
        <stp>BDP|9960065722440654484</stp>
        <tr r="BG70" s="2"/>
      </tp>
      <tp t="s">
        <v>#N/A N/A</v>
        <stp/>
        <stp>BDP|9705110512787293158</stp>
        <tr r="BF53" s="2"/>
      </tp>
      <tp t="s">
        <v>#N/A Requesting Data...3426776582</v>
        <stp/>
        <stp>BDP|7258342958818948670</stp>
        <tr r="BB80" s="3"/>
      </tp>
      <tp t="s">
        <v>#N/A N/A</v>
        <stp/>
        <stp>BDP|8346443854463493571</stp>
        <tr r="AD86" s="2"/>
      </tp>
      <tp t="s">
        <v>#N/A Requesting Data...3484119114</v>
        <stp/>
        <stp>BDP|5492524116327773975</stp>
        <tr r="BB46" s="3"/>
      </tp>
      <tp t="s">
        <v>#N/A Requesting Data...3873154821</v>
        <stp/>
        <stp>BDP|9619315166811329221</stp>
        <tr r="BG267" s="3"/>
      </tp>
      <tp t="s">
        <v>#N/A Requesting Data...2852655892</v>
        <stp/>
        <stp>BDP|9824531718830133226</stp>
        <tr r="BM4" s="2"/>
        <tr r="BH248" s="3"/>
      </tp>
      <tp t="s">
        <v>#N/A Requesting Data...4258354598</v>
        <stp/>
        <stp>BDP|5039601782005327111</stp>
        <tr r="AQ273" s="3"/>
      </tp>
      <tp t="s">
        <v>#N/A N/A</v>
        <stp/>
        <stp>BDP|7214847004073514377</stp>
        <tr r="P88" s="2"/>
      </tp>
      <tp t="s">
        <v>#N/A Requesting Data...3022739105</v>
        <stp/>
        <stp>BDP|1744341289487252284</stp>
        <tr r="AQ308" s="3"/>
      </tp>
      <tp t="s">
        <v>#N/A Requesting Data...2832000962</v>
        <stp/>
        <stp>BDP|5575853174672649723</stp>
        <tr r="BF227" s="3"/>
      </tp>
      <tp t="s">
        <v>#N/A Requesting Data...4073673206</v>
        <stp/>
        <stp>BDP|4163882921605873402</stp>
        <tr r="AZ141" s="3"/>
      </tp>
      <tp t="s">
        <v>#N/A N/A</v>
        <stp/>
        <stp>BDP|2271865846264351513</stp>
        <tr r="BL66" s="2"/>
      </tp>
      <tp t="s">
        <v>#N/A Requesting Data...4212426320</v>
        <stp/>
        <stp>BDP|3739200185463193527</stp>
        <tr r="AJ106" s="3"/>
      </tp>
      <tp t="s">
        <v>#N/A Requesting Data...4289457645</v>
        <stp/>
        <stp>BDP|1353335120519945689</stp>
        <tr r="K314" s="3"/>
      </tp>
      <tp t="s">
        <v>#N/A Requesting Data...4197802847</v>
        <stp/>
        <stp>BDP|4652895712401559399</stp>
        <tr r="AJ273" s="3"/>
      </tp>
      <tp t="s">
        <v>#N/A Requesting Data...4239027052</v>
        <stp/>
        <stp>BDP|3744823956329251809</stp>
        <tr r="BG21" s="3"/>
      </tp>
      <tp t="s">
        <v>#N/A Requesting Data...3022019869</v>
        <stp/>
        <stp>BDP|8850422940074380384</stp>
        <tr r="AH169" s="3"/>
      </tp>
      <tp t="s">
        <v>#N/A N/A</v>
        <stp/>
        <stp>BDP|2681502558509670492</stp>
        <tr r="AF65" s="2"/>
      </tp>
      <tp t="s">
        <v>#N/A N/A</v>
        <stp/>
        <stp>BDP|6820303353819970633</stp>
        <tr r="BL34" s="2"/>
      </tp>
      <tp t="s">
        <v>#N/A Requesting Data...3357263844</v>
        <stp/>
        <stp>BDP|2255084449998165132</stp>
        <tr r="BA320" s="3"/>
      </tp>
      <tp t="s">
        <v>#N/A N/A</v>
        <stp/>
        <stp>BDP|9209515283899713262</stp>
        <tr r="K96" s="2"/>
      </tp>
      <tp t="s">
        <v>#N/A N/A</v>
        <stp/>
        <stp>BDP|5331824227151589120</stp>
        <tr r="BL61" s="2"/>
      </tp>
      <tp t="s">
        <v>#N/A N/A</v>
        <stp/>
        <stp>BDP|9937583512945239704</stp>
        <tr r="P40" s="2"/>
      </tp>
      <tp t="s">
        <v>#N/A Requesting Data...3707213286</v>
        <stp/>
        <stp>BDP|6672653012189677763</stp>
        <tr r="BI262" s="3"/>
      </tp>
      <tp t="s">
        <v>#N/A Requesting Data...2902474394</v>
        <stp/>
        <stp>BDP|3594813225540554659</stp>
        <tr r="AQ31" s="4"/>
      </tp>
      <tp t="s">
        <v>#N/A Requesting Data...4208899794</v>
        <stp/>
        <stp>BDP|4177490769029713075</stp>
        <tr r="AH61" s="4"/>
      </tp>
      <tp t="s">
        <v>#N/A Requesting Data...3007421440</v>
        <stp/>
        <stp>BDP|9482529967682308732</stp>
        <tr r="AF2" s="2"/>
        <tr r="Y2" s="4"/>
        <tr r="AA2" s="3"/>
      </tp>
      <tp t="s">
        <v>#N/A Requesting Data...3550979541</v>
        <stp/>
        <stp>BDP|3047088439107204829</stp>
        <tr r="AJ244" s="3"/>
      </tp>
      <tp t="s">
        <v>#N/A Requesting Data...2985897510</v>
        <stp/>
        <stp>BDP|4196171939980837966</stp>
        <tr r="AA259" s="3"/>
      </tp>
      <tp t="s">
        <v>#N/A Requesting Data...4253558356</v>
        <stp/>
        <stp>BDP|5724692098167319244</stp>
        <tr r="I278" s="3"/>
      </tp>
      <tp t="s">
        <v>#N/A Requesting Data...3174606797</v>
        <stp/>
        <stp>BDP|4837367399382258345</stp>
        <tr r="AZ317" s="3"/>
      </tp>
      <tp t="s">
        <v>#N/A Requesting Data...3102095868</v>
        <stp/>
        <stp>BDP|8544538193983778835</stp>
        <tr r="BA349" s="3"/>
      </tp>
      <tp t="s">
        <v>#N/A Requesting Data...3793838114</v>
        <stp/>
        <stp>BDP|5746130864348926582</stp>
        <tr r="BH132" s="3"/>
      </tp>
      <tp t="s">
        <v>#N/A N/A</v>
        <stp/>
        <stp>BDP|2643946778464996729</stp>
        <tr r="V53" s="2"/>
      </tp>
      <tp t="s">
        <v>#N/A Requesting Data...3233015187</v>
        <stp/>
        <stp>BDP|9451484838334339567</stp>
        <tr r="Q324" s="3"/>
      </tp>
      <tp t="s">
        <v>#N/A Requesting Data...3102967302</v>
        <stp/>
        <stp>BDP|4128115712793580811</stp>
        <tr r="AQ58" s="3"/>
      </tp>
      <tp t="s">
        <v>#N/A Requesting Data...3889044694</v>
        <stp/>
        <stp>BDP|8727894112158984637</stp>
        <tr r="AJ124" s="3"/>
      </tp>
      <tp t="s">
        <v>#N/A N/A</v>
        <stp/>
        <stp>BDP|7690857207312097229</stp>
        <tr r="K37" s="2"/>
      </tp>
      <tp t="s">
        <v>#N/A N/A</v>
        <stp/>
        <stp>BDP|1231812602452385442</stp>
        <tr r="AF90" s="2"/>
      </tp>
      <tp t="s">
        <v>#N/A Requesting Data...3064638797</v>
        <stp/>
        <stp>BDP|1076379363292040927</stp>
        <tr r="AS99" s="3"/>
      </tp>
      <tp t="s">
        <v>#N/A Requesting Data...3813389397</v>
        <stp/>
        <stp>BDP|1594961226451716443</stp>
        <tr r="AA241" s="3"/>
      </tp>
      <tp t="s">
        <v>#N/A Requesting Data...4116590019</v>
        <stp/>
        <stp>BDP|5181158320941075820</stp>
        <tr r="AF25" s="4"/>
      </tp>
      <tp t="s">
        <v>#N/A N/A</v>
        <stp/>
        <stp>BDP|8490610609950846125</stp>
        <tr r="BK56" s="2"/>
      </tp>
      <tp t="s">
        <v>#N/A N/A</v>
        <stp/>
        <stp>BDP|6212273463174070904</stp>
        <tr r="AM48" s="2"/>
      </tp>
      <tp t="s">
        <v>#N/A Requesting Data...3644838104</v>
        <stp/>
        <stp>BDP|1511020287263472526</stp>
        <tr r="AS151" s="3"/>
      </tp>
      <tp t="s">
        <v>#N/A Requesting Data...3131694235</v>
        <stp/>
        <stp>BDP|1838774051054940816</stp>
        <tr r="BF242" s="3"/>
      </tp>
      <tp t="s">
        <v>#N/A Requesting Data...3326258764</v>
        <stp/>
        <stp>BDP|6187821965226599156</stp>
        <tr r="I25" s="3"/>
      </tp>
      <tp t="s">
        <v>#N/A Requesting Data...3244372148</v>
        <stp/>
        <stp>BDP|4258537293013069443</stp>
        <tr r="AO6" s="2"/>
      </tp>
      <tp t="s">
        <v>#N/A Requesting Data...3216782820</v>
        <stp/>
        <stp>BDP|2303706991726673520</stp>
        <tr r="AQ213" s="3"/>
      </tp>
      <tp t="s">
        <v>#N/A Requesting Data...3169698570</v>
        <stp/>
        <stp>BDP|3194722233608261053</stp>
        <tr r="BG100" s="3"/>
      </tp>
      <tp t="s">
        <v>#N/A N/A</v>
        <stp/>
        <stp>BDP|1356889001503865557</stp>
        <tr r="O6" s="4"/>
      </tp>
      <tp t="s">
        <v>#N/A Requesting Data...3674524771</v>
        <stp/>
        <stp>BDP|1123485099826336547</stp>
        <tr r="AZ307" s="3"/>
      </tp>
      <tp t="s">
        <v>#N/A Requesting Data...3130462731</v>
        <stp/>
        <stp>BDP|5091044051589524671</stp>
        <tr r="I65" s="3"/>
      </tp>
      <tp t="s">
        <v>#N/A Requesting Data...3328920611</v>
        <stp/>
        <stp>BDP|3178582411079665198</stp>
        <tr r="BH284" s="3"/>
      </tp>
      <tp t="s">
        <v>#N/A Requesting Data...4029567877</v>
        <stp/>
        <stp>BDP|5534691545151780991</stp>
        <tr r="W34" s="4"/>
      </tp>
      <tp t="s">
        <v>#N/A Requesting Data...3251982857</v>
        <stp/>
        <stp>BDP|9146418531542430327</stp>
        <tr r="BG246" s="3"/>
      </tp>
      <tp t="s">
        <v>#N/A Requesting Data...3426333903</v>
        <stp/>
        <stp>BDP|1255295197882947721</stp>
        <tr r="F308" s="3"/>
      </tp>
      <tp t="s">
        <v>#N/A Requesting Data...4278323246</v>
        <stp/>
        <stp>BDP|5013861483549688340</stp>
        <tr r="AA80" s="3"/>
      </tp>
      <tp t="s">
        <v>#N/A Requesting Data...3534812570</v>
        <stp/>
        <stp>BDP|9020614334580370318</stp>
        <tr r="BA148" s="3"/>
      </tp>
      <tp t="s">
        <v>#N/A N/A</v>
        <stp/>
        <stp>BDP|8633500494529195240</stp>
        <tr r="BF34" s="2"/>
      </tp>
      <tp t="s">
        <v>#N/A N/A</v>
        <stp/>
        <stp>BDP|7066920255665814180</stp>
        <tr r="BG80" s="2"/>
      </tp>
      <tp t="s">
        <v>#N/A N/A</v>
        <stp/>
        <stp>BDP|7595600286892168456</stp>
        <tr r="AX85" s="2"/>
      </tp>
      <tp t="s">
        <v>#N/A Requesting Data...4141024425</v>
        <stp/>
        <stp>BDP|9423177624345817086</stp>
        <tr r="AJ30" s="3"/>
      </tp>
      <tp t="s">
        <v>#N/A N/A</v>
        <stp/>
        <stp>BDP|2256162912074922984</stp>
        <tr r="AM100" s="2"/>
      </tp>
      <tp t="s">
        <v>#N/A Requesting Data...3561028510</v>
        <stp/>
        <stp>BDP|9067303117547055305</stp>
        <tr r="Q196" s="3"/>
      </tp>
      <tp t="s">
        <v>#N/A Requesting Data...3329094950</v>
        <stp/>
        <stp>BDP|6570226703582601954</stp>
        <tr r="I180" s="3"/>
      </tp>
      <tp t="s">
        <v>#N/A Requesting Data...3729120070</v>
        <stp/>
        <stp>BDP|4724668681841525423</stp>
        <tr r="I27" s="4"/>
      </tp>
      <tp t="s">
        <v>#N/A Requesting Data...3630992122</v>
        <stp/>
        <stp>BDP|9806380316295420153</stp>
        <tr r="AJ5" s="3"/>
      </tp>
      <tp t="s">
        <v>#N/A Requesting Data...3374031812</v>
        <stp/>
        <stp>BDP|9913085711140711702</stp>
        <tr r="BF246" s="3"/>
      </tp>
      <tp t="s">
        <v>#N/A Requesting Data...4134621208</v>
        <stp/>
        <stp>BDP|7702614563811624948</stp>
        <tr r="F344" s="3"/>
      </tp>
      <tp t="s">
        <v>#N/A Requesting Data...3640880007</v>
        <stp/>
        <stp>BDP|6274732442059376374</stp>
        <tr r="BG258" s="3"/>
      </tp>
      <tp t="s">
        <v>#N/A Requesting Data...4232133883</v>
        <stp/>
        <stp>BDP|3945958069452998188</stp>
        <tr r="K228" s="3"/>
      </tp>
      <tp t="s">
        <v>#N/A Requesting Data...3529132212</v>
        <stp/>
        <stp>BDP|6060753666839318144</stp>
        <tr r="F199" s="3"/>
      </tp>
      <tp t="s">
        <v>#N/A Requesting Data...3464550561</v>
        <stp/>
        <stp>BDP|4669543770010395954</stp>
        <tr r="AH337" s="3"/>
      </tp>
      <tp t="s">
        <v>#N/A Requesting Data...3530991723</v>
        <stp/>
        <stp>BDP|9785492628590042020</stp>
        <tr r="AA65" s="3"/>
      </tp>
      <tp t="s">
        <v>#N/A N/A</v>
        <stp/>
        <stp>BDP|2911713348959223763</stp>
        <tr r="BM50" s="2"/>
      </tp>
      <tp t="s">
        <v>#N/A Requesting Data...3163327823</v>
        <stp/>
        <stp>BDP|6427165497663731268</stp>
        <tr r="O303" s="3"/>
      </tp>
      <tp t="s">
        <v>#N/A Requesting Data...3648629477</v>
        <stp/>
        <stp>BDP|1082652392516717744</stp>
        <tr r="AS273" s="3"/>
      </tp>
      <tp t="s">
        <v>#N/A Requesting Data...3770149026</v>
        <stp/>
        <stp>BDP|8860799605596893689</stp>
        <tr r="Q212" s="3"/>
      </tp>
      <tp t="s">
        <v>#N/A Requesting Data...3368874038</v>
        <stp/>
        <stp>BDP|9882594050174608237</stp>
        <tr r="K269" s="3"/>
      </tp>
      <tp t="s">
        <v>#N/A Requesting Data...4041672582</v>
        <stp/>
        <stp>BDP|9453690118397226639</stp>
        <tr r="BA119" s="3"/>
      </tp>
      <tp t="s">
        <v>#N/A Requesting Data...4122523170</v>
        <stp/>
        <stp>BDP|7436526524757450828</stp>
        <tr r="BF173" s="3"/>
      </tp>
      <tp t="s">
        <v>#N/A Requesting Data...4051799449</v>
        <stp/>
        <stp>BDP|6608978130376047550</stp>
        <tr r="AJ269" s="3"/>
      </tp>
      <tp t="s">
        <v>#N/A Requesting Data...4013854341</v>
        <stp/>
        <stp>BDP|4943305470367807853</stp>
        <tr r="BH278" s="3"/>
      </tp>
      <tp t="s">
        <v>#N/A Requesting Data...3590064807</v>
        <stp/>
        <stp>BDP|8257247422444125314</stp>
        <tr r="BG118" s="3"/>
      </tp>
      <tp t="s">
        <v>#N/A N/A</v>
        <stp/>
        <stp>BDP|3003854263390733254</stp>
        <tr r="BN42" s="2"/>
      </tp>
      <tp t="s">
        <v>#N/A N/A</v>
        <stp/>
        <stp>BDP|8847412344544873312</stp>
        <tr r="BE15" s="2"/>
      </tp>
      <tp t="s">
        <v>#N/A Requesting Data...3523019568</v>
        <stp/>
        <stp>BDP|5139936553330546604</stp>
        <tr r="BA47" s="3"/>
      </tp>
      <tp t="s">
        <v>#N/A Requesting Data...3277779711</v>
        <stp/>
        <stp>BDP|5629253085110553073</stp>
        <tr r="AQ52" s="4"/>
      </tp>
      <tp t="s">
        <v>#N/A Requesting Data...3551780213</v>
        <stp/>
        <stp>BDP|3352049810318778551</stp>
        <tr r="Y20" s="4"/>
      </tp>
      <tp t="s">
        <v>#N/A N/A</v>
        <stp/>
        <stp>BDP|6985120082102892248</stp>
        <tr r="T59" s="2"/>
      </tp>
      <tp t="s">
        <v>#N/A Requesting Data...3920047817</v>
        <stp/>
        <stp>BDP|5666979395209016316</stp>
        <tr r="BG300" s="3"/>
      </tp>
      <tp t="s">
        <v>#N/A Requesting Data...3625067024</v>
        <stp/>
        <stp>BDP|8588302966637411527</stp>
        <tr r="AD17" s="2"/>
        <tr r="W9" s="4"/>
      </tp>
      <tp t="s">
        <v>#N/A Requesting Data...3994690241</v>
        <stp/>
        <stp>BDP|7391034584798104807</stp>
        <tr r="BH341" s="3"/>
      </tp>
      <tp t="s">
        <v>#N/A Requesting Data...3455472194</v>
        <stp/>
        <stp>BDP|1606977476851494169</stp>
        <tr r="BH224" s="3"/>
      </tp>
      <tp t="s">
        <v>#N/A Requesting Data...3496840041</v>
        <stp/>
        <stp>BDP|9110735405476308711</stp>
        <tr r="BF195" s="3"/>
      </tp>
      <tp t="s">
        <v>#N/A Requesting Data...3637315705</v>
        <stp/>
        <stp>BDP|8521173100462742401</stp>
        <tr r="BB262" s="3"/>
      </tp>
      <tp t="s">
        <v>#N/A Requesting Data...3509300757</v>
        <stp/>
        <stp>BDP|5142844877312149767</stp>
        <tr r="BI33" s="3"/>
      </tp>
      <tp t="s">
        <v>#N/A Requesting Data...3926639866</v>
        <stp/>
        <stp>BDP|5053270717518501105</stp>
        <tr r="AZ329" s="3"/>
      </tp>
      <tp t="s">
        <v>#N/A Requesting Data...4121893840</v>
        <stp/>
        <stp>BDP|8484499858620704673</stp>
        <tr r="BH184" s="3"/>
      </tp>
      <tp t="s">
        <v>#N/A N/A</v>
        <stp/>
        <stp>BDP|7743717191277542173</stp>
        <tr r="BE11" s="2"/>
      </tp>
      <tp t="s">
        <v>#N/A Requesting Data...4117271052</v>
        <stp/>
        <stp>BDP|4930817829527757632</stp>
        <tr r="I44" s="4"/>
      </tp>
      <tp t="s">
        <v>#N/A Requesting Data...3601774014</v>
        <stp/>
        <stp>BDP|6872485896940496474</stp>
        <tr r="BH322" s="3"/>
      </tp>
      <tp t="s">
        <v>#N/A Requesting Data...4023547603</v>
        <stp/>
        <stp>BDP|4687034662568823253</stp>
        <tr r="AJ38" s="3"/>
      </tp>
      <tp t="s">
        <v>#N/A Requesting Data...3918857947</v>
        <stp/>
        <stp>BDP|5879816236621667739</stp>
        <tr r="AS290" s="3"/>
      </tp>
      <tp t="s">
        <v>#N/A Requesting Data...4181448205</v>
        <stp/>
        <stp>BDP|2580584989145933275</stp>
        <tr r="Q201" s="3"/>
      </tp>
      <tp t="s">
        <v>#N/A Requesting Data...4093788230</v>
        <stp/>
        <stp>BDP|9694429014783346798</stp>
        <tr r="K271" s="3"/>
      </tp>
      <tp t="s">
        <v>#N/A N/A</v>
        <stp/>
        <stp>BDP|7644980993437485833</stp>
        <tr r="P24" s="2"/>
      </tp>
      <tp t="s">
        <v>#N/A Requesting Data...4181470970</v>
        <stp/>
        <stp>BDP|2781484212727747802</stp>
        <tr r="Q334" s="3"/>
      </tp>
      <tp t="s">
        <v>#N/A Requesting Data...3325600406</v>
        <stp/>
        <stp>BDP|9815231726795326448</stp>
        <tr r="AQ314" s="3"/>
      </tp>
      <tp t="s">
        <v>#N/A Requesting Data...3997502013</v>
        <stp/>
        <stp>BDP|5577539598624642523</stp>
        <tr r="AZ76" s="3"/>
      </tp>
      <tp t="s">
        <v>#N/A Requesting Data...4101506380</v>
        <stp/>
        <stp>BDP|3442965150176021183</stp>
        <tr r="BI209" s="3"/>
      </tp>
      <tp t="s">
        <v>#N/A Requesting Data...3346672668</v>
        <stp/>
        <stp>BDP|8414379003551384294</stp>
        <tr r="F18" s="3"/>
      </tp>
      <tp t="s">
        <v>#N/A Requesting Data...3856371375</v>
        <stp/>
        <stp>BDP|8679896789740535094</stp>
        <tr r="BL5" s="2"/>
      </tp>
      <tp t="s">
        <v>#N/A Requesting Data...4220461944</v>
        <stp/>
        <stp>BDP|4738619499835625633</stp>
        <tr r="BH109" s="3"/>
      </tp>
      <tp t="s">
        <v>#N/A Requesting Data...4140327110</v>
        <stp/>
        <stp>BDP|7882686185861635097</stp>
        <tr r="I163" s="3"/>
      </tp>
      <tp t="s">
        <v>#N/A N/A</v>
        <stp/>
        <stp>BDP|8022267041577506187</stp>
        <tr r="BL62" s="2"/>
      </tp>
      <tp t="s">
        <v>#N/A Requesting Data...3405770327</v>
        <stp/>
        <stp>BDP|2305932031541889124</stp>
        <tr r="D24" s="4"/>
      </tp>
      <tp t="s">
        <v>#N/A Requesting Data...3636878088</v>
        <stp/>
        <stp>BDP|7086450886480121394</stp>
        <tr r="BI154" s="3"/>
      </tp>
      <tp t="s">
        <v>#N/A Requesting Data...3724052259</v>
        <stp/>
        <stp>BDP|9490305657146112196</stp>
        <tr r="AQ5" s="4"/>
      </tp>
      <tp t="s">
        <v>#N/A Requesting Data...4017885333</v>
        <stp/>
        <stp>BDP|8597152444653945663</stp>
        <tr r="BA147" s="3"/>
      </tp>
      <tp t="s">
        <v>#N/A Requesting Data...4196272370</v>
        <stp/>
        <stp>BDP|9814344065580599476</stp>
        <tr r="BA108" s="3"/>
      </tp>
      <tp t="s">
        <v>#N/A Requesting Data...4218631167</v>
        <stp/>
        <stp>BDP|7977786146665480980</stp>
        <tr r="AH242" s="3"/>
      </tp>
      <tp t="s">
        <v>#N/A Requesting Data...3814259761</v>
        <stp/>
        <stp>BDP|9936808522673709872</stp>
        <tr r="F116" s="3"/>
      </tp>
      <tp t="s">
        <v>#N/A Requesting Data...3690231860</v>
        <stp/>
        <stp>BDP|6380985506387482029</stp>
        <tr r="F338" s="3"/>
      </tp>
      <tp t="s">
        <v>#N/A Requesting Data...3539495568</v>
        <stp/>
        <stp>BDP|2468898275423733646</stp>
        <tr r="BG77" s="3"/>
      </tp>
      <tp t="s">
        <v>#N/A Requesting Data...3683466648</v>
        <stp/>
        <stp>BDP|3565611047741816800</stp>
        <tr r="BH342" s="3"/>
      </tp>
      <tp t="s">
        <v>#N/A N/A</v>
        <stp/>
        <stp>BDP|5895134697314380147</stp>
        <tr r="BE54" s="2"/>
      </tp>
      <tp t="s">
        <v>#N/A Requesting Data...4152809661</v>
        <stp/>
        <stp>BDP|5695294833958234456</stp>
        <tr r="Q246" s="3"/>
      </tp>
      <tp t="s">
        <v>#N/A N/A</v>
        <stp/>
        <stp>BDP|6869993729443795649</stp>
        <tr r="BF30" s="2"/>
      </tp>
      <tp t="s">
        <v>#N/A Requesting Data...3547885275</v>
        <stp/>
        <stp>BDP|1944953251303259641</stp>
        <tr r="AJ340" s="3"/>
      </tp>
      <tp t="s">
        <v>#N/A Requesting Data...4125210640</v>
        <stp/>
        <stp>BDP|3476341781364962430</stp>
        <tr r="AX39" s="4"/>
      </tp>
      <tp t="s">
        <v>#N/A Requesting Data...3595471133</v>
        <stp/>
        <stp>BDP|7876871022657402223</stp>
        <tr r="I154" s="3"/>
      </tp>
      <tp t="s">
        <v>#N/A Requesting Data...4149949776</v>
        <stp/>
        <stp>BDP|5407987806162520646</stp>
        <tr r="AZ58" s="3"/>
      </tp>
      <tp t="s">
        <v>#N/A Requesting Data...3697614810</v>
        <stp/>
        <stp>BDP|9750089482931599838</stp>
        <tr r="Q175" s="3"/>
      </tp>
      <tp t="s">
        <v>#N/A Requesting Data...3511804145</v>
        <stp/>
        <stp>BDP|9473558208243475753</stp>
        <tr r="BI51" s="3"/>
      </tp>
      <tp t="s">
        <v>#N/A Requesting Data...3522473478</v>
        <stp/>
        <stp>BDP|9980270632357530711</stp>
        <tr r="BI106" s="3"/>
      </tp>
      <tp t="s">
        <v>#N/A Requesting Data...3862845877</v>
        <stp/>
        <stp>BDP|6775308236266079892</stp>
        <tr r="AS85" s="3"/>
      </tp>
      <tp t="s">
        <v>#N/A Requesting Data...4079589654</v>
        <stp/>
        <stp>BDP|1532390055346691972</stp>
        <tr r="Q150" s="3"/>
      </tp>
      <tp t="s">
        <v>#N/A Requesting Data...3705468954</v>
        <stp/>
        <stp>BDP|8029062920224991670</stp>
        <tr r="AJ91" s="3"/>
      </tp>
      <tp t="s">
        <v>#N/A N/A</v>
        <stp/>
        <stp>BDP|8302387694913501924</stp>
        <tr r="AV54" s="2"/>
      </tp>
      <tp t="s">
        <v>#N/A Requesting Data...3976614813</v>
        <stp/>
        <stp>BDP|4256951188088719509</stp>
        <tr r="Y169" s="3"/>
      </tp>
      <tp t="s">
        <v>#N/A Requesting Data...3909890637</v>
        <stp/>
        <stp>BDP|5625968901830886416</stp>
        <tr r="BI352" s="3"/>
      </tp>
      <tp t="s">
        <v>#N/A Requesting Data...3823741954</v>
        <stp/>
        <stp>BDP|7105557153708692796</stp>
        <tr r="Q342" s="3"/>
      </tp>
      <tp t="s">
        <v>#N/A Requesting Data...3788743719</v>
        <stp/>
        <stp>BDP|8728034233317997463</stp>
        <tr r="Q233" s="3"/>
      </tp>
      <tp t="s">
        <v>#N/A Requesting Data...4207453413</v>
        <stp/>
        <stp>BDP|7252080619876284894</stp>
        <tr r="Y315" s="3"/>
      </tp>
      <tp t="s">
        <v>#N/A Requesting Data...3750288268</v>
        <stp/>
        <stp>BDP|3523396844079428546</stp>
        <tr r="Y324" s="3"/>
      </tp>
      <tp t="s">
        <v>#N/A Requesting Data...4026382823</v>
        <stp/>
        <stp>BDP|4886952000650096556</stp>
        <tr r="AH177" s="3"/>
      </tp>
      <tp t="s">
        <v>#N/A Requesting Data...4080310189</v>
        <stp/>
        <stp>BDP|5772784797715651663</stp>
        <tr r="AS31" s="3"/>
      </tp>
      <tp t="s">
        <v>#N/A Requesting Data...3609145639</v>
        <stp/>
        <stp>BDP|9502482146370531160</stp>
        <tr r="AH60" s="4"/>
      </tp>
      <tp t="s">
        <v>#N/A Requesting Data...3863518019</v>
        <stp/>
        <stp>BDP|8858605072212467366</stp>
        <tr r="I11" s="3"/>
      </tp>
      <tp t="s">
        <v>#N/A Requesting Data...3895493997</v>
        <stp/>
        <stp>BDP|3846118732940771947</stp>
        <tr r="Q178" s="3"/>
      </tp>
      <tp t="s">
        <v>#N/A Requesting Data...3840322681</v>
        <stp/>
        <stp>BDP|4593488872786503922</stp>
        <tr r="I73" s="3"/>
      </tp>
      <tp t="s">
        <v>#N/A Requesting Data...4141852072</v>
        <stp/>
        <stp>BDP|7767148095733845474</stp>
        <tr r="F232" s="3"/>
      </tp>
      <tp t="s">
        <v>#N/A Requesting Data...3633257895</v>
        <stp/>
        <stp>BDP|1372127362708883626</stp>
        <tr r="BA38" s="3"/>
      </tp>
      <tp t="s">
        <v>#N/A Requesting Data...3633027587</v>
        <stp/>
        <stp>BDP|2366437413829338693</stp>
        <tr r="BG85" s="3"/>
      </tp>
      <tp t="s">
        <v>#N/A Requesting Data...4135445731</v>
        <stp/>
        <stp>BDP|2744819553430550794</stp>
        <tr r="AH189" s="3"/>
      </tp>
      <tp t="s">
        <v>#N/A N/A</v>
        <stp/>
        <stp>BDP|5339949773431841250</stp>
        <tr r="BG32" s="2"/>
      </tp>
      <tp t="s">
        <v>#N/A N/A</v>
        <stp/>
        <stp>BDP|1069960641080924479</stp>
        <tr r="BM29" s="2"/>
      </tp>
      <tp t="s">
        <v>#N/A Requesting Data...4162329889</v>
        <stp/>
        <stp>BDP|1326818283961063889</stp>
        <tr r="BF280" s="3"/>
      </tp>
      <tp t="s">
        <v>#N/A Requesting Data...4193279229</v>
        <stp/>
        <stp>BDP|4562981347821351006</stp>
        <tr r="O89" s="3"/>
      </tp>
      <tp t="s">
        <v>#N/A Requesting Data...3990990279</v>
        <stp/>
        <stp>BDP|5031316609757482955</stp>
        <tr r="AA277" s="3"/>
      </tp>
      <tp t="s">
        <v>#N/A Requesting Data...4160214241</v>
        <stp/>
        <stp>BDP|7547260275039826379</stp>
        <tr r="AS46" s="3"/>
      </tp>
      <tp t="s">
        <v>#N/A Requesting Data...4278540751</v>
        <stp/>
        <stp>BDP|6098399108394924911</stp>
        <tr r="K30" s="3"/>
      </tp>
      <tp t="s">
        <v>#N/A N/A</v>
        <stp/>
        <stp>BDP|8114882868307169996</stp>
        <tr r="BN66" s="2"/>
      </tp>
      <tp t="s">
        <v>#N/A Requesting Data...3968943114</v>
        <stp/>
        <stp>BDP|5054779350809925676</stp>
        <tr r="AJ201" s="3"/>
      </tp>
      <tp t="s">
        <v>#N/A Requesting Data...4144716393</v>
        <stp/>
        <stp>BDP|6051681880860873098</stp>
        <tr r="BI94" s="3"/>
      </tp>
      <tp t="s">
        <v>#N/A Requesting Data...3819427305</v>
        <stp/>
        <stp>BDP|9011595811272330726</stp>
        <tr r="AZ172" s="3"/>
      </tp>
      <tp t="s">
        <v>#N/A Requesting Data...4179202032</v>
        <stp/>
        <stp>BDP|6850040881651235762</stp>
        <tr r="BB278" s="3"/>
      </tp>
      <tp t="s">
        <v>#N/A N/A</v>
        <stp/>
        <stp>BDP|3254034276615952974</stp>
        <tr r="I6" s="4"/>
      </tp>
      <tp t="s">
        <v>#N/A Requesting Data...3906642500</v>
        <stp/>
        <stp>BDP|9991910991209448849</stp>
        <tr r="K94" s="3"/>
      </tp>
      <tp t="s">
        <v>#N/A Requesting Data...3848026275</v>
        <stp/>
        <stp>BDP|2599197370455337912</stp>
        <tr r="AS37" s="3"/>
      </tp>
      <tp t="s">
        <v>#N/A N/A</v>
        <stp/>
        <stp>BDP|2844995351915847362</stp>
        <tr r="T46" s="2"/>
      </tp>
      <tp t="s">
        <v>#N/A Requesting Data...4186082426</v>
        <stp/>
        <stp>BDP|3413026287843997068</stp>
        <tr r="AQ311" s="3"/>
      </tp>
      <tp t="s">
        <v>#N/A Requesting Data...3702435573</v>
        <stp/>
        <stp>BDP|2360290387715306501</stp>
        <tr r="O16" s="3"/>
      </tp>
      <tp t="s">
        <v>#N/A Requesting Data...4196335558</v>
        <stp/>
        <stp>BDP|8374654603264296298</stp>
        <tr r="AZ352" s="3"/>
      </tp>
      <tp t="s">
        <v>#N/A N/A</v>
        <stp/>
        <stp>BDP|1714970971937829079</stp>
        <tr r="BL15" s="2"/>
      </tp>
      <tp t="s">
        <v>#N/A Requesting Data...4133521943</v>
        <stp/>
        <stp>BDP|9274324085439832336</stp>
        <tr r="AO47" s="4"/>
      </tp>
      <tp t="s">
        <v>#N/A N/A</v>
        <stp/>
        <stp>BDP|2784193495497299573</stp>
        <tr r="P74" s="2"/>
      </tp>
      <tp t="s">
        <v>#N/A Requesting Data...4220998187</v>
        <stp/>
        <stp>BDP|1441862687368269196</stp>
        <tr r="BI244" s="3"/>
      </tp>
      <tp t="s">
        <v>#N/A Requesting Data...4158860586</v>
        <stp/>
        <stp>BDP|8930738776765581573</stp>
        <tr r="AQ326" s="3"/>
      </tp>
      <tp t="s">
        <v>#N/A Requesting Data...4019209267</v>
        <stp/>
        <stp>BDP|2394026532990994949</stp>
        <tr r="I264" s="3"/>
      </tp>
      <tp t="s">
        <v>#N/A Requesting Data...3963607157</v>
        <stp/>
        <stp>BDP|1082336863344884863</stp>
        <tr r="O12" s="3"/>
      </tp>
      <tp t="s">
        <v>#N/A Requesting Data...4138085183</v>
        <stp/>
        <stp>BDP|8539918901868324199</stp>
        <tr r="Y16" s="4"/>
      </tp>
      <tp t="s">
        <v>#N/A Requesting Data...3946290115</v>
        <stp/>
        <stp>BDP|3481592907087768924</stp>
        <tr r="BF78" s="3"/>
      </tp>
      <tp t="s">
        <v>#N/A N/A</v>
        <stp/>
        <stp>BDP|1683175287452129281</stp>
        <tr r="AX23" s="2"/>
      </tp>
      <tp t="s">
        <v>#N/A N/A</v>
        <stp/>
        <stp>BDP|2349392559149497583</stp>
        <tr r="BF84" s="2"/>
      </tp>
      <tp t="s">
        <v>#N/A Requesting Data...3953626960</v>
        <stp/>
        <stp>BDP|7062622385842954317</stp>
        <tr r="AQ51" s="4"/>
      </tp>
      <tp t="s">
        <v>#N/A Requesting Data...3936552707</v>
        <stp/>
        <stp>BDP|5566000987773493699</stp>
        <tr r="N4" s="2"/>
        <tr r="I248" s="3"/>
      </tp>
      <tp t="s">
        <v>#N/A Requesting Data...4041144040</v>
        <stp/>
        <stp>BDP|3927707303019567503</stp>
        <tr r="Q222" s="3"/>
      </tp>
      <tp t="s">
        <v>#N/A Requesting Data...3911584974</v>
        <stp/>
        <stp>BDP|7650340388370178442</stp>
        <tr r="O79" s="3"/>
      </tp>
      <tp t="s">
        <v>#N/A Requesting Data...3868802918</v>
        <stp/>
        <stp>BDP|7849522599343849043</stp>
        <tr r="I89" s="3"/>
      </tp>
      <tp t="s">
        <v>#N/A N/A</v>
        <stp/>
        <stp>BDP|4223328293905840342</stp>
        <tr r="BN76" s="2"/>
      </tp>
      <tp t="s">
        <v>#N/A Requesting Data...4094670501</v>
        <stp/>
        <stp>BDP|1998370695273583016</stp>
        <tr r="I82" s="3"/>
      </tp>
      <tp t="s">
        <v>#N/A Requesting Data...3844161652</v>
        <stp/>
        <stp>BDP|7638694391237892799</stp>
        <tr r="Y146" s="3"/>
      </tp>
      <tp t="s">
        <v>#N/A Requesting Data...4058745664</v>
        <stp/>
        <stp>BDP|4565024462822964838</stp>
        <tr r="M43" s="4"/>
      </tp>
      <tp t="s">
        <v>#N/A Requesting Data...3821390899</v>
        <stp/>
        <stp>BDP|5912840332451106711</stp>
        <tr r="BA95" s="3"/>
      </tp>
      <tp t="s">
        <v>#N/A Requesting Data...4221714684</v>
        <stp/>
        <stp>BDP|5350594096946042705</stp>
        <tr r="AZ217" s="3"/>
      </tp>
      <tp t="s">
        <v>#N/A Requesting Data...4162714575</v>
        <stp/>
        <stp>BDP|5283140585632834675</stp>
        <tr r="AA304" s="3"/>
      </tp>
      <tp t="s">
        <v>#N/A N/A</v>
        <stp/>
        <stp>BDP|8416938261326284989</stp>
        <tr r="K48" s="2"/>
      </tp>
      <tp t="s">
        <v>#N/A Requesting Data...4067784008</v>
        <stp/>
        <stp>BDP|5086479320302366988</stp>
        <tr r="F297" s="3"/>
      </tp>
      <tp t="s">
        <v>#N/A Requesting Data...3840584989</v>
        <stp/>
        <stp>BDP|7324689485247534675</stp>
        <tr r="AS179" s="3"/>
      </tp>
      <tp t="s">
        <v>#N/A Requesting Data...3877433983</v>
        <stp/>
        <stp>BDP|9115764708300180621</stp>
        <tr r="F38" s="3"/>
      </tp>
      <tp t="s">
        <v>#N/A N/A</v>
        <stp/>
        <stp>BDP|8938341125188645927</stp>
        <tr r="BL69" s="2"/>
      </tp>
      <tp t="s">
        <v>#N/A N/A</v>
        <stp/>
        <stp>BDP|8073459278796399523</stp>
        <tr r="K68" s="2"/>
      </tp>
      <tp t="s">
        <v>#N/A N/A</v>
        <stp/>
        <stp>BDP|8709007427403419187</stp>
        <tr r="N60" s="2"/>
      </tp>
      <tp t="s">
        <v>#N/A N/A</v>
        <stp/>
        <stp>BDP|6763785020898688357</stp>
        <tr r="BK72" s="2"/>
      </tp>
      <tp t="s">
        <v>#N/A Requesting Data...3967011988</v>
        <stp/>
        <stp>BDP|1723719008159651757</stp>
        <tr r="AJ218" s="3"/>
      </tp>
      <tp t="s">
        <v>#N/A Requesting Data...4183369248</v>
        <stp/>
        <stp>BDP|3989740091565336026</stp>
        <tr r="BA277" s="3"/>
      </tp>
      <tp t="s">
        <v>#N/A Requesting Data...4074293138</v>
        <stp/>
        <stp>BDP|9949227346742995595</stp>
        <tr r="AZ271" s="3"/>
      </tp>
      <tp t="s">
        <v>#N/A Requesting Data...3956081357</v>
        <stp/>
        <stp>BDP|9919672977254331479</stp>
        <tr r="AA181" s="3"/>
      </tp>
      <tp t="s">
        <v>#N/A Requesting Data...3886542594</v>
        <stp/>
        <stp>BDP|7545286474283033948</stp>
        <tr r="Y7" s="4"/>
      </tp>
      <tp t="s">
        <v>#N/A Requesting Data...4111078195</v>
        <stp/>
        <stp>BDP|2629820359943325432</stp>
        <tr r="AH284" s="3"/>
      </tp>
      <tp t="s">
        <v>#N/A Requesting Data...4254922857</v>
        <stp/>
        <stp>BDP|1473987714968610932</stp>
        <tr r="BB310" s="3"/>
      </tp>
      <tp t="s">
        <v>#N/A Requesting Data...3972853567</v>
        <stp/>
        <stp>BDP|1187346968459763576</stp>
        <tr r="AH5" s="4"/>
      </tp>
      <tp t="s">
        <v>#N/A Requesting Data...4211081124</v>
        <stp/>
        <stp>BDP|2488530129389354403</stp>
        <tr r="Q173" s="3"/>
      </tp>
      <tp t="s">
        <v>#N/A Requesting Data...4242023207</v>
        <stp/>
        <stp>BDP|4478869436143113483</stp>
        <tr r="AS176" s="3"/>
      </tp>
      <tp t="s">
        <v>#N/A Requesting Data...4112813650</v>
        <stp/>
        <stp>BDP|8790509219253053738</stp>
        <tr r="AS186" s="3"/>
      </tp>
      <tp t="s">
        <v>#N/A N/A</v>
        <stp/>
        <stp>BDP|2214898621001515126</stp>
        <tr r="P75" s="2"/>
      </tp>
      <tp t="s">
        <v>#N/A Requesting Data...3923773359</v>
        <stp/>
        <stp>BDP|5627563891354849544</stp>
        <tr r="Y131" s="3"/>
      </tp>
      <tp t="s">
        <v>#N/A Requesting Data...4117259038</v>
        <stp/>
        <stp>BDP|8935355804155361665</stp>
        <tr r="AQ301" s="3"/>
      </tp>
      <tp t="s">
        <v>#N/A Requesting Data...3950658990</v>
        <stp/>
        <stp>BDP|7083959073095851432</stp>
        <tr r="BB300" s="3"/>
      </tp>
      <tp t="s">
        <v>#N/A Requesting Data...3984856478</v>
        <stp/>
        <stp>BDP|8851857487797437730</stp>
        <tr r="I132" s="3"/>
      </tp>
      <tp t="s">
        <v>#N/A Requesting Data...4097856644</v>
        <stp/>
        <stp>BDP|6428822523784586027</stp>
        <tr r="BI233" s="3"/>
      </tp>
      <tp t="s">
        <v>#N/A Requesting Data...4016794366</v>
        <stp/>
        <stp>BDP|4084817303375090108</stp>
        <tr r="AX52" s="4"/>
      </tp>
      <tp t="s">
        <v>#N/A Requesting Data...4132319764</v>
        <stp/>
        <stp>BDP|5090675522248274155</stp>
        <tr r="O342" s="3"/>
      </tp>
      <tp t="s">
        <v>#N/A Requesting Data...4006820927</v>
        <stp/>
        <stp>BDP|7957669129249602222</stp>
        <tr r="BG293" s="3"/>
      </tp>
      <tp t="s">
        <v>#N/A Requesting Data...4242615135</v>
        <stp/>
        <stp>BDP|2806587397900454614</stp>
        <tr r="I319" s="3"/>
      </tp>
      <tp t="s">
        <v>#N/A Requesting Data...4122423134</v>
        <stp/>
        <stp>BDP|8514765726050784503</stp>
        <tr r="BF304" s="3"/>
      </tp>
      <tp t="s">
        <v>#N/A Requesting Data...4229900025</v>
        <stp/>
        <stp>BDP|5597460854098768420</stp>
        <tr r="AS11" s="3"/>
      </tp>
      <tp t="s">
        <v>#N/A Requesting Data...4205639193</v>
        <stp/>
        <stp>BDP|2947862891189466283</stp>
        <tr r="BB29" s="3"/>
      </tp>
      <tp t="s">
        <v>#N/A Requesting Data...4134267807</v>
        <stp/>
        <stp>BDP|5383977356802404342</stp>
        <tr r="AQ247" s="3"/>
      </tp>
      <tp t="s">
        <v>#N/A N/A</v>
        <stp/>
        <stp>BDP|9073014400524518563</stp>
        <tr r="BF13" s="2"/>
      </tp>
      <tp t="s">
        <v>#N/A Requesting Data...4260445998</v>
        <stp/>
        <stp>BDP|7472247957439044157</stp>
        <tr r="AD22" s="2"/>
        <tr r="W15" s="4"/>
      </tp>
      <tp t="s">
        <v>#N/A Requesting Data...4264248425</v>
        <stp/>
        <stp>BDP|3642114933620783919</stp>
        <tr r="Y62" s="3"/>
      </tp>
      <tp t="s">
        <v>#N/A N/A</v>
        <stp/>
        <stp>BDP|3405710712929611421</stp>
        <tr r="AD27" s="2"/>
      </tp>
      <tp t="s">
        <v>#N/A Requesting Data...4256921563</v>
        <stp/>
        <stp>BDP|8966300218174779659</stp>
        <tr r="Q148" s="3"/>
      </tp>
      <tp t="s">
        <v>#N/A Requesting Data...4086567738</v>
        <stp/>
        <stp>BDP|8699001930505157643</stp>
        <tr r="F293" s="3"/>
      </tp>
      <tp t="s">
        <v>#N/A Requesting Data...4174929252</v>
        <stp/>
        <stp>BDP|6871735098532792272</stp>
        <tr r="M29" s="4"/>
      </tp>
      <tp t="s">
        <v>#N/A N/A</v>
        <stp/>
        <stp>BDP|1462991190301711899</stp>
        <tr r="BG64" s="2"/>
      </tp>
      <tp t="s">
        <v>#N/A Requesting Data...4176245832</v>
        <stp/>
        <stp>BDP|9005677771907215770</stp>
        <tr r="BG107" s="3"/>
      </tp>
      <tp t="s">
        <v>#N/A Requesting Data...4164089855</v>
        <stp/>
        <stp>BDP|2749042275808182547</stp>
        <tr r="I253" s="3"/>
      </tp>
      <tp t="s">
        <v>#N/A Requesting Data...4147406743</v>
        <stp/>
        <stp>BDP|4313171297517527357</stp>
        <tr r="AA21" s="3"/>
      </tp>
      <tp t="s">
        <v>#N/A Requesting Data...4189347590</v>
        <stp/>
        <stp>BDP|9105514004131059570</stp>
        <tr r="I10" s="3"/>
      </tp>
      <tp t="s">
        <v>#N/A Requesting Data...4189965291</v>
        <stp/>
        <stp>BDP|5115241252493672920</stp>
        <tr r="AZ146" s="3"/>
      </tp>
      <tp t="s">
        <v>#N/A N/A</v>
        <stp/>
        <stp>BDP|7680248993406415262</stp>
        <tr r="K50" s="2"/>
      </tp>
      <tp t="s">
        <v>#N/A Requesting Data...4177402722</v>
        <stp/>
        <stp>BDP|5176771022520335879</stp>
        <tr r="K351" s="3"/>
      </tp>
      <tp t="s">
        <v>#N/A Requesting Data...4228799199</v>
        <stp/>
        <stp>BDP|6229952015156610049</stp>
        <tr r="AJ177" s="3"/>
      </tp>
      <tp t="s">
        <v>#N/A N/A</v>
        <stp/>
        <stp>BDP|2887130286646845551</stp>
        <tr r="BL65" s="2"/>
      </tp>
      <tp t="s">
        <v>#N/A Requesting Data...4253868256</v>
        <stp/>
        <stp>BDP|3203252846788980586</stp>
        <tr r="BI267" s="3"/>
      </tp>
      <tp t="s">
        <v>#N/A Requesting Data...4231068447</v>
        <stp/>
        <stp>BDP|4183403133128455360</stp>
        <tr r="AJ196" s="3"/>
      </tp>
      <tp t="s">
        <v>#N/A Requesting Data...4277576223</v>
        <stp/>
        <stp>BDP|8129627407060540610</stp>
        <tr r="AJ233" s="3"/>
      </tp>
      <tp t="s">
        <v>#N/A Requesting Data...4267250244</v>
        <stp/>
        <stp>BDP|4764032554348551152</stp>
        <tr r="I228" s="3"/>
      </tp>
      <tp t="s">
        <v>#N/A N/A</v>
        <stp/>
        <stp>BDP|4128701889873000088</stp>
        <tr r="BE45" s="2"/>
      </tp>
      <tp t="s">
        <v>#N/A Requesting Data...4188980409</v>
        <stp/>
        <stp>BDP|2828813911163908012</stp>
        <tr r="O323" s="3"/>
      </tp>
      <tp t="s">
        <v>#N/A Requesting Data...4196516645</v>
        <stp/>
        <stp>BDP|1612664568481976814</stp>
        <tr r="Q60" s="3"/>
      </tp>
      <tp t="s">
        <v>#N/A Requesting Data...4241158220</v>
        <stp/>
        <stp>BDP|2783367200919135000</stp>
        <tr r="K42" s="3"/>
      </tp>
      <tp t="s">
        <v>#N/A Requesting Data...4291845608</v>
        <stp/>
        <stp>BDP|2145057702449314353</stp>
        <tr r="BA336" s="3"/>
      </tp>
      <tp t="s">
        <v>#N/A N/A</v>
        <stp/>
        <stp>BDP|5916591120409483348</stp>
        <tr r="BM81" s="2"/>
      </tp>
      <tp t="s">
        <v>#N/A Requesting Data...4211385291</v>
        <stp/>
        <stp>BDP|8146153762386703113</stp>
        <tr r="W20" s="4"/>
      </tp>
      <tp t="s">
        <v>#N/A Requesting Data...4271085069</v>
        <stp/>
        <stp>BDP|1101634406326791926</stp>
        <tr r="K203" s="3"/>
      </tp>
      <tp t="s">
        <v>#N/A Requesting Data...4292044934</v>
        <stp/>
        <stp>BDP|5514174115618195572</stp>
        <tr r="AO9" s="2"/>
      </tp>
      <tp t="s">
        <v>#N/A Requesting Data...4291314550</v>
        <stp/>
        <stp>BDP|8036614751355760668</stp>
        <tr r="BA305" s="3"/>
      </tp>
      <tp t="s">
        <v>#N/A Requesting Data...4224851958</v>
        <stp/>
        <stp>BDP|6635946066195471419</stp>
        <tr r="Q247" s="3"/>
      </tp>
      <tp t="s">
        <v>#N/A Requesting Data...4233865035</v>
        <stp/>
        <stp>BDP|4197073946011780968</stp>
        <tr r="BI44" s="3"/>
      </tp>
      <tp t="s">
        <v>#N/A N/A</v>
        <stp/>
        <stp>BDP|8650442166957073554</stp>
        <tr r="BM55" s="2"/>
      </tp>
      <tp t="s">
        <v>#N/A Requesting Data...4284361327</v>
        <stp/>
        <stp>BDP|3620953028594297480</stp>
        <tr r="BF191" s="3"/>
      </tp>
      <tp t="s">
        <v>#N/A Requesting Data...4282540609</v>
        <stp/>
        <stp>BDP|4333598369928499766</stp>
        <tr r="BI100" s="3"/>
      </tp>
      <tp t="s">
        <v>#N/A Requesting Data...4265784844</v>
        <stp/>
        <stp>BDP|4042800122900009632</stp>
        <tr r="Q74" s="3"/>
      </tp>
      <tp t="s">
        <v>#N/A Requesting Data...4263958742</v>
        <stp/>
        <stp>BDP|2384839687168392257</stp>
        <tr r="AQ261" s="3"/>
      </tp>
      <tp t="s">
        <v>#N/A N/A</v>
        <stp/>
        <stp>BDP|5312266503476251958</stp>
        <tr r="BN74" s="2"/>
      </tp>
      <tp t="s">
        <v>#N/A Requesting Data...4265562910</v>
        <stp/>
        <stp>BDP|6279516690566628447</stp>
        <tr r="BA126" s="3"/>
      </tp>
      <tp t="s">
        <v>#N/A Requesting Data...4283039102</v>
        <stp/>
        <stp>BDP|9708444845908692914</stp>
        <tr r="BB96" s="3"/>
      </tp>
      <tp t="s">
        <v>#N/A Requesting Data...4293743081</v>
        <stp/>
        <stp>BDP|7607886568053020277</stp>
        <tr r="BI128" s="3"/>
      </tp>
      <tp t="s">
        <v>#N/A Requesting Data...4267862813</v>
        <stp/>
        <stp>BDP|8631404391964495924</stp>
        <tr r="AF23" s="4"/>
      </tp>
      <tp t="s">
        <v>#N/A Requesting Data...4290761305</v>
        <stp/>
        <stp>BDP|9487932996145889481</stp>
        <tr r="AS160" s="3"/>
      </tp>
      <tp t="s">
        <v>#N/A Requesting Data...4292577756</v>
        <stp/>
        <stp>BDP|5474415660699651624</stp>
        <tr r="Y267" s="3"/>
      </tp>
      <tp t="s">
        <v>#N/A Requesting Data...328466488</v>
        <stp/>
        <stp>BDP|2455227845098115434</stp>
        <tr r="BG159" s="3"/>
      </tp>
      <tp t="s">
        <v>#N/A N/A</v>
        <stp/>
        <stp>BDP|9095937028909226382</stp>
        <tr r="K47" s="2"/>
      </tp>
      <tp t="s">
        <v>#N/A Requesting Data...3368139274</v>
        <stp/>
        <stp>BDP|9968968725518257299</stp>
        <tr r="D28" s="4"/>
      </tp>
      <tp t="s">
        <v>#N/A Requesting Data...2114686941</v>
        <stp/>
        <stp>BDP|8320661997097204815</stp>
        <tr r="I36" s="3"/>
      </tp>
      <tp t="s">
        <v>#N/A Requesting Data...727131410</v>
        <stp/>
        <stp>BDP|8694162317384275449</stp>
        <tr r="I40" s="3"/>
      </tp>
      <tp t="s">
        <v>#N/A N/A</v>
        <stp/>
        <stp>BDP|7735158834335928891</stp>
        <tr r="K84" s="2"/>
      </tp>
      <tp t="s">
        <v>#N/A Requesting Data...4054496849</v>
        <stp/>
        <stp>BDP|5188857532082817484</stp>
        <tr r="AJ274" s="3"/>
      </tp>
      <tp t="s">
        <v>#N/A Requesting Data...1048992983</v>
        <stp/>
        <stp>BDP|7758097777859956165</stp>
        <tr r="I126" s="3"/>
      </tp>
      <tp t="s">
        <v>#N/A N/A</v>
        <stp/>
        <stp>BDP|9288061309723311282</stp>
        <tr r="BN15" s="2"/>
      </tp>
      <tp t="s">
        <v>#N/A N/A</v>
        <stp/>
        <stp>BDP|3533808110006061431</stp>
        <tr r="AM29" s="2"/>
      </tp>
      <tp t="s">
        <v>#N/A Requesting Data...692511847</v>
        <stp/>
        <stp>BDP|8566242651876154178</stp>
        <tr r="O297" s="3"/>
      </tp>
      <tp t="s">
        <v>#N/A Requesting Data...4137569198</v>
        <stp/>
        <stp>BDP|3626571694273068432</stp>
        <tr r="BE9" s="2"/>
      </tp>
      <tp t="s">
        <v>#N/A Requesting Data...464751985</v>
        <stp/>
        <stp>BDP|4209302145158106306</stp>
        <tr r="AA19" s="3"/>
      </tp>
      <tp t="s">
        <v>#N/A Requesting Data...1739402777</v>
        <stp/>
        <stp>BDP|8672648666065485563</stp>
        <tr r="O35" s="4"/>
      </tp>
      <tp t="s">
        <v>#N/A Requesting Data...683276865</v>
        <stp/>
        <stp>BDP|6778814927252303646</stp>
        <tr r="AZ313" s="3"/>
      </tp>
      <tp t="s">
        <v>#N/A Requesting Data...963341678</v>
        <stp/>
        <stp>BDP|9567464105071912494</stp>
        <tr r="Y327" s="3"/>
      </tp>
      <tp t="s">
        <v>#N/A Requesting Data...2838273050</v>
        <stp/>
        <stp>BDP|4457447786932245229</stp>
        <tr r="AJ267" s="3"/>
      </tp>
      <tp t="s">
        <v>#N/A Requesting Data...2676068979</v>
        <stp/>
        <stp>BDP|8385777677527592705</stp>
        <tr r="AH48" s="4"/>
      </tp>
      <tp t="s">
        <v>#N/A Requesting Data...1995006156</v>
        <stp/>
        <stp>BDP|1713039088586970723</stp>
        <tr r="AS56" s="3"/>
      </tp>
      <tp t="s">
        <v>#N/A Requesting Data...2628657576</v>
        <stp/>
        <stp>BDP|1863186367816534853</stp>
        <tr r="O75" s="3"/>
      </tp>
      <tp t="s">
        <v>#N/A Requesting Data...934835356</v>
        <stp/>
        <stp>BDP|1294955560886449048</stp>
        <tr r="BF147" s="3"/>
      </tp>
      <tp t="s">
        <v>#N/A N/A</v>
        <stp/>
        <stp>BDP|1067898420281818265</stp>
        <tr r="AX68" s="2"/>
      </tp>
      <tp t="s">
        <v>#N/A Requesting Data...626472609</v>
        <stp/>
        <stp>BDP|3365021397182182005</stp>
        <tr r="AZ135" s="3"/>
      </tp>
      <tp t="s">
        <v>#N/A Requesting Data...2415764910</v>
        <stp/>
        <stp>BDP|3254094959528678639</stp>
        <tr r="BB26" s="3"/>
      </tp>
      <tp t="s">
        <v>#N/A Requesting Data...186985299</v>
        <stp/>
        <stp>BDP|4954244199615597264</stp>
        <tr r="BF9" s="3"/>
      </tp>
      <tp t="s">
        <v>#N/A Requesting Data...2277681378</v>
        <stp/>
        <stp>BDP|3262925507973242122</stp>
        <tr r="Q330" s="3"/>
      </tp>
      <tp t="s">
        <v>#N/A Requesting Data...3525046835</v>
        <stp/>
        <stp>BDP|8261287413174788794</stp>
        <tr r="AZ61" s="3"/>
      </tp>
      <tp t="s">
        <v>#N/A N/A</v>
        <stp/>
        <stp>BDP|7940345761853905926</stp>
        <tr r="BK90" s="2"/>
      </tp>
      <tp t="s">
        <v>#N/A Requesting Data...4068662182</v>
        <stp/>
        <stp>BDP|2275919300006780537</stp>
        <tr r="I237" s="3"/>
      </tp>
      <tp t="s">
        <v>#N/A Requesting Data...595604016</v>
        <stp/>
        <stp>BDP|1145367985403632134</stp>
        <tr r="I330" s="3"/>
      </tp>
      <tp t="s">
        <v>#N/A Requesting Data...3882028583</v>
        <stp/>
        <stp>BDP|1815406189075566033</stp>
        <tr r="BI23" s="3"/>
      </tp>
      <tp t="s">
        <v>#N/A Requesting Data...2190298738</v>
        <stp/>
        <stp>BDP|8585155907922453378</stp>
        <tr r="AZ162" s="3"/>
      </tp>
      <tp t="s">
        <v>#N/A Requesting Data...3765451823</v>
        <stp/>
        <stp>BDP|9198789419924481308</stp>
        <tr r="AS62" s="3"/>
      </tp>
      <tp t="s">
        <v>#N/A Requesting Data...3609691809</v>
        <stp/>
        <stp>BDP|8186708634914174005</stp>
        <tr r="BF194" s="3"/>
      </tp>
      <tp t="s">
        <v>#N/A N/A</v>
        <stp/>
        <stp>BDP|8648802882379699967</stp>
        <tr r="AO76" s="2"/>
      </tp>
      <tp t="s">
        <v>#N/A Requesting Data...2523890327</v>
        <stp/>
        <stp>BDP|5045906304301582554</stp>
        <tr r="F275" s="3"/>
      </tp>
      <tp t="s">
        <v>#N/A Requesting Data...1977189067</v>
        <stp/>
        <stp>BDP|4349557697451615139</stp>
        <tr r="BG265" s="3"/>
      </tp>
      <tp t="s">
        <v>#N/A Requesting Data...3669241290</v>
        <stp/>
        <stp>BDP|3029293199957535715</stp>
        <tr r="Q300" s="3"/>
      </tp>
      <tp t="s">
        <v>#N/A N/A</v>
        <stp/>
        <stp>BDP|2681715533577308936</stp>
        <tr r="AV65" s="2"/>
      </tp>
      <tp t="s">
        <v>#N/A Requesting Data...1613370798</v>
        <stp/>
        <stp>BDP|6725807057003011045</stp>
        <tr r="AQ134" s="3"/>
      </tp>
      <tp t="s">
        <v>#N/A Requesting Data...2349211727</v>
        <stp/>
        <stp>BDP|9470667074816601648</stp>
        <tr r="AD10" s="2"/>
      </tp>
      <tp t="s">
        <v>#N/A Requesting Data...3215153935</v>
        <stp/>
        <stp>BDP|3041041200418413343</stp>
        <tr r="AA55" s="3"/>
      </tp>
      <tp t="s">
        <v>#N/A N/A</v>
        <stp/>
        <stp>BDP|2727475483377319147</stp>
        <tr r="BL50" s="2"/>
      </tp>
      <tp t="s">
        <v>#N/A Requesting Data...3857600012</v>
        <stp/>
        <stp>BDP|4936990753009508926</stp>
        <tr r="BB138" s="3"/>
      </tp>
      <tp t="s">
        <v>#N/A Requesting Data...1298391676</v>
        <stp/>
        <stp>BDP|7566815300773219420</stp>
        <tr r="BF73" s="3"/>
      </tp>
      <tp t="s">
        <v>#N/A Requesting Data...640079711</v>
        <stp/>
        <stp>BDP|8253740032470512454</stp>
        <tr r="BI201" s="3"/>
      </tp>
      <tp t="s">
        <v>#N/A Requesting Data...949928971</v>
        <stp/>
        <stp>BDP|5584249570520482818</stp>
        <tr r="K132" s="3"/>
      </tp>
      <tp t="s">
        <v>#N/A Requesting Data...1350086657</v>
        <stp/>
        <stp>BDP|6673625191575480459</stp>
        <tr r="O251" s="3"/>
      </tp>
      <tp t="s">
        <v>#N/A Requesting Data...687280897</v>
        <stp/>
        <stp>BDP|3300907157453136416</stp>
        <tr r="BA141" s="3"/>
      </tp>
      <tp t="s">
        <v>#N/A Requesting Data...1174166202</v>
        <stp/>
        <stp>BDP|6807487452287050866</stp>
        <tr r="BG54" s="3"/>
      </tp>
      <tp t="s">
        <v>#N/A Requesting Data...3909592575</v>
        <stp/>
        <stp>BDP|9814588854705560440</stp>
        <tr r="BA233" s="3"/>
      </tp>
      <tp t="s">
        <v>#N/A Requesting Data...1946454975</v>
        <stp/>
        <stp>BDP|1099612642732534937</stp>
        <tr r="AH57" s="3"/>
      </tp>
      <tp t="s">
        <v>#N/A Requesting Data...1936736509</v>
        <stp/>
        <stp>BDP|8013905985918821987</stp>
        <tr r="F30" s="3"/>
      </tp>
      <tp t="s">
        <v>#N/A Requesting Data...1241668520</v>
        <stp/>
        <stp>BDP|5061538175069417674</stp>
        <tr r="AZ121" s="3"/>
      </tp>
      <tp t="s">
        <v>#N/A Requesting Data...3099755699</v>
        <stp/>
        <stp>BDP|1676215531949033132</stp>
        <tr r="AA266" s="3"/>
      </tp>
      <tp t="s">
        <v>#N/A Requesting Data...3936653822</v>
        <stp/>
        <stp>BDP|9531291322814957525</stp>
        <tr r="BK6" s="2"/>
      </tp>
      <tp t="s">
        <v>#N/A Requesting Data...1419899678</v>
        <stp/>
        <stp>BDP|6770832603824276200</stp>
        <tr r="K280" s="3"/>
      </tp>
      <tp t="s">
        <v>#N/A Requesting Data...2551648726</v>
        <stp/>
        <stp>BDP|6492254382745562131</stp>
        <tr r="O255" s="3"/>
      </tp>
      <tp t="s">
        <v>#N/A N/A</v>
        <stp/>
        <stp>BDP|9111978980272426274</stp>
        <tr r="T83" s="2"/>
      </tp>
      <tp t="s">
        <v>#N/A N/A</v>
        <stp/>
        <stp>BDP|5207996555803370285</stp>
        <tr r="T44" s="2"/>
      </tp>
      <tp t="s">
        <v>#N/A N/A</v>
        <stp/>
        <stp>BDP|4027325757239288321</stp>
        <tr r="AO52" s="2"/>
      </tp>
      <tp t="s">
        <v>#N/A N/A</v>
        <stp/>
        <stp>BDP|5085224935384796859</stp>
        <tr r="AX77" s="2"/>
      </tp>
      <tp t="s">
        <v>#N/A N/A</v>
        <stp/>
        <stp>BDP|8488501171515513753</stp>
        <tr r="AM73" s="2"/>
      </tp>
      <tp t="s">
        <v>#N/A Requesting Data...4096683186</v>
        <stp/>
        <stp>BDP|5219458693912317220</stp>
        <tr r="AH81" s="3"/>
      </tp>
      <tp t="s">
        <v>#N/A Requesting Data...1809447117</v>
        <stp/>
        <stp>BDP|8691327703996365511</stp>
        <tr r="BG137" s="3"/>
      </tp>
      <tp t="s">
        <v>#N/A Requesting Data...4085571750</v>
        <stp/>
        <stp>BDP|6042296099784398169</stp>
        <tr r="AX10" s="4"/>
      </tp>
      <tp t="s">
        <v>#N/A Requesting Data...1337681304</v>
        <stp/>
        <stp>BDP|8775751552381348365</stp>
        <tr r="O243" s="3"/>
      </tp>
      <tp t="s">
        <v>#N/A N/A</v>
        <stp/>
        <stp>BDP|1153047483627368606</stp>
        <tr r="T90" s="2"/>
      </tp>
      <tp t="s">
        <v>#N/A N/A</v>
        <stp/>
        <stp>BDP|8774042655926136329</stp>
        <tr r="AD11" s="2"/>
      </tp>
      <tp t="s">
        <v>#N/A Requesting Data...1917835636</v>
        <stp/>
        <stp>BDP|3841020969578678500</stp>
        <tr r="BA347" s="3"/>
      </tp>
      <tp t="s">
        <v>#N/A Requesting Data...916313800</v>
        <stp/>
        <stp>BDP|7298858366570341088</stp>
        <tr r="AJ193" s="3"/>
      </tp>
      <tp t="s">
        <v>#N/A Requesting Data...1780820950</v>
        <stp/>
        <stp>BDP|3900220615971377875</stp>
        <tr r="Y32" s="4"/>
      </tp>
      <tp t="s">
        <v>#N/A Requesting Data...3607946285</v>
        <stp/>
        <stp>BDP|8898842362749575610</stp>
        <tr r="BB182" s="3"/>
      </tp>
      <tp t="s">
        <v>#N/A Requesting Data...1206102458</v>
        <stp/>
        <stp>BDP|1127079194120801100</stp>
        <tr r="AZ156" s="3"/>
      </tp>
      <tp t="s">
        <v>#N/A Requesting Data...3734801824</v>
        <stp/>
        <stp>BDP|4674935111681868468</stp>
        <tr r="AQ146" s="3"/>
      </tp>
      <tp t="s">
        <v>#N/A Requesting Data...1149068523</v>
        <stp/>
        <stp>BDP|2751192627800571867</stp>
        <tr r="AQ277" s="3"/>
      </tp>
      <tp t="s">
        <v>#N/A N/A</v>
        <stp/>
        <stp>BDP|4043440511340910869</stp>
        <tr r="AD90" s="2"/>
      </tp>
      <tp t="s">
        <v>#N/A Requesting Data...1162912288</v>
        <stp/>
        <stp>BDP|8492765719987514044</stp>
        <tr r="AZ80" s="3"/>
      </tp>
      <tp t="s">
        <v>#N/A Requesting Data...2037534340</v>
        <stp/>
        <stp>BDP|9499227847907817134</stp>
        <tr r="BB53" s="3"/>
      </tp>
      <tp t="s">
        <v>#N/A N/A</v>
        <stp/>
        <stp>BDP|8820704771328137923</stp>
        <tr r="BG76" s="2"/>
      </tp>
      <tp t="s">
        <v>#N/A N/A</v>
        <stp/>
        <stp>BDP|9040666379282366361</stp>
        <tr r="T5" s="2"/>
      </tp>
      <tp t="s">
        <v>#N/A Requesting Data...1965182725</v>
        <stp/>
        <stp>BDP|8593781827153042716</stp>
        <tr r="BA102" s="3"/>
      </tp>
      <tp t="s">
        <v>#N/A Requesting Data...3420716411</v>
        <stp/>
        <stp>BDP|7601623308500030879</stp>
        <tr r="BF295" s="3"/>
      </tp>
      <tp t="s">
        <v>#N/A Requesting Data...1470191209</v>
        <stp/>
        <stp>BDP|9899452611780264556</stp>
        <tr r="K22" s="2"/>
        <tr r="D15" s="4"/>
      </tp>
      <tp t="s">
        <v>#N/A Requesting Data...3993533997</v>
        <stp/>
        <stp>BDP|5955708312173656966</stp>
        <tr r="AS353" s="3"/>
      </tp>
      <tp t="s">
        <v>#N/A Requesting Data...1266318294</v>
        <stp/>
        <stp>BDP|2353878611850773291</stp>
        <tr r="BI198" s="3"/>
      </tp>
      <tp t="s">
        <v>#N/A Requesting Data...3239918530</v>
        <stp/>
        <stp>BDP|8741157009535435547</stp>
        <tr r="I259" s="3"/>
      </tp>
      <tp t="s">
        <v>#N/A Requesting Data...3791010459</v>
        <stp/>
        <stp>BDP|7442994339320754483</stp>
        <tr r="G35" s="4"/>
      </tp>
      <tp t="s">
        <v>#N/A Requesting Data...636795365</v>
        <stp/>
        <stp>BDP|3203105827350655986</stp>
        <tr r="BA312" s="3"/>
      </tp>
      <tp t="s">
        <v>#N/A Requesting Data...3095748262</v>
        <stp/>
        <stp>BDP|4168356237008808506</stp>
        <tr r="BG8" s="2"/>
      </tp>
      <tp t="s">
        <v>#N/A N/A</v>
        <stp/>
        <stp>BDP|1186857118974448534</stp>
        <tr r="BN95" s="2"/>
      </tp>
      <tp t="s">
        <v>#N/A Requesting Data...731623332</v>
        <stp/>
        <stp>BDP|7846703595948163841</stp>
        <tr r="AZ337" s="3"/>
      </tp>
      <tp t="s">
        <v>#N/A Requesting Data...1577885408</v>
        <stp/>
        <stp>BDP|8440753328831434555</stp>
        <tr r="F321" s="3"/>
      </tp>
      <tp t="s">
        <v>#N/A Requesting Data...700233385</v>
        <stp/>
        <stp>BDP|4953346437519295406</stp>
        <tr r="AH137" s="3"/>
      </tp>
      <tp t="s">
        <v>#N/A Requesting Data...3631333382</v>
        <stp/>
        <stp>BDP|9081629472592083385</stp>
        <tr r="K119" s="3"/>
      </tp>
      <tp t="s">
        <v>#N/A Requesting Data...1782355424</v>
        <stp/>
        <stp>BDP|2272400768978224103</stp>
        <tr r="I23" s="4"/>
      </tp>
      <tp t="s">
        <v>#N/A Requesting Data...4276953963</v>
        <stp/>
        <stp>BDP|9833703078896007687</stp>
        <tr r="BF193" s="3"/>
      </tp>
      <tp t="s">
        <v>#N/A Requesting Data...3971965377</v>
        <stp/>
        <stp>BDP|8146062033430457289</stp>
        <tr r="AQ142" s="3"/>
      </tp>
      <tp t="s">
        <v>#N/A Requesting Data...1343995499</v>
        <stp/>
        <stp>BDP|6541348468472806899</stp>
        <tr r="K73" s="3"/>
      </tp>
      <tp t="s">
        <v>#N/A Requesting Data...2579091975</v>
        <stp/>
        <stp>BDP|1058294490197492458</stp>
        <tr r="AV10" s="2"/>
      </tp>
      <tp t="s">
        <v>#N/A Requesting Data...1331551135</v>
        <stp/>
        <stp>BDP|7049285817278776505</stp>
        <tr r="AA335" s="3"/>
      </tp>
      <tp t="s">
        <v>#N/A Requesting Data...2382692634</v>
        <stp/>
        <stp>BDP|2100541802248806672</stp>
        <tr r="AS308" s="3"/>
      </tp>
      <tp t="s">
        <v>#N/A Requesting Data...2731690655</v>
        <stp/>
        <stp>BDP|2997805919822826007</stp>
        <tr r="AQ190" s="3"/>
      </tp>
      <tp t="s">
        <v>#N/A Requesting Data...2542983836</v>
        <stp/>
        <stp>BDP|2056381791175771467</stp>
        <tr r="AA336" s="3"/>
      </tp>
      <tp t="s">
        <v>#N/A Requesting Data...1520781134</v>
        <stp/>
        <stp>BDP|4816100387275536127</stp>
        <tr r="AJ173" s="3"/>
      </tp>
      <tp t="s">
        <v>#N/A Requesting Data...3975030484</v>
        <stp/>
        <stp>BDP|5278058245950947835</stp>
        <tr r="AJ122" s="3"/>
      </tp>
      <tp t="s">
        <v>#N/A Requesting Data...2628656852</v>
        <stp/>
        <stp>BDP|5465009877579355289</stp>
        <tr r="F80" s="3"/>
      </tp>
      <tp t="s">
        <v>#N/A Requesting Data...1819259460</v>
        <stp/>
        <stp>BDP|7476369176648910244</stp>
        <tr r="BF131" s="3"/>
      </tp>
      <tp t="s">
        <v>#N/A Requesting Data...2515913603</v>
        <stp/>
        <stp>BDP|9099381563982659749</stp>
        <tr r="AQ16" s="3"/>
      </tp>
      <tp t="s">
        <v>#N/A Requesting Data...1712097478</v>
        <stp/>
        <stp>BDP|8928764011650451739</stp>
        <tr r="AS75" s="3"/>
      </tp>
      <tp t="s">
        <v>#N/A Requesting Data...3075056501</v>
        <stp/>
        <stp>BDP|8656815866028982717</stp>
        <tr r="BI351" s="3"/>
      </tp>
      <tp t="s">
        <v>#N/A Requesting Data...2882454745</v>
        <stp/>
        <stp>BDP|1149318285777929459</stp>
        <tr r="F213" s="3"/>
      </tp>
      <tp t="s">
        <v>#N/A Requesting Data...3002993575</v>
        <stp/>
        <stp>BDP|8060953106291219986</stp>
        <tr r="AZ294" s="3"/>
      </tp>
      <tp t="s">
        <v>#N/A Requesting Data...1136878599</v>
        <stp/>
        <stp>BDP|3831437702647109911</stp>
        <tr r="BG32" s="3"/>
      </tp>
      <tp t="s">
        <v>#N/A Requesting Data...3702208476</v>
        <stp/>
        <stp>BDP|1619860152487316280</stp>
        <tr r="BG210" s="3"/>
      </tp>
      <tp t="s">
        <v>#N/A Requesting Data...3346013355</v>
        <stp/>
        <stp>BDP|3064072741299966764</stp>
        <tr r="AO20" s="4"/>
      </tp>
      <tp t="s">
        <v>#N/A Requesting Data...751140199</v>
        <stp/>
        <stp>BDP|7648583151067701913</stp>
        <tr r="AF35" s="4"/>
      </tp>
      <tp t="s">
        <v>#N/A Requesting Data...3276093746</v>
        <stp/>
        <stp>BDP|5273336637084706885</stp>
        <tr r="AQ340" s="3"/>
      </tp>
      <tp t="s">
        <v>#N/A Requesting Data...1221916299</v>
        <stp/>
        <stp>BDP|6829484577528088492</stp>
        <tr r="AS312" s="3"/>
      </tp>
      <tp t="s">
        <v>#N/A Requesting Data...1603809950</v>
        <stp/>
        <stp>BDP|9259159318618537841</stp>
        <tr r="BF9" s="2"/>
      </tp>
      <tp t="s">
        <v>#N/A Requesting Data...2700242077</v>
        <stp/>
        <stp>BDP|2136584620369271558</stp>
        <tr r="BI346" s="3"/>
      </tp>
      <tp t="s">
        <v>#N/A Requesting Data...1785379529</v>
        <stp/>
        <stp>BDP|1448714889760781755</stp>
        <tr r="AS109" s="3"/>
      </tp>
      <tp t="s">
        <v>#N/A Requesting Data...3954649390</v>
        <stp/>
        <stp>BDP|8128559049026408671</stp>
        <tr r="I134" s="3"/>
      </tp>
      <tp t="s">
        <v>#N/A Requesting Data...3418938169</v>
        <stp/>
        <stp>BDP|5488691053236686969</stp>
        <tr r="AQ283" s="3"/>
      </tp>
      <tp t="s">
        <v>#N/A Requesting Data...3342582549</v>
        <stp/>
        <stp>BDP|8202758268269289938</stp>
        <tr r="I68" s="3"/>
      </tp>
      <tp t="s">
        <v>#N/A Requesting Data...1558178027</v>
        <stp/>
        <stp>BDP|5886823352910364158</stp>
        <tr r="I21" s="3"/>
      </tp>
      <tp t="s">
        <v>#N/A Requesting Data...2213776914</v>
        <stp/>
        <stp>BDP|9370948998704847490</stp>
        <tr r="AA203" s="3"/>
      </tp>
      <tp t="s">
        <v>#N/A Requesting Data...3160044883</v>
        <stp/>
        <stp>BDP|8466684574401793111</stp>
        <tr r="AA267" s="3"/>
      </tp>
      <tp t="s">
        <v>#N/A Requesting Data...2056697138</v>
        <stp/>
        <stp>BDP|5209648898353318034</stp>
        <tr r="M53" s="4"/>
      </tp>
      <tp t="s">
        <v>#N/A N/A</v>
        <stp/>
        <stp>BDP|5708189937396715815</stp>
        <tr r="BN11" s="2"/>
      </tp>
      <tp t="s">
        <v>#N/A Requesting Data...1184973070</v>
        <stp/>
        <stp>BDP|2412938388753476958</stp>
        <tr r="AZ16" s="3"/>
      </tp>
      <tp t="s">
        <v>#N/A Requesting Data...1427913697</v>
        <stp/>
        <stp>BDP|5479690295076471521</stp>
        <tr r="BI20" s="3"/>
      </tp>
      <tp t="s">
        <v>#N/A Requesting Data...3572648473</v>
        <stp/>
        <stp>BDP|8677080599719868117</stp>
        <tr r="AJ125" s="3"/>
      </tp>
      <tp t="s">
        <v>#N/A N/A</v>
        <stp/>
        <stp>BDP|4860724307583272910</stp>
        <tr r="BE85" s="2"/>
      </tp>
      <tp t="s">
        <v>#N/A N/A</v>
        <stp/>
        <stp>BDP|3444792284390715504</stp>
        <tr r="AX25" s="2"/>
      </tp>
      <tp t="s">
        <v>#N/A Requesting Data...2018677527</v>
        <stp/>
        <stp>BDP|7562090970449686048</stp>
        <tr r="AS43" s="3"/>
      </tp>
      <tp t="s">
        <v>#N/A Requesting Data...1118865976</v>
        <stp/>
        <stp>BDP|8823071473840162638</stp>
        <tr r="AS310" s="3"/>
      </tp>
      <tp t="s">
        <v>#N/A Requesting Data...4131249588</v>
        <stp/>
        <stp>BDP|9388598300111537416</stp>
        <tr r="Y59" s="3"/>
      </tp>
      <tp t="s">
        <v>#N/A N/A</v>
        <stp/>
        <stp>BDP|5979664225759310172</stp>
        <tr r="AF21" s="2"/>
      </tp>
      <tp t="s">
        <v>#N/A Requesting Data...2267164884</v>
        <stp/>
        <stp>BDP|8593345538385171470</stp>
        <tr r="I164" s="3"/>
      </tp>
      <tp t="s">
        <v>#N/A Requesting Data...963311470</v>
        <stp/>
        <stp>BDP|4499139304945873944</stp>
        <tr r="BG268" s="3"/>
      </tp>
      <tp t="s">
        <v>#N/A Requesting Data...1974221618</v>
        <stp/>
        <stp>BDP|6337624050258892461</stp>
        <tr r="O192" s="3"/>
      </tp>
      <tp t="s">
        <v>#N/A N/A</v>
        <stp/>
        <stp>BDP|6058645887249479889</stp>
        <tr r="AD98" s="2"/>
      </tp>
      <tp t="s">
        <v>#N/A N/A</v>
        <stp/>
        <stp>BDP|5595186509564943921</stp>
        <tr r="AF99" s="2"/>
      </tp>
      <tp t="s">
        <v>#N/A Requesting Data...3761801292</v>
        <stp/>
        <stp>BDP|5490744191402837065</stp>
        <tr r="Y142" s="3"/>
      </tp>
      <tp t="s">
        <v>#N/A Requesting Data...886279860</v>
        <stp/>
        <stp>BDP|8198566273867216499</stp>
        <tr r="BB305" s="3"/>
      </tp>
      <tp t="s">
        <v>#N/A Requesting Data...1142603547</v>
        <stp/>
        <stp>BDP|2234583694104971387</stp>
        <tr r="K31" s="3"/>
      </tp>
      <tp t="s">
        <v>#N/A Requesting Data...1120340557</v>
        <stp/>
        <stp>BDP|3526306991466855634</stp>
        <tr r="AA275" s="3"/>
      </tp>
      <tp t="s">
        <v>#N/A Requesting Data...2405229439</v>
        <stp/>
        <stp>BDP|1236206632579657096</stp>
        <tr r="F153" s="3"/>
      </tp>
      <tp t="s">
        <v>#N/A Requesting Data...1777395994</v>
        <stp/>
        <stp>BDP|6446581327828589017</stp>
        <tr r="AS82" s="3"/>
      </tp>
      <tp t="s">
        <v>#N/A Requesting Data...3065594805</v>
        <stp/>
        <stp>BDP|5669488804858339060</stp>
        <tr r="AQ23" s="3"/>
      </tp>
      <tp t="s">
        <v>#N/A Requesting Data...3746164716</v>
        <stp/>
        <stp>BDP|7910255501165080929</stp>
        <tr r="Y292" s="3"/>
      </tp>
      <tp t="s">
        <v>#N/A Requesting Data...2781993413</v>
        <stp/>
        <stp>BDP|5102983071082374040</stp>
        <tr r="BB85" s="3"/>
      </tp>
      <tp t="s">
        <v>#N/A Requesting Data...2319894253</v>
        <stp/>
        <stp>BDP|8479757969615461537</stp>
        <tr r="AJ184" s="3"/>
      </tp>
      <tp t="s">
        <v>#N/A Requesting Data...1747189820</v>
        <stp/>
        <stp>BDP|5686288911406373934</stp>
        <tr r="O11" s="4"/>
      </tp>
      <tp t="s">
        <v>#N/A Requesting Data...3548334836</v>
        <stp/>
        <stp>BDP|2979548201317730948</stp>
        <tr r="AQ73" s="3"/>
      </tp>
      <tp t="s">
        <v>#N/A Requesting Data...3714769863</v>
        <stp/>
        <stp>BDP|7145266798186860382</stp>
        <tr r="Y186" s="3"/>
      </tp>
      <tp t="s">
        <v>#N/A Requesting Data...1862983159</v>
        <stp/>
        <stp>BDP|3454204422552061894</stp>
        <tr r="BH91" s="3"/>
      </tp>
      <tp t="s">
        <v>#N/A Requesting Data...2074074685</v>
        <stp/>
        <stp>BDP|2973653223297387838</stp>
        <tr r="BI90" s="3"/>
      </tp>
      <tp t="s">
        <v>#N/A Requesting Data...3124538815</v>
        <stp/>
        <stp>BDP|7561795882421776058</stp>
        <tr r="BH122" s="3"/>
      </tp>
      <tp t="s">
        <v>#N/A Requesting Data...1453823883</v>
        <stp/>
        <stp>BDP|8181710379651250076</stp>
        <tr r="O299" s="3"/>
      </tp>
      <tp t="s">
        <v>#N/A Requesting Data...4190958008</v>
        <stp/>
        <stp>BDP|3390411209138310644</stp>
        <tr r="F32" s="3"/>
      </tp>
      <tp t="s">
        <v>#N/A N/A</v>
        <stp/>
        <stp>BDP|9869552950401775168</stp>
        <tr r="AM45" s="2"/>
      </tp>
      <tp t="s">
        <v>#N/A Requesting Data...1739671519</v>
        <stp/>
        <stp>BDP|3277909606572913114</stp>
        <tr r="I120" s="3"/>
      </tp>
      <tp t="s">
        <v>#N/A Requesting Data...2225914686</v>
        <stp/>
        <stp>BDP|1286314175715216984</stp>
        <tr r="AJ138" s="3"/>
      </tp>
      <tp t="s">
        <v>#N/A N/A</v>
        <stp/>
        <stp>BDP|9125310566425875020</stp>
        <tr r="BE74" s="2"/>
      </tp>
      <tp t="s">
        <v>#N/A Requesting Data...3387861391</v>
        <stp/>
        <stp>BDP|3911970597749253373</stp>
        <tr r="O194" s="3"/>
      </tp>
      <tp t="s">
        <v>#N/A Requesting Data...2983328351</v>
        <stp/>
        <stp>BDP|6438637768419411671</stp>
        <tr r="AQ242" s="3"/>
      </tp>
      <tp t="s">
        <v>#N/A Requesting Data...3076748005</v>
        <stp/>
        <stp>BDP|1904303275605933995</stp>
        <tr r="AF22" s="2"/>
        <tr r="Y15" s="4"/>
      </tp>
      <tp t="s">
        <v>#N/A Requesting Data...3828642150</v>
        <stp/>
        <stp>BDP|7220561352368845627</stp>
        <tr r="BG86" s="3"/>
      </tp>
      <tp t="s">
        <v>#N/A Requesting Data...1676951706</v>
        <stp/>
        <stp>BDP|3708763259751305977</stp>
        <tr r="AQ7" s="4"/>
      </tp>
      <tp t="s">
        <v>#N/A Requesting Data...3600656512</v>
        <stp/>
        <stp>BDP|1896732196763784561</stp>
        <tr r="O272" s="3"/>
      </tp>
      <tp t="s">
        <v>#N/A Requesting Data...1270130936</v>
        <stp/>
        <stp>BDP|9942963084331647015</stp>
        <tr r="O209" s="3"/>
      </tp>
      <tp t="s">
        <v>#N/A Requesting Data...1823933229</v>
        <stp/>
        <stp>BDP|5321634057846294993</stp>
        <tr r="Q351" s="3"/>
      </tp>
      <tp t="s">
        <v>#N/A Requesting Data...2047405664</v>
        <stp/>
        <stp>BDP|2056085246428349714</stp>
        <tr r="AQ159" s="3"/>
      </tp>
      <tp t="s">
        <v>#N/A Requesting Data...1185615485</v>
        <stp/>
        <stp>BDP|2190562261281282985</stp>
        <tr r="AS330" s="3"/>
      </tp>
      <tp t="s">
        <v>#N/A N/A</v>
        <stp/>
        <stp>BDP|7073473017008867345</stp>
        <tr r="P91" s="2"/>
      </tp>
      <tp t="s">
        <v>#N/A Requesting Data...2504224324</v>
        <stp/>
        <stp>BDP|4309205121748612598</stp>
        <tr r="G58" s="4"/>
      </tp>
      <tp t="s">
        <v>#N/A Requesting Data...2070966811</v>
        <stp/>
        <stp>BDP|9181038966354194287</stp>
        <tr r="BH159" s="3"/>
      </tp>
      <tp t="s">
        <v>#N/A Requesting Data...2229099408</v>
        <stp/>
        <stp>BDP|7989495305363947916</stp>
        <tr r="AA207" s="3"/>
      </tp>
      <tp t="s">
        <v>#N/A Requesting Data...2728123800</v>
        <stp/>
        <stp>BDP|8416720067244977455</stp>
        <tr r="BG308" s="3"/>
      </tp>
      <tp t="s">
        <v>#N/A Requesting Data...3449276762</v>
        <stp/>
        <stp>BDP|6781768298723471200</stp>
        <tr r="M13" s="4"/>
      </tp>
      <tp t="s">
        <v>#N/A Requesting Data...3969643423</v>
        <stp/>
        <stp>BDP|3953611226759569766</stp>
        <tr r="Y12" s="3"/>
      </tp>
      <tp t="s">
        <v>#N/A N/A</v>
        <stp/>
        <stp>BDP|8745676330013919741</stp>
        <tr r="BL57" s="2"/>
      </tp>
      <tp t="s">
        <v>#N/A N/A</v>
        <stp/>
        <stp>BDP|6979215040288640131</stp>
        <tr r="AF19" s="2"/>
      </tp>
      <tp t="s">
        <v>#N/A Requesting Data...2161703730</v>
        <stp/>
        <stp>BDP|7682854532397431289</stp>
        <tr r="Q102" s="3"/>
      </tp>
      <tp t="s">
        <v>#N/A Requesting Data...4162409787</v>
        <stp/>
        <stp>BDP|7152034299403795418</stp>
        <tr r="BF54" s="3"/>
      </tp>
      <tp t="s">
        <v>#N/A Requesting Data...3842465947</v>
        <stp/>
        <stp>BDP|6442460702279942246</stp>
        <tr r="AA74" s="3"/>
      </tp>
      <tp t="s">
        <v>#N/A N/A</v>
        <stp/>
        <stp>BDP|2197193651809320677</stp>
        <tr r="BF23" s="2"/>
      </tp>
      <tp t="s">
        <v>#N/A Requesting Data...2853519337</v>
        <stp/>
        <stp>BDP|8889087239483390175</stp>
        <tr r="AX53" s="4"/>
      </tp>
      <tp t="s">
        <v>#N/A Requesting Data...2872620069</v>
        <stp/>
        <stp>BDP|9582663878606599733</stp>
        <tr r="F26" s="3"/>
      </tp>
      <tp t="s">
        <v>#N/A Requesting Data...3251234089</v>
        <stp/>
        <stp>BDP|8190700065908032895</stp>
        <tr r="BI247" s="3"/>
      </tp>
      <tp t="s">
        <v>#N/A Requesting Data...4044331848</v>
        <stp/>
        <stp>BDP|8206518345474522415</stp>
        <tr r="BI252" s="3"/>
      </tp>
      <tp t="s">
        <v>#N/A Requesting Data...2085971864</v>
        <stp/>
        <stp>BDP|7693510802083330841</stp>
        <tr r="AJ321" s="3"/>
      </tp>
      <tp t="s">
        <v>#N/A Requesting Data...4098669016</v>
        <stp/>
        <stp>BDP|9435664806304199270</stp>
        <tr r="AH345" s="3"/>
      </tp>
      <tp t="s">
        <v>#N/A Requesting Data...2423067186</v>
        <stp/>
        <stp>BDP|4097995938515238217</stp>
        <tr r="AA159" s="3"/>
      </tp>
      <tp t="s">
        <v>#N/A Requesting Data...1865394158</v>
        <stp/>
        <stp>BDP|6598475640879388630</stp>
        <tr r="I137" s="3"/>
      </tp>
      <tp t="s">
        <v>#N/A Requesting Data...2220876348</v>
        <stp/>
        <stp>BDP|7423849456510393378</stp>
        <tr r="F151" s="3"/>
      </tp>
      <tp t="s">
        <v>#N/A Requesting Data...1345331418</v>
        <stp/>
        <stp>BDP|8328999185445530582</stp>
        <tr r="K170" s="3"/>
      </tp>
      <tp t="s">
        <v>#N/A Requesting Data...3472210637</v>
        <stp/>
        <stp>BDP|8764216741502744520</stp>
        <tr r="BB84" s="3"/>
      </tp>
      <tp t="s">
        <v>#N/A Requesting Data...2803957004</v>
        <stp/>
        <stp>BDP|3420002685566619455</stp>
        <tr r="BA131" s="3"/>
      </tp>
      <tp t="s">
        <v>#N/A Requesting Data...1172433595</v>
        <stp/>
        <stp>BDP|2772384088746341663</stp>
        <tr r="AH222" s="3"/>
      </tp>
      <tp t="s">
        <v>#N/A Requesting Data...3090206853</v>
        <stp/>
        <stp>BDP|2282219000359283038</stp>
        <tr r="Q5" s="3"/>
      </tp>
      <tp t="s">
        <v>#N/A Requesting Data...2146166334</v>
        <stp/>
        <stp>BDP|1546886242566565284</stp>
        <tr r="AQ37" s="3"/>
      </tp>
      <tp t="s">
        <v>#N/A Requesting Data...1848693395</v>
        <stp/>
        <stp>BDP|2624932916690559346</stp>
        <tr r="O187" s="3"/>
      </tp>
      <tp t="s">
        <v>#N/A Requesting Data...3334764293</v>
        <stp/>
        <stp>BDP|6074126827428310441</stp>
        <tr r="BI123" s="3"/>
      </tp>
      <tp t="s">
        <v>#N/A N/A</v>
        <stp/>
        <stp>BDP|4821177424446807815</stp>
        <tr r="N65" s="2"/>
      </tp>
      <tp t="s">
        <v>#N/A Requesting Data...2384615331</v>
        <stp/>
        <stp>BDP|9435040691048367101</stp>
        <tr r="I26" s="3"/>
      </tp>
      <tp t="s">
        <v>#N/A Requesting Data...2694185514</v>
        <stp/>
        <stp>BDP|6975561095744943711</stp>
        <tr r="Y302" s="3"/>
      </tp>
      <tp t="s">
        <v>#N/A Requesting Data...3375008848</v>
        <stp/>
        <stp>BDP|8750637005542237510</stp>
        <tr r="AQ122" s="3"/>
      </tp>
      <tp t="s">
        <v>#N/A Requesting Data...4050120887</v>
        <stp/>
        <stp>BDP|5841391152112899899</stp>
        <tr r="I300" s="3"/>
      </tp>
      <tp t="s">
        <v>#N/A Requesting Data...1362850014</v>
        <stp/>
        <stp>BDP|9403823456579669446</stp>
        <tr r="AS203" s="3"/>
      </tp>
      <tp t="s">
        <v>#N/A Requesting Data...2436417363</v>
        <stp/>
        <stp>BDP|1671758484653129452</stp>
        <tr r="AH41" s="4"/>
      </tp>
      <tp t="s">
        <v>#N/A Requesting Data...4188124148</v>
        <stp/>
        <stp>BDP|7753052002888737644</stp>
        <tr r="BH26" s="3"/>
      </tp>
      <tp t="s">
        <v>#N/A Requesting Data...3076744151</v>
        <stp/>
        <stp>BDP|4012553865238693652</stp>
        <tr r="Y52" s="4"/>
      </tp>
      <tp t="s">
        <v>#N/A N/A</v>
        <stp/>
        <stp>BDP|9033038821095506741</stp>
        <tr r="BG91" s="2"/>
      </tp>
      <tp t="s">
        <v>#N/A Requesting Data...4164544410</v>
        <stp/>
        <stp>BDP|2544912726437409758</stp>
        <tr r="AH304" s="3"/>
      </tp>
      <tp t="s">
        <v>#N/A Requesting Data...4069597893</v>
        <stp/>
        <stp>BDP|9618074756853738633</stp>
        <tr r="F145" s="3"/>
      </tp>
      <tp t="s">
        <v>#N/A Requesting Data...1418996026</v>
        <stp/>
        <stp>BDP|9351959580034224572</stp>
        <tr r="AS41" s="3"/>
      </tp>
      <tp t="s">
        <v>#N/A Requesting Data...3883824260</v>
        <stp/>
        <stp>BDP|3475735285486786360</stp>
        <tr r="AZ211" s="3"/>
      </tp>
      <tp t="s">
        <v>#N/A Requesting Data...3024634031</v>
        <stp/>
        <stp>BDP|1031978654233698761</stp>
        <tr r="K76" s="3"/>
      </tp>
      <tp t="s">
        <v>#N/A Requesting Data...4191329615</v>
        <stp/>
        <stp>BDP|3281229856769352460</stp>
        <tr r="BA290" s="3"/>
      </tp>
      <tp t="s">
        <v>#N/A Requesting Data...2261145189</v>
        <stp/>
        <stp>BDP|5003803362636018417</stp>
        <tr r="BA185" s="3"/>
      </tp>
      <tp t="s">
        <v>#N/A Requesting Data...1459013471</v>
        <stp/>
        <stp>BDP|4677592459579249476</stp>
        <tr r="BI47" s="3"/>
      </tp>
      <tp t="s">
        <v>#N/A Requesting Data...2948833378</v>
        <stp/>
        <stp>BDP|3757236985022549270</stp>
        <tr r="F148" s="3"/>
      </tp>
      <tp t="s">
        <v>#N/A Requesting Data...1883975433</v>
        <stp/>
        <stp>BDP|8536454751287027720</stp>
        <tr r="AA324" s="3"/>
      </tp>
      <tp t="s">
        <v>#N/A Requesting Data...2925124756</v>
        <stp/>
        <stp>BDP|9202547025983181411</stp>
        <tr r="BB73" s="3"/>
      </tp>
      <tp t="s">
        <v>#N/A N/A</v>
        <stp/>
        <stp>BDP|9687111143941772401</stp>
        <tr r="AF97" s="2"/>
      </tp>
      <tp t="s">
        <v>#N/A N/A</v>
        <stp/>
        <stp>BDP|2138909521512348233</stp>
        <tr r="AV82" s="2"/>
      </tp>
      <tp t="s">
        <v>#N/A Requesting Data...3347531339</v>
        <stp/>
        <stp>BDP|7486674860388632651</stp>
        <tr r="BB263" s="3"/>
      </tp>
      <tp t="s">
        <v>#N/A Requesting Data...3619167910</v>
        <stp/>
        <stp>BDP|8418080665643080491</stp>
        <tr r="I20" s="4"/>
      </tp>
      <tp t="s">
        <v>#N/A Requesting Data...2002439329</v>
        <stp/>
        <stp>BDP|6042254986440769543</stp>
        <tr r="I66" s="3"/>
      </tp>
      <tp t="s">
        <v>#N/A Requesting Data...2133035873</v>
        <stp/>
        <stp>BDP|9749887162209918741</stp>
        <tr r="F3" s="3"/>
      </tp>
      <tp t="s">
        <v>#N/A Requesting Data...3488932954</v>
        <stp/>
        <stp>BDP|8127134143137337325</stp>
        <tr r="AJ159" s="3"/>
      </tp>
      <tp t="s">
        <v>#N/A Requesting Data...2869599040</v>
        <stp/>
        <stp>BDP|9626552705226629300</stp>
        <tr r="BF137" s="3"/>
      </tp>
      <tp t="s">
        <v>#N/A Requesting Data...2959955486</v>
        <stp/>
        <stp>BDP|9597809572026632911</stp>
        <tr r="AS315" s="3"/>
      </tp>
      <tp t="s">
        <v>#N/A Requesting Data...3825040342</v>
        <stp/>
        <stp>BDP|9801676377302145394</stp>
        <tr r="I87" s="3"/>
      </tp>
      <tp t="s">
        <v>#N/A Requesting Data...1889483230</v>
        <stp/>
        <stp>BDP|6134827553390344236</stp>
        <tr r="BG23" s="3"/>
      </tp>
      <tp t="s">
        <v>#N/A N/A</v>
        <stp/>
        <stp>BDP|7944712583611836037</stp>
        <tr r="BK99" s="2"/>
      </tp>
      <tp t="s">
        <v>#N/A Requesting Data...2242410102</v>
        <stp/>
        <stp>BDP|3745317547188352523</stp>
        <tr r="Y225" s="3"/>
      </tp>
      <tp t="s">
        <v>#N/A Requesting Data...3394299092</v>
        <stp/>
        <stp>BDP|7807413053746251987</stp>
        <tr r="BA221" s="3"/>
      </tp>
      <tp t="s">
        <v>#N/A N/A</v>
        <stp/>
        <stp>BDP|8637409175575065720</stp>
        <tr r="P86" s="2"/>
      </tp>
      <tp t="s">
        <v>#N/A N/A</v>
        <stp/>
        <stp>BDP|5820490381928154806</stp>
        <tr r="BG42" s="2"/>
      </tp>
      <tp t="s">
        <v>#N/A Requesting Data...2890674169</v>
        <stp/>
        <stp>BDP|7539629751778024577</stp>
        <tr r="BA202" s="3"/>
      </tp>
      <tp t="s">
        <v>#N/A N/A</v>
        <stp/>
        <stp>BDP|1691457681463139721</stp>
        <tr r="BL31" s="2"/>
      </tp>
      <tp t="s">
        <v>#N/A Requesting Data...2440755664</v>
        <stp/>
        <stp>BDP|5837311932264991831</stp>
        <tr r="F149" s="3"/>
      </tp>
      <tp t="s">
        <v>#N/A Requesting Data...3750331167</v>
        <stp/>
        <stp>BDP|8156588864671970357</stp>
        <tr r="BG49" s="3"/>
      </tp>
      <tp t="s">
        <v>#N/A Requesting Data...2235991648</v>
        <stp/>
        <stp>BDP|3120707051460680873</stp>
        <tr r="BG130" s="3"/>
      </tp>
      <tp t="s">
        <v>#N/A Requesting Data...3542209168</v>
        <stp/>
        <stp>BDP|7427001414198509748</stp>
        <tr r="AQ282" s="3"/>
      </tp>
      <tp t="s">
        <v>#N/A Requesting Data...1932655892</v>
        <stp/>
        <stp>BDP|6152598816563943866</stp>
        <tr r="BB174" s="3"/>
      </tp>
      <tp t="s">
        <v>#N/A Requesting Data...1839292650</v>
        <stp/>
        <stp>BDP|5152214723918450462</stp>
        <tr r="AF11" s="4"/>
      </tp>
      <tp t="s">
        <v>#N/A N/A</v>
        <stp/>
        <stp>BDP|8175464224160051728</stp>
        <tr r="AM47" s="2"/>
      </tp>
      <tp t="s">
        <v>#N/A Requesting Data...4030375543</v>
        <stp/>
        <stp>BDP|1199866520497356551</stp>
        <tr r="O334" s="3"/>
      </tp>
      <tp t="s">
        <v>#N/A Requesting Data...2073144049</v>
        <stp/>
        <stp>BDP|1037813963943028535</stp>
        <tr r="AH217" s="3"/>
      </tp>
      <tp t="s">
        <v>#N/A Requesting Data...2168967358</v>
        <stp/>
        <stp>BDP|3269843305731055329</stp>
        <tr r="BF331" s="3"/>
      </tp>
      <tp t="s">
        <v>#N/A Requesting Data...4285291242</v>
        <stp/>
        <stp>BDP|1231564270113308968</stp>
        <tr r="BB241" s="3"/>
      </tp>
      <tp t="s">
        <v>#N/A Requesting Data...3811770592</v>
        <stp/>
        <stp>BDP|4972496287547632606</stp>
        <tr r="Q121" s="3"/>
      </tp>
      <tp t="s">
        <v>#N/A Requesting Data...3113723464</v>
        <stp/>
        <stp>BDP|7492601421082399870</stp>
        <tr r="F35" s="3"/>
      </tp>
      <tp t="s">
        <v>#N/A Requesting Data...2204631668</v>
        <stp/>
        <stp>BDP|5643082294040841532</stp>
        <tr r="BB154" s="3"/>
      </tp>
      <tp t="s">
        <v>#N/A Requesting Data...1509048147</v>
        <stp/>
        <stp>BDP|2833022796631952342</stp>
        <tr r="AJ110" s="3"/>
      </tp>
      <tp t="s">
        <v>#N/A N/A</v>
        <stp/>
        <stp>BDP|5405579268476247989</stp>
        <tr r="BL16" s="2"/>
      </tp>
      <tp t="s">
        <v>#N/A Requesting Data...3904346889</v>
        <stp/>
        <stp>BDP|3156081908109366333</stp>
        <tr r="AO61" s="4"/>
      </tp>
      <tp t="s">
        <v>#N/A Requesting Data...1737485272</v>
        <stp/>
        <stp>BDP|3195161086903158017</stp>
        <tr r="M61" s="4"/>
      </tp>
      <tp t="s">
        <v>#N/A N/A</v>
        <stp/>
        <stp>BDP|5819094412338211505</stp>
        <tr r="P45" s="2"/>
      </tp>
      <tp t="s">
        <v>#N/A Requesting Data...2726118888</v>
        <stp/>
        <stp>BDP|5490253378948009187</stp>
        <tr r="BB40" s="3"/>
      </tp>
      <tp t="s">
        <v>#N/A Requesting Data...3947770842</v>
        <stp/>
        <stp>BDP|9079480658436944780</stp>
        <tr r="BF23" s="3"/>
      </tp>
      <tp t="s">
        <v>#N/A N/A</v>
        <stp/>
        <stp>BDP|2983202719149445159</stp>
        <tr r="AX88" s="2"/>
      </tp>
      <tp t="s">
        <v>#N/A Requesting Data...1875796950</v>
        <stp/>
        <stp>BDP|9793208026404922491</stp>
        <tr r="BA350" s="3"/>
      </tp>
      <tp t="s">
        <v>#N/A Requesting Data...2183990944</v>
        <stp/>
        <stp>BDP|9240297334680641187</stp>
        <tr r="Q127" s="3"/>
      </tp>
      <tp t="s">
        <v>#N/A Requesting Data...3594422681</v>
        <stp/>
        <stp>BDP|8008434046663788242</stp>
        <tr r="BI304" s="3"/>
      </tp>
      <tp t="s">
        <v>#N/A Requesting Data...4263576164</v>
        <stp/>
        <stp>BDP|2498698296947929342</stp>
        <tr r="AZ81" s="3"/>
      </tp>
      <tp t="s">
        <v>#N/A Requesting Data...3311832798</v>
        <stp/>
        <stp>BDP|8662396024845405592</stp>
        <tr r="Y148" s="3"/>
      </tp>
      <tp t="s">
        <v>#N/A Requesting Data...2837751367</v>
        <stp/>
        <stp>BDP|5715170537039754765</stp>
        <tr r="I106" s="3"/>
      </tp>
      <tp t="s">
        <v>#N/A N/A</v>
        <stp/>
        <stp>BDP|5476972086389754443</stp>
        <tr r="BL81" s="2"/>
      </tp>
      <tp t="s">
        <v>#N/A Requesting Data...2029793960</v>
        <stp/>
        <stp>BDP|7653759247838530575</stp>
        <tr r="BA257" s="3"/>
      </tp>
      <tp t="s">
        <v>#N/A N/A</v>
        <stp/>
        <stp>BDP|8278543480795609961</stp>
        <tr r="P69" s="2"/>
      </tp>
      <tp t="s">
        <v>#N/A Requesting Data...3179605565</v>
        <stp/>
        <stp>BDP|6732660383571213062</stp>
        <tr r="BI210" s="3"/>
      </tp>
      <tp t="s">
        <v>#N/A N/A</v>
        <stp/>
        <stp>BDP|8586014175833789509</stp>
        <tr r="P58" s="2"/>
      </tp>
      <tp t="s">
        <v>#N/A Requesting Data...4290709886</v>
        <stp/>
        <stp>BDP|8558610929501935427</stp>
        <tr r="K348" s="3"/>
      </tp>
      <tp t="s">
        <v>#N/A N/A</v>
        <stp/>
        <stp>BDP|3748416143088221214</stp>
        <tr r="P14" s="2"/>
      </tp>
      <tp t="s">
        <v>#N/A Requesting Data...2719395583</v>
        <stp/>
        <stp>BDP|2806503278128658103</stp>
        <tr r="Y87" s="3"/>
      </tp>
      <tp t="s">
        <v>#N/A Requesting Data...2995275941</v>
        <stp/>
        <stp>BDP|9533780669854155539</stp>
        <tr r="BF247" s="3"/>
      </tp>
      <tp t="s">
        <v>#N/A N/A</v>
        <stp/>
        <stp>BDP|7131772293678226813</stp>
        <tr r="BE55" s="2"/>
      </tp>
      <tp t="s">
        <v>#N/A Requesting Data...3327228102</v>
        <stp/>
        <stp>BDP|4863728654117004894</stp>
        <tr r="BG225" s="3"/>
      </tp>
      <tp t="s">
        <v>#N/A Requesting Data...4258007453</v>
        <stp/>
        <stp>BDP|9769767301896524121</stp>
        <tr r="O201" s="3"/>
      </tp>
      <tp t="s">
        <v>#N/A N/A</v>
        <stp/>
        <stp>BDP|4187430370249408716</stp>
        <tr r="K29" s="2"/>
      </tp>
      <tp t="s">
        <v>#N/A Requesting Data...3062850944</v>
        <stp/>
        <stp>BDP|2518609883323520646</stp>
        <tr r="I323" s="3"/>
      </tp>
      <tp t="s">
        <v>#N/A Requesting Data...2042247929</v>
        <stp/>
        <stp>BDP|2033826240731053659</stp>
        <tr r="I155" s="3"/>
      </tp>
      <tp t="s">
        <v>#N/A Requesting Data...2967388719</v>
        <stp/>
        <stp>BDP|1429717826734522910</stp>
        <tr r="AH309" s="3"/>
      </tp>
      <tp t="s">
        <v>#N/A Requesting Data...3786877801</v>
        <stp/>
        <stp>BDP|1702171952728114447</stp>
        <tr r="I90" s="3"/>
      </tp>
      <tp t="s">
        <v>#N/A Requesting Data...1749083198</v>
        <stp/>
        <stp>BDP|1376776544609327242</stp>
        <tr r="BF178" s="3"/>
      </tp>
      <tp t="s">
        <v>#N/A Requesting Data...3899268124</v>
        <stp/>
        <stp>BDP|8828041923465883608</stp>
        <tr r="BH94" s="3"/>
      </tp>
      <tp t="s">
        <v>#N/A Requesting Data...1934566504</v>
        <stp/>
        <stp>BDP|3325815495299939291</stp>
        <tr r="O266" s="3"/>
      </tp>
      <tp t="s">
        <v>#N/A Requesting Data...2514748242</v>
        <stp/>
        <stp>BDP|9782270320949252952</stp>
        <tr r="BA309" s="3"/>
      </tp>
      <tp t="s">
        <v>#N/A Requesting Data...2645417468</v>
        <stp/>
        <stp>BDP|7304608942079780529</stp>
        <tr r="AJ178" s="3"/>
      </tp>
      <tp t="s">
        <v>#N/A N/A</v>
        <stp/>
        <stp>BDP|5589843411786071343</stp>
        <tr r="AV29" s="2"/>
      </tp>
      <tp t="s">
        <v>#N/A Requesting Data...3121538546</v>
        <stp/>
        <stp>BDP|1140339790026233446</stp>
        <tr r="Y41" s="4"/>
      </tp>
      <tp t="s">
        <v>#N/A Requesting Data...3839453461</v>
        <stp/>
        <stp>BDP|3238687590057687284</stp>
        <tr r="AH93" s="3"/>
      </tp>
      <tp t="s">
        <v>#N/A Requesting Data...4222688400</v>
        <stp/>
        <stp>BDP|3797696469688573266</stp>
        <tr r="BA43" s="3"/>
      </tp>
      <tp t="s">
        <v>#N/A Requesting Data...3171787895</v>
        <stp/>
        <stp>BDP|9043089814413053286</stp>
        <tr r="W17" s="4"/>
      </tp>
      <tp t="s">
        <v>#N/A Requesting Data...2612271376</v>
        <stp/>
        <stp>BDP|3395785793381860543</stp>
        <tr r="BB14" s="3"/>
      </tp>
      <tp t="s">
        <v>#N/A Requesting Data...2927873927</v>
        <stp/>
        <stp>BDP|1561833105869302940</stp>
        <tr r="BB10" s="3"/>
      </tp>
      <tp t="s">
        <v>#N/A Requesting Data...3377374937</v>
        <stp/>
        <stp>BDP|6222878197579573735</stp>
        <tr r="AS266" s="3"/>
      </tp>
      <tp t="s">
        <v>#N/A Requesting Data...2389165248</v>
        <stp/>
        <stp>BDP|9147705703172340559</stp>
        <tr r="Q57" s="3"/>
      </tp>
      <tp t="s">
        <v>#N/A Requesting Data...3918295840</v>
        <stp/>
        <stp>BDP|4958707542969832775</stp>
        <tr r="O286" s="3"/>
      </tp>
      <tp t="s">
        <v>#N/A Requesting Data...4141695490</v>
        <stp/>
        <stp>BDP|7313973907132093576</stp>
        <tr r="BG249" s="3"/>
      </tp>
      <tp t="s">
        <v>#N/A Requesting Data...1829048063</v>
        <stp/>
        <stp>BDP|2333277597544175468</stp>
        <tr r="K320" s="3"/>
      </tp>
      <tp t="s">
        <v>#N/A Requesting Data...3586299844</v>
        <stp/>
        <stp>BDP|6548899266008629981</stp>
        <tr r="BB249" s="3"/>
      </tp>
      <tp t="s">
        <v>#N/A Requesting Data...4016024033</v>
        <stp/>
        <stp>BDP|7835999614344304229</stp>
        <tr r="K125" s="3"/>
      </tp>
      <tp t="s">
        <v>#N/A Requesting Data...2717803361</v>
        <stp/>
        <stp>BDP|4362195416698910514</stp>
        <tr r="BF133" s="3"/>
      </tp>
      <tp t="s">
        <v>#N/A N/A</v>
        <stp/>
        <stp>BDP|6324579989925105782</stp>
        <tr r="BK20" s="2"/>
      </tp>
      <tp t="s">
        <v>#N/A Requesting Data...1773344770</v>
        <stp/>
        <stp>BDP|4233145076312419904</stp>
        <tr r="AH186" s="3"/>
      </tp>
      <tp t="s">
        <v>#N/A Requesting Data...3901144322</v>
        <stp/>
        <stp>BDP|4647900411785743044</stp>
        <tr r="BA23" s="3"/>
      </tp>
      <tp t="s">
        <v>#N/A Requesting Data...4259261409</v>
        <stp/>
        <stp>BDP|2790656826377462848</stp>
        <tr r="K27" s="3"/>
      </tp>
      <tp t="s">
        <v>#N/A Requesting Data...2725184997</v>
        <stp/>
        <stp>BDP|6855712291926491783</stp>
        <tr r="AA71" s="3"/>
      </tp>
      <tp t="s">
        <v>#N/A Requesting Data...3430733760</v>
        <stp/>
        <stp>BDP|8286144091328792142</stp>
        <tr r="BH291" s="3"/>
      </tp>
      <tp t="s">
        <v>#N/A Requesting Data...2669758078</v>
        <stp/>
        <stp>BDP|7861857489876367838</stp>
        <tr r="BI238" s="3"/>
      </tp>
      <tp t="s">
        <v>#N/A Requesting Data...2448175764</v>
        <stp/>
        <stp>BDP|9758362867483724656</stp>
        <tr r="BF238" s="3"/>
      </tp>
      <tp t="s">
        <v>#N/A Requesting Data...2191938220</v>
        <stp/>
        <stp>BDP|7173982946706935526</stp>
        <tr r="Y117" s="3"/>
      </tp>
      <tp t="s">
        <v>#N/A Requesting Data...3139384650</v>
        <stp/>
        <stp>BDP|4105395808809699722</stp>
        <tr r="Y251" s="3"/>
      </tp>
      <tp t="s">
        <v>#N/A Requesting Data...3506557265</v>
        <stp/>
        <stp>BDP|2146363086740596012</stp>
        <tr r="AZ98" s="3"/>
      </tp>
      <tp t="s">
        <v>#N/A Requesting Data...2116049028</v>
        <stp/>
        <stp>BDP|3680291121749842335</stp>
        <tr r="Y28" s="4"/>
      </tp>
      <tp t="s">
        <v>#N/A Requesting Data...3805300809</v>
        <stp/>
        <stp>BDP|2804648445440519992</stp>
        <tr r="BF309" s="3"/>
      </tp>
      <tp t="s">
        <v>#N/A Requesting Data...3178629249</v>
        <stp/>
        <stp>BDP|4096766482585003715</stp>
        <tr r="BI286" s="3"/>
      </tp>
      <tp t="s">
        <v>#N/A Requesting Data...2355150909</v>
        <stp/>
        <stp>BDP|2163818815430242221</stp>
        <tr r="Y37" s="4"/>
      </tp>
      <tp t="s">
        <v>#N/A N/A</v>
        <stp/>
        <stp>BDP|9063217670330574516</stp>
        <tr r="AV90" s="2"/>
      </tp>
      <tp t="s">
        <v>#N/A Requesting Data...3983522765</v>
        <stp/>
        <stp>BDP|1984431338246305949</stp>
        <tr r="O310" s="3"/>
      </tp>
      <tp t="s">
        <v>#N/A Requesting Data...3459038726</v>
        <stp/>
        <stp>BDP|6034141088992901409</stp>
        <tr r="Q50" s="3"/>
      </tp>
      <tp t="s">
        <v>#N/A Requesting Data...2099576240</v>
        <stp/>
        <stp>BDP|5732314995042034466</stp>
        <tr r="O114" s="3"/>
      </tp>
      <tp t="s">
        <v>#N/A N/A</v>
        <stp/>
        <stp>BDP|9668061372291285658</stp>
        <tr r="BM17" s="2"/>
      </tp>
      <tp t="s">
        <v>#N/A Requesting Data...3480121448</v>
        <stp/>
        <stp>BDP|2231766497237408223</stp>
        <tr r="BB176" s="3"/>
      </tp>
      <tp t="s">
        <v>#N/A Requesting Data...2089419290</v>
        <stp/>
        <stp>BDP|7308763556624649806</stp>
        <tr r="BH187" s="3"/>
      </tp>
      <tp t="s">
        <v>#N/A Requesting Data...4141116508</v>
        <stp/>
        <stp>BDP|8625174363890592621</stp>
        <tr r="BH328" s="3"/>
      </tp>
      <tp t="s">
        <v>#N/A Requesting Data...3397571973</v>
        <stp/>
        <stp>BDP|2103973649503070658</stp>
        <tr r="K346" s="3"/>
      </tp>
      <tp t="s">
        <v>#N/A Requesting Data...4067397397</v>
        <stp/>
        <stp>BDP|6172199072338919295</stp>
        <tr r="BF104" s="3"/>
      </tp>
      <tp t="s">
        <v>#N/A N/A</v>
        <stp/>
        <stp>BDP|1934381098818552965</stp>
        <tr r="AF68" s="2"/>
      </tp>
      <tp t="s">
        <v>#N/A Requesting Data...3353949318</v>
        <stp/>
        <stp>BDP|7800561185383291331</stp>
        <tr r="AS261" s="3"/>
      </tp>
      <tp t="s">
        <v>#N/A Requesting Data...4151721382</v>
        <stp/>
        <stp>BDP|1317294922233107838</stp>
        <tr r="BF327" s="3"/>
      </tp>
      <tp t="s">
        <v>#N/A Requesting Data...2670736988</v>
        <stp/>
        <stp>BDP|5911806178379878932</stp>
        <tr r="Q94" s="3"/>
      </tp>
      <tp t="s">
        <v>#N/A Requesting Data...2591480892</v>
        <stp/>
        <stp>BDP|7548733347206270893</stp>
        <tr r="AH20" s="4"/>
      </tp>
      <tp t="s">
        <v>#N/A Requesting Data...3343595296</v>
        <stp/>
        <stp>BDP|2409618985014807228</stp>
        <tr r="AZ195" s="3"/>
      </tp>
      <tp t="s">
        <v>#N/A N/A</v>
        <stp/>
        <stp>BDP|4012741952314854845</stp>
        <tr r="BE38" s="2"/>
      </tp>
      <tp t="s">
        <v>#N/A Requesting Data...3284874586</v>
        <stp/>
        <stp>BDP|7728286407546258902</stp>
        <tr r="G49" s="4"/>
      </tp>
      <tp t="s">
        <v>#N/A Requesting Data...3260802607</v>
        <stp/>
        <stp>BDP|9752933011838849363</stp>
        <tr r="AZ97" s="3"/>
      </tp>
      <tp t="s">
        <v>#N/A Requesting Data...2882785717</v>
        <stp/>
        <stp>BDP|1475628587595829023</stp>
        <tr r="BI240" s="3"/>
      </tp>
      <tp t="s">
        <v>#N/A Requesting Data...4061335876</v>
        <stp/>
        <stp>BDP|2538985114188157838</stp>
        <tr r="BI117" s="3"/>
      </tp>
      <tp t="s">
        <v>#N/A Requesting Data...3989900938</v>
        <stp/>
        <stp>BDP|5920068674328222021</stp>
        <tr r="AS108" s="3"/>
      </tp>
      <tp t="s">
        <v>#N/A N/A</v>
        <stp/>
        <stp>BDP|5200512491450183383</stp>
        <tr r="AO20" s="2"/>
      </tp>
      <tp t="s">
        <v>#N/A Requesting Data...2886102192</v>
        <stp/>
        <stp>BDP|3618966010820833131</stp>
        <tr r="AH246" s="3"/>
      </tp>
      <tp t="s">
        <v>#N/A Requesting Data...3103155879</v>
        <stp/>
        <stp>BDP|6975234941738314238</stp>
        <tr r="AH297" s="3"/>
      </tp>
      <tp t="s">
        <v>#N/A Requesting Data...2352500388</v>
        <stp/>
        <stp>BDP|1291795295220714523</stp>
        <tr r="K21" s="3"/>
      </tp>
      <tp t="s">
        <v>#N/A Requesting Data...4113373804</v>
        <stp/>
        <stp>BDP|4611734323909551287</stp>
        <tr r="AS314" s="3"/>
      </tp>
      <tp t="s">
        <v>#N/A N/A</v>
        <stp/>
        <stp>BDP|1609669443259089083</stp>
        <tr r="BN49" s="2"/>
      </tp>
      <tp t="s">
        <v>#N/A Requesting Data...3577568418</v>
        <stp/>
        <stp>BDP|4408817561194806476</stp>
        <tr r="BI132" s="3"/>
      </tp>
      <tp t="s">
        <v>#N/A Requesting Data...2381324524</v>
        <stp/>
        <stp>BDP|5770279104868871572</stp>
        <tr r="BA115" s="3"/>
      </tp>
      <tp t="s">
        <v>#N/A Requesting Data...2869528792</v>
        <stp/>
        <stp>BDP|2272317092323361196</stp>
        <tr r="AA186" s="3"/>
      </tp>
      <tp t="s">
        <v>#N/A N/A</v>
        <stp/>
        <stp>BDP|7164555102850811858</stp>
        <tr r="AD26" s="2"/>
      </tp>
      <tp t="s">
        <v>#N/A Requesting Data...2786723849</v>
        <stp/>
        <stp>BDP|9125640561055971661</stp>
        <tr r="Q58" s="3"/>
      </tp>
      <tp t="s">
        <v>#N/A Requesting Data...4065940624</v>
        <stp/>
        <stp>BDP|9842416836080524414</stp>
        <tr r="AF51" s="4"/>
      </tp>
      <tp t="s">
        <v>#N/A Requesting Data...3706841426</v>
        <stp/>
        <stp>BDP|8930137033500221005</stp>
        <tr r="I54" s="3"/>
      </tp>
      <tp t="s">
        <v>#N/A Requesting Data...3788367177</v>
        <stp/>
        <stp>BDP|9071936900268800205</stp>
        <tr r="BA85" s="3"/>
      </tp>
      <tp t="s">
        <v>#N/A Requesting Data...2630428373</v>
        <stp/>
        <stp>BDP|8948059215573444055</stp>
        <tr r="AH156" s="3"/>
      </tp>
      <tp t="s">
        <v>#N/A Requesting Data...3500307308</v>
        <stp/>
        <stp>BDP|4180112492437814124</stp>
        <tr r="BI296" s="3"/>
      </tp>
      <tp t="s">
        <v>#N/A Requesting Data...3650350499</v>
        <stp/>
        <stp>BDP|5448736249529392555</stp>
        <tr r="I52" s="3"/>
      </tp>
      <tp t="s">
        <v>#N/A Requesting Data...2466173357</v>
        <stp/>
        <stp>BDP|9098160896403844804</stp>
        <tr r="BF341" s="3"/>
      </tp>
      <tp t="s">
        <v>#N/A Requesting Data...3024700712</v>
        <stp/>
        <stp>BDP|1893620541869296015</stp>
        <tr r="AH101" s="3"/>
      </tp>
      <tp t="s">
        <v>#N/A Requesting Data...3702613810</v>
        <stp/>
        <stp>BDP|5986312016449411422</stp>
        <tr r="AQ324" s="3"/>
      </tp>
      <tp t="s">
        <v>#N/A Requesting Data...3463223411</v>
        <stp/>
        <stp>BDP|3891649314196354839</stp>
        <tr r="I289" s="3"/>
      </tp>
      <tp t="s">
        <v>#N/A Requesting Data...3430093709</v>
        <stp/>
        <stp>BDP|4013962669245390444</stp>
        <tr r="BG325" s="3"/>
      </tp>
      <tp t="s">
        <v>#N/A Requesting Data...3930484160</v>
        <stp/>
        <stp>BDP|9293319933881077280</stp>
        <tr r="BA25" s="3"/>
      </tp>
      <tp t="s">
        <v>#N/A Requesting Data...3947965885</v>
        <stp/>
        <stp>BDP|9098193302321428374</stp>
        <tr r="Q108" s="3"/>
      </tp>
      <tp t="s">
        <v>#N/A Requesting Data...2831935164</v>
        <stp/>
        <stp>BDP|3231137048074738868</stp>
        <tr r="AQ231" s="3"/>
      </tp>
      <tp t="s">
        <v>#N/A Requesting Data...3275245755</v>
        <stp/>
        <stp>BDP|5833972608295797385</stp>
        <tr r="Q249" s="3"/>
      </tp>
      <tp t="s">
        <v>#N/A Requesting Data...4133275030</v>
        <stp/>
        <stp>BDP|8948589268147776665</stp>
        <tr r="BB258" s="3"/>
      </tp>
      <tp t="s">
        <v>#N/A N/A</v>
        <stp/>
        <stp>BDP|5181269389661042462</stp>
        <tr r="BE88" s="2"/>
      </tp>
      <tp t="s">
        <v>#N/A Requesting Data...2721926107</v>
        <stp/>
        <stp>BDP|5145822309156554173</stp>
        <tr r="F124" s="3"/>
      </tp>
      <tp t="s">
        <v>#N/A Requesting Data...3243425684</v>
        <stp/>
        <stp>BDP|7741391172799235061</stp>
        <tr r="BI321" s="3"/>
      </tp>
      <tp t="s">
        <v>#N/A Requesting Data...2547594162</v>
        <stp/>
        <stp>BDP|7029466295687349786</stp>
        <tr r="AQ164" s="3"/>
      </tp>
      <tp t="s">
        <v>#N/A Requesting Data...3255946017</v>
        <stp/>
        <stp>BDP|7574985905512200625</stp>
        <tr r="O168" s="3"/>
      </tp>
      <tp t="s">
        <v>#N/A Requesting Data...2366880681</v>
        <stp/>
        <stp>BDP|1884888678497931395</stp>
        <tr r="AS212" s="3"/>
      </tp>
      <tp t="s">
        <v>#N/A N/A</v>
        <stp/>
        <stp>BDP|7665095296643316722</stp>
        <tr r="BM21" s="2"/>
      </tp>
      <tp t="s">
        <v>#N/A N/A</v>
        <stp/>
        <stp>BDP|1790393597899863892</stp>
        <tr r="V66" s="2"/>
      </tp>
      <tp t="s">
        <v>#N/A Requesting Data...4284523246</v>
        <stp/>
        <stp>BDP|3516893451225716138</stp>
        <tr r="AA245" s="3"/>
      </tp>
      <tp t="s">
        <v>#N/A Requesting Data...3244898651</v>
        <stp/>
        <stp>BDP|7475189892036100366</stp>
        <tr r="BH185" s="3"/>
      </tp>
      <tp t="s">
        <v>#N/A Requesting Data...3339465654</v>
        <stp/>
        <stp>BDP|6066411198804806584</stp>
        <tr r="Y346" s="3"/>
      </tp>
      <tp t="s">
        <v>#N/A N/A</v>
        <stp/>
        <stp>BDP|7358181955210350949</stp>
        <tr r="AF46" s="2"/>
      </tp>
      <tp t="s">
        <v>#N/A N/A</v>
        <stp/>
        <stp>BDP|8517561550690386294</stp>
        <tr r="K90" s="2"/>
      </tp>
      <tp t="s">
        <v>#N/A Requesting Data...2642189994</v>
        <stp/>
        <stp>BDP|9161961191380789381</stp>
        <tr r="Q183" s="3"/>
      </tp>
      <tp t="s">
        <v>#N/A N/A</v>
        <stp/>
        <stp>BDP|6062540788157320669</stp>
        <tr r="BK28" s="2"/>
      </tp>
      <tp t="s">
        <v>#N/A Requesting Data...3159187253</v>
        <stp/>
        <stp>BDP|8898504041592516156</stp>
        <tr r="AX38" s="4"/>
      </tp>
      <tp t="s">
        <v>#N/A Requesting Data...2505275664</v>
        <stp/>
        <stp>BDP|6497180930747469919</stp>
        <tr r="O162" s="3"/>
      </tp>
      <tp t="s">
        <v>#N/A Requesting Data...4257697395</v>
        <stp/>
        <stp>BDP|3995029727513145843</stp>
        <tr r="I147" s="3"/>
      </tp>
      <tp t="s">
        <v>#N/A Requesting Data...2996095004</v>
        <stp/>
        <stp>BDP|4449602527242950833</stp>
        <tr r="BG348" s="3"/>
      </tp>
      <tp t="s">
        <v>#N/A Requesting Data...2564046149</v>
        <stp/>
        <stp>BDP|8331823138321533855</stp>
        <tr r="AA127" s="3"/>
      </tp>
      <tp t="s">
        <v>#N/A Requesting Data...3788047355</v>
        <stp/>
        <stp>BDP|4292201003604081883</stp>
        <tr r="BG16" s="3"/>
      </tp>
      <tp t="s">
        <v>#N/A Requesting Data...2210935518</v>
        <stp/>
        <stp>BDP|3450351702153352994</stp>
        <tr r="F235" s="3"/>
      </tp>
      <tp t="s">
        <v>#N/A Requesting Data...3273593335</v>
        <stp/>
        <stp>BDP|8135783174491103350</stp>
        <tr r="BB31" s="3"/>
      </tp>
      <tp t="s">
        <v>#N/A N/A</v>
        <stp/>
        <stp>BDP|8543214978862585504</stp>
        <tr r="AO45" s="2"/>
      </tp>
      <tp t="s">
        <v>#N/A Requesting Data...2206927747</v>
        <stp/>
        <stp>BDP|3653221243556862960</stp>
        <tr r="O92" s="3"/>
      </tp>
      <tp t="s">
        <v>#N/A Requesting Data...3108849615</v>
        <stp/>
        <stp>BDP|8825951964664247959</stp>
        <tr r="AH34" s="3"/>
      </tp>
      <tp t="s">
        <v>#N/A Requesting Data...4197818583</v>
        <stp/>
        <stp>BDP|8247598982298605715</stp>
        <tr r="AQ180" s="3"/>
      </tp>
      <tp t="s">
        <v>#N/A Requesting Data...3401689189</v>
        <stp/>
        <stp>BDP|4638876520982779684</stp>
        <tr r="AS147" s="3"/>
      </tp>
      <tp t="s">
        <v>#N/A N/A</v>
        <stp/>
        <stp>BDP|4321242398467821298</stp>
        <tr r="BG52" s="2"/>
      </tp>
      <tp t="s">
        <v>#N/A Requesting Data...2721032737</v>
        <stp/>
        <stp>BDP|8927958201578298315</stp>
        <tr r="AZ158" s="3"/>
      </tp>
      <tp t="s">
        <v>#N/A Requesting Data...3473249038</v>
        <stp/>
        <stp>BDP|2400990373761136716</stp>
        <tr r="F147" s="3"/>
      </tp>
      <tp t="s">
        <v>#N/A Requesting Data...2310736351</v>
        <stp/>
        <stp>BDP|8012227779111129647</stp>
        <tr r="K218" s="3"/>
      </tp>
      <tp t="s">
        <v>#N/A Requesting Data...3147161101</v>
        <stp/>
        <stp>BDP|9042737049309360972</stp>
        <tr r="O115" s="3"/>
      </tp>
      <tp t="s">
        <v>#N/A Requesting Data...3289450965</v>
        <stp/>
        <stp>BDP|9019757716954869140</stp>
        <tr r="BG2" s="2"/>
        <tr r="BB2" s="3"/>
      </tp>
      <tp t="s">
        <v>#N/A Requesting Data...2477433515</v>
        <stp/>
        <stp>BDP|7606107451298198195</stp>
        <tr r="AQ14" s="4"/>
      </tp>
      <tp t="s">
        <v>#N/A Requesting Data...3308825690</v>
        <stp/>
        <stp>BDP|5414999952992918199</stp>
        <tr r="F43" s="3"/>
      </tp>
      <tp t="s">
        <v>#N/A Requesting Data...3916409521</v>
        <stp/>
        <stp>BDP|7446593035833736804</stp>
        <tr r="K260" s="3"/>
      </tp>
      <tp t="s">
        <v>#N/A Requesting Data...2596668009</v>
        <stp/>
        <stp>BDP|9181705270485748695</stp>
        <tr r="AJ335" s="3"/>
      </tp>
      <tp t="s">
        <v>#N/A Requesting Data...3468008463</v>
        <stp/>
        <stp>BDP|4961851471297183635</stp>
        <tr r="AH47" s="3"/>
      </tp>
      <tp t="s">
        <v>#N/A Requesting Data...4246947348</v>
        <stp/>
        <stp>BDP|7633352502196700898</stp>
        <tr r="AA307" s="3"/>
      </tp>
      <tp t="s">
        <v>#N/A Requesting Data...2544419108</v>
        <stp/>
        <stp>BDP|5486257818284139872</stp>
        <tr r="AS16" s="3"/>
      </tp>
      <tp t="s">
        <v>#N/A N/A</v>
        <stp/>
        <stp>BDP|2764702233954237891</stp>
        <tr r="BG94" s="2"/>
      </tp>
      <tp t="s">
        <v>#N/A Requesting Data...3058902663</v>
        <stp/>
        <stp>BDP|9881806715769157339</stp>
        <tr r="I309" s="3"/>
      </tp>
      <tp t="s">
        <v>#N/A Requesting Data...3317573911</v>
        <stp/>
        <stp>BDP|3024127199128586919</stp>
        <tr r="AQ346" s="3"/>
      </tp>
      <tp t="s">
        <v>#N/A Requesting Data...2599839311</v>
        <stp/>
        <stp>BDP|4336294487957182332</stp>
        <tr r="AJ290" s="3"/>
      </tp>
      <tp t="s">
        <v>#N/A Requesting Data...3923869293</v>
        <stp/>
        <stp>BDP|4516654124533860931</stp>
        <tr r="BH244" s="3"/>
      </tp>
      <tp t="s">
        <v>#N/A Requesting Data...3226736290</v>
        <stp/>
        <stp>BDP|2802779084257250069</stp>
        <tr r="BH136" s="3"/>
      </tp>
      <tp t="s">
        <v>#N/A Requesting Data...2658170485</v>
        <stp/>
        <stp>BDP|7644486891767106713</stp>
        <tr r="AO5" s="4"/>
      </tp>
      <tp t="s">
        <v>#N/A Requesting Data...2372714019</v>
        <stp/>
        <stp>BDP|9030284642255058056</stp>
        <tr r="D41" s="4"/>
      </tp>
      <tp t="s">
        <v>#N/A Requesting Data...3099441009</v>
        <stp/>
        <stp>BDP|8915000929290882042</stp>
        <tr r="I224" s="3"/>
      </tp>
      <tp t="s">
        <v>#N/A Requesting Data...4059211015</v>
        <stp/>
        <stp>BDP|7976186274073919809</stp>
        <tr r="AQ105" s="3"/>
      </tp>
      <tp t="s">
        <v>#N/A N/A</v>
        <stp/>
        <stp>BDP|3140863458140144429</stp>
        <tr r="BF39" s="2"/>
      </tp>
      <tp t="s">
        <v>#N/A Requesting Data...2464789013</v>
        <stp/>
        <stp>BDP|4595087320325310927</stp>
        <tr r="AF17" s="4"/>
      </tp>
      <tp t="s">
        <v>#N/A Requesting Data...4246150426</v>
        <stp/>
        <stp>BDP|4820516829639986051</stp>
        <tr r="BB222" s="3"/>
      </tp>
      <tp t="s">
        <v>#N/A Requesting Data...2791954257</v>
        <stp/>
        <stp>BDP|2073002459844548902</stp>
        <tr r="I218" s="3"/>
      </tp>
      <tp t="s">
        <v>#N/A Requesting Data...3547706384</v>
        <stp/>
        <stp>BDP|6003018986634908023</stp>
        <tr r="O118" s="3"/>
      </tp>
      <tp t="s">
        <v>#N/A N/A</v>
        <stp/>
        <stp>BDP|4948542996054298652</stp>
        <tr r="AM12" s="2"/>
      </tp>
      <tp t="s">
        <v>#N/A Requesting Data...3331164200</v>
        <stp/>
        <stp>BDP|3506591825306566805</stp>
        <tr r="AQ69" s="3"/>
      </tp>
      <tp t="s">
        <v>#N/A N/A</v>
        <stp/>
        <stp>BDP|3701761775740001984</stp>
        <tr r="BN33" s="2"/>
      </tp>
      <tp t="s">
        <v>#N/A Requesting Data...4097259980</v>
        <stp/>
        <stp>BDP|3043371335608969170</stp>
        <tr r="AS206" s="3"/>
      </tp>
      <tp t="s">
        <v>#N/A N/A</v>
        <stp/>
        <stp>BDP|4948257652018053120</stp>
        <tr r="K73" s="2"/>
      </tp>
      <tp t="s">
        <v>#N/A N/A</v>
        <stp/>
        <stp>BDP|9004737389128295453</stp>
        <tr r="AO80" s="2"/>
      </tp>
      <tp t="s">
        <v>#N/A Requesting Data...3832236065</v>
        <stp/>
        <stp>BDP|1612759830606683989</stp>
        <tr r="F277" s="3"/>
      </tp>
      <tp t="s">
        <v>#N/A Requesting Data...3416788553</v>
        <stp/>
        <stp>BDP|5072539338279655007</stp>
        <tr r="F73" s="3"/>
      </tp>
      <tp t="s">
        <v>#N/A Requesting Data...3109820205</v>
        <stp/>
        <stp>BDP|2561891108479011993</stp>
        <tr r="K331" s="3"/>
      </tp>
      <tp t="s">
        <v>#N/A Requesting Data...2792444831</v>
        <stp/>
        <stp>BDP|8174252677371833664</stp>
        <tr r="Q9" s="3"/>
      </tp>
      <tp t="s">
        <v>#N/A Requesting Data...3227848135</v>
        <stp/>
        <stp>BDP|6126874579124031725</stp>
        <tr r="AA49" s="3"/>
      </tp>
      <tp t="s">
        <v>#N/A Requesting Data...3094183133</v>
        <stp/>
        <stp>BDP|8973015540604646231</stp>
        <tr r="BB50" s="3"/>
      </tp>
      <tp t="s">
        <v>#N/A Requesting Data...2475761658</v>
        <stp/>
        <stp>BDP|1761596711369219603</stp>
        <tr r="I79" s="3"/>
      </tp>
      <tp t="s">
        <v>#N/A Requesting Data...3583160383</v>
        <stp/>
        <stp>BDP|8403986963469638443</stp>
        <tr r="Q268" s="3"/>
      </tp>
      <tp t="s">
        <v>#N/A N/A</v>
        <stp/>
        <stp>BDP|2075383206833672859</stp>
        <tr r="AO81" s="2"/>
      </tp>
      <tp t="s">
        <v>#N/A N/A</v>
        <stp/>
        <stp>BDP|3474290057716253850</stp>
        <tr r="AQ6" s="4"/>
      </tp>
      <tp t="s">
        <v>#N/A Requesting Data...3474428596</v>
        <stp/>
        <stp>BDP|9285749494715957867</stp>
        <tr r="AA121" s="3"/>
      </tp>
      <tp t="s">
        <v>#N/A Requesting Data...3397618179</v>
        <stp/>
        <stp>BDP|1476409719507767984</stp>
        <tr r="AJ332" s="3"/>
      </tp>
      <tp t="s">
        <v>#N/A Requesting Data...2789388824</v>
        <stp/>
        <stp>BDP|8662960954918036665</stp>
        <tr r="K88" s="3"/>
      </tp>
      <tp t="s">
        <v>#N/A Requesting Data...4217240162</v>
        <stp/>
        <stp>BDP|1442233489244987556</stp>
        <tr r="W39" s="4"/>
      </tp>
      <tp t="s">
        <v>#N/A Requesting Data...3291687174</v>
        <stp/>
        <stp>BDP|9205070418442779088</stp>
        <tr r="BB20" s="3"/>
      </tp>
      <tp t="s">
        <v>#N/A Requesting Data...2802640479</v>
        <stp/>
        <stp>BDP|1421022239108993045</stp>
        <tr r="AQ297" s="3"/>
      </tp>
      <tp t="s">
        <v>#N/A Requesting Data...2625883998</v>
        <stp/>
        <stp>BDP|9388605315162757634</stp>
        <tr r="I254" s="3"/>
      </tp>
      <tp t="s">
        <v>#N/A Requesting Data...3715542449</v>
        <stp/>
        <stp>BDP|2553258104962381850</stp>
        <tr r="AH50" s="4"/>
      </tp>
      <tp t="s">
        <v>#N/A Requesting Data...3352550641</v>
        <stp/>
        <stp>BDP|3550843777833058547</stp>
        <tr r="Q271" s="3"/>
      </tp>
      <tp t="s">
        <v>#N/A Requesting Data...3244829663</v>
        <stp/>
        <stp>BDP|6787819659880405195</stp>
        <tr r="I293" s="3"/>
      </tp>
      <tp t="s">
        <v>#N/A Requesting Data...3190512461</v>
        <stp/>
        <stp>BDP|6338054483982729600</stp>
        <tr r="BA227" s="3"/>
      </tp>
      <tp t="s">
        <v>#N/A Requesting Data...3297199404</v>
        <stp/>
        <stp>BDP|7222138295183211646</stp>
        <tr r="AH191" s="3"/>
      </tp>
      <tp t="s">
        <v>#N/A Requesting Data...3729549184</v>
        <stp/>
        <stp>BDP|4508344366002000958</stp>
        <tr r="AQ288" s="3"/>
      </tp>
      <tp t="s">
        <v>#N/A Requesting Data...3885630291</v>
        <stp/>
        <stp>BDP|5901755228943127971</stp>
        <tr r="K174" s="3"/>
      </tp>
      <tp t="s">
        <v>#N/A Requesting Data...3578740118</v>
        <stp/>
        <stp>BDP|8720838360185287942</stp>
        <tr r="Y128" s="3"/>
      </tp>
      <tp t="s">
        <v>#N/A Requesting Data...3144046447</v>
        <stp/>
        <stp>BDP|9758835037151562946</stp>
        <tr r="BH275" s="3"/>
      </tp>
      <tp t="s">
        <v>#N/A Requesting Data...3913992788</v>
        <stp/>
        <stp>BDP|3839121042914984833</stp>
        <tr r="I324" s="3"/>
      </tp>
      <tp t="s">
        <v>#N/A Requesting Data...3461298848</v>
        <stp/>
        <stp>BDP|4826151498706015076</stp>
        <tr r="K224" s="3"/>
      </tp>
      <tp t="s">
        <v>#N/A Requesting Data...3867952736</v>
        <stp/>
        <stp>BDP|1867990151226611140</stp>
        <tr r="AJ305" s="3"/>
      </tp>
      <tp t="s">
        <v>#N/A Requesting Data...3033250014</v>
        <stp/>
        <stp>BDP|4454663905358595009</stp>
        <tr r="BA209" s="3"/>
      </tp>
      <tp t="s">
        <v>#N/A Requesting Data...3732834002</v>
        <stp/>
        <stp>BDP|3933317733101027893</stp>
        <tr r="AS230" s="3"/>
      </tp>
      <tp t="s">
        <v>#N/A Requesting Data...2771609780</v>
        <stp/>
        <stp>BDP|8068947805308253313</stp>
        <tr r="AQ266" s="3"/>
      </tp>
      <tp t="s">
        <v>#N/A Requesting Data...3687393469</v>
        <stp/>
        <stp>BDP|2843231368418671470</stp>
        <tr r="BF102" s="3"/>
      </tp>
      <tp t="s">
        <v>#N/A Requesting Data...3268303681</v>
        <stp/>
        <stp>BDP|5429063251188762260</stp>
        <tr r="AA201" s="3"/>
      </tp>
      <tp t="s">
        <v>#N/A Requesting Data...3183442454</v>
        <stp/>
        <stp>BDP|3217877524902728155</stp>
        <tr r="AA288" s="3"/>
      </tp>
      <tp t="s">
        <v>#N/A Requesting Data...2873036196</v>
        <stp/>
        <stp>BDP|9401502808121984760</stp>
        <tr r="O104" s="3"/>
      </tp>
      <tp t="s">
        <v>#N/A Requesting Data...3669619160</v>
        <stp/>
        <stp>BDP|1035505382962820490</stp>
        <tr r="F300" s="3"/>
      </tp>
      <tp t="s">
        <v>#N/A Requesting Data...3374825963</v>
        <stp/>
        <stp>BDP|7392212696981483737</stp>
        <tr r="BH92" s="3"/>
      </tp>
      <tp t="s">
        <v>#N/A N/A</v>
        <stp/>
        <stp>BDP|6613704086732475179</stp>
        <tr r="AX39" s="2"/>
      </tp>
      <tp t="s">
        <v>#N/A Requesting Data...2933076659</v>
        <stp/>
        <stp>BDP|8542661148470808000</stp>
        <tr r="AJ13" s="3"/>
      </tp>
      <tp t="s">
        <v>#N/A Requesting Data...4247663632</v>
        <stp/>
        <stp>BDP|1820389749944217883</stp>
        <tr r="W59" s="4"/>
      </tp>
      <tp t="s">
        <v>#N/A Requesting Data...3457451703</v>
        <stp/>
        <stp>BDP|2369202693143169020</stp>
        <tr r="Q129" s="3"/>
      </tp>
      <tp t="s">
        <v>#N/A Requesting Data...3111555159</v>
        <stp/>
        <stp>BDP|9382352716165211418</stp>
        <tr r="I252" s="3"/>
      </tp>
      <tp t="s">
        <v>#N/A N/A</v>
        <stp/>
        <stp>BDP|4672650795218296979</stp>
        <tr r="BN26" s="2"/>
      </tp>
      <tp t="s">
        <v>#N/A Requesting Data...4123815969</v>
        <stp/>
        <stp>BDP|2884962754175999107</stp>
        <tr r="Y328" s="3"/>
      </tp>
      <tp t="s">
        <v>#N/A N/A</v>
        <stp/>
        <stp>BDP|2747854556566310340</stp>
        <tr r="BG36" s="2"/>
      </tp>
      <tp t="s">
        <v>#N/A Requesting Data...3022390505</v>
        <stp/>
        <stp>BDP|9885646003812401782</stp>
        <tr r="AZ180" s="3"/>
      </tp>
      <tp t="s">
        <v>#N/A Requesting Data...3729568303</v>
        <stp/>
        <stp>BDP|8570608187829778567</stp>
        <tr r="AO10" s="4"/>
      </tp>
      <tp t="s">
        <v>#N/A Requesting Data...3330962674</v>
        <stp/>
        <stp>BDP|5516084430568613487</stp>
        <tr r="BA253" s="3"/>
      </tp>
      <tp t="s">
        <v>#N/A Requesting Data...3846965868</v>
        <stp/>
        <stp>BDP|5338936106447204148</stp>
        <tr r="O91" s="3"/>
      </tp>
      <tp t="s">
        <v>#N/A Requesting Data...4242092403</v>
        <stp/>
        <stp>BDP|4930498636568407126</stp>
        <tr r="BE17" s="2"/>
        <tr r="AX9" s="4"/>
      </tp>
      <tp t="s">
        <v>#N/A Requesting Data...2885636351</v>
        <stp/>
        <stp>BDP|3295389715829619291</stp>
        <tr r="AS296" s="3"/>
      </tp>
      <tp t="s">
        <v>#N/A Requesting Data...3471534026</v>
        <stp/>
        <stp>BDP|1807635893081860508</stp>
        <tr r="BG52" s="3"/>
      </tp>
      <tp t="s">
        <v>#N/A Requesting Data...3490760242</v>
        <stp/>
        <stp>BDP|1499440173170456876</stp>
        <tr r="BI227" s="3"/>
      </tp>
      <tp t="s">
        <v>#N/A Requesting Data...4174719180</v>
        <stp/>
        <stp>BDP|6536973242815030401</stp>
        <tr r="K319" s="3"/>
      </tp>
      <tp t="s">
        <v>#N/A Requesting Data...3228350785</v>
        <stp/>
        <stp>BDP|4434107695946527045</stp>
        <tr r="AQ201" s="3"/>
      </tp>
      <tp t="s">
        <v>#N/A Requesting Data...3008082311</v>
        <stp/>
        <stp>BDP|5766917747361161309</stp>
        <tr r="I204" s="3"/>
      </tp>
      <tp t="s">
        <v>#N/A N/A</v>
        <stp/>
        <stp>BDP|4703936070574089446</stp>
        <tr r="BK96" s="2"/>
      </tp>
      <tp t="s">
        <v>#N/A Requesting Data...2786295713</v>
        <stp/>
        <stp>BDP|9120299267486913163</stp>
        <tr r="AA107" s="3"/>
      </tp>
      <tp t="s">
        <v>#N/A Requesting Data...3587329644</v>
        <stp/>
        <stp>BDP|8301138414475166756</stp>
        <tr r="BB8" s="3"/>
      </tp>
      <tp t="s">
        <v>#N/A Requesting Data...3289660842</v>
        <stp/>
        <stp>BDP|7840710299503184016</stp>
        <tr r="AS175" s="3"/>
      </tp>
      <tp t="s">
        <v>#N/A Requesting Data...3147348140</v>
        <stp/>
        <stp>BDP|1551862120310713145</stp>
        <tr r="BB283" s="3"/>
      </tp>
      <tp t="s">
        <v>#N/A Requesting Data...4027519111</v>
        <stp/>
        <stp>BDP|3980044791454519499</stp>
        <tr r="AH158" s="3"/>
      </tp>
      <tp t="s">
        <v>#N/A Requesting Data...3209890021</v>
        <stp/>
        <stp>BDP|6076533672366530841</stp>
        <tr r="BH271" s="3"/>
      </tp>
      <tp t="s">
        <v>#N/A Requesting Data...4125555329</v>
        <stp/>
        <stp>BDP|5263855610603162566</stp>
        <tr r="O14" s="4"/>
      </tp>
      <tp t="s">
        <v>#N/A Requesting Data...3212875858</v>
        <stp/>
        <stp>BDP|2351835052936392315</stp>
        <tr r="O32" s="3"/>
      </tp>
      <tp t="s">
        <v>#N/A Requesting Data...3561125022</v>
        <stp/>
        <stp>BDP|1380760490922000755</stp>
        <tr r="AH312" s="3"/>
      </tp>
      <tp t="s">
        <v>#N/A Requesting Data...3529764878</v>
        <stp/>
        <stp>BDP|6312125362078450375</stp>
        <tr r="M4" s="4"/>
      </tp>
      <tp t="s">
        <v>#N/A Requesting Data...3864967333</v>
        <stp/>
        <stp>BDP|6611966347424552521</stp>
        <tr r="AH342" s="3"/>
      </tp>
      <tp t="s">
        <v>#N/A Requesting Data...2855849627</v>
        <stp/>
        <stp>BDP|2805562115275902926</stp>
        <tr r="O119" s="3"/>
      </tp>
      <tp t="s">
        <v>#N/A Requesting Data...2997665200</v>
        <stp/>
        <stp>BDP|7462067512478671464</stp>
        <tr r="AZ139" s="3"/>
      </tp>
      <tp t="s">
        <v>#N/A Requesting Data...3593580698</v>
        <stp/>
        <stp>BDP|8313217376222795524</stp>
        <tr r="O331" s="3"/>
      </tp>
      <tp t="s">
        <v>#N/A N/A</v>
        <stp/>
        <stp>BDP|3339975492749325048</stp>
        <tr r="BN65" s="2"/>
      </tp>
      <tp t="s">
        <v>#N/A Requesting Data...4173508496</v>
        <stp/>
        <stp>BDP|3634509612059068457</stp>
        <tr r="O235" s="3"/>
      </tp>
      <tp t="s">
        <v>#N/A Requesting Data...2932931647</v>
        <stp/>
        <stp>BDP|9448796719526192345</stp>
        <tr r="D52" s="4"/>
      </tp>
      <tp t="s">
        <v>#N/A Requesting Data...3817234183</v>
        <stp/>
        <stp>BDP|2218053914509620048</stp>
        <tr r="BH321" s="3"/>
      </tp>
      <tp t="s">
        <v>#N/A Requesting Data...3077326830</v>
        <stp/>
        <stp>BDP|6544432087589064908</stp>
        <tr r="BA125" s="3"/>
      </tp>
      <tp t="s">
        <v>#N/A Requesting Data...4217909755</v>
        <stp/>
        <stp>BDP|8679176316507639508</stp>
        <tr r="AH310" s="3"/>
      </tp>
      <tp t="s">
        <v>#N/A Requesting Data...3544957897</v>
        <stp/>
        <stp>BDP|4179828931054451174</stp>
        <tr r="K317" s="3"/>
      </tp>
      <tp t="s">
        <v>#N/A Requesting Data...4083173153</v>
        <stp/>
        <stp>BDP|9948398635475057643</stp>
        <tr r="BF187" s="3"/>
      </tp>
      <tp t="s">
        <v>#N/A Requesting Data...3714386719</v>
        <stp/>
        <stp>BDP|5094410083523380005</stp>
        <tr r="AQ139" s="3"/>
      </tp>
      <tp t="s">
        <v>#N/A Requesting Data...3049401425</v>
        <stp/>
        <stp>BDP|4801097540102563851</stp>
        <tr r="I282" s="3"/>
      </tp>
      <tp t="s">
        <v>#N/A Requesting Data...3866120129</v>
        <stp/>
        <stp>BDP|8538153052481131726</stp>
        <tr r="BH181" s="3"/>
      </tp>
      <tp t="s">
        <v>#N/A Requesting Data...3928606779</v>
        <stp/>
        <stp>BDP|8876669438680782701</stp>
        <tr r="BH53" s="3"/>
      </tp>
      <tp t="s">
        <v>#N/A Requesting Data...3575411936</v>
        <stp/>
        <stp>BDP|9391484524271687487</stp>
        <tr r="BA59" s="3"/>
      </tp>
      <tp t="s">
        <v>#N/A Requesting Data...3146781774</v>
        <stp/>
        <stp>BDP|7306159693844543116</stp>
        <tr r="BB39" s="3"/>
      </tp>
      <tp t="s">
        <v>#N/A Requesting Data...3505243948</v>
        <stp/>
        <stp>BDP|9521723162472455003</stp>
        <tr r="BA158" s="3"/>
      </tp>
      <tp t="s">
        <v>#N/A Requesting Data...3393383716</v>
        <stp/>
        <stp>BDP|1311947433690667135</stp>
        <tr r="AO17" s="2"/>
        <tr r="AH9" s="4"/>
      </tp>
      <tp t="s">
        <v>#N/A N/A</v>
        <stp/>
        <stp>BDP|8105820126420351873</stp>
        <tr r="AF73" s="2"/>
      </tp>
      <tp t="s">
        <v>#N/A N/A</v>
        <stp/>
        <stp>BDP|9579899110693882955</stp>
        <tr r="AV57" s="2"/>
      </tp>
      <tp t="s">
        <v>#N/A Requesting Data...3771431948</v>
        <stp/>
        <stp>BDP|9122902039768814112</stp>
        <tr r="BB169" s="3"/>
      </tp>
      <tp t="s">
        <v>#N/A Requesting Data...3159747312</v>
        <stp/>
        <stp>BDP|8093633143066397627</stp>
        <tr r="BG243" s="3"/>
      </tp>
      <tp t="s">
        <v>#N/A Requesting Data...3042117457</v>
        <stp/>
        <stp>BDP|8971555538330276471</stp>
        <tr r="K297" s="3"/>
      </tp>
      <tp t="s">
        <v>#N/A Requesting Data...3334075606</v>
        <stp/>
        <stp>BDP|3816721227509818542</stp>
        <tr r="AJ166" s="3"/>
      </tp>
      <tp t="s">
        <v>#N/A Requesting Data...3563319203</v>
        <stp/>
        <stp>BDP|7541874451420041059</stp>
        <tr r="BG94" s="3"/>
      </tp>
      <tp t="s">
        <v>#N/A Requesting Data...3069457620</v>
        <stp/>
        <stp>BDP|9792791702400937437</stp>
        <tr r="M17" s="4"/>
      </tp>
      <tp t="s">
        <v>#N/A Requesting Data...3448738985</v>
        <stp/>
        <stp>BDP|6617827411303517665</stp>
        <tr r="BA189" s="3"/>
      </tp>
      <tp t="s">
        <v>#N/A Requesting Data...4213500109</v>
        <stp/>
        <stp>BDP|6159405687047738772</stp>
        <tr r="Q254" s="3"/>
      </tp>
      <tp t="s">
        <v>#N/A Requesting Data...3513749781</v>
        <stp/>
        <stp>BDP|3284973740690445479</stp>
        <tr r="AF16" s="4"/>
      </tp>
      <tp t="s">
        <v>#N/A N/A</v>
        <stp/>
        <stp>BDP|9960047809261654244</stp>
        <tr r="T57" s="2"/>
      </tp>
      <tp t="s">
        <v>#N/A Requesting Data...3952063758</v>
        <stp/>
        <stp>BDP|2990166559855564954</stp>
        <tr r="BA90" s="3"/>
      </tp>
      <tp t="s">
        <v>#N/A Requesting Data...3727300391</v>
        <stp/>
        <stp>BDP|6463577010671133940</stp>
        <tr r="K315" s="3"/>
      </tp>
      <tp t="s">
        <v>#N/A Requesting Data...3096064165</v>
        <stp/>
        <stp>BDP|8103602264485151725</stp>
        <tr r="O27" s="4"/>
      </tp>
      <tp t="s">
        <v>#N/A Requesting Data...3781354189</v>
        <stp/>
        <stp>BDP|8938051800950321281</stp>
        <tr r="AZ128" s="3"/>
      </tp>
      <tp t="s">
        <v>#N/A Requesting Data...3666702268</v>
        <stp/>
        <stp>BDP|4037313301008515529</stp>
        <tr r="F150" s="3"/>
      </tp>
      <tp t="s">
        <v>#N/A Requesting Data...3097176656</v>
        <stp/>
        <stp>BDP|6108738981711633227</stp>
        <tr r="P6" s="2"/>
      </tp>
      <tp t="s">
        <v>#N/A Requesting Data...3063132373</v>
        <stp/>
        <stp>BDP|2428299302068981219</stp>
        <tr r="AH46" s="3"/>
      </tp>
      <tp t="s">
        <v>#N/A N/A</v>
        <stp/>
        <stp>BDP|5566363287700218419</stp>
        <tr r="V44" s="2"/>
      </tp>
      <tp t="s">
        <v>#N/A Requesting Data...3534230875</v>
        <stp/>
        <stp>BDP|8817288605599472961</stp>
        <tr r="BF291" s="3"/>
      </tp>
      <tp t="s">
        <v>#N/A N/A</v>
        <stp/>
        <stp>BDP|2400642631099370458</stp>
        <tr r="N13" s="2"/>
      </tp>
      <tp t="s">
        <v>#N/A N/A</v>
        <stp/>
        <stp>BDP|7222279792654108211</stp>
        <tr r="V74" s="2"/>
      </tp>
      <tp t="s">
        <v>#N/A Requesting Data...3797401405</v>
        <stp/>
        <stp>BDP|1727948982903487925</stp>
        <tr r="BF81" s="3"/>
      </tp>
      <tp t="s">
        <v>#N/A Requesting Data...3444137873</v>
        <stp/>
        <stp>BDP|4399858971244911592</stp>
        <tr r="AF26" s="4"/>
        <tr r="AH197" s="3"/>
      </tp>
      <tp t="s">
        <v>#N/A Requesting Data...3362279480</v>
        <stp/>
        <stp>BDP|1653442711677081949</stp>
        <tr r="AO56" s="4"/>
      </tp>
      <tp t="s">
        <v>#N/A Requesting Data...3374740412</v>
        <stp/>
        <stp>BDP|1489269100530274973</stp>
        <tr r="AJ39" s="3"/>
      </tp>
      <tp t="s">
        <v>#N/A Requesting Data...4199859553</v>
        <stp/>
        <stp>BDP|4334528261898639513</stp>
        <tr r="AA214" s="3"/>
      </tp>
      <tp t="s">
        <v>#N/A Requesting Data...3453009213</v>
        <stp/>
        <stp>BDP|4592940274268786850</stp>
        <tr r="BF334" s="3"/>
      </tp>
      <tp t="s">
        <v>#N/A Requesting Data...3628697040</v>
        <stp/>
        <stp>BDP|9046625853008118872</stp>
        <tr r="Q304" s="3"/>
      </tp>
      <tp t="s">
        <v>#N/A Requesting Data...4224835627</v>
        <stp/>
        <stp>BDP|4414997347170952340</stp>
        <tr r="Y77" s="3"/>
      </tp>
      <tp t="s">
        <v>#N/A Requesting Data...3741180042</v>
        <stp/>
        <stp>BDP|8246683278015477615</stp>
        <tr r="Q335" s="3"/>
      </tp>
      <tp t="s">
        <v>#N/A Requesting Data...4127449447</v>
        <stp/>
        <stp>BDP|5655982245217593598</stp>
        <tr r="BI250" s="3"/>
      </tp>
      <tp t="s">
        <v>#N/A Requesting Data...3976629371</v>
        <stp/>
        <stp>BDP|1676251662898414729</stp>
        <tr r="BA219" s="3"/>
      </tp>
      <tp t="s">
        <v>#N/A N/A</v>
        <stp/>
        <stp>BDP|6280072560533372921</stp>
        <tr r="BF63" s="2"/>
      </tp>
      <tp t="s">
        <v>#N/A Requesting Data...4007761007</v>
        <stp/>
        <stp>BDP|3145657586805446227</stp>
        <tr r="AJ327" s="3"/>
      </tp>
      <tp t="s">
        <v>#N/A Requesting Data...3768553419</v>
        <stp/>
        <stp>BDP|2518806614981574001</stp>
        <tr r="BG242" s="3"/>
      </tp>
      <tp t="s">
        <v>#N/A Requesting Data...3585675218</v>
        <stp/>
        <stp>BDP|9066239767653779476</stp>
        <tr r="BA50" s="3"/>
      </tp>
      <tp t="s">
        <v>#N/A Requesting Data...4222757322</v>
        <stp/>
        <stp>BDP|7457797216482987966</stp>
        <tr r="O28" s="4"/>
      </tp>
      <tp t="s">
        <v>#N/A N/A</v>
        <stp/>
        <stp>BDP|4445038677159201066</stp>
        <tr r="BF65" s="2"/>
      </tp>
      <tp t="s">
        <v>#N/A Requesting Data...3851276925</v>
        <stp/>
        <stp>BDP|2461486658369551058</stp>
        <tr r="AA134" s="3"/>
      </tp>
      <tp t="s">
        <v>#N/A Requesting Data...3867463801</v>
        <stp/>
        <stp>BDP|2357820508510988046</stp>
        <tr r="I54" s="4"/>
      </tp>
      <tp t="s">
        <v>#N/A Requesting Data...3839559623</v>
        <stp/>
        <stp>BDP|7109143389356862206</stp>
        <tr r="BA116" s="3"/>
      </tp>
      <tp t="s">
        <v>#N/A N/A</v>
        <stp/>
        <stp>BDP|4644460744486114813</stp>
        <tr r="N58" s="2"/>
      </tp>
      <tp t="s">
        <v>#N/A N/A</v>
        <stp/>
        <stp>BDP|2333342111403795958</stp>
        <tr r="AX41" s="2"/>
      </tp>
      <tp t="s">
        <v>#N/A Requesting Data...3894643583</v>
        <stp/>
        <stp>BDP|5238954544724130664</stp>
        <tr r="Y270" s="3"/>
      </tp>
      <tp t="s">
        <v>#N/A Requesting Data...3923677775</v>
        <stp/>
        <stp>BDP|8417110443250020727</stp>
        <tr r="AH26" s="3"/>
      </tp>
      <tp t="s">
        <v>#N/A N/A</v>
        <stp/>
        <stp>BDP|2932528142869438088</stp>
        <tr r="P79" s="2"/>
      </tp>
      <tp t="s">
        <v>#N/A Requesting Data...3531889799</v>
        <stp/>
        <stp>BDP|2728347798082982076</stp>
        <tr r="AQ313" s="3"/>
      </tp>
      <tp t="s">
        <v>#N/A Requesting Data...3441680588</v>
        <stp/>
        <stp>BDP|6055848859210022180</stp>
        <tr r="BB65" s="3"/>
      </tp>
      <tp t="s">
        <v>#N/A Requesting Data...3646513696</v>
        <stp/>
        <stp>BDP|9877058013864994622</stp>
        <tr r="AF7" s="4"/>
      </tp>
      <tp t="s">
        <v>#N/A N/A</v>
        <stp/>
        <stp>BDP|5908977284146739889</stp>
        <tr r="BN37" s="2"/>
      </tp>
      <tp t="s">
        <v>#N/A Requesting Data...3484197861</v>
        <stp/>
        <stp>BDP|2711825641987014313</stp>
        <tr r="O191" s="3"/>
      </tp>
      <tp t="s">
        <v>#N/A Requesting Data...3589610822</v>
        <stp/>
        <stp>BDP|5873929658426124566</stp>
        <tr r="BA226" s="3"/>
      </tp>
      <tp t="s">
        <v>#N/A N/A</v>
        <stp/>
        <stp>BDP|8866550119746579046</stp>
        <tr r="AO35" s="2"/>
      </tp>
      <tp t="s">
        <v>#N/A Requesting Data...3795506515</v>
        <stp/>
        <stp>BDP|2748940307274640571</stp>
        <tr r="BF129" s="3"/>
      </tp>
      <tp t="s">
        <v>#N/A N/A</v>
        <stp/>
        <stp>BDP|6170014423339122770</stp>
        <tr r="BL22" s="2"/>
      </tp>
      <tp t="s">
        <v>#N/A Requesting Data...4291597975</v>
        <stp/>
        <stp>BDP|7631183944789801173</stp>
        <tr r="AJ155" s="3"/>
      </tp>
      <tp t="s">
        <v>#N/A Requesting Data...4200248708</v>
        <stp/>
        <stp>BDP|4831155671958903008</stp>
        <tr r="BF7" s="2"/>
      </tp>
      <tp t="s">
        <v>#N/A Requesting Data...3525205739</v>
        <stp/>
        <stp>BDP|9374156312441918282</stp>
        <tr r="Q245" s="3"/>
      </tp>
      <tp t="s">
        <v>#N/A N/A</v>
        <stp/>
        <stp>BDP|3457223185851130387</stp>
        <tr r="T21" s="2"/>
      </tp>
      <tp t="s">
        <v>#N/A Requesting Data...4021034906</v>
        <stp/>
        <stp>BDP|5337772423193826858</stp>
        <tr r="BG311" s="3"/>
      </tp>
      <tp t="s">
        <v>#N/A Requesting Data...3851147990</v>
        <stp/>
        <stp>BDP|4702978846173851143</stp>
        <tr r="BI75" s="3"/>
      </tp>
      <tp t="s">
        <v>#N/A Requesting Data...3438532054</v>
        <stp/>
        <stp>BDP|4243771875318915739</stp>
        <tr r="BG67" s="3"/>
      </tp>
      <tp t="s">
        <v>#N/A N/A</v>
        <stp/>
        <stp>BDP|9326461268373006371</stp>
        <tr r="BK92" s="2"/>
      </tp>
      <tp t="s">
        <v>#N/A Requesting Data...3364622704</v>
        <stp/>
        <stp>BDP|7839149288856646387</stp>
        <tr r="BB100" s="3"/>
      </tp>
      <tp t="s">
        <v>#N/A Requesting Data...4164278327</v>
        <stp/>
        <stp>BDP|6958722591607971495</stp>
        <tr r="O205" s="3"/>
      </tp>
      <tp t="s">
        <v>#N/A Requesting Data...4140739880</v>
        <stp/>
        <stp>BDP|5756905423250948574</stp>
        <tr r="Y38" s="4"/>
      </tp>
      <tp t="s">
        <v>#N/A N/A</v>
        <stp/>
        <stp>BDP|2441439090872582689</stp>
        <tr r="BL84" s="2"/>
      </tp>
      <tp t="s">
        <v>#N/A N/A</v>
        <stp/>
        <stp>BDP|2827846105049116823</stp>
        <tr r="AD77" s="2"/>
      </tp>
      <tp t="s">
        <v>#N/A Requesting Data...3778863869</v>
        <stp/>
        <stp>BDP|9387756607917344285</stp>
        <tr r="I338" s="3"/>
      </tp>
      <tp t="s">
        <v>#N/A N/A</v>
        <stp/>
        <stp>BDP|8326157959494605337</stp>
        <tr r="AM25" s="2"/>
      </tp>
      <tp t="s">
        <v>#N/A Requesting Data...3901605025</v>
        <stp/>
        <stp>BDP|1577498607218627664</stp>
        <tr r="K180" s="3"/>
      </tp>
      <tp t="s">
        <v>#N/A Requesting Data...4106094923</v>
        <stp/>
        <stp>BDP|4508810969035026468</stp>
        <tr r="O53" s="3"/>
      </tp>
      <tp t="s">
        <v>#N/A Requesting Data...3921363408</v>
        <stp/>
        <stp>BDP|9797881907828781242</stp>
        <tr r="AS64" s="3"/>
      </tp>
      <tp t="s">
        <v>#N/A Requesting Data...3581702081</v>
        <stp/>
        <stp>BDP|3674516822609847669</stp>
        <tr r="F219" s="3"/>
      </tp>
      <tp t="s">
        <v>#N/A Requesting Data...3803121055</v>
        <stp/>
        <stp>BDP|8364005082278395394</stp>
        <tr r="AJ263" s="3"/>
      </tp>
      <tp t="s">
        <v>#N/A Requesting Data...3605711835</v>
        <stp/>
        <stp>BDP|7954242030568363558</stp>
        <tr r="O61" s="3"/>
      </tp>
      <tp t="s">
        <v>#N/A Requesting Data...4212764483</v>
        <stp/>
        <stp>BDP|2683896465027256037</stp>
        <tr r="BF276" s="3"/>
      </tp>
      <tp t="s">
        <v>#N/A Requesting Data...3435079575</v>
        <stp/>
        <stp>BDP|3432551415514885870</stp>
        <tr r="AQ151" s="3"/>
      </tp>
      <tp t="s">
        <v>#N/A N/A</v>
        <stp/>
        <stp>BDP|4528852657091483386</stp>
        <tr r="K94" s="2"/>
      </tp>
      <tp t="s">
        <v>#N/A N/A</v>
        <stp/>
        <stp>BDP|1905784592960103493</stp>
        <tr r="P65" s="2"/>
      </tp>
      <tp t="s">
        <v>#N/A Requesting Data...3848366880</v>
        <stp/>
        <stp>BDP|9890978026318488164</stp>
        <tr r="Q244" s="3"/>
      </tp>
      <tp t="s">
        <v>#N/A Requesting Data...4129132957</v>
        <stp/>
        <stp>BDP|7336298980926586044</stp>
        <tr r="BF261" s="3"/>
      </tp>
      <tp t="s">
        <v>#N/A Requesting Data...3484685001</v>
        <stp/>
        <stp>BDP|7835853895868500566</stp>
        <tr r="I308" s="3"/>
      </tp>
      <tp t="s">
        <v>#N/A Requesting Data...3730284514</v>
        <stp/>
        <stp>BDP|9496476540514033688</stp>
        <tr r="Q294" s="3"/>
      </tp>
      <tp t="s">
        <v>#N/A Requesting Data...4239277132</v>
        <stp/>
        <stp>BDP|4978968171854319566</stp>
        <tr r="BG186" s="3"/>
      </tp>
      <tp t="s">
        <v>#N/A Requesting Data...3902584287</v>
        <stp/>
        <stp>BDP|6608852540198878904</stp>
        <tr r="AS17" s="3"/>
      </tp>
      <tp t="s">
        <v>#N/A Requesting Data...4044969511</v>
        <stp/>
        <stp>BDP|3267330686966442588</stp>
        <tr r="BA288" s="3"/>
      </tp>
      <tp t="s">
        <v>#N/A Requesting Data...3522773226</v>
        <stp/>
        <stp>BDP|6472885800453260653</stp>
        <tr r="BA60" s="3"/>
      </tp>
      <tp t="s">
        <v>#N/A Requesting Data...3449675970</v>
        <stp/>
        <stp>BDP|9619643718762658772</stp>
        <tr r="BG252" s="3"/>
      </tp>
      <tp t="s">
        <v>#N/A Requesting Data...4172266928</v>
        <stp/>
        <stp>BDP|8130393341456608246</stp>
        <tr r="BF217" s="3"/>
      </tp>
      <tp t="s">
        <v>#N/A Requesting Data...3599201835</v>
        <stp/>
        <stp>BDP|2945117043149448543</stp>
        <tr r="AQ60" s="3"/>
      </tp>
      <tp t="s">
        <v>#N/A Requesting Data...3559327259</v>
        <stp/>
        <stp>BDP|1938450703176456803</stp>
        <tr r="F10" s="3"/>
      </tp>
      <tp t="s">
        <v>#N/A Requesting Data...4038471634</v>
        <stp/>
        <stp>BDP|6884541474486197923</stp>
        <tr r="AZ351" s="3"/>
      </tp>
      <tp t="s">
        <v>#N/A N/A</v>
        <stp/>
        <stp>BDP|3835976561022279574</stp>
        <tr r="BL19" s="2"/>
      </tp>
      <tp t="s">
        <v>#N/A Requesting Data...3742666922</v>
        <stp/>
        <stp>BDP|2912799698385415242</stp>
        <tr r="BF134" s="3"/>
      </tp>
      <tp t="s">
        <v>#N/A N/A</v>
        <stp/>
        <stp>BDP|7397480694745731406</stp>
        <tr r="T35" s="2"/>
      </tp>
      <tp t="s">
        <v>#N/A Requesting Data...4199211530</v>
        <stp/>
        <stp>BDP|7269693881992564071</stp>
        <tr r="AS29" s="3"/>
      </tp>
      <tp t="s">
        <v>#N/A N/A</v>
        <stp/>
        <stp>BDP|2074910552862839737</stp>
        <tr r="BK44" s="2"/>
      </tp>
      <tp t="s">
        <v>#N/A Requesting Data...4174189461</v>
        <stp/>
        <stp>BDP|8667353269717402168</stp>
        <tr r="F156" s="3"/>
      </tp>
      <tp t="s">
        <v>#N/A Requesting Data...3842027267</v>
        <stp/>
        <stp>BDP|5362958425240923523</stp>
        <tr r="O56" s="4"/>
      </tp>
      <tp t="s">
        <v>#N/A Requesting Data...3604230697</v>
        <stp/>
        <stp>BDP|1338658910634809962</stp>
        <tr r="AS161" s="3"/>
      </tp>
      <tp t="s">
        <v>#N/A Requesting Data...3775561566</v>
        <stp/>
        <stp>BDP|9316297925561183365</stp>
        <tr r="AQ129" s="3"/>
      </tp>
      <tp t="s">
        <v>#N/A Requesting Data...3582843081</v>
        <stp/>
        <stp>BDP|8548744244722865252</stp>
        <tr r="BF311" s="3"/>
      </tp>
      <tp t="s">
        <v>#N/A Requesting Data...3720373383</v>
        <stp/>
        <stp>BDP|1831134946096219975</stp>
        <tr r="O175" s="3"/>
      </tp>
      <tp t="s">
        <v>#N/A Requesting Data...3601067348</v>
        <stp/>
        <stp>BDP|6236287696807477109</stp>
        <tr r="K148" s="3"/>
      </tp>
      <tp t="s">
        <v>#N/A Requesting Data...4279160754</v>
        <stp/>
        <stp>BDP|7938824428423849532</stp>
        <tr r="I16" s="3"/>
      </tp>
      <tp t="s">
        <v>#N/A Requesting Data...4272064649</v>
        <stp/>
        <stp>BDP|5324603628559130323</stp>
        <tr r="AA152" s="3"/>
      </tp>
      <tp t="s">
        <v>#N/A N/A</v>
        <stp/>
        <stp>BDP|7225998646390742129</stp>
        <tr r="AM60" s="2"/>
      </tp>
      <tp t="s">
        <v>#N/A Requesting Data...3664045702</v>
        <stp/>
        <stp>BDP|3442354771728065486</stp>
        <tr r="F216" s="3"/>
      </tp>
      <tp t="s">
        <v>#N/A N/A</v>
        <stp/>
        <stp>BDP|2416310118203446811</stp>
        <tr r="BM46" s="2"/>
      </tp>
      <tp t="s">
        <v>#N/A Requesting Data...3955290342</v>
        <stp/>
        <stp>BDP|3007102664066875943</stp>
        <tr r="O193" s="3"/>
      </tp>
      <tp t="s">
        <v>#N/A Requesting Data...4114010350</v>
        <stp/>
        <stp>BDP|8833709602410449472</stp>
        <tr r="AQ36" s="3"/>
      </tp>
      <tp t="s">
        <v>#N/A Requesting Data...4044262988</v>
        <stp/>
        <stp>BDP|3655473768839638365</stp>
        <tr r="F92" s="3"/>
      </tp>
      <tp t="s">
        <v>#N/A N/A</v>
        <stp/>
        <stp>BDP|8132005405634893752</stp>
        <tr r="BF14" s="2"/>
      </tp>
      <tp t="s">
        <v>#N/A Requesting Data...4088372828</v>
        <stp/>
        <stp>BDP|2407476081865260095</stp>
        <tr r="AA213" s="3"/>
      </tp>
      <tp t="s">
        <v>#N/A N/A</v>
        <stp/>
        <stp>BDP|2886223883405402642</stp>
        <tr r="BF56" s="2"/>
      </tp>
      <tp t="s">
        <v>#N/A N/A</v>
        <stp/>
        <stp>BDP|3706339382110612396</stp>
        <tr r="T9" s="2"/>
      </tp>
      <tp t="s">
        <v>#N/A Requesting Data...3636431391</v>
        <stp/>
        <stp>BDP|8469729759073534233</stp>
        <tr r="O350" s="3"/>
      </tp>
      <tp t="s">
        <v>#N/A Requesting Data...3863055200</v>
        <stp/>
        <stp>BDP|5733028198453651424</stp>
        <tr r="AZ202" s="3"/>
      </tp>
      <tp t="s">
        <v>#N/A Requesting Data...3878539396</v>
        <stp/>
        <stp>BDP|3758052588727085739</stp>
        <tr r="BG188" s="3"/>
      </tp>
      <tp t="s">
        <v>#N/A Requesting Data...3976125076</v>
        <stp/>
        <stp>BDP|9354881054206302956</stp>
        <tr r="BF32" s="3"/>
      </tp>
      <tp t="s">
        <v>#N/A Requesting Data...4075089778</v>
        <stp/>
        <stp>BDP|3146940938182717034</stp>
        <tr r="Y273" s="3"/>
      </tp>
      <tp t="s">
        <v>#N/A N/A</v>
        <stp/>
        <stp>BDP|8199959985846817409</stp>
        <tr r="T91" s="2"/>
      </tp>
      <tp t="s">
        <v>#N/A Requesting Data...4130054693</v>
        <stp/>
        <stp>BDP|7382990572127235539</stp>
        <tr r="Y303" s="3"/>
      </tp>
      <tp t="s">
        <v>#N/A Requesting Data...3666863603</v>
        <stp/>
        <stp>BDP|4775662887617974667</stp>
        <tr r="BF46" s="3"/>
      </tp>
      <tp t="s">
        <v>#N/A Requesting Data...3814110635</v>
        <stp/>
        <stp>BDP|4761291926448918785</stp>
        <tr r="Q131" s="3"/>
      </tp>
      <tp t="s">
        <v>#N/A N/A</v>
        <stp/>
        <stp>BDP|3151465405148231495</stp>
        <tr r="AD72" s="2"/>
      </tp>
      <tp t="s">
        <v>#N/A N/A</v>
        <stp/>
        <stp>BDP|4916934928367363387</stp>
        <tr r="AO30" s="2"/>
      </tp>
      <tp t="s">
        <v>#N/A Requesting Data...3772051522</v>
        <stp/>
        <stp>BDP|3413066789179330913</stp>
        <tr r="BH102" s="3"/>
      </tp>
      <tp t="s">
        <v>#N/A Requesting Data...4168466941</v>
        <stp/>
        <stp>BDP|1122783626728276738</stp>
        <tr r="AA208" s="3"/>
      </tp>
      <tp t="s">
        <v>#N/A Requesting Data...3750623036</v>
        <stp/>
        <stp>BDP|5531866701504999250</stp>
        <tr r="Y46" s="3"/>
      </tp>
      <tp t="s">
        <v>#N/A Requesting Data...4029406674</v>
        <stp/>
        <stp>BDP|8998724656010518164</stp>
        <tr r="M52" s="4"/>
      </tp>
      <tp t="s">
        <v>#N/A Requesting Data...4119388620</v>
        <stp/>
        <stp>BDP|8001274468924634375</stp>
        <tr r="F4" s="3"/>
      </tp>
      <tp t="s">
        <v>#N/A Requesting Data...3848051200</v>
        <stp/>
        <stp>BDP|6208395688822964441</stp>
        <tr r="AZ182" s="3"/>
      </tp>
      <tp t="s">
        <v>#N/A Requesting Data...4270156565</v>
        <stp/>
        <stp>BDP|4596995025357797309</stp>
        <tr r="Q289" s="3"/>
      </tp>
      <tp t="s">
        <v>#N/A Requesting Data...3805364382</v>
        <stp/>
        <stp>BDP|7192894536290071707</stp>
        <tr r="AH164" s="3"/>
      </tp>
      <tp t="s">
        <v>#N/A Requesting Data...3879675790</v>
        <stp/>
        <stp>BDP|1999202413479367077</stp>
        <tr r="Y55" s="4"/>
      </tp>
      <tp t="s">
        <v>#N/A Requesting Data...3953797794</v>
        <stp/>
        <stp>BDP|8436942679704624915</stp>
        <tr r="Y261" s="3"/>
      </tp>
      <tp t="s">
        <v>#N/A N/A</v>
        <stp/>
        <stp>BDP|7768982601314406146</stp>
        <tr r="BN85" s="2"/>
      </tp>
      <tp t="s">
        <v>#N/A Requesting Data...4175200325</v>
        <stp/>
        <stp>BDP|6471332411446966914</stp>
        <tr r="I262" s="3"/>
      </tp>
      <tp t="s">
        <v>#N/A Requesting Data...4009648719</v>
        <stp/>
        <stp>BDP|3404987374191216744</stp>
        <tr r="O221" s="3"/>
      </tp>
      <tp t="s">
        <v>#N/A Requesting Data...4154763862</v>
        <stp/>
        <stp>BDP|1086897700910259251</stp>
        <tr r="I306" s="3"/>
      </tp>
      <tp t="s">
        <v>#N/A Requesting Data...3856353094</v>
        <stp/>
        <stp>BDP|5424400444309947770</stp>
        <tr r="AZ120" s="3"/>
      </tp>
      <tp t="s">
        <v>#N/A Requesting Data...4199366719</v>
        <stp/>
        <stp>BDP|7138545889377690648</stp>
        <tr r="AQ128" s="3"/>
      </tp>
      <tp t="s">
        <v>#N/A Requesting Data...4270228431</v>
        <stp/>
        <stp>BDP|3874361124100315971</stp>
        <tr r="Y201" s="3"/>
      </tp>
      <tp t="s">
        <v>#N/A Requesting Data...3724599392</v>
        <stp/>
        <stp>BDP|9853031785053554948</stp>
        <tr r="BI292" s="3"/>
      </tp>
      <tp t="s">
        <v>#N/A Requesting Data...3718401570</v>
        <stp/>
        <stp>BDP|3895877441400727460</stp>
        <tr r="W43" s="4"/>
      </tp>
      <tp t="s">
        <v>#N/A Requesting Data...4067117367</v>
        <stp/>
        <stp>BDP|9217551767025811479</stp>
        <tr r="I227" s="3"/>
      </tp>
      <tp t="s">
        <v>#N/A Requesting Data...4218380814</v>
        <stp/>
        <stp>BDP|7992865805607313363</stp>
        <tr r="O340" s="3"/>
      </tp>
      <tp t="s">
        <v>#N/A N/A</v>
        <stp/>
        <stp>BDP|9027952401589264299</stp>
        <tr r="V40" s="2"/>
      </tp>
      <tp t="s">
        <v>#N/A N/A</v>
        <stp/>
        <stp>BDP|6994842092789361536</stp>
        <tr r="AO53" s="2"/>
      </tp>
      <tp t="s">
        <v>#N/A Requesting Data...3988002753</v>
        <stp/>
        <stp>BDP|5050798207590452952</stp>
        <tr r="BH47" s="3"/>
      </tp>
      <tp t="s">
        <v>#N/A N/A</v>
        <stp/>
        <stp>BDP|6892939761135370766</stp>
        <tr r="AF66" s="2"/>
      </tp>
      <tp t="s">
        <v>#N/A N/A</v>
        <stp/>
        <stp>BDP|2005115789255525525</stp>
        <tr r="AM80" s="2"/>
      </tp>
      <tp t="s">
        <v>#N/A Requesting Data...4258464008</v>
        <stp/>
        <stp>BDP|9144605858383312251</stp>
        <tr r="BA129" s="3"/>
      </tp>
      <tp t="s">
        <v>#N/A Requesting Data...4024238440</v>
        <stp/>
        <stp>BDP|1970889948134595234</stp>
        <tr r="I270" s="3"/>
      </tp>
      <tp t="s">
        <v>#N/A Requesting Data...4164838426</v>
        <stp/>
        <stp>BDP|4255944839254093108</stp>
        <tr r="K71" s="2"/>
        <tr r="D36" s="4"/>
      </tp>
      <tp t="s">
        <v>#N/A N/A</v>
        <stp/>
        <stp>BDP|6161754887643510190</stp>
        <tr r="N21" s="2"/>
      </tp>
      <tp t="s">
        <v>#N/A Requesting Data...4249873803</v>
        <stp/>
        <stp>BDP|8046900096543288081</stp>
        <tr r="K288" s="3"/>
      </tp>
      <tp t="s">
        <v>#N/A Requesting Data...4216954501</v>
        <stp/>
        <stp>BDP|7010253694464991345</stp>
        <tr r="BB151" s="3"/>
      </tp>
      <tp t="s">
        <v>#N/A Requesting Data...4017521303</v>
        <stp/>
        <stp>BDP|9644477148674392660</stp>
        <tr r="BF321" s="3"/>
      </tp>
      <tp t="s">
        <v>#N/A N/A</v>
        <stp/>
        <stp>BDP|6006809826241827625</stp>
        <tr r="V24" s="2"/>
      </tp>
      <tp t="s">
        <v>#N/A Requesting Data...4027118544</v>
        <stp/>
        <stp>BDP|5589970623761532483</stp>
        <tr r="BF255" s="3"/>
      </tp>
      <tp t="s">
        <v>#N/A N/A</v>
        <stp/>
        <stp>BDP|7865758811688603269</stp>
        <tr r="AO25" s="2"/>
      </tp>
      <tp t="s">
        <v>#N/A Requesting Data...4195089983</v>
        <stp/>
        <stp>BDP|5036454999293526056</stp>
        <tr r="AA115" s="3"/>
      </tp>
      <tp t="s">
        <v>#N/A Requesting Data...4073698664</v>
        <stp/>
        <stp>BDP|5048683043839167568</stp>
        <tr r="AS58" s="3"/>
      </tp>
      <tp t="s">
        <v>#N/A Requesting Data...3827440942</v>
        <stp/>
        <stp>BDP|1303665729689372737</stp>
        <tr r="AZ140" s="3"/>
      </tp>
      <tp t="s">
        <v>#N/A Requesting Data...4170604781</v>
        <stp/>
        <stp>BDP|4995832957610481257</stp>
        <tr r="W14" s="4"/>
      </tp>
      <tp t="s">
        <v>#N/A Requesting Data...4013483037</v>
        <stp/>
        <stp>BDP|8910227317110063004</stp>
        <tr r="AS263" s="3"/>
      </tp>
      <tp t="s">
        <v>#N/A Requesting Data...4004123965</v>
        <stp/>
        <stp>BDP|1351407058049201255</stp>
        <tr r="I280" s="3"/>
      </tp>
      <tp t="s">
        <v>#N/A Requesting Data...4134913270</v>
        <stp/>
        <stp>BDP|7297904489749159469</stp>
        <tr r="AJ147" s="3"/>
      </tp>
      <tp t="s">
        <v>#N/A Requesting Data...4235975265</v>
        <stp/>
        <stp>BDP|9559106489919704262</stp>
        <tr r="AZ212" s="3"/>
      </tp>
      <tp t="s">
        <v>#N/A Requesting Data...3887931994</v>
        <stp/>
        <stp>BDP|3915178682110856190</stp>
        <tr r="AQ140" s="3"/>
      </tp>
      <tp t="s">
        <v>#N/A Requesting Data...3900393000</v>
        <stp/>
        <stp>BDP|6634590347025488914</stp>
        <tr r="Q332" s="3"/>
      </tp>
      <tp t="s">
        <v>#N/A Requesting Data...4288647222</v>
        <stp/>
        <stp>BDP|2766870788479658038</stp>
        <tr r="BH196" s="3"/>
      </tp>
      <tp t="s">
        <v>#N/A N/A</v>
        <stp/>
        <stp>BDP|1466545093274711291</stp>
        <tr r="AV88" s="2"/>
      </tp>
      <tp t="s">
        <v>#N/A Requesting Data...3959307031</v>
        <stp/>
        <stp>BDP|5634226853081274882</stp>
        <tr r="AJ329" s="3"/>
      </tp>
      <tp t="s">
        <v>#N/A Requesting Data...4146081250</v>
        <stp/>
        <stp>BDP|3579103430268143292</stp>
        <tr r="Q302" s="3"/>
      </tp>
      <tp t="s">
        <v>#N/A Requesting Data...4265857569</v>
        <stp/>
        <stp>BDP|8038280941377322271</stp>
        <tr r="BG37" s="3"/>
      </tp>
      <tp t="s">
        <v>#N/A Requesting Data...4138771921</v>
        <stp/>
        <stp>BDP|6141213574549146185</stp>
        <tr r="AS59" s="3"/>
      </tp>
      <tp t="s">
        <v>#N/A Requesting Data...4125705988</v>
        <stp/>
        <stp>BDP|8568210135722528090</stp>
        <tr r="Y25" s="4"/>
      </tp>
      <tp t="s">
        <v>#N/A Requesting Data...4153497366</v>
        <stp/>
        <stp>BDP|2201290472585339974</stp>
        <tr r="BF155" s="3"/>
      </tp>
      <tp t="s">
        <v>#N/A Requesting Data...3933914637</v>
        <stp/>
        <stp>BDP|6029091081790070556</stp>
        <tr r="AA113" s="3"/>
      </tp>
      <tp t="s">
        <v>#N/A Requesting Data...4205918761</v>
        <stp/>
        <stp>BDP|1206546788393532462</stp>
        <tr r="AH43" s="4"/>
      </tp>
      <tp t="s">
        <v>#N/A Requesting Data...4292082175</v>
        <stp/>
        <stp>BDP|1734987003121025211</stp>
        <tr r="BB56" s="3"/>
      </tp>
      <tp t="s">
        <v>#N/A Requesting Data...4175601644</v>
        <stp/>
        <stp>BDP|8492525196407516870</stp>
        <tr r="G18" s="4"/>
      </tp>
      <tp t="s">
        <v>#N/A Requesting Data...3972069052</v>
        <stp/>
        <stp>BDP|3943298285727660514</stp>
        <tr r="AA338" s="3"/>
      </tp>
      <tp t="s">
        <v>#N/A N/A</v>
        <stp/>
        <stp>BDP|2180958516265782472</stp>
        <tr r="T23" s="2"/>
      </tp>
      <tp t="s">
        <v>#N/A Requesting Data...3939118239</v>
        <stp/>
        <stp>BDP|2772674096175698323</stp>
        <tr r="BI200" s="3"/>
      </tp>
      <tp t="s">
        <v>#N/A Requesting Data...4141051488</v>
        <stp/>
        <stp>BDP|4757954166290701018</stp>
        <tr r="W33" s="4"/>
      </tp>
      <tp t="s">
        <v>#N/A Requesting Data...4214461514</v>
        <stp/>
        <stp>BDP|6008730313469286207</stp>
        <tr r="W22" s="4"/>
      </tp>
      <tp t="s">
        <v>#N/A Requesting Data...4220694316</v>
        <stp/>
        <stp>BDP|6287625980323262002</stp>
        <tr r="D34" s="4"/>
      </tp>
      <tp t="s">
        <v>#N/A N/A</v>
        <stp/>
        <stp>BDP|6467135685383527758</stp>
        <tr r="AF72" s="2"/>
      </tp>
      <tp t="s">
        <v>#N/A Requesting Data...4085831135</v>
        <stp/>
        <stp>BDP|4476655175817559933</stp>
        <tr r="AS222" s="3"/>
      </tp>
      <tp t="s">
        <v>#N/A Requesting Data...4140182198</v>
        <stp/>
        <stp>BDP|2914098087690277174</stp>
        <tr r="BA93" s="3"/>
      </tp>
      <tp t="s">
        <v>#N/A Requesting Data...3961753923</v>
        <stp/>
        <stp>BDP|5843960417420288697</stp>
        <tr r="BF267" s="3"/>
      </tp>
      <tp t="s">
        <v>#N/A Requesting Data...4134189578</v>
        <stp/>
        <stp>BDP|2675095217931377992</stp>
        <tr r="F100" s="3"/>
      </tp>
      <tp t="s">
        <v>#N/A N/A</v>
        <stp/>
        <stp>BDP|2038196507608985055</stp>
        <tr r="AD31" s="2"/>
      </tp>
      <tp t="s">
        <v>#N/A Requesting Data...3965084884</v>
        <stp/>
        <stp>BDP|9247054242360299654</stp>
        <tr r="Y191" s="3"/>
      </tp>
      <tp t="s">
        <v>#N/A Requesting Data...4112437492</v>
        <stp/>
        <stp>BDP|4746117327609467572</stp>
        <tr r="BA338" s="3"/>
      </tp>
      <tp t="s">
        <v>#N/A Requesting Data...4138781988</v>
        <stp/>
        <stp>BDP|6588768584423036157</stp>
        <tr r="AA240" s="3"/>
      </tp>
      <tp t="s">
        <v>#N/A Requesting Data...4021800039</v>
        <stp/>
        <stp>BDP|1950267284605813516</stp>
        <tr r="BI168" s="3"/>
      </tp>
      <tp t="s">
        <v>#N/A Requesting Data...4258759627</v>
        <stp/>
        <stp>BDP|6460828570015539719</stp>
        <tr r="F262" s="3"/>
      </tp>
      <tp t="s">
        <v>#N/A N/A</v>
        <stp/>
        <stp>BDP|7420922627625507261</stp>
        <tr r="AM33" s="2"/>
      </tp>
      <tp t="s">
        <v>#N/A Requesting Data...4219857688</v>
        <stp/>
        <stp>BDP|9779855287492579026</stp>
        <tr r="O289" s="3"/>
      </tp>
      <tp t="s">
        <v>#N/A Requesting Data...4290329193</v>
        <stp/>
        <stp>BDP|3111441652589142059</stp>
        <tr r="AZ90" s="3"/>
      </tp>
      <tp t="s">
        <v>#N/A N/A</v>
        <stp/>
        <stp>BDP|8296129506792688034</stp>
        <tr r="P50" s="2"/>
      </tp>
      <tp t="s">
        <v>#N/A Requesting Data...4270743313</v>
        <stp/>
        <stp>BDP|4797837060298357945</stp>
        <tr r="K34" s="3"/>
      </tp>
      <tp t="s">
        <v>#N/A Requesting Data...4087980140</v>
        <stp/>
        <stp>BDP|3741569769899391282</stp>
        <tr r="BH111" s="3"/>
      </tp>
      <tp t="s">
        <v>#N/A Requesting Data...4072283151</v>
        <stp/>
        <stp>BDP|4763335306378319420</stp>
        <tr r="AH19" s="3"/>
      </tp>
      <tp t="s">
        <v>#N/A N/A</v>
        <stp/>
        <stp>BDP|5781899879056379776</stp>
        <tr r="P56" s="2"/>
      </tp>
      <tp t="s">
        <v>#N/A Requesting Data...4199954014</v>
        <stp/>
        <stp>BDP|6157977954225719462</stp>
        <tr r="BG303" s="3"/>
      </tp>
      <tp t="s">
        <v>#N/A N/A</v>
        <stp/>
        <stp>BDP|3259004341249401540</stp>
        <tr r="AF74" s="2"/>
      </tp>
      <tp t="s">
        <v>#N/A Requesting Data...4284172540</v>
        <stp/>
        <stp>BDP|4330190977261754896</stp>
        <tr r="F66" s="3"/>
      </tp>
      <tp t="s">
        <v>#N/A Requesting Data...4103348446</v>
        <stp/>
        <stp>BDP|9027710109447310280</stp>
        <tr r="AA333" s="3"/>
      </tp>
      <tp t="s">
        <v>#N/A Requesting Data...4191744347</v>
        <stp/>
        <stp>BDP|9392098434926824763</stp>
        <tr r="F238" s="3"/>
      </tp>
      <tp t="s">
        <v>#N/A Requesting Data...4221144873</v>
        <stp/>
        <stp>BDP|7993128349128186130</stp>
        <tr r="BH27" s="3"/>
      </tp>
      <tp t="s">
        <v>#N/A Requesting Data...4151371605</v>
        <stp/>
        <stp>BDP|8470672926894203376</stp>
        <tr r="BI37" s="3"/>
      </tp>
      <tp t="s">
        <v>#N/A Requesting Data...4255652821</v>
        <stp/>
        <stp>BDP|6466373520038297410</stp>
        <tr r="O312" s="3"/>
      </tp>
      <tp t="s">
        <v>#N/A Requesting Data...4242054723</v>
        <stp/>
        <stp>BDP|5872877489737589933</stp>
        <tr r="G25" s="4"/>
      </tp>
      <tp t="s">
        <v>#N/A N/A</v>
        <stp/>
        <stp>BDP|1598345297375251545</stp>
        <tr r="BL11" s="2"/>
      </tp>
      <tp t="s">
        <v>#N/A Requesting Data...4266615182</v>
        <stp/>
        <stp>BDP|8520422867846562750</stp>
        <tr r="O343" s="3"/>
      </tp>
      <tp t="s">
        <v>#N/A Requesting Data...4275459647</v>
        <stp/>
        <stp>BDP|9853592252303366103</stp>
        <tr r="K242" s="3"/>
      </tp>
      <tp t="s">
        <v>#N/A Requesting Data...4259029482</v>
        <stp/>
        <stp>BDP|4488649596975580531</stp>
        <tr r="Y38" s="3"/>
      </tp>
      <tp t="s">
        <v>#N/A Requesting Data...4178533693</v>
        <stp/>
        <stp>BDP|8013597304443426590</stp>
        <tr r="F202" s="3"/>
      </tp>
      <tp t="s">
        <v>#N/A Requesting Data...4261144358</v>
        <stp/>
        <stp>BDP|5422371422726179900</stp>
        <tr r="BH61" s="3"/>
      </tp>
      <tp t="s">
        <v>#N/A Requesting Data...4181657089</v>
        <stp/>
        <stp>BDP|6599671255637351948</stp>
        <tr r="O165" s="3"/>
      </tp>
      <tp t="s">
        <v>#N/A Requesting Data...4189909285</v>
        <stp/>
        <stp>BDP|5770933765340326120</stp>
        <tr r="BI288" s="3"/>
      </tp>
      <tp t="s">
        <v>#N/A Requesting Data...4253940354</v>
        <stp/>
        <stp>BDP|9539111616332742050</stp>
        <tr r="AJ189" s="3"/>
      </tp>
      <tp t="s">
        <v>#N/A Requesting Data...4263543443</v>
        <stp/>
        <stp>BDP|7712392492414577294</stp>
        <tr r="BF115" s="3"/>
      </tp>
      <tp t="s">
        <v>#N/A Requesting Data...4286600767</v>
        <stp/>
        <stp>BDP|2526737797926302128</stp>
        <tr r="BG4" s="3"/>
      </tp>
      <tp t="s">
        <v>#N/A Requesting Data...4225791434</v>
        <stp/>
        <stp>BDP|6409951112392613757</stp>
        <tr r="I221" s="3"/>
      </tp>
      <tp t="s">
        <v>#N/A Requesting Data...4231141807</v>
        <stp/>
        <stp>BDP|9400059174380690537</stp>
        <tr r="AX27" s="4"/>
      </tp>
      <tp t="s">
        <v>#N/A Requesting Data...4230672675</v>
        <stp/>
        <stp>BDP|5453980161748805955</stp>
        <tr r="F229" s="3"/>
      </tp>
      <tp t="s">
        <v>#N/A N/A</v>
        <stp/>
        <stp>BDP|9701986949078673706</stp>
        <tr r="K99" s="2"/>
      </tp>
      <tp t="s">
        <v>#N/A Requesting Data...4221621680</v>
        <stp/>
        <stp>BDP|6462704550447307870</stp>
        <tr r="BF53" s="3"/>
      </tp>
      <tp t="s">
        <v>#N/A Requesting Data...4216018907</v>
        <stp/>
        <stp>BDP|4054544436501032821</stp>
        <tr r="BB4" s="3"/>
      </tp>
      <tp t="s">
        <v>#N/A Requesting Data...4225309312</v>
        <stp/>
        <stp>BDP|3225610874308757102</stp>
        <tr r="F160" s="3"/>
      </tp>
      <tp t="s">
        <v>#N/A Requesting Data...4258095615</v>
        <stp/>
        <stp>BDP|7420276115259766609</stp>
        <tr r="BF190" s="3"/>
      </tp>
      <tp t="s">
        <v>#N/A N/A</v>
        <stp/>
        <stp>BDP|5735568667194159966</stp>
        <tr r="AF41" s="2"/>
      </tp>
      <tp t="s">
        <v>#N/A Requesting Data...4242202766</v>
        <stp/>
        <stp>BDP|4059842277970669043</stp>
        <tr r="AA44" s="3"/>
      </tp>
      <tp t="s">
        <v>#N/A N/A</v>
        <stp/>
        <stp>BDP|5015503515032012848</stp>
        <tr r="BK61" s="2"/>
      </tp>
      <tp t="s">
        <v>#N/A Requesting Data...4247905580</v>
        <stp/>
        <stp>BDP|5063145793627596136</stp>
        <tr r="K29" s="3"/>
      </tp>
      <tp t="s">
        <v>#N/A Requesting Data...4250425698</v>
        <stp/>
        <stp>BDP|5460038131689251450</stp>
        <tr r="BH36" s="3"/>
      </tp>
      <tp t="s">
        <v>#N/A Requesting Data...4273632976</v>
        <stp/>
        <stp>BDP|9479447462703039338</stp>
        <tr r="O82" s="3"/>
      </tp>
      <tp t="s">
        <v>#N/A Requesting Data...4288300510</v>
        <stp/>
        <stp>BDP|6693834763090341347</stp>
        <tr r="BB12" s="3"/>
      </tp>
      <tp t="s">
        <v>#N/A Requesting Data...4254055842</v>
        <stp/>
        <stp>BDP|9125722108687218286</stp>
        <tr r="BG157" s="3"/>
      </tp>
      <tp t="s">
        <v>#N/A Requesting Data...4265353963</v>
        <stp/>
        <stp>BDP|1677575385524520304</stp>
        <tr r="AS118" s="3"/>
      </tp>
      <tp t="s">
        <v>#N/A Requesting Data...4291339586</v>
        <stp/>
        <stp>BDP|6252018187480681530</stp>
        <tr r="BF60" s="3"/>
      </tp>
      <tp t="s">
        <v>#N/A N/A</v>
        <stp/>
        <stp>BDP|7546634732530428916</stp>
        <tr r="AD48" s="2"/>
      </tp>
      <tp t="s">
        <v>#N/A Requesting Data...4275346797</v>
        <stp/>
        <stp>BDP|9144369856243179718</stp>
        <tr r="AJ146" s="3"/>
      </tp>
      <tp t="s">
        <v>#N/A N/A</v>
        <stp/>
        <stp>BDP|5563720881989657819</stp>
        <tr r="AM24" s="2"/>
      </tp>
      <tp t="s">
        <v>#N/A N/A</v>
        <stp/>
        <stp>BDP|8234652055248284819</stp>
        <tr r="V99" s="2"/>
      </tp>
      <tp t="s">
        <v>#N/A Requesting Data...4283788945</v>
        <stp/>
        <stp>BDP|8721957954416124961</stp>
        <tr r="K98" s="3"/>
      </tp>
      <tp t="s">
        <v>#N/A Requesting Data...4280320888</v>
        <stp/>
        <stp>BDP|2506744567460263853</stp>
        <tr r="AH49" s="4"/>
      </tp>
      <tp t="s">
        <v>#N/A Requesting Data...4286072380</v>
        <stp/>
        <stp>BDP|6737516281046486629</stp>
        <tr r="BA7" s="3"/>
      </tp>
      <tp t="s">
        <v>#N/A Requesting Data...4294861206</v>
        <stp/>
        <stp>BDP|1441696629538350665</stp>
        <tr r="O141" s="3"/>
      </tp>
      <tp t="s">
        <v>#N/A Requesting Data...4294029424</v>
        <stp/>
        <stp>BDP|8486019749754530382</stp>
        <tr r="F203" s="3"/>
      </tp>
      <tp t="s">
        <v>#N/A Requesting Data...3388310840</v>
        <stp/>
        <stp>BDP|9290766778822581089</stp>
        <tr r="BH175" s="3"/>
      </tp>
      <tp t="s">
        <v>#N/A Requesting Data...4139418366</v>
        <stp/>
        <stp>BDP|9274645727512769408</stp>
        <tr r="K11" s="3"/>
      </tp>
      <tp t="s">
        <v>#N/A Requesting Data...2671820567</v>
        <stp/>
        <stp>BDP|2042128471139641631</stp>
        <tr r="F161" s="3"/>
      </tp>
      <tp t="s">
        <v>#N/A Requesting Data...276641341</v>
        <stp/>
        <stp>BDP|6496254687546465144</stp>
        <tr r="Q259" s="3"/>
      </tp>
      <tp t="s">
        <v>#N/A Requesting Data...1582818553</v>
        <stp/>
        <stp>BDP|7089020089126533280</stp>
        <tr r="F221" s="3"/>
      </tp>
      <tp t="s">
        <v>#N/A Requesting Data...1146888156</v>
        <stp/>
        <stp>BDP|4798983328713897798</stp>
        <tr r="Y43" s="3"/>
      </tp>
      <tp t="s">
        <v>#N/A Requesting Data...3270824246</v>
        <stp/>
        <stp>BDP|9359119130458299860</stp>
        <tr r="AJ10" s="3"/>
      </tp>
      <tp t="s">
        <v>#N/A Requesting Data...3992923880</v>
        <stp/>
        <stp>BDP|4629075396886272038</stp>
        <tr r="O228" s="3"/>
      </tp>
      <tp t="s">
        <v>#N/A N/A</v>
        <stp/>
        <stp>BDP|9981193267826307320</stp>
        <tr r="N50" s="2"/>
      </tp>
      <tp t="s">
        <v>#N/A Requesting Data...2204435847</v>
        <stp/>
        <stp>BDP|7426378454919311327</stp>
        <tr r="K199" s="3"/>
      </tp>
      <tp t="s">
        <v>#N/A Requesting Data...2785308283</v>
        <stp/>
        <stp>BDP|5550486430461846837</stp>
        <tr r="BG139" s="3"/>
      </tp>
      <tp t="s">
        <v>#N/A Requesting Data...762376750</v>
        <stp/>
        <stp>BDP|8053617611747660307</stp>
        <tr r="BG13" s="3"/>
      </tp>
      <tp t="s">
        <v>#N/A Requesting Data...3072237538</v>
        <stp/>
        <stp>BDP|2906089377199198717</stp>
        <tr r="O71" s="3"/>
      </tp>
      <tp t="s">
        <v>#N/A Requesting Data...3064234931</v>
        <stp/>
        <stp>BDP|2455412248410285982</stp>
        <tr r="Q288" s="3"/>
      </tp>
      <tp t="s">
        <v>#N/A Requesting Data...2451086736</v>
        <stp/>
        <stp>BDP|2519905829807916527</stp>
        <tr r="I326" s="3"/>
      </tp>
      <tp t="s">
        <v>#N/A Requesting Data...3954582497</v>
        <stp/>
        <stp>BDP|9162044944967721113</stp>
        <tr r="BA182" s="3"/>
      </tp>
      <tp t="s">
        <v>#N/A Requesting Data...1776388734</v>
        <stp/>
        <stp>BDP|2603942184161680974</stp>
        <tr r="BB141" s="3"/>
      </tp>
      <tp t="s">
        <v>#N/A N/A</v>
        <stp/>
        <stp>BDP|4210010783816261150</stp>
        <tr r="AO6" s="4"/>
      </tp>
      <tp t="s">
        <v>#N/A Requesting Data...412885326</v>
        <stp/>
        <stp>BDP|8723569824410043424</stp>
        <tr r="BH66" s="3"/>
      </tp>
      <tp t="s">
        <v>#N/A Requesting Data...2413355671</v>
        <stp/>
        <stp>BDP|8023267015496603623</stp>
        <tr r="BH68" s="3"/>
      </tp>
      <tp t="s">
        <v>#N/A Requesting Data...1128041900</v>
        <stp/>
        <stp>BDP|1069631157941138828</stp>
        <tr r="BH18" s="3"/>
      </tp>
      <tp t="s">
        <v>#N/A Requesting Data...571791488</v>
        <stp/>
        <stp>BDP|7045003840018015073</stp>
        <tr r="BF313" s="3"/>
      </tp>
      <tp t="s">
        <v>#N/A Requesting Data...3922697613</v>
        <stp/>
        <stp>BDP|8590896405909647285</stp>
        <tr r="BA9" s="3"/>
      </tp>
      <tp t="s">
        <v>#N/A Requesting Data...917526216</v>
        <stp/>
        <stp>BDP|8243238122684094745</stp>
        <tr r="BB150" s="3"/>
      </tp>
      <tp t="s">
        <v>#N/A Requesting Data...1100055779</v>
        <stp/>
        <stp>BDP|6144762968648908429</stp>
        <tr r="K44" s="3"/>
      </tp>
      <tp t="s">
        <v>#N/A N/A</v>
        <stp/>
        <stp>BDP|2754771714858564752</stp>
        <tr r="AF30" s="2"/>
      </tp>
      <tp t="s">
        <v>#N/A Requesting Data...891970296</v>
        <stp/>
        <stp>BDP|9459168624775119431</stp>
        <tr r="BG181" s="3"/>
      </tp>
      <tp t="s">
        <v>#N/A Requesting Data...3152227329</v>
        <stp/>
        <stp>BDP|6408266314868318613</stp>
        <tr r="Y320" s="3"/>
      </tp>
      <tp t="s">
        <v>#N/A Requesting Data...1097510274</v>
        <stp/>
        <stp>BDP|4662484138891033926</stp>
        <tr r="BA166" s="3"/>
      </tp>
      <tp t="s">
        <v>#N/A N/A</v>
        <stp/>
        <stp>BDP|8215768626236492021</stp>
        <tr r="P42" s="2"/>
      </tp>
      <tp t="s">
        <v>#N/A Requesting Data...1699690980</v>
        <stp/>
        <stp>BDP|2525855844716314334</stp>
        <tr r="AS338" s="3"/>
      </tp>
      <tp t="s">
        <v>#N/A Requesting Data...388541878</v>
        <stp/>
        <stp>BDP|8269624152080776011</stp>
        <tr r="AJ16" s="3"/>
      </tp>
      <tp t="s">
        <v>#N/A Requesting Data...2493244762</v>
        <stp/>
        <stp>BDP|1450896571205039086</stp>
        <tr r="AA118" s="3"/>
      </tp>
      <tp t="s">
        <v>#N/A Requesting Data...4087816478</v>
        <stp/>
        <stp>BDP|8630649967874832795</stp>
        <tr r="BF264" s="3"/>
      </tp>
      <tp t="s">
        <v>#N/A Requesting Data...1603396721</v>
        <stp/>
        <stp>BDP|8838857100938862300</stp>
        <tr r="AZ15" s="3"/>
      </tp>
      <tp t="s">
        <v>#N/A Requesting Data...2444032915</v>
        <stp/>
        <stp>BDP|8136915085761131318</stp>
        <tr r="AH178" s="3"/>
      </tp>
      <tp t="s">
        <v>#N/A Requesting Data...661290485</v>
        <stp/>
        <stp>BDP|4030060754513232958</stp>
        <tr r="Y76" s="3"/>
      </tp>
      <tp t="s">
        <v>#N/A Requesting Data...4058937364</v>
        <stp/>
        <stp>BDP|1455809581959695361</stp>
        <tr r="M18" s="4"/>
      </tp>
      <tp t="s">
        <v>#N/A N/A</v>
        <stp/>
        <stp>BDP|1340440809199291790</stp>
        <tr r="AM79" s="2"/>
      </tp>
      <tp t="s">
        <v>#N/A N/A</v>
        <stp/>
        <stp>BDP|8582325052534145112</stp>
        <tr r="T99" s="2"/>
      </tp>
      <tp t="s">
        <v>#N/A Requesting Data...743488352</v>
        <stp/>
        <stp>BDP|9079142441661759677</stp>
        <tr r="BA35" s="3"/>
      </tp>
      <tp t="s">
        <v>#N/A Requesting Data...3006453390</v>
        <stp/>
        <stp>BDP|9537405480126363830</stp>
        <tr r="BF349" s="3"/>
      </tp>
      <tp t="s">
        <v>#N/A Requesting Data...3654612054</v>
        <stp/>
        <stp>BDP|9897490905533045518</stp>
        <tr r="BM6" s="2"/>
      </tp>
      <tp t="s">
        <v>#N/A N/A</v>
        <stp/>
        <stp>BDP|8294134341337282175</stp>
        <tr r="V9" s="2"/>
      </tp>
      <tp t="s">
        <v>#N/A Requesting Data...4257452251</v>
        <stp/>
        <stp>BDP|4367586643698446690</stp>
        <tr r="O5" s="3"/>
      </tp>
      <tp t="s">
        <v>#N/A Requesting Data...2161494483</v>
        <stp/>
        <stp>BDP|1002307485745559451</stp>
        <tr r="O232" s="3"/>
      </tp>
      <tp t="s">
        <v>#N/A Requesting Data...2565441157</v>
        <stp/>
        <stp>BDP|7651375618118810647</stp>
        <tr r="BB159" s="3"/>
      </tp>
      <tp t="s">
        <v>#N/A Requesting Data...1970724191</v>
        <stp/>
        <stp>BDP|9301415270390327142</stp>
        <tr r="AJ282" s="3"/>
      </tp>
      <tp t="s">
        <v>#N/A N/A</v>
        <stp/>
        <stp>BDP|4513954460296520603</stp>
        <tr r="P13" s="2"/>
      </tp>
      <tp t="s">
        <v>#N/A Requesting Data...712930394</v>
        <stp/>
        <stp>BDP|7110539975098586989</stp>
        <tr r="AA300" s="3"/>
      </tp>
      <tp t="s">
        <v>#N/A Requesting Data...3569375725</v>
        <stp/>
        <stp>BDP|2788141723074822122</stp>
        <tr r="F61" s="3"/>
      </tp>
      <tp t="s">
        <v>#N/A Requesting Data...781742774</v>
        <stp/>
        <stp>BDP|1444085336936746071</stp>
        <tr r="AF31" s="4"/>
      </tp>
      <tp t="s">
        <v>#N/A Requesting Data...2790901987</v>
        <stp/>
        <stp>BDP|3726138175056328785</stp>
        <tr r="AV8" s="2"/>
      </tp>
      <tp t="s">
        <v>#N/A N/A</v>
        <stp/>
        <stp>BDP|8242957445924143591</stp>
        <tr r="AO15" s="2"/>
      </tp>
      <tp t="s">
        <v>#N/A Requesting Data...3807828704</v>
        <stp/>
        <stp>BDP|8163814689875350900</stp>
        <tr r="AQ353" s="3"/>
      </tp>
      <tp t="s">
        <v>#N/A N/A</v>
        <stp/>
        <stp>BDP|8945655942368347677</stp>
        <tr r="T98" s="2"/>
      </tp>
      <tp t="s">
        <v>#N/A Requesting Data...4287402484</v>
        <stp/>
        <stp>BDP|6817303041576026335</stp>
        <tr r="AA216" s="3"/>
      </tp>
      <tp t="s">
        <v>#N/A Requesting Data...3909566916</v>
        <stp/>
        <stp>BDP|4065165349372534700</stp>
        <tr r="K67" s="3"/>
      </tp>
      <tp t="s">
        <v>#N/A N/A</v>
        <stp/>
        <stp>BDP|4027349053593456598</stp>
        <tr r="V14" s="2"/>
      </tp>
      <tp t="s">
        <v>#N/A N/A</v>
        <stp/>
        <stp>BDP|3999318690214321913</stp>
        <tr r="BF78" s="2"/>
      </tp>
      <tp t="s">
        <v>#N/A Requesting Data...2063334289</v>
        <stp/>
        <stp>BDP|7775473108293200403</stp>
        <tr r="AS181" s="3"/>
      </tp>
      <tp t="s">
        <v>#N/A Requesting Data...2050093304</v>
        <stp/>
        <stp>BDP|5986313303371395325</stp>
        <tr r="K68" s="3"/>
      </tp>
      <tp t="s">
        <v>#N/A N/A</v>
        <stp/>
        <stp>BDP|8384534098988768854</stp>
        <tr r="T24" s="2"/>
      </tp>
      <tp t="s">
        <v>#N/A Requesting Data...1018854679</v>
        <stp/>
        <stp>BDP|3674514242206638095</stp>
        <tr r="AJ310" s="3"/>
      </tp>
      <tp t="s">
        <v>#N/A N/A</v>
        <stp/>
        <stp>BDP|7206164466410027484</stp>
        <tr r="AO65" s="2"/>
      </tp>
      <tp t="s">
        <v>#N/A Requesting Data...3463457276</v>
        <stp/>
        <stp>BDP|4905342331352610219</stp>
        <tr r="Q29" s="3"/>
      </tp>
      <tp t="s">
        <v>#N/A Requesting Data...1674071448</v>
        <stp/>
        <stp>BDP|8954803770111244208</stp>
        <tr r="BB271" s="3"/>
      </tp>
      <tp t="s">
        <v>#N/A Requesting Data...4292035132</v>
        <stp/>
        <stp>BDP|9142966257885974426</stp>
        <tr r="AZ267" s="3"/>
      </tp>
      <tp t="s">
        <v>#N/A Requesting Data...1788594384</v>
        <stp/>
        <stp>BDP|7764317352386704389</stp>
        <tr r="Y129" s="3"/>
      </tp>
      <tp t="s">
        <v>#N/A Requesting Data...2488345956</v>
        <stp/>
        <stp>BDP|6525789723197030053</stp>
        <tr r="BG61" s="3"/>
      </tp>
      <tp t="s">
        <v>#N/A Requesting Data...2619205553</v>
        <stp/>
        <stp>BDP|9195294796736045053</stp>
        <tr r="Y185" s="3"/>
      </tp>
      <tp t="s">
        <v>#N/A Requesting Data...2015984010</v>
        <stp/>
        <stp>BDP|2058982953439280324</stp>
        <tr r="BI79" s="3"/>
      </tp>
      <tp t="s">
        <v>#N/A Requesting Data...3260474717</v>
        <stp/>
        <stp>BDP|8670370099151637754</stp>
        <tr r="BL3" s="2"/>
        <tr r="BG316" s="3"/>
      </tp>
      <tp t="s">
        <v>#N/A N/A</v>
        <stp/>
        <stp>BDP|7913072225758779973</stp>
        <tr r="K35" s="2"/>
      </tp>
      <tp t="s">
        <v>#N/A Requesting Data...4076789632</v>
        <stp/>
        <stp>BDP|3598020268986137750</stp>
        <tr r="I290" s="3"/>
      </tp>
      <tp t="s">
        <v>#N/A Requesting Data...2101537768</v>
        <stp/>
        <stp>BDP|3066696305822380343</stp>
        <tr r="O64" s="3"/>
      </tp>
      <tp t="s">
        <v>#N/A Requesting Data...1105901979</v>
        <stp/>
        <stp>BDP|7069491101481533662</stp>
        <tr r="AF45" s="4"/>
      </tp>
      <tp t="s">
        <v>#N/A Requesting Data...3663846596</v>
        <stp/>
        <stp>BDP|3310277608915488035</stp>
        <tr r="F84" s="3"/>
      </tp>
      <tp t="s">
        <v>#N/A N/A</v>
        <stp/>
        <stp>BDP|9709112611749530494</stp>
        <tr r="K69" s="2"/>
      </tp>
      <tp t="s">
        <v>#N/A Requesting Data...3290954562</v>
        <stp/>
        <stp>BDP|4540654243303925114</stp>
        <tr r="AQ66" s="3"/>
      </tp>
      <tp t="s">
        <v>#N/A Requesting Data...3734937018</v>
        <stp/>
        <stp>BDP|8075642476179823412</stp>
        <tr r="BF287" s="3"/>
      </tp>
      <tp t="s">
        <v>#N/A Requesting Data...1490673653</v>
        <stp/>
        <stp>BDP|9996605814822182878</stp>
        <tr r="BH318" s="3"/>
      </tp>
      <tp t="s">
        <v>#N/A N/A</v>
        <stp/>
        <stp>BDP|6929652774537562467</stp>
        <tr r="K38" s="2"/>
      </tp>
      <tp t="s">
        <v>#N/A Requesting Data...3925965778</v>
        <stp/>
        <stp>BDP|8956284365789812173</stp>
        <tr r="D30" s="4"/>
      </tp>
      <tp t="s">
        <v>#N/A Requesting Data...2354514133</v>
        <stp/>
        <stp>BDP|1451449582988945105</stp>
        <tr r="M33" s="4"/>
      </tp>
      <tp t="s">
        <v>#N/A Requesting Data...3475792849</v>
        <stp/>
        <stp>BDP|6255794473501767345</stp>
        <tr r="O25" s="4"/>
      </tp>
      <tp t="s">
        <v>#N/A Requesting Data...2047545650</v>
        <stp/>
        <stp>BDP|4867432431265687279</stp>
        <tr r="AZ104" s="3"/>
      </tp>
      <tp t="s">
        <v>#N/A Requesting Data...3868107770</v>
        <stp/>
        <stp>BDP|6848438577964325540</stp>
        <tr r="D19" s="4"/>
      </tp>
      <tp t="s">
        <v>#N/A Requesting Data...2807624917</v>
        <stp/>
        <stp>BDP|4147085095859695016</stp>
        <tr r="BG44" s="3"/>
      </tp>
      <tp t="s">
        <v>#N/A Requesting Data...927312516</v>
        <stp/>
        <stp>BDP|1461984165443235903</stp>
        <tr r="Y276" s="3"/>
      </tp>
      <tp t="s">
        <v>#N/A Requesting Data...1400618584</v>
        <stp/>
        <stp>BDP|4590075375170873773</stp>
        <tr r="AS211" s="3"/>
      </tp>
      <tp t="s">
        <v>#N/A Requesting Data...2695447820</v>
        <stp/>
        <stp>BDP|3324278796479371591</stp>
        <tr r="AS72" s="3"/>
      </tp>
      <tp t="s">
        <v>#N/A Requesting Data...673808024</v>
        <stp/>
        <stp>BDP|1813310267595390555</stp>
        <tr r="BH209" s="3"/>
      </tp>
      <tp t="s">
        <v>#N/A N/A</v>
        <stp/>
        <stp>BDP|7839905407798597222</stp>
        <tr r="AO23" s="2"/>
      </tp>
      <tp t="s">
        <v>#N/A N/A</v>
        <stp/>
        <stp>BDP|5938512401816277234</stp>
        <tr r="AX12" s="2"/>
      </tp>
      <tp t="s">
        <v>#N/A Requesting Data...3579833369</v>
        <stp/>
        <stp>BDP|3395056477623868315</stp>
        <tr r="BG11" s="3"/>
      </tp>
      <tp t="s">
        <v>#N/A Requesting Data...3195462696</v>
        <stp/>
        <stp>BDP|2456196134381898595</stp>
        <tr r="F133" s="3"/>
      </tp>
      <tp t="s">
        <v>#N/A Requesting Data...2143421003</v>
        <stp/>
        <stp>BDP|9480994637163783459</stp>
        <tr r="AJ87" s="3"/>
      </tp>
      <tp t="s">
        <v>#N/A N/A</v>
        <stp/>
        <stp>BDP|6623324367734849339</stp>
        <tr r="AD67" s="2"/>
      </tp>
      <tp t="s">
        <v>#N/A Requesting Data...3454841583</v>
        <stp/>
        <stp>BDP|3061402699119086312</stp>
        <tr r="F252" s="3"/>
      </tp>
      <tp t="s">
        <v>#N/A N/A</v>
        <stp/>
        <stp>BDP|1514032296075940915</stp>
        <tr r="AM69" s="2"/>
      </tp>
      <tp t="s">
        <v>#N/A Requesting Data...3070768872</v>
        <stp/>
        <stp>BDP|3764883572428633035</stp>
        <tr r="I44" s="3"/>
      </tp>
      <tp t="s">
        <v>#N/A Requesting Data...2465974674</v>
        <stp/>
        <stp>BDP|8499401396708209988</stp>
        <tr r="AJ314" s="3"/>
      </tp>
      <tp t="s">
        <v>#N/A Requesting Data...1967206541</v>
        <stp/>
        <stp>BDP|6410374654416741283</stp>
        <tr r="BF69" s="3"/>
      </tp>
      <tp t="s">
        <v>#N/A N/A</v>
        <stp/>
        <stp>BDP|1474064779254501667</stp>
        <tr r="K85" s="2"/>
      </tp>
      <tp t="s">
        <v>#N/A Requesting Data...1792774883</v>
        <stp/>
        <stp>BDP|3194022275439906979</stp>
        <tr r="BA187" s="3"/>
      </tp>
      <tp t="s">
        <v>#N/A Requesting Data...3376569113</v>
        <stp/>
        <stp>BDP|4709295241800469622</stp>
        <tr r="O186" s="3"/>
      </tp>
      <tp t="s">
        <v>#N/A Requesting Data...1410819099</v>
        <stp/>
        <stp>BDP|6915069864343505772</stp>
        <tr r="AQ44" s="3"/>
      </tp>
      <tp t="s">
        <v>#N/A N/A</v>
        <stp/>
        <stp>BDP|2486054689406025817</stp>
        <tr r="AO40" s="2"/>
      </tp>
      <tp t="s">
        <v>#N/A Requesting Data...1332963661</v>
        <stp/>
        <stp>BDP|8833934676483763139</stp>
        <tr r="K91" s="3"/>
      </tp>
      <tp t="s">
        <v>#N/A Requesting Data...1883712102</v>
        <stp/>
        <stp>BDP|8475396164941321835</stp>
        <tr r="BI138" s="3"/>
      </tp>
      <tp t="s">
        <v>#N/A Requesting Data...3113845775</v>
        <stp/>
        <stp>BDP|6683522687189935637</stp>
        <tr r="AJ48" s="3"/>
      </tp>
      <tp t="s">
        <v>#N/A Requesting Data...1602236622</v>
        <stp/>
        <stp>BDP|8411365016386816858</stp>
        <tr r="AQ254" s="3"/>
      </tp>
      <tp t="s">
        <v>#N/A N/A</v>
        <stp/>
        <stp>BDP|1218441139382214043</stp>
        <tr r="AD42" s="2"/>
      </tp>
      <tp t="s">
        <v>#N/A Requesting Data...2998396002</v>
        <stp/>
        <stp>BDP|3716153562999083992</stp>
        <tr r="BF136" s="3"/>
      </tp>
      <tp t="s">
        <v>#N/A Requesting Data...1000886604</v>
        <stp/>
        <stp>BDP|3371765543093615791</stp>
        <tr r="AJ186" s="3"/>
      </tp>
      <tp t="s">
        <v>#N/A N/A</v>
        <stp/>
        <stp>BDP|1995009847147768602</stp>
        <tr r="BK41" s="2"/>
      </tp>
      <tp t="s">
        <v>#N/A Requesting Data...939089220</v>
        <stp/>
        <stp>BDP|5491145901859853906</stp>
        <tr r="AA72" s="3"/>
      </tp>
      <tp t="s">
        <v>#N/A Requesting Data...1190162771</v>
        <stp/>
        <stp>BDP|7723633809556230360</stp>
        <tr r="BH256" s="3"/>
      </tp>
      <tp t="s">
        <v>#N/A N/A</v>
        <stp/>
        <stp>BDP|1150468888580581949</stp>
        <tr r="AF43" s="2"/>
      </tp>
      <tp t="s">
        <v>#N/A Requesting Data...1139355595</v>
        <stp/>
        <stp>BDP|3221478748127419073</stp>
        <tr r="AJ111" s="3"/>
      </tp>
      <tp t="s">
        <v>#N/A Requesting Data...2587647780</v>
        <stp/>
        <stp>BDP|5970768283318233605</stp>
        <tr r="BG322" s="3"/>
      </tp>
      <tp t="s">
        <v>#N/A Requesting Data...3335221233</v>
        <stp/>
        <stp>BDP|3888959650773752849</stp>
        <tr r="O80" s="3"/>
      </tp>
      <tp t="s">
        <v>#N/A Requesting Data...1334468819</v>
        <stp/>
        <stp>BDP|4250185530727122558</stp>
        <tr r="O137" s="3"/>
      </tp>
      <tp t="s">
        <v>#N/A Requesting Data...1605311028</v>
        <stp/>
        <stp>BDP|9052543435422760988</stp>
        <tr r="BH345" s="3"/>
      </tp>
      <tp t="s">
        <v>#N/A Requesting Data...2626564571</v>
        <stp/>
        <stp>BDP|7445590667808485808</stp>
        <tr r="BH166" s="3"/>
      </tp>
      <tp t="s">
        <v>#N/A Requesting Data...3411674279</v>
        <stp/>
        <stp>BDP|2926093038201645408</stp>
        <tr r="AA347" s="3"/>
      </tp>
      <tp t="s">
        <v>#N/A Requesting Data...2563939514</v>
        <stp/>
        <stp>BDP|3696858199651225764</stp>
        <tr r="F75" s="3"/>
      </tp>
      <tp t="s">
        <v>#N/A Requesting Data...1462869980</v>
        <stp/>
        <stp>BDP|3089571798642970988</stp>
        <tr r="AJ288" s="3"/>
      </tp>
      <tp t="s">
        <v>#N/A Requesting Data...1400500695</v>
        <stp/>
        <stp>BDP|8538226206137828975</stp>
        <tr r="BG343" s="3"/>
      </tp>
      <tp t="s">
        <v>#N/A Requesting Data...3216179551</v>
        <stp/>
        <stp>BDP|8530016381694215091</stp>
        <tr r="AH195" s="3"/>
      </tp>
      <tp t="s">
        <v>#N/A Requesting Data...2440143692</v>
        <stp/>
        <stp>BDP|3202967290357833022</stp>
        <tr r="Y135" s="3"/>
      </tp>
      <tp t="s">
        <v>#N/A Requesting Data...1130274103</v>
        <stp/>
        <stp>BDP|6466325448461451445</stp>
        <tr r="I121" s="3"/>
      </tp>
      <tp t="s">
        <v>#N/A Requesting Data...2623203422</v>
        <stp/>
        <stp>BDP|5678097026621136262</stp>
        <tr r="AJ97" s="3"/>
      </tp>
      <tp t="s">
        <v>#N/A N/A</v>
        <stp/>
        <stp>BDP|5574863545929139499</stp>
        <tr r="BL99" s="2"/>
      </tp>
      <tp t="s">
        <v>#N/A Requesting Data...3255989228</v>
        <stp/>
        <stp>BDP|6949755021594777345</stp>
        <tr r="O23" s="4"/>
      </tp>
      <tp t="s">
        <v>#N/A Requesting Data...3706051976</v>
        <stp/>
        <stp>BDP|2260393762733036077</stp>
        <tr r="AJ270" s="3"/>
      </tp>
      <tp t="s">
        <v>#N/A Requesting Data...3602074323</v>
        <stp/>
        <stp>BDP|2558200275043973074</stp>
        <tr r="BG350" s="3"/>
      </tp>
      <tp t="s">
        <v>#N/A Requesting Data...1758907462</v>
        <stp/>
        <stp>BDP|4012595254467100739</stp>
        <tr r="BF333" s="3"/>
      </tp>
      <tp t="s">
        <v>#N/A Requesting Data...2871767729</v>
        <stp/>
        <stp>BDP|7775491675959013946</stp>
        <tr r="AQ40" s="4"/>
      </tp>
      <tp t="s">
        <v>#N/A Requesting Data...3310274974</v>
        <stp/>
        <stp>BDP|1147625250805885349</stp>
        <tr r="BH82" s="3"/>
      </tp>
      <tp t="s">
        <v>#N/A N/A</v>
        <stp/>
        <stp>BDP|6995869093091523269</stp>
        <tr r="AM27" s="2"/>
      </tp>
      <tp t="s">
        <v>#N/A N/A</v>
        <stp/>
        <stp>BDP|1352681355114376228</stp>
        <tr r="N30" s="2"/>
      </tp>
      <tp t="s">
        <v>#N/A Requesting Data...3915070475</v>
        <stp/>
        <stp>BDP|8009983330934745204</stp>
        <tr r="K290" s="3"/>
      </tp>
      <tp t="s">
        <v>#N/A Requesting Data...1764590721</v>
        <stp/>
        <stp>BDP|5092509888369698517</stp>
        <tr r="BB184" s="3"/>
      </tp>
      <tp t="s">
        <v>#N/A Requesting Data...2274485196</v>
        <stp/>
        <stp>BDP|1653728763445042180</stp>
        <tr r="BB117" s="3"/>
      </tp>
      <tp t="s">
        <v>#N/A Requesting Data...3888824934</v>
        <stp/>
        <stp>BDP|2098580166347635276</stp>
        <tr r="I151" s="3"/>
      </tp>
      <tp t="s">
        <v>#N/A Requesting Data...3613117483</v>
        <stp/>
        <stp>BDP|4370753967923673285</stp>
        <tr r="BH259" s="3"/>
      </tp>
      <tp t="s">
        <v>#N/A Requesting Data...2067206835</v>
        <stp/>
        <stp>BDP|4722989790287098703</stp>
        <tr r="BH81" s="3"/>
      </tp>
      <tp t="s">
        <v>#N/A N/A</v>
        <stp/>
        <stp>BDP|4320754409561562656</stp>
        <tr r="T87" s="2"/>
      </tp>
      <tp t="s">
        <v>#N/A Requesting Data...1854688366</v>
        <stp/>
        <stp>BDP|1074061022764800332</stp>
        <tr r="AQ95" s="3"/>
      </tp>
      <tp t="s">
        <v>#N/A Requesting Data...3435577164</v>
        <stp/>
        <stp>BDP|1845567410691033015</stp>
        <tr r="AQ243" s="3"/>
      </tp>
      <tp t="s">
        <v>#N/A Requesting Data...2489832449</v>
        <stp/>
        <stp>BDP|5401294442697520055</stp>
        <tr r="Y55" s="3"/>
      </tp>
      <tp t="s">
        <v>#N/A Requesting Data...4023350938</v>
        <stp/>
        <stp>BDP|9253084905655650867</stp>
        <tr r="BB134" s="3"/>
      </tp>
      <tp t="s">
        <v>#N/A Requesting Data...2161354776</v>
        <stp/>
        <stp>BDP|4777404662836385497</stp>
        <tr r="Q44" s="3"/>
      </tp>
      <tp t="s">
        <v>#N/A Requesting Data...1525722701</v>
        <stp/>
        <stp>BDP|9390545581838964806</stp>
        <tr r="AA47" s="3"/>
      </tp>
      <tp t="s">
        <v>#N/A Requesting Data...3018915412</v>
        <stp/>
        <stp>BDP|3437183332242660773</stp>
        <tr r="AS284" s="3"/>
      </tp>
      <tp t="s">
        <v>#N/A Requesting Data...3429292404</v>
        <stp/>
        <stp>BDP|6416016768325240139</stp>
        <tr r="AJ214" s="3"/>
      </tp>
      <tp t="s">
        <v>#N/A N/A</v>
        <stp/>
        <stp>BDP|3704269029284293368</stp>
        <tr r="AF95" s="2"/>
      </tp>
      <tp t="s">
        <v>#N/A Requesting Data...1971665752</v>
        <stp/>
        <stp>BDP|7602218137556541495</stp>
        <tr r="AQ307" s="3"/>
      </tp>
      <tp t="s">
        <v>#N/A N/A</v>
        <stp/>
        <stp>BDP|4362258971741200496</stp>
        <tr r="BM44" s="2"/>
      </tp>
      <tp t="s">
        <v>#N/A N/A</v>
        <stp/>
        <stp>BDP|5610577589704280867</stp>
        <tr r="AF64" s="2"/>
      </tp>
      <tp t="s">
        <v>#N/A Requesting Data...3682766183</v>
        <stp/>
        <stp>BDP|3545752615695073499</stp>
        <tr r="BG142" s="3"/>
      </tp>
      <tp t="s">
        <v>#N/A Requesting Data...3090514338</v>
        <stp/>
        <stp>BDP|9504773792497569490</stp>
        <tr r="AH187" s="3"/>
      </tp>
      <tp t="s">
        <v>#N/A Requesting Data...1474804842</v>
        <stp/>
        <stp>BDP|2535661356435902006</stp>
        <tr r="BI11" s="3"/>
      </tp>
      <tp t="s">
        <v>#N/A Requesting Data...4224949169</v>
        <stp/>
        <stp>BDP|4561163628345667613</stp>
        <tr r="O84" s="3"/>
      </tp>
      <tp t="s">
        <v>#N/A Requesting Data...1316402677</v>
        <stp/>
        <stp>BDP|8982748487822182173</stp>
        <tr r="BF45" s="3"/>
      </tp>
      <tp t="s">
        <v>#N/A Requesting Data...1397939436</v>
        <stp/>
        <stp>BDP|5744596165722568021</stp>
        <tr r="BB267" s="3"/>
      </tp>
      <tp t="s">
        <v>#N/A Requesting Data...1424041309</v>
        <stp/>
        <stp>BDP|9804096259750355871</stp>
        <tr r="Y285" s="3"/>
      </tp>
      <tp t="s">
        <v>#N/A Requesting Data...2149893764</v>
        <stp/>
        <stp>BDP|1523423016772806252</stp>
        <tr r="AQ49" s="4"/>
      </tp>
      <tp t="s">
        <v>#N/A Requesting Data...2740458126</v>
        <stp/>
        <stp>BDP|3403253368185098642</stp>
        <tr r="O133" s="3"/>
      </tp>
      <tp t="s">
        <v>#N/A N/A</v>
        <stp/>
        <stp>BDP|8157720857848870613</stp>
        <tr r="BN82" s="2"/>
      </tp>
      <tp t="s">
        <v>#N/A Requesting Data...1989456815</v>
        <stp/>
        <stp>BDP|4047020127214055688</stp>
        <tr r="Q77" s="3"/>
      </tp>
      <tp t="s">
        <v>#N/A Requesting Data...1502838697</v>
        <stp/>
        <stp>BDP|7524809892515850720</stp>
        <tr r="BH310" s="3"/>
      </tp>
      <tp t="s">
        <v>#N/A Requesting Data...1548536955</v>
        <stp/>
        <stp>BDP|6798521489297855895</stp>
        <tr r="Q163" s="3"/>
      </tp>
      <tp t="s">
        <v>#N/A Requesting Data...3628510336</v>
        <stp/>
        <stp>BDP|1507691124809669835</stp>
        <tr r="G27" s="4"/>
      </tp>
      <tp t="s">
        <v>#N/A Requesting Data...2700725454</v>
        <stp/>
        <stp>BDP|9267720218999574202</stp>
        <tr r="O237" s="3"/>
      </tp>
      <tp t="s">
        <v>#N/A Requesting Data...1422680834</v>
        <stp/>
        <stp>BDP|2880373022196680168</stp>
        <tr r="BF290" s="3"/>
      </tp>
      <tp t="s">
        <v>#N/A Requesting Data...3879495533</v>
        <stp/>
        <stp>BDP|1903637314514295617</stp>
        <tr r="BH297" s="3"/>
      </tp>
      <tp t="s">
        <v>#N/A Requesting Data...2869531735</v>
        <stp/>
        <stp>BDP|6708483556716199551</stp>
        <tr r="AS217" s="3"/>
      </tp>
      <tp t="s">
        <v>#N/A Requesting Data...2062558601</v>
        <stp/>
        <stp>BDP|2772086847942353061</stp>
        <tr r="Y49" s="3"/>
      </tp>
      <tp t="s">
        <v>#N/A Requesting Data...2353989060</v>
        <stp/>
        <stp>BDP|4910242315574402719</stp>
        <tr r="I4" s="4"/>
      </tp>
      <tp t="s">
        <v>#N/A Requesting Data...2169982263</v>
        <stp/>
        <stp>BDP|2140834215637211888</stp>
        <tr r="AA58" s="3"/>
      </tp>
      <tp t="s">
        <v>#N/A Requesting Data...1807466437</v>
        <stp/>
        <stp>BDP|8946234871690389950</stp>
        <tr r="BI61" s="3"/>
      </tp>
      <tp t="s">
        <v>#N/A Requesting Data...2558922444</v>
        <stp/>
        <stp>BDP|3280181816855201234</stp>
        <tr r="Y167" s="3"/>
      </tp>
      <tp t="s">
        <v>#N/A Requesting Data...1856662115</v>
        <stp/>
        <stp>BDP|2039230126442115493</stp>
        <tr r="AQ21" s="4"/>
      </tp>
      <tp t="s">
        <v>#N/A Requesting Data...2886391808</v>
        <stp/>
        <stp>BDP|7693634357004793482</stp>
        <tr r="I42" s="4"/>
      </tp>
      <tp t="s">
        <v>#N/A Requesting Data...4021577837</v>
        <stp/>
        <stp>BDP|9852100155480235924</stp>
        <tr r="O158" s="3"/>
      </tp>
      <tp t="s">
        <v>#N/A N/A</v>
        <stp/>
        <stp>BDP|8741866367113487103</stp>
        <tr r="K39" s="2"/>
      </tp>
      <tp t="s">
        <v>#N/A Requesting Data...4031854250</v>
        <stp/>
        <stp>BDP|1046539610110162101</stp>
        <tr r="O208" s="3"/>
      </tp>
      <tp t="s">
        <v>#N/A Requesting Data...2662214541</v>
        <stp/>
        <stp>BDP|9514878503772004734</stp>
        <tr r="BH10" s="3"/>
      </tp>
      <tp t="s">
        <v>#N/A Requesting Data...2430367992</v>
        <stp/>
        <stp>BDP|4775824555318298504</stp>
        <tr r="F263" s="3"/>
      </tp>
      <tp t="s">
        <v>#N/A Requesting Data...1460450478</v>
        <stp/>
        <stp>BDP|8619890719730093543</stp>
        <tr r="AH294" s="3"/>
      </tp>
      <tp t="s">
        <v>#N/A Requesting Data...3990324516</v>
        <stp/>
        <stp>BDP|3245916425695282960</stp>
        <tr r="AS39" s="3"/>
      </tp>
      <tp t="s">
        <v>#N/A N/A</v>
        <stp/>
        <stp>BDP|8202041269812475891</stp>
        <tr r="AX40" s="2"/>
      </tp>
      <tp t="s">
        <v>#N/A Requesting Data...1514751083</v>
        <stp/>
        <stp>BDP|4610637879892634382</stp>
        <tr r="BH23" s="3"/>
      </tp>
      <tp t="s">
        <v>#N/A Requesting Data...2366110997</v>
        <stp/>
        <stp>BDP|2360629007972286261</stp>
        <tr r="F181" s="3"/>
      </tp>
      <tp t="s">
        <v>#N/A Requesting Data...1457090460</v>
        <stp/>
        <stp>BDP|2977098912637932094</stp>
        <tr r="Q339" s="3"/>
      </tp>
      <tp t="s">
        <v>#N/A Requesting Data...3018353538</v>
        <stp/>
        <stp>BDP|9251409577817275952</stp>
        <tr r="BB289" s="3"/>
      </tp>
      <tp t="s">
        <v>#N/A Requesting Data...3810895068</v>
        <stp/>
        <stp>BDP|3522968946193283952</stp>
        <tr r="Q172" s="3"/>
      </tp>
      <tp t="s">
        <v>#N/A N/A</v>
        <stp/>
        <stp>BDP|5794170697869125042</stp>
        <tr r="V51" s="2"/>
      </tp>
      <tp t="s">
        <v>#N/A Requesting Data...2041554563</v>
        <stp/>
        <stp>BDP|2541018639427898270</stp>
        <tr r="K171" s="3"/>
      </tp>
      <tp t="s">
        <v>#N/A Requesting Data...4004492694</v>
        <stp/>
        <stp>BDP|2328214866450236241</stp>
        <tr r="AF40" s="4"/>
      </tp>
      <tp t="s">
        <v>#N/A Requesting Data...2052881197</v>
        <stp/>
        <stp>BDP|4449773474539231973</stp>
        <tr r="BB89" s="3"/>
      </tp>
      <tp t="s">
        <v>#N/A Requesting Data...2808386525</v>
        <stp/>
        <stp>BDP|7471921634150218924</stp>
        <tr r="F347" s="3"/>
      </tp>
      <tp t="s">
        <v>#N/A Requesting Data...3002097948</v>
        <stp/>
        <stp>BDP|8810721932650252887</stp>
        <tr r="I41" s="4"/>
      </tp>
      <tp t="s">
        <v>#N/A N/A</v>
        <stp/>
        <stp>BDP|9938769488517435518</stp>
        <tr r="BE46" s="2"/>
      </tp>
      <tp t="s">
        <v>#N/A Requesting Data...2351901869</v>
        <stp/>
        <stp>BDP|9462227071919394166</stp>
        <tr r="K159" s="3"/>
      </tp>
      <tp t="s">
        <v>#N/A N/A</v>
        <stp/>
        <stp>BDP|6657841674355519811</stp>
        <tr r="BG75" s="2"/>
      </tp>
      <tp t="s">
        <v>#N/A Requesting Data...3407850287</v>
        <stp/>
        <stp>BDP|7115157308755785780</stp>
        <tr r="Y279" s="3"/>
      </tp>
      <tp t="s">
        <v>#N/A Requesting Data...1669052293</v>
        <stp/>
        <stp>BDP|4759264586853255965</stp>
        <tr r="BA331" s="3"/>
      </tp>
      <tp t="s">
        <v>#N/A Requesting Data...4255531435</v>
        <stp/>
        <stp>BDP|8759798239131423907</stp>
        <tr r="AH291" s="3"/>
      </tp>
      <tp t="s">
        <v>#N/A Requesting Data...3982358467</v>
        <stp/>
        <stp>BDP|3722627073572683430</stp>
        <tr r="BH347" s="3"/>
      </tp>
      <tp t="s">
        <v>#N/A Requesting Data...1733630117</v>
        <stp/>
        <stp>BDP|9169769377794632953</stp>
        <tr r="I100" s="3"/>
      </tp>
      <tp t="s">
        <v>#N/A Requesting Data...3722870398</v>
        <stp/>
        <stp>BDP|2917148310907738198</stp>
        <tr r="K192" s="3"/>
      </tp>
      <tp t="s">
        <v>#N/A N/A</v>
        <stp/>
        <stp>BDP|5452844134013295955</stp>
        <tr r="AM20" s="2"/>
      </tp>
      <tp t="s">
        <v>#N/A Requesting Data...4070505757</v>
        <stp/>
        <stp>BDP|6615519424670619562</stp>
        <tr r="BI254" s="3"/>
      </tp>
      <tp t="s">
        <v>#N/A N/A</v>
        <stp/>
        <stp>BDP|6590047232424718577</stp>
        <tr r="BE64" s="2"/>
      </tp>
      <tp t="s">
        <v>#N/A Requesting Data...3524737492</v>
        <stp/>
        <stp>BDP|3148001331867668354</stp>
        <tr r="AH254" s="3"/>
      </tp>
      <tp t="s">
        <v>#N/A N/A</v>
        <stp/>
        <stp>BDP|3347004711872742463</stp>
        <tr r="BG40" s="2"/>
      </tp>
      <tp t="s">
        <v>#N/A Requesting Data...3443967276</v>
        <stp/>
        <stp>BDP|2083457124595272502</stp>
        <tr r="P10" s="2"/>
      </tp>
      <tp t="s">
        <v>#N/A Requesting Data...3976034804</v>
        <stp/>
        <stp>BDP|8096941855017714756</stp>
        <tr r="BI65" s="3"/>
      </tp>
      <tp t="s">
        <v>#N/A Requesting Data...3674255907</v>
        <stp/>
        <stp>BDP|4520725558856884449</stp>
        <tr r="I80" s="3"/>
      </tp>
      <tp t="s">
        <v>#N/A Requesting Data...3932618378</v>
        <stp/>
        <stp>BDP|1024896687876460394</stp>
        <tr r="T16" s="2"/>
        <tr r="M8" s="4"/>
      </tp>
      <tp t="s">
        <v>#N/A Requesting Data...1402866323</v>
        <stp/>
        <stp>BDP|4183957117570197812</stp>
        <tr r="W61" s="4"/>
      </tp>
      <tp t="s">
        <v>#N/A Requesting Data...2184494231</v>
        <stp/>
        <stp>BDP|7212010537024619411</stp>
        <tr r="BA89" s="3"/>
      </tp>
      <tp t="s">
        <v>#N/A Requesting Data...2462366631</v>
        <stp/>
        <stp>BDP|3222784958266755361</stp>
        <tr r="AH249" s="3"/>
      </tp>
      <tp t="s">
        <v>#N/A Requesting Data...1650641255</v>
        <stp/>
        <stp>BDP|4353203320111628167</stp>
        <tr r="BG290" s="3"/>
      </tp>
      <tp t="s">
        <v>#N/A Requesting Data...3869417623</v>
        <stp/>
        <stp>BDP|6507260332815059628</stp>
        <tr r="O8" s="3"/>
      </tp>
      <tp t="s">
        <v>#N/A Requesting Data...2367668100</v>
        <stp/>
        <stp>BDP|2858943738199520522</stp>
        <tr r="W50" s="4"/>
      </tp>
      <tp t="s">
        <v>#N/A Requesting Data...2030683210</v>
        <stp/>
        <stp>BDP|6420855840566269803</stp>
        <tr r="BI98" s="3"/>
      </tp>
      <tp t="s">
        <v>#N/A N/A</v>
        <stp/>
        <stp>BDP|7369460150586620406</stp>
        <tr r="BK46" s="2"/>
      </tp>
      <tp t="s">
        <v>#N/A N/A</v>
        <stp/>
        <stp>BDP|7728189261572515688</stp>
        <tr r="BG63" s="2"/>
      </tp>
      <tp t="s">
        <v>#N/A Requesting Data...4092647988</v>
        <stp/>
        <stp>BDP|2879498328771989136</stp>
        <tr r="F173" s="3"/>
      </tp>
      <tp t="s">
        <v>#N/A Requesting Data...4164031539</v>
        <stp/>
        <stp>BDP|3466000445737815499</stp>
        <tr r="BH201" s="3"/>
      </tp>
      <tp t="s">
        <v>#N/A Requesting Data...4085406814</v>
        <stp/>
        <stp>BDP|4094898467847943974</stp>
        <tr r="BF270" s="3"/>
      </tp>
      <tp t="s">
        <v>#N/A Requesting Data...3085309591</v>
        <stp/>
        <stp>BDP|7896612460224081798</stp>
        <tr r="AH338" s="3"/>
      </tp>
      <tp t="s">
        <v>#N/A Requesting Data...2807173430</v>
        <stp/>
        <stp>BDP|7148413402151670648</stp>
        <tr r="BB90" s="3"/>
      </tp>
      <tp t="s">
        <v>#N/A Requesting Data...3266959124</v>
        <stp/>
        <stp>BDP|2787780496470106884</stp>
        <tr r="AH330" s="3"/>
      </tp>
      <tp t="s">
        <v>#N/A Requesting Data...3713775211</v>
        <stp/>
        <stp>BDP|6789701307674751172</stp>
        <tr r="AH132" s="3"/>
      </tp>
      <tp t="s">
        <v>#N/A Requesting Data...3505715004</v>
        <stp/>
        <stp>BDP|9356605397724592615</stp>
        <tr r="BH308" s="3"/>
      </tp>
      <tp t="s">
        <v>#N/A Requesting Data...3415849506</v>
        <stp/>
        <stp>BDP|4223666742926303457</stp>
        <tr r="Y105" s="3"/>
      </tp>
      <tp t="s">
        <v>#N/A Requesting Data...3061277999</v>
        <stp/>
        <stp>BDP|2906346658855703523</stp>
        <tr r="BA222" s="3"/>
      </tp>
      <tp t="s">
        <v>#N/A N/A</v>
        <stp/>
        <stp>BDP|7347848763105285869</stp>
        <tr r="K76" s="2"/>
      </tp>
      <tp t="s">
        <v>#N/A Requesting Data...1505854591</v>
        <stp/>
        <stp>BDP|4177884848354084814</stp>
        <tr r="BF319" s="3"/>
      </tp>
      <tp t="s">
        <v>#N/A Requesting Data...2004612378</v>
        <stp/>
        <stp>BDP|4841094125776780431</stp>
        <tr r="AZ305" s="3"/>
      </tp>
      <tp t="s">
        <v>#N/A Requesting Data...1627888950</v>
        <stp/>
        <stp>BDP|8845663416689196296</stp>
        <tr r="I162" s="3"/>
      </tp>
      <tp t="s">
        <v>#N/A Requesting Data...1640211332</v>
        <stp/>
        <stp>BDP|8865827962781070381</stp>
        <tr r="F25" s="3"/>
      </tp>
      <tp t="s">
        <v>#N/A Requesting Data...3912691863</v>
        <stp/>
        <stp>BDP|4654418993324745938</stp>
        <tr r="O252" s="3"/>
      </tp>
      <tp t="s">
        <v>#N/A N/A</v>
        <stp/>
        <stp>BDP|1543952762683337911</stp>
        <tr r="BN75" s="2"/>
      </tp>
      <tp t="s">
        <v>#N/A N/A</v>
        <stp/>
        <stp>BDP|8835921748029177830</stp>
        <tr r="AX76" s="2"/>
      </tp>
      <tp t="s">
        <v>#N/A Requesting Data...2529840723</v>
        <stp/>
        <stp>BDP|3922624262471834616</stp>
        <tr r="BH231" s="3"/>
      </tp>
      <tp t="s">
        <v>#N/A Requesting Data...3060044246</v>
        <stp/>
        <stp>BDP|9351663543429640600</stp>
        <tr r="I212" s="3"/>
      </tp>
      <tp t="s">
        <v>#N/A Requesting Data...1723109094</v>
        <stp/>
        <stp>BDP|6220045310533437027</stp>
        <tr r="BI208" s="3"/>
      </tp>
      <tp t="s">
        <v>#N/A Requesting Data...3384344987</v>
        <stp/>
        <stp>BDP|1916958778958735335</stp>
        <tr r="Y278" s="3"/>
      </tp>
      <tp t="s">
        <v>#N/A N/A</v>
        <stp/>
        <stp>BDP|3749618772176008054</stp>
        <tr r="AX19" s="2"/>
      </tp>
      <tp t="s">
        <v>#N/A Requesting Data...2009414277</v>
        <stp/>
        <stp>BDP|6188379960092614518</stp>
        <tr r="AH229" s="3"/>
      </tp>
      <tp t="s">
        <v>#N/A N/A</v>
        <stp/>
        <stp>BDP|2080664943035211165</stp>
        <tr r="AM44" s="2"/>
      </tp>
      <tp t="s">
        <v>#N/A Requesting Data...3491822999</v>
        <stp/>
        <stp>BDP|8633988808814086170</stp>
        <tr r="I241" s="3"/>
      </tp>
      <tp t="s">
        <v>#N/A N/A</v>
        <stp/>
        <stp>BDP|4302378913100360254</stp>
        <tr r="BK66" s="2"/>
      </tp>
      <tp t="s">
        <v>#N/A Requesting Data...3177360047</v>
        <stp/>
        <stp>BDP|1876624828856609751</stp>
        <tr r="AH38" s="3"/>
      </tp>
      <tp t="s">
        <v>#N/A N/A</v>
        <stp/>
        <stp>BDP|7357041337242721268</stp>
        <tr r="P20" s="2"/>
      </tp>
      <tp t="s">
        <v>#N/A Requesting Data...3664999992</v>
        <stp/>
        <stp>BDP|1954392364735798525</stp>
        <tr r="BH338" s="3"/>
      </tp>
      <tp t="s">
        <v>#N/A Requesting Data...1708501419</v>
        <stp/>
        <stp>BDP|2059663774451643659</stp>
        <tr r="M7" s="4"/>
      </tp>
      <tp t="s">
        <v>#N/A Requesting Data...2296617201</v>
        <stp/>
        <stp>BDP|5131261926855006405</stp>
        <tr r="I43" s="4"/>
      </tp>
      <tp t="s">
        <v>#N/A N/A</v>
        <stp/>
        <stp>BDP|6347027064933383772</stp>
        <tr r="T101" s="2"/>
      </tp>
      <tp t="s">
        <v>#N/A Requesting Data...1765653199</v>
        <stp/>
        <stp>BDP|5660081152397826355</stp>
        <tr r="BH276" s="3"/>
      </tp>
      <tp t="s">
        <v>#N/A N/A</v>
        <stp/>
        <stp>BDP|6049311112141448165</stp>
        <tr r="AX90" s="2"/>
      </tp>
      <tp t="s">
        <v>#N/A N/A</v>
        <stp/>
        <stp>BDP|7396559755842192134</stp>
        <tr r="AO34" s="2"/>
      </tp>
      <tp t="s">
        <v>#N/A Requesting Data...2439123201</v>
        <stp/>
        <stp>BDP|6843472468002469227</stp>
        <tr r="AQ322" s="3"/>
      </tp>
      <tp t="s">
        <v>#N/A Requesting Data...3253222186</v>
        <stp/>
        <stp>BDP|1953609959747746168</stp>
        <tr r="BG75" s="3"/>
      </tp>
      <tp t="s">
        <v>#N/A Requesting Data...2156288060</v>
        <stp/>
        <stp>BDP|1685987519904336953</stp>
        <tr r="BH128" s="3"/>
      </tp>
      <tp t="s">
        <v>#N/A Requesting Data...2672730632</v>
        <stp/>
        <stp>BDP|9887721418599047241</stp>
        <tr r="AZ296" s="3"/>
      </tp>
      <tp t="s">
        <v>#N/A Requesting Data...3519316454</v>
        <stp/>
        <stp>BDP|3871519149342125477</stp>
        <tr r="I62" s="3"/>
      </tp>
      <tp t="s">
        <v>#N/A Requesting Data...4009555505</v>
        <stp/>
        <stp>BDP|8790843371031195258</stp>
        <tr r="O313" s="3"/>
      </tp>
      <tp t="s">
        <v>#N/A N/A</v>
        <stp/>
        <stp>BDP|3209375771191460268</stp>
        <tr r="V61" s="2"/>
      </tp>
      <tp t="s">
        <v>#N/A Requesting Data...3673410024</v>
        <stp/>
        <stp>BDP|7197472629115172080</stp>
        <tr r="F282" s="3"/>
      </tp>
      <tp t="s">
        <v>#N/A Requesting Data...2794689266</v>
        <stp/>
        <stp>BDP|7107369190659885098</stp>
        <tr r="BB213" s="3"/>
      </tp>
      <tp t="s">
        <v>#N/A Requesting Data...2716233563</v>
        <stp/>
        <stp>BDP|6996400716670025793</stp>
        <tr r="P9" s="2"/>
      </tp>
      <tp t="s">
        <v>#N/A Requesting Data...3760022171</v>
        <stp/>
        <stp>BDP|9889308258663177870</stp>
        <tr r="I174" s="3"/>
      </tp>
      <tp t="s">
        <v>#N/A Requesting Data...2420693213</v>
        <stp/>
        <stp>BDP|1443056289864797993</stp>
        <tr r="AH75" s="3"/>
      </tp>
      <tp t="s">
        <v>#N/A Requesting Data...2748022433</v>
        <stp/>
        <stp>BDP|6536386734306622494</stp>
        <tr r="AZ55" s="3"/>
      </tp>
      <tp t="s">
        <v>#N/A Requesting Data...2021124041</v>
        <stp/>
        <stp>BDP|9727077983482328763</stp>
        <tr r="I301" s="3"/>
      </tp>
      <tp t="s">
        <v>#N/A Requesting Data...2800060066</v>
        <stp/>
        <stp>BDP|3090051044523163068</stp>
        <tr r="AZ150" s="3"/>
      </tp>
      <tp t="s">
        <v>#N/A N/A</v>
        <stp/>
        <stp>BDP|1677287342041938230</stp>
        <tr r="BF72" s="2"/>
      </tp>
      <tp t="s">
        <v>#N/A Requesting Data...1966067006</v>
        <stp/>
        <stp>BDP|6340695432270655784</stp>
        <tr r="BF6" s="2"/>
      </tp>
      <tp t="s">
        <v>#N/A N/A</v>
        <stp/>
        <stp>BDP|6030464664543056342</stp>
        <tr r="AO87" s="2"/>
      </tp>
      <tp t="s">
        <v>#N/A Requesting Data...3931387094</v>
        <stp/>
        <stp>BDP|2381156249977001493</stp>
        <tr r="AH256" s="3"/>
      </tp>
      <tp t="s">
        <v>#N/A Requesting Data...2930980166</v>
        <stp/>
        <stp>BDP|5821008789579210058</stp>
        <tr r="AH211" s="3"/>
      </tp>
      <tp t="s">
        <v>#N/A N/A</v>
        <stp/>
        <stp>BDP|3104319871957075471</stp>
        <tr r="BM71" s="2"/>
      </tp>
      <tp t="s">
        <v>#N/A Requesting Data...3236448130</v>
        <stp/>
        <stp>BDP|3791776231140052362</stp>
        <tr r="D43" s="4"/>
      </tp>
      <tp t="s">
        <v>#N/A Requesting Data...2224444784</v>
        <stp/>
        <stp>BDP|1150994372779499296</stp>
        <tr r="F189" s="3"/>
      </tp>
      <tp t="s">
        <v>#N/A Requesting Data...3280904059</v>
        <stp/>
        <stp>BDP|4288228980892060877</stp>
        <tr r="V2" s="2"/>
        <tr r="O2" s="4"/>
        <tr r="Q2" s="3"/>
      </tp>
      <tp t="s">
        <v>#N/A Requesting Data...4217784436</v>
        <stp/>
        <stp>BDP|7603010525894393569</stp>
        <tr r="Y295" s="3"/>
      </tp>
      <tp t="s">
        <v>#N/A Requesting Data...1852295955</v>
        <stp/>
        <stp>BDP|9115540406381381972</stp>
        <tr r="F215" s="3"/>
      </tp>
      <tp t="s">
        <v>#N/A Requesting Data...4005599622</v>
        <stp/>
        <stp>BDP|5019625067381359019</stp>
        <tr r="AA64" s="3"/>
      </tp>
      <tp t="s">
        <v>#N/A Requesting Data...2724920192</v>
        <stp/>
        <stp>BDP|5521410702335696072</stp>
        <tr r="AJ164" s="3"/>
      </tp>
      <tp t="s">
        <v>#N/A N/A</v>
        <stp/>
        <stp>BDP|4772746606926710154</stp>
        <tr r="BK30" s="2"/>
      </tp>
      <tp t="s">
        <v>#N/A Requesting Data...2115543260</v>
        <stp/>
        <stp>BDP|1013810566868013305</stp>
        <tr r="AQ163" s="3"/>
      </tp>
      <tp t="s">
        <v>#N/A Requesting Data...2494884383</v>
        <stp/>
        <stp>BDP|2596765569111558685</stp>
        <tr r="I194" s="3"/>
      </tp>
      <tp t="s">
        <v>#N/A Requesting Data...4187753859</v>
        <stp/>
        <stp>BDP|7487470237601767544</stp>
        <tr r="AH162" s="3"/>
      </tp>
      <tp t="s">
        <v>#N/A Requesting Data...2002905555</v>
        <stp/>
        <stp>BDP|1817460016264784484</stp>
        <tr r="AX3" s="4"/>
      </tp>
      <tp t="s">
        <v>#N/A Requesting Data...2498533423</v>
        <stp/>
        <stp>BDP|4820625901856439083</stp>
        <tr r="AA282" s="3"/>
      </tp>
      <tp t="s">
        <v>#N/A Requesting Data...2528266494</v>
        <stp/>
        <stp>BDP|3294268431831261700</stp>
        <tr r="O63" s="3"/>
      </tp>
      <tp t="s">
        <v>#N/A Requesting Data...2979090139</v>
        <stp/>
        <stp>BDP|1915207659964669616</stp>
        <tr r="I325" s="3"/>
      </tp>
      <tp t="s">
        <v>#N/A Requesting Data...4153554902</v>
        <stp/>
        <stp>BDP|7486205427401423205</stp>
        <tr r="I56" s="4"/>
      </tp>
      <tp t="s">
        <v>#N/A Requesting Data...3325962728</v>
        <stp/>
        <stp>BDP|2498257153333416212</stp>
        <tr r="F6" s="3"/>
      </tp>
      <tp t="s">
        <v>#N/A Requesting Data...4183143713</v>
        <stp/>
        <stp>BDP|7423861904418392320</stp>
        <tr r="BH348" s="3"/>
      </tp>
      <tp t="s">
        <v>#N/A Requesting Data...3576368459</v>
        <stp/>
        <stp>BDP|3861722599598630123</stp>
        <tr r="BG14" s="3"/>
      </tp>
      <tp t="s">
        <v>#N/A Requesting Data...2964685315</v>
        <stp/>
        <stp>BDP|4122311202170445316</stp>
        <tr r="BI35" s="3"/>
      </tp>
      <tp t="s">
        <v>#N/A Requesting Data...2132033917</v>
        <stp/>
        <stp>BDP|2435714986469756036</stp>
        <tr r="BI219" s="3"/>
      </tp>
      <tp t="s">
        <v>#N/A Requesting Data...2187282674</v>
        <stp/>
        <stp>BDP|3919477252482841435</stp>
        <tr r="Y5" s="4"/>
      </tp>
      <tp t="s">
        <v>#N/A Requesting Data...4211651331</v>
        <stp/>
        <stp>BDP|4293108490748629037</stp>
        <tr r="F56" s="3"/>
      </tp>
      <tp t="s">
        <v>#N/A Requesting Data...1881344397</v>
        <stp/>
        <stp>BDP|8238012157148248116</stp>
        <tr r="BA5" s="3"/>
      </tp>
      <tp t="s">
        <v>#N/A N/A</v>
        <stp/>
        <stp>BDP|6446500659253303193</stp>
        <tr r="BG50" s="2"/>
      </tp>
      <tp t="s">
        <v>#N/A Requesting Data...3095885652</v>
        <stp/>
        <stp>BDP|8634799074669505599</stp>
        <tr r="AQ20" s="4"/>
      </tp>
      <tp t="s">
        <v>#N/A Requesting Data...4182003648</v>
        <stp/>
        <stp>BDP|3741607235690499219</stp>
        <tr r="AF44" s="4"/>
      </tp>
      <tp t="s">
        <v>#N/A Requesting Data...2296562267</v>
        <stp/>
        <stp>BDP|9546377651768109351</stp>
        <tr r="BA80" s="3"/>
      </tp>
      <tp t="s">
        <v>#N/A Requesting Data...2953006502</v>
        <stp/>
        <stp>BDP|2635134497257198948</stp>
        <tr r="K43" s="3"/>
      </tp>
      <tp t="s">
        <v>#N/A Requesting Data...4216686302</v>
        <stp/>
        <stp>BDP|1112797219351468227</stp>
        <tr r="AQ53" s="4"/>
      </tp>
      <tp t="s">
        <v>#N/A Requesting Data...2973814294</v>
        <stp/>
        <stp>BDP|5007454897904382861</stp>
        <tr r="F346" s="3"/>
      </tp>
      <tp t="s">
        <v>#N/A Requesting Data...2864034386</v>
        <stp/>
        <stp>BDP|6717062606620213223</stp>
        <tr r="I114" s="3"/>
      </tp>
      <tp t="s">
        <v>#N/A Requesting Data...4073094316</v>
        <stp/>
        <stp>BDP|9048870925112040556</stp>
        <tr r="AH141" s="3"/>
      </tp>
      <tp t="s">
        <v>#N/A N/A</v>
        <stp/>
        <stp>BDP|4710555451980535019</stp>
        <tr r="BK75" s="2"/>
      </tp>
      <tp t="s">
        <v>#N/A Requesting Data...3759502920</v>
        <stp/>
        <stp>BDP|8948280165248269016</stp>
        <tr r="AS98" s="3"/>
      </tp>
      <tp t="s">
        <v>#N/A Requesting Data...3174002044</v>
        <stp/>
        <stp>BDP|7544604953159185932</stp>
        <tr r="K5" s="3"/>
      </tp>
      <tp t="s">
        <v>#N/A Requesting Data...3040311703</v>
        <stp/>
        <stp>BDP|2656944537689640578</stp>
        <tr r="AZ339" s="3"/>
      </tp>
      <tp t="s">
        <v>#N/A Requesting Data...2938210792</v>
        <stp/>
        <stp>BDP|3450620003110711168</stp>
        <tr r="BF158" s="3"/>
      </tp>
      <tp t="s">
        <v>#N/A N/A</v>
        <stp/>
        <stp>BDP|8114757343057082833</stp>
        <tr r="T72" s="2"/>
      </tp>
      <tp t="s">
        <v>#N/A Requesting Data...3371975631</v>
        <stp/>
        <stp>BDP|1405647223210408138</stp>
        <tr r="K255" s="3"/>
      </tp>
      <tp t="s">
        <v>#N/A Requesting Data...2202272865</v>
        <stp/>
        <stp>BDP|2073012473411288045</stp>
        <tr r="AA11" s="3"/>
      </tp>
      <tp t="s">
        <v>#N/A Requesting Data...3378472227</v>
        <stp/>
        <stp>BDP|3414047701657785027</stp>
        <tr r="AQ161" s="3"/>
      </tp>
      <tp t="s">
        <v>#N/A N/A</v>
        <stp/>
        <stp>BDP|8780749946777595840</stp>
        <tr r="BE81" s="2"/>
      </tp>
      <tp t="s">
        <v>#N/A Requesting Data...3906182623</v>
        <stp/>
        <stp>BDP|7055507601151648739</stp>
        <tr r="BG216" s="3"/>
      </tp>
      <tp t="s">
        <v>#N/A Requesting Data...2399357701</v>
        <stp/>
        <stp>BDP|1806376444286864473</stp>
        <tr r="AZ127" s="3"/>
      </tp>
      <tp t="s">
        <v>#N/A Requesting Data...3462342212</v>
        <stp/>
        <stp>BDP|7603907630458107136</stp>
        <tr r="BB233" s="3"/>
      </tp>
      <tp t="s">
        <v>#N/A Requesting Data...2358167912</v>
        <stp/>
        <stp>BDP|6237203613991556009</stp>
        <tr r="BF107" s="3"/>
      </tp>
      <tp t="s">
        <v>#N/A Requesting Data...2459236686</v>
        <stp/>
        <stp>BDP|2303310420335526235</stp>
        <tr r="AH49" s="3"/>
      </tp>
      <tp t="s">
        <v>#N/A Requesting Data...2788600533</v>
        <stp/>
        <stp>BDP|8047830131573472421</stp>
        <tr r="M32" s="4"/>
      </tp>
      <tp t="s">
        <v>#N/A Requesting Data...2624018500</v>
        <stp/>
        <stp>BDP|6256412565773518376</stp>
        <tr r="AJ200" s="3"/>
      </tp>
      <tp t="s">
        <v>#N/A Requesting Data...3391623520</v>
        <stp/>
        <stp>BDP|2068121202641131655</stp>
        <tr r="I239" s="3"/>
      </tp>
      <tp t="s">
        <v>#N/A Requesting Data...2781540832</v>
        <stp/>
        <stp>BDP|6661555451196178473</stp>
        <tr r="BI203" s="3"/>
      </tp>
      <tp t="s">
        <v>#N/A N/A</v>
        <stp/>
        <stp>BDP|8038602739288522198</stp>
        <tr r="BK11" s="2"/>
      </tp>
      <tp t="s">
        <v>#N/A Requesting Data...3312236282</v>
        <stp/>
        <stp>BDP|5695623525275666027</stp>
        <tr r="AA3" s="3"/>
      </tp>
      <tp t="s">
        <v>#N/A N/A</v>
        <stp/>
        <stp>BDP|5192548516215290042</stp>
        <tr r="BK55" s="2"/>
      </tp>
      <tp t="s">
        <v>#N/A Requesting Data...3081019908</v>
        <stp/>
        <stp>BDP|2382137128014845150</stp>
        <tr r="BH105" s="3"/>
      </tp>
      <tp t="s">
        <v>#N/A Requesting Data...3456146891</v>
        <stp/>
        <stp>BDP|2232271371665480651</stp>
        <tr r="BG112" s="3"/>
      </tp>
      <tp t="s">
        <v>#N/A Requesting Data...3697894947</v>
        <stp/>
        <stp>BDP|7572659048487843652</stp>
        <tr r="BB288" s="3"/>
      </tp>
      <tp t="s">
        <v>#N/A Requesting Data...3218080036</v>
        <stp/>
        <stp>BDP|9951372801806333890</stp>
        <tr r="BA145" s="3"/>
      </tp>
      <tp t="s">
        <v>#N/A Requesting Data...2449285341</v>
        <stp/>
        <stp>BDP|1073299064250071184</stp>
        <tr r="O10" s="4"/>
      </tp>
      <tp t="s">
        <v>#N/A Requesting Data...2078558513</v>
        <stp/>
        <stp>BDP|6065492601930509683</stp>
        <tr r="F228" s="3"/>
      </tp>
      <tp t="s">
        <v>#N/A Requesting Data...2910671187</v>
        <stp/>
        <stp>BDP|7211736064225912794</stp>
        <tr r="AQ120" s="3"/>
      </tp>
      <tp t="s">
        <v>#N/A N/A</v>
        <stp/>
        <stp>BDP|1017904752158481138</stp>
        <tr r="BG21" s="2"/>
      </tp>
      <tp t="s">
        <v>#N/A Requesting Data...2960262452</v>
        <stp/>
        <stp>BDP|2167177795156131874</stp>
        <tr r="BH335" s="3"/>
      </tp>
      <tp t="s">
        <v>#N/A Requesting Data...2537900091</v>
        <stp/>
        <stp>BDP|4970697977032403366</stp>
        <tr r="F289" s="3"/>
      </tp>
      <tp t="s">
        <v>#N/A Requesting Data...3580149764</v>
        <stp/>
        <stp>BDP|7961008361513610741</stp>
        <tr r="AS325" s="3"/>
      </tp>
      <tp t="s">
        <v>#N/A Requesting Data...3120356348</v>
        <stp/>
        <stp>BDP|3129900439825330913</stp>
        <tr r="AJ71" s="3"/>
      </tp>
      <tp t="s">
        <v>#N/A Requesting Data...2628716833</v>
        <stp/>
        <stp>BDP|4502637866989268884</stp>
        <tr r="W25" s="4"/>
      </tp>
      <tp t="s">
        <v>#N/A Requesting Data...3429807512</v>
        <stp/>
        <stp>BDP|6533091171154481034</stp>
        <tr r="BF328" s="3"/>
      </tp>
      <tp t="s">
        <v>#N/A Requesting Data...2834553456</v>
        <stp/>
        <stp>BDP|4980323941374173210</stp>
        <tr r="BA107" s="3"/>
      </tp>
      <tp t="s">
        <v>#N/A Requesting Data...2396889809</v>
        <stp/>
        <stp>BDP|5526212811142975169</stp>
        <tr r="K291" s="3"/>
      </tp>
      <tp t="s">
        <v>#N/A Requesting Data...3814766926</v>
        <stp/>
        <stp>BDP|9562594344544197930</stp>
        <tr r="BF345" s="3"/>
      </tp>
      <tp t="s">
        <v>#N/A Requesting Data...3504318529</v>
        <stp/>
        <stp>BDP|6766886146537727849</stp>
        <tr r="I37" s="4"/>
      </tp>
      <tp t="s">
        <v>#N/A Requesting Data...3540649758</v>
        <stp/>
        <stp>BDP|9805930162037220413</stp>
        <tr r="BI52" s="3"/>
      </tp>
      <tp t="s">
        <v>#N/A Requesting Data...4158389940</v>
        <stp/>
        <stp>BDP|1581885357721793872</stp>
        <tr r="F40" s="3"/>
      </tp>
      <tp t="s">
        <v>#N/A Requesting Data...2559227818</v>
        <stp/>
        <stp>BDP|2736762338765631655</stp>
        <tr r="AJ25" s="3"/>
      </tp>
      <tp t="s">
        <v>#N/A Requesting Data...2375637503</v>
        <stp/>
        <stp>BDP|1645424561333880578</stp>
        <tr r="AJ234" s="3"/>
      </tp>
      <tp t="s">
        <v>#N/A Requesting Data...2687107456</v>
        <stp/>
        <stp>BDP|3987250599485665899</stp>
        <tr r="F81" s="3"/>
      </tp>
      <tp t="s">
        <v>#N/A Requesting Data...3250032965</v>
        <stp/>
        <stp>BDP|5736579730847332194</stp>
        <tr r="BN2" s="2"/>
        <tr r="BI2" s="3"/>
      </tp>
      <tp t="s">
        <v>#N/A N/A</v>
        <stp/>
        <stp>BDP|9219005618359269424</stp>
        <tr r="P99" s="2"/>
      </tp>
      <tp t="s">
        <v>#N/A Requesting Data...2606722365</v>
        <stp/>
        <stp>BDP|4853362813060303342</stp>
        <tr r="AQ29" s="3"/>
      </tp>
      <tp t="s">
        <v>#N/A N/A</v>
        <stp/>
        <stp>BDP|1867037666001545321</stp>
        <tr r="AD53" s="2"/>
      </tp>
      <tp t="s">
        <v>#N/A Requesting Data...3707011778</v>
        <stp/>
        <stp>BDP|6211247962431960670</stp>
        <tr r="AX19" s="4"/>
      </tp>
      <tp t="s">
        <v>#N/A Requesting Data...3156695028</v>
        <stp/>
        <stp>BDP|2803161463751784109</stp>
        <tr r="BA64" s="3"/>
      </tp>
      <tp t="s">
        <v>#N/A Requesting Data...2553000833</v>
        <stp/>
        <stp>BDP|4299061734211276394</stp>
        <tr r="AJ272" s="3"/>
      </tp>
      <tp t="s">
        <v>#N/A Requesting Data...3867202633</v>
        <stp/>
        <stp>BDP|1751228867171874112</stp>
        <tr r="BG158" s="3"/>
      </tp>
      <tp t="s">
        <v>#N/A Requesting Data...3074962159</v>
        <stp/>
        <stp>BDP|7389085861702123603</stp>
        <tr r="K50" s="3"/>
      </tp>
      <tp t="s">
        <v>#N/A Requesting Data...3001540983</v>
        <stp/>
        <stp>BDP|9170868971382512186</stp>
        <tr r="Y288" s="3"/>
      </tp>
      <tp t="s">
        <v>#N/A Requesting Data...3335088993</v>
        <stp/>
        <stp>BDP|2505797916214078518</stp>
        <tr r="AJ180" s="3"/>
      </tp>
      <tp t="s">
        <v>#N/A N/A</v>
        <stp/>
        <stp>BDP|4325520952061988010</stp>
        <tr r="BG100" s="2"/>
      </tp>
      <tp t="s">
        <v>#N/A N/A</v>
        <stp/>
        <stp>BDP|7303515471576961619</stp>
        <tr r="BN13" s="2"/>
      </tp>
      <tp t="s">
        <v>#N/A Requesting Data...3782062689</v>
        <stp/>
        <stp>BDP|6777319920785525784</stp>
        <tr r="O333" s="3"/>
      </tp>
      <tp t="s">
        <v>#N/A Requesting Data...2752602441</v>
        <stp/>
        <stp>BDP|9400739068168075541</stp>
        <tr r="F306" s="3"/>
      </tp>
      <tp t="s">
        <v>#N/A Requesting Data...3280672716</v>
        <stp/>
        <stp>BDP|9977842775102539167</stp>
        <tr r="O55" s="4"/>
      </tp>
      <tp t="s">
        <v>#N/A Requesting Data...4181797595</v>
        <stp/>
        <stp>BDP|5157969332053884967</stp>
        <tr r="BH182" s="3"/>
      </tp>
      <tp t="s">
        <v>#N/A Requesting Data...2689031567</v>
        <stp/>
        <stp>BDP|1656296705674726263</stp>
        <tr r="AZ75" s="3"/>
      </tp>
      <tp t="s">
        <v>#N/A N/A</v>
        <stp/>
        <stp>BDP|3193185933774140008</stp>
        <tr r="BE75" s="2"/>
      </tp>
      <tp t="s">
        <v>#N/A N/A</v>
        <stp/>
        <stp>BDP|2688495373195203165</stp>
        <tr r="AX21" s="2"/>
      </tp>
      <tp t="s">
        <v>#N/A N/A</v>
        <stp/>
        <stp>BDP|1889168027470652778</stp>
        <tr r="P11" s="2"/>
      </tp>
      <tp t="s">
        <v>#N/A Requesting Data...2581189608</v>
        <stp/>
        <stp>BDP|5474693044865950782</stp>
        <tr r="W5" s="4"/>
      </tp>
      <tp t="s">
        <v>#N/A Requesting Data...2701745844</v>
        <stp/>
        <stp>BDP|7444757635282985453</stp>
        <tr r="BI126" s="3"/>
      </tp>
      <tp t="s">
        <v>#N/A Requesting Data...2583124993</v>
        <stp/>
        <stp>BDP|4907516281428090416</stp>
        <tr r="AQ303" s="3"/>
      </tp>
      <tp t="s">
        <v>#N/A Requesting Data...2541700334</v>
        <stp/>
        <stp>BDP|3308574893809877374</stp>
        <tr r="AA193" s="3"/>
      </tp>
      <tp t="s">
        <v>#N/A Requesting Data...3266995441</v>
        <stp/>
        <stp>BDP|9121137306035939859</stp>
        <tr r="BF141" s="3"/>
      </tp>
      <tp t="s">
        <v>#N/A Requesting Data...2903010023</v>
        <stp/>
        <stp>BDP|5400796057060315217</stp>
        <tr r="AZ333" s="3"/>
      </tp>
      <tp t="s">
        <v>#N/A Requesting Data...3258068753</v>
        <stp/>
        <stp>BDP|3101644569676072041</stp>
        <tr r="BH260" s="3"/>
      </tp>
      <tp t="s">
        <v>#N/A Requesting Data...3054182327</v>
        <stp/>
        <stp>BDP|2856175652525720621</stp>
        <tr r="F211" s="3"/>
      </tp>
      <tp t="s">
        <v>#N/A N/A</v>
        <stp/>
        <stp>BDP|4944600908362849515</stp>
        <tr r="BG59" s="2"/>
      </tp>
      <tp t="s">
        <v>#N/A Requesting Data...2586828262</v>
        <stp/>
        <stp>BDP|8257123629296899885</stp>
        <tr r="AZ227" s="3"/>
      </tp>
      <tp t="s">
        <v>#N/A Requesting Data...3163662288</v>
        <stp/>
        <stp>BDP|3819015661230349029</stp>
        <tr r="BF300" s="3"/>
      </tp>
      <tp t="s">
        <v>#N/A Requesting Data...3289897007</v>
        <stp/>
        <stp>BDP|1158284136603798615</stp>
        <tr r="BF259" s="3"/>
      </tp>
      <tp t="s">
        <v>#N/A Requesting Data...3121988123</v>
        <stp/>
        <stp>BDP|9483404598205072453</stp>
        <tr r="AQ39" s="4"/>
      </tp>
      <tp t="s">
        <v>#N/A Requesting Data...3839241582</v>
        <stp/>
        <stp>BDP|5100551699724797832</stp>
        <tr r="AQ280" s="3"/>
      </tp>
      <tp t="s">
        <v>#N/A Requesting Data...2594727787</v>
        <stp/>
        <stp>BDP|3929394168915870695</stp>
        <tr r="I159" s="3"/>
      </tp>
      <tp t="s">
        <v>#N/A Requesting Data...3519799973</v>
        <stp/>
        <stp>BDP|9674454345728902468</stp>
        <tr r="F274" s="3"/>
      </tp>
      <tp t="s">
        <v>#N/A Requesting Data...3431942266</v>
        <stp/>
        <stp>BDP|3890556547671726644</stp>
        <tr r="BG224" s="3"/>
      </tp>
      <tp t="s">
        <v>#N/A Requesting Data...3195518623</v>
        <stp/>
        <stp>BDP|9356637629231307933</stp>
        <tr r="AQ92" s="3"/>
      </tp>
      <tp t="s">
        <v>#N/A Requesting Data...3245667261</v>
        <stp/>
        <stp>BDP|1484034810613889660</stp>
        <tr r="AJ254" s="3"/>
      </tp>
      <tp t="s">
        <v>#N/A N/A</v>
        <stp/>
        <stp>BDP|6819413272168545875</stp>
        <tr r="K74" s="2"/>
      </tp>
      <tp t="s">
        <v>#N/A Requesting Data...2966508551</v>
        <stp/>
        <stp>BDP|8545947129847757169</stp>
        <tr r="O3" s="3"/>
      </tp>
      <tp t="s">
        <v>#N/A Requesting Data...3793102865</v>
        <stp/>
        <stp>BDP|7046593312064433263</stp>
        <tr r="F200" s="3"/>
      </tp>
      <tp t="s">
        <v>#N/A Requesting Data...2509323380</v>
        <stp/>
        <stp>BDP|3447106319825244369</stp>
        <tr r="O284" s="3"/>
      </tp>
      <tp t="s">
        <v>#N/A Requesting Data...3809616862</v>
        <stp/>
        <stp>BDP|1853060027683676562</stp>
        <tr r="BF224" s="3"/>
      </tp>
      <tp t="s">
        <v>#N/A N/A</v>
        <stp/>
        <stp>BDP|2389047555111409387</stp>
        <tr r="V20" s="2"/>
      </tp>
      <tp t="s">
        <v>#N/A Requesting Data...4039258058</v>
        <stp/>
        <stp>BDP|9466050854978318187</stp>
        <tr r="BA21" s="3"/>
      </tp>
      <tp t="s">
        <v>#N/A Requesting Data...3119963082</v>
        <stp/>
        <stp>BDP|4216308599428773323</stp>
        <tr r="I337" s="3"/>
      </tp>
      <tp t="s">
        <v>#N/A Requesting Data...3899983678</v>
        <stp/>
        <stp>BDP|9982540831152085828</stp>
        <tr r="AZ336" s="3"/>
      </tp>
      <tp t="s">
        <v>#N/A Requesting Data...3822427483</v>
        <stp/>
        <stp>BDP|9586464628643356967</stp>
        <tr r="BI293" s="3"/>
      </tp>
      <tp t="s">
        <v>#N/A Requesting Data...3520378746</v>
        <stp/>
        <stp>BDP|8085252387022459587</stp>
        <tr r="AS334" s="3"/>
      </tp>
      <tp t="s">
        <v>#N/A Requesting Data...3761463360</v>
        <stp/>
        <stp>BDP|4554650784246350998</stp>
        <tr r="Y7" s="3"/>
      </tp>
      <tp t="s">
        <v>#N/A Requesting Data...2708967507</v>
        <stp/>
        <stp>BDP|8326284780915763223</stp>
        <tr r="O220" s="3"/>
      </tp>
      <tp t="s">
        <v>#N/A Requesting Data...3105832311</v>
        <stp/>
        <stp>BDP|5339164974865712383</stp>
        <tr r="AJ175" s="3"/>
      </tp>
      <tp t="s">
        <v>#N/A Requesting Data...4108025451</v>
        <stp/>
        <stp>BDP|6867576345895108756</stp>
        <tr r="AH218" s="3"/>
      </tp>
      <tp t="s">
        <v>#N/A Requesting Data...2973902910</v>
        <stp/>
        <stp>BDP|1136614528853176376</stp>
        <tr r="O122" s="3"/>
      </tp>
      <tp t="s">
        <v>#N/A Requesting Data...3402328234</v>
        <stp/>
        <stp>BDP|6206175678473194629</stp>
        <tr r="I35" s="4"/>
      </tp>
      <tp t="s">
        <v>#N/A N/A</v>
        <stp/>
        <stp>BDP|5446521176985857768</stp>
        <tr r="BK33" s="2"/>
      </tp>
      <tp t="s">
        <v>#N/A N/A</v>
        <stp/>
        <stp>BDP|9404422696009627880</stp>
        <tr r="P59" s="2"/>
      </tp>
      <tp t="s">
        <v>#N/A Requesting Data...3593127625</v>
        <stp/>
        <stp>BDP|5688153906660250198</stp>
        <tr r="AH234" s="3"/>
      </tp>
      <tp t="s">
        <v>#N/A Requesting Data...3033267450</v>
        <stp/>
        <stp>BDP|8086934532912737585</stp>
        <tr r="D44" s="4"/>
      </tp>
      <tp t="s">
        <v>#N/A Requesting Data...3810862011</v>
        <stp/>
        <stp>BDP|9086959848376567767</stp>
        <tr r="BB333" s="3"/>
      </tp>
      <tp t="s">
        <v>#N/A Requesting Data...3739593468</v>
        <stp/>
        <stp>BDP|2433548490153686887</stp>
        <tr r="I304" s="3"/>
      </tp>
      <tp t="s">
        <v>#N/A Requesting Data...3820991299</v>
        <stp/>
        <stp>BDP|2330259969734713769</stp>
        <tr r="AS131" s="3"/>
      </tp>
      <tp t="s">
        <v>#N/A N/A</v>
        <stp/>
        <stp>BDP|4728381802621450368</stp>
        <tr r="AM96" s="2"/>
      </tp>
      <tp t="s">
        <v>#N/A Requesting Data...2953206795</v>
        <stp/>
        <stp>BDP|3823699389779114166</stp>
        <tr r="BH226" s="3"/>
      </tp>
      <tp t="s">
        <v>#N/A Requesting Data...3172688644</v>
        <stp/>
        <stp>BDP|5598084452412279723</stp>
        <tr r="AZ110" s="3"/>
      </tp>
      <tp t="s">
        <v>#N/A Requesting Data...3719066137</v>
        <stp/>
        <stp>BDP|1537228053627804433</stp>
        <tr r="D61" s="4"/>
      </tp>
      <tp t="s">
        <v>#N/A N/A</v>
        <stp/>
        <stp>BDP|4562303104326834464</stp>
        <tr r="BM14" s="2"/>
      </tp>
      <tp t="s">
        <v>#N/A Requesting Data...2994592594</v>
        <stp/>
        <stp>BDP|1055794802753619026</stp>
        <tr r="AJ352" s="3"/>
      </tp>
      <tp t="s">
        <v>#N/A Requesting Data...3763852434</v>
        <stp/>
        <stp>BDP|5218043399761562852</stp>
        <tr r="I333" s="3"/>
      </tp>
      <tp t="s">
        <v>#N/A Requesting Data...3897621902</v>
        <stp/>
        <stp>BDP|9555393990345558360</stp>
        <tr r="AJ133" s="3"/>
      </tp>
      <tp t="s">
        <v>#N/A Requesting Data...3698398555</v>
        <stp/>
        <stp>BDP|8129613948217615817</stp>
        <tr r="AJ239" s="3"/>
      </tp>
      <tp t="s">
        <v>#N/A Requesting Data...4260692447</v>
        <stp/>
        <stp>BDP|2194256669802463166</stp>
        <tr r="F319" s="3"/>
      </tp>
      <tp t="s">
        <v>#N/A Requesting Data...2889359583</v>
        <stp/>
        <stp>BDP|2202756910136899708</stp>
        <tr r="BB88" s="3"/>
      </tp>
      <tp t="s">
        <v>#N/A N/A</v>
        <stp/>
        <stp>BDP|1647087403857016313</stp>
        <tr r="AD28" s="2"/>
      </tp>
      <tp t="s">
        <v>#N/A N/A</v>
        <stp/>
        <stp>BDP|3373506608826242555</stp>
        <tr r="T86" s="2"/>
      </tp>
      <tp t="s">
        <v>#N/A Requesting Data...3308480404</v>
        <stp/>
        <stp>BDP|7295675535186500195</stp>
        <tr r="AJ81" s="3"/>
      </tp>
      <tp t="s">
        <v>#N/A Requesting Data...3126829515</v>
        <stp/>
        <stp>BDP|6091713736744968323</stp>
        <tr r="BB269" s="3"/>
      </tp>
      <tp t="s">
        <v>#N/A Requesting Data...3642152296</v>
        <stp/>
        <stp>BDP|3257075247837653586</stp>
        <tr r="AQ218" s="3"/>
      </tp>
      <tp t="s">
        <v>#N/A Requesting Data...3144368233</v>
        <stp/>
        <stp>BDP|2261177348520686277</stp>
        <tr r="F162" s="3"/>
      </tp>
      <tp t="s">
        <v>#N/A Requesting Data...4163188662</v>
        <stp/>
        <stp>BDP|2500289410675511145</stp>
        <tr r="AA112" s="3"/>
      </tp>
      <tp t="s">
        <v>#N/A Requesting Data...3543865211</v>
        <stp/>
        <stp>BDP|2782251800305754094</stp>
        <tr r="BA193" s="3"/>
      </tp>
      <tp t="s">
        <v>#N/A Requesting Data...3853889341</v>
        <stp/>
        <stp>BDP|4284555141608231882</stp>
        <tr r="Q298" s="3"/>
      </tp>
      <tp t="s">
        <v>#N/A N/A</v>
        <stp/>
        <stp>BDP|8031452546365786880</stp>
        <tr r="BK38" s="2"/>
      </tp>
      <tp t="s">
        <v>#N/A Requesting Data...3432901563</v>
        <stp/>
        <stp>BDP|6302688390525561921</stp>
        <tr r="Y40" s="3"/>
      </tp>
      <tp t="s">
        <v>#N/A N/A</v>
        <stp/>
        <stp>BDP|8682580013678709163</stp>
        <tr r="BK85" s="2"/>
      </tp>
      <tp t="s">
        <v>#N/A Requesting Data...3685926695</v>
        <stp/>
        <stp>BDP|5808058305507765737</stp>
        <tr r="BI19" s="3"/>
      </tp>
      <tp t="s">
        <v>#N/A Requesting Data...3294440779</v>
        <stp/>
        <stp>BDP|4242626537333973727</stp>
        <tr r="AA353" s="3"/>
      </tp>
      <tp t="s">
        <v>#N/A Requesting Data...4245747969</v>
        <stp/>
        <stp>BDP|8325248731118833429</stp>
        <tr r="AJ311" s="3"/>
      </tp>
      <tp t="s">
        <v>#N/A Requesting Data...3310269345</v>
        <stp/>
        <stp>BDP|5557591766671655206</stp>
        <tr r="Y81" s="3"/>
      </tp>
      <tp t="s">
        <v>#N/A Requesting Data...3070531723</v>
        <stp/>
        <stp>BDP|8659593017330504914</stp>
        <tr r="AS3" s="3"/>
      </tp>
      <tp t="s">
        <v>#N/A Requesting Data...3996014915</v>
        <stp/>
        <stp>BDP|7096859598623325024</stp>
        <tr r="BF36" s="3"/>
      </tp>
      <tp t="s">
        <v>#N/A Requesting Data...4116668951</v>
        <stp/>
        <stp>BDP|4345486037966903099</stp>
        <tr r="K51" s="3"/>
      </tp>
      <tp t="s">
        <v>#N/A Requesting Data...4232962713</v>
        <stp/>
        <stp>BDP|2425061457345876715</stp>
        <tr r="AA81" s="3"/>
      </tp>
      <tp t="s">
        <v>#N/A Requesting Data...3921253965</v>
        <stp/>
        <stp>BDP|9550854370237852441</stp>
        <tr r="K293" s="3"/>
      </tp>
      <tp t="s">
        <v>#N/A N/A</v>
        <stp/>
        <stp>BDP|6068230264417217095</stp>
        <tr r="N69" s="2"/>
      </tp>
      <tp t="s">
        <v>#N/A Requesting Data...3729816593</v>
        <stp/>
        <stp>BDP|1940529915106056631</stp>
        <tr r="BI294" s="3"/>
      </tp>
      <tp t="s">
        <v>#N/A Requesting Data...3554005328</v>
        <stp/>
        <stp>BDP|3056482484172555848</stp>
        <tr r="F91" s="3"/>
      </tp>
      <tp t="s">
        <v>#N/A Requesting Data...4115930665</v>
        <stp/>
        <stp>BDP|7867767178977241591</stp>
        <tr r="BA181" s="3"/>
      </tp>
      <tp t="s">
        <v>#N/A Requesting Data...3702281002</v>
        <stp/>
        <stp>BDP|5517579259615101572</stp>
        <tr r="AZ245" s="3"/>
      </tp>
      <tp t="s">
        <v>#N/A N/A</v>
        <stp/>
        <stp>BDP|3793498450253784447</stp>
        <tr r="AX53" s="2"/>
      </tp>
      <tp t="s">
        <v>#N/A Requesting Data...3341648105</v>
        <stp/>
        <stp>BDP|5805303361911741431</stp>
        <tr r="K16" s="2"/>
        <tr r="D8" s="4"/>
      </tp>
      <tp t="s">
        <v>#N/A Requesting Data...3738590845</v>
        <stp/>
        <stp>BDP|9349394974638605059</stp>
        <tr r="AZ41" s="3"/>
      </tp>
      <tp t="s">
        <v>#N/A N/A</v>
        <stp/>
        <stp>BDP|9227947076263535187</stp>
        <tr r="N39" s="2"/>
      </tp>
      <tp t="s">
        <v>#N/A Requesting Data...3017682155</v>
        <stp/>
        <stp>BDP|8544955666352291099</stp>
        <tr r="F178" s="3"/>
      </tp>
      <tp t="s">
        <v>#N/A Requesting Data...3517367753</v>
        <stp/>
        <stp>BDP|5957843472496758952</stp>
        <tr r="O29" s="4"/>
      </tp>
      <tp t="s">
        <v>#N/A Requesting Data...3841589624</v>
        <stp/>
        <stp>BDP|4541499876941001370</stp>
        <tr r="BI14" s="3"/>
      </tp>
      <tp t="s">
        <v>#N/A N/A</v>
        <stp/>
        <stp>BDP|5684551613226155237</stp>
        <tr r="AX84" s="2"/>
      </tp>
      <tp t="s">
        <v>#N/A N/A</v>
        <stp/>
        <stp>BDP|1001052034082736549</stp>
        <tr r="BL82" s="2"/>
      </tp>
      <tp t="s">
        <v>#N/A Requesting Data...3270497418</v>
        <stp/>
        <stp>BDP|6943659057645088599</stp>
        <tr r="BB126" s="3"/>
      </tp>
      <tp t="s">
        <v>#N/A N/A</v>
        <stp/>
        <stp>BDP|2125829923254014927</stp>
        <tr r="AF86" s="2"/>
      </tp>
      <tp t="s">
        <v>#N/A Requesting Data...3464003842</v>
        <stp/>
        <stp>BDP|7568027306720410278</stp>
        <tr r="F155" s="3"/>
      </tp>
      <tp t="s">
        <v>#N/A Requesting Data...4022789784</v>
        <stp/>
        <stp>BDP|2839387165730551229</stp>
        <tr r="AQ55" s="3"/>
      </tp>
      <tp t="s">
        <v>#N/A Requesting Data...3496687954</v>
        <stp/>
        <stp>BDP|3107027668198197881</stp>
        <tr r="BH158" s="3"/>
      </tp>
      <tp t="s">
        <v>#N/A Requesting Data...3075765206</v>
        <stp/>
        <stp>BDP|1624813873312109973</stp>
        <tr r="AA104" s="3"/>
      </tp>
      <tp t="s">
        <v>#N/A Requesting Data...3595451048</v>
        <stp/>
        <stp>BDP|4412576032347202015</stp>
        <tr r="AJ256" s="3"/>
      </tp>
      <tp t="s">
        <v>#N/A Requesting Data...3536774377</v>
        <stp/>
        <stp>BDP|6115107037357602625</stp>
        <tr r="BA175" s="3"/>
      </tp>
      <tp t="s">
        <v>#N/A Requesting Data...3439901764</v>
        <stp/>
        <stp>BDP|6332946966065243911</stp>
        <tr r="BI223" s="3"/>
      </tp>
      <tp t="s">
        <v>#N/A Requesting Data...3051633703</v>
        <stp/>
        <stp>BDP|4658204337276118620</stp>
        <tr r="BA340" s="3"/>
      </tp>
      <tp t="s">
        <v>#N/A Requesting Data...3171505835</v>
        <stp/>
        <stp>BDP|8153510282448649867</stp>
        <tr r="I318" s="3"/>
      </tp>
      <tp t="s">
        <v>#N/A Requesting Data...3527126314</v>
        <stp/>
        <stp>BDP|1338045540372133244</stp>
        <tr r="AZ285" s="3"/>
      </tp>
      <tp t="s">
        <v>#N/A Requesting Data...4181402998</v>
        <stp/>
        <stp>BDP|8393933857522053358</stp>
        <tr r="BH171" s="3"/>
      </tp>
      <tp t="s">
        <v>#N/A Requesting Data...3607760476</v>
        <stp/>
        <stp>BDP|5913291641713645556</stp>
        <tr r="BM5" s="2"/>
      </tp>
      <tp t="s">
        <v>#N/A N/A</v>
        <stp/>
        <stp>BDP|7171604439643972436</stp>
        <tr r="P30" s="2"/>
      </tp>
      <tp t="s">
        <v>#N/A Requesting Data...3947842276</v>
        <stp/>
        <stp>BDP|4594538948538412881</stp>
        <tr r="AZ155" s="3"/>
      </tp>
      <tp t="s">
        <v>#N/A Requesting Data...3167370235</v>
        <stp/>
        <stp>BDP|4034565717130462576</stp>
        <tr r="F247" s="3"/>
      </tp>
      <tp t="s">
        <v>#N/A N/A</v>
        <stp/>
        <stp>BDP|2765610917620175021</stp>
        <tr r="AF35" s="2"/>
      </tp>
      <tp t="s">
        <v>#N/A Requesting Data...4289612752</v>
        <stp/>
        <stp>BDP|7663826637558365138</stp>
        <tr r="AJ41" s="3"/>
      </tp>
      <tp t="s">
        <v>#N/A Requesting Data...3390236115</v>
        <stp/>
        <stp>BDP|4192151735762734156</stp>
        <tr r="Q310" s="3"/>
      </tp>
      <tp t="s">
        <v>#N/A Requesting Data...4125866098</v>
        <stp/>
        <stp>BDP|3081034607442238457</stp>
        <tr r="AS182" s="3"/>
      </tp>
      <tp t="s">
        <v>#N/A Requesting Data...4060863652</v>
        <stp/>
        <stp>BDP|6697968178525391882</stp>
        <tr r="AQ46" s="4"/>
        <tr r="AS258" s="3"/>
      </tp>
      <tp t="s">
        <v>#N/A Requesting Data...3135781608</v>
        <stp/>
        <stp>BDP|2842333611901085499</stp>
        <tr r="Y91" s="3"/>
      </tp>
      <tp t="s">
        <v>#N/A Requesting Data...3355756634</v>
        <stp/>
        <stp>BDP|4347292748620261739</stp>
        <tr r="F186" s="3"/>
      </tp>
      <tp t="s">
        <v>#N/A N/A</v>
        <stp/>
        <stp>BDP|8922436988241405059</stp>
        <tr r="AF53" s="2"/>
      </tp>
      <tp t="s">
        <v>#N/A N/A</v>
        <stp/>
        <stp>BDP|6068389621641236384</stp>
        <tr r="AO100" s="2"/>
      </tp>
      <tp t="s">
        <v>#N/A Requesting Data...3513600494</v>
        <stp/>
        <stp>BDP|1320720444705335257</stp>
        <tr r="AX45" s="4"/>
      </tp>
      <tp t="s">
        <v>#N/A Requesting Data...3220898168</v>
        <stp/>
        <stp>BDP|8386200093074588260</stp>
        <tr r="K166" s="3"/>
      </tp>
      <tp t="s">
        <v>#N/A Requesting Data...3336505522</v>
        <stp/>
        <stp>BDP|2330910652912203918</stp>
        <tr r="O305" s="3"/>
      </tp>
      <tp t="s">
        <v>#N/A Requesting Data...4064157257</v>
        <stp/>
        <stp>BDP|5940235898669139206</stp>
        <tr r="Q69" s="3"/>
      </tp>
      <tp t="s">
        <v>#N/A Requesting Data...3872452133</v>
        <stp/>
        <stp>BDP|2418108216780680774</stp>
        <tr r="BF117" s="3"/>
      </tp>
      <tp t="s">
        <v>#N/A N/A</v>
        <stp/>
        <stp>BDP|1140746966036494349</stp>
        <tr r="BK84" s="2"/>
      </tp>
      <tp t="s">
        <v>#N/A N/A</v>
        <stp/>
        <stp>BDP|6628271086328244161</stp>
        <tr r="BE100" s="2"/>
      </tp>
      <tp t="s">
        <v>#N/A Requesting Data...3409549218</v>
        <stp/>
        <stp>BDP|6329603651171851190</stp>
        <tr r="Q193" s="3"/>
      </tp>
      <tp t="s">
        <v>#N/A Requesting Data...3661307992</v>
        <stp/>
        <stp>BDP|9814732869018873590</stp>
        <tr r="AA108" s="3"/>
      </tp>
      <tp t="s">
        <v>#N/A Requesting Data...3546378600</v>
        <stp/>
        <stp>BDP|5995225948596789076</stp>
        <tr r="AS57" s="3"/>
      </tp>
      <tp t="s">
        <v>#N/A N/A</v>
        <stp/>
        <stp>BDP|1792780018257444509</stp>
        <tr r="BN93" s="2"/>
      </tp>
      <tp t="s">
        <v>#N/A Requesting Data...4268411644</v>
        <stp/>
        <stp>BDP|9910621951328178782</stp>
        <tr r="AA190" s="3"/>
      </tp>
      <tp t="s">
        <v>#N/A Requesting Data...3924147608</v>
        <stp/>
        <stp>BDP|1315646044571501769</stp>
        <tr r="AZ225" s="3"/>
      </tp>
      <tp t="s">
        <v>#N/A Requesting Data...3834176265</v>
        <stp/>
        <stp>BDP|2250240410170513438</stp>
        <tr r="AA209" s="3"/>
      </tp>
      <tp t="s">
        <v>#N/A Requesting Data...3726703668</v>
        <stp/>
        <stp>BDP|7822267332824419781</stp>
        <tr r="BG235" s="3"/>
      </tp>
      <tp t="s">
        <v>#N/A Requesting Data...3499704545</v>
        <stp/>
        <stp>BDP|5955387843611407668</stp>
        <tr r="F336" s="3"/>
      </tp>
      <tp t="s">
        <v>#N/A Requesting Data...3664535329</v>
        <stp/>
        <stp>BDP|5494425080429091560</stp>
        <tr r="O217" s="3"/>
      </tp>
      <tp t="s">
        <v>#N/A Requesting Data...4087231789</v>
        <stp/>
        <stp>BDP|2066374498358896579</stp>
        <tr r="BI263" s="3"/>
      </tp>
      <tp t="s">
        <v>#N/A Requesting Data...3518460389</v>
        <stp/>
        <stp>BDP|6396604149639381893</stp>
        <tr r="BF86" s="3"/>
      </tp>
      <tp t="s">
        <v>#N/A Requesting Data...3306344349</v>
        <stp/>
        <stp>BDP|4320302527138406801</stp>
        <tr r="BB62" s="3"/>
      </tp>
      <tp t="s">
        <v>#N/A N/A</v>
        <stp/>
        <stp>BDP|1111334463664787569</stp>
        <tr r="BN28" s="2"/>
      </tp>
      <tp t="s">
        <v>#N/A N/A</v>
        <stp/>
        <stp>BDP|6933027418546044437</stp>
        <tr r="BM76" s="2"/>
      </tp>
      <tp t="s">
        <v>#N/A Requesting Data...3923867185</v>
        <stp/>
        <stp>BDP|1346417595451707805</stp>
        <tr r="Y217" s="3"/>
      </tp>
      <tp t="s">
        <v>#N/A N/A</v>
        <stp/>
        <stp>BDP|4169031147455032052</stp>
        <tr r="AV33" s="2"/>
      </tp>
      <tp t="s">
        <v>#N/A Requesting Data...3817364462</v>
        <stp/>
        <stp>BDP|1268615950577752046</stp>
        <tr r="BI218" s="3"/>
      </tp>
      <tp t="s">
        <v>#N/A Requesting Data...4091929762</v>
        <stp/>
        <stp>BDP|8449260156768528215</stp>
        <tr r="AA306" s="3"/>
      </tp>
      <tp t="s">
        <v>#N/A Requesting Data...3278591418</v>
        <stp/>
        <stp>BDP|5662335034754442457</stp>
        <tr r="AO29" s="4"/>
      </tp>
      <tp t="s">
        <v>#N/A Requesting Data...3621455858</v>
        <stp/>
        <stp>BDP|2852912488007811190</stp>
        <tr r="Y42" s="3"/>
      </tp>
      <tp t="s">
        <v>#N/A Requesting Data...4166145150</v>
        <stp/>
        <stp>BDP|3392768132595649716</stp>
        <tr r="AA310" s="3"/>
      </tp>
      <tp t="s">
        <v>#N/A Requesting Data...3436315879</v>
        <stp/>
        <stp>BDP|5014214533575558473</stp>
        <tr r="AS295" s="3"/>
      </tp>
      <tp t="s">
        <v>#N/A Requesting Data...3577522536</v>
        <stp/>
        <stp>BDP|1159304802636786156</stp>
        <tr r="BB64" s="3"/>
      </tp>
      <tp t="s">
        <v>#N/A Requesting Data...3784978176</v>
        <stp/>
        <stp>BDP|2584205435664316222</stp>
        <tr r="Q253" s="3"/>
      </tp>
      <tp t="s">
        <v>#N/A Requesting Data...3966857403</v>
        <stp/>
        <stp>BDP|2018138968013348395</stp>
        <tr r="AA283" s="3"/>
      </tp>
      <tp t="s">
        <v>#N/A Requesting Data...3776381577</v>
        <stp/>
        <stp>BDP|7702650294245605819</stp>
        <tr r="Y11" s="3"/>
      </tp>
      <tp t="s">
        <v>#N/A Requesting Data...3525518206</v>
        <stp/>
        <stp>BDP|5494032107577038716</stp>
        <tr r="BF282" s="3"/>
      </tp>
      <tp t="s">
        <v>#N/A Requesting Data...3713604107</v>
        <stp/>
        <stp>BDP|1226076555496393723</stp>
        <tr r="Q115" s="3"/>
      </tp>
      <tp t="s">
        <v>#N/A N/A</v>
        <stp/>
        <stp>BDP|3135049950706338571</stp>
        <tr r="AO41" s="2"/>
      </tp>
      <tp t="s">
        <v>#N/A Requesting Data...4049971521</v>
        <stp/>
        <stp>BDP|8966962650608746998</stp>
        <tr r="AH28" s="3"/>
      </tp>
      <tp t="s">
        <v>#N/A Requesting Data...3333679793</v>
        <stp/>
        <stp>BDP|1460370826763032643</stp>
        <tr r="BG263" s="3"/>
      </tp>
      <tp t="s">
        <v>#N/A Requesting Data...4138266666</v>
        <stp/>
        <stp>BDP|7751447733584006116</stp>
        <tr r="Q80" s="3"/>
      </tp>
      <tp t="s">
        <v>#N/A Requesting Data...4276369300</v>
        <stp/>
        <stp>BDP|9913891825672608424</stp>
        <tr r="O157" s="3"/>
      </tp>
      <tp t="s">
        <v>#N/A Requesting Data...3716090823</v>
        <stp/>
        <stp>BDP|3691703620102386141</stp>
        <tr r="AZ170" s="3"/>
      </tp>
      <tp t="s">
        <v>#N/A Requesting Data...3708710273</v>
        <stp/>
        <stp>BDP|7262741409146673383</stp>
        <tr r="BH172" s="3"/>
      </tp>
      <tp t="s">
        <v>#N/A N/A</v>
        <stp/>
        <stp>BDP|4550121022142091048</stp>
        <tr r="N92" s="2"/>
      </tp>
      <tp t="s">
        <v>#N/A Requesting Data...3677100437</v>
        <stp/>
        <stp>BDP|5148169227255888693</stp>
        <tr r="F329" s="3"/>
      </tp>
      <tp t="s">
        <v>#N/A Requesting Data...3416026128</v>
        <stp/>
        <stp>BDP|6530416737076651244</stp>
        <tr r="Y283" s="3"/>
      </tp>
      <tp t="s">
        <v>#N/A Requesting Data...4129416131</v>
        <stp/>
        <stp>BDP|3703725846404771152</stp>
        <tr r="BB348" s="3"/>
      </tp>
      <tp t="s">
        <v>#N/A Requesting Data...3799789230</v>
        <stp/>
        <stp>BDP|7723505840337045467</stp>
        <tr r="O42" s="4"/>
      </tp>
      <tp t="s">
        <v>#N/A Requesting Data...4150895264</v>
        <stp/>
        <stp>BDP|4205144371013371455</stp>
        <tr r="AQ88" s="3"/>
      </tp>
      <tp t="s">
        <v>#N/A Requesting Data...3921774113</v>
        <stp/>
        <stp>BDP|7626844213848567321</stp>
        <tr r="K191" s="3"/>
      </tp>
      <tp t="s">
        <v>#N/A Requesting Data...3985177735</v>
        <stp/>
        <stp>BDP|7125093701115997761</stp>
        <tr r="F31" s="3"/>
      </tp>
      <tp t="s">
        <v>#N/A Requesting Data...4264862843</v>
        <stp/>
        <stp>BDP|2844169948090003206</stp>
        <tr r="AA154" s="3"/>
      </tp>
      <tp t="s">
        <v>#N/A Requesting Data...4172610755</v>
        <stp/>
        <stp>BDP|1141188725465272284</stp>
        <tr r="O59" s="4"/>
      </tp>
      <tp t="s">
        <v>#N/A Requesting Data...4102317993</v>
        <stp/>
        <stp>BDP|9299168769853864834</stp>
        <tr r="AS146" s="3"/>
      </tp>
      <tp t="s">
        <v>#N/A Requesting Data...3485834440</v>
        <stp/>
        <stp>BDP|4529268331108582818</stp>
        <tr r="Y159" s="3"/>
      </tp>
      <tp t="s">
        <v>#N/A Requesting Data...4178052778</v>
        <stp/>
        <stp>BDP|6680914470549717462</stp>
        <tr r="O345" s="3"/>
      </tp>
      <tp t="s">
        <v>#N/A Requesting Data...3957061458</v>
        <stp/>
        <stp>BDP|2925213419436571228</stp>
        <tr r="K75" s="3"/>
      </tp>
      <tp t="s">
        <v>#N/A Requesting Data...4155499438</v>
        <stp/>
        <stp>BDP|6645516269464935418</stp>
        <tr r="AZ145" s="3"/>
      </tp>
      <tp t="s">
        <v>#N/A Requesting Data...3444096272</v>
        <stp/>
        <stp>BDP|9246144489514914108</stp>
        <tr r="D60" s="4"/>
      </tp>
      <tp t="s">
        <v>#N/A Requesting Data...3923051564</v>
        <stp/>
        <stp>BDP|9184317782087077044</stp>
        <tr r="AS287" s="3"/>
      </tp>
      <tp t="s">
        <v>#N/A N/A</v>
        <stp/>
        <stp>BDP|3979059678745550472</stp>
        <tr r="AV63" s="2"/>
      </tp>
      <tp t="s">
        <v>#N/A Requesting Data...3696554472</v>
        <stp/>
        <stp>BDP|4000060737136170467</stp>
        <tr r="D13" s="4"/>
      </tp>
      <tp t="s">
        <v>#N/A Requesting Data...4215504163</v>
        <stp/>
        <stp>BDP|4904296964586142336</stp>
        <tr r="AS165" s="3"/>
      </tp>
      <tp t="s">
        <v>#N/A N/A</v>
        <stp/>
        <stp>BDP|7445990984411742285</stp>
        <tr r="AO88" s="2"/>
      </tp>
      <tp t="s">
        <v>#N/A Requesting Data...3922554793</v>
        <stp/>
        <stp>BDP|4919479671913979105</stp>
        <tr r="AZ50" s="3"/>
      </tp>
      <tp t="s">
        <v>#N/A Requesting Data...3951007182</v>
        <stp/>
        <stp>BDP|6904348992688855118</stp>
        <tr r="BB245" s="3"/>
      </tp>
      <tp t="s">
        <v>#N/A Requesting Data...4197887567</v>
        <stp/>
        <stp>BDP|3602313814123319760</stp>
        <tr r="I199" s="3"/>
      </tp>
      <tp t="s">
        <v>#N/A Requesting Data...3529615611</v>
        <stp/>
        <stp>BDP|9934871599078989589</stp>
        <tr r="BB125" s="3"/>
      </tp>
      <tp t="s">
        <v>#N/A Requesting Data...4245368585</v>
        <stp/>
        <stp>BDP|4123170851161237433</stp>
        <tr r="AZ6" s="3"/>
      </tp>
      <tp t="s">
        <v>#N/A Requesting Data...4273074044</v>
        <stp/>
        <stp>BDP|9032345233059654571</stp>
        <tr r="BB83" s="3"/>
      </tp>
      <tp t="s">
        <v>#N/A Requesting Data...4204741783</v>
        <stp/>
        <stp>BDP|1882097449051890164</stp>
        <tr r="AJ113" s="3"/>
      </tp>
      <tp t="s">
        <v>#N/A Requesting Data...3670907878</v>
        <stp/>
        <stp>BDP|4246312665744462042</stp>
        <tr r="AZ349" s="3"/>
      </tp>
      <tp t="s">
        <v>#N/A Requesting Data...4080581613</v>
        <stp/>
        <stp>BDP|1745423063812424449</stp>
        <tr r="AZ5" s="3"/>
      </tp>
      <tp t="s">
        <v>#N/A Requesting Data...3520724679</v>
        <stp/>
        <stp>BDP|6939451095199630794</stp>
        <tr r="Q52" s="3"/>
      </tp>
      <tp t="s">
        <v>#N/A Requesting Data...4122123831</v>
        <stp/>
        <stp>BDP|2836664460150133792</stp>
        <tr r="AH96" s="3"/>
      </tp>
      <tp t="s">
        <v>#N/A Requesting Data...3692257768</v>
        <stp/>
        <stp>BDP|9375861601380356417</stp>
        <tr r="AS257" s="3"/>
      </tp>
      <tp t="s">
        <v>#N/A Requesting Data...4074488039</v>
        <stp/>
        <stp>BDP|3129279015305682037</stp>
        <tr r="BA285" s="3"/>
      </tp>
      <tp t="s">
        <v>#N/A N/A</v>
        <stp/>
        <stp>BDP|9267813802111003572</stp>
        <tr r="BM23" s="2"/>
      </tp>
      <tp t="s">
        <v>#N/A Requesting Data...3861108963</v>
        <stp/>
        <stp>BDP|9365329351429433331</stp>
        <tr r="BA66" s="3"/>
      </tp>
      <tp t="s">
        <v>#N/A Requesting Data...3542715429</v>
        <stp/>
        <stp>BDP|3073428333481241046</stp>
        <tr r="BF338" s="3"/>
      </tp>
      <tp t="s">
        <v>#N/A Requesting Data...3548514048</v>
        <stp/>
        <stp>BDP|9622107084831576402</stp>
        <tr r="Y184" s="3"/>
      </tp>
      <tp t="s">
        <v>#N/A Requesting Data...3615473249</v>
        <stp/>
        <stp>BDP|8646373011678036778</stp>
        <tr r="Q251" s="3"/>
      </tp>
      <tp t="s">
        <v>#N/A N/A</v>
        <stp/>
        <stp>BDP|3641423917065693622</stp>
        <tr r="AV51" s="2"/>
      </tp>
      <tp t="s">
        <v>#N/A N/A</v>
        <stp/>
        <stp>BDP|6577989042208159695</stp>
        <tr r="BE26" s="2"/>
      </tp>
      <tp t="s">
        <v>#N/A Requesting Data...3612025308</v>
        <stp/>
        <stp>BDP|2474250117337182303</stp>
        <tr r="F190" s="3"/>
      </tp>
      <tp t="s">
        <v>#N/A Requesting Data...4236637335</v>
        <stp/>
        <stp>BDP|7739096968840974485</stp>
        <tr r="BG80" s="3"/>
      </tp>
      <tp t="s">
        <v>#N/A N/A</v>
        <stp/>
        <stp>BDP|1503292935841910475</stp>
        <tr r="BF50" s="2"/>
      </tp>
      <tp t="s">
        <v>#N/A Requesting Data...4289799195</v>
        <stp/>
        <stp>BDP|6344510315974328331</stp>
        <tr r="O131" s="3"/>
      </tp>
      <tp t="s">
        <v>#N/A Requesting Data...4124300544</v>
        <stp/>
        <stp>BDP|8423415266719775636</stp>
        <tr r="AA48" s="3"/>
      </tp>
      <tp t="s">
        <v>#N/A Requesting Data...4266159297</v>
        <stp/>
        <stp>BDP|5001243035686766712</stp>
        <tr r="AJ241" s="3"/>
      </tp>
      <tp t="s">
        <v>#N/A Requesting Data...4161033093</v>
        <stp/>
        <stp>BDP|9236145365229572213</stp>
        <tr r="AQ71" s="3"/>
      </tp>
      <tp t="s">
        <v>#N/A Requesting Data...4059387519</v>
        <stp/>
        <stp>BDP|2900632268306283179</stp>
        <tr r="AA175" s="3"/>
      </tp>
      <tp t="s">
        <v>#N/A Requesting Data...3647910262</v>
        <stp/>
        <stp>BDP|8781526188012992237</stp>
        <tr r="AA78" s="3"/>
      </tp>
      <tp t="s">
        <v>#N/A Requesting Data...4265095794</v>
        <stp/>
        <stp>BDP|6432110200697034525</stp>
        <tr r="Q210" s="3"/>
      </tp>
      <tp t="s">
        <v>#N/A Requesting Data...3775055277</v>
        <stp/>
        <stp>BDP|5192304430313052369</stp>
        <tr r="AO19" s="4"/>
      </tp>
      <tp t="s">
        <v>#N/A Requesting Data...3882314131</v>
        <stp/>
        <stp>BDP|9005425270586436911</stp>
        <tr r="O52" s="3"/>
      </tp>
      <tp t="s">
        <v>#N/A N/A</v>
        <stp/>
        <stp>BDP|6257106920601503100</stp>
        <tr r="BK88" s="2"/>
      </tp>
      <tp t="s">
        <v>#N/A N/A</v>
        <stp/>
        <stp>BDP|8710406131793630976</stp>
        <tr r="AX37" s="2"/>
      </tp>
      <tp t="s">
        <v>#N/A Requesting Data...3971227112</v>
        <stp/>
        <stp>BDP|7206595713413677592</stp>
        <tr r="K268" s="3"/>
      </tp>
      <tp t="s">
        <v>#N/A Requesting Data...4118758740</v>
        <stp/>
        <stp>BDP|1161206921250541421</stp>
        <tr r="BF293" s="3"/>
      </tp>
      <tp t="s">
        <v>#N/A Requesting Data...3702938097</v>
        <stp/>
        <stp>BDP|7578627214092018746</stp>
        <tr r="I112" s="3"/>
      </tp>
      <tp t="s">
        <v>#N/A Requesting Data...4191746190</v>
        <stp/>
        <stp>BDP|5851052447184939043</stp>
        <tr r="K338" s="3"/>
      </tp>
      <tp t="s">
        <v>#N/A Requesting Data...4091590473</v>
        <stp/>
        <stp>BDP|7404052448903988575</stp>
        <tr r="AJ130" s="3"/>
      </tp>
      <tp t="s">
        <v>#N/A Requesting Data...3933334333</v>
        <stp/>
        <stp>BDP|3389427267483602743</stp>
        <tr r="AA305" s="3"/>
      </tp>
      <tp t="s">
        <v>#N/A N/A</v>
        <stp/>
        <stp>BDP|3091476237035059440</stp>
        <tr r="AF39" s="2"/>
      </tp>
      <tp t="s">
        <v>#N/A N/A</v>
        <stp/>
        <stp>BDP|1040535167036528159</stp>
        <tr r="BK80" s="2"/>
      </tp>
      <tp t="s">
        <v>#N/A Requesting Data...3901699400</v>
        <stp/>
        <stp>BDP|5416074150962115760</stp>
        <tr r="BA302" s="3"/>
      </tp>
      <tp t="s">
        <v>#N/A Requesting Data...3724330567</v>
        <stp/>
        <stp>BDP|3716243223310186654</stp>
        <tr r="K142" s="3"/>
      </tp>
      <tp t="s">
        <v>#N/A Requesting Data...4076475206</v>
        <stp/>
        <stp>BDP|2008368523131442750</stp>
        <tr r="F57" s="3"/>
      </tp>
      <tp t="s">
        <v>#N/A Requesting Data...4290754851</v>
        <stp/>
        <stp>BDP|5275626548951866342</stp>
        <tr r="AZ142" s="3"/>
      </tp>
      <tp t="s">
        <v>#N/A Requesting Data...4262947598</v>
        <stp/>
        <stp>BDP|7590538180909772653</stp>
        <tr r="AQ75" s="3"/>
      </tp>
      <tp t="s">
        <v>#N/A Requesting Data...3747703424</v>
        <stp/>
        <stp>BDP|7644378138322915041</stp>
        <tr r="AZ260" s="3"/>
      </tp>
      <tp t="s">
        <v>#N/A Requesting Data...3979341783</v>
        <stp/>
        <stp>BDP|5537581700881831416</stp>
        <tr r="BG29" s="3"/>
      </tp>
      <tp t="s">
        <v>#N/A Requesting Data...3926992398</v>
        <stp/>
        <stp>BDP|6208632401605610027</stp>
        <tr r="AS7" s="3"/>
      </tp>
      <tp t="s">
        <v>#N/A Requesting Data...3807808781</v>
        <stp/>
        <stp>BDP|9698179532586352844</stp>
        <tr r="AA230" s="3"/>
      </tp>
      <tp t="s">
        <v>#N/A Requesting Data...3942172839</v>
        <stp/>
        <stp>BDP|1561248571816648726</stp>
        <tr r="AH37" s="4"/>
      </tp>
      <tp t="s">
        <v>#N/A Requesting Data...3934129801</v>
        <stp/>
        <stp>BDP|8190443097980776010</stp>
        <tr r="BB92" s="3"/>
      </tp>
      <tp t="s">
        <v>#N/A Requesting Data...3983559455</v>
        <stp/>
        <stp>BDP|8043366856418623320</stp>
        <tr r="Q207" s="3"/>
      </tp>
      <tp t="s">
        <v>#N/A Requesting Data...3761469191</v>
        <stp/>
        <stp>BDP|1408754296832013839</stp>
        <tr r="AS132" s="3"/>
      </tp>
      <tp t="s">
        <v>#N/A Requesting Data...3791355306</v>
        <stp/>
        <stp>BDP|1303705413996095441</stp>
        <tr r="AZ147" s="3"/>
      </tp>
      <tp t="s">
        <v>#N/A Requesting Data...3973468839</v>
        <stp/>
        <stp>BDP|7691177904181018218</stp>
        <tr r="Q140" s="3"/>
      </tp>
      <tp t="s">
        <v>#N/A N/A</v>
        <stp/>
        <stp>BDP|6199835293890451208</stp>
        <tr r="BK53" s="2"/>
      </tp>
      <tp t="s">
        <v>#N/A Requesting Data...3866832049</v>
        <stp/>
        <stp>BDP|6138304657623181620</stp>
        <tr r="AH276" s="3"/>
      </tp>
      <tp t="s">
        <v>#N/A N/A</v>
        <stp/>
        <stp>BDP|5447988485197520696</stp>
        <tr r="V68" s="2"/>
      </tp>
      <tp t="s">
        <v>#N/A Requesting Data...4170181019</v>
        <stp/>
        <stp>BDP|5276663775426318778</stp>
        <tr r="BH325" s="3"/>
      </tp>
      <tp t="s">
        <v>#N/A Requesting Data...4181224865</v>
        <stp/>
        <stp>BDP|5658071443874120067</stp>
        <tr r="AQ167" s="3"/>
      </tp>
      <tp t="s">
        <v>#N/A N/A</v>
        <stp/>
        <stp>BDP|7368438353396232546</stp>
        <tr r="P77" s="2"/>
      </tp>
      <tp t="s">
        <v>#N/A Requesting Data...4037364106</v>
        <stp/>
        <stp>BDP|7479927535081616909</stp>
        <tr r="O260" s="3"/>
      </tp>
      <tp t="s">
        <v>#N/A Requesting Data...4252575259</v>
        <stp/>
        <stp>BDP|6375192918365156668</stp>
        <tr r="O83" s="3"/>
      </tp>
      <tp t="s">
        <v>#N/A Requesting Data...4239589505</v>
        <stp/>
        <stp>BDP|5409280211024084783</stp>
        <tr r="BF351" s="3"/>
      </tp>
      <tp t="s">
        <v>#N/A Requesting Data...3897822312</v>
        <stp/>
        <stp>BDP|9770948890535185979</stp>
        <tr r="AH300" s="3"/>
      </tp>
      <tp t="s">
        <v>#N/A N/A</v>
        <stp/>
        <stp>BDP|8911577184072835278</stp>
        <tr r="N19" s="2"/>
      </tp>
      <tp t="s">
        <v>#N/A Requesting Data...3942493672</v>
        <stp/>
        <stp>BDP|6949922878745686804</stp>
        <tr r="AZ300" s="3"/>
      </tp>
      <tp t="s">
        <v>#N/A Requesting Data...4261199470</v>
        <stp/>
        <stp>BDP|2931667729296182523</stp>
        <tr r="AA60" s="3"/>
      </tp>
      <tp t="s">
        <v>#N/A Requesting Data...4149452039</v>
        <stp/>
        <stp>BDP|5706535283965386818</stp>
        <tr r="BF164" s="3"/>
      </tp>
      <tp t="s">
        <v>#N/A Requesting Data...3897011113</v>
        <stp/>
        <stp>BDP|1945592260677155045</stp>
        <tr r="AZ136" s="3"/>
      </tp>
      <tp t="s">
        <v>#N/A Requesting Data...3967398864</v>
        <stp/>
        <stp>BDP|2457170347370605275</stp>
        <tr r="BB183" s="3"/>
      </tp>
      <tp t="s">
        <v>#N/A Requesting Data...4121038657</v>
        <stp/>
        <stp>BDP|9757020352519334011</stp>
        <tr r="Y176" s="3"/>
      </tp>
      <tp t="s">
        <v>#N/A Requesting Data...4092732277</v>
        <stp/>
        <stp>BDP|2106533183609254362</stp>
        <tr r="AQ168" s="3"/>
      </tp>
      <tp t="s">
        <v>#N/A Requesting Data...3901498393</v>
        <stp/>
        <stp>BDP|8814622190612797089</stp>
        <tr r="I38" s="4"/>
      </tp>
      <tp t="s">
        <v>#N/A Requesting Data...3894876652</v>
        <stp/>
        <stp>BDP|2976555668325206135</stp>
        <tr r="AJ144" s="3"/>
      </tp>
      <tp t="s">
        <v>#N/A N/A</v>
        <stp/>
        <stp>BDP|3411465774235702042</stp>
        <tr r="BM57" s="2"/>
      </tp>
      <tp t="s">
        <v>#N/A Requesting Data...4096828937</v>
        <stp/>
        <stp>BDP|9576520534533422924</stp>
        <tr r="AQ14" s="3"/>
      </tp>
      <tp t="s">
        <v>#N/A Requesting Data...4186233015</v>
        <stp/>
        <stp>BDP|1410424877312072545</stp>
        <tr r="O124" s="3"/>
      </tp>
      <tp t="s">
        <v>#N/A Requesting Data...4146681607</v>
        <stp/>
        <stp>BDP|5113299881388954259</stp>
        <tr r="Y118" s="3"/>
      </tp>
      <tp t="s">
        <v>#N/A Requesting Data...3877211883</v>
        <stp/>
        <stp>BDP|9502365166059930090</stp>
        <tr r="Q128" s="3"/>
      </tp>
      <tp t="s">
        <v>#N/A Requesting Data...4014182424</v>
        <stp/>
        <stp>BDP|1802066844926922594</stp>
        <tr r="BA58" s="3"/>
      </tp>
      <tp t="s">
        <v>#N/A Requesting Data...3968492533</v>
        <stp/>
        <stp>BDP|9911103387492196454</stp>
        <tr r="K127" s="3"/>
      </tp>
      <tp t="s">
        <v>#N/A Requesting Data...3941512909</v>
        <stp/>
        <stp>BDP|7865447654049225909</stp>
        <tr r="I25" s="4"/>
      </tp>
      <tp t="s">
        <v>#N/A Requesting Data...3927410954</v>
        <stp/>
        <stp>BDP|8256632647894557897</stp>
        <tr r="I343" s="3"/>
      </tp>
      <tp t="s">
        <v>#N/A Requesting Data...3963167732</v>
        <stp/>
        <stp>BDP|5656958289772164013</stp>
        <tr r="G53" s="4"/>
      </tp>
      <tp t="s">
        <v>#N/A Requesting Data...4067558127</v>
        <stp/>
        <stp>BDP|7955217522085893484</stp>
        <tr r="AJ191" s="3"/>
      </tp>
      <tp t="s">
        <v>#N/A Requesting Data...4096135876</v>
        <stp/>
        <stp>BDP|9568392155010379902</stp>
        <tr r="BH236" s="3"/>
      </tp>
      <tp t="s">
        <v>#N/A N/A</v>
        <stp/>
        <stp>BDP|6598850730893903831</stp>
        <tr r="V28" s="2"/>
      </tp>
      <tp t="s">
        <v>#N/A Requesting Data...4147249337</v>
        <stp/>
        <stp>BDP|2935247223800456409</stp>
        <tr r="I261" s="3"/>
      </tp>
      <tp t="s">
        <v>#N/A Requesting Data...3969185403</v>
        <stp/>
        <stp>BDP|6060980824802385955</stp>
        <tr r="BI141" s="3"/>
      </tp>
      <tp t="s">
        <v>#N/A Requesting Data...4025728238</v>
        <stp/>
        <stp>BDP|5554914068764253847</stp>
        <tr r="AA119" s="3"/>
      </tp>
      <tp t="s">
        <v>#N/A Requesting Data...3993390648</v>
        <stp/>
        <stp>BDP|1635911518519673634</stp>
        <tr r="M12" s="4"/>
      </tp>
      <tp t="s">
        <v>#N/A N/A</v>
        <stp/>
        <stp>BDP|9247721856789407485</stp>
        <tr r="BM13" s="2"/>
      </tp>
      <tp t="s">
        <v>#N/A Requesting Data...4120171602</v>
        <stp/>
        <stp>BDP|3927143186218718465</stp>
        <tr r="AJ225" s="3"/>
      </tp>
      <tp t="s">
        <v>#N/A Requesting Data...4249305803</v>
        <stp/>
        <stp>BDP|3790233657620136289</stp>
        <tr r="AS185" s="3"/>
      </tp>
      <tp t="s">
        <v>#N/A Requesting Data...4277931505</v>
        <stp/>
        <stp>BDP|5674954409209062301</stp>
        <tr r="Y290" s="3"/>
      </tp>
      <tp t="s">
        <v>#N/A N/A</v>
        <stp/>
        <stp>BDP|9060741662899433797</stp>
        <tr r="V60" s="2"/>
      </tp>
      <tp t="s">
        <v>#N/A Requesting Data...4182217063</v>
        <stp/>
        <stp>BDP|5990821959727945905</stp>
        <tr r="BA109" s="3"/>
      </tp>
      <tp t="s">
        <v>#N/A Requesting Data...4118647341</v>
        <stp/>
        <stp>BDP|2277797720995998491</stp>
        <tr r="Q200" s="3"/>
      </tp>
      <tp t="s">
        <v>#N/A Requesting Data...4049724095</v>
        <stp/>
        <stp>BDP|9025807526572846754</stp>
        <tr r="BE6" s="2"/>
      </tp>
      <tp t="s">
        <v>#N/A Requesting Data...4151742972</v>
        <stp/>
        <stp>BDP|1720398480655084957</stp>
        <tr r="BG66" s="3"/>
      </tp>
      <tp t="s">
        <v>#N/A Requesting Data...4223119272</v>
        <stp/>
        <stp>BDP|5224149549542396475</stp>
        <tr r="AA191" s="3"/>
      </tp>
      <tp t="s">
        <v>#N/A Requesting Data...4228313102</v>
        <stp/>
        <stp>BDP|1433328703566936279</stp>
        <tr r="AQ331" s="3"/>
      </tp>
      <tp t="s">
        <v>#N/A Requesting Data...4060306096</v>
        <stp/>
        <stp>BDP|5759407736645284188</stp>
        <tr r="AQ156" s="3"/>
      </tp>
      <tp t="s">
        <v>#N/A Requesting Data...4201458439</v>
        <stp/>
        <stp>BDP|3751083024067802081</stp>
        <tr r="BI319" s="3"/>
      </tp>
      <tp t="s">
        <v>#N/A Requesting Data...4069720325</v>
        <stp/>
        <stp>BDP|3213636622320939110</stp>
        <tr r="BA281" s="3"/>
      </tp>
      <tp t="s">
        <v>#N/A Requesting Data...4281565456</v>
        <stp/>
        <stp>BDP|1707227341806602799</stp>
        <tr r="O78" s="3"/>
      </tp>
      <tp t="s">
        <v>#N/A Requesting Data...4149841070</v>
        <stp/>
        <stp>BDP|8849157215157928999</stp>
        <tr r="K241" s="3"/>
      </tp>
      <tp t="s">
        <v>#N/A Requesting Data...4164224458</v>
        <stp/>
        <stp>BDP|1060688205061647032</stp>
        <tr r="AA272" s="3"/>
      </tp>
      <tp t="s">
        <v>#N/A Requesting Data...4186114077</v>
        <stp/>
        <stp>BDP|5137665968952266151</stp>
        <tr r="Q144" s="3"/>
      </tp>
      <tp t="s">
        <v>#N/A Requesting Data...4260173355</v>
        <stp/>
        <stp>BDP|1334820344388406398</stp>
        <tr r="AF57" s="4"/>
      </tp>
      <tp t="s">
        <v>#N/A N/A</v>
        <stp/>
        <stp>BDP|5740219366014936313</stp>
        <tr r="BK69" s="2"/>
      </tp>
      <tp t="s">
        <v>#N/A Requesting Data...4191294024</v>
        <stp/>
        <stp>BDP|8828272687580172413</stp>
        <tr r="BG331" s="3"/>
      </tp>
      <tp t="s">
        <v>#N/A N/A</v>
        <stp/>
        <stp>BDP|1972460560623370646</stp>
        <tr r="K95" s="2"/>
      </tp>
      <tp t="s">
        <v>#N/A Requesting Data...4294047856</v>
        <stp/>
        <stp>BDP|2959547305012020300</stp>
        <tr r="T17" s="2"/>
        <tr r="M9" s="4"/>
      </tp>
      <tp t="s">
        <v>#N/A Requesting Data...4283218051</v>
        <stp/>
        <stp>BDP|7390885483965363431</stp>
        <tr r="BA149" s="3"/>
      </tp>
      <tp t="s">
        <v>#N/A Requesting Data...4213241652</v>
        <stp/>
        <stp>BDP|9724646761079398698</stp>
        <tr r="AQ278" s="3"/>
      </tp>
      <tp t="s">
        <v>#N/A N/A</v>
        <stp/>
        <stp>BDP|7988331200431193331</stp>
        <tr r="V97" s="2"/>
      </tp>
      <tp t="s">
        <v>#N/A Requesting Data...4206869026</v>
        <stp/>
        <stp>BDP|9517400592802759089</stp>
        <tr r="BF19" s="3"/>
      </tp>
      <tp t="s">
        <v>#N/A Requesting Data...4176873970</v>
        <stp/>
        <stp>BDP|5556083840360220773</stp>
        <tr r="O270" s="3"/>
      </tp>
      <tp t="s">
        <v>#N/A Requesting Data...4223210330</v>
        <stp/>
        <stp>BDP|6945250811525721624</stp>
        <tr r="Q113" s="3"/>
      </tp>
      <tp t="s">
        <v>#N/A Requesting Data...4188681591</v>
        <stp/>
        <stp>BDP|7709913438772674904</stp>
        <tr r="F131" s="3"/>
      </tp>
      <tp t="s">
        <v>#N/A Requesting Data...4283894283</v>
        <stp/>
        <stp>BDP|4669085060074441020</stp>
        <tr r="AA349" s="3"/>
      </tp>
      <tp t="s">
        <v>#N/A Requesting Data...4194544572</v>
        <stp/>
        <stp>BDP|9710941579750348114</stp>
        <tr r="F95" s="3"/>
      </tp>
      <tp t="s">
        <v>#N/A N/A</v>
        <stp/>
        <stp>BDP|8492466885781780398</stp>
        <tr r="BF54" s="2"/>
      </tp>
      <tp t="s">
        <v>#N/A N/A</v>
        <stp/>
        <stp>BDP|3796138658872525301</stp>
        <tr r="V55" s="2"/>
      </tp>
      <tp t="s">
        <v>#N/A Requesting Data...4283114696</v>
        <stp/>
        <stp>BDP|9805661043019596412</stp>
        <tr r="BH317" s="3"/>
      </tp>
      <tp t="s">
        <v>#N/A Requesting Data...4272605655</v>
        <stp/>
        <stp>BDP|3723873696532791680</stp>
        <tr r="AJ17" s="3"/>
      </tp>
      <tp t="s">
        <v>#N/A Requesting Data...4238958259</v>
        <stp/>
        <stp>BDP|3627175578263781071</stp>
        <tr r="BB303" s="3"/>
      </tp>
      <tp t="s">
        <v>#N/A Requesting Data...4239654953</v>
        <stp/>
        <stp>BDP|3534156085469992557</stp>
        <tr r="I97" s="3"/>
      </tp>
      <tp t="s">
        <v>#N/A Requesting Data...4264145561</v>
        <stp/>
        <stp>BDP|1628771633075275695</stp>
        <tr r="AQ30" s="4"/>
      </tp>
      <tp t="s">
        <v>#N/A Requesting Data...4292841773</v>
        <stp/>
        <stp>BDP|4024655012222648780</stp>
        <tr r="AA265" s="3"/>
      </tp>
      <tp t="s">
        <v>#N/A N/A</v>
        <stp/>
        <stp>BDP|3708620978295238162</stp>
        <tr r="BM61" s="2"/>
      </tp>
      <tp t="s">
        <v>#N/A Requesting Data...4253591188</v>
        <stp/>
        <stp>BDP|5480440036200790480</stp>
        <tr r="BF139" s="3"/>
      </tp>
      <tp t="s">
        <v>#N/A Requesting Data...4245921510</v>
        <stp/>
        <stp>BDP|8641844198206779946</stp>
        <tr r="BH155" s="3"/>
      </tp>
      <tp t="s">
        <v>#N/A Requesting Data...4290210688</v>
        <stp/>
        <stp>BDP|2567551176752978464</stp>
        <tr r="K6" s="3"/>
      </tp>
      <tp t="s">
        <v>#N/A Requesting Data...4262283868</v>
        <stp/>
        <stp>BDP|5061835526379906055</stp>
        <tr r="K123" s="3"/>
      </tp>
      <tp t="s">
        <v>#N/A Requesting Data...4292187061</v>
        <stp/>
        <stp>BDP|7479103665044094288</stp>
        <tr r="BG8" s="3"/>
      </tp>
      <tp t="s">
        <v>#N/A Requesting Data...4285637541</v>
        <stp/>
        <stp>BDP|1631692470767564134</stp>
        <tr r="AS21" s="3"/>
      </tp>
      <tp t="s">
        <v>#N/A Requesting Data...4283573445</v>
        <stp/>
        <stp>BDP|6384187776596363078</stp>
        <tr r="BG187" s="3"/>
      </tp>
      <tp t="s">
        <v>#N/A Requesting Data...4291796258</v>
        <stp/>
        <stp>BDP|4101488976662514338</stp>
        <tr r="BI24" s="3"/>
      </tp>
      <tp t="s">
        <v>#N/A Requesting Data...4293123298</v>
        <stp/>
        <stp>BDP|5027361676711040696</stp>
        <tr r="AZ334" s="3"/>
      </tp>
      <tp t="s">
        <v>#N/A N/A</v>
        <stp/>
        <stp>BDP|7198154656613819642</stp>
        <tr r="V94" s="2"/>
      </tp>
      <tp t="s">
        <v>#N/A N/A</v>
        <stp/>
        <stp>BDP|1099877356038672291</stp>
        <tr r="AV20" s="2"/>
      </tp>
      <tp t="s">
        <v>#N/A Requesting Data...759895350</v>
        <stp/>
        <stp>BDP|1117543731930332192</stp>
        <tr r="Y93" s="3"/>
      </tp>
      <tp t="s">
        <v>#N/A Requesting Data...2843076346</v>
        <stp/>
        <stp>BDP|7603560874401371299</stp>
        <tr r="K162" s="3"/>
      </tp>
      <tp t="s">
        <v>#N/A Requesting Data...571965802</v>
        <stp/>
        <stp>BDP|1728067607272924518</stp>
        <tr r="AZ37" s="3"/>
      </tp>
      <tp t="s">
        <v>#N/A Requesting Data...42537106</v>
        <stp/>
        <stp>BDP|7339089613794450424</stp>
        <tr r="BA156" s="3"/>
      </tp>
      <tp t="s">
        <v>#N/A Requesting Data...1293075442</v>
        <stp/>
        <stp>BDP|2534553366970069783</stp>
        <tr r="BB273" s="3"/>
      </tp>
      <tp t="s">
        <v>#N/A Requesting Data...2738712631</v>
        <stp/>
        <stp>BDP|9723199458228970311</stp>
        <tr r="M35" s="4"/>
      </tp>
      <tp t="s">
        <v>#N/A Requesting Data...3523127580</v>
        <stp/>
        <stp>BDP|2452605277331533481</stp>
        <tr r="AZ99" s="3"/>
      </tp>
      <tp t="s">
        <v>#N/A N/A</v>
        <stp/>
        <stp>BDP|1927352203885989180</stp>
        <tr r="AX57" s="2"/>
      </tp>
      <tp t="s">
        <v>#N/A Requesting Data...2615284019</v>
        <stp/>
        <stp>BDP|5840119321129147978</stp>
        <tr r="F19" s="3"/>
      </tp>
      <tp t="s">
        <v>#N/A N/A</v>
        <stp/>
        <stp>BDP|3024798182942763821</stp>
        <tr r="K13" s="2"/>
      </tp>
      <tp t="s">
        <v>#N/A Requesting Data...853734615</v>
        <stp/>
        <stp>BDP|2670479238647563429</stp>
        <tr r="BA83" s="3"/>
      </tp>
      <tp t="s">
        <v>#N/A Requesting Data...3399309888</v>
        <stp/>
        <stp>BDP|5668741671111498298</stp>
        <tr r="AA246" s="3"/>
      </tp>
      <tp t="s">
        <v>#N/A N/A</v>
        <stp/>
        <stp>BDP|1922721916068634956</stp>
        <tr r="T18" s="2"/>
      </tp>
      <tp t="s">
        <v>#N/A Requesting Data...2563833393</v>
        <stp/>
        <stp>BDP|2588644818111417224</stp>
        <tr r="AS193" s="3"/>
      </tp>
      <tp t="s">
        <v>#N/A Requesting Data...3925829298</v>
        <stp/>
        <stp>BDP|8215169013227180998</stp>
        <tr r="AH113" s="3"/>
      </tp>
      <tp t="s">
        <v>#N/A Requesting Data...4200286542</v>
        <stp/>
        <stp>BDP|6965707538980861460</stp>
        <tr r="I31" s="3"/>
      </tp>
      <tp t="s">
        <v>#N/A Requesting Data...3080496270</v>
        <stp/>
        <stp>BDP|7318758627712770698</stp>
        <tr r="AA103" s="3"/>
      </tp>
      <tp t="s">
        <v>#N/A N/A</v>
        <stp/>
        <stp>BDP|2699096550260176119</stp>
        <tr r="N55" s="2"/>
      </tp>
      <tp t="s">
        <v>#N/A Requesting Data...3263009897</v>
        <stp/>
        <stp>BDP|5596887724210115978</stp>
        <tr r="O10" s="3"/>
      </tp>
      <tp t="s">
        <v>#N/A N/A</v>
        <stp/>
        <stp>BDP|5102432770481972144</stp>
        <tr r="AD44" s="2"/>
      </tp>
      <tp t="s">
        <v>#N/A Requesting Data...2108947767</v>
        <stp/>
        <stp>BDP|9817785397284113593</stp>
        <tr r="AZ105" s="3"/>
      </tp>
      <tp t="s">
        <v>#N/A Requesting Data...612637824</v>
        <stp/>
        <stp>BDP|7680576217085883010</stp>
        <tr r="O29" s="3"/>
      </tp>
      <tp t="s">
        <v>#N/A Requesting Data...2781060498</v>
        <stp/>
        <stp>BDP|5305812057808944607</stp>
        <tr r="O322" s="3"/>
      </tp>
      <tp t="s">
        <v>#N/A Requesting Data...1567592792</v>
        <stp/>
        <stp>BDP|5258661494118591495</stp>
        <tr r="BI180" s="3"/>
      </tp>
      <tp t="s">
        <v>#N/A Requesting Data...4158501367</v>
        <stp/>
        <stp>BDP|5791304916848887954</stp>
        <tr r="D53" s="4"/>
      </tp>
      <tp t="s">
        <v>#N/A N/A</v>
        <stp/>
        <stp>BDP|2797745661630676585</stp>
        <tr r="BG61" s="2"/>
      </tp>
      <tp t="s">
        <v>#N/A Requesting Data...2607920540</v>
        <stp/>
        <stp>BDP|2952900480655487010</stp>
        <tr r="AA273" s="3"/>
      </tp>
      <tp t="s">
        <v>#N/A Requesting Data...441418753</v>
        <stp/>
        <stp>BDP|2334743080268397380</stp>
        <tr r="BH29" s="3"/>
      </tp>
      <tp t="s">
        <v>#N/A Requesting Data...2659002743</v>
        <stp/>
        <stp>BDP|3868332046720787261</stp>
        <tr r="BB97" s="3"/>
      </tp>
      <tp t="s">
        <v>#N/A Requesting Data...2742671828</v>
        <stp/>
        <stp>BDP|7188972519410334907</stp>
        <tr r="BF213" s="3"/>
      </tp>
      <tp t="s">
        <v>#N/A Requesting Data...919640989</v>
        <stp/>
        <stp>BDP|7818828212281370971</stp>
        <tr r="I78" s="3"/>
      </tp>
      <tp t="s">
        <v>#N/A Requesting Data...3671220409</v>
        <stp/>
        <stp>BDP|2132115696919337592</stp>
        <tr r="AF34" s="4"/>
      </tp>
      <tp t="s">
        <v>#N/A Requesting Data...3722224389</v>
        <stp/>
        <stp>BDP|9797145999772398552</stp>
        <tr r="BA334" s="3"/>
      </tp>
      <tp t="s">
        <v>#N/A Requesting Data...2058522654</v>
        <stp/>
        <stp>BDP|9880598243048789698</stp>
        <tr r="AS238" s="3"/>
      </tp>
      <tp t="s">
        <v>#N/A Requesting Data...2667655406</v>
        <stp/>
        <stp>BDP|9951279606655292860</stp>
        <tr r="BB86" s="3"/>
      </tp>
      <tp t="s">
        <v>#N/A Requesting Data...2941931506</v>
        <stp/>
        <stp>BDP|2961340662621416074</stp>
        <tr r="BF106" s="3"/>
      </tp>
      <tp t="s">
        <v>#N/A Requesting Data...3456038809</v>
        <stp/>
        <stp>BDP|1754909223158892400</stp>
        <tr r="BF72" s="3"/>
      </tp>
      <tp t="s">
        <v>#N/A Requesting Data...534477123</v>
        <stp/>
        <stp>BDP|1530700677033807467</stp>
        <tr r="K214" s="3"/>
      </tp>
      <tp t="s">
        <v>#N/A Requesting Data...3792141559</v>
        <stp/>
        <stp>BDP|2805954332946786842</stp>
        <tr r="BG352" s="3"/>
      </tp>
      <tp t="s">
        <v>#N/A Requesting Data...2829185709</v>
        <stp/>
        <stp>BDP|7855858353624492865</stp>
        <tr r="Y309" s="3"/>
      </tp>
      <tp t="s">
        <v>#N/A N/A</v>
        <stp/>
        <stp>BDP|3738390054054265742</stp>
        <tr r="V101" s="2"/>
      </tp>
      <tp t="s">
        <v>#N/A N/A</v>
        <stp/>
        <stp>BDP|4210177227008973977</stp>
        <tr r="BE50" s="2"/>
      </tp>
      <tp t="s">
        <v>#N/A N/A</v>
        <stp/>
        <stp>BDP|2695813447371836952</stp>
        <tr r="AD12" s="2"/>
      </tp>
      <tp t="s">
        <v>#N/A Requesting Data...755246871</v>
        <stp/>
        <stp>BDP|9217084996605322329</stp>
        <tr r="BB148" s="3"/>
      </tp>
      <tp t="s">
        <v>#N/A Requesting Data...4100790873</v>
        <stp/>
        <stp>BDP|2889157716632027663</stp>
        <tr r="BB236" s="3"/>
      </tp>
      <tp t="s">
        <v>#N/A Requesting Data...2683534222</v>
        <stp/>
        <stp>BDP|5492433515752717480</stp>
        <tr r="AH38" s="4"/>
      </tp>
      <tp t="s">
        <v>#N/A Requesting Data...1233175920</v>
        <stp/>
        <stp>BDP|9337687096847838780</stp>
        <tr r="Y151" s="3"/>
      </tp>
      <tp t="s">
        <v>#N/A Requesting Data...518677874</v>
        <stp/>
        <stp>BDP|9507066030219626588</stp>
        <tr r="AJ60" s="3"/>
      </tp>
      <tp t="s">
        <v>#N/A Requesting Data...3814181612</v>
        <stp/>
        <stp>BDP|1314259862227141480</stp>
        <tr r="O102" s="3"/>
      </tp>
      <tp t="s">
        <v>#N/A Requesting Data...1912543483</v>
        <stp/>
        <stp>BDP|6003426333402426581</stp>
        <tr r="AA43" s="3"/>
      </tp>
      <tp t="s">
        <v>#N/A N/A</v>
        <stp/>
        <stp>BDP|5555781757637461635</stp>
        <tr r="AD18" s="2"/>
      </tp>
      <tp t="s">
        <v>#N/A Requesting Data...2070372062</v>
        <stp/>
        <stp>BDP|6947578819726814229</stp>
        <tr r="AJ281" s="3"/>
      </tp>
      <tp t="s">
        <v>#N/A Requesting Data...3021685965</v>
        <stp/>
        <stp>BDP|2568048394004887903</stp>
        <tr r="F204" s="3"/>
      </tp>
      <tp t="s">
        <v>#N/A Requesting Data...2242541950</v>
        <stp/>
        <stp>BDP|9948148860288295022</stp>
        <tr r="AA77" s="3"/>
      </tp>
      <tp t="s">
        <v>#N/A Requesting Data...3948264540</v>
        <stp/>
        <stp>BDP|3801732555986858147</stp>
        <tr r="BA237" s="3"/>
      </tp>
      <tp t="s">
        <v>#N/A N/A</v>
        <stp/>
        <stp>BDP|8527559972634041800</stp>
        <tr r="T39" s="2"/>
      </tp>
      <tp t="s">
        <v>#N/A Requesting Data...4237945686</v>
        <stp/>
        <stp>BDP|5340719011334919187</stp>
        <tr r="AQ265" s="3"/>
      </tp>
      <tp t="s">
        <v>#N/A N/A</v>
        <stp/>
        <stp>BDP|6605851964759291774</stp>
        <tr r="BN91" s="2"/>
      </tp>
      <tp t="s">
        <v>#N/A Requesting Data...3239865566</v>
        <stp/>
        <stp>BDP|6574719320122723711</stp>
        <tr r="BF245" s="3"/>
      </tp>
      <tp t="s">
        <v>#N/A Requesting Data...1896142861</v>
        <stp/>
        <stp>BDP|3145518549001259596</stp>
        <tr r="BH48" s="3"/>
      </tp>
      <tp t="s">
        <v>#N/A N/A</v>
        <stp/>
        <stp>BDP|9312468975704078827</stp>
        <tr r="T56" s="2"/>
      </tp>
      <tp t="s">
        <v>#N/A Requesting Data...2973199361</v>
        <stp/>
        <stp>BDP|5340252694189401149</stp>
        <tr r="AH56" s="4"/>
      </tp>
      <tp t="s">
        <v>#N/A Requesting Data...2838293163</v>
        <stp/>
        <stp>BDP|6631150590570314826</stp>
        <tr r="BB81" s="3"/>
      </tp>
      <tp t="s">
        <v>#N/A Requesting Data...1736890592</v>
        <stp/>
        <stp>BDP|2388528697060139853</stp>
        <tr r="O150" s="3"/>
      </tp>
      <tp t="s">
        <v>#N/A Requesting Data...551227281</v>
        <stp/>
        <stp>BDP|5824273879711150753</stp>
        <tr r="Y205" s="3"/>
      </tp>
      <tp t="s">
        <v>#N/A Requesting Data...431442025</v>
        <stp/>
        <stp>BDP|9438466131440280839</stp>
        <tr r="AV16" s="2"/>
        <tr r="AO8" s="4"/>
      </tp>
      <tp t="s">
        <v>#N/A Requesting Data...2214598868</v>
        <stp/>
        <stp>BDP|5320405159345050782</stp>
        <tr r="O99" s="3"/>
      </tp>
      <tp t="s">
        <v>#N/A Requesting Data...3269925935</v>
        <stp/>
        <stp>BDP|2129298264907719797</stp>
        <tr r="F241" s="3"/>
      </tp>
      <tp t="s">
        <v>#N/A Requesting Data...3499454198</v>
        <stp/>
        <stp>BDP|6260728266908171955</stp>
        <tr r="O169" s="3"/>
      </tp>
      <tp t="s">
        <v>#N/A Requesting Data...3446101452</v>
        <stp/>
        <stp>BDP|7148167463724055265</stp>
        <tr r="AS190" s="3"/>
      </tp>
      <tp t="s">
        <v>#N/A Requesting Data...1881603382</v>
        <stp/>
        <stp>BDP|7097236711024299621</stp>
        <tr r="BF206" s="3"/>
      </tp>
      <tp t="s">
        <v>#N/A Requesting Data...1002662132</v>
        <stp/>
        <stp>BDP|2425496171417647082</stp>
        <tr r="BF55" s="3"/>
      </tp>
      <tp t="s">
        <v>#N/A Requesting Data...2144324779</v>
        <stp/>
        <stp>BDP|9381145668618555097</stp>
        <tr r="Y194" s="3"/>
      </tp>
      <tp t="s">
        <v>#N/A Requesting Data...2097534527</v>
        <stp/>
        <stp>BDP|3081524584791362964</stp>
        <tr r="BI50" s="3"/>
      </tp>
      <tp t="s">
        <v>#N/A Requesting Data...968190731</v>
        <stp/>
        <stp>BDP|8485876377213766202</stp>
        <tr r="K233" s="3"/>
      </tp>
      <tp t="s">
        <v>#N/A Requesting Data...496897986</v>
        <stp/>
        <stp>BDP|2455559037820285274</stp>
        <tr r="BA352" s="3"/>
      </tp>
      <tp t="s">
        <v>#N/A Requesting Data...3984469819</v>
        <stp/>
        <stp>BDP|7306660338135890163</stp>
        <tr r="BA324" s="3"/>
      </tp>
      <tp t="s">
        <v>#N/A Requesting Data...3524587638</v>
        <stp/>
        <stp>BDP|4018924654269452719</stp>
        <tr r="AO24" s="4"/>
      </tp>
      <tp t="s">
        <v>#N/A N/A</v>
        <stp/>
        <stp>BDP|7015319745636072073</stp>
        <tr r="BE69" s="2"/>
      </tp>
      <tp t="s">
        <v>#N/A Requesting Data...4107687425</v>
        <stp/>
        <stp>BDP|2564772451255099305</stp>
        <tr r="Q70" s="3"/>
      </tp>
      <tp t="s">
        <v>#N/A Requesting Data...3978632299</v>
        <stp/>
        <stp>BDP|7949199750193521662</stp>
        <tr r="BH40" s="3"/>
      </tp>
      <tp t="s">
        <v>#N/A Requesting Data...1914088690</v>
        <stp/>
        <stp>BDP|1331229436751652724</stp>
        <tr r="K79" s="3"/>
      </tp>
      <tp t="s">
        <v>#N/A Requesting Data...2759401136</v>
        <stp/>
        <stp>BDP|6384376209892997173</stp>
        <tr r="K110" s="3"/>
      </tp>
      <tp t="s">
        <v>#N/A N/A</v>
        <stp/>
        <stp>BDP|2088640335050349112</stp>
        <tr r="BK43" s="2"/>
      </tp>
      <tp t="s">
        <v>#N/A Requesting Data...3661997557</v>
        <stp/>
        <stp>BDP|5599518266056699679</stp>
        <tr r="AQ106" s="3"/>
      </tp>
      <tp t="s">
        <v>#N/A Requesting Data...2121600181</v>
        <stp/>
        <stp>BDP|8640679457485112848</stp>
        <tr r="Q308" s="3"/>
      </tp>
      <tp t="s">
        <v>#N/A Requesting Data...3687995416</v>
        <stp/>
        <stp>BDP|1390150647541577378</stp>
        <tr r="BH225" s="3"/>
      </tp>
      <tp t="s">
        <v>#N/A N/A</v>
        <stp/>
        <stp>BDP|3509309910815048266</stp>
        <tr r="BF91" s="2"/>
      </tp>
      <tp t="s">
        <v>#N/A Requesting Data...2648692841</v>
        <stp/>
        <stp>BDP|4401845473139208426</stp>
        <tr r="G48" s="4"/>
      </tp>
      <tp t="s">
        <v>#N/A Requesting Data...2286466084</v>
        <stp/>
        <stp>BDP|3326290278617528743</stp>
        <tr r="I314" s="3"/>
      </tp>
      <tp t="s">
        <v>#N/A Requesting Data...1350087160</v>
        <stp/>
        <stp>BDP|7589411704885478073</stp>
        <tr r="AH42" s="4"/>
      </tp>
      <tp t="s">
        <v>#N/A Requesting Data...3822442649</v>
        <stp/>
        <stp>BDP|9999574218403396864</stp>
        <tr r="AX28" s="4"/>
      </tp>
      <tp t="s">
        <v>#N/A N/A</v>
        <stp/>
        <stp>BDP|7138200439153911324</stp>
        <tr r="AF98" s="2"/>
      </tp>
      <tp t="s">
        <v>#N/A Requesting Data...1266710522</v>
        <stp/>
        <stp>BDP|3523101802583288769</stp>
        <tr r="AZ277" s="3"/>
      </tp>
      <tp t="s">
        <v>#N/A Requesting Data...4112027729</v>
        <stp/>
        <stp>BDP|5697325805717847795</stp>
        <tr r="AH9" s="3"/>
      </tp>
      <tp t="s">
        <v>#N/A Requesting Data...1419185931</v>
        <stp/>
        <stp>BDP|4950181863304589172</stp>
        <tr r="BG256" s="3"/>
      </tp>
      <tp t="s">
        <v>#N/A Requesting Data...2304115227</v>
        <stp/>
        <stp>BDP|8857458366314388889</stp>
        <tr r="BB34" s="3"/>
      </tp>
      <tp t="s">
        <v>#N/A Requesting Data...2281134024</v>
        <stp/>
        <stp>BDP|7665831784418999985</stp>
        <tr r="BA100" s="3"/>
      </tp>
      <tp t="s">
        <v>#N/A N/A</v>
        <stp/>
        <stp>BDP|9556504047846117836</stp>
        <tr r="AV49" s="2"/>
      </tp>
      <tp t="s">
        <v>#N/A Requesting Data...1738184527</v>
        <stp/>
        <stp>BDP|6418073806613657330</stp>
        <tr r="D31" s="4"/>
      </tp>
      <tp t="s">
        <v>#N/A N/A</v>
        <stp/>
        <stp>BDP|8766682312321458890</stp>
        <tr r="T64" s="2"/>
      </tp>
      <tp t="s">
        <v>#N/A Requesting Data...2554326366</v>
        <stp/>
        <stp>BDP|9212812010071647752</stp>
        <tr r="AH118" s="3"/>
      </tp>
      <tp t="s">
        <v>#N/A Requesting Data...3489715074</v>
        <stp/>
        <stp>BDP|2460012966005171726</stp>
        <tr r="K7" s="2"/>
      </tp>
      <tp t="s">
        <v>#N/A Requesting Data...1993450332</v>
        <stp/>
        <stp>BDP|5611857363054832981</stp>
        <tr r="AS189" s="3"/>
      </tp>
      <tp t="s">
        <v>#N/A N/A</v>
        <stp/>
        <stp>BDP|1716934794521079603</stp>
        <tr r="AX49" s="2"/>
      </tp>
      <tp t="s">
        <v>#N/A Requesting Data...1681838124</v>
        <stp/>
        <stp>BDP|2821671311727915473</stp>
        <tr r="AZ286" s="3"/>
      </tp>
      <tp t="s">
        <v>#N/A N/A</v>
        <stp/>
        <stp>BDP|4465139456230831687</stp>
        <tr r="AF24" s="2"/>
      </tp>
      <tp t="s">
        <v>#N/A N/A</v>
        <stp/>
        <stp>BDP|9522375727189090744</stp>
        <tr r="AD94" s="2"/>
      </tp>
      <tp t="s">
        <v>#N/A Requesting Data...1896644711</v>
        <stp/>
        <stp>BDP|7492844159274103895</stp>
        <tr r="AS253" s="3"/>
      </tp>
      <tp t="s">
        <v>#N/A Requesting Data...1433984284</v>
        <stp/>
        <stp>BDP|9242482498223288116</stp>
        <tr r="O56" s="3"/>
      </tp>
      <tp t="s">
        <v>#N/A Requesting Data...1546325766</v>
        <stp/>
        <stp>BDP|4840889968418872414</stp>
        <tr r="AJ58" s="3"/>
      </tp>
      <tp t="s">
        <v>#N/A Requesting Data...3524376332</v>
        <stp/>
        <stp>BDP|6210028890601033816</stp>
        <tr r="BH279" s="3"/>
      </tp>
      <tp t="s">
        <v>#N/A Requesting Data...3933549614</v>
        <stp/>
        <stp>BDP|1647720077731389616</stp>
        <tr r="I51" s="4"/>
      </tp>
      <tp t="s">
        <v>#N/A Requesting Data...965349029</v>
        <stp/>
        <stp>BDP|9319109492753468445</stp>
        <tr r="AA160" s="3"/>
      </tp>
      <tp t="s">
        <v>#N/A Requesting Data...3667398475</v>
        <stp/>
        <stp>BDP|9856927252941051292</stp>
        <tr r="AQ175" s="3"/>
      </tp>
      <tp t="s">
        <v>#N/A N/A</v>
        <stp/>
        <stp>BDP|7750428525447263033</stp>
        <tr r="BK101" s="2"/>
      </tp>
      <tp t="s">
        <v>#N/A Requesting Data...2501240779</v>
        <stp/>
        <stp>BDP|3950741870862537793</stp>
        <tr r="AO55" s="4"/>
      </tp>
      <tp t="s">
        <v>#N/A Requesting Data...4280832746</v>
        <stp/>
        <stp>BDP|8237727727909054269</stp>
        <tr r="O60" s="3"/>
      </tp>
      <tp t="s">
        <v>#N/A Requesting Data...2400163145</v>
        <stp/>
        <stp>BDP|5439297483040821977</stp>
        <tr r="AQ345" s="3"/>
      </tp>
      <tp t="s">
        <v>#N/A Requesting Data...2020450386</v>
        <stp/>
        <stp>BDP|1660626737987786551</stp>
        <tr r="AS199" s="3"/>
      </tp>
      <tp t="s">
        <v>#N/A N/A</v>
        <stp/>
        <stp>BDP|8029044404798241636</stp>
        <tr r="AX35" s="2"/>
      </tp>
      <tp t="s">
        <v>#N/A Requesting Data...2539408081</v>
        <stp/>
        <stp>BDP|7776130649076951251</stp>
        <tr r="BF176" s="3"/>
      </tp>
      <tp t="s">
        <v>#N/A Requesting Data...3554787682</v>
        <stp/>
        <stp>BDP|6007564760461456236</stp>
        <tr r="AQ41" s="4"/>
      </tp>
      <tp t="s">
        <v>#N/A Requesting Data...1368589547</v>
        <stp/>
        <stp>BDP|1013986089204574250</stp>
        <tr r="AH251" s="3"/>
      </tp>
      <tp t="s">
        <v>#N/A Requesting Data...3824872243</v>
        <stp/>
        <stp>BDP|7744121868205958355</stp>
        <tr r="O20" s="4"/>
      </tp>
      <tp t="s">
        <v>#N/A Requesting Data...3492301101</v>
        <stp/>
        <stp>BDP|1715861191591140706</stp>
        <tr r="AS44" s="3"/>
      </tp>
      <tp t="s">
        <v>#N/A N/A</v>
        <stp/>
        <stp>BDP|2481019312012109776</stp>
        <tr r="BF97" s="2"/>
      </tp>
      <tp t="s">
        <v>#N/A Requesting Data...3832086872</v>
        <stp/>
        <stp>BDP|1758622304638704908</stp>
        <tr r="AH267" s="3"/>
      </tp>
      <tp t="s">
        <v>#N/A Requesting Data...4290374906</v>
        <stp/>
        <stp>BDP|4933104444972211597</stp>
        <tr r="O176" s="3"/>
      </tp>
      <tp t="s">
        <v>#N/A Requesting Data...3343715485</v>
        <stp/>
        <stp>BDP|5328353706109736918</stp>
        <tr r="AA56" s="3"/>
      </tp>
      <tp t="s">
        <v>#N/A Requesting Data...2881682642</v>
        <stp/>
        <stp>BDP|9764046794216004018</stp>
        <tr r="AZ133" s="3"/>
      </tp>
      <tp t="s">
        <v>#N/A N/A</v>
        <stp/>
        <stp>BDP|7225359055283115455</stp>
        <tr r="BK98" s="2"/>
      </tp>
      <tp t="s">
        <v>#N/A Requesting Data...4294924845</v>
        <stp/>
        <stp>BDP|9180235331667514906</stp>
        <tr r="BB21" s="3"/>
      </tp>
      <tp t="s">
        <v>#N/A Requesting Data...1716172375</v>
        <stp/>
        <stp>BDP|8727770641875130866</stp>
        <tr r="BG102" s="3"/>
      </tp>
      <tp t="s">
        <v>#N/A Requesting Data...3866138458</v>
        <stp/>
        <stp>BDP|1278405961820622536</stp>
        <tr r="BB11" s="3"/>
      </tp>
      <tp t="s">
        <v>#N/A Requesting Data...1751081560</v>
        <stp/>
        <stp>BDP|8990358899326556266</stp>
        <tr r="BH32" s="3"/>
      </tp>
      <tp t="s">
        <v>#N/A N/A</v>
        <stp/>
        <stp>BDP|4404230200410624076</stp>
        <tr r="AM81" s="2"/>
      </tp>
      <tp t="s">
        <v>#N/A N/A</v>
        <stp/>
        <stp>BDP|7749019861426923188</stp>
        <tr r="BN56" s="2"/>
      </tp>
      <tp t="s">
        <v>#N/A Requesting Data...3097173424</v>
        <stp/>
        <stp>BDP|5430041044093654444</stp>
        <tr r="AH52" s="4"/>
      </tp>
      <tp t="s">
        <v>#N/A Requesting Data...4190373113</v>
        <stp/>
        <stp>BDP|2231526210146509637</stp>
        <tr r="BG312" s="3"/>
      </tp>
      <tp t="s">
        <v>#N/A Requesting Data...1512147275</v>
        <stp/>
        <stp>BDP|6277803052485349851</stp>
        <tr r="AJ215" s="3"/>
      </tp>
      <tp t="s">
        <v>#N/A N/A</v>
        <stp/>
        <stp>BDP|3947871209298247536</stp>
        <tr r="BL33" s="2"/>
      </tp>
      <tp t="s">
        <v>#N/A Requesting Data...2423868498</v>
        <stp/>
        <stp>BDP|8353963375367548735</stp>
        <tr r="I30" s="4"/>
      </tp>
      <tp t="s">
        <v>#N/A Requesting Data...2495277608</v>
        <stp/>
        <stp>BDP|1490917091991731650</stp>
        <tr r="AQ219" s="3"/>
      </tp>
      <tp t="s">
        <v>#N/A Requesting Data...1177078516</v>
        <stp/>
        <stp>BDP|4960927209799461207</stp>
        <tr r="W46" s="4"/>
        <tr r="Y258" s="3"/>
      </tp>
      <tp t="s">
        <v>#N/A Requesting Data...1752109203</v>
        <stp/>
        <stp>BDP|4906769646062960377</stp>
        <tr r="O4" s="4"/>
      </tp>
      <tp t="s">
        <v>#N/A N/A</v>
        <stp/>
        <stp>BDP|7613035469882803534</stp>
        <tr r="V8" s="2"/>
      </tp>
      <tp t="s">
        <v>#N/A Requesting Data...1934734430</v>
        <stp/>
        <stp>BDP|4385747312051531577</stp>
        <tr r="AH220" s="3"/>
      </tp>
      <tp t="s">
        <v>#N/A Requesting Data...2499174366</v>
        <stp/>
        <stp>BDP|8701770895661389114</stp>
        <tr r="AQ48" s="3"/>
      </tp>
      <tp t="s">
        <v>#N/A Requesting Data...2669094060</v>
        <stp/>
        <stp>BDP|3107658440996344108</stp>
        <tr r="AV71" s="2"/>
        <tr r="AO36" s="4"/>
      </tp>
      <tp t="s">
        <v>#N/A Requesting Data...2859492963</v>
        <stp/>
        <stp>BDP|7977883960056080960</stp>
        <tr r="AZ108" s="3"/>
      </tp>
      <tp t="s">
        <v>#N/A N/A</v>
        <stp/>
        <stp>BDP|7433153316713398231</stp>
        <tr r="AX51" s="2"/>
      </tp>
      <tp t="s">
        <v>#N/A N/A</v>
        <stp/>
        <stp>BDP|2034181623623414484</stp>
        <tr r="V26" s="2"/>
      </tp>
      <tp t="s">
        <v>#N/A N/A</v>
        <stp/>
        <stp>BDP|6568056980589326146</stp>
        <tr r="BN55" s="2"/>
      </tp>
      <tp t="s">
        <v>#N/A Requesting Data...2806625703</v>
        <stp/>
        <stp>BDP|2538307247504702720</stp>
        <tr r="BA325" s="3"/>
      </tp>
      <tp t="s">
        <v>#N/A Requesting Data...3937015646</v>
        <stp/>
        <stp>BDP|7129010659967711399</stp>
        <tr r="BB191" s="3"/>
      </tp>
      <tp t="s">
        <v>#N/A Requesting Data...3588971038</v>
        <stp/>
        <stp>BDP|6469732149562819112</stp>
        <tr r="Q142" s="3"/>
      </tp>
      <tp t="s">
        <v>#N/A Requesting Data...1704198600</v>
        <stp/>
        <stp>BDP|9668839876429503919</stp>
        <tr r="AZ233" s="3"/>
      </tp>
      <tp t="s">
        <v>#N/A N/A</v>
        <stp/>
        <stp>BDP|7165703395816481970</stp>
        <tr r="BE47" s="2"/>
      </tp>
      <tp t="s">
        <v>#N/A Requesting Data...2737479915</v>
        <stp/>
        <stp>BDP|6455052777444149302</stp>
        <tr r="AH329" s="3"/>
      </tp>
      <tp t="s">
        <v>#N/A N/A</v>
        <stp/>
        <stp>BDP|5891767458083937288</stp>
        <tr r="AM43" s="2"/>
      </tp>
      <tp t="s">
        <v>#N/A Requesting Data...4138794028</v>
        <stp/>
        <stp>BDP|5328976331721032825</stp>
        <tr r="F126" s="3"/>
      </tp>
      <tp t="s">
        <v>#N/A Requesting Data...2073783978</v>
        <stp/>
        <stp>BDP|2737128837804407214</stp>
        <tr r="AO41" s="4"/>
      </tp>
      <tp t="s">
        <v>#N/A Requesting Data...1618745827</v>
        <stp/>
        <stp>BDP|7826667164130438191</stp>
        <tr r="D50" s="4"/>
      </tp>
      <tp t="s">
        <v>#N/A N/A</v>
        <stp/>
        <stp>BDP|1343321659679929867</stp>
        <tr r="AO62" s="2"/>
      </tp>
      <tp t="s">
        <v>#N/A N/A</v>
        <stp/>
        <stp>BDP|3268792558557784000</stp>
        <tr r="AO31" s="2"/>
      </tp>
      <tp t="s">
        <v>#N/A Requesting Data...1248613774</v>
        <stp/>
        <stp>BDP|3693103375625114666</stp>
        <tr r="BH346" s="3"/>
      </tp>
      <tp t="s">
        <v>#N/A Requesting Data...3112681438</v>
        <stp/>
        <stp>BDP|5203712893498451508</stp>
        <tr r="Y206" s="3"/>
      </tp>
      <tp t="s">
        <v>#N/A Requesting Data...3194989479</v>
        <stp/>
        <stp>BDP|1672720107048156868</stp>
        <tr r="AQ284" s="3"/>
      </tp>
      <tp t="s">
        <v>#N/A Requesting Data...1091411800</v>
        <stp/>
        <stp>BDP|3867198946812753249</stp>
        <tr r="AJ280" s="3"/>
      </tp>
      <tp t="s">
        <v>#N/A Requesting Data...4167856539</v>
        <stp/>
        <stp>BDP|5921659048366637766</stp>
        <tr r="F8" s="3"/>
      </tp>
      <tp t="s">
        <v>#N/A Requesting Data...1125104594</v>
        <stp/>
        <stp>BDP|7547615173970609055</stp>
        <tr r="AD9" s="2"/>
      </tp>
      <tp t="s">
        <v>#N/A Requesting Data...2943762468</v>
        <stp/>
        <stp>BDP|7804020349987459230</stp>
        <tr r="AJ141" s="3"/>
      </tp>
      <tp t="s">
        <v>#N/A Requesting Data...1196710276</v>
        <stp/>
        <stp>BDP|6333721743633323059</stp>
        <tr r="AH192" s="3"/>
      </tp>
      <tp t="s">
        <v>#N/A N/A</v>
        <stp/>
        <stp>BDP|6760404650839160822</stp>
        <tr r="BF45" s="2"/>
      </tp>
      <tp t="s">
        <v>#N/A Requesting Data...3602570634</v>
        <stp/>
        <stp>BDP|4496815940287055915</stp>
        <tr r="Y23" s="3"/>
      </tp>
      <tp t="s">
        <v>#N/A Requesting Data...2433813489</v>
        <stp/>
        <stp>BDP|1571097158404817685</stp>
        <tr r="BF183" s="3"/>
      </tp>
      <tp t="s">
        <v>#N/A Requesting Data...4107217589</v>
        <stp/>
        <stp>BDP|1629211526235281279</stp>
        <tr r="W4" s="4"/>
      </tp>
      <tp t="s">
        <v>#N/A Requesting Data...1775322731</v>
        <stp/>
        <stp>BDP|5444241911513092359</stp>
        <tr r="BH237" s="3"/>
      </tp>
      <tp t="s">
        <v>#N/A N/A</v>
        <stp/>
        <stp>BDP|8789956564110385117</stp>
        <tr r="AX52" s="2"/>
      </tp>
      <tp t="s">
        <v>#N/A Requesting Data...4072254371</v>
        <stp/>
        <stp>BDP|3538963658189815073</stp>
        <tr r="BI245" s="3"/>
      </tp>
      <tp t="s">
        <v>#N/A Requesting Data...4281198034</v>
        <stp/>
        <stp>BDP|3442156716382531760</stp>
        <tr r="BG289" s="3"/>
      </tp>
      <tp t="s">
        <v>#N/A Requesting Data...2895697986</v>
        <stp/>
        <stp>BDP|5581328965534357255</stp>
        <tr r="AZ11" s="3"/>
      </tp>
      <tp t="s">
        <v>#N/A Requesting Data...3995245293</v>
        <stp/>
        <stp>BDP|6420020538767275486</stp>
        <tr r="F28" s="3"/>
      </tp>
      <tp t="s">
        <v>#N/A Requesting Data...3783397407</v>
        <stp/>
        <stp>BDP|7293437431963775537</stp>
        <tr r="BB301" s="3"/>
      </tp>
      <tp t="s">
        <v>#N/A N/A</v>
        <stp/>
        <stp>BDP|2007024353529370861</stp>
        <tr r="BF71" s="2"/>
      </tp>
      <tp t="s">
        <v>#N/A Requesting Data...3065069239</v>
        <stp/>
        <stp>BDP|3146059447835103462</stp>
        <tr r="AZ106" s="3"/>
      </tp>
      <tp t="s">
        <v>#N/A Requesting Data...2042867541</v>
        <stp/>
        <stp>BDP|3635541004666608643</stp>
        <tr r="I49" s="3"/>
      </tp>
      <tp t="s">
        <v>#N/A Requesting Data...1671420437</v>
        <stp/>
        <stp>BDP|4760659341125297551</stp>
        <tr r="Y9" s="3"/>
      </tp>
      <tp t="s">
        <v>#N/A Requesting Data...3003701731</v>
        <stp/>
        <stp>BDP|2069332871908580833</stp>
        <tr r="Y275" s="3"/>
      </tp>
      <tp t="s">
        <v>#N/A Requesting Data...3102811915</v>
        <stp/>
        <stp>BDP|4369253946274479006</stp>
        <tr r="AH62" s="3"/>
      </tp>
      <tp t="s">
        <v>#N/A N/A</v>
        <stp/>
        <stp>BDP|3277251423063483653</stp>
        <tr r="AO75" s="2"/>
      </tp>
      <tp t="s">
        <v>#N/A Requesting Data...3630495469</v>
        <stp/>
        <stp>BDP|4060243403366681643</stp>
        <tr r="Y36" s="3"/>
      </tp>
      <tp t="s">
        <v>#N/A Requesting Data...3317466339</v>
        <stp/>
        <stp>BDP|8622725887649751819</stp>
        <tr r="BI204" s="3"/>
      </tp>
      <tp t="s">
        <v>#N/A Requesting Data...3352860921</v>
        <stp/>
        <stp>BDP|3396607854250662647</stp>
        <tr r="BI96" s="3"/>
      </tp>
      <tp t="s">
        <v>#N/A Requesting Data...2173128995</v>
        <stp/>
        <stp>BDP|3070163751264285501</stp>
        <tr r="Q141" s="3"/>
      </tp>
      <tp t="s">
        <v>#N/A Requesting Data...2700134475</v>
        <stp/>
        <stp>BDP|1998001162083953272</stp>
        <tr r="BH277" s="3"/>
      </tp>
      <tp t="s">
        <v>#N/A Requesting Data...3366223044</v>
        <stp/>
        <stp>BDP|8560105283174299315</stp>
        <tr r="AQ10" s="4"/>
      </tp>
      <tp t="s">
        <v>#N/A N/A</v>
        <stp/>
        <stp>BDP|4176629517635505048</stp>
        <tr r="AM9" s="2"/>
      </tp>
      <tp t="s">
        <v>#N/A Requesting Data...4029888142</v>
        <stp/>
        <stp>BDP|3233022000435536006</stp>
        <tr r="BB175" s="3"/>
      </tp>
      <tp t="s">
        <v>#N/A N/A</v>
        <stp/>
        <stp>BDP|4920947241386978901</stp>
        <tr r="N34" s="2"/>
      </tp>
      <tp t="s">
        <v>#N/A Requesting Data...3162072781</v>
        <stp/>
        <stp>BDP|6066057825631103347</stp>
        <tr r="BH24" s="3"/>
      </tp>
      <tp t="s">
        <v>#N/A Requesting Data...3606617457</v>
        <stp/>
        <stp>BDP|7821672479657745741</stp>
        <tr r="BF262" s="3"/>
      </tp>
      <tp t="s">
        <v>#N/A Requesting Data...2481984019</v>
        <stp/>
        <stp>BDP|3547386213887382081</stp>
        <tr r="AZ224" s="3"/>
      </tp>
      <tp t="s">
        <v>#N/A Requesting Data...2699995082</v>
        <stp/>
        <stp>BDP|5838590958380962354</stp>
        <tr r="Y297" s="3"/>
      </tp>
      <tp t="s">
        <v>#N/A N/A</v>
        <stp/>
        <stp>BDP|1810589415267888487</stp>
        <tr r="AD14" s="2"/>
      </tp>
      <tp t="s">
        <v>#N/A Requesting Data...2922040476</v>
        <stp/>
        <stp>BDP|3201260396697195968</stp>
        <tr r="AS341" s="3"/>
      </tp>
      <tp t="s">
        <v>#N/A Requesting Data...2744512427</v>
        <stp/>
        <stp>BDP|4602661685639058505</stp>
        <tr r="AS281" s="3"/>
      </tp>
      <tp t="s">
        <v>#N/A Requesting Data...2940125673</v>
        <stp/>
        <stp>BDP|9121789876076142847</stp>
        <tr r="Y204" s="3"/>
      </tp>
      <tp t="s">
        <v>#N/A N/A</v>
        <stp/>
        <stp>BDP|5571945107822538991</stp>
        <tr r="V58" s="2"/>
      </tp>
      <tp t="s">
        <v>#N/A Requesting Data...2609412921</v>
        <stp/>
        <stp>BDP|2905671551792492410</stp>
        <tr r="I310" s="3"/>
      </tp>
      <tp t="s">
        <v>#N/A Requesting Data...3409282768</v>
        <stp/>
        <stp>BDP|9163887612353048415</stp>
        <tr r="K109" s="3"/>
      </tp>
      <tp t="s">
        <v>#N/A N/A</v>
        <stp/>
        <stp>BDP|6018315841124336294</stp>
        <tr r="AO66" s="2"/>
      </tp>
      <tp t="s">
        <v>#N/A N/A</v>
        <stp/>
        <stp>BDP|1773551785613406895</stp>
        <tr r="BL60" s="2"/>
      </tp>
      <tp t="s">
        <v>#N/A Requesting Data...3700233596</v>
        <stp/>
        <stp>BDP|7303739265409631899</stp>
        <tr r="AH227" s="3"/>
      </tp>
      <tp t="s">
        <v>#N/A Requesting Data...3412413060</v>
        <stp/>
        <stp>BDP|7858890749189527571</stp>
        <tr r="Q260" s="3"/>
      </tp>
      <tp t="s">
        <v>#N/A Requesting Data...2921144652</v>
        <stp/>
        <stp>BDP|3943500601880421169</stp>
        <tr r="AS133" s="3"/>
      </tp>
      <tp t="s">
        <v>#N/A Requesting Data...1670342285</v>
        <stp/>
        <stp>BDP|7618120474507342197</stp>
        <tr r="BF257" s="3"/>
      </tp>
      <tp t="s">
        <v>#N/A N/A</v>
        <stp/>
        <stp>BDP|7250976790466819671</stp>
        <tr r="BG92" s="2"/>
      </tp>
      <tp t="s">
        <v>#N/A Requesting Data...3898831264</v>
        <stp/>
        <stp>BDP|4957359204789759958</stp>
        <tr r="AH343" s="3"/>
      </tp>
      <tp t="s">
        <v>#N/A Requesting Data...4142452817</v>
        <stp/>
        <stp>BDP|6982913205290545834</stp>
        <tr r="AH119" s="3"/>
      </tp>
      <tp t="s">
        <v>#N/A Requesting Data...1869194110</v>
        <stp/>
        <stp>BDP|5815741824937668057</stp>
        <tr r="BB198" s="3"/>
      </tp>
      <tp t="s">
        <v>#N/A Requesting Data...3326786076</v>
        <stp/>
        <stp>BDP|9796086085237307120</stp>
        <tr r="O161" s="3"/>
      </tp>
      <tp t="s">
        <v>#N/A Requesting Data...4076081402</v>
        <stp/>
        <stp>BDP|5011421850660817318</stp>
        <tr r="AQ30" s="3"/>
      </tp>
      <tp t="s">
        <v>#N/A Requesting Data...3820839589</v>
        <stp/>
        <stp>BDP|5921490627477493381</stp>
        <tr r="F112" s="3"/>
      </tp>
      <tp t="s">
        <v>#N/A N/A</v>
        <stp/>
        <stp>BDP|2205233012936016088</stp>
        <tr r="V18" s="2"/>
      </tp>
      <tp t="s">
        <v>#N/A Requesting Data...3203238671</v>
        <stp/>
        <stp>BDP|1616001749191632321</stp>
        <tr r="F9" s="3"/>
      </tp>
      <tp t="s">
        <v>#N/A N/A</v>
        <stp/>
        <stp>BDP|4883744900385097174</stp>
        <tr r="BN18" s="2"/>
      </tp>
      <tp t="s">
        <v>#N/A N/A</v>
        <stp/>
        <stp>BDP|3765975540360258997</stp>
        <tr r="BL56" s="2"/>
      </tp>
      <tp t="s">
        <v>#N/A Requesting Data...4291810315</v>
        <stp/>
        <stp>BDP|7563811290365931462</stp>
        <tr r="BH131" s="3"/>
      </tp>
      <tp t="s">
        <v>#N/A N/A</v>
        <stp/>
        <stp>BDP|5807011757530507700</stp>
        <tr r="BM98" s="2"/>
      </tp>
      <tp t="s">
        <v>#N/A Requesting Data...2134909920</v>
        <stp/>
        <stp>BDP|4378980896945021668</stp>
        <tr r="AJ235" s="3"/>
      </tp>
      <tp t="s">
        <v>#N/A Requesting Data...3388059108</v>
        <stp/>
        <stp>BDP|4775540170185830403</stp>
        <tr r="AA68" s="3"/>
      </tp>
      <tp t="s">
        <v>#N/A Requesting Data...2627081747</v>
        <stp/>
        <stp>BDP|2202500151925805031</stp>
        <tr r="BA230" s="3"/>
      </tp>
      <tp t="s">
        <v>#N/A N/A</v>
        <stp/>
        <stp>BDP|8943731462959522756</stp>
        <tr r="V59" s="2"/>
      </tp>
      <tp t="s">
        <v>#N/A Requesting Data...3524284883</v>
        <stp/>
        <stp>BDP|2234986667043495914</stp>
        <tr r="AS66" s="3"/>
      </tp>
      <tp t="s">
        <v>#N/A Requesting Data...3543158539</v>
        <stp/>
        <stp>BDP|4580515028573722730</stp>
        <tr r="Q14" s="3"/>
      </tp>
      <tp t="s">
        <v>#N/A Requesting Data...2619614270</v>
        <stp/>
        <stp>BDP|1835099738292346721</stp>
        <tr r="AQ62" s="3"/>
      </tp>
      <tp t="s">
        <v>#N/A Requesting Data...2611994814</v>
        <stp/>
        <stp>BDP|4361179830379844845</stp>
        <tr r="AA294" s="3"/>
      </tp>
      <tp t="s">
        <v>#N/A N/A</v>
        <stp/>
        <stp>BDP|1836760243637743221</stp>
        <tr r="K59" s="2"/>
      </tp>
      <tp t="s">
        <v>#N/A Requesting Data...3494926195</v>
        <stp/>
        <stp>BDP|6945973658608757597</stp>
        <tr r="AS348" s="3"/>
      </tp>
      <tp t="s">
        <v>#N/A Requesting Data...3342628696</v>
        <stp/>
        <stp>BDP|6818762002825612328</stp>
        <tr r="BG239" s="3"/>
      </tp>
      <tp t="s">
        <v>#N/A Requesting Data...3577270355</v>
        <stp/>
        <stp>BDP|1094719071114125297</stp>
        <tr r="AA153" s="3"/>
      </tp>
      <tp t="s">
        <v>#N/A Requesting Data...2416236995</v>
        <stp/>
        <stp>BDP|2647302528794572032</stp>
        <tr r="BG351" s="3"/>
      </tp>
      <tp t="s">
        <v>#N/A Requesting Data...2498434269</v>
        <stp/>
        <stp>BDP|3569326341111631286</stp>
        <tr r="BF83" s="3"/>
      </tp>
      <tp t="s">
        <v>#N/A Requesting Data...3006011552</v>
        <stp/>
        <stp>BDP|7939082979055831285</stp>
        <tr r="O184" s="3"/>
      </tp>
      <tp t="s">
        <v>#N/A Requesting Data...2576710484</v>
        <stp/>
        <stp>BDP|7769921588454474513</stp>
        <tr r="BA48" s="3"/>
      </tp>
      <tp t="s">
        <v>#N/A Requesting Data...2366798800</v>
        <stp/>
        <stp>BDP|1894145521630553517</stp>
        <tr r="BF285" s="3"/>
      </tp>
      <tp t="s">
        <v>#N/A N/A</v>
        <stp/>
        <stp>BDP|2533780827696072639</stp>
        <tr r="AX58" s="2"/>
      </tp>
      <tp t="s">
        <v>#N/A N/A</v>
        <stp/>
        <stp>BDP|7813839794603400222</stp>
        <tr r="BN58" s="2"/>
      </tp>
      <tp t="s">
        <v>#N/A Requesting Data...2192061909</v>
        <stp/>
        <stp>BDP|8753148236119895449</stp>
        <tr r="AJ262" s="3"/>
      </tp>
      <tp t="s">
        <v>#N/A Requesting Data...2401326155</v>
        <stp/>
        <stp>BDP|4662432159920137242</stp>
        <tr r="AA185" s="3"/>
      </tp>
      <tp t="s">
        <v>#N/A N/A</v>
        <stp/>
        <stp>BDP|4047513772476377798</stp>
        <tr r="AV21" s="2"/>
      </tp>
      <tp t="s">
        <v>#N/A Requesting Data...1847499523</v>
        <stp/>
        <stp>BDP|2405188004655852195</stp>
        <tr r="BB38" s="3"/>
      </tp>
      <tp t="s">
        <v>#N/A N/A</v>
        <stp/>
        <stp>BDP|7271612043875175784</stp>
        <tr r="BF69" s="2"/>
      </tp>
      <tp t="s">
        <v>#N/A Requesting Data...3086802966</v>
        <stp/>
        <stp>BDP|3757416130351986269</stp>
        <tr r="Y301" s="3"/>
      </tp>
      <tp t="s">
        <v>#N/A Requesting Data...2353814571</v>
        <stp/>
        <stp>BDP|4708199907072011008</stp>
        <tr r="BG42" s="3"/>
      </tp>
      <tp t="s">
        <v>#N/A Requesting Data...2888494594</v>
        <stp/>
        <stp>BDP|3726596770336706004</stp>
        <tr r="BH152" s="3"/>
      </tp>
      <tp t="s">
        <v>#N/A Requesting Data...3140998630</v>
        <stp/>
        <stp>BDP|3371514803314079584</stp>
        <tr r="Q153" s="3"/>
      </tp>
      <tp t="s">
        <v>#N/A Requesting Data...1743486578</v>
        <stp/>
        <stp>BDP|3022679068463583732</stp>
        <tr r="AZ62" s="3"/>
      </tp>
      <tp t="s">
        <v>#N/A Requesting Data...1738519842</v>
        <stp/>
        <stp>BDP|1119562847097161080</stp>
        <tr r="AS202" s="3"/>
      </tp>
      <tp t="s">
        <v>#N/A Requesting Data...1993121939</v>
        <stp/>
        <stp>BDP|1129562719692240056</stp>
        <tr r="BF122" s="3"/>
      </tp>
      <tp t="s">
        <v>#N/A Requesting Data...1860607253</v>
        <stp/>
        <stp>BDP|2712060349104577540</stp>
        <tr r="AH140" s="3"/>
      </tp>
      <tp t="s">
        <v>#N/A Requesting Data...2373448988</v>
        <stp/>
        <stp>BDP|5619860045789587799</stp>
        <tr r="BG295" s="3"/>
      </tp>
      <tp t="s">
        <v>#N/A Requesting Data...1953138219</v>
        <stp/>
        <stp>BDP|3276958620896700990</stp>
        <tr r="BB306" s="3"/>
      </tp>
      <tp t="s">
        <v>#N/A Requesting Data...2594219709</v>
        <stp/>
        <stp>BDP|7834763411162542433</stp>
        <tr r="AH275" s="3"/>
      </tp>
      <tp t="s">
        <v>#N/A Requesting Data...3434807502</v>
        <stp/>
        <stp>BDP|1859753461221758627</stp>
        <tr r="BA105" s="3"/>
      </tp>
      <tp t="s">
        <v>#N/A N/A</v>
        <stp/>
        <stp>BDP|3394620631574817564</stp>
        <tr r="N59" s="2"/>
      </tp>
      <tp t="s">
        <v>#N/A Requesting Data...3017538732</v>
        <stp/>
        <stp>BDP|2096881525617611856</stp>
        <tr r="M55" s="4"/>
      </tp>
      <tp t="s">
        <v>#N/A Requesting Data...4137307026</v>
        <stp/>
        <stp>BDP|9647940060970961150</stp>
        <tr r="K69" s="3"/>
      </tp>
      <tp t="s">
        <v>#N/A Requesting Data...3062636696</v>
        <stp/>
        <stp>BDP|7863514002883660637</stp>
        <tr r="AQ226" s="3"/>
      </tp>
      <tp t="s">
        <v>#N/A Requesting Data...2791817607</v>
        <stp/>
        <stp>BDP|4769365915144397597</stp>
        <tr r="BI338" s="3"/>
      </tp>
      <tp t="s">
        <v>#N/A Requesting Data...3817336546</v>
        <stp/>
        <stp>BDP|5806497877960047186</stp>
        <tr r="AZ32" s="3"/>
      </tp>
      <tp t="s">
        <v>#N/A Requesting Data...3611989127</v>
        <stp/>
        <stp>BDP|6480236641694030387</stp>
        <tr r="AH106" s="3"/>
      </tp>
      <tp t="s">
        <v>#N/A Requesting Data...2987993319</v>
        <stp/>
        <stp>BDP|2495094400751242411</stp>
        <tr r="BF298" s="3"/>
      </tp>
      <tp t="s">
        <v>#N/A Requesting Data...2444947025</v>
        <stp/>
        <stp>BDP|5544133759141394721</stp>
        <tr r="Y21" s="4"/>
      </tp>
      <tp t="s">
        <v>#N/A Requesting Data...2784343628</v>
        <stp/>
        <stp>BDP|6210382174572751772</stp>
        <tr r="AQ338" s="3"/>
      </tp>
      <tp t="s">
        <v>#N/A Requesting Data...2225694950</v>
        <stp/>
        <stp>BDP|9356332555031256996</stp>
        <tr r="BB192" s="3"/>
      </tp>
      <tp t="s">
        <v>#N/A N/A</v>
        <stp/>
        <stp>BDP|1750093611652928586</stp>
        <tr r="P36" s="2"/>
      </tp>
      <tp t="s">
        <v>#N/A Requesting Data...3554324546</v>
        <stp/>
        <stp>BDP|5918831867804685856</stp>
        <tr r="AJ51" s="3"/>
      </tp>
      <tp t="s">
        <v>#N/A Requesting Data...2762121076</v>
        <stp/>
        <stp>BDP|9973111712467083953</stp>
        <tr r="AO46" s="4"/>
        <tr r="AQ258" s="3"/>
      </tp>
      <tp t="s">
        <v>#N/A Requesting Data...3241535767</v>
        <stp/>
        <stp>BDP|7070518222913560499</stp>
        <tr r="O98" s="3"/>
      </tp>
      <tp t="s">
        <v>#N/A Requesting Data...3557297473</v>
        <stp/>
        <stp>BDP|9952630744914723865</stp>
        <tr r="AQ52" s="3"/>
      </tp>
      <tp t="s">
        <v>#N/A Requesting Data...3579385646</v>
        <stp/>
        <stp>BDP|2915806241391083876</stp>
        <tr r="AX14" s="4"/>
      </tp>
      <tp t="s">
        <v>#N/A N/A</v>
        <stp/>
        <stp>BDP|9416862351564536798</stp>
        <tr r="BN53" s="2"/>
      </tp>
      <tp t="s">
        <v>#N/A Requesting Data...3418891223</v>
        <stp/>
        <stp>BDP|4593750229060173672</stp>
        <tr r="AJ134" s="3"/>
      </tp>
      <tp t="s">
        <v>#N/A Requesting Data...1985209955</v>
        <stp/>
        <stp>BDP|9917501416153692967</stp>
        <tr r="BG126" s="3"/>
      </tp>
      <tp t="s">
        <v>#N/A Requesting Data...4115054098</v>
        <stp/>
        <stp>BDP|1218388948691470097</stp>
        <tr r="BA32" s="3"/>
      </tp>
      <tp t="s">
        <v>#N/A Requesting Data...1818673528</v>
        <stp/>
        <stp>BDP|5015589625182223704</stp>
        <tr r="AZ134" s="3"/>
      </tp>
      <tp t="s">
        <v>#N/A Requesting Data...3532035001</v>
        <stp/>
        <stp>BDP|8331752213331353899</stp>
        <tr r="T4" s="2"/>
        <tr r="O248" s="3"/>
      </tp>
      <tp t="s">
        <v>#N/A Requesting Data...2276279217</v>
        <stp/>
        <stp>BDP|9207633098994282543</stp>
        <tr r="BB171" s="3"/>
      </tp>
      <tp t="s">
        <v>#N/A Requesting Data...2094834634</v>
        <stp/>
        <stp>BDP|1125530685193863804</stp>
        <tr r="AA202" s="3"/>
      </tp>
      <tp t="s">
        <v>#N/A Requesting Data...4192494684</v>
        <stp/>
        <stp>BDP|4531695019531321592</stp>
        <tr r="AQ50" s="3"/>
      </tp>
      <tp t="s">
        <v>#N/A N/A</v>
        <stp/>
        <stp>BDP|9056634895595979400</stp>
        <tr r="K72" s="2"/>
      </tp>
      <tp t="s">
        <v>#N/A N/A</v>
        <stp/>
        <stp>BDP|1554659148874668011</stp>
        <tr r="AF10" s="2"/>
      </tp>
      <tp t="s">
        <v>#N/A Requesting Data...3676488433</v>
        <stp/>
        <stp>BDP|5268454057527921466</stp>
        <tr r="I107" s="3"/>
      </tp>
      <tp t="s">
        <v>#N/A N/A</v>
        <stp/>
        <stp>BDP|8656610599234767463</stp>
        <tr r="BK95" s="2"/>
      </tp>
      <tp t="s">
        <v>#N/A Requesting Data...3265587797</v>
        <stp/>
        <stp>BDP|8586182916507284862</stp>
        <tr r="AZ74" s="3"/>
      </tp>
      <tp t="s">
        <v>#N/A Requesting Data...2817670992</v>
        <stp/>
        <stp>BDP|7840058261527194124</stp>
        <tr r="O167" s="3"/>
      </tp>
      <tp t="s">
        <v>#N/A Requesting Data...3309656052</v>
        <stp/>
        <stp>BDP|9577837610021935607</stp>
        <tr r="Q21" s="3"/>
      </tp>
      <tp t="s">
        <v>#N/A Requesting Data...2776847063</v>
        <stp/>
        <stp>BDP|2585525158280795570</stp>
        <tr r="AO22" s="4"/>
      </tp>
      <tp t="s">
        <v>#N/A Requesting Data...2648041699</v>
        <stp/>
        <stp>BDP|5145836118963227843</stp>
        <tr r="AZ103" s="3"/>
      </tp>
      <tp t="s">
        <v>#N/A Requesting Data...3474719045</v>
        <stp/>
        <stp>BDP|3363121239857026147</stp>
        <tr r="BG24" s="3"/>
      </tp>
      <tp t="s">
        <v>#N/A Requesting Data...2337765128</v>
        <stp/>
        <stp>BDP|6795698513112998483</stp>
        <tr r="Y110" s="3"/>
      </tp>
      <tp t="s">
        <v>#N/A Requesting Data...3038026158</v>
        <stp/>
        <stp>BDP|5529304765384590392</stp>
        <tr r="BH273" s="3"/>
      </tp>
      <tp t="s">
        <v>#N/A Requesting Data...2130620685</v>
        <stp/>
        <stp>BDP|9555440558967009852</stp>
        <tr r="AH182" s="3"/>
      </tp>
      <tp t="s">
        <v>#N/A Requesting Data...2576714345</v>
        <stp/>
        <stp>BDP|1925881369468173051</stp>
        <tr r="BB16" s="3"/>
      </tp>
      <tp t="s">
        <v>#N/A Requesting Data...2275325914</v>
        <stp/>
        <stp>BDP|8583278794773939735</stp>
        <tr r="F240" s="3"/>
      </tp>
      <tp t="s">
        <v>#N/A Requesting Data...3307053891</v>
        <stp/>
        <stp>BDP|6454650758626248477</stp>
        <tr r="BF95" s="3"/>
      </tp>
      <tp t="s">
        <v>#N/A Requesting Data...2515900444</v>
        <stp/>
        <stp>BDP|1463250068570741224</stp>
        <tr r="K298" s="3"/>
      </tp>
      <tp t="s">
        <v>#N/A Requesting Data...3168819950</v>
        <stp/>
        <stp>BDP|8673567894716858501</stp>
        <tr r="Q166" s="3"/>
      </tp>
      <tp t="s">
        <v>#N/A Requesting Data...3558760047</v>
        <stp/>
        <stp>BDP|2455240309461573605</stp>
        <tr r="BI259" s="3"/>
      </tp>
      <tp t="s">
        <v>#N/A N/A</v>
        <stp/>
        <stp>BDP|1147658907066773688</stp>
        <tr r="AO44" s="2"/>
      </tp>
      <tp t="s">
        <v>#N/A Requesting Data...3363167837</v>
        <stp/>
        <stp>BDP|3503046434634111385</stp>
        <tr r="K36" s="3"/>
      </tp>
      <tp t="s">
        <v>#N/A Requesting Data...3319227691</v>
        <stp/>
        <stp>BDP|4112884355359501752</stp>
        <tr r="BH174" s="3"/>
      </tp>
      <tp t="s">
        <v>#N/A Requesting Data...3354838773</v>
        <stp/>
        <stp>BDP|4441851347549302697</stp>
        <tr r="Q299" s="3"/>
      </tp>
      <tp t="s">
        <v>#N/A Requesting Data...3592316920</v>
        <stp/>
        <stp>BDP|9508473590993693084</stp>
        <tr r="BB329" s="3"/>
      </tp>
      <tp t="s">
        <v>#N/A N/A</v>
        <stp/>
        <stp>BDP|6933795004143146595</stp>
        <tr r="T49" s="2"/>
      </tp>
      <tp t="s">
        <v>#N/A Requesting Data...3280869341</v>
        <stp/>
        <stp>BDP|9545386941370945993</stp>
        <tr r="AZ12" s="3"/>
      </tp>
      <tp t="s">
        <v>#N/A Requesting Data...3552101845</v>
        <stp/>
        <stp>BDP|4329384007701685170</stp>
        <tr r="BI22" s="3"/>
      </tp>
      <tp t="s">
        <v>#N/A Requesting Data...2108109814</v>
        <stp/>
        <stp>BDP|5226095446834328234</stp>
        <tr r="O97" s="3"/>
      </tp>
      <tp t="s">
        <v>#N/A Requesting Data...4220158640</v>
        <stp/>
        <stp>BDP|8119811612315786381</stp>
        <tr r="AJ145" s="3"/>
      </tp>
      <tp t="s">
        <v>#N/A Requesting Data...3763224266</v>
        <stp/>
        <stp>BDP|6108609599296442812</stp>
        <tr r="AH341" s="3"/>
      </tp>
      <tp t="s">
        <v>#N/A N/A</v>
        <stp/>
        <stp>BDP|7671616215460602799</stp>
        <tr r="AF78" s="2"/>
      </tp>
      <tp t="s">
        <v>#N/A N/A</v>
        <stp/>
        <stp>BDP|5154104715122166089</stp>
        <tr r="AX75" s="2"/>
      </tp>
      <tp t="s">
        <v>#N/A N/A</v>
        <stp/>
        <stp>BDP|1147086027937765342</stp>
        <tr r="AD55" s="2"/>
      </tp>
      <tp t="s">
        <v>#N/A Requesting Data...3654546258</v>
        <stp/>
        <stp>BDP|8371918868315364544</stp>
        <tr r="AQ337" s="3"/>
      </tp>
      <tp t="s">
        <v>#N/A N/A</v>
        <stp/>
        <stp>BDP|8049669471448203688</stp>
        <tr r="AX27" s="2"/>
      </tp>
      <tp t="s">
        <v>#N/A Requesting Data...3273195488</v>
        <stp/>
        <stp>BDP|7172167752213937711</stp>
        <tr r="AQ34" s="3"/>
      </tp>
      <tp t="s">
        <v>#N/A Requesting Data...2504493086</v>
        <stp/>
        <stp>BDP|5692573570110889043</stp>
        <tr r="Y106" s="3"/>
      </tp>
      <tp t="s">
        <v>#N/A N/A</v>
        <stp/>
        <stp>BDP|7922583462674769791</stp>
        <tr r="AF5" s="2"/>
      </tp>
      <tp t="s">
        <v>#N/A Requesting Data...4003416462</v>
        <stp/>
        <stp>BDP|1539171714162368487</stp>
        <tr r="BH205" s="3"/>
      </tp>
      <tp t="s">
        <v>#N/A Requesting Data...2579803069</v>
        <stp/>
        <stp>BDP|9995864271571090033</stp>
        <tr r="K154" s="3"/>
      </tp>
      <tp t="s">
        <v>#N/A Requesting Data...3874945386</v>
        <stp/>
        <stp>BDP|7704026206274886469</stp>
        <tr r="O151" s="3"/>
      </tp>
      <tp t="s">
        <v>#N/A N/A</v>
        <stp/>
        <stp>BDP|7557675319740705710</stp>
        <tr r="BN77" s="2"/>
      </tp>
      <tp t="s">
        <v>#N/A Requesting Data...3286831991</v>
        <stp/>
        <stp>BDP|2121192467514614643</stp>
        <tr r="BI207" s="3"/>
      </tp>
      <tp t="s">
        <v>#N/A Requesting Data...3367797704</v>
        <stp/>
        <stp>BDP|1153219469267375580</stp>
        <tr r="K185" s="3"/>
      </tp>
      <tp t="s">
        <v>#N/A Requesting Data...2218127066</v>
        <stp/>
        <stp>BDP|1974230108814374031</stp>
        <tr r="BF64" s="3"/>
      </tp>
      <tp t="s">
        <v>#N/A N/A</v>
        <stp/>
        <stp>BDP|6588359842105833388</stp>
        <tr r="AM66" s="2"/>
      </tp>
      <tp t="s">
        <v>#N/A Requesting Data...2813611782</v>
        <stp/>
        <stp>BDP|7702690166839243987</stp>
        <tr r="K63" s="3"/>
      </tp>
      <tp t="s">
        <v>#N/A Requesting Data...4138390732</v>
        <stp/>
        <stp>BDP|4608388256337211281</stp>
        <tr r="K37" s="3"/>
      </tp>
      <tp t="s">
        <v>#N/A Requesting Data...2984206508</v>
        <stp/>
        <stp>BDP|1043705366081394672</stp>
        <tr r="AA219" s="3"/>
      </tp>
      <tp t="s">
        <v>#N/A N/A</v>
        <stp/>
        <stp>BDP|3325322520181495475</stp>
        <tr r="BN101" s="2"/>
      </tp>
      <tp t="s">
        <v>#N/A N/A</v>
        <stp/>
        <stp>BDP|3046761845887762067</stp>
        <tr r="P25" s="2"/>
      </tp>
      <tp t="s">
        <v>#N/A Requesting Data...3878979075</v>
        <stp/>
        <stp>BDP|6947090017719795925</stp>
        <tr r="BG141" s="3"/>
      </tp>
      <tp t="s">
        <v>#N/A Requesting Data...2304183042</v>
        <stp/>
        <stp>BDP|8517479787367566423</stp>
        <tr r="Y325" s="3"/>
      </tp>
      <tp t="s">
        <v>#N/A Requesting Data...3073790041</v>
        <stp/>
        <stp>BDP|6401024592951242947</stp>
        <tr r="BI337" s="3"/>
      </tp>
      <tp t="s">
        <v>#N/A Requesting Data...2537435711</v>
        <stp/>
        <stp>BDP|2562032933366342042</stp>
        <tr r="BG51" s="3"/>
      </tp>
      <tp t="s">
        <v>#N/A Requesting Data...2139123183</v>
        <stp/>
        <stp>BDP|6299034541640082522</stp>
        <tr r="BI111" s="3"/>
      </tp>
      <tp t="s">
        <v>#N/A N/A</v>
        <stp/>
        <stp>BDP|4937615050690278085</stp>
        <tr r="BG11" s="2"/>
      </tp>
      <tp t="s">
        <v>#N/A Requesting Data...3319053264</v>
        <stp/>
        <stp>BDP|3020628013491580264</stp>
        <tr r="AQ186" s="3"/>
      </tp>
      <tp t="s">
        <v>#N/A Requesting Data...3587629796</v>
        <stp/>
        <stp>BDP|3367556571144405214</stp>
        <tr r="AO32" s="4"/>
      </tp>
      <tp t="s">
        <v>#N/A Requesting Data...3518256348</v>
        <stp/>
        <stp>BDP|8020265584867907298</stp>
        <tr r="AQ115" s="3"/>
      </tp>
      <tp t="s">
        <v>#N/A N/A</v>
        <stp/>
        <stp>BDP|4015928731958526145</stp>
        <tr r="P98" s="2"/>
      </tp>
      <tp t="s">
        <v>#N/A Requesting Data...3417288927</v>
        <stp/>
        <stp>BDP|8977914809124649250</stp>
        <tr r="BA120" s="3"/>
      </tp>
      <tp t="s">
        <v>#N/A Requesting Data...2932258192</v>
        <stp/>
        <stp>BDP|8277147153958393346</stp>
        <tr r="BF200" s="3"/>
      </tp>
      <tp t="s">
        <v>#N/A Requesting Data...2738384967</v>
        <stp/>
        <stp>BDP|4218894692365299799</stp>
        <tr r="Y263" s="3"/>
      </tp>
      <tp t="s">
        <v>#N/A Requesting Data...4062537785</v>
        <stp/>
        <stp>BDP|6037401192925964984</stp>
        <tr r="F99" s="3"/>
      </tp>
      <tp t="s">
        <v>#N/A Requesting Data...2136381713</v>
        <stp/>
        <stp>BDP|9214929185309648606</stp>
        <tr r="BF320" s="3"/>
      </tp>
      <tp t="s">
        <v>#N/A Requesting Data...2471760457</v>
        <stp/>
        <stp>BDP|4536284172816939055</stp>
        <tr r="AA6" s="3"/>
      </tp>
      <tp t="s">
        <v>#N/A Requesting Data...3211424614</v>
        <stp/>
        <stp>BDP|6357518560326164400</stp>
        <tr r="I76" s="3"/>
      </tp>
      <tp t="s">
        <v>#N/A Requesting Data...3302758501</v>
        <stp/>
        <stp>BDP|2795626034133013324</stp>
        <tr r="BF237" s="3"/>
      </tp>
      <tp t="s">
        <v>#N/A Requesting Data...3423885585</v>
        <stp/>
        <stp>BDP|4018125011882045103</stp>
        <tr r="BB352" s="3"/>
      </tp>
      <tp t="s">
        <v>#N/A Requesting Data...3518216471</v>
        <stp/>
        <stp>BDP|5735551994318496612</stp>
        <tr r="BK5" s="2"/>
      </tp>
      <tp t="s">
        <v>#N/A Requesting Data...4247769036</v>
        <stp/>
        <stp>BDP|1588652087589765137</stp>
        <tr r="AH116" s="3"/>
      </tp>
      <tp t="s">
        <v>#N/A Requesting Data...3411982950</v>
        <stp/>
        <stp>BDP|8717551465824636825</stp>
        <tr r="BB275" s="3"/>
      </tp>
      <tp t="s">
        <v>#N/A Requesting Data...3018432163</v>
        <stp/>
        <stp>BDP|2180708520816355613</stp>
        <tr r="BB153" s="3"/>
      </tp>
      <tp t="s">
        <v>#N/A Requesting Data...2907068540</v>
        <stp/>
        <stp>BDP|3623703967721181430</stp>
        <tr r="BB292" s="3"/>
      </tp>
      <tp t="s">
        <v>#N/A Requesting Data...2709998977</v>
        <stp/>
        <stp>BDP|6489271285219083253</stp>
        <tr r="G39" s="4"/>
      </tp>
      <tp t="s">
        <v>#N/A Requesting Data...2557734248</v>
        <stp/>
        <stp>BDP|3034878195863456655</stp>
        <tr r="G41" s="4"/>
      </tp>
      <tp t="s">
        <v>#N/A Requesting Data...3141296251</v>
        <stp/>
        <stp>BDP|5270385133103223183</stp>
        <tr r="F36" s="3"/>
      </tp>
      <tp t="s">
        <v>#N/A Requesting Data...4182724899</v>
        <stp/>
        <stp>BDP|4754732051376347755</stp>
        <tr r="BA87" s="3"/>
      </tp>
      <tp t="s">
        <v>#N/A Requesting Data...3580706913</v>
        <stp/>
        <stp>BDP|4336152663571785519</stp>
        <tr r="BH195" s="3"/>
      </tp>
      <tp t="s">
        <v>#N/A Requesting Data...3962978181</v>
        <stp/>
        <stp>BDP|9994842723011568588</stp>
        <tr r="AJ299" s="3"/>
      </tp>
      <tp t="s">
        <v>#N/A Requesting Data...3096577481</v>
        <stp/>
        <stp>BDP|6373406061056032516</stp>
        <tr r="Y156" s="3"/>
      </tp>
      <tp t="s">
        <v>#N/A Requesting Data...3104371712</v>
        <stp/>
        <stp>BDP|2367622634044215441</stp>
        <tr r="BF252" s="3"/>
      </tp>
      <tp t="s">
        <v>#N/A Requesting Data...3390739309</v>
        <stp/>
        <stp>BDP|6325614594136530800</stp>
        <tr r="BA297" s="3"/>
      </tp>
      <tp t="s">
        <v>#N/A Requesting Data...4199280827</v>
        <stp/>
        <stp>BDP|7392527049967349687</stp>
        <tr r="K12" s="3"/>
      </tp>
      <tp t="s">
        <v>#N/A Requesting Data...2730603649</v>
        <stp/>
        <stp>BDP|3896979046628247184</stp>
        <tr r="Q326" s="3"/>
      </tp>
      <tp t="s">
        <v>#N/A Requesting Data...3334608857</v>
        <stp/>
        <stp>BDP|2290718675740578538</stp>
        <tr r="AA88" s="3"/>
      </tp>
      <tp t="s">
        <v>#N/A Requesting Data...4007728931</v>
        <stp/>
        <stp>BDP|7552328322058116947</stp>
        <tr r="AJ20" s="3"/>
      </tp>
      <tp t="s">
        <v>#N/A N/A</v>
        <stp/>
        <stp>BDP|1137181224950500585</stp>
        <tr r="AX47" s="2"/>
      </tp>
      <tp t="s">
        <v>#N/A Requesting Data...3954891408</v>
        <stp/>
        <stp>BDP|4140952492266260543</stp>
        <tr r="F195" s="3"/>
      </tp>
      <tp t="s">
        <v>#N/A Requesting Data...4005456014</v>
        <stp/>
        <stp>BDP|9549833978701723093</stp>
        <tr r="BI103" s="3"/>
      </tp>
      <tp t="s">
        <v>#N/A Requesting Data...2924381346</v>
        <stp/>
        <stp>BDP|2746302014941782647</stp>
        <tr r="Q318" s="3"/>
      </tp>
      <tp t="s">
        <v>#N/A Requesting Data...3474978711</v>
        <stp/>
        <stp>BDP|2355184431625837227</stp>
        <tr r="AS121" s="3"/>
      </tp>
      <tp t="s">
        <v>#N/A N/A</v>
        <stp/>
        <stp>BDP|5862084021073947385</stp>
        <tr r="BE33" s="2"/>
      </tp>
      <tp t="s">
        <v>#N/A Requesting Data...3950057463</v>
        <stp/>
        <stp>BDP|5281239851171105413</stp>
        <tr r="O9" s="3"/>
      </tp>
      <tp t="s">
        <v>#N/A Requesting Data...2326087741</v>
        <stp/>
        <stp>BDP|4983393261615990386</stp>
        <tr r="BH163" s="3"/>
      </tp>
      <tp t="s">
        <v>#N/A Requesting Data...3548663917</v>
        <stp/>
        <stp>BDP|3632459745794218049</stp>
        <tr r="K257" s="3"/>
      </tp>
      <tp t="s">
        <v>#N/A Requesting Data...2573296905</v>
        <stp/>
        <stp>BDP|7720514719763971763</stp>
        <tr r="AJ213" s="3"/>
      </tp>
      <tp t="s">
        <v>#N/A Requesting Data...3947222742</v>
        <stp/>
        <stp>BDP|3873813747169629182</stp>
        <tr r="K62" s="3"/>
      </tp>
      <tp t="s">
        <v>#N/A Requesting Data...4205899424</v>
        <stp/>
        <stp>BDP|8761588469325317958</stp>
        <tr r="BE22" s="2"/>
        <tr r="AX15" s="4"/>
      </tp>
      <tp t="s">
        <v>#N/A Requesting Data...3163212900</v>
        <stp/>
        <stp>BDP|6265556876473232033</stp>
        <tr r="K196" s="3"/>
      </tp>
      <tp t="s">
        <v>#N/A Requesting Data...3307500623</v>
        <stp/>
        <stp>BDP|1309240103190346473</stp>
        <tr r="V4" s="2"/>
        <tr r="Q248" s="3"/>
      </tp>
      <tp t="s">
        <v>#N/A Requesting Data...3168446834</v>
        <stp/>
        <stp>BDP|9328231471198104304</stp>
        <tr r="AA36" s="3"/>
      </tp>
      <tp t="s">
        <v>#N/A Requesting Data...3749372155</v>
        <stp/>
        <stp>BDP|4789335772053281443</stp>
        <tr r="BI226" s="3"/>
      </tp>
      <tp t="s">
        <v>#N/A Requesting Data...3293483188</v>
        <stp/>
        <stp>BDP|9640458639251969820</stp>
        <tr r="I192" s="3"/>
      </tp>
      <tp t="s">
        <v>#N/A Requesting Data...2403575760</v>
        <stp/>
        <stp>BDP|4375700370273264008</stp>
        <tr r="AJ105" s="3"/>
      </tp>
      <tp t="s">
        <v>#N/A Requesting Data...4054621705</v>
        <stp/>
        <stp>BDP|6355064275750345629</stp>
        <tr r="AA46" s="3"/>
      </tp>
      <tp t="s">
        <v>#N/A Requesting Data...4246116908</v>
        <stp/>
        <stp>BDP|4683588364246995620</stp>
        <tr r="AH99" s="3"/>
      </tp>
      <tp t="s">
        <v>#N/A N/A</v>
        <stp/>
        <stp>BDP|1082019010744959398</stp>
        <tr r="AD34" s="2"/>
      </tp>
      <tp t="s">
        <v>#N/A Requesting Data...3832296535</v>
        <stp/>
        <stp>BDP|3497334550624544635</stp>
        <tr r="I75" s="3"/>
      </tp>
      <tp t="s">
        <v>#N/A Requesting Data...4123467720</v>
        <stp/>
        <stp>BDP|7866761537972813605</stp>
        <tr r="Y56" s="3"/>
      </tp>
      <tp t="s">
        <v>#N/A Requesting Data...3095885123</v>
        <stp/>
        <stp>BDP|3315906777803130946</stp>
        <tr r="AH322" s="3"/>
      </tp>
      <tp t="s">
        <v>#N/A Requesting Data...3875620675</v>
        <stp/>
        <stp>BDP|4476378282090150816</stp>
        <tr r="F139" s="3"/>
      </tp>
      <tp t="s">
        <v>#N/A Requesting Data...3558284269</v>
        <stp/>
        <stp>BDP|9612523347136444969</stp>
        <tr r="F54" s="3"/>
      </tp>
      <tp t="s">
        <v>#N/A Requesting Data...2805904750</v>
        <stp/>
        <stp>BDP|7110277848431944767</stp>
        <tr r="AQ289" s="3"/>
      </tp>
      <tp t="s">
        <v>#N/A N/A</v>
        <stp/>
        <stp>BDP|9180121325709287456</stp>
        <tr r="AO56" s="2"/>
      </tp>
      <tp t="s">
        <v>#N/A Requesting Data...3137796754</v>
        <stp/>
        <stp>BDP|1606096540212712095</stp>
        <tr r="BH198" s="3"/>
      </tp>
      <tp t="s">
        <v>#N/A Requesting Data...2957827868</v>
        <stp/>
        <stp>BDP|2427609274000736468</stp>
        <tr r="AH150" s="3"/>
      </tp>
      <tp t="s">
        <v>#N/A Requesting Data...2590840383</v>
        <stp/>
        <stp>BDP|3790944745361681815</stp>
        <tr r="AJ246" s="3"/>
      </tp>
      <tp t="s">
        <v>#N/A Requesting Data...2688007050</v>
        <stp/>
        <stp>BDP|5623362551145466143</stp>
        <tr r="AZ7" s="3"/>
      </tp>
      <tp t="s">
        <v>#N/A Requesting Data...2798286431</v>
        <stp/>
        <stp>BDP|4730205937733769160</stp>
        <tr r="O11" s="3"/>
      </tp>
      <tp t="s">
        <v>#N/A Requesting Data...3477799538</v>
        <stp/>
        <stp>BDP|7634372202072665141</stp>
        <tr r="Y109" s="3"/>
      </tp>
      <tp t="s">
        <v>#N/A Requesting Data...3021736799</v>
        <stp/>
        <stp>BDP|6043054687451338801</stp>
        <tr r="BA79" s="3"/>
      </tp>
      <tp t="s">
        <v>#N/A Requesting Data...2829490070</v>
        <stp/>
        <stp>BDP|9161357971349222319</stp>
        <tr r="BF308" s="3"/>
      </tp>
      <tp t="s">
        <v>#N/A N/A</v>
        <stp/>
        <stp>BDP|9749926122713598644</stp>
        <tr r="BK67" s="2"/>
      </tp>
      <tp t="s">
        <v>#N/A Requesting Data...3818630745</v>
        <stp/>
        <stp>BDP|7788759167451380005</stp>
        <tr r="BF100" s="3"/>
      </tp>
      <tp t="s">
        <v>#N/A Requesting Data...3478873912</v>
        <stp/>
        <stp>BDP|6984635524021845402</stp>
        <tr r="Q17" s="3"/>
      </tp>
      <tp t="s">
        <v>#N/A Requesting Data...3928034834</v>
        <stp/>
        <stp>BDP|5406081144963838560</stp>
        <tr r="AA281" s="3"/>
      </tp>
      <tp t="s">
        <v>#N/A Requesting Data...4013038211</v>
        <stp/>
        <stp>BDP|4538809912268423257</stp>
        <tr r="BH79" s="3"/>
      </tp>
      <tp t="s">
        <v>#N/A Requesting Data...3951817610</v>
        <stp/>
        <stp>BDP|1052153881849559677</stp>
        <tr r="AA187" s="3"/>
      </tp>
      <tp t="s">
        <v>#N/A Requesting Data...3246247330</v>
        <stp/>
        <stp>BDP|4830227044545894007</stp>
        <tr r="BB130" s="3"/>
      </tp>
      <tp t="s">
        <v>#N/A Requesting Data...2739376109</v>
        <stp/>
        <stp>BDP|5915597660989288849</stp>
        <tr r="BH85" s="3"/>
      </tp>
      <tp t="s">
        <v>#N/A Requesting Data...3480012067</v>
        <stp/>
        <stp>BDP|7688481368805557755</stp>
        <tr r="AZ268" s="3"/>
      </tp>
      <tp t="s">
        <v>#N/A Requesting Data...2740418666</v>
        <stp/>
        <stp>BDP|5782383472280315689</stp>
        <tr r="AQ133" s="3"/>
      </tp>
      <tp t="s">
        <v>#N/A Requesting Data...4239490008</v>
        <stp/>
        <stp>BDP|5891221382180798890</stp>
        <tr r="F87" s="3"/>
      </tp>
      <tp t="s">
        <v>#N/A Requesting Data...3016474839</v>
        <stp/>
        <stp>BDP|4238861193202962086</stp>
        <tr r="K53" s="3"/>
      </tp>
      <tp t="s">
        <v>#N/A Requesting Data...3683175032</v>
        <stp/>
        <stp>BDP|2641534410364504560</stp>
        <tr r="I281" s="3"/>
      </tp>
      <tp t="s">
        <v>#N/A Requesting Data...3164377053</v>
        <stp/>
        <stp>BDP|6692496416092880674</stp>
        <tr r="F85" s="3"/>
      </tp>
      <tp t="s">
        <v>#N/A N/A</v>
        <stp/>
        <stp>BDP|6540721325864460009</stp>
        <tr r="K57" s="2"/>
      </tp>
      <tp t="s">
        <v>#N/A N/A</v>
        <stp/>
        <stp>BDP|4517172071206027357</stp>
        <tr r="BG47" s="2"/>
      </tp>
      <tp t="s">
        <v>#N/A Requesting Data...3788803161</v>
        <stp/>
        <stp>BDP|8988291215748693453</stp>
        <tr r="M14" s="4"/>
      </tp>
      <tp t="s">
        <v>#N/A N/A</v>
        <stp/>
        <stp>BDP|6571714866901572119</stp>
        <tr r="AV23" s="2"/>
      </tp>
      <tp t="s">
        <v>#N/A Requesting Data...2795045243</v>
        <stp/>
        <stp>BDP|1121016173728766922</stp>
        <tr r="K172" s="3"/>
      </tp>
      <tp t="s">
        <v>#N/A Requesting Data...2931985312</v>
        <stp/>
        <stp>BDP|6887998232793318861</stp>
        <tr r="BH142" s="3"/>
      </tp>
      <tp t="s">
        <v>#N/A Requesting Data...4250232172</v>
        <stp/>
        <stp>BDP|6498757995776181936</stp>
        <tr r="AQ212" s="3"/>
      </tp>
      <tp t="s">
        <v>#N/A Requesting Data...3064651560</v>
        <stp/>
        <stp>BDP|1741796179883452558</stp>
        <tr r="AA111" s="3"/>
      </tp>
      <tp t="s">
        <v>#N/A Requesting Data...3138107259</v>
        <stp/>
        <stp>BDP|8175789569839431723</stp>
        <tr r="BI66" s="3"/>
      </tp>
      <tp t="s">
        <v>#N/A Requesting Data...3222678584</v>
        <stp/>
        <stp>BDP|5678009037744696509</stp>
        <tr r="Q39" s="3"/>
      </tp>
      <tp t="s">
        <v>#N/A Requesting Data...2710720318</v>
        <stp/>
        <stp>BDP|1108439977073643646</stp>
        <tr r="AO28" s="4"/>
      </tp>
      <tp t="s">
        <v>#N/A Requesting Data...2781309972</v>
        <stp/>
        <stp>BDP|3789057440243779321</stp>
        <tr r="BB55" s="3"/>
      </tp>
      <tp t="s">
        <v>#N/A Requesting Data...3926716346</v>
        <stp/>
        <stp>BDP|7895691490097717813</stp>
        <tr r="I61" s="3"/>
      </tp>
      <tp t="s">
        <v>#N/A Requesting Data...4204507539</v>
        <stp/>
        <stp>BDP|9357819554657951483</stp>
        <tr r="K350" s="3"/>
      </tp>
      <tp t="s">
        <v>#N/A Requesting Data...2932230771</v>
        <stp/>
        <stp>BDP|9073673766559036761</stp>
        <tr r="Y126" s="3"/>
      </tp>
      <tp t="s">
        <v>#N/A Requesting Data...3601426665</v>
        <stp/>
        <stp>BDP|2362959503058356418</stp>
        <tr r="AZ256" s="3"/>
      </tp>
      <tp t="s">
        <v>#N/A Requesting Data...3043044208</v>
        <stp/>
        <stp>BDP|5612453527111094538</stp>
        <tr r="AF56" s="4"/>
      </tp>
      <tp t="s">
        <v>#N/A Requesting Data...3284451793</v>
        <stp/>
        <stp>BDP|5662674526173823584</stp>
        <tr r="Y231" s="3"/>
      </tp>
      <tp t="s">
        <v>#N/A Requesting Data...3117761139</v>
        <stp/>
        <stp>BDP|8064033894065700370</stp>
        <tr r="AQ253" s="3"/>
      </tp>
      <tp t="s">
        <v>#N/A Requesting Data...3082600473</v>
        <stp/>
        <stp>BDP|5048298375933969424</stp>
        <tr r="BF15" s="3"/>
      </tp>
      <tp t="s">
        <v>#N/A Requesting Data...3139166141</v>
        <stp/>
        <stp>BDP|3110426065005322322</stp>
        <tr r="BI166" s="3"/>
      </tp>
      <tp t="s">
        <v>#N/A N/A</v>
        <stp/>
        <stp>BDP|3490749247647641064</stp>
        <tr r="BN73" s="2"/>
      </tp>
      <tp t="s">
        <v>#N/A Requesting Data...3392321278</v>
        <stp/>
        <stp>BDP|9269431045569168722</stp>
        <tr r="AZ229" s="3"/>
      </tp>
      <tp t="s">
        <v>#N/A Requesting Data...3732676936</v>
        <stp/>
        <stp>BDP|1660289359714521564</stp>
        <tr r="K251" s="3"/>
      </tp>
      <tp t="s">
        <v>#N/A Requesting Data...3212102581</v>
        <stp/>
        <stp>BDP|3541510012417108731</stp>
        <tr r="BA241" s="3"/>
      </tp>
      <tp t="s">
        <v>#N/A Requesting Data...3721951605</v>
        <stp/>
        <stp>BDP|4538254303756689718</stp>
        <tr r="BG79" s="3"/>
      </tp>
      <tp t="s">
        <v>#N/A Requesting Data...3951894517</v>
        <stp/>
        <stp>BDP|1025103342747358453</stp>
        <tr r="Q186" s="3"/>
      </tp>
      <tp t="s">
        <v>#N/A Requesting Data...3539828275</v>
        <stp/>
        <stp>BDP|7681661375072994383</stp>
        <tr r="AJ37" s="3"/>
      </tp>
      <tp t="s">
        <v>#N/A Requesting Data...4038334597</v>
        <stp/>
        <stp>BDP|4899408209456336164</stp>
        <tr r="BA278" s="3"/>
      </tp>
      <tp t="s">
        <v>#N/A Requesting Data...3857617587</v>
        <stp/>
        <stp>BDP|7954987783412004363</stp>
        <tr r="Y340" s="3"/>
      </tp>
      <tp t="s">
        <v>#N/A Requesting Data...3354548307</v>
        <stp/>
        <stp>BDP|8234807809896797180</stp>
        <tr r="I124" s="3"/>
      </tp>
      <tp t="s">
        <v>#N/A Requesting Data...3595483121</v>
        <stp/>
        <stp>BDP|2366152822832482440</stp>
        <tr r="O17" s="3"/>
      </tp>
      <tp t="s">
        <v>#N/A Requesting Data...3190275413</v>
        <stp/>
        <stp>BDP|6673946001451433931</stp>
        <tr r="N22" s="2"/>
        <tr r="G15" s="4"/>
      </tp>
      <tp t="s">
        <v>#N/A N/A</v>
        <stp/>
        <stp>BDP|8528951535564907180</stp>
        <tr r="V91" s="2"/>
      </tp>
      <tp t="s">
        <v>#N/A N/A</v>
        <stp/>
        <stp>BDP|6595736105521497728</stp>
        <tr r="AF100" s="2"/>
      </tp>
      <tp t="s">
        <v>#N/A N/A</v>
        <stp/>
        <stp>BDP|4924305135201890212</stp>
        <tr r="BK58" s="2"/>
      </tp>
      <tp t="s">
        <v>#N/A Requesting Data...4103116901</v>
        <stp/>
        <stp>BDP|1057417830988750930</stp>
        <tr r="Y44" s="3"/>
      </tp>
      <tp t="s">
        <v>#N/A Requesting Data...3528390251</v>
        <stp/>
        <stp>BDP|6736734266052317247</stp>
        <tr r="F318" s="3"/>
      </tp>
      <tp t="s">
        <v>#N/A Requesting Data...4259047908</v>
        <stp/>
        <stp>BDP|9060913671630313063</stp>
        <tr r="Q274" s="3"/>
      </tp>
      <tp t="s">
        <v>#N/A Requesting Data...3898589842</v>
        <stp/>
        <stp>BDP|3687295900931853720</stp>
        <tr r="BG184" s="3"/>
      </tp>
      <tp t="s">
        <v>#N/A Requesting Data...2995841635</v>
        <stp/>
        <stp>BDP|2370819542048367168</stp>
        <tr r="AA196" s="3"/>
      </tp>
      <tp t="s">
        <v>#N/A Requesting Data...2871272506</v>
        <stp/>
        <stp>BDP|5012744280055523847</stp>
        <tr r="BB15" s="3"/>
      </tp>
      <tp t="s">
        <v>#N/A Requesting Data...3972087925</v>
        <stp/>
        <stp>BDP|7428454946122068221</stp>
        <tr r="AQ344" s="3"/>
      </tp>
      <tp t="s">
        <v>#N/A Requesting Data...3048387770</v>
        <stp/>
        <stp>BDP|3038426871395669202</stp>
        <tr r="BF80" s="3"/>
      </tp>
      <tp t="s">
        <v>#N/A Requesting Data...2985878740</v>
        <stp/>
        <stp>BDP|1429983708759314625</stp>
        <tr r="BI217" s="3"/>
      </tp>
      <tp t="s">
        <v>#N/A N/A</v>
        <stp/>
        <stp>BDP|9230228526189095731</stp>
        <tr r="BN21" s="2"/>
      </tp>
      <tp t="s">
        <v>#N/A Requesting Data...3133612279</v>
        <stp/>
        <stp>BDP|1769967224188624566</stp>
        <tr r="AZ52" s="3"/>
      </tp>
      <tp t="s">
        <v>#N/A Requesting Data...4205373615</v>
        <stp/>
        <stp>BDP|1827251941755958505</stp>
        <tr r="BG150" s="3"/>
      </tp>
      <tp t="s">
        <v>#N/A Requesting Data...3073435667</v>
        <stp/>
        <stp>BDP|5450343577716767053</stp>
        <tr r="O180" s="3"/>
      </tp>
      <tp t="s">
        <v>#N/A Requesting Data...3723618713</v>
        <stp/>
        <stp>BDP|2138279344250146368</stp>
        <tr r="AO17" s="4"/>
      </tp>
      <tp t="s">
        <v>#N/A Requesting Data...3858850880</v>
        <stp/>
        <stp>BDP|6938844184264913553</stp>
        <tr r="I240" s="3"/>
      </tp>
      <tp t="s">
        <v>#N/A Requesting Data...3656155231</v>
        <stp/>
        <stp>BDP|5345102376365452146</stp>
        <tr r="F337" s="3"/>
      </tp>
      <tp t="s">
        <v>#N/A Requesting Data...4024281189</v>
        <stp/>
        <stp>BDP|6043630055116484386</stp>
        <tr r="F340" s="3"/>
      </tp>
      <tp t="s">
        <v>#N/A N/A</v>
        <stp/>
        <stp>BDP|7918999714008870764</stp>
        <tr r="BE58" s="2"/>
      </tp>
      <tp t="s">
        <v>#N/A Requesting Data...4047109868</v>
        <stp/>
        <stp>BDP|3679232029992532135</stp>
        <tr r="F175" s="3"/>
      </tp>
      <tp t="s">
        <v>#N/A Requesting Data...3390100769</v>
        <stp/>
        <stp>BDP|2542857684041876369</stp>
        <tr r="AZ255" s="3"/>
      </tp>
      <tp t="s">
        <v>#N/A Requesting Data...3021717843</v>
        <stp/>
        <stp>BDP|3275887710932627864</stp>
        <tr r="AJ231" s="3"/>
      </tp>
      <tp t="s">
        <v>#N/A Requesting Data...2983585503</v>
        <stp/>
        <stp>BDP|9454698392176270074</stp>
        <tr r="BI155" s="3"/>
      </tp>
      <tp t="s">
        <v>#N/A Requesting Data...3830966524</v>
        <stp/>
        <stp>BDP|8902572895923488752</stp>
        <tr r="BA118" s="3"/>
      </tp>
      <tp t="s">
        <v>#N/A Requesting Data...4059508098</v>
        <stp/>
        <stp>BDP|7154729770992164582</stp>
        <tr r="BI150" s="3"/>
      </tp>
      <tp t="s">
        <v>#N/A Requesting Data...4156883090</v>
        <stp/>
        <stp>BDP|4114316386087969851</stp>
        <tr r="AJ223" s="3"/>
      </tp>
      <tp t="s">
        <v>#N/A Requesting Data...3185516572</v>
        <stp/>
        <stp>BDP|3837770541969136959</stp>
        <tr r="AS173" s="3"/>
      </tp>
      <tp t="s">
        <v>#N/A Requesting Data...3184569551</v>
        <stp/>
        <stp>BDP|3469656644330703181</stp>
        <tr r="O275" s="3"/>
      </tp>
      <tp t="s">
        <v>#N/A Requesting Data...3950080179</v>
        <stp/>
        <stp>BDP|9489838199111172954</stp>
        <tr r="F23" s="3"/>
      </tp>
      <tp t="s">
        <v>#N/A Requesting Data...3414068383</v>
        <stp/>
        <stp>BDP|1869777000543182548</stp>
        <tr r="BA291" s="3"/>
      </tp>
      <tp t="s">
        <v>#N/A Requesting Data...3697403490</v>
        <stp/>
        <stp>BDP|5470139641309427989</stp>
        <tr r="BI127" s="3"/>
      </tp>
      <tp t="s">
        <v>#N/A Requesting Data...4028376045</v>
        <stp/>
        <stp>BDP|4486412663543860550</stp>
        <tr r="AS250" s="3"/>
      </tp>
      <tp t="s">
        <v>#N/A Requesting Data...3951465404</v>
        <stp/>
        <stp>BDP|8384295612253626855</stp>
        <tr r="BB144" s="3"/>
      </tp>
      <tp t="s">
        <v>#N/A Requesting Data...3823306109</v>
        <stp/>
        <stp>BDP|7424223510996580288</stp>
        <tr r="BG98" s="3"/>
      </tp>
      <tp t="s">
        <v>#N/A Requesting Data...4278703735</v>
        <stp/>
        <stp>BDP|3974327477762695515</stp>
        <tr r="BB287" s="3"/>
      </tp>
      <tp t="s">
        <v>#N/A Requesting Data...3938858529</v>
        <stp/>
        <stp>BDP|5355288278007976710</stp>
        <tr r="BA161" s="3"/>
      </tp>
      <tp t="s">
        <v>#N/A Requesting Data...3572143768</v>
        <stp/>
        <stp>BDP|7579960019216483957</stp>
        <tr r="AH27" s="4"/>
      </tp>
      <tp t="s">
        <v>#N/A Requesting Data...3573255962</v>
        <stp/>
        <stp>BDP|2362161352077539198</stp>
        <tr r="BG335" s="3"/>
      </tp>
      <tp t="s">
        <v>#N/A Requesting Data...4002368522</v>
        <stp/>
        <stp>BDP|3124322453105959028</stp>
        <tr r="Q352" s="3"/>
      </tp>
      <tp t="s">
        <v>#N/A Requesting Data...3190194203</v>
        <stp/>
        <stp>BDP|4592679816702781183</stp>
        <tr r="Y229" s="3"/>
      </tp>
      <tp t="s">
        <v>#N/A N/A</v>
        <stp/>
        <stp>BDP|5957930470582587946</stp>
        <tr r="BG45" s="2"/>
      </tp>
      <tp t="s">
        <v>#N/A Requesting Data...3206843362</v>
        <stp/>
        <stp>BDP|8924639112007423878</stp>
        <tr r="BF56" s="3"/>
      </tp>
      <tp t="s">
        <v>#N/A Requesting Data...3119108033</v>
        <stp/>
        <stp>BDP|9210895472513027522</stp>
        <tr r="BH144" s="3"/>
      </tp>
      <tp t="s">
        <v>#N/A Requesting Data...3608012774</v>
        <stp/>
        <stp>BDP|1388532863821038381</stp>
        <tr r="BF90" s="3"/>
      </tp>
      <tp t="s">
        <v>#N/A Requesting Data...3484981347</v>
        <stp/>
        <stp>BDP|1632877132772014881</stp>
        <tr r="AJ251" s="3"/>
      </tp>
      <tp t="s">
        <v>#N/A Requesting Data...4142575497</v>
        <stp/>
        <stp>BDP|6291743953807729393</stp>
        <tr r="BA63" s="3"/>
      </tp>
      <tp t="s">
        <v>#N/A Requesting Data...3865829027</v>
        <stp/>
        <stp>BDP|7607619764042181595</stp>
        <tr r="BH221" s="3"/>
      </tp>
      <tp t="s">
        <v>#N/A Requesting Data...3335254526</v>
        <stp/>
        <stp>BDP|7376215849499470845</stp>
        <tr r="AJ326" s="3"/>
      </tp>
      <tp t="s">
        <v>#N/A N/A</v>
        <stp/>
        <stp>BDP|2146283191138526160</stp>
        <tr r="T77" s="2"/>
      </tp>
      <tp t="s">
        <v>#N/A N/A</v>
        <stp/>
        <stp>BDP|4449008279683530001</stp>
        <tr r="BL45" s="2"/>
      </tp>
      <tp t="s">
        <v>#N/A N/A</v>
        <stp/>
        <stp>BDP|2627637435585826209</stp>
        <tr r="BF79" s="2"/>
      </tp>
      <tp t="s">
        <v>#N/A Requesting Data...3234794173</v>
        <stp/>
        <stp>BDP|7232159064085370586</stp>
        <tr r="O207" s="3"/>
      </tp>
      <tp t="s">
        <v>#N/A Requesting Data...3250092409</v>
        <stp/>
        <stp>BDP|9683794517749654664</stp>
        <tr r="AS134" s="3"/>
      </tp>
      <tp t="s">
        <v>#N/A Requesting Data...3708147588</v>
        <stp/>
        <stp>BDP|5714289441231474227</stp>
        <tr r="Y26" s="4"/>
        <tr r="AA197" s="3"/>
      </tp>
      <tp t="s">
        <v>#N/A Requesting Data...3484181392</v>
        <stp/>
        <stp>BDP|3398763271424452781</stp>
        <tr r="Y48" s="4"/>
      </tp>
      <tp t="s">
        <v>#N/A Requesting Data...4073176734</v>
        <stp/>
        <stp>BDP|5823275165911457066</stp>
        <tr r="AZ326" s="3"/>
      </tp>
      <tp t="s">
        <v>#N/A Requesting Data...3494713667</v>
        <stp/>
        <stp>BDP|6280392765884268749</stp>
        <tr r="M50" s="4"/>
      </tp>
      <tp t="s">
        <v>#N/A Requesting Data...4027242610</v>
        <stp/>
        <stp>BDP|3919100550045747268</stp>
        <tr r="BF34" s="3"/>
      </tp>
      <tp t="s">
        <v>#N/A N/A</v>
        <stp/>
        <stp>BDP|2610041809490625258</stp>
        <tr r="K86" s="2"/>
      </tp>
      <tp t="s">
        <v>#N/A Requesting Data...3852298391</v>
        <stp/>
        <stp>BDP|8419980420882637124</stp>
        <tr r="Y24" s="3"/>
      </tp>
      <tp t="s">
        <v>#N/A Requesting Data...3679537997</v>
        <stp/>
        <stp>BDP|3160618429824732364</stp>
        <tr r="I34" s="3"/>
      </tp>
      <tp t="s">
        <v>#N/A N/A</v>
        <stp/>
        <stp>BDP|8208103528678465366</stp>
        <tr r="AF81" s="2"/>
      </tp>
      <tp t="s">
        <v>#N/A Requesting Data...3330586533</v>
        <stp/>
        <stp>BDP|4875853047300705853</stp>
        <tr r="BB129" s="3"/>
      </tp>
      <tp t="s">
        <v>#N/A Requesting Data...4062439478</v>
        <stp/>
        <stp>BDP|9542046905541439883</stp>
        <tr r="BH20" s="3"/>
      </tp>
      <tp t="s">
        <v>#N/A Requesting Data...3241755389</v>
        <stp/>
        <stp>BDP|7863381401605806116</stp>
        <tr r="Y174" s="3"/>
      </tp>
      <tp t="s">
        <v>#N/A N/A</v>
        <stp/>
        <stp>BDP|3362708103093890700</stp>
        <tr r="AM95" s="2"/>
      </tp>
      <tp t="s">
        <v>#N/A Requesting Data...4110942349</v>
        <stp/>
        <stp>BDP|9343639985972873555</stp>
        <tr r="BF49" s="3"/>
      </tp>
      <tp t="s">
        <v>#N/A Requesting Data...3303582487</v>
        <stp/>
        <stp>BDP|4059236918632184534</stp>
        <tr r="Q109" s="3"/>
      </tp>
      <tp t="s">
        <v>#N/A Requesting Data...4281894572</v>
        <stp/>
        <stp>BDP|1713180247551559548</stp>
        <tr r="F104" s="3"/>
      </tp>
      <tp t="s">
        <v>#N/A Requesting Data...3452805948</v>
        <stp/>
        <stp>BDP|7894341940822481210</stp>
        <tr r="AS128" s="3"/>
      </tp>
      <tp t="s">
        <v>#N/A N/A</v>
        <stp/>
        <stp>BDP|2758424067919325980</stp>
        <tr r="AF51" s="2"/>
      </tp>
      <tp t="s">
        <v>#N/A Requesting Data...4186601474</v>
        <stp/>
        <stp>BDP|3175596765887359773</stp>
        <tr r="BI342" s="3"/>
      </tp>
      <tp t="s">
        <v>#N/A Requesting Data...4030735149</v>
        <stp/>
        <stp>BDP|8292636758652731974</stp>
        <tr r="BH215" s="3"/>
      </tp>
      <tp t="s">
        <v>#N/A Requesting Data...3369956229</v>
        <stp/>
        <stp>BDP|5981611234788116841</stp>
        <tr r="AH323" s="3"/>
      </tp>
      <tp t="s">
        <v>#N/A Requesting Data...4261026801</v>
        <stp/>
        <stp>BDP|4341508573835847313</stp>
        <tr r="AA235" s="3"/>
      </tp>
      <tp t="s">
        <v>#N/A Requesting Data...3989758664</v>
        <stp/>
        <stp>BDP|4606275854985495686</stp>
        <tr r="Y207" s="3"/>
      </tp>
      <tp t="s">
        <v>#N/A Requesting Data...3346074742</v>
        <stp/>
        <stp>BDP|3813213139221838314</stp>
        <tr r="BB255" s="3"/>
      </tp>
      <tp t="s">
        <v>#N/A N/A</v>
        <stp/>
        <stp>BDP|4053165953907560799</stp>
        <tr r="BM37" s="2"/>
      </tp>
      <tp t="s">
        <v>#N/A Requesting Data...3893404404</v>
        <stp/>
        <stp>BDP|4569698102613375136</stp>
        <tr r="AZ208" s="3"/>
      </tp>
      <tp t="s">
        <v>#N/A N/A</v>
        <stp/>
        <stp>BDP|6049304248141312059</stp>
        <tr r="T14" s="2"/>
      </tp>
      <tp t="s">
        <v>#N/A Requesting Data...3558017271</v>
        <stp/>
        <stp>BDP|1832611232861244575</stp>
        <tr r="Y123" s="3"/>
      </tp>
      <tp t="s">
        <v>#N/A Requesting Data...3751147747</v>
        <stp/>
        <stp>BDP|3800129946452471461</stp>
        <tr r="O172" s="3"/>
      </tp>
      <tp t="s">
        <v>#N/A Requesting Data...3857973505</v>
        <stp/>
        <stp>BDP|5889429321952003152</stp>
        <tr r="AS200" s="3"/>
      </tp>
      <tp t="s">
        <v>#N/A Requesting Data...3935319345</v>
        <stp/>
        <stp>BDP|2130819973404938941</stp>
        <tr r="AH97" s="3"/>
      </tp>
      <tp t="s">
        <v>#N/A Requesting Data...3912199392</v>
        <stp/>
        <stp>BDP|8615911248491316429</stp>
        <tr r="BF344" s="3"/>
      </tp>
      <tp t="s">
        <v>#N/A Requesting Data...3607573714</v>
        <stp/>
        <stp>BDP|6177091574874207500</stp>
        <tr r="AQ32" s="4"/>
      </tp>
      <tp t="s">
        <v>#N/A N/A</v>
        <stp/>
        <stp>BDP|5673384307381774709</stp>
        <tr r="V31" s="2"/>
      </tp>
      <tp t="s">
        <v>#N/A Requesting Data...3546885666</v>
        <stp/>
        <stp>BDP|2029860248658748671</stp>
        <tr r="I176" s="3"/>
      </tp>
      <tp t="s">
        <v>#N/A Requesting Data...3508905860</v>
        <stp/>
        <stp>BDP|7157580101146710414</stp>
        <tr r="BG55" s="3"/>
      </tp>
      <tp t="s">
        <v>#N/A Requesting Data...3766068072</v>
        <stp/>
        <stp>BDP|1790049463711850660</stp>
        <tr r="BF127" s="3"/>
      </tp>
      <tp t="s">
        <v>#N/A Requesting Data...3541918107</v>
        <stp/>
        <stp>BDP|6514792125244456736</stp>
        <tr r="BG219" s="3"/>
      </tp>
      <tp t="s">
        <v>#N/A N/A</v>
        <stp/>
        <stp>BDP|2033982038168873062</stp>
        <tr r="BE70" s="2"/>
      </tp>
      <tp t="s">
        <v>#N/A Requesting Data...3534677267</v>
        <stp/>
        <stp>BDP|4940361305084430303</stp>
        <tr r="Q252" s="3"/>
      </tp>
      <tp t="s">
        <v>#N/A Requesting Data...4117601502</v>
        <stp/>
        <stp>BDP|9126571001099038597</stp>
        <tr r="K256" s="3"/>
      </tp>
      <tp t="s">
        <v>#N/A Requesting Data...4066109839</v>
        <stp/>
        <stp>BDP|1667586217217472233</stp>
        <tr r="BF99" s="3"/>
      </tp>
      <tp t="s">
        <v>#N/A N/A</v>
        <stp/>
        <stp>BDP|5737487971921182713</stp>
        <tr r="N33" s="2"/>
      </tp>
      <tp t="s">
        <v>#N/A Requesting Data...3853738388</v>
        <stp/>
        <stp>BDP|8126916567462092580</stp>
        <tr r="BE8" s="2"/>
      </tp>
      <tp t="s">
        <v>#N/A Requesting Data...4194033600</v>
        <stp/>
        <stp>BDP|3768060965505391083</stp>
        <tr r="BI148" s="3"/>
      </tp>
      <tp t="s">
        <v>#N/A Requesting Data...3673833752</v>
        <stp/>
        <stp>BDP|3782266801178828975</stp>
        <tr r="AZ40" s="3"/>
      </tp>
      <tp t="s">
        <v>#N/A N/A</v>
        <stp/>
        <stp>BDP|4910488718344163577</stp>
        <tr r="AV77" s="2"/>
      </tp>
      <tp t="s">
        <v>#N/A Requesting Data...4019836019</v>
        <stp/>
        <stp>BDP|8312531744640992924</stp>
        <tr r="AZ94" s="3"/>
      </tp>
      <tp t="s">
        <v>#N/A Requesting Data...3486777631</v>
        <stp/>
        <stp>BDP|2676372114302225289</stp>
        <tr r="BI282" s="3"/>
      </tp>
      <tp t="s">
        <v>#N/A Requesting Data...4240809074</v>
        <stp/>
        <stp>BDP|4656593506975545437</stp>
        <tr r="Y41" s="3"/>
      </tp>
      <tp t="s">
        <v>#N/A Requesting Data...3533079159</v>
        <stp/>
        <stp>BDP|6340355753364387494</stp>
        <tr r="BI329" s="3"/>
      </tp>
      <tp t="s">
        <v>#N/A Requesting Data...4152280470</v>
        <stp/>
        <stp>BDP|2073680768415967765</stp>
        <tr r="BA75" s="3"/>
      </tp>
      <tp t="s">
        <v>#N/A Requesting Data...4122081121</v>
        <stp/>
        <stp>BDP|9882838102687639607</stp>
        <tr r="K157" s="3"/>
      </tp>
      <tp t="s">
        <v>#N/A Requesting Data...3915343116</v>
        <stp/>
        <stp>BDP|7873108960012357248</stp>
        <tr r="Y33" s="3"/>
      </tp>
      <tp t="s">
        <v>#N/A Requesting Data...3604783145</v>
        <stp/>
        <stp>BDP|2756810326449839170</stp>
        <tr r="AJ119" s="3"/>
      </tp>
      <tp t="s">
        <v>#N/A Requesting Data...3496261875</v>
        <stp/>
        <stp>BDP|3356576327151560591</stp>
        <tr r="Q64" s="3"/>
      </tp>
      <tp t="s">
        <v>#N/A Requesting Data...4279793130</v>
        <stp/>
        <stp>BDP|1408021305254819545</stp>
        <tr r="AS262" s="3"/>
      </tp>
      <tp t="s">
        <v>#N/A Requesting Data...3839200730</v>
        <stp/>
        <stp>BDP|8729919062117299094</stp>
        <tr r="Y22" s="3"/>
      </tp>
      <tp t="s">
        <v>#N/A Requesting Data...3548001763</v>
        <stp/>
        <stp>BDP|7902529371501084452</stp>
        <tr r="AZ222" s="3"/>
      </tp>
      <tp t="s">
        <v>#N/A N/A</v>
        <stp/>
        <stp>BDP|3888649452765415551</stp>
        <tr r="AF69" s="2"/>
      </tp>
      <tp t="s">
        <v>#N/A Requesting Data...3788939131</v>
        <stp/>
        <stp>BDP|3525232193339195182</stp>
        <tr r="BH126" s="3"/>
      </tp>
      <tp t="s">
        <v>#N/A Requesting Data...4067724777</v>
        <stp/>
        <stp>BDP|4162346848733554048</stp>
        <tr r="AS319" s="3"/>
      </tp>
      <tp t="s">
        <v>#N/A Requesting Data...4263503413</v>
        <stp/>
        <stp>BDP|2593098724162452208</stp>
        <tr r="D54" s="4"/>
      </tp>
      <tp t="s">
        <v>#N/A Requesting Data...3579726281</v>
        <stp/>
        <stp>BDP|7881865852288936293</stp>
        <tr r="BL8" s="2"/>
      </tp>
      <tp t="s">
        <v>#N/A Requesting Data...4096826672</v>
        <stp/>
        <stp>BDP|6456265528695470320</stp>
        <tr r="BG277" s="3"/>
      </tp>
      <tp t="s">
        <v>#N/A Requesting Data...3781551384</v>
        <stp/>
        <stp>BDP|5263225451400546283</stp>
        <tr r="BF88" s="3"/>
      </tp>
      <tp t="s">
        <v>#N/A Requesting Data...3561921824</v>
        <stp/>
        <stp>BDP|9360282283394373770</stp>
        <tr r="D35" s="4"/>
      </tp>
      <tp t="s">
        <v>#N/A Requesting Data...4067736368</v>
        <stp/>
        <stp>BDP|7566806215716976853</stp>
        <tr r="BB252" s="3"/>
      </tp>
      <tp t="s">
        <v>#N/A Requesting Data...4288563762</v>
        <stp/>
        <stp>BDP|4730082861676733457</stp>
        <tr r="BH313" s="3"/>
      </tp>
      <tp t="s">
        <v>#N/A Requesting Data...3931911682</v>
        <stp/>
        <stp>BDP|2084294077672008529</stp>
        <tr r="D23" s="4"/>
      </tp>
      <tp t="s">
        <v>#N/A Requesting Data...3676545972</v>
        <stp/>
        <stp>BDP|5300060768037454450</stp>
        <tr r="AQ171" s="3"/>
      </tp>
      <tp t="s">
        <v>#N/A Requesting Data...3919845807</v>
        <stp/>
        <stp>BDP|7430416628778376923</stp>
        <tr r="BF222" s="3"/>
      </tp>
      <tp t="s">
        <v>#N/A N/A</v>
        <stp/>
        <stp>BDP|9865261386581431207</stp>
        <tr r="AD13" s="2"/>
      </tp>
      <tp t="s">
        <v>#N/A Requesting Data...3934792236</v>
        <stp/>
        <stp>BDP|5935169120561132735</stp>
        <tr r="I307" s="3"/>
      </tp>
      <tp t="s">
        <v>#N/A Requesting Data...3762542253</v>
        <stp/>
        <stp>BDP|1187112989338420002</stp>
        <tr r="BB165" s="3"/>
      </tp>
      <tp t="s">
        <v>#N/A N/A</v>
        <stp/>
        <stp>BDP|8086681487046418061</stp>
        <tr r="T33" s="2"/>
      </tp>
      <tp t="s">
        <v>#N/A Requesting Data...3673395799</v>
        <stp/>
        <stp>BDP|9956284711799572388</stp>
        <tr r="AZ265" s="3"/>
      </tp>
      <tp t="s">
        <v>#N/A Requesting Data...4252143827</v>
        <stp/>
        <stp>BDP|4323514058015696114</stp>
        <tr r="BF337" s="3"/>
      </tp>
      <tp t="s">
        <v>#N/A N/A</v>
        <stp/>
        <stp>BDP|3412402098968040614</stp>
        <tr r="AO70" s="2"/>
      </tp>
      <tp t="s">
        <v>#N/A Requesting Data...3966477632</v>
        <stp/>
        <stp>BDP|6300992178630901868</stp>
        <tr r="BA51" s="3"/>
      </tp>
      <tp t="s">
        <v>#N/A N/A</v>
        <stp/>
        <stp>BDP|3509257024421195286</stp>
        <tr r="BG48" s="2"/>
      </tp>
      <tp t="s">
        <v>#N/A N/A</v>
        <stp/>
        <stp>BDP|4468814487947663391</stp>
        <tr r="K61" s="2"/>
      </tp>
      <tp t="s">
        <v>#N/A Requesting Data...4004253839</v>
        <stp/>
        <stp>BDP|6046312469102514109</stp>
        <tr r="AQ55" s="4"/>
      </tp>
      <tp t="s">
        <v>#N/A Requesting Data...4132456875</v>
        <stp/>
        <stp>BDP|5740961962189957371</stp>
        <tr r="AA317" s="3"/>
      </tp>
      <tp t="s">
        <v>#N/A Requesting Data...4089035710</v>
        <stp/>
        <stp>BDP|9043080890133114344</stp>
        <tr r="AO51" s="4"/>
      </tp>
      <tp t="s">
        <v>#N/A Requesting Data...4110003372</v>
        <stp/>
        <stp>BDP|4034269171827319693</stp>
        <tr r="AJ224" s="3"/>
      </tp>
      <tp t="s">
        <v>#N/A Requesting Data...4272633572</v>
        <stp/>
        <stp>BDP|1907076461450679745</stp>
        <tr r="BG203" s="3"/>
      </tp>
      <tp t="s">
        <v>#N/A Requesting Data...3919952383</v>
        <stp/>
        <stp>BDP|4190094141839126955</stp>
        <tr r="AQ192" s="3"/>
      </tp>
      <tp t="s">
        <v>#N/A N/A</v>
        <stp/>
        <stp>BDP|5254581940407733301</stp>
        <tr r="BG15" s="2"/>
      </tp>
      <tp t="s">
        <v>#N/A N/A</v>
        <stp/>
        <stp>BDP|1410684938461075593</stp>
        <tr r="BG49" s="2"/>
      </tp>
      <tp t="s">
        <v>#N/A Requesting Data...3691598287</v>
        <stp/>
        <stp>BDP|5868398971943546287</stp>
        <tr r="F70" s="3"/>
      </tp>
      <tp t="s">
        <v>#N/A Requesting Data...3831214564</v>
        <stp/>
        <stp>BDP|4935711327728359914</stp>
        <tr r="AH282" s="3"/>
      </tp>
      <tp t="s">
        <v>#N/A Requesting Data...3864383330</v>
        <stp/>
        <stp>BDP|3706921010088869300</stp>
        <tr r="K38" s="3"/>
      </tp>
      <tp t="s">
        <v>#N/A Requesting Data...4266399436</v>
        <stp/>
        <stp>BDP|8391995495180620848</stp>
        <tr r="BA294" s="3"/>
      </tp>
      <tp t="s">
        <v>#N/A Requesting Data...4202430569</v>
        <stp/>
        <stp>BDP|1024952921159912307</stp>
        <tr r="I29" s="3"/>
      </tp>
      <tp t="s">
        <v>#N/A Requesting Data...3924852548</v>
        <stp/>
        <stp>BDP|5105074497215573997</stp>
        <tr r="AZ239" s="3"/>
      </tp>
      <tp t="s">
        <v>#N/A Requesting Data...4270453591</v>
        <stp/>
        <stp>BDP|3724997430859229019</stp>
        <tr r="M11" s="4"/>
      </tp>
      <tp t="s">
        <v>#N/A N/A</v>
        <stp/>
        <stp>BDP|9871170598677522608</stp>
        <tr r="AX33" s="2"/>
      </tp>
      <tp t="s">
        <v>#N/A Requesting Data...3896573636</v>
        <stp/>
        <stp>BDP|6626465671811042431</stp>
        <tr r="I81" s="3"/>
      </tp>
      <tp t="s">
        <v>#N/A N/A</v>
        <stp/>
        <stp>BDP|9646033748559790487</stp>
        <tr r="N24" s="2"/>
      </tp>
      <tp t="s">
        <v>#N/A N/A</v>
        <stp/>
        <stp>BDP|8591355944377706813</stp>
        <tr r="AX48" s="2"/>
      </tp>
      <tp t="s">
        <v>#N/A Requesting Data...4162187746</v>
        <stp/>
        <stp>BDP|6692058754806479511</stp>
        <tr r="AS344" s="3"/>
      </tp>
      <tp t="s">
        <v>#N/A N/A</v>
        <stp/>
        <stp>BDP|9795073972558934692</stp>
        <tr r="V41" s="2"/>
      </tp>
      <tp t="s">
        <v>#N/A Requesting Data...4027981252</v>
        <stp/>
        <stp>BDP|8124023151918794570</stp>
        <tr r="BH218" s="3"/>
      </tp>
      <tp t="s">
        <v>#N/A Requesting Data...4143042293</v>
        <stp/>
        <stp>BDP|7464467240590719775</stp>
        <tr r="AZ171" s="3"/>
      </tp>
      <tp t="s">
        <v>#N/A Requesting Data...3871098829</v>
        <stp/>
        <stp>BDP|4988454855481989420</stp>
        <tr r="F171" s="3"/>
      </tp>
      <tp t="s">
        <v>#N/A Requesting Data...3786224267</v>
        <stp/>
        <stp>BDP|5910655569713779604</stp>
        <tr r="BI163" s="3"/>
      </tp>
      <tp t="s">
        <v>#N/A Requesting Data...3757675730</v>
        <stp/>
        <stp>BDP|6916832558648909395</stp>
        <tr r="BF151" s="3"/>
      </tp>
      <tp t="s">
        <v>#N/A Requesting Data...3989870670</v>
        <stp/>
        <stp>BDP|2428226735796819592</stp>
        <tr r="D18" s="4"/>
      </tp>
      <tp t="s">
        <v>#N/A Requesting Data...3990739241</v>
        <stp/>
        <stp>BDP|1239015129395178692</stp>
        <tr r="Q229" s="3"/>
      </tp>
      <tp t="s">
        <v>#N/A Requesting Data...4015234512</v>
        <stp/>
        <stp>BDP|6330955649579876257</stp>
        <tr r="AJ298" s="3"/>
      </tp>
      <tp t="s">
        <v>#N/A Requesting Data...4164944475</v>
        <stp/>
        <stp>BDP|6459413039511927072</stp>
        <tr r="BG17" s="3"/>
      </tp>
      <tp t="s">
        <v>#N/A Requesting Data...3889280361</v>
        <stp/>
        <stp>BDP|6782550711260983280</stp>
        <tr r="AA106" s="3"/>
      </tp>
      <tp t="s">
        <v>#N/A Requesting Data...3971020095</v>
        <stp/>
        <stp>BDP|9489930321797282565</stp>
        <tr r="AA323" s="3"/>
      </tp>
      <tp t="s">
        <v>#N/A Requesting Data...4166928042</v>
        <stp/>
        <stp>BDP|8487788282743959450</stp>
        <tr r="AJ90" s="3"/>
      </tp>
      <tp t="s">
        <v>#N/A Requesting Data...3960037626</v>
        <stp/>
        <stp>BDP|5267842814535830987</stp>
        <tr r="BG285" s="3"/>
      </tp>
      <tp t="s">
        <v>#N/A Requesting Data...3924551203</v>
        <stp/>
        <stp>BDP|7487254821554546378</stp>
        <tr r="I20" s="3"/>
      </tp>
      <tp t="s">
        <v>#N/A Requesting Data...4124895213</v>
        <stp/>
        <stp>BDP|2700025814884380702</stp>
        <tr r="F176" s="3"/>
      </tp>
      <tp t="s">
        <v>#N/A Requesting Data...3889232758</v>
        <stp/>
        <stp>BDP|5954524298339324027</stp>
        <tr r="AH53" s="4"/>
      </tp>
      <tp t="s">
        <v>#N/A Requesting Data...3978432580</v>
        <stp/>
        <stp>BDP|4076735146226640112</stp>
        <tr r="BF177" s="3"/>
      </tp>
      <tp t="s">
        <v>#N/A Requesting Data...3848035845</v>
        <stp/>
        <stp>BDP|2139094859714614349</stp>
        <tr r="AZ240" s="3"/>
      </tp>
      <tp t="s">
        <v>#N/A N/A</v>
        <stp/>
        <stp>BDP|7326808852232489868</stp>
        <tr r="AM75" s="2"/>
      </tp>
      <tp t="s">
        <v>#N/A Requesting Data...3825644905</v>
        <stp/>
        <stp>BDP|2465118227093227237</stp>
        <tr r="AS126" s="3"/>
      </tp>
      <tp t="s">
        <v>#N/A Requesting Data...3845335779</v>
        <stp/>
        <stp>BDP|4575539533705360753</stp>
        <tr r="BA46" s="3"/>
      </tp>
      <tp t="s">
        <v>#N/A Requesting Data...3941047090</v>
        <stp/>
        <stp>BDP|1124913642599199501</stp>
        <tr r="F322" s="3"/>
      </tp>
      <tp t="s">
        <v>#N/A Requesting Data...3888340438</v>
        <stp/>
        <stp>BDP|7702153007773019569</stp>
        <tr r="AA8" s="3"/>
      </tp>
      <tp t="s">
        <v>#N/A N/A</v>
        <stp/>
        <stp>BDP|4549577652184053039</stp>
        <tr r="AV62" s="2"/>
      </tp>
      <tp t="s">
        <v>#N/A Requesting Data...4135724124</v>
        <stp/>
        <stp>BDP|3765743539670854718</stp>
        <tr r="AF55" s="4"/>
      </tp>
      <tp t="s">
        <v>#N/A Requesting Data...3879876733</v>
        <stp/>
        <stp>BDP|8833322986100732382</stp>
        <tr r="BA65" s="3"/>
      </tp>
      <tp t="s">
        <v>#N/A Requesting Data...4130629394</v>
        <stp/>
        <stp>BDP|3401745644189626917</stp>
        <tr r="BB105" s="3"/>
      </tp>
      <tp t="s">
        <v>#N/A N/A</v>
        <stp/>
        <stp>BDP|7751027855440678251</stp>
        <tr r="AF59" s="2"/>
      </tp>
      <tp t="s">
        <v>#N/A Requesting Data...4148576119</v>
        <stp/>
        <stp>BDP|5719844197740117463</stp>
        <tr r="BF347" s="3"/>
      </tp>
      <tp t="s">
        <v>#N/A Requesting Data...3994288328</v>
        <stp/>
        <stp>BDP|3048371537297523466</stp>
        <tr r="BG6" s="3"/>
      </tp>
      <tp t="s">
        <v>#N/A N/A</v>
        <stp/>
        <stp>BDP|5590192859995197479</stp>
        <tr r="BM31" s="2"/>
      </tp>
      <tp t="s">
        <v>#N/A N/A</v>
        <stp/>
        <stp>BDP|5661679148027389095</stp>
        <tr r="AX79" s="2"/>
      </tp>
      <tp t="s">
        <v>#N/A Requesting Data...4146570128</v>
        <stp/>
        <stp>BDP|9462650395481453732</stp>
        <tr r="F93" s="3"/>
      </tp>
      <tp t="s">
        <v>#N/A Requesting Data...4068249475</v>
        <stp/>
        <stp>BDP|5319866183597207276</stp>
        <tr r="BA276" s="3"/>
      </tp>
      <tp t="s">
        <v>#N/A Requesting Data...4207019655</v>
        <stp/>
        <stp>BDP|2648266912715660477</stp>
        <tr r="BH43" s="3"/>
      </tp>
      <tp t="s">
        <v>#N/A Requesting Data...3963829170</v>
        <stp/>
        <stp>BDP|5478989928508761609</stp>
        <tr r="K46" s="3"/>
      </tp>
      <tp t="s">
        <v>#N/A Requesting Data...4217058391</v>
        <stp/>
        <stp>BDP|1363474347708325930</stp>
        <tr r="AA298" s="3"/>
      </tp>
      <tp t="s">
        <v>#N/A Requesting Data...3990372118</v>
        <stp/>
        <stp>BDP|7610625104699604854</stp>
        <tr r="AA69" s="3"/>
      </tp>
      <tp t="s">
        <v>#N/A Requesting Data...4097069429</v>
        <stp/>
        <stp>BDP|3339003222161450062</stp>
        <tr r="O18" s="3"/>
      </tp>
      <tp t="s">
        <v>#N/A Requesting Data...4291591806</v>
        <stp/>
        <stp>BDP|2389002412574059713</stp>
        <tr r="O290" s="3"/>
      </tp>
      <tp t="s">
        <v>#N/A N/A</v>
        <stp/>
        <stp>BDP|6832178376206062696</stp>
        <tr r="AV96" s="2"/>
      </tp>
      <tp t="s">
        <v>#N/A N/A</v>
        <stp/>
        <stp>BDP|7883053288296679936</stp>
        <tr r="BE43" s="2"/>
      </tp>
      <tp t="s">
        <v>#N/A Requesting Data...3953839223</v>
        <stp/>
        <stp>BDP|9523228376708361423</stp>
        <tr r="AS100" s="3"/>
      </tp>
      <tp t="s">
        <v>#N/A N/A</v>
        <stp/>
        <stp>BDP|4657383636797895300</stp>
        <tr r="BG23" s="2"/>
      </tp>
      <tp t="s">
        <v>#N/A Requesting Data...4052173807</v>
        <stp/>
        <stp>BDP|5720595971713781482</stp>
        <tr r="BI190" s="3"/>
      </tp>
      <tp t="s">
        <v>#N/A N/A</v>
        <stp/>
        <stp>BDP|8268580878349393311</stp>
        <tr r="AV13" s="2"/>
      </tp>
      <tp t="s">
        <v>#N/A Requesting Data...4221857633</v>
        <stp/>
        <stp>BDP|8956685370981009815</stp>
        <tr r="W44" s="4"/>
      </tp>
      <tp t="s">
        <v>#N/A Requesting Data...4225213983</v>
        <stp/>
        <stp>BDP|6528237324353088522</stp>
        <tr r="AA285" s="3"/>
      </tp>
      <tp t="s">
        <v>#N/A N/A</v>
        <stp/>
        <stp>BDP|6973908881646187191</stp>
        <tr r="AO90" s="2"/>
      </tp>
      <tp t="s">
        <v>#N/A Requesting Data...4248116420</v>
        <stp/>
        <stp>BDP|9181771741559299355</stp>
        <tr r="BI40" s="3"/>
      </tp>
      <tp t="s">
        <v>#N/A Requesting Data...4072624634</v>
        <stp/>
        <stp>BDP|2837245356271817426</stp>
        <tr r="AS102" s="3"/>
      </tp>
      <tp t="s">
        <v>#N/A Requesting Data...4287076434</v>
        <stp/>
        <stp>BDP|5120833470583008927</stp>
        <tr r="AQ7" s="3"/>
      </tp>
      <tp t="s">
        <v>#N/A Requesting Data...4124294687</v>
        <stp/>
        <stp>BDP|9695498489226090368</stp>
        <tr r="BB309" s="3"/>
      </tp>
      <tp t="s">
        <v>#N/A Requesting Data...4089872061</v>
        <stp/>
        <stp>BDP|7626550025721439124</stp>
        <tr r="Q243" s="3"/>
      </tp>
      <tp t="s">
        <v>#N/A Requesting Data...4209103333</v>
        <stp/>
        <stp>BDP|1823710619254108312</stp>
        <tr r="Q327" s="3"/>
      </tp>
      <tp t="s">
        <v>#N/A Requesting Data...4244350881</v>
        <stp/>
        <stp>BDP|4027714025782407303</stp>
        <tr r="I35" s="3"/>
      </tp>
      <tp t="s">
        <v>#N/A Requesting Data...4097281919</v>
        <stp/>
        <stp>BDP|5170995423397818935</stp>
        <tr r="AQ323" s="3"/>
      </tp>
      <tp t="s">
        <v>#N/A Requesting Data...4200489252</v>
        <stp/>
        <stp>BDP|9367613783501400655</stp>
        <tr r="AS187" s="3"/>
      </tp>
      <tp t="s">
        <v>#N/A Requesting Data...4257294730</v>
        <stp/>
        <stp>BDP|7628062021130568542</stp>
        <tr r="BI229" s="3"/>
      </tp>
      <tp t="s">
        <v>#N/A Requesting Data...4085844776</v>
        <stp/>
        <stp>BDP|1025757265185986599</stp>
        <tr r="Y280" s="3"/>
      </tp>
      <tp t="s">
        <v>#N/A N/A</v>
        <stp/>
        <stp>BDP|7517075411665229314</stp>
        <tr r="N52" s="2"/>
      </tp>
      <tp t="s">
        <v>#N/A Requesting Data...4141643201</v>
        <stp/>
        <stp>BDP|2902505515195987358</stp>
        <tr r="BF126" s="3"/>
      </tp>
      <tp t="s">
        <v>#N/A Requesting Data...4055972893</v>
        <stp/>
        <stp>BDP|9457166892558473945</stp>
        <tr r="AJ123" s="3"/>
      </tp>
      <tp t="s">
        <v>#N/A Requesting Data...4291683915</v>
        <stp/>
        <stp>BDP|6666119351407406532</stp>
        <tr r="AS23" s="3"/>
      </tp>
      <tp t="s">
        <v>#N/A Requesting Data...4262623089</v>
        <stp/>
        <stp>BDP|1732604063871118047</stp>
        <tr r="BB325" s="3"/>
      </tp>
      <tp t="s">
        <v>#N/A N/A</v>
        <stp/>
        <stp>BDP|9838752295556042198</stp>
        <tr r="BM32" s="2"/>
      </tp>
      <tp t="s">
        <v>#N/A Requesting Data...4067625414</v>
        <stp/>
        <stp>BDP|9277804938912830031</stp>
        <tr r="AQ99" s="3"/>
      </tp>
      <tp t="s">
        <v>#N/A Requesting Data...4058474495</v>
        <stp/>
        <stp>BDP|7635769115329263864</stp>
        <tr r="AQ321" s="3"/>
      </tp>
      <tp t="s">
        <v>#N/A Requesting Data...4207640495</v>
        <stp/>
        <stp>BDP|6273238327923130568</stp>
        <tr r="AZ236" s="3"/>
      </tp>
      <tp t="s">
        <v>#N/A Requesting Data...4208699697</v>
        <stp/>
        <stp>BDP|6482516804495240623</stp>
        <tr r="AZ270" s="3"/>
      </tp>
      <tp t="s">
        <v>#N/A Requesting Data...4124983683</v>
        <stp/>
        <stp>BDP|4967208689189102702</stp>
        <tr r="AS34" s="3"/>
      </tp>
      <tp t="s">
        <v>#N/A Requesting Data...4224122521</v>
        <stp/>
        <stp>BDP|6227223315744029148</stp>
        <tr r="F239" s="3"/>
      </tp>
      <tp t="s">
        <v>#N/A Requesting Data...4274302490</v>
        <stp/>
        <stp>BDP|8339766689964432393</stp>
        <tr r="BB170" s="3"/>
      </tp>
      <tp t="s">
        <v>#N/A Requesting Data...4260397789</v>
        <stp/>
        <stp>BDP|4889127946149499898</stp>
        <tr r="I222" s="3"/>
      </tp>
      <tp t="s">
        <v>#N/A N/A</v>
        <stp/>
        <stp>BDP|5273148252618601937</stp>
        <tr r="AO58" s="2"/>
      </tp>
      <tp t="s">
        <v>#N/A Requesting Data...4144811394</v>
        <stp/>
        <stp>BDP|5324055745653386218</stp>
        <tr r="AJ4" s="3"/>
      </tp>
      <tp t="s">
        <v>#N/A Requesting Data...4264557857</v>
        <stp/>
        <stp>BDP|4590741830301334139</stp>
        <tr r="Q283" s="3"/>
      </tp>
      <tp t="s">
        <v>#N/A Requesting Data...4271035289</v>
        <stp/>
        <stp>BDP|6291394148864418565</stp>
        <tr r="G29" s="4"/>
      </tp>
      <tp t="s">
        <v>#N/A Requesting Data...4270477737</v>
        <stp/>
        <stp>BDP|5429105932147005076</stp>
        <tr r="AX24" s="4"/>
      </tp>
      <tp t="s">
        <v>#N/A Requesting Data...4184196899</v>
        <stp/>
        <stp>BDP|4250106685774204947</stp>
        <tr r="AZ306" s="3"/>
      </tp>
      <tp t="s">
        <v>#N/A Requesting Data...4216975536</v>
        <stp/>
        <stp>BDP|8589876694780437939</stp>
        <tr r="O320" s="3"/>
      </tp>
      <tp t="s">
        <v>#N/A Requesting Data...4236185208</v>
        <stp/>
        <stp>BDP|9984974269843263541</stp>
        <tr r="Y149" s="3"/>
      </tp>
      <tp t="s">
        <v>#N/A Requesting Data...4209321012</v>
        <stp/>
        <stp>BDP|1418233625677101627</stp>
        <tr r="K140" s="3"/>
      </tp>
      <tp t="s">
        <v>#N/A N/A</v>
        <stp/>
        <stp>BDP|7924391942019519960</stp>
        <tr r="K34" s="2"/>
      </tp>
      <tp t="s">
        <v>#N/A Requesting Data...4226087384</v>
        <stp/>
        <stp>BDP|8924595444040353967</stp>
        <tr r="AJ70" s="3"/>
      </tp>
      <tp t="s">
        <v>#N/A Requesting Data...4278808002</v>
        <stp/>
        <stp>BDP|4334506311654176420</stp>
        <tr r="BG261" s="3"/>
      </tp>
      <tp t="s">
        <v>#N/A Requesting Data...4273690054</v>
        <stp/>
        <stp>BDP|5879183962757117525</stp>
        <tr r="I74" s="3"/>
      </tp>
      <tp t="s">
        <v>#N/A N/A</v>
        <stp/>
        <stp>BDP|5227889176643805925</stp>
        <tr r="V86" s="2"/>
      </tp>
      <tp t="s">
        <v>#N/A Requesting Data...4277774205</v>
        <stp/>
        <stp>BDP|7026730914103816299</stp>
        <tr r="O319" s="3"/>
      </tp>
      <tp t="s">
        <v>#N/A Requesting Data...4260883983</v>
        <stp/>
        <stp>BDP|3388486441576479586</stp>
        <tr r="AQ204" s="3"/>
      </tp>
      <tp t="s">
        <v>#N/A Requesting Data...4280887239</v>
        <stp/>
        <stp>BDP|3523411429555290095</stp>
        <tr r="AH87" s="3"/>
      </tp>
      <tp t="s">
        <v>#N/A Requesting Data...4263055637</v>
        <stp/>
        <stp>BDP|4175904187946352335</stp>
        <tr r="AZ138" s="3"/>
      </tp>
      <tp t="s">
        <v>#N/A Requesting Data...4279165194</v>
        <stp/>
        <stp>BDP|5516274515284383225</stp>
        <tr r="AJ6" s="3"/>
      </tp>
      <tp t="s">
        <v>#N/A Requesting Data...4290431252</v>
        <stp/>
        <stp>BDP|8333617485607273139</stp>
        <tr r="BI305" s="3"/>
      </tp>
      <tp t="s">
        <v>#N/A Requesting Data...4290611325</v>
        <stp/>
        <stp>BDP|7923071302455929239</stp>
        <tr r="BG222" s="3"/>
      </tp>
      <tp t="s">
        <v>#N/A N/A</v>
        <stp/>
        <stp>BDP|5253731621857323751</stp>
        <tr r="BF92" s="2"/>
      </tp>
      <tp t="s">
        <v>#N/A Requesting Data...2954340042</v>
        <stp/>
        <stp>BDP|1735662537796565251</stp>
        <tr r="Q132" s="3"/>
      </tp>
      <tp t="s">
        <v>#N/A Requesting Data...2948523648</v>
        <stp/>
        <stp>BDP|7492178831017126252</stp>
        <tr r="AJ75" s="3"/>
      </tp>
      <tp t="s">
        <v>#N/A Requesting Data...342090712</v>
        <stp/>
        <stp>BDP|5652721931434377502</stp>
        <tr r="I341" s="3"/>
      </tp>
      <tp t="s">
        <v>#N/A Requesting Data...2723705896</v>
        <stp/>
        <stp>BDP|1212633703446029140</stp>
        <tr r="I223" s="3"/>
      </tp>
      <tp t="s">
        <v>#N/A Requesting Data...615323711</v>
        <stp/>
        <stp>BDP|4234307621797520205</stp>
        <tr r="F180" s="3"/>
      </tp>
      <tp t="s">
        <v>#N/A Requesting Data...928532814</v>
        <stp/>
        <stp>BDP|8610903801703215233</stp>
        <tr r="AA144" s="3"/>
      </tp>
      <tp t="s">
        <v>#N/A Requesting Data...3767549537</v>
        <stp/>
        <stp>BDP|5493546455987080238</stp>
        <tr r="P4" s="2"/>
        <tr r="K248" s="3"/>
      </tp>
      <tp t="s">
        <v>#N/A Requesting Data...1143472124</v>
        <stp/>
        <stp>BDP|2635369537563252123</stp>
        <tr r="BI107" s="3"/>
      </tp>
      <tp t="s">
        <v>#N/A Requesting Data...4040732481</v>
        <stp/>
        <stp>BDP|5680477934462619043</stp>
        <tr r="K190" s="3"/>
      </tp>
      <tp t="s">
        <v>#N/A Requesting Data...2265250946</v>
        <stp/>
        <stp>BDP|8572501206825309877</stp>
        <tr r="BH232" s="3"/>
      </tp>
      <tp t="s">
        <v>#N/A Requesting Data...1610585272</v>
        <stp/>
        <stp>BDP|4113349334503061763</stp>
        <tr r="AH136" s="3"/>
      </tp>
      <tp t="s">
        <v>#N/A Requesting Data...1390303433</v>
        <stp/>
        <stp>BDP|3662857702258693302</stp>
        <tr r="O179" s="3"/>
      </tp>
      <tp t="s">
        <v>#N/A Requesting Data...1699629239</v>
        <stp/>
        <stp>BDP|1889320000260423293</stp>
        <tr r="BA159" s="3"/>
      </tp>
      <tp t="s">
        <v>#N/A Requesting Data...1520352753</v>
        <stp/>
        <stp>BDP|7508453440267584024</stp>
        <tr r="O288" s="3"/>
      </tp>
      <tp t="s">
        <v>#N/A Requesting Data...1789619044</v>
        <stp/>
        <stp>BDP|7486001083959554659</stp>
        <tr r="Q231" s="3"/>
      </tp>
      <tp t="s">
        <v>#N/A Requesting Data...1726856179</v>
        <stp/>
        <stp>BDP|9525415447069112059</stp>
        <tr r="BG342" s="3"/>
      </tp>
      <tp t="s">
        <v>#N/A Requesting Data...3593479391</v>
        <stp/>
        <stp>BDP|3165734705823921797</stp>
        <tr r="BF10" s="3"/>
      </tp>
      <tp t="s">
        <v>#N/A N/A</v>
        <stp/>
        <stp>BDP|5469708670697149223</stp>
        <tr r="AX69" s="2"/>
      </tp>
      <tp t="s">
        <v>#N/A N/A</v>
        <stp/>
        <stp>BDP|8339130142994725926</stp>
        <tr r="AF76" s="2"/>
      </tp>
      <tp t="s">
        <v>#N/A Requesting Data...3545114248</v>
        <stp/>
        <stp>BDP|3889506511000984777</stp>
        <tr r="BG62" s="3"/>
      </tp>
      <tp t="s">
        <v>#N/A Requesting Data...4018856912</v>
        <stp/>
        <stp>BDP|1535411629455241282</stp>
        <tr r="K169" s="3"/>
      </tp>
      <tp t="s">
        <v>#N/A Requesting Data...2814662396</v>
        <stp/>
        <stp>BDP|8372767707637364860</stp>
        <tr r="I229" s="3"/>
      </tp>
      <tp t="s">
        <v>#N/A Requesting Data...4096618649</v>
        <stp/>
        <stp>BDP|4098833459889966041</stp>
        <tr r="AQ42" s="4"/>
      </tp>
      <tp t="s">
        <v>#N/A Requesting Data...3498907290</v>
        <stp/>
        <stp>BDP|2507407783619138706</stp>
        <tr r="AH327" s="3"/>
      </tp>
      <tp t="s">
        <v>#N/A Requesting Data...1581552254</v>
        <stp/>
        <stp>BDP|3478003340384083339</stp>
        <tr r="BB225" s="3"/>
      </tp>
      <tp t="s">
        <v>#N/A Requesting Data...1018959132</v>
        <stp/>
        <stp>BDP|6017340739080369691</stp>
        <tr r="Q89" s="3"/>
      </tp>
      <tp t="s">
        <v>#N/A Requesting Data...230951153</v>
        <stp/>
        <stp>BDP|7093037811331308754</stp>
        <tr r="AA163" s="3"/>
      </tp>
      <tp t="s">
        <v>#N/A Requesting Data...3656327222</v>
        <stp/>
        <stp>BDP|2753866245906765874</stp>
        <tr r="BG170" s="3"/>
      </tp>
      <tp t="s">
        <v>#N/A Requesting Data...1157127328</v>
        <stp/>
        <stp>BDP|3842274816120801059</stp>
        <tr r="K213" s="3"/>
      </tp>
      <tp t="s">
        <v>#N/A Requesting Data...3446274157</v>
        <stp/>
        <stp>BDP|5297177483314568870</stp>
        <tr r="AQ224" s="3"/>
      </tp>
      <tp t="s">
        <v>#N/A Requesting Data...2534419856</v>
        <stp/>
        <stp>BDP|6563887419628145719</stp>
        <tr r="I302" s="3"/>
      </tp>
      <tp t="s">
        <v>#N/A N/A</v>
        <stp/>
        <stp>BDP|3435362717919216837</stp>
        <tr r="BF26" s="2"/>
      </tp>
      <tp t="s">
        <v>#N/A Requesting Data...2296606346</v>
        <stp/>
        <stp>BDP|9935530356271996816</stp>
        <tr r="AH257" s="3"/>
      </tp>
      <tp t="s">
        <v>#N/A Requesting Data...3391910917</v>
        <stp/>
        <stp>BDP|5036703927475709545</stp>
        <tr r="I117" s="3"/>
      </tp>
      <tp t="s">
        <v>#N/A Requesting Data...1613870215</v>
        <stp/>
        <stp>BDP|1523302933006766757</stp>
        <tr r="I16" s="4"/>
      </tp>
      <tp t="s">
        <v>#N/A Requesting Data...2046631686</v>
        <stp/>
        <stp>BDP|6094893498963776424</stp>
        <tr r="AX49" s="4"/>
      </tp>
      <tp t="s">
        <v>#N/A Requesting Data...1339922961</v>
        <stp/>
        <stp>BDP|1845961065198633697</stp>
        <tr r="Y130" s="3"/>
      </tp>
      <tp t="s">
        <v>#N/A N/A</v>
        <stp/>
        <stp>BDP|9371510296411962496</stp>
        <tr r="BG78" s="2"/>
      </tp>
      <tp t="s">
        <v>#N/A Requesting Data...2821652448</v>
        <stp/>
        <stp>BDP|4595848067173748957</stp>
        <tr r="AA158" s="3"/>
      </tp>
      <tp t="s">
        <v>#N/A N/A</v>
        <stp/>
        <stp>BDP|9024477572792325822</stp>
        <tr r="AD97" s="2"/>
      </tp>
      <tp t="s">
        <v>#N/A Requesting Data...2712299849</v>
        <stp/>
        <stp>BDP|7304544218414339781</stp>
        <tr r="AJ319" s="3"/>
      </tp>
      <tp t="s">
        <v>#N/A N/A</v>
        <stp/>
        <stp>BDP|9972879158343588770</stp>
        <tr r="T95" s="2"/>
      </tp>
      <tp t="s">
        <v>#N/A Requesting Data...854991106</v>
        <stp/>
        <stp>BDP|2659971853697128974</stp>
        <tr r="Y175" s="3"/>
      </tp>
      <tp t="s">
        <v>#N/A N/A</v>
        <stp/>
        <stp>BDP|4346468236080414339</stp>
        <tr r="BK23" s="2"/>
      </tp>
      <tp t="s">
        <v>#N/A N/A</v>
        <stp/>
        <stp>BDP|4242002801520512426</stp>
        <tr r="BK17" s="2"/>
      </tp>
      <tp t="s">
        <v>#N/A Requesting Data...926746860</v>
        <stp/>
        <stp>BDP|5681476904269929889</stp>
        <tr r="BA19" s="3"/>
      </tp>
      <tp t="s">
        <v>#N/A Requesting Data...4160252291</v>
        <stp/>
        <stp>BDP|3653836180615240636</stp>
        <tr r="AJ83" s="3"/>
      </tp>
      <tp t="s">
        <v>#N/A Requesting Data...1419878292</v>
        <stp/>
        <stp>BDP|1845852674167906941</stp>
        <tr r="I17" s="4"/>
      </tp>
      <tp t="s">
        <v>#N/A Requesting Data...2043939335</v>
        <stp/>
        <stp>BDP|6880317917341338584</stp>
        <tr r="I33" s="3"/>
      </tp>
      <tp t="s">
        <v>#N/A Requesting Data...2814008104</v>
        <stp/>
        <stp>BDP|7500829015018020670</stp>
        <tr r="BB147" s="3"/>
      </tp>
      <tp t="s">
        <v>#N/A Requesting Data...4213608359</v>
        <stp/>
        <stp>BDP|9486651894203721572</stp>
        <tr r="Q92" s="3"/>
      </tp>
      <tp t="s">
        <v>#N/A N/A</v>
        <stp/>
        <stp>BDP|9458682290955817312</stp>
        <tr r="P73" s="2"/>
      </tp>
      <tp t="s">
        <v>#N/A Requesting Data...1630792422</v>
        <stp/>
        <stp>BDP|5761729166044511031</stp>
        <tr r="AQ232" s="3"/>
      </tp>
      <tp t="s">
        <v>#N/A Requesting Data...4026812290</v>
        <stp/>
        <stp>BDP|7897872252658921210</stp>
        <tr r="BG334" s="3"/>
      </tp>
      <tp t="s">
        <v>#N/A N/A</v>
        <stp/>
        <stp>BDP|1319109964435749357</stp>
        <tr r="AM35" s="2"/>
      </tp>
      <tp t="s">
        <v>#N/A Requesting Data...4049512820</v>
        <stp/>
        <stp>BDP|2888683562382122064</stp>
        <tr r="BB162" s="3"/>
      </tp>
      <tp t="s">
        <v>#N/A Requesting Data...4135205665</v>
        <stp/>
        <stp>BDP|1813390642804404227</stp>
        <tr r="AQ267" s="3"/>
      </tp>
      <tp t="s">
        <v>#N/A Requesting Data...3247717606</v>
        <stp/>
        <stp>BDP|7746061795369930785</stp>
        <tr r="BB116" s="3"/>
      </tp>
      <tp t="s">
        <v>#N/A Requesting Data...1257983203</v>
        <stp/>
        <stp>BDP|3490559844702164011</stp>
        <tr r="BI232" s="3"/>
      </tp>
      <tp t="s">
        <v>#N/A Requesting Data...2652980016</v>
        <stp/>
        <stp>BDP|7878783249900493484</stp>
        <tr r="BI110" s="3"/>
      </tp>
      <tp t="s">
        <v>#N/A Requesting Data...3600061092</v>
        <stp/>
        <stp>BDP|5072360779981842029</stp>
        <tr r="BA86" s="3"/>
      </tp>
      <tp t="s">
        <v>#N/A Requesting Data...1017446361</v>
        <stp/>
        <stp>BDP|4816488360737526108</stp>
        <tr r="BH214" s="3"/>
      </tp>
      <tp t="s">
        <v>#N/A Requesting Data...3239309368</v>
        <stp/>
        <stp>BDP|9932748539828554542</stp>
        <tr r="AH24" s="3"/>
      </tp>
      <tp t="s">
        <v>#N/A Requesting Data...689025586</v>
        <stp/>
        <stp>BDP|2259984127758899108</stp>
        <tr r="AQ110" s="3"/>
      </tp>
      <tp t="s">
        <v>#N/A Requesting Data...2247170439</v>
        <stp/>
        <stp>BDP|2708278414505934489</stp>
        <tr r="BH306" s="3"/>
      </tp>
      <tp t="s">
        <v>#N/A Requesting Data...4092337310</v>
        <stp/>
        <stp>BDP|1280745727730211592</stp>
        <tr r="BH59" s="3"/>
      </tp>
      <tp t="s">
        <v>#N/A Requesting Data...2926009436</v>
        <stp/>
        <stp>BDP|7088344569494742704</stp>
        <tr r="I196" s="3"/>
      </tp>
      <tp t="s">
        <v>#N/A Requesting Data...705570693</v>
        <stp/>
        <stp>BDP|3670052839050109118</stp>
        <tr r="AJ157" s="3"/>
      </tp>
      <tp t="s">
        <v>#N/A Requesting Data...1255118830</v>
        <stp/>
        <stp>BDP|1467739265121116092</stp>
        <tr r="Y307" s="3"/>
      </tp>
      <tp t="s">
        <v>#N/A Requesting Data...2863019506</v>
        <stp/>
        <stp>BDP|9037647544283329998</stp>
        <tr r="BF223" s="3"/>
      </tp>
      <tp t="s">
        <v>#N/A N/A</v>
        <stp/>
        <stp>BDP|4229758716071316285</stp>
        <tr r="AM89" s="2"/>
      </tp>
      <tp t="s">
        <v>#N/A Requesting Data...3425491078</v>
        <stp/>
        <stp>BDP|6731597802552149074</stp>
        <tr r="BB120" s="3"/>
      </tp>
      <tp t="s">
        <v>#N/A Requesting Data...3313082565</v>
        <stp/>
        <stp>BDP|6473314550568700984</stp>
        <tr r="BB143" s="3"/>
      </tp>
      <tp t="s">
        <v>#N/A N/A</v>
        <stp/>
        <stp>BDP|6318401239216086608</stp>
        <tr r="BG88" s="2"/>
      </tp>
      <tp t="s">
        <v>#N/A Requesting Data...2553738096</v>
        <stp/>
        <stp>BDP|3533294516323023203</stp>
        <tr r="BH327" s="3"/>
      </tp>
      <tp t="s">
        <v>#N/A Requesting Data...1493971124</v>
        <stp/>
        <stp>BDP|9478357256957454999</stp>
        <tr r="AS329" s="3"/>
      </tp>
      <tp t="s">
        <v>#N/A Requesting Data...2764173793</v>
        <stp/>
        <stp>BDP|6581214524784819333</stp>
        <tr r="AZ272" s="3"/>
      </tp>
      <tp t="s">
        <v>#N/A Requesting Data...2370255355</v>
        <stp/>
        <stp>BDP|2168747142831994159</stp>
        <tr r="BA220" s="3"/>
      </tp>
      <tp t="s">
        <v>#N/A Requesting Data...1651005287</v>
        <stp/>
        <stp>BDP|1576316007301191290</stp>
        <tr r="BB242" s="3"/>
      </tp>
      <tp t="s">
        <v>#N/A Requesting Data...1041420769</v>
        <stp/>
        <stp>BDP|7293440849034400203</stp>
        <tr r="BH272" s="3"/>
      </tp>
      <tp t="s">
        <v>#N/A Requesting Data...2743626611</v>
        <stp/>
        <stp>BDP|4413533833840769381</stp>
        <tr r="BG39" s="3"/>
      </tp>
      <tp t="s">
        <v>#N/A Requesting Data...1730338813</v>
        <stp/>
        <stp>BDP|4922147854822024322</stp>
        <tr r="AS223" s="3"/>
      </tp>
      <tp t="s">
        <v>#N/A Requesting Data...1768005516</v>
        <stp/>
        <stp>BDP|2704032670625901166</stp>
        <tr r="AA311" s="3"/>
      </tp>
      <tp t="s">
        <v>#N/A Requesting Data...3202193536</v>
        <stp/>
        <stp>BDP|7825875550288158355</stp>
        <tr r="AD4" s="2"/>
        <tr r="Y248" s="3"/>
      </tp>
      <tp t="s">
        <v>#N/A Requesting Data...1888493748</v>
        <stp/>
        <stp>BDP|5830210210712680548</stp>
        <tr r="BM9" s="2"/>
      </tp>
      <tp t="s">
        <v>#N/A N/A</v>
        <stp/>
        <stp>BDP|6167695302579429853</stp>
        <tr r="AM6" s="2"/>
      </tp>
      <tp t="s">
        <v>#N/A Requesting Data...2519497836</v>
        <stp/>
        <stp>BDP|3148222357140652594</stp>
        <tr r="I33" s="4"/>
      </tp>
      <tp t="s">
        <v>#N/A Requesting Data...920789578</v>
        <stp/>
        <stp>BDP|6597841849218756376</stp>
        <tr r="AZ68" s="3"/>
      </tp>
      <tp t="s">
        <v>#N/A Requesting Data...3126423499</v>
        <stp/>
        <stp>BDP|3890692150363080298</stp>
        <tr r="I109" s="3"/>
      </tp>
      <tp t="s">
        <v>#N/A Requesting Data...2115186550</v>
        <stp/>
        <stp>BDP|8246703494174799397</stp>
        <tr r="AA129" s="3"/>
      </tp>
      <tp t="s">
        <v>#N/A Requesting Data...2451173653</v>
        <stp/>
        <stp>BDP|3482020534452351392</stp>
        <tr r="Q11" s="3"/>
      </tp>
      <tp t="s">
        <v>#N/A Requesting Data...1599019192</v>
        <stp/>
        <stp>BDP|7297630806162733280</stp>
        <tr r="BI297" s="3"/>
      </tp>
      <tp t="s">
        <v>#N/A Requesting Data...3164120141</v>
        <stp/>
        <stp>BDP|6905943883746291042</stp>
        <tr r="BG133" s="3"/>
      </tp>
      <tp t="s">
        <v>#N/A Requesting Data...1730434381</v>
        <stp/>
        <stp>BDP|1984195515591964140</stp>
        <tr r="AS269" s="3"/>
      </tp>
      <tp t="s">
        <v>#N/A Requesting Data...3871300760</v>
        <stp/>
        <stp>BDP|5674780692358189252</stp>
        <tr r="BB318" s="3"/>
      </tp>
      <tp t="s">
        <v>#N/A N/A</v>
        <stp/>
        <stp>BDP|3410060499659311207</stp>
        <tr r="K67" s="2"/>
      </tp>
      <tp t="s">
        <v>#N/A Requesting Data...2794840413</v>
        <stp/>
        <stp>BDP|5729057059682061334</stp>
        <tr r="AQ16" s="4"/>
      </tp>
      <tp t="s">
        <v>#N/A Requesting Data...3711461702</v>
        <stp/>
        <stp>BDP|2949642655017474740</stp>
        <tr r="AH69" s="3"/>
      </tp>
      <tp t="s">
        <v>#N/A Requesting Data...3535812179</v>
        <stp/>
        <stp>BDP|4528733641130946664</stp>
        <tr r="K96" s="3"/>
      </tp>
      <tp t="s">
        <v>#N/A Requesting Data...2016780019</v>
        <stp/>
        <stp>BDP|3104107843474370396</stp>
        <tr r="I83" s="3"/>
      </tp>
      <tp t="s">
        <v>#N/A N/A</v>
        <stp/>
        <stp>BDP|1775175969981599647</stp>
        <tr r="K63" s="2"/>
      </tp>
      <tp t="s">
        <v>#N/A Requesting Data...2590486536</v>
        <stp/>
        <stp>BDP|6179109939883152616</stp>
        <tr r="P22" s="2"/>
        <tr r="I15" s="4"/>
      </tp>
      <tp t="s">
        <v>#N/A Requesting Data...2025296316</v>
        <stp/>
        <stp>BDP|6964416302130365310</stp>
        <tr r="AA70" s="3"/>
      </tp>
      <tp t="s">
        <v>#N/A Requesting Data...1009000608</v>
        <stp/>
        <stp>BDP|9792139537662967826</stp>
        <tr r="O233" s="3"/>
      </tp>
      <tp t="s">
        <v>#N/A Requesting Data...1198255239</v>
        <stp/>
        <stp>BDP|9270800247314863054</stp>
        <tr r="AA40" s="3"/>
      </tp>
      <tp t="s">
        <v>#N/A Requesting Data...3044027888</v>
        <stp/>
        <stp>BDP|8265371008519727326</stp>
        <tr r="BA183" s="3"/>
      </tp>
      <tp t="s">
        <v>#N/A Requesting Data...1723057808</v>
        <stp/>
        <stp>BDP|4051586561932668464</stp>
        <tr r="BA251" s="3"/>
      </tp>
      <tp t="s">
        <v>#N/A Requesting Data...998638136</v>
        <stp/>
        <stp>BDP|8305434141079076089</stp>
        <tr r="AJ72" s="3"/>
      </tp>
      <tp t="s">
        <v>#N/A Requesting Data...858828961</v>
        <stp/>
        <stp>BDP|7068168508630044776</stp>
        <tr r="AQ287" s="3"/>
      </tp>
      <tp t="s">
        <v>#N/A Requesting Data...2342259916</v>
        <stp/>
        <stp>BDP|5737498107078915897</stp>
        <tr r="I217" s="3"/>
      </tp>
      <tp t="s">
        <v>#N/A N/A</v>
        <stp/>
        <stp>BDP|6934265143045397463</stp>
        <tr r="AV64" s="2"/>
      </tp>
      <tp t="s">
        <v>#N/A Requesting Data...1527726921</v>
        <stp/>
        <stp>BDP|9707796701829463627</stp>
        <tr r="BI43" s="3"/>
      </tp>
      <tp t="s">
        <v>#N/A Requesting Data...2239265278</v>
        <stp/>
        <stp>BDP|6009404329955863485</stp>
        <tr r="Q18" s="3"/>
      </tp>
      <tp t="s">
        <v>#N/A Requesting Data...2165917534</v>
        <stp/>
        <stp>BDP|9794897864491569762</stp>
        <tr r="F166" s="3"/>
      </tp>
      <tp t="s">
        <v>#N/A Requesting Data...3466885164</v>
        <stp/>
        <stp>BDP|1037434738653351417</stp>
        <tr r="AH105" s="3"/>
      </tp>
      <tp t="s">
        <v>#N/A Requesting Data...990172239</v>
        <stp/>
        <stp>BDP|5843559330105585716</stp>
        <tr r="AZ213" s="3"/>
      </tp>
      <tp t="s">
        <v>#N/A Requesting Data...3410800525</v>
        <stp/>
        <stp>BDP|7201869989233198556</stp>
        <tr r="Q106" s="3"/>
      </tp>
      <tp t="s">
        <v>#N/A Requesting Data...3879915422</v>
        <stp/>
        <stp>BDP|7949547397043010935</stp>
        <tr r="Q277" s="3"/>
      </tp>
      <tp t="s">
        <v>#N/A Requesting Data...2538895203</v>
        <stp/>
        <stp>BDP|6057724611895468496</stp>
        <tr r="AA244" s="3"/>
      </tp>
      <tp t="s">
        <v>#N/A Requesting Data...3324550987</v>
        <stp/>
        <stp>BDP|3844556594696340849</stp>
        <tr r="AZ219" s="3"/>
      </tp>
      <tp t="s">
        <v>#N/A Requesting Data...3395654759</v>
        <stp/>
        <stp>BDP|8171573473549984221</stp>
        <tr r="AQ141" s="3"/>
      </tp>
      <tp t="s">
        <v>#N/A N/A</v>
        <stp/>
        <stp>BDP|4162099245171144025</stp>
        <tr r="BF22" s="2"/>
      </tp>
      <tp t="s">
        <v>#N/A Requesting Data...3675053488</v>
        <stp/>
        <stp>BDP|2843234433297784515</stp>
        <tr r="AH7" s="3"/>
      </tp>
      <tp t="s">
        <v>#N/A Requesting Data...2461289419</v>
        <stp/>
        <stp>BDP|4226483763124586326</stp>
        <tr r="BG108" s="3"/>
      </tp>
      <tp t="s">
        <v>#N/A Requesting Data...2986773957</v>
        <stp/>
        <stp>BDP|3631440032630932578</stp>
        <tr r="AZ13" s="3"/>
      </tp>
      <tp t="s">
        <v>#N/A Requesting Data...2803572087</v>
        <stp/>
        <stp>BDP|9489500380731870426</stp>
        <tr r="AH293" s="3"/>
      </tp>
      <tp t="s">
        <v>#N/A Requesting Data...1125845411</v>
        <stp/>
        <stp>BDP|8546090896855751537</stp>
        <tr r="BI122" s="3"/>
      </tp>
      <tp t="s">
        <v>#N/A Requesting Data...916941162</v>
        <stp/>
        <stp>BDP|8846655531108768458</stp>
        <tr r="BA262" s="3"/>
      </tp>
      <tp t="s">
        <v>#N/A N/A</v>
        <stp/>
        <stp>BDP|5091605578842230746</stp>
        <tr r="BK36" s="2"/>
      </tp>
      <tp t="s">
        <v>#N/A Requesting Data...3219324659</v>
        <stp/>
        <stp>BDP|4185890827968537742</stp>
        <tr r="Y98" s="3"/>
      </tp>
      <tp t="s">
        <v>#N/A Requesting Data...4237716881</v>
        <stp/>
        <stp>BDP|2319876048829664649</stp>
        <tr r="AZ17" s="3"/>
      </tp>
      <tp t="s">
        <v>#N/A Requesting Data...4291563049</v>
        <stp/>
        <stp>BDP|7153894094662011524</stp>
        <tr r="I284" s="3"/>
      </tp>
      <tp t="s">
        <v>#N/A Requesting Data...3713770121</v>
        <stp/>
        <stp>BDP|1816693940785772780</stp>
        <tr r="BG90" s="3"/>
      </tp>
      <tp t="s">
        <v>#N/A Requesting Data...1250943414</v>
        <stp/>
        <stp>BDP|4777952819364777924</stp>
        <tr r="AA151" s="3"/>
      </tp>
      <tp t="s">
        <v>#N/A Requesting Data...4092096830</v>
        <stp/>
        <stp>BDP|4487286827145159052</stp>
        <tr r="BN10" s="2"/>
      </tp>
      <tp t="s">
        <v>#N/A Requesting Data...1502232482</v>
        <stp/>
        <stp>BDP|2462498524052121777</stp>
        <tr r="AQ11" s="3"/>
      </tp>
      <tp t="s">
        <v>#N/A Requesting Data...2108217386</v>
        <stp/>
        <stp>BDP|4580600439319141925</stp>
        <tr r="AA148" s="3"/>
      </tp>
      <tp t="s">
        <v>#N/A Requesting Data...1181829984</v>
        <stp/>
        <stp>BDP|2077484872270690032</stp>
        <tr r="BA194" s="3"/>
      </tp>
      <tp t="s">
        <v>#N/A N/A</v>
        <stp/>
        <stp>BDP|5560083897668613531</stp>
        <tr r="N84" s="2"/>
      </tp>
      <tp t="s">
        <v>#N/A Requesting Data...1593168876</v>
        <stp/>
        <stp>BDP|2160900009149304342</stp>
        <tr r="AV4" s="2"/>
        <tr r="AQ248" s="3"/>
      </tp>
      <tp t="s">
        <v>#N/A Requesting Data...2693165829</v>
        <stp/>
        <stp>BDP|4874157642060634066</stp>
        <tr r="AJ174" s="3"/>
      </tp>
      <tp t="s">
        <v>#N/A Requesting Data...1324959325</v>
        <stp/>
        <stp>BDP|1190106741680698597</stp>
        <tr r="BB332" s="3"/>
      </tp>
      <tp t="s">
        <v>#N/A Requesting Data...2416020904</v>
        <stp/>
        <stp>BDP|8319990491169205067</stp>
        <tr r="AA24" s="3"/>
      </tp>
      <tp t="s">
        <v>#N/A Requesting Data...2460135869</v>
        <stp/>
        <stp>BDP|5666584060355126205</stp>
        <tr r="AO54" s="4"/>
      </tp>
      <tp t="s">
        <v>#N/A Requesting Data...1059085616</v>
        <stp/>
        <stp>BDP|9806116485835313409</stp>
        <tr r="AH7" s="4"/>
      </tp>
      <tp t="s">
        <v>#N/A Requesting Data...1706499601</v>
        <stp/>
        <stp>BDP|6556188674567388656</stp>
        <tr r="BI302" s="3"/>
      </tp>
      <tp t="s">
        <v>#N/A N/A</v>
        <stp/>
        <stp>BDP|5406039679560719354</stp>
        <tr r="K65" s="2"/>
      </tp>
      <tp t="s">
        <v>#N/A Requesting Data...4265386514</v>
        <stp/>
        <stp>BDP|4594081905657070240</stp>
        <tr r="Q285" s="3"/>
      </tp>
      <tp t="s">
        <v>#N/A Requesting Data...2188355080</v>
        <stp/>
        <stp>BDP|7856608232754140774</stp>
        <tr r="F106" s="3"/>
      </tp>
      <tp t="s">
        <v>#N/A N/A</v>
        <stp/>
        <stp>BDP|9259730709768201768</stp>
        <tr r="AO38" s="2"/>
      </tp>
      <tp t="s">
        <v>#N/A Requesting Data...1938911791</v>
        <stp/>
        <stp>BDP|4416782562900378417</stp>
        <tr r="I351" s="3"/>
      </tp>
      <tp t="s">
        <v>#N/A Requesting Data...2311284638</v>
        <stp/>
        <stp>BDP|3287475249020335232</stp>
        <tr r="AA147" s="3"/>
      </tp>
      <tp t="s">
        <v>#N/A N/A</v>
        <stp/>
        <stp>BDP|2893914116772547961</stp>
        <tr r="K42" s="2"/>
      </tp>
      <tp t="s">
        <v>#N/A N/A</v>
        <stp/>
        <stp>BDP|7669109772514974412</stp>
        <tr r="P53" s="2"/>
      </tp>
      <tp t="s">
        <v>#N/A Requesting Data...1240705849</v>
        <stp/>
        <stp>BDP|7842654250307341229</stp>
        <tr r="O23" s="3"/>
      </tp>
      <tp t="s">
        <v>#N/A Requesting Data...1574864334</v>
        <stp/>
        <stp>BDP|3709347278425159366</stp>
        <tr r="AS180" s="3"/>
      </tp>
      <tp t="s">
        <v>#N/A Requesting Data...3569994487</v>
        <stp/>
        <stp>BDP|9002919340566806359</stp>
        <tr r="F94" s="3"/>
      </tp>
      <tp t="s">
        <v>#N/A Requesting Data...1839760805</v>
        <stp/>
        <stp>BDP|9650335862895940829</stp>
        <tr r="Y299" s="3"/>
      </tp>
      <tp t="s">
        <v>#N/A Requesting Data...3878666125</v>
        <stp/>
        <stp>BDP|7052624733651527281</stp>
        <tr r="I8" s="3"/>
      </tp>
      <tp t="s">
        <v>#N/A Requesting Data...3028057658</v>
        <stp/>
        <stp>BDP|8641387640086031824</stp>
        <tr r="AH196" s="3"/>
      </tp>
      <tp t="s">
        <v>#N/A Requesting Data...1390566358</v>
        <stp/>
        <stp>BDP|9268727910258586682</stp>
        <tr r="AS241" s="3"/>
      </tp>
      <tp t="s">
        <v>#N/A Requesting Data...2508080733</v>
        <stp/>
        <stp>BDP|4449804761989069286</stp>
        <tr r="BI130" s="3"/>
      </tp>
      <tp t="s">
        <v>#N/A N/A</v>
        <stp/>
        <stp>BDP|1697537534241553791</stp>
        <tr r="AF55" s="2"/>
      </tp>
      <tp t="s">
        <v>#N/A Requesting Data...3335035027</v>
        <stp/>
        <stp>BDP|5252575587959992068</stp>
        <tr r="BN9" s="2"/>
      </tp>
      <tp t="s">
        <v>#N/A Requesting Data...1477111788</v>
        <stp/>
        <stp>BDP|4783231368539852892</stp>
        <tr r="AQ209" s="3"/>
      </tp>
      <tp t="s">
        <v>#N/A Requesting Data...3145439516</v>
        <stp/>
        <stp>BDP|2990684819240614435</stp>
        <tr r="I200" s="3"/>
      </tp>
      <tp t="s">
        <v>#N/A N/A</v>
        <stp/>
        <stp>BDP|2440189746954201259</stp>
        <tr r="T75" s="2"/>
      </tp>
      <tp t="s">
        <v>#N/A N/A</v>
        <stp/>
        <stp>BDP|3663127376272649698</stp>
        <tr r="AF48" s="2"/>
      </tp>
      <tp t="s">
        <v>#N/A Requesting Data...3153174156</v>
        <stp/>
        <stp>BDP|3319768420467002082</stp>
        <tr r="BI298" s="3"/>
      </tp>
      <tp t="s">
        <v>#N/A Requesting Data...3396849997</v>
        <stp/>
        <stp>BDP|5374641921907918720</stp>
        <tr r="AJ102" s="3"/>
      </tp>
      <tp t="s">
        <v>#N/A N/A</v>
        <stp/>
        <stp>BDP|4331618509597150475</stp>
        <tr r="BL85" s="2"/>
      </tp>
      <tp t="s">
        <v>#N/A Requesting Data...4076713204</v>
        <stp/>
        <stp>BDP|2590926448546585872</stp>
        <tr r="AS301" s="3"/>
      </tp>
      <tp t="s">
        <v>#N/A Requesting Data...2999252952</v>
        <stp/>
        <stp>BDP|6840317451711025056</stp>
        <tr r="AJ353" s="3"/>
      </tp>
      <tp t="s">
        <v>#N/A Requesting Data...1648325235</v>
        <stp/>
        <stp>BDP|2209099156040323638</stp>
        <tr r="F53" s="3"/>
      </tp>
      <tp t="s">
        <v>#N/A Requesting Data...3369180805</v>
        <stp/>
        <stp>BDP|1886669863652927297</stp>
        <tr r="AJ176" s="3"/>
      </tp>
      <tp t="s">
        <v>#N/A Requesting Data...3691477526</v>
        <stp/>
        <stp>BDP|2640435927393608697</stp>
        <tr r="BG197" s="3"/>
      </tp>
      <tp t="s">
        <v>#N/A Requesting Data...1357753872</v>
        <stp/>
        <stp>BDP|6631136879518700965</stp>
        <tr r="K225" s="3"/>
      </tp>
      <tp t="s">
        <v>#N/A N/A</v>
        <stp/>
        <stp>BDP|2094432471909607996</stp>
        <tr r="T13" s="2"/>
      </tp>
      <tp t="s">
        <v>#N/A Requesting Data...3797976605</v>
        <stp/>
        <stp>BDP|5716301445796604593</stp>
        <tr r="BI176" s="3"/>
      </tp>
      <tp t="s">
        <v>#N/A N/A</v>
        <stp/>
        <stp>BDP|9571585960753681894</stp>
        <tr r="AV87" s="2"/>
      </tp>
      <tp t="s">
        <v>#N/A N/A</v>
        <stp/>
        <stp>BDP|8396998824750489286</stp>
        <tr r="BM80" s="2"/>
      </tp>
      <tp t="s">
        <v>#N/A N/A</v>
        <stp/>
        <stp>BDP|4127701854925003272</stp>
        <tr r="BK73" s="2"/>
      </tp>
      <tp t="s">
        <v>#N/A Requesting Data...2721857584</v>
        <stp/>
        <stp>BDP|2188521146287539520</stp>
        <tr r="BF346" s="3"/>
      </tp>
      <tp t="s">
        <v>#N/A Requesting Data...1698521349</v>
        <stp/>
        <stp>BDP|6274287642577277689</stp>
        <tr r="AS291" s="3"/>
      </tp>
      <tp t="s">
        <v>#N/A Requesting Data...3270684590</v>
        <stp/>
        <stp>BDP|3155728421447510052</stp>
        <tr r="BF202" s="3"/>
      </tp>
      <tp t="s">
        <v>#N/A Requesting Data...2351948303</v>
        <stp/>
        <stp>BDP|6537232801096298372</stp>
        <tr r="I102" s="3"/>
      </tp>
      <tp t="s">
        <v>#N/A Requesting Data...2902984531</v>
        <stp/>
        <stp>BDP|2351436423250488553</stp>
        <tr r="BI70" s="3"/>
      </tp>
      <tp t="s">
        <v>#N/A N/A</v>
        <stp/>
        <stp>BDP|5450800556989057003</stp>
        <tr r="V85" s="2"/>
      </tp>
      <tp t="s">
        <v>#N/A Requesting Data...3411985311</v>
        <stp/>
        <stp>BDP|4433636272724692016</stp>
        <tr r="Q307" s="3"/>
      </tp>
      <tp t="s">
        <v>#N/A Requesting Data...3508643392</v>
        <stp/>
        <stp>BDP|3167734832964245202</stp>
        <tr r="BI92" s="3"/>
      </tp>
      <tp t="s">
        <v>#N/A N/A</v>
        <stp/>
        <stp>BDP|6629018078286975643</stp>
        <tr r="V27" s="2"/>
      </tp>
      <tp t="s">
        <v>#N/A N/A</v>
        <stp/>
        <stp>BDP|1889310395073928976</stp>
        <tr r="BM95" s="2"/>
      </tp>
      <tp t="s">
        <v>#N/A Requesting Data...1609462483</v>
        <stp/>
        <stp>BDP|2177529966109526921</stp>
        <tr r="BH141" s="3"/>
      </tp>
      <tp t="s">
        <v>#N/A Requesting Data...3361816229</v>
        <stp/>
        <stp>BDP|7520103002124799326</stp>
        <tr r="AQ166" s="3"/>
      </tp>
      <tp t="s">
        <v>#N/A Requesting Data...2792324801</v>
        <stp/>
        <stp>BDP|3586773932550067626</stp>
        <tr r="AA20" s="3"/>
      </tp>
      <tp t="s">
        <v>#N/A Requesting Data...2685703448</v>
        <stp/>
        <stp>BDP|4466751732051240032</stp>
        <tr r="BH223" s="3"/>
      </tp>
      <tp t="s">
        <v>#N/A Requesting Data...2067580799</v>
        <stp/>
        <stp>BDP|7514757265782415530</stp>
        <tr r="Y180" s="3"/>
      </tp>
      <tp t="s">
        <v>#N/A N/A</v>
        <stp/>
        <stp>BDP|4171065417075033123</stp>
        <tr r="V80" s="2"/>
      </tp>
      <tp t="s">
        <v>#N/A Requesting Data...2700942877</v>
        <stp/>
        <stp>BDP|3274428187848312664</stp>
        <tr r="AQ206" s="3"/>
      </tp>
      <tp t="s">
        <v>#N/A Requesting Data...3254218052</v>
        <stp/>
        <stp>BDP|1731567315555269145</stp>
        <tr r="Q155" s="3"/>
      </tp>
      <tp t="s">
        <v>#N/A Requesting Data...1903051665</v>
        <stp/>
        <stp>BDP|8769850378570850603</stp>
        <tr r="BI340" s="3"/>
      </tp>
      <tp t="s">
        <v>#N/A Requesting Data...3682360929</v>
        <stp/>
        <stp>BDP|4060434502368709958</stp>
        <tr r="AO34" s="4"/>
      </tp>
      <tp t="s">
        <v>#N/A N/A</v>
        <stp/>
        <stp>BDP|2404448049306972537</stp>
        <tr r="V79" s="2"/>
      </tp>
      <tp t="s">
        <v>#N/A Requesting Data...3692126657</v>
        <stp/>
        <stp>BDP|5125003077394683731</stp>
        <tr r="O268" s="3"/>
      </tp>
      <tp t="s">
        <v>#N/A Requesting Data...3300422971</v>
        <stp/>
        <stp>BDP|7488641405756558637</stp>
        <tr r="BB232" s="3"/>
      </tp>
      <tp t="s">
        <v>#N/A N/A</v>
        <stp/>
        <stp>BDP|6551658537466202467</stp>
        <tr r="BG83" s="2"/>
      </tp>
      <tp t="s">
        <v>#N/A Requesting Data...3948561980</v>
        <stp/>
        <stp>BDP|3703297912583998265</stp>
        <tr r="AH305" s="3"/>
      </tp>
      <tp t="s">
        <v>#N/A Requesting Data...2978576275</v>
        <stp/>
        <stp>BDP|4307945555051747860</stp>
        <tr r="O138" s="3"/>
      </tp>
      <tp t="s">
        <v>#N/A Requesting Data...1426044180</v>
        <stp/>
        <stp>BDP|4222792855307556087</stp>
        <tr r="AA182" s="3"/>
      </tp>
      <tp t="s">
        <v>#N/A Requesting Data...1945418378</v>
        <stp/>
        <stp>BDP|6594450114462777009</stp>
        <tr r="AQ211" s="3"/>
      </tp>
      <tp t="s">
        <v>#N/A N/A</v>
        <stp/>
        <stp>BDP|7612303079220845247</stp>
        <tr r="AX26" s="2"/>
      </tp>
      <tp t="s">
        <v>#N/A Requesting Data...1826535095</v>
        <stp/>
        <stp>BDP|6155712847146074242</stp>
        <tr r="BA301" s="3"/>
      </tp>
      <tp t="s">
        <v>#N/A Requesting Data...1415535482</v>
        <stp/>
        <stp>BDP|2760386288391009941</stp>
        <tr r="O52" s="4"/>
      </tp>
      <tp t="s">
        <v>#N/A N/A</v>
        <stp/>
        <stp>BDP|8217305838470051990</stp>
        <tr r="BG27" s="2"/>
      </tp>
      <tp t="s">
        <v>#N/A Requesting Data...1728762015</v>
        <stp/>
        <stp>BDP|1372674021812156647</stp>
        <tr r="BG19" s="3"/>
      </tp>
      <tp t="s">
        <v>#N/A Requesting Data...2033748055</v>
        <stp/>
        <stp>BDP|6640479614272221074</stp>
        <tr r="Y213" s="3"/>
      </tp>
      <tp t="s">
        <v>#N/A Requesting Data...2575991945</v>
        <stp/>
        <stp>BDP|7999394371273817197</stp>
        <tr r="O77" s="3"/>
      </tp>
      <tp t="s">
        <v>#N/A Requesting Data...1764716211</v>
        <stp/>
        <stp>BDP|9515187345759809408</stp>
        <tr r="BB281" s="3"/>
      </tp>
      <tp t="s">
        <v>#N/A Requesting Data...1591058305</v>
        <stp/>
        <stp>BDP|5797746137322758231</stp>
        <tr r="Y342" s="3"/>
      </tp>
      <tp t="s">
        <v>#N/A Requesting Data...3945591468</v>
        <stp/>
        <stp>BDP|7640208736195277221</stp>
        <tr r="Y300" s="3"/>
      </tp>
      <tp t="s">
        <v>#N/A N/A</v>
        <stp/>
        <stp>BDP|1577815611431635839</stp>
        <tr r="P97" s="2"/>
      </tp>
      <tp t="s">
        <v>#N/A N/A</v>
        <stp/>
        <stp>BDP|2531322656121556449</stp>
        <tr r="BL71" s="2"/>
      </tp>
      <tp t="s">
        <v>#N/A Requesting Data...3828267116</v>
        <stp/>
        <stp>BDP|1328504424416495137</stp>
        <tr r="BF239" s="3"/>
      </tp>
      <tp t="s">
        <v>#N/A Requesting Data...1923108811</v>
        <stp/>
        <stp>BDP|8520699641538950344</stp>
        <tr r="F127" s="3"/>
      </tp>
      <tp t="s">
        <v>#N/A Requesting Data...2972785988</v>
        <stp/>
        <stp>BDP|6288372050823197244</stp>
        <tr r="F236" s="3"/>
      </tp>
      <tp t="s">
        <v>#N/A Requesting Data...3018605610</v>
        <stp/>
        <stp>BDP|1295752585348287701</stp>
        <tr r="K160" s="3"/>
      </tp>
      <tp t="s">
        <v>#N/A Requesting Data...2499871626</v>
        <stp/>
        <stp>BDP|1527667118003912427</stp>
        <tr r="AH314" s="3"/>
      </tp>
      <tp t="s">
        <v>#N/A Requesting Data...2272360477</v>
        <stp/>
        <stp>BDP|3160240826436700447</stp>
        <tr r="BF5" s="2"/>
      </tp>
      <tp t="s">
        <v>#N/A N/A</v>
        <stp/>
        <stp>BDP|2389587022006099292</stp>
        <tr r="P76" s="2"/>
      </tp>
      <tp t="s">
        <v>#N/A N/A</v>
        <stp/>
        <stp>BDP|5774784958524041274</stp>
        <tr r="BL87" s="2"/>
      </tp>
      <tp t="s">
        <v>#N/A Requesting Data...2935095408</v>
        <stp/>
        <stp>BDP|6770548853404155307</stp>
        <tr r="AA268" s="3"/>
      </tp>
      <tp t="s">
        <v>#N/A N/A</v>
        <stp/>
        <stp>BDP|4357340160861752113</stp>
        <tr r="N32" s="2"/>
      </tp>
      <tp t="s">
        <v>#N/A N/A</v>
        <stp/>
        <stp>BDP|5001885293703209689</stp>
        <tr r="AD51" s="2"/>
      </tp>
      <tp t="s">
        <v>#N/A Requesting Data...3825469622</v>
        <stp/>
        <stp>BDP|7710163361724371528</stp>
        <tr r="BB328" s="3"/>
      </tp>
      <tp t="s">
        <v>#N/A Requesting Data...1863499899</v>
        <stp/>
        <stp>BDP|6589373246595765525</stp>
        <tr r="F103" s="3"/>
      </tp>
      <tp t="s">
        <v>#N/A Requesting Data...4122873208</v>
        <stp/>
        <stp>BDP|7360435237397791614</stp>
        <tr r="I257" s="3"/>
      </tp>
      <tp t="s">
        <v>#N/A N/A</v>
        <stp/>
        <stp>BDP|2885899253587335908</stp>
        <tr r="BK70" s="2"/>
      </tp>
      <tp t="s">
        <v>#N/A Requesting Data...4169847207</v>
        <stp/>
        <stp>BDP|4715509445870260415</stp>
        <tr r="AJ52" s="3"/>
      </tp>
      <tp t="s">
        <v>#N/A N/A</v>
        <stp/>
        <stp>BDP|8789558113204249925</stp>
        <tr r="BN81" s="2"/>
      </tp>
      <tp t="s">
        <v>#N/A N/A</v>
        <stp/>
        <stp>BDP|2471273103768000911</stp>
        <tr r="BM60" s="2"/>
      </tp>
      <tp t="s">
        <v>#N/A Requesting Data...3038859195</v>
        <stp/>
        <stp>BDP|2162688209821949480</stp>
        <tr r="AX2" s="2"/>
        <tr r="AQ2" s="4"/>
        <tr r="AS2" s="3"/>
      </tp>
      <tp t="s">
        <v>#N/A Requesting Data...4023362785</v>
        <stp/>
        <stp>BDP|2320166060182478607</stp>
        <tr r="AS229" s="3"/>
      </tp>
      <tp t="s">
        <v>#N/A N/A</v>
        <stp/>
        <stp>BDP|2198578612073145442</stp>
        <tr r="BG98" s="2"/>
      </tp>
      <tp t="s">
        <v>#N/A Requesting Data...3781672725</v>
        <stp/>
        <stp>BDP|3052194468164741172</stp>
        <tr r="BH45" s="3"/>
      </tp>
      <tp t="s">
        <v>#N/A Requesting Data...3369047579</v>
        <stp/>
        <stp>BDP|4095113900922800685</stp>
        <tr r="BI215" s="3"/>
      </tp>
      <tp t="s">
        <v>#N/A Requesting Data...3870256371</v>
        <stp/>
        <stp>BDP|9002534180621325469</stp>
        <tr r="AS110" s="3"/>
      </tp>
      <tp t="s">
        <v>#N/A Requesting Data...4085090413</v>
        <stp/>
        <stp>BDP|9764148394027709767</stp>
        <tr r="AQ252" s="3"/>
      </tp>
      <tp t="s">
        <v>#N/A Requesting Data...1861963212</v>
        <stp/>
        <stp>BDP|8838138259224004941</stp>
        <tr r="AQ87" s="3"/>
      </tp>
      <tp t="s">
        <v>#N/A Requesting Data...2793974608</v>
        <stp/>
        <stp>BDP|7479943661898456132</stp>
        <tr r="I346" s="3"/>
      </tp>
      <tp t="s">
        <v>#N/A Requesting Data...2016894835</v>
        <stp/>
        <stp>BDP|9075486087004827018</stp>
        <tr r="AH173" s="3"/>
      </tp>
      <tp t="s">
        <v>#N/A Requesting Data...3033136742</v>
        <stp/>
        <stp>BDP|3245594502544991366</stp>
        <tr r="AX17" s="4"/>
      </tp>
      <tp t="s">
        <v>#N/A Requesting Data...2077087382</v>
        <stp/>
        <stp>BDP|3800628026201840724</stp>
        <tr r="AS168" s="3"/>
      </tp>
      <tp t="s">
        <v>#N/A Requesting Data...1919002651</v>
        <stp/>
        <stp>BDP|1835172616608791884</stp>
        <tr r="AF17" s="2"/>
        <tr r="Y9" s="4"/>
      </tp>
      <tp t="s">
        <v>#N/A Requesting Data...2263515527</v>
        <stp/>
        <stp>BDP|4025391841976888468</stp>
        <tr r="BI184" s="3"/>
      </tp>
      <tp t="s">
        <v>#N/A Requesting Data...3676716381</v>
        <stp/>
        <stp>BDP|2660633917825151152</stp>
        <tr r="F140" s="3"/>
      </tp>
      <tp t="s">
        <v>#N/A Requesting Data...1949781870</v>
        <stp/>
        <stp>BDP|5953885493824242161</stp>
        <tr r="BB353" s="3"/>
      </tp>
      <tp t="s">
        <v>#N/A Requesting Data...2993059895</v>
        <stp/>
        <stp>BDP|7797633923767623572</stp>
        <tr r="Q340" s="3"/>
      </tp>
      <tp t="s">
        <v>#N/A Requesting Data...2130182519</v>
        <stp/>
        <stp>BDP|8678244786205290604</stp>
        <tr r="BI25" s="3"/>
      </tp>
      <tp t="s">
        <v>#N/A Requesting Data...4286471714</v>
        <stp/>
        <stp>BDP|2535469041080632326</stp>
        <tr r="Y223" s="3"/>
      </tp>
      <tp t="s">
        <v>#N/A Requesting Data...3183918022</v>
        <stp/>
        <stp>BDP|1893242578754138130</stp>
        <tr r="F295" s="3"/>
      </tp>
      <tp t="s">
        <v>#N/A Requesting Data...3632134233</v>
        <stp/>
        <stp>BDP|2082533716730611753</stp>
        <tr r="K122" s="3"/>
      </tp>
      <tp t="s">
        <v>#N/A Requesting Data...3515281786</v>
        <stp/>
        <stp>BDP|1911875190897843606</stp>
        <tr r="AJ154" s="3"/>
      </tp>
      <tp t="s">
        <v>#N/A N/A</v>
        <stp/>
        <stp>BDP|5398662452142442550</stp>
        <tr r="W6" s="4"/>
      </tp>
      <tp t="s">
        <v>#N/A Requesting Data...3737554467</v>
        <stp/>
        <stp>BDP|5306400767081521773</stp>
        <tr r="AF71" s="2"/>
        <tr r="Y36" s="4"/>
      </tp>
      <tp t="s">
        <v>#N/A N/A</v>
        <stp/>
        <stp>BDP|9995959479155433372</stp>
        <tr r="BM53" s="2"/>
      </tp>
      <tp t="s">
        <v>#N/A Requesting Data...2433011717</v>
        <stp/>
        <stp>BDP|1099336873740787410</stp>
        <tr r="AH278" s="3"/>
      </tp>
      <tp t="s">
        <v>#N/A Requesting Data...3716668309</v>
        <stp/>
        <stp>BDP|3449197931768878823</stp>
        <tr r="BF263" s="3"/>
      </tp>
      <tp t="s">
        <v>#N/A N/A</v>
        <stp/>
        <stp>BDP|8914178389906934680</stp>
        <tr r="BM24" s="2"/>
      </tp>
      <tp t="s">
        <v>#N/A Requesting Data...2174262497</v>
        <stp/>
        <stp>BDP|2240063904763125071</stp>
        <tr r="AZ280" s="3"/>
      </tp>
      <tp t="s">
        <v>#N/A Requesting Data...2096087239</v>
        <stp/>
        <stp>BDP|8390929515667158630</stp>
        <tr r="Y260" s="3"/>
      </tp>
      <tp t="s">
        <v>#N/A Requesting Data...3182316448</v>
        <stp/>
        <stp>BDP|3594735805936109347</stp>
        <tr r="O309" s="3"/>
      </tp>
      <tp t="s">
        <v>#N/A Requesting Data...2355932882</v>
        <stp/>
        <stp>BDP|3641160337785161507</stp>
        <tr r="M24" s="4"/>
      </tp>
      <tp t="s">
        <v>#N/A Requesting Data...1867677592</v>
        <stp/>
        <stp>BDP|9762925637472578015</stp>
        <tr r="BA242" s="3"/>
      </tp>
      <tp t="s">
        <v>#N/A Requesting Data...3969484886</v>
        <stp/>
        <stp>BDP|2023114657605809286</stp>
        <tr r="AH50" s="3"/>
      </tp>
      <tp t="s">
        <v>#N/A Requesting Data...2093585599</v>
        <stp/>
        <stp>BDP|3491153246743863483</stp>
        <tr r="Q116" s="3"/>
      </tp>
      <tp t="s">
        <v>#N/A Requesting Data...2019487237</v>
        <stp/>
        <stp>BDP|9622709880252769567</stp>
        <tr r="AS104" s="3"/>
      </tp>
      <tp t="s">
        <v>#N/A Requesting Data...3100404943</v>
        <stp/>
        <stp>BDP|3975208860601881769</stp>
        <tr r="AX4" s="4"/>
      </tp>
      <tp t="s">
        <v>#N/A Requesting Data...4250973057</v>
        <stp/>
        <stp>BDP|5365772659615398390</stp>
        <tr r="BI191" s="3"/>
      </tp>
      <tp t="s">
        <v>#N/A Requesting Data...3799902347</v>
        <stp/>
        <stp>BDP|3163463507373340548</stp>
        <tr r="AS25" s="3"/>
      </tp>
      <tp t="s">
        <v>#N/A Requesting Data...3499081039</v>
        <stp/>
        <stp>BDP|3049962287937111474</stp>
        <tr r="Q47" s="3"/>
      </tp>
      <tp t="s">
        <v>#N/A Requesting Data...3592302916</v>
        <stp/>
        <stp>BDP|7121377140070219139</stp>
        <tr r="BB219" s="3"/>
      </tp>
      <tp t="s">
        <v>#N/A Requesting Data...2552667819</v>
        <stp/>
        <stp>BDP|9363173894342234258</stp>
        <tr r="AZ144" s="3"/>
      </tp>
      <tp t="s">
        <v>#N/A Requesting Data...3173202590</v>
        <stp/>
        <stp>BDP|1080975392287441767</stp>
        <tr r="Y83" s="3"/>
      </tp>
      <tp t="s">
        <v>#N/A Requesting Data...2859714174</v>
        <stp/>
        <stp>BDP|1629005064787135142</stp>
        <tr r="AO27" s="4"/>
      </tp>
      <tp t="s">
        <v>#N/A Requesting Data...3204952338</v>
        <stp/>
        <stp>BDP|3191665831722693573</stp>
        <tr r="AH176" s="3"/>
      </tp>
      <tp t="s">
        <v>#N/A N/A</v>
        <stp/>
        <stp>BDP|7071993479249109167</stp>
        <tr r="BG97" s="2"/>
      </tp>
      <tp t="s">
        <v>#N/A Requesting Data...4221600007</v>
        <stp/>
        <stp>BDP|4524720610345679666</stp>
        <tr r="AJ283" s="3"/>
      </tp>
      <tp t="s">
        <v>#N/A Requesting Data...3169232494</v>
        <stp/>
        <stp>BDP|6659818798800173691</stp>
        <tr r="AS60" s="3"/>
      </tp>
      <tp t="s">
        <v>#N/A Requesting Data...3820049055</v>
        <stp/>
        <stp>BDP|6148579707137675509</stp>
        <tr r="AJ324" s="3"/>
      </tp>
      <tp t="s">
        <v>#N/A N/A</v>
        <stp/>
        <stp>BDP|3281309317002571272</stp>
        <tr r="BE83" s="2"/>
      </tp>
      <tp t="s">
        <v>#N/A Requesting Data...3804603933</v>
        <stp/>
        <stp>BDP|5948086045715030530</stp>
        <tr r="M45" s="4"/>
      </tp>
      <tp t="s">
        <v>#N/A Requesting Data...3107835032</v>
        <stp/>
        <stp>BDP|6978633166884043381</stp>
        <tr r="F352" s="3"/>
      </tp>
      <tp t="s">
        <v>#N/A Requesting Data...3326724451</v>
        <stp/>
        <stp>BDP|2548611217877704304</stp>
        <tr r="Y269" s="3"/>
      </tp>
      <tp t="s">
        <v>#N/A N/A</v>
        <stp/>
        <stp>BDP|8124163280906294619</stp>
        <tr r="AX93" s="2"/>
      </tp>
      <tp t="s">
        <v>#N/A Requesting Data...2903420179</v>
        <stp/>
        <stp>BDP|8168296491594464698</stp>
        <tr r="G23" s="4"/>
      </tp>
      <tp t="s">
        <v>#N/A Requesting Data...3228558020</v>
        <stp/>
        <stp>BDP|6713344155282582374</stp>
        <tr r="AH139" s="3"/>
      </tp>
      <tp t="s">
        <v>#N/A Requesting Data...1933192532</v>
        <stp/>
        <stp>BDP|4792880906848994543</stp>
        <tr r="BB211" s="3"/>
      </tp>
      <tp t="s">
        <v>#N/A Requesting Data...4257147196</v>
        <stp/>
        <stp>BDP|8288505780490258446</stp>
        <tr r="AZ39" s="3"/>
      </tp>
      <tp t="s">
        <v>#N/A N/A</v>
        <stp/>
        <stp>BDP|6847899383124206341</stp>
        <tr r="BG95" s="2"/>
      </tp>
      <tp t="s">
        <v>#N/A Requesting Data...3346851828</v>
        <stp/>
        <stp>BDP|6336309358567777684</stp>
        <tr r="AX50" s="4"/>
      </tp>
      <tp t="s">
        <v>#N/A Requesting Data...4179524439</v>
        <stp/>
        <stp>BDP|9979489052079128060</stp>
        <tr r="BI137" s="3"/>
      </tp>
      <tp t="s">
        <v>#N/A Requesting Data...3748554771</v>
        <stp/>
        <stp>BDP|9426452992424499132</stp>
        <tr r="K71" s="3"/>
      </tp>
      <tp t="s">
        <v>#N/A Requesting Data...3678291181</v>
        <stp/>
        <stp>BDP|9852462245859952165</stp>
        <tr r="AS73" s="3"/>
      </tp>
      <tp t="s">
        <v>#N/A Requesting Data...1924095605</v>
        <stp/>
        <stp>BDP|5888020572591808242</stp>
        <tr r="BI276" s="3"/>
      </tp>
      <tp t="s">
        <v>#N/A Requesting Data...2728470745</v>
        <stp/>
        <stp>BDP|2679180439764366509</stp>
        <tr r="BB49" s="3"/>
      </tp>
      <tp t="s">
        <v>#N/A Requesting Data...3989870411</v>
        <stp/>
        <stp>BDP|5761234757443184060</stp>
        <tr r="AO59" s="4"/>
      </tp>
      <tp t="s">
        <v>#N/A Requesting Data...2913132036</v>
        <stp/>
        <stp>BDP|7355795729962563121</stp>
        <tr r="BI264" s="3"/>
      </tp>
      <tp t="s">
        <v>#N/A N/A</v>
        <stp/>
        <stp>BDP|7245349573292086016</stp>
        <tr r="AM18" s="2"/>
      </tp>
      <tp t="s">
        <v>#N/A Requesting Data...4051889148</v>
        <stp/>
        <stp>BDP|2249423886599048626</stp>
        <tr r="BI172" s="3"/>
      </tp>
      <tp t="s">
        <v>#N/A N/A</v>
        <stp/>
        <stp>BDP|6778215439632805434</stp>
        <tr r="BE34" s="2"/>
      </tp>
      <tp t="s">
        <v>#N/A Requesting Data...2840785553</v>
        <stp/>
        <stp>BDP|8624157504998378008</stp>
        <tr r="K111" s="3"/>
      </tp>
      <tp t="s">
        <v>#N/A Requesting Data...4279037541</v>
        <stp/>
        <stp>BDP|5045966257189158144</stp>
        <tr r="M22" s="4"/>
      </tp>
      <tp t="s">
        <v>#N/A Requesting Data...2556837985</v>
        <stp/>
        <stp>BDP|5943986099475859141</stp>
        <tr r="K301" s="3"/>
      </tp>
      <tp t="s">
        <v>#N/A Requesting Data...2839463786</v>
        <stp/>
        <stp>BDP|9712970708167530697</stp>
        <tr r="Q48" s="3"/>
      </tp>
      <tp t="s">
        <v>#N/A Requesting Data...2327672855</v>
        <stp/>
        <stp>BDP|2485589495587965845</stp>
        <tr r="Y17" s="4"/>
      </tp>
      <tp t="s">
        <v>#N/A N/A</v>
        <stp/>
        <stp>BDP|3658278633772242149</stp>
        <tr r="BG51" s="2"/>
      </tp>
      <tp t="s">
        <v>#N/A Requesting Data...4117446996</v>
        <stp/>
        <stp>BDP|2785625907103700605</stp>
        <tr r="AS40" s="3"/>
      </tp>
      <tp t="s">
        <v>#N/A N/A</v>
        <stp/>
        <stp>BDP|6330108765282685258</stp>
        <tr r="BN44" s="2"/>
      </tp>
      <tp t="s">
        <v>#N/A Requesting Data...2420221297</v>
        <stp/>
        <stp>BDP|2749418770730576065</stp>
        <tr r="W24" s="4"/>
      </tp>
      <tp t="s">
        <v>#N/A N/A</v>
        <stp/>
        <stp>BDP|9810593876163128939</stp>
        <tr r="AO77" s="2"/>
      </tp>
      <tp t="s">
        <v>#N/A Requesting Data...2051345871</v>
        <stp/>
        <stp>BDP|9715190592939938903</stp>
        <tr r="BF209" s="3"/>
      </tp>
      <tp t="s">
        <v>#N/A Requesting Data...4181556061</v>
        <stp/>
        <stp>BDP|9156594761823404882</stp>
        <tr r="Y70" s="3"/>
      </tp>
      <tp t="s">
        <v>#N/A Requesting Data...3002970504</v>
        <stp/>
        <stp>BDP|9578523506984508910</stp>
        <tr r="K8" s="2"/>
      </tp>
      <tp t="s">
        <v>#N/A Requesting Data...3199119827</v>
        <stp/>
        <stp>BDP|7425710611025496557</stp>
        <tr r="BI140" s="3"/>
      </tp>
      <tp t="s">
        <v>#N/A Requesting Data...3381344118</v>
        <stp/>
        <stp>BDP|5115026323112642433</stp>
        <tr r="AQ79" s="3"/>
      </tp>
      <tp t="s">
        <v>#N/A Requesting Data...3842803784</v>
        <stp/>
        <stp>BDP|8590128506651336975</stp>
        <tr r="BN4" s="2"/>
        <tr r="BI248" s="3"/>
      </tp>
      <tp t="s">
        <v>#N/A Requesting Data...3939487929</v>
        <stp/>
        <stp>BDP|6456633103703385228</stp>
        <tr r="Y304" s="3"/>
      </tp>
      <tp t="s">
        <v>#N/A Requesting Data...3893155004</v>
        <stp/>
        <stp>BDP|2114442398467956912</stp>
        <tr r="BH204" s="3"/>
      </tp>
      <tp t="s">
        <v>#N/A Requesting Data...2684529680</v>
        <stp/>
        <stp>BDP|4698212062890126111</stp>
        <tr r="BG194" s="3"/>
      </tp>
      <tp t="s">
        <v>#N/A Requesting Data...2584847538</v>
        <stp/>
        <stp>BDP|7907295235163918496</stp>
        <tr r="F89" s="3"/>
      </tp>
      <tp t="s">
        <v>#N/A Requesting Data...3253530860</v>
        <stp/>
        <stp>BDP|3530165307421961286</stp>
        <tr r="I160" s="3"/>
      </tp>
      <tp t="s">
        <v>#N/A Requesting Data...3376806406</v>
        <stp/>
        <stp>BDP|3440785688148451557</stp>
        <tr r="BE4" s="2"/>
        <tr r="AZ248" s="3"/>
      </tp>
      <tp t="s">
        <v>#N/A Requesting Data...3014754253</v>
        <stp/>
        <stp>BDP|3400833855676436934</stp>
        <tr r="F291" s="3"/>
      </tp>
      <tp t="s">
        <v>#N/A Requesting Data...3850775179</v>
        <stp/>
        <stp>BDP|2069209235914251621</stp>
        <tr r="I275" s="3"/>
      </tp>
      <tp t="s">
        <v>#N/A Requesting Data...3619039097</v>
        <stp/>
        <stp>BDP|3379722043688236954</stp>
        <tr r="F48" s="3"/>
      </tp>
      <tp t="s">
        <v>#N/A N/A</v>
        <stp/>
        <stp>BDP|6855883891940391672</stp>
        <tr r="AV100" s="2"/>
      </tp>
      <tp t="s">
        <v>#N/A Requesting Data...3640162303</v>
        <stp/>
        <stp>BDP|4517896914055891958</stp>
        <tr r="BB63" s="3"/>
      </tp>
      <tp t="s">
        <v>#N/A N/A</v>
        <stp/>
        <stp>BDP|6604977882904297241</stp>
        <tr r="AF56" s="2"/>
      </tp>
      <tp t="s">
        <v>#N/A Requesting Data...3535411816</v>
        <stp/>
        <stp>BDP|1877259896079104107</stp>
        <tr r="BH239" s="3"/>
      </tp>
      <tp t="s">
        <v>#N/A Requesting Data...3496144375</v>
        <stp/>
        <stp>BDP|1159600811696893223</stp>
        <tr r="K327" s="3"/>
      </tp>
      <tp t="s">
        <v>#N/A N/A</v>
        <stp/>
        <stp>BDP|7776409345772904711</stp>
        <tr r="BG38" s="2"/>
      </tp>
      <tp t="s">
        <v>#N/A Requesting Data...3459211370</v>
        <stp/>
        <stp>BDP|9002383247945629930</stp>
        <tr r="BI58" s="3"/>
      </tp>
      <tp t="s">
        <v>#N/A Requesting Data...4219000460</v>
        <stp/>
        <stp>BDP|8485990619137856567</stp>
        <tr r="F255" s="3"/>
      </tp>
      <tp t="s">
        <v>#N/A Requesting Data...2418082046</v>
        <stp/>
        <stp>BDP|3105688621412562771</stp>
        <tr r="I101" s="3"/>
      </tp>
      <tp t="s">
        <v>#N/A Requesting Data...3854773040</v>
        <stp/>
        <stp>BDP|5024334098178082514</stp>
        <tr r="I244" s="3"/>
      </tp>
      <tp t="s">
        <v>#N/A Requesting Data...4219079932</v>
        <stp/>
        <stp>BDP|2029388756144502211</stp>
        <tr r="BA14" s="3"/>
      </tp>
      <tp t="s">
        <v>#N/A N/A</v>
        <stp/>
        <stp>BDP|6262316519404251220</stp>
        <tr r="BM74" s="2"/>
      </tp>
      <tp t="s">
        <v>#N/A Requesting Data...2262001043</v>
        <stp/>
        <stp>BDP|7765416425943015099</stp>
        <tr r="AQ332" s="3"/>
      </tp>
      <tp t="s">
        <v>#N/A Requesting Data...3605957134</v>
        <stp/>
        <stp>BDP|3106722765506418687</stp>
        <tr r="O287" s="3"/>
      </tp>
      <tp t="s">
        <v>#N/A Requesting Data...3906461789</v>
        <stp/>
        <stp>BDP|5348221313636879204</stp>
        <tr r="AA126" s="3"/>
      </tp>
      <tp t="s">
        <v>#N/A Requesting Data...3727533843</v>
        <stp/>
        <stp>BDP|1884557433445610029</stp>
        <tr r="O298" s="3"/>
      </tp>
      <tp t="s">
        <v>#N/A Requesting Data...3165391550</v>
        <stp/>
        <stp>BDP|3328453220651875642</stp>
        <tr r="M54" s="4"/>
      </tp>
      <tp t="s">
        <v>#N/A N/A</v>
        <stp/>
        <stp>BDP|5562145750972318189</stp>
        <tr r="T88" s="2"/>
      </tp>
      <tp t="s">
        <v>#N/A Requesting Data...2626990029</v>
        <stp/>
        <stp>BDP|3698268239402685258</stp>
        <tr r="I22" s="4"/>
      </tp>
      <tp t="s">
        <v>#N/A Requesting Data...3983690377</v>
        <stp/>
        <stp>BDP|8073181403468844392</stp>
        <tr r="AA232" s="3"/>
      </tp>
      <tp t="s">
        <v>#N/A Requesting Data...3798061295</v>
        <stp/>
        <stp>BDP|4217901592522326490</stp>
        <tr r="AJ268" s="3"/>
      </tp>
      <tp t="s">
        <v>#N/A Requesting Data...4266612129</v>
        <stp/>
        <stp>BDP|1065004130424883428</stp>
        <tr r="BB44" s="3"/>
      </tp>
      <tp t="s">
        <v>#N/A Requesting Data...3275762055</v>
        <stp/>
        <stp>BDP|5865346132582240567</stp>
        <tr r="BF105" s="3"/>
      </tp>
      <tp t="s">
        <v>#N/A Requesting Data...3493886236</v>
        <stp/>
        <stp>BDP|9897335401421632970</stp>
        <tr r="AA109" s="3"/>
      </tp>
      <tp t="s">
        <v>#N/A Requesting Data...3807529691</v>
        <stp/>
        <stp>BDP|6501298652283528005</stp>
        <tr r="Q275" s="3"/>
      </tp>
      <tp t="s">
        <v>#N/A Requesting Data...4181426547</v>
        <stp/>
        <stp>BDP|4341789471145999388</stp>
        <tr r="D59" s="4"/>
      </tp>
      <tp t="s">
        <v>#N/A N/A</v>
        <stp/>
        <stp>BDP|6934619310640017332</stp>
        <tr r="P84" s="2"/>
      </tp>
      <tp t="s">
        <v>#N/A Requesting Data...2720506313</v>
        <stp/>
        <stp>BDP|1665788354152182308</stp>
        <tr r="AJ300" s="3"/>
      </tp>
      <tp t="s">
        <v>#N/A Requesting Data...3793836104</v>
        <stp/>
        <stp>BDP|1718581294416830986</stp>
        <tr r="BB91" s="3"/>
      </tp>
      <tp t="s">
        <v>#N/A Requesting Data...3438796316</v>
        <stp/>
        <stp>BDP|6806076162284163672</stp>
        <tr r="K343" s="3"/>
      </tp>
      <tp t="s">
        <v>#N/A Requesting Data...2468822599</v>
        <stp/>
        <stp>BDP|9026387090035000436</stp>
        <tr r="AA312" s="3"/>
      </tp>
      <tp t="s">
        <v>#N/A Requesting Data...3911842426</v>
        <stp/>
        <stp>BDP|8933142996882037008</stp>
        <tr r="BF66" s="3"/>
      </tp>
      <tp t="s">
        <v>#N/A Requesting Data...3124404531</v>
        <stp/>
        <stp>BDP|2893060150817650236</stp>
        <tr r="AJ31" s="3"/>
      </tp>
      <tp t="s">
        <v>#N/A Requesting Data...2886363714</v>
        <stp/>
        <stp>BDP|9044890069115287098</stp>
        <tr r="AH55" s="4"/>
      </tp>
      <tp t="s">
        <v>#N/A Requesting Data...3339057089</v>
        <stp/>
        <stp>BDP|6241693978665852000</stp>
        <tr r="AA205" s="3"/>
      </tp>
      <tp t="s">
        <v>#N/A Requesting Data...4204562791</v>
        <stp/>
        <stp>BDP|5127183984746260846</stp>
        <tr r="BB311" s="3"/>
      </tp>
      <tp t="s">
        <v>#N/A Requesting Data...4284456802</v>
        <stp/>
        <stp>BDP|9893645780201544417</stp>
        <tr r="BI13" s="3"/>
      </tp>
      <tp t="s">
        <v>#N/A Requesting Data...4238789548</v>
        <stp/>
        <stp>BDP|7745663603790957338</stp>
        <tr r="AS274" s="3"/>
      </tp>
      <tp t="s">
        <v>#N/A Requesting Data...4249533899</v>
        <stp/>
        <stp>BDP|1674309960407604184</stp>
        <tr r="AZ210" s="3"/>
      </tp>
      <tp t="s">
        <v>#N/A N/A</v>
        <stp/>
        <stp>BDP|4085184988027944816</stp>
        <tr r="V6" s="2"/>
      </tp>
      <tp t="s">
        <v>#N/A Requesting Data...4269629724</v>
        <stp/>
        <stp>BDP|3724101538426141563</stp>
        <tr r="BA52" s="3"/>
      </tp>
      <tp t="s">
        <v>#N/A Requesting Data...4286204841</v>
        <stp/>
        <stp>BDP|4043386970795064706</stp>
        <tr r="AA102" s="3"/>
      </tp>
      <tp t="s">
        <v>#N/A Requesting Data...4277986175</v>
        <stp/>
        <stp>BDP|2955217726577779717</stp>
        <tr r="AS251" s="3"/>
      </tp>
      <tp t="s">
        <v>#N/A N/A</v>
        <stp/>
        <stp>BDP|7323128802294886036</stp>
        <tr r="V72" s="2"/>
      </tp>
      <tp t="s">
        <v>#N/A Requesting Data...4287910219</v>
        <stp/>
        <stp>BDP|1141509259280300339</stp>
        <tr r="BG253" s="3"/>
      </tp>
      <tp t="s">
        <v>#N/A N/A</v>
        <stp/>
        <stp>BDP|8750899275773746657</stp>
        <tr r="N62" s="2"/>
      </tp>
      <tp t="s">
        <v>#N/A N/A</v>
        <stp/>
        <stp>BDP|1052815270335091981</stp>
        <tr r="BG18" s="2"/>
      </tp>
      <tp t="s">
        <v>#N/A Requesting Data...4294357153</v>
        <stp/>
        <stp>BDP|1476465762891064097</stp>
        <tr r="AQ136" s="3"/>
      </tp>
      <tp t="s">
        <v>#N/A N/A</v>
        <stp/>
        <stp>BDP|1076651848489616829</stp>
        <tr r="BE51" s="2"/>
      </tp>
      <tp t="s">
        <v>#N/A Requesting Data...2177758868</v>
        <stp/>
        <stp>BDP|2896885298600074110</stp>
        <tr r="O241" s="3"/>
      </tp>
      <tp t="s">
        <v>#N/A Requesting Data...3054234608</v>
        <stp/>
        <stp>BDP|9753484081541790602</stp>
        <tr r="I190" s="3"/>
      </tp>
      <tp t="s">
        <v>#N/A N/A</v>
        <stp/>
        <stp>BDP|9303328404320885842</stp>
        <tr r="AV43" s="2"/>
      </tp>
      <tp t="s">
        <v>#N/A N/A</v>
        <stp/>
        <stp>BDP|3718883722069403202</stp>
        <tr r="T47" s="2"/>
      </tp>
      <tp t="s">
        <v>#N/A Requesting Data...861023434</v>
        <stp/>
        <stp>BDP|8664930216106311495</stp>
        <tr r="BH12" s="3"/>
      </tp>
      <tp t="s">
        <v>#N/A Requesting Data...107685551</v>
        <stp/>
        <stp>BDP|5800924305136661800</stp>
        <tr r="AH202" s="3"/>
      </tp>
      <tp t="s">
        <v>#N/A N/A</v>
        <stp/>
        <stp>BDP|7005590775613521407</stp>
        <tr r="BL30" s="2"/>
      </tp>
      <tp t="s">
        <v>#N/A Requesting Data...83460098</v>
        <stp/>
        <stp>BDP|1635722505070125496</stp>
        <tr r="AQ70" s="3"/>
      </tp>
      <tp t="s">
        <v>#N/A Requesting Data...600454188</v>
        <stp/>
        <stp>BDP|8426317110530906855</stp>
        <tr r="Q270" s="3"/>
      </tp>
      <tp t="s">
        <v>#N/A Requesting Data...530236010</v>
        <stp/>
        <stp>BDP|7757798975997554275</stp>
        <tr r="F158" s="3"/>
      </tp>
      <tp t="s">
        <v>#N/A Requesting Data...668372364</v>
        <stp/>
        <stp>BDP|7260082841118320910</stp>
        <tr r="Y333" s="3"/>
      </tp>
      <tp t="s">
        <v>#N/A Requesting Data...2872073172</v>
        <stp/>
        <stp>BDP|4334659732111446299</stp>
        <tr r="F285" s="3"/>
      </tp>
      <tp t="s">
        <v>#N/A Requesting Data...2876935023</v>
        <stp/>
        <stp>BDP|3451583143402666202</stp>
        <tr r="K282" s="3"/>
      </tp>
      <tp t="s">
        <v>#N/A Requesting Data...1466495139</v>
        <stp/>
        <stp>BDP|2209064730364876756</stp>
        <tr r="O278" s="3"/>
      </tp>
      <tp t="s">
        <v>#N/A Requesting Data...1264573486</v>
        <stp/>
        <stp>BDP|6769434257807835252</stp>
        <tr r="F108" s="3"/>
      </tp>
      <tp t="s">
        <v>#N/A Requesting Data...1828323101</v>
        <stp/>
        <stp>BDP|2830720356995580779</stp>
        <tr r="O247" s="3"/>
      </tp>
      <tp t="s">
        <v>#N/A Requesting Data...4019923118</v>
        <stp/>
        <stp>BDP|3561726918756652178</stp>
        <tr r="BG103" s="3"/>
      </tp>
      <tp t="s">
        <v>#N/A Requesting Data...4263030315</v>
        <stp/>
        <stp>BDP|4335029563873886347</stp>
        <tr r="I299" s="3"/>
      </tp>
      <tp t="s">
        <v>#N/A Requesting Data...3220205401</v>
        <stp/>
        <stp>BDP|8101656743221133988</stp>
        <tr r="AF53" s="4"/>
      </tp>
      <tp t="s">
        <v>#N/A N/A</v>
        <stp/>
        <stp>BDP|4586244543459946953</stp>
        <tr r="AX61" s="2"/>
      </tp>
      <tp t="s">
        <v>#N/A Requesting Data...1912143271</v>
        <stp/>
        <stp>BDP|1525694411303617757</stp>
        <tr r="F292" s="3"/>
      </tp>
      <tp t="s">
        <v>#N/A Requesting Data...1210564538</v>
        <stp/>
        <stp>BDP|8863552239088955433</stp>
        <tr r="F283" s="3"/>
      </tp>
      <tp t="s">
        <v>#N/A Requesting Data...1590213064</v>
        <stp/>
        <stp>BDP|7844765969526087299</stp>
        <tr r="Q71" s="3"/>
      </tp>
      <tp t="s">
        <v>#N/A Requesting Data...3554281850</v>
        <stp/>
        <stp>BDP|3919137557805726057</stp>
        <tr r="Y306" s="3"/>
      </tp>
      <tp t="s">
        <v>#N/A Requesting Data...2731084662</v>
        <stp/>
        <stp>BDP|8324887137898140925</stp>
        <tr r="BI95" s="3"/>
      </tp>
      <tp t="s">
        <v>#N/A Requesting Data...3783632905</v>
        <stp/>
        <stp>BDP|8513829261057002397</stp>
        <tr r="BF241" s="3"/>
      </tp>
      <tp t="s">
        <v>#N/A Requesting Data...1380486370</v>
        <stp/>
        <stp>BDP|2795672318914151369</stp>
        <tr r="AS18" s="3"/>
      </tp>
      <tp t="s">
        <v>#N/A Requesting Data...2197283339</v>
        <stp/>
        <stp>BDP|3532881140964452960</stp>
        <tr r="Q338" s="3"/>
      </tp>
      <tp t="s">
        <v>#N/A Requesting Data...2676286313</v>
        <stp/>
        <stp>BDP|8519524000088939718</stp>
        <tr r="AA343" s="3"/>
      </tp>
      <tp t="s">
        <v>#N/A Requesting Data...3693195552</v>
        <stp/>
        <stp>BDP|7467368206896351082</stp>
        <tr r="F68" s="3"/>
      </tp>
      <tp t="s">
        <v>#N/A Requesting Data...3903186992</v>
        <stp/>
        <stp>BDP|5605352422333798598</stp>
        <tr r="O148" s="3"/>
      </tp>
      <tp t="s">
        <v>#N/A Requesting Data...1430949370</v>
        <stp/>
        <stp>BDP|7294560031924964735</stp>
        <tr r="AQ18" s="3"/>
      </tp>
      <tp t="s">
        <v>#N/A Requesting Data...1757414961</v>
        <stp/>
        <stp>BDP|1826486618415565324</stp>
        <tr r="K183" s="3"/>
      </tp>
      <tp t="s">
        <v>#N/A Requesting Data...802262684</v>
        <stp/>
        <stp>BDP|2708066114488865926</stp>
        <tr r="BG215" s="3"/>
      </tp>
      <tp t="s">
        <v>#N/A N/A</v>
        <stp/>
        <stp>BDP|5617406454147935147</stp>
        <tr r="K18" s="2"/>
      </tp>
      <tp t="s">
        <v>#N/A Requesting Data...1218242632</v>
        <stp/>
        <stp>BDP|1761175832001810050</stp>
        <tr r="F49" s="3"/>
      </tp>
      <tp t="s">
        <v>#N/A Requesting Data...2004142753</v>
        <stp/>
        <stp>BDP|3943331840231408713</stp>
        <tr r="AQ343" s="3"/>
      </tp>
      <tp t="s">
        <v>#N/A Requesting Data...1340217195</v>
        <stp/>
        <stp>BDP|1356887495862379029</stp>
        <tr r="BI124" s="3"/>
      </tp>
      <tp t="s">
        <v>#N/A Requesting Data...1831649909</v>
        <stp/>
        <stp>BDP|8976293181232935272</stp>
        <tr r="BB341" s="3"/>
      </tp>
      <tp t="s">
        <v>#N/A Requesting Data...603638557</v>
        <stp/>
        <stp>BDP|3122423819111118546</stp>
        <tr r="BF189" s="3"/>
      </tp>
      <tp t="s">
        <v>#N/A N/A</v>
        <stp/>
        <stp>BDP|7924060848877948619</stp>
        <tr r="AF9" s="2"/>
      </tp>
      <tp t="s">
        <v>#N/A Requesting Data...1753764222</v>
        <stp/>
        <stp>BDP|3037575649665014517</stp>
        <tr r="AQ118" s="3"/>
      </tp>
      <tp t="s">
        <v>#N/A N/A</v>
        <stp/>
        <stp>BDP|6463744688758568325</stp>
        <tr r="BM63" s="2"/>
      </tp>
      <tp t="s">
        <v>#N/A Requesting Data...265389133</v>
        <stp/>
        <stp>BDP|8956699782555915171</stp>
        <tr r="AJ344" s="3"/>
      </tp>
      <tp t="s">
        <v>#N/A Requesting Data...2012966547</v>
        <stp/>
        <stp>BDP|2881569955614090475</stp>
        <tr r="AS249" s="3"/>
      </tp>
      <tp t="s">
        <v>#N/A Requesting Data...3823678399</v>
        <stp/>
        <stp>BDP|6896321875331097139</stp>
        <tr r="AJ202" s="3"/>
      </tp>
      <tp t="s">
        <v>#N/A Requesting Data...2930885452</v>
        <stp/>
        <stp>BDP|7984354033213474674</stp>
        <tr r="AO25" s="4"/>
      </tp>
      <tp t="s">
        <v>#N/A Requesting Data...3587408970</v>
        <stp/>
        <stp>BDP|9245967527542737289</stp>
        <tr r="AQ15" s="3"/>
      </tp>
      <tp t="s">
        <v>#N/A Requesting Data...2116573315</v>
        <stp/>
        <stp>BDP|2975708718105562389</stp>
        <tr r="AA291" s="3"/>
      </tp>
      <tp t="s">
        <v>#N/A Requesting Data...3765753816</v>
        <stp/>
        <stp>BDP|8879631593387435204</stp>
        <tr r="O326" s="3"/>
      </tp>
      <tp t="s">
        <v>#N/A N/A</v>
        <stp/>
        <stp>BDP|9535892814325254763</stp>
        <tr r="BE14" s="2"/>
      </tp>
      <tp t="s">
        <v>#N/A Requesting Data...3153244263</v>
        <stp/>
        <stp>BDP|2775010382980189891</stp>
        <tr r="AQ147" s="3"/>
      </tp>
      <tp t="s">
        <v>#N/A Requesting Data...2044637889</v>
        <stp/>
        <stp>BDP|4288651684900732884</stp>
        <tr r="Y28" s="3"/>
      </tp>
      <tp t="s">
        <v>#N/A Requesting Data...4232376120</v>
        <stp/>
        <stp>BDP|3550622338147721342</stp>
        <tr r="AJ99" s="3"/>
      </tp>
      <tp t="s">
        <v>#N/A Requesting Data...1997948169</v>
        <stp/>
        <stp>BDP|5836318904962361622</stp>
        <tr r="K4" s="2"/>
        <tr r="F248" s="3"/>
      </tp>
      <tp t="s">
        <v>#N/A Requesting Data...1582237540</v>
        <stp/>
        <stp>BDP|9221474972940979830</stp>
        <tr r="F101" s="3"/>
      </tp>
      <tp t="s">
        <v>#N/A Requesting Data...692630139</v>
        <stp/>
        <stp>BDP|4049076522325094180</stp>
        <tr r="AS68" s="3"/>
      </tp>
      <tp t="s">
        <v>#N/A Requesting Data...4000281707</v>
        <stp/>
        <stp>BDP|8853277533842679975</stp>
        <tr r="AJ295" s="3"/>
      </tp>
      <tp t="s">
        <v>#N/A Requesting Data...3740649614</v>
        <stp/>
        <stp>BDP|2365152908406089733</stp>
        <tr r="Q84" s="3"/>
      </tp>
      <tp t="s">
        <v>#N/A Requesting Data...3587393588</v>
        <stp/>
        <stp>BDP|6692588480800354906</stp>
        <tr r="K310" s="3"/>
      </tp>
      <tp t="s">
        <v>#N/A N/A</v>
        <stp/>
        <stp>BDP|4761882319816385989</stp>
        <tr r="AD101" s="2"/>
      </tp>
      <tp t="s">
        <v>#N/A N/A</v>
        <stp/>
        <stp>BDP|3768262513986618490</stp>
        <tr r="M6" s="4"/>
      </tp>
      <tp t="s">
        <v>#N/A Requesting Data...1510077328</v>
        <stp/>
        <stp>BDP|6889863118145825837</stp>
        <tr r="BJ110" s="3"/>
        <tr r="BJ111" s="3"/>
        <tr r="BJ121" s="3"/>
        <tr r="BJ122" s="3"/>
        <tr r="BJ123" s="3"/>
        <tr r="BJ135" s="3"/>
        <tr r="BJ14" s="3"/>
        <tr r="BJ15" s="3"/>
        <tr r="BJ154" s="3"/>
        <tr r="BJ169" s="3"/>
        <tr r="BJ17" s="3"/>
        <tr r="BJ192" s="3"/>
        <tr r="BJ208" s="3"/>
        <tr r="BJ210" s="3"/>
        <tr r="BJ222" s="3"/>
        <tr r="BJ226" s="3"/>
        <tr r="BJ230" s="3"/>
        <tr r="BJ237" s="3"/>
        <tr r="BJ244" s="3"/>
        <tr r="BJ245" s="3"/>
        <tr r="BJ249" s="3"/>
        <tr r="BJ258" s="3"/>
        <tr r="BJ267" s="3"/>
        <tr r="BJ271" s="3"/>
        <tr r="BJ272" s="3"/>
        <tr r="BJ273" s="3"/>
        <tr r="BJ290" s="3"/>
        <tr r="BJ312" s="3"/>
        <tr r="BJ313" s="3"/>
        <tr r="BJ316" s="3"/>
        <tr r="BJ335" s="3"/>
        <tr r="BJ341" s="3"/>
        <tr r="BJ353" s="3"/>
        <tr r="BJ46" s="3"/>
        <tr r="BJ5" s="3"/>
        <tr r="BJ63" s="3"/>
        <tr r="BJ64" s="3"/>
        <tr r="BJ79" s="3"/>
        <tr r="BJ86" s="3"/>
        <tr r="BJ102" s="3"/>
        <tr r="BJ109" s="3"/>
        <tr r="BJ11" s="3"/>
        <tr r="BJ114" s="3"/>
        <tr r="BJ115" s="3"/>
        <tr r="BJ12" s="3"/>
        <tr r="BJ128" s="3"/>
        <tr r="BJ130" s="3"/>
        <tr r="BJ132" s="3"/>
        <tr r="BJ136" s="3"/>
        <tr r="BJ137" s="3"/>
        <tr r="BJ142" s="3"/>
        <tr r="BJ144" s="3"/>
        <tr r="BJ159" s="3"/>
        <tr r="BJ16" s="3"/>
        <tr r="BJ163" s="3"/>
        <tr r="BJ165" s="3"/>
        <tr r="BJ167" s="3"/>
        <tr r="BJ170" s="3"/>
        <tr r="BJ172" s="3"/>
        <tr r="BJ174" s="3"/>
        <tr r="BJ179" s="3"/>
        <tr r="BJ182" s="3"/>
        <tr r="BJ183" s="3"/>
        <tr r="BJ188" s="3"/>
        <tr r="BJ191" s="3"/>
        <tr r="BJ198" s="3"/>
        <tr r="BJ2" s="3"/>
        <tr r="BJ205" s="3"/>
        <tr r="BJ206" s="3"/>
        <tr r="BJ207" s="3"/>
        <tr r="BJ209" s="3"/>
        <tr r="BJ214" s="3"/>
        <tr r="BJ218" s="3"/>
        <tr r="BJ22" s="3"/>
        <tr r="BJ220" s="3"/>
        <tr r="BJ225" s="3"/>
        <tr r="BJ227" s="3"/>
        <tr r="BJ231" s="3"/>
        <tr r="BJ234" s="3"/>
        <tr r="BJ242" s="3"/>
        <tr r="BJ246" s="3"/>
        <tr r="BJ250" s="3"/>
        <tr r="BJ266" s="3"/>
        <tr r="BJ269" s="3"/>
        <tr r="BJ276" s="3"/>
        <tr r="BJ278" s="3"/>
        <tr r="BJ279" s="3"/>
        <tr r="BJ280" s="3"/>
        <tr r="BJ281" s="3"/>
        <tr r="BJ288" s="3"/>
        <tr r="BJ29" s="3"/>
        <tr r="BJ294" s="3"/>
        <tr r="BJ298" s="3"/>
        <tr r="BJ302" s="3"/>
        <tr r="BJ304" s="3"/>
        <tr r="BJ307" s="3"/>
        <tr r="BJ309" s="3"/>
        <tr r="BJ317" s="3"/>
        <tr r="BJ324" s="3"/>
        <tr r="BJ33" s="3"/>
        <tr r="BJ334" s="3"/>
        <tr r="BJ339" s="3"/>
        <tr r="BJ34" s="3"/>
        <tr r="BJ345" s="3"/>
        <tr r="BJ349" s="3"/>
        <tr r="BJ39" s="3"/>
        <tr r="BJ44" s="3"/>
        <tr r="BJ47" s="3"/>
        <tr r="BJ50" s="3"/>
        <tr r="BJ51" s="3"/>
        <tr r="BJ55" s="3"/>
        <tr r="BJ58" s="3"/>
        <tr r="BJ59" s="3"/>
        <tr r="BJ60" s="3"/>
        <tr r="BJ65" s="3"/>
        <tr r="BJ69" s="3"/>
        <tr r="BJ7" s="3"/>
        <tr r="BJ74" s="3"/>
        <tr r="BJ77" s="3"/>
        <tr r="BJ82" s="3"/>
        <tr r="BJ83" s="3"/>
        <tr r="BJ88" s="3"/>
        <tr r="BJ90" s="3"/>
        <tr r="BJ97" s="3"/>
        <tr r="BJ101" s="3"/>
        <tr r="BJ103" s="3"/>
        <tr r="BJ106" s="3"/>
        <tr r="BJ108" s="3"/>
        <tr r="BJ112" s="3"/>
        <tr r="BJ116" s="3"/>
        <tr r="BJ117" s="3"/>
        <tr r="BJ118" s="3"/>
        <tr r="BJ127" s="3"/>
        <tr r="BJ129" s="3"/>
        <tr r="BJ13" s="3"/>
        <tr r="BJ131" s="3"/>
        <tr r="BJ134" s="3"/>
        <tr r="BJ138" s="3"/>
        <tr r="BJ145" s="3"/>
        <tr r="BJ146" s="3"/>
        <tr r="BJ149" s="3"/>
        <tr r="BJ151" s="3"/>
        <tr r="BJ152" s="3"/>
        <tr r="BJ155" s="3"/>
        <tr r="BJ156" s="3"/>
        <tr r="BJ158" s="3"/>
        <tr r="BJ166" s="3"/>
        <tr r="BJ168" s="3"/>
        <tr r="BJ178" s="3"/>
        <tr r="BJ18" s="3"/>
        <tr r="BJ185" s="3"/>
        <tr r="BJ19" s="3"/>
        <tr r="BJ194" s="3"/>
        <tr r="BJ197" s="3"/>
        <tr r="BJ199" s="3"/>
        <tr r="BJ200" s="3"/>
        <tr r="BJ202" s="3"/>
        <tr r="BJ203" s="3"/>
        <tr r="BJ21" s="3"/>
        <tr r="BJ212" s="3"/>
        <tr r="BJ215" s="3"/>
        <tr r="BJ221" s="3"/>
        <tr r="BJ224" s="3"/>
        <tr r="BJ23" s="3"/>
        <tr r="BJ232" s="3"/>
        <tr r="BJ236" s="3"/>
        <tr r="BJ238" s="3"/>
        <tr r="BJ239" s="3"/>
        <tr r="BJ240" s="3"/>
        <tr r="BJ243" s="3"/>
        <tr r="BJ248" s="3"/>
        <tr r="BJ25" s="3"/>
        <tr r="BJ251" s="3"/>
        <tr r="BJ254" s="3"/>
        <tr r="BJ255" s="3"/>
        <tr r="BJ256" s="3"/>
        <tr r="BJ26" s="3"/>
        <tr r="BJ260" s="3"/>
        <tr r="BJ261" s="3"/>
        <tr r="BJ262" s="3"/>
        <tr r="BJ265" s="3"/>
        <tr r="BJ268" s="3"/>
        <tr r="BJ270" s="3"/>
        <tr r="BJ274" s="3"/>
        <tr r="BJ28" s="3"/>
        <tr r="BJ282" s="3"/>
        <tr r="BJ283" s="3"/>
        <tr r="BJ284" s="3"/>
        <tr r="BJ286" s="3"/>
        <tr r="BJ293" s="3"/>
        <tr r="BJ299" s="3"/>
        <tr r="BJ3" s="3"/>
        <tr r="BJ30" s="3"/>
        <tr r="BJ303" s="3"/>
        <tr r="BJ305" s="3"/>
        <tr r="BJ306" s="3"/>
        <tr r="BJ31" s="3"/>
        <tr r="BJ310" s="3"/>
        <tr r="BJ311" s="3"/>
        <tr r="BJ315" s="3"/>
        <tr r="BJ318" s="3"/>
        <tr r="BJ321" s="3"/>
        <tr r="BJ323" s="3"/>
        <tr r="BJ326" s="3"/>
        <tr r="BJ327" s="3"/>
        <tr r="BJ330" s="3"/>
        <tr r="BJ332" s="3"/>
        <tr r="BJ336" s="3"/>
        <tr r="BJ338" s="3"/>
        <tr r="BJ340" s="3"/>
        <tr r="BJ343" s="3"/>
        <tr r="BJ344" s="3"/>
        <tr r="BJ347" s="3"/>
        <tr r="BJ348" s="3"/>
        <tr r="BJ35" s="3"/>
        <tr r="BJ352" s="3"/>
        <tr r="BJ37" s="3"/>
        <tr r="BJ38" s="3"/>
        <tr r="BJ4" s="3"/>
        <tr r="BJ41" s="3"/>
        <tr r="BJ45" s="3"/>
        <tr r="BJ54" s="3"/>
        <tr r="BJ67" s="3"/>
        <tr r="BJ68" s="3"/>
        <tr r="BJ70" s="3"/>
        <tr r="BJ72" s="3"/>
        <tr r="BJ78" s="3"/>
        <tr r="BJ8" s="3"/>
        <tr r="BJ85" s="3"/>
        <tr r="BJ87" s="3"/>
        <tr r="BJ89" s="3"/>
        <tr r="BJ93" s="3"/>
        <tr r="BJ94" s="3"/>
        <tr r="BJ95" s="3"/>
        <tr r="BJ99" s="3"/>
        <tr r="BJ10" s="3"/>
        <tr r="BJ100" s="3"/>
        <tr r="BJ104" s="3"/>
        <tr r="BJ107" s="3"/>
        <tr r="BJ113" s="3"/>
        <tr r="BJ124" s="3"/>
        <tr r="BJ125" s="3"/>
        <tr r="BJ126" s="3"/>
        <tr r="BJ133" s="3"/>
        <tr r="BJ139" s="3"/>
        <tr r="BJ140" s="3"/>
        <tr r="BJ141" s="3"/>
        <tr r="BJ143" s="3"/>
        <tr r="BJ147" s="3"/>
        <tr r="BJ148" s="3"/>
        <tr r="BJ150" s="3"/>
        <tr r="BJ153" s="3"/>
        <tr r="BJ157" s="3"/>
        <tr r="BJ160" s="3"/>
        <tr r="BJ161" s="3"/>
        <tr r="BJ162" s="3"/>
        <tr r="BJ171" s="3"/>
        <tr r="BJ173" s="3"/>
        <tr r="BJ175" s="3"/>
        <tr r="BJ176" s="3"/>
        <tr r="BJ180" s="3"/>
        <tr r="BJ181" s="3"/>
        <tr r="BJ186" s="3"/>
        <tr r="BJ187" s="3"/>
        <tr r="BJ189" s="3"/>
        <tr r="BJ190" s="3"/>
        <tr r="BJ195" s="3"/>
        <tr r="BJ196" s="3"/>
        <tr r="BJ20" s="3"/>
        <tr r="BJ204" s="3"/>
        <tr r="BJ211" s="3"/>
        <tr r="BJ213" s="3"/>
        <tr r="BJ216" s="3"/>
        <tr r="BJ217" s="3"/>
        <tr r="BJ219" s="3"/>
        <tr r="BJ223" s="3"/>
        <tr r="BJ228" s="3"/>
        <tr r="BJ229" s="3"/>
        <tr r="BJ233" s="3"/>
        <tr r="BJ235" s="3"/>
        <tr r="BJ24" s="3"/>
        <tr r="BJ241" s="3"/>
        <tr r="BJ247" s="3"/>
        <tr r="BJ252" s="3"/>
        <tr r="BJ259" s="3"/>
        <tr r="BJ263" s="3"/>
        <tr r="BJ264" s="3"/>
        <tr r="BJ27" s="3"/>
        <tr r="BJ275" s="3"/>
        <tr r="BJ277" s="3"/>
        <tr r="BJ285" s="3"/>
        <tr r="BJ287" s="3"/>
        <tr r="BJ289" s="3"/>
        <tr r="BJ291" s="3"/>
        <tr r="BJ292" s="3"/>
        <tr r="BJ295" s="3"/>
        <tr r="BJ296" s="3"/>
        <tr r="BJ297" s="3"/>
        <tr r="BJ300" s="3"/>
        <tr r="BJ314" s="3"/>
        <tr r="BJ319" s="3"/>
        <tr r="BJ32" s="3"/>
        <tr r="BJ322" s="3"/>
        <tr r="BJ329" s="3"/>
        <tr r="BJ331" s="3"/>
        <tr r="BJ337" s="3"/>
        <tr r="BJ342" s="3"/>
        <tr r="BJ346" s="3"/>
        <tr r="BJ36" s="3"/>
        <tr r="BJ40" s="3"/>
        <tr r="BJ43" s="3"/>
        <tr r="BJ48" s="3"/>
        <tr r="BJ49" s="3"/>
        <tr r="BJ53" s="3"/>
        <tr r="BJ56" s="3"/>
        <tr r="BJ57" s="3"/>
        <tr r="BJ6" s="3"/>
        <tr r="BJ61" s="3"/>
        <tr r="BJ62" s="3"/>
        <tr r="BJ66" s="3"/>
        <tr r="BJ73" s="3"/>
        <tr r="BJ75" s="3"/>
        <tr r="BJ76" s="3"/>
        <tr r="BJ80" s="3"/>
        <tr r="BJ81" s="3"/>
        <tr r="BJ84" s="3"/>
        <tr r="BJ9" s="3"/>
        <tr r="BJ91" s="3"/>
        <tr r="BJ92" s="3"/>
        <tr r="BJ96" s="3"/>
        <tr r="BJ98" s="3"/>
        <tr r="BJ105" s="3"/>
        <tr r="BJ119" s="3"/>
        <tr r="BJ120" s="3"/>
        <tr r="BJ164" s="3"/>
        <tr r="BJ177" s="3"/>
        <tr r="BJ184" s="3"/>
        <tr r="BJ193" s="3"/>
        <tr r="BJ201" s="3"/>
        <tr r="BJ253" s="3"/>
        <tr r="BJ257" s="3"/>
        <tr r="BJ301" s="3"/>
        <tr r="BJ308" s="3"/>
        <tr r="BJ320" s="3"/>
        <tr r="BJ325" s="3"/>
        <tr r="BJ328" s="3"/>
        <tr r="BJ333" s="3"/>
        <tr r="BJ350" s="3"/>
        <tr r="BJ351" s="3"/>
        <tr r="BJ42" s="3"/>
        <tr r="BJ52" s="3"/>
        <tr r="BJ71" s="3"/>
      </tp>
      <tp t="s">
        <v>#N/A Requesting Data...1872326151</v>
        <stp/>
        <stp>BDP|4131291253795581432</stp>
        <tr r="BA152" s="3"/>
      </tp>
      <tp t="s">
        <v>#N/A Requesting Data...709550207</v>
        <stp/>
        <stp>BDP|4229758711882260295</stp>
        <tr r="BB107" s="3"/>
      </tp>
      <tp t="s">
        <v>#N/A Requesting Data...3019744056</v>
        <stp/>
        <stp>BDP|5832253371506567442</stp>
        <tr r="BI324" s="3"/>
      </tp>
      <tp t="s">
        <v>#N/A Requesting Data...844090695</v>
        <stp/>
        <stp>BDP|1519423599506563860</stp>
        <tr r="AJ315" s="3"/>
      </tp>
      <tp t="s">
        <v>#N/A Requesting Data...1420080168</v>
        <stp/>
        <stp>BDP|4746910639169379512</stp>
        <tr r="Q336" s="3"/>
      </tp>
      <tp t="s">
        <v>#N/A N/A</v>
        <stp/>
        <stp>BDP|6488709259140236621</stp>
        <tr r="AX96" s="2"/>
      </tp>
      <tp t="s">
        <v>#N/A Requesting Data...3760878686</v>
        <stp/>
        <stp>BDP|7412789564543593701</stp>
        <tr r="BH56" s="3"/>
      </tp>
      <tp t="s">
        <v>#N/A Requesting Data...2696599035</v>
        <stp/>
        <stp>BDP|7039427041044971176</stp>
        <tr r="O183" s="3"/>
      </tp>
      <tp t="s">
        <v>#N/A Requesting Data...1885087609</v>
        <stp/>
        <stp>BDP|2758370531052592299</stp>
        <tr r="AH277" s="3"/>
      </tp>
      <tp t="s">
        <v>#N/A Requesting Data...3845959426</v>
        <stp/>
        <stp>BDP|7017560142137869310</stp>
        <tr r="BH303" s="3"/>
      </tp>
      <tp t="s">
        <v>#N/A N/A</v>
        <stp/>
        <stp>BDP|5436353361747570579</stp>
        <tr r="P101" s="2"/>
      </tp>
      <tp t="s">
        <v>#N/A N/A</v>
        <stp/>
        <stp>BDP|4679188205715899218</stp>
        <tr r="AX82" s="2"/>
      </tp>
      <tp t="s">
        <v>#N/A N/A</v>
        <stp/>
        <stp>BDP|6186361532121135561</stp>
        <tr r="AF20" s="2"/>
      </tp>
      <tp t="s">
        <v>#N/A Requesting Data...2673113128</v>
        <stp/>
        <stp>BDP|5635547670132983790</stp>
        <tr r="Q126" s="3"/>
      </tp>
      <tp t="s">
        <v>#N/A N/A</v>
        <stp/>
        <stp>BDP|7937413381950839936</stp>
        <tr r="K32" s="2"/>
      </tp>
      <tp t="s">
        <v>#N/A Requesting Data...2974361213</v>
        <stp/>
        <stp>BDP|6058943450730178879</stp>
        <tr r="BH22" s="3"/>
      </tp>
      <tp t="s">
        <v>#N/A Requesting Data...1496339565</v>
        <stp/>
        <stp>BDP|1003117072604194106</stp>
        <tr r="AJ36" s="3"/>
      </tp>
      <tp t="s">
        <v>#N/A N/A</v>
        <stp/>
        <stp>BDP|8652967551797692152</stp>
        <tr r="BE28" s="2"/>
      </tp>
      <tp t="s">
        <v>#N/A N/A</v>
        <stp/>
        <stp>BDP|5801022070254019480</stp>
        <tr r="P35" s="2"/>
      </tp>
      <tp t="s">
        <v>#N/A Requesting Data...3830989153</v>
        <stp/>
        <stp>BDP|8661991404983093097</stp>
        <tr r="K17" s="2"/>
        <tr r="D9" s="4"/>
      </tp>
      <tp t="s">
        <v>#N/A Requesting Data...3324607459</v>
        <stp/>
        <stp>BDP|2806396045384036366</stp>
        <tr r="BA345" s="3"/>
      </tp>
      <tp t="s">
        <v>#N/A Requesting Data...3372157779</v>
        <stp/>
        <stp>BDP|1545469607034581336</stp>
        <tr r="BG189" s="3"/>
      </tp>
      <tp t="s">
        <v>#N/A Requesting Data...1908164095</v>
        <stp/>
        <stp>BDP|7687965462849466346</stp>
        <tr r="BB224" s="3"/>
      </tp>
      <tp t="s">
        <v>#N/A Requesting Data...3226659669</v>
        <stp/>
        <stp>BDP|2948046555282209787</stp>
        <tr r="AZ48" s="3"/>
      </tp>
      <tp t="s">
        <v>#N/A Requesting Data...1880917242</v>
        <stp/>
        <stp>BDP|5627712467464138230</stp>
        <tr r="AZ167" s="3"/>
      </tp>
      <tp t="s">
        <v>#N/A N/A</v>
        <stp/>
        <stp>BDP|1733486645316994519</stp>
        <tr r="BF48" s="2"/>
      </tp>
      <tp t="s">
        <v>#N/A Requesting Data...3283104566</v>
        <stp/>
        <stp>BDP|3634290570121872553</stp>
        <tr r="Y266" s="3"/>
      </tp>
      <tp t="s">
        <v>#N/A Requesting Data...3400830538</v>
        <stp/>
        <stp>BDP|1395664597055047910</stp>
        <tr r="AZ274" s="3"/>
      </tp>
      <tp t="s">
        <v>#N/A N/A</v>
        <stp/>
        <stp>BDP|6638166352226590647</stp>
        <tr r="AM56" s="2"/>
      </tp>
      <tp t="s">
        <v>#N/A N/A</v>
        <stp/>
        <stp>BDP|1853227432150286293</stp>
        <tr r="AM72" s="2"/>
      </tp>
      <tp t="s">
        <v>#N/A Requesting Data...3426674123</v>
        <stp/>
        <stp>BDP|8853867033934702593</stp>
        <tr r="AJ187" s="3"/>
      </tp>
      <tp t="s">
        <v>#N/A Requesting Data...3420037680</v>
        <stp/>
        <stp>BDP|3891067989818664128</stp>
        <tr r="M59" s="4"/>
      </tp>
      <tp t="s">
        <v>#N/A Requesting Data...2084646105</v>
        <stp/>
        <stp>BDP|6927318777830988052</stp>
        <tr r="AS130" s="3"/>
      </tp>
      <tp t="s">
        <v>#N/A Requesting Data...3873767076</v>
        <stp/>
        <stp>BDP|9587515224374633856</stp>
        <tr r="BH331" s="3"/>
      </tp>
      <tp t="s">
        <v>#N/A Requesting Data...1517743666</v>
        <stp/>
        <stp>BDP|4441058737020477511</stp>
        <tr r="AJ92" s="3"/>
      </tp>
      <tp t="s">
        <v>#N/A Requesting Data...3810945698</v>
        <stp/>
        <stp>BDP|1219438623693213633</stp>
        <tr r="BA214" s="3"/>
      </tp>
      <tp t="s">
        <v>#N/A Requesting Data...1849476512</v>
        <stp/>
        <stp>BDP|6727448813323375203</stp>
        <tr r="BG208" s="3"/>
      </tp>
      <tp t="s">
        <v>#N/A Requesting Data...1117273449</v>
        <stp/>
        <stp>BDP|3378086547964908164</stp>
        <tr r="BF335" s="3"/>
      </tp>
      <tp t="s">
        <v>#N/A N/A</v>
        <stp/>
        <stp>BDP|3402649400790727740</stp>
        <tr r="AX24" s="2"/>
      </tp>
      <tp t="s">
        <v>#N/A Requesting Data...1796749582</v>
        <stp/>
        <stp>BDP|4786630101072428224</stp>
        <tr r="O143" s="3"/>
      </tp>
      <tp t="s">
        <v>#N/A Requesting Data...829286570</v>
        <stp/>
        <stp>BDP|6019237620492844686</stp>
        <tr r="I26" s="4"/>
        <tr r="K197" s="3"/>
      </tp>
      <tp t="s">
        <v>#N/A Requesting Data...1384247130</v>
        <stp/>
        <stp>BDP|6728947590012263620</stp>
        <tr r="I30" s="3"/>
      </tp>
      <tp t="s">
        <v>#N/A Requesting Data...2465727957</v>
        <stp/>
        <stp>BDP|8433360401068515150</stp>
        <tr r="BF14" s="3"/>
      </tp>
      <tp t="s">
        <v>#N/A Requesting Data...3578825146</v>
        <stp/>
        <stp>BDP|1472366516838490935</stp>
        <tr r="D22" s="4"/>
      </tp>
      <tp t="s">
        <v>#N/A N/A</v>
        <stp/>
        <stp>BDP|2728861790298014924</stp>
        <tr r="N88" s="2"/>
      </tp>
      <tp t="s">
        <v>#N/A Requesting Data...2866469737</v>
        <stp/>
        <stp>BDP|9159974936177555661</stp>
        <tr r="AA217" s="3"/>
      </tp>
      <tp t="s">
        <v>#N/A N/A</v>
        <stp/>
        <stp>BDP|7733062927784658337</stp>
        <tr r="BM30" s="2"/>
      </tp>
      <tp t="s">
        <v>#N/A Requesting Data...2986412669</v>
        <stp/>
        <stp>BDP|7286608150417524141</stp>
        <tr r="AZ93" s="3"/>
      </tp>
      <tp t="s">
        <v>#N/A Requesting Data...3297521605</v>
        <stp/>
        <stp>BDP|5498318101387723306</stp>
        <tr r="AS242" s="3"/>
      </tp>
      <tp t="s">
        <v>#N/A Requesting Data...4064821994</v>
        <stp/>
        <stp>BDP|6997535839056425477</stp>
        <tr r="BH74" s="3"/>
      </tp>
      <tp t="s">
        <v>#N/A Requesting Data...3927325872</v>
        <stp/>
        <stp>BDP|2581362825382612303</stp>
        <tr r="Q147" s="3"/>
      </tp>
      <tp t="s">
        <v>#N/A Requesting Data...4031591163</v>
        <stp/>
        <stp>BDP|1297952310298500323</stp>
        <tr r="BB74" s="3"/>
      </tp>
      <tp t="s">
        <v>#N/A Requesting Data...2330165428</v>
        <stp/>
        <stp>BDP|5477573809871946337</stp>
        <tr r="BF265" s="3"/>
      </tp>
      <tp t="s">
        <v>#N/A Requesting Data...3427299463</v>
        <stp/>
        <stp>BDP|7590200230072603637</stp>
        <tr r="AA195" s="3"/>
      </tp>
      <tp t="s">
        <v>#N/A Requesting Data...2621629152</v>
        <stp/>
        <stp>BDP|6149668115773246001</stp>
        <tr r="AQ328" s="3"/>
      </tp>
      <tp t="s">
        <v>#N/A Requesting Data...2989071897</v>
        <stp/>
        <stp>BDP|8595609432429456630</stp>
        <tr r="Y64" s="3"/>
      </tp>
      <tp t="s">
        <v>#N/A Requesting Data...1290186094</v>
        <stp/>
        <stp>BDP|7504680274906806218</stp>
        <tr r="AS177" s="3"/>
      </tp>
      <tp t="s">
        <v>#N/A N/A</v>
        <stp/>
        <stp>BDP|1823610677347659585</stp>
        <tr r="AV83" s="2"/>
      </tp>
      <tp t="s">
        <v>#N/A Requesting Data...1145843179</v>
        <stp/>
        <stp>BDP|9162710453719723040</stp>
        <tr r="BB256" s="3"/>
      </tp>
      <tp t="s">
        <v>#N/A Requesting Data...1824440958</v>
        <stp/>
        <stp>BDP|9626482182147949057</stp>
        <tr r="AD16" s="2"/>
        <tr r="W8" s="4"/>
      </tp>
      <tp t="s">
        <v>#N/A Requesting Data...2725736008</v>
        <stp/>
        <stp>BDP|9452623626909630668</stp>
        <tr r="Y345" s="3"/>
      </tp>
      <tp t="s">
        <v>#N/A Requesting Data...884640808</v>
        <stp/>
        <stp>BDP|5516618648126882347</stp>
        <tr r="O49" s="3"/>
      </tp>
      <tp t="s">
        <v>#N/A Requesting Data...2843249835</v>
        <stp/>
        <stp>BDP|5845794129556013482</stp>
        <tr r="F299" s="3"/>
      </tp>
      <tp t="s">
        <v>#N/A Requesting Data...2382617037</v>
        <stp/>
        <stp>BDP|7485053300086041319</stp>
        <tr r="Y18" s="3"/>
      </tp>
      <tp t="s">
        <v>#N/A Requesting Data...3292786492</v>
        <stp/>
        <stp>BDP|2556018772232202554</stp>
        <tr r="BB218" s="3"/>
      </tp>
      <tp t="s">
        <v>#N/A N/A</v>
        <stp/>
        <stp>BDP|6207352784949752654</stp>
        <tr r="BM43" s="2"/>
      </tp>
      <tp t="s">
        <v>#N/A Requesting Data...3773220817</v>
        <stp/>
        <stp>BDP|7553323339642737789</stp>
        <tr r="BI281" s="3"/>
      </tp>
      <tp t="s">
        <v>#N/A N/A</v>
        <stp/>
        <stp>BDP|1424224771730289643</stp>
        <tr r="AF77" s="2"/>
      </tp>
      <tp t="s">
        <v>#N/A Requesting Data...4269348813</v>
        <stp/>
        <stp>BDP|3470187854980116585</stp>
        <tr r="AA37" s="3"/>
      </tp>
      <tp t="s">
        <v>#N/A Requesting Data...1333690763</v>
        <stp/>
        <stp>BDP|7218980729029243709</stp>
        <tr r="BF274" s="3"/>
      </tp>
      <tp t="s">
        <v>#N/A N/A</v>
        <stp/>
        <stp>BDP|9983935101830236286</stp>
        <tr r="BK26" s="2"/>
      </tp>
      <tp t="s">
        <v>#N/A N/A</v>
        <stp/>
        <stp>BDP|4524651209902194290</stp>
        <tr r="N64" s="2"/>
      </tp>
      <tp t="s">
        <v>#N/A Requesting Data...1134373517</v>
        <stp/>
        <stp>BDP|1614948020870448876</stp>
        <tr r="AH126" s="3"/>
      </tp>
      <tp t="s">
        <v>#N/A N/A</v>
        <stp/>
        <stp>BDP|1504436046572416150</stp>
        <tr r="BL93" s="2"/>
      </tp>
      <tp t="s">
        <v>#N/A Requesting Data...2062900120</v>
        <stp/>
        <stp>BDP|7367502762507276123</stp>
        <tr r="BA20" s="3"/>
      </tp>
      <tp t="s">
        <v>#N/A Requesting Data...3217706847</v>
        <stp/>
        <stp>BDP|7881527938447781447</stp>
        <tr r="AJ26" s="3"/>
      </tp>
      <tp t="s">
        <v>#N/A Requesting Data...1881617662</v>
        <stp/>
        <stp>BDP|1506327164651268700</stp>
        <tr r="Q267" s="3"/>
      </tp>
      <tp t="s">
        <v>#N/A N/A</v>
        <stp/>
        <stp>BDP|7836991660128762273</stp>
        <tr r="T65" s="2"/>
      </tp>
      <tp t="s">
        <v>#N/A N/A</v>
        <stp/>
        <stp>BDP|6875075930457972077</stp>
        <tr r="AF29" s="2"/>
      </tp>
      <tp t="s">
        <v>#N/A Requesting Data...1492423858</v>
        <stp/>
        <stp>BDP|6239706811645496713</stp>
        <tr r="AS342" s="3"/>
      </tp>
      <tp t="s">
        <v>#N/A N/A</v>
        <stp/>
        <stp>BDP|2580384274994757088</stp>
        <tr r="T73" s="2"/>
      </tp>
      <tp t="s">
        <v>#N/A Requesting Data...3972746146</v>
        <stp/>
        <stp>BDP|8306462751013094820</stp>
        <tr r="K281" s="3"/>
      </tp>
      <tp t="s">
        <v>#N/A N/A</v>
        <stp/>
        <stp>BDP|9148871887659565228</stp>
        <tr r="BG82" s="2"/>
      </tp>
      <tp t="s">
        <v>#N/A N/A</v>
        <stp/>
        <stp>BDP|7452368644295845786</stp>
        <tr r="BF59" s="2"/>
      </tp>
      <tp t="s">
        <v>#N/A Requesting Data...1003485894</v>
        <stp/>
        <stp>BDP|9714882618804647673</stp>
        <tr r="AX46" s="4"/>
        <tr r="AZ258" s="3"/>
      </tp>
      <tp t="s">
        <v>#N/A Requesting Data...2237529679</v>
        <stp/>
        <stp>BDP|3457067014996812685</stp>
        <tr r="O72" s="3"/>
      </tp>
      <tp t="s">
        <v>#N/A N/A</v>
        <stp/>
        <stp>BDP|4182436894138047304</stp>
        <tr r="AD19" s="2"/>
      </tp>
      <tp t="s">
        <v>#N/A Requesting Data...999769414</v>
        <stp/>
        <stp>BDP|2747599230533879500</stp>
        <tr r="W53" s="4"/>
      </tp>
      <tp t="s">
        <v>#N/A Requesting Data...4136240979</v>
        <stp/>
        <stp>BDP|1504522841281434342</stp>
        <tr r="BA70" s="3"/>
      </tp>
      <tp t="s">
        <v>#N/A Requesting Data...4282527377</v>
        <stp/>
        <stp>BDP|5990157307094983247</stp>
        <tr r="AF32" s="4"/>
      </tp>
      <tp t="s">
        <v>#N/A Requesting Data...3601643424</v>
        <stp/>
        <stp>BDP|2541995191340220090</stp>
        <tr r="AS27" s="3"/>
      </tp>
      <tp t="s">
        <v>#N/A Requesting Data...1462630716</v>
        <stp/>
        <stp>BDP|6511992626478868742</stp>
        <tr r="AZ115" s="3"/>
      </tp>
      <tp t="s">
        <v>#N/A N/A</v>
        <stp/>
        <stp>BDP|4548666583608508036</stp>
        <tr r="AV38" s="2"/>
      </tp>
      <tp t="s">
        <v>#N/A Requesting Data...2572579566</v>
        <stp/>
        <stp>BDP|7407925274708026342</stp>
        <tr r="W51" s="4"/>
      </tp>
      <tp t="s">
        <v>#N/A Requesting Data...2484726899</v>
        <stp/>
        <stp>BDP|6886264338802989799</stp>
        <tr r="O24" s="4"/>
      </tp>
      <tp t="s">
        <v>#N/A Requesting Data...1519526871</v>
        <stp/>
        <stp>BDP|6213417238193576085</stp>
        <tr r="AZ117" s="3"/>
      </tp>
      <tp t="s">
        <v>#N/A N/A</v>
        <stp/>
        <stp>BDP|5951491522478432904</stp>
        <tr r="BN71" s="2"/>
      </tp>
      <tp t="s">
        <v>#N/A Requesting Data...1875090153</v>
        <stp/>
        <stp>BDP|7400147444902756243</stp>
        <tr r="BI173" s="3"/>
      </tp>
      <tp t="s">
        <v>#N/A Requesting Data...1518247017</v>
        <stp/>
        <stp>BDP|7944651818867052533</stp>
        <tr r="BA225" s="3"/>
      </tp>
      <tp t="s">
        <v>#N/A Requesting Data...2307249061</v>
        <stp/>
        <stp>BDP|6139430340656264278</stp>
        <tr r="K313" s="3"/>
      </tp>
      <tp t="s">
        <v>#N/A Requesting Data...1317053806</v>
        <stp/>
        <stp>BDP|4977695083960598818</stp>
        <tr r="AQ325" s="3"/>
      </tp>
      <tp t="s">
        <v>#N/A Requesting Data...2262130306</v>
        <stp/>
        <stp>BDP|1498669212240385440</stp>
        <tr r="Q227" s="3"/>
      </tp>
      <tp t="s">
        <v>#N/A Requesting Data...2146729289</v>
        <stp/>
        <stp>BDP|3296362100454466674</stp>
        <tr r="BH97" s="3"/>
      </tp>
      <tp t="s">
        <v>#N/A Requesting Data...4237914387</v>
        <stp/>
        <stp>BDP|8553506677828733025</stp>
        <tr r="Y247" s="3"/>
      </tp>
      <tp t="s">
        <v>#N/A Requesting Data...1106657337</v>
        <stp/>
        <stp>BDP|9099415886840108718</stp>
        <tr r="BI89" s="3"/>
      </tp>
      <tp t="s">
        <v>#N/A Requesting Data...4181139502</v>
        <stp/>
        <stp>BDP|1253332826512492047</stp>
        <tr r="K139" s="3"/>
      </tp>
      <tp t="s">
        <v>#N/A N/A</v>
        <stp/>
        <stp>BDP|6485119707615299072</stp>
        <tr r="N42" s="2"/>
      </tp>
      <tp t="s">
        <v>#N/A Requesting Data...3508125728</v>
        <stp/>
        <stp>BDP|4200246012911656455</stp>
        <tr r="I86" s="3"/>
      </tp>
      <tp t="s">
        <v>#N/A Requesting Data...1076417731</v>
        <stp/>
        <stp>BDP|6767481239551380224</stp>
        <tr r="AZ314" s="3"/>
      </tp>
      <tp t="s">
        <v>#N/A Requesting Data...4151569721</v>
        <stp/>
        <stp>BDP|5843689812205273576</stp>
        <tr r="I274" s="3"/>
      </tp>
      <tp t="s">
        <v>#N/A Requesting Data...2994642648</v>
        <stp/>
        <stp>BDP|1366433737773365735</stp>
        <tr r="BB36" s="3"/>
      </tp>
      <tp t="s">
        <v>#N/A Requesting Data...2793574607</v>
        <stp/>
        <stp>BDP|7205312707624104224</stp>
        <tr r="AQ126" s="3"/>
      </tp>
      <tp t="s">
        <v>#N/A Requesting Data...3380804234</v>
        <stp/>
        <stp>BDP|7281678728375996439</stp>
        <tr r="BA318" s="3"/>
      </tp>
      <tp t="s">
        <v>#N/A Requesting Data...3059339633</v>
        <stp/>
        <stp>BDP|2568727531371927583</stp>
        <tr r="F187" s="3"/>
      </tp>
      <tp t="s">
        <v>#N/A Requesting Data...2779625150</v>
        <stp/>
        <stp>BDP|3915490754108457877</stp>
        <tr r="O21" s="3"/>
      </tp>
      <tp t="s">
        <v>#N/A Requesting Data...1272643669</v>
        <stp/>
        <stp>BDP|3804792730364302155</stp>
        <tr r="AH353" s="3"/>
      </tp>
      <tp t="s">
        <v>#N/A N/A</v>
        <stp/>
        <stp>BDP|8511541441908754308</stp>
        <tr r="AM13" s="2"/>
      </tp>
      <tp t="s">
        <v>#N/A Requesting Data...2520473900</v>
        <stp/>
        <stp>BDP|3472704246833498115</stp>
        <tr r="AA260" s="3"/>
      </tp>
      <tp t="s">
        <v>#N/A N/A</v>
        <stp/>
        <stp>BDP|4516303455578091878</stp>
        <tr r="BE86" s="2"/>
      </tp>
      <tp t="s">
        <v>#N/A Requesting Data...1211823804</v>
        <stp/>
        <stp>BDP|6112340116114224264</stp>
        <tr r="AO71" s="2"/>
        <tr r="AH36" s="4"/>
      </tp>
      <tp t="s">
        <v>#N/A Requesting Data...2693861819</v>
        <stp/>
        <stp>BDP|6303502422067110475</stp>
        <tr r="AJ49" s="3"/>
      </tp>
      <tp t="s">
        <v>#N/A Requesting Data...2390376624</v>
        <stp/>
        <stp>BDP|6218729794092976896</stp>
        <tr r="BA298" s="3"/>
      </tp>
      <tp t="s">
        <v>#N/A Requesting Data...1424240932</v>
        <stp/>
        <stp>BDP|9191822811596310456</stp>
        <tr r="AZ321" s="3"/>
      </tp>
      <tp t="s">
        <v>#N/A N/A</v>
        <stp/>
        <stp>BDP|3639018341367404261</stp>
        <tr r="V15" s="2"/>
      </tp>
      <tp t="s">
        <v>#N/A Requesting Data...3014472402</v>
        <stp/>
        <stp>BDP|1796528159285099682</stp>
        <tr r="AA76" s="3"/>
      </tp>
      <tp t="s">
        <v>#N/A Requesting Data...2290339172</v>
        <stp/>
        <stp>BDP|2238869371726375922</stp>
        <tr r="Q228" s="3"/>
      </tp>
      <tp t="s">
        <v>#N/A Requesting Data...3512090405</v>
        <stp/>
        <stp>BDP|1940316111578857958</stp>
        <tr r="Y24" s="4"/>
      </tp>
      <tp t="s">
        <v>#N/A Requesting Data...3354014247</v>
        <stp/>
        <stp>BDP|5201862229048005598</stp>
        <tr r="K65" s="3"/>
      </tp>
      <tp t="s">
        <v>#N/A N/A</v>
        <stp/>
        <stp>BDP|7163521126510818299</stp>
        <tr r="P64" s="2"/>
      </tp>
      <tp t="s">
        <v>#N/A Requesting Data...2243355670</v>
        <stp/>
        <stp>BDP|2389829318889410094</stp>
        <tr r="AA264" s="3"/>
      </tp>
      <tp t="s">
        <v>#N/A Requesting Data...1195241631</v>
        <stp/>
        <stp>BDP|5803231875033970139</stp>
        <tr r="F331" s="3"/>
      </tp>
      <tp t="s">
        <v>#N/A Requesting Data...3054162266</v>
        <stp/>
        <stp>BDP|3057910230308610334</stp>
        <tr r="BH95" s="3"/>
      </tp>
      <tp t="s">
        <v>#N/A Requesting Data...1399192246</v>
        <stp/>
        <stp>BDP|5957880597534343217</stp>
        <tr r="AQ24" s="4"/>
      </tp>
      <tp t="s">
        <v>#N/A N/A</v>
        <stp/>
        <stp>BDP|6978062148084001430</stp>
        <tr r="BG29" s="2"/>
      </tp>
      <tp t="s">
        <v>#N/A Requesting Data...3401753987</v>
        <stp/>
        <stp>BDP|5952011373812993260</stp>
        <tr r="T22" s="2"/>
        <tr r="M15" s="4"/>
      </tp>
      <tp t="s">
        <v>#N/A Requesting Data...3478759882</v>
        <stp/>
        <stp>BDP|4772387479446277407</stp>
        <tr r="I287" s="3"/>
      </tp>
      <tp t="s">
        <v>#N/A N/A</v>
        <stp/>
        <stp>BDP|9574834113536242435</stp>
        <tr r="BF36" s="2"/>
      </tp>
      <tp t="s">
        <v>#N/A Requesting Data...4058560340</v>
        <stp/>
        <stp>BDP|7857886096073045720</stp>
        <tr r="K163" s="3"/>
      </tp>
      <tp t="s">
        <v>#N/A Requesting Data...2064637637</v>
        <stp/>
        <stp>BDP|6450992374208563284</stp>
        <tr r="F168" s="3"/>
      </tp>
      <tp t="s">
        <v>#N/A Requesting Data...4221171364</v>
        <stp/>
        <stp>BDP|1957380042306091266</stp>
        <tr r="O244" s="3"/>
      </tp>
      <tp t="s">
        <v>#N/A Requesting Data...3484554142</v>
        <stp/>
        <stp>BDP|3485234828420309191</stp>
        <tr r="BI41" s="3"/>
      </tp>
      <tp t="s">
        <v>#N/A Requesting Data...4168121081</v>
        <stp/>
        <stp>BDP|3788240623754024554</stp>
        <tr r="F196" s="3"/>
      </tp>
      <tp t="s">
        <v>#N/A Requesting Data...4089496981</v>
        <stp/>
        <stp>BDP|5055348524600196648</stp>
        <tr r="K144" s="3"/>
      </tp>
      <tp t="s">
        <v>#N/A Requesting Data...2635712341</v>
        <stp/>
        <stp>BDP|5456318733615576266</stp>
        <tr r="BA57" s="3"/>
      </tp>
      <tp t="s">
        <v>#N/A Requesting Data...3370401771</v>
        <stp/>
        <stp>BDP|1848346917075997471</stp>
        <tr r="Q136" s="3"/>
      </tp>
      <tp t="s">
        <v>#N/A Requesting Data...3948862631</v>
        <stp/>
        <stp>BDP|9169201810918450006</stp>
        <tr r="AS32" s="3"/>
      </tp>
      <tp t="s">
        <v>#N/A Requesting Data...4157758028</v>
        <stp/>
        <stp>BDP|3169268804180494329</stp>
        <tr r="O240" s="3"/>
      </tp>
      <tp t="s">
        <v>#N/A Requesting Data...2785959293</v>
        <stp/>
        <stp>BDP|7881622136258941802</stp>
        <tr r="V17" s="2"/>
        <tr r="O9" s="4"/>
      </tp>
      <tp t="s">
        <v>#N/A Requesting Data...1633748067</v>
        <stp/>
        <stp>BDP|1210726969837986559</stp>
        <tr r="AA250" s="3"/>
      </tp>
      <tp t="s">
        <v>#N/A Requesting Data...2545745721</v>
        <stp/>
        <stp>BDP|4891366792925040991</stp>
        <tr r="Q134" s="3"/>
      </tp>
      <tp t="s">
        <v>#N/A Requesting Data...1943003903</v>
        <stp/>
        <stp>BDP|6567594788299255036</stp>
        <tr r="AQ155" s="3"/>
      </tp>
      <tp t="s">
        <v>#N/A Requesting Data...1761281715</v>
        <stp/>
        <stp>BDP|1291897463308479598</stp>
        <tr r="BB308" s="3"/>
      </tp>
      <tp t="s">
        <v>#N/A Requesting Data...3520155011</v>
        <stp/>
        <stp>BDP|5685066122972280758</stp>
        <tr r="BB226" s="3"/>
      </tp>
      <tp t="s">
        <v>#N/A Requesting Data...2659518682</v>
        <stp/>
        <stp>BDP|9470764355101350810</stp>
        <tr r="AQ234" s="3"/>
      </tp>
      <tp t="s">
        <v>#N/A Requesting Data...1788500496</v>
        <stp/>
        <stp>BDP|7413639325011288056</stp>
        <tr r="AH172" s="3"/>
      </tp>
      <tp t="s">
        <v>#N/A Requesting Data...2194181380</v>
        <stp/>
        <stp>BDP|7058357450971650268</stp>
        <tr r="BI82" s="3"/>
      </tp>
      <tp t="s">
        <v>#N/A Requesting Data...1854491122</v>
        <stp/>
        <stp>BDP|4344161060680888073</stp>
        <tr r="K146" s="3"/>
      </tp>
      <tp t="s">
        <v>#N/A Requesting Data...3699084713</v>
        <stp/>
        <stp>BDP|8872470646872577963</stp>
        <tr r="BF182" s="3"/>
      </tp>
      <tp t="s">
        <v>#N/A Requesting Data...3179705997</v>
        <stp/>
        <stp>BDP|8004887700034393715</stp>
        <tr r="AH25" s="3"/>
      </tp>
      <tp t="s">
        <v>#N/A Requesting Data...1568419630</v>
        <stp/>
        <stp>BDP|3804869019869432098</stp>
        <tr r="W47" s="4"/>
      </tp>
      <tp t="s">
        <v>#N/A Requesting Data...2968892796</v>
        <stp/>
        <stp>BDP|7617573614497982763</stp>
        <tr r="BA344" s="3"/>
      </tp>
      <tp t="s">
        <v>#N/A Requesting Data...2753421311</v>
        <stp/>
        <stp>BDP|7163627268955207137</stp>
        <tr r="F212" s="3"/>
      </tp>
      <tp t="s">
        <v>#N/A Requesting Data...1421733943</v>
        <stp/>
        <stp>BDP|3997667951344344777</stp>
        <tr r="Y157" s="3"/>
      </tp>
      <tp t="s">
        <v>#N/A Requesting Data...3696552123</v>
        <stp/>
        <stp>BDP|7169213446295864740</stp>
        <tr r="BH55" s="3"/>
      </tp>
      <tp t="s">
        <v>#N/A Requesting Data...4164980547</v>
        <stp/>
        <stp>BDP|5154106787076543997</stp>
        <tr r="AA322" s="3"/>
      </tp>
      <tp t="s">
        <v>#N/A Requesting Data...2638421266</v>
        <stp/>
        <stp>BDP|8112314765069782788</stp>
        <tr r="BF35" s="3"/>
      </tp>
      <tp t="s">
        <v>#N/A Requesting Data...3086474053</v>
        <stp/>
        <stp>BDP|6848058446646274739</stp>
        <tr r="K16" s="3"/>
      </tp>
      <tp t="s">
        <v>#N/A Requesting Data...3841933287</v>
        <stp/>
        <stp>BDP|6455791503633659120</stp>
        <tr r="BI16" s="3"/>
      </tp>
      <tp t="s">
        <v>#N/A Requesting Data...4159103033</v>
        <stp/>
        <stp>BDP|8898961863392298654</stp>
        <tr r="AH14" s="4"/>
      </tp>
      <tp t="s">
        <v>#N/A Requesting Data...1585865946</v>
        <stp/>
        <stp>BDP|9469303046855137886</stp>
        <tr r="BI287" s="3"/>
      </tp>
      <tp t="s">
        <v>#N/A N/A</v>
        <stp/>
        <stp>BDP|1423296151822157762</stp>
        <tr r="AO33" s="2"/>
      </tp>
      <tp t="s">
        <v>#N/A Requesting Data...2239073496</v>
        <stp/>
        <stp>BDP|4134097225160467529</stp>
        <tr r="AH45" s="4"/>
      </tp>
      <tp t="s">
        <v>#N/A Requesting Data...1740722392</v>
        <stp/>
        <stp>BDP|3707390970426582206</stp>
        <tr r="M19" s="4"/>
      </tp>
      <tp t="s">
        <v>#N/A Requesting Data...3355957246</v>
        <stp/>
        <stp>BDP|8885310987030664034</stp>
        <tr r="BH148" s="3"/>
      </tp>
      <tp t="s">
        <v>#N/A Requesting Data...3234831694</v>
        <stp/>
        <stp>BDP|2024474416663844729</stp>
        <tr r="BF140" s="3"/>
      </tp>
      <tp t="s">
        <v>#N/A N/A</v>
        <stp/>
        <stp>BDP|5265048869582779231</stp>
        <tr r="BM89" s="2"/>
      </tp>
      <tp t="s">
        <v>#N/A Requesting Data...2273902360</v>
        <stp/>
        <stp>BDP|1578651669582699047</stp>
        <tr r="AJ11" s="3"/>
      </tp>
      <tp t="s">
        <v>#N/A Requesting Data...1608086827</v>
        <stp/>
        <stp>BDP|4430411867805859013</stp>
        <tr r="AH128" s="3"/>
      </tp>
      <tp t="s">
        <v>#N/A N/A</v>
        <stp/>
        <stp>BDP|1115710736665485391</stp>
        <tr r="BF41" s="2"/>
      </tp>
      <tp t="s">
        <v>#N/A Requesting Data...2241612579</v>
        <stp/>
        <stp>BDP|3942356546895754261</stp>
        <tr r="K267" s="3"/>
      </tp>
      <tp t="s">
        <v>#N/A N/A</v>
        <stp/>
        <stp>BDP|8566463539419751565</stp>
        <tr r="AM78" s="2"/>
      </tp>
      <tp t="s">
        <v>#N/A Requesting Data...3048837772</v>
        <stp/>
        <stp>BDP|5647902808567504802</stp>
        <tr r="AF59" s="4"/>
      </tp>
      <tp t="s">
        <v>#N/A Requesting Data...4112515028</v>
        <stp/>
        <stp>BDP|9607181511329048347</stp>
        <tr r="AJ229" s="3"/>
      </tp>
      <tp t="s">
        <v>#N/A Requesting Data...2152802403</v>
        <stp/>
        <stp>BDP|2966226070153374736</stp>
        <tr r="BB111" s="3"/>
      </tp>
      <tp t="s">
        <v>#N/A Requesting Data...2111188900</v>
        <stp/>
        <stp>BDP|2816227636331445132</stp>
        <tr r="Q28" s="3"/>
      </tp>
      <tp t="s">
        <v>#N/A N/A</v>
        <stp/>
        <stp>BDP|1317567136307954315</stp>
        <tr r="BL73" s="2"/>
      </tp>
      <tp t="s">
        <v>#N/A Requesting Data...2171876689</v>
        <stp/>
        <stp>BDP|8508833311317406585</stp>
        <tr r="AF60" s="4"/>
      </tp>
      <tp t="s">
        <v>#N/A Requesting Data...3111866086</v>
        <stp/>
        <stp>BDP|1114158642964429397</stp>
        <tr r="AA218" s="3"/>
      </tp>
      <tp t="s">
        <v>#N/A Requesting Data...1850435913</v>
        <stp/>
        <stp>BDP|9371911751155953316</stp>
        <tr r="K58" s="3"/>
      </tp>
      <tp t="s">
        <v>#N/A Requesting Data...3356635599</v>
        <stp/>
        <stp>BDP|2237323324208649892</stp>
        <tr r="AA38" s="3"/>
      </tp>
      <tp t="s">
        <v>#N/A Requesting Data...1575219663</v>
        <stp/>
        <stp>BDP|5196723559405687170</stp>
        <tr r="K95" s="3"/>
      </tp>
      <tp t="s">
        <v>#N/A N/A</v>
        <stp/>
        <stp>BDP|1340788126293705418</stp>
        <tr r="V76" s="2"/>
      </tp>
      <tp t="s">
        <v>#N/A N/A</v>
        <stp/>
        <stp>BDP|3533274368241490567</stp>
        <tr r="BE77" s="2"/>
      </tp>
      <tp t="s">
        <v>#N/A Requesting Data...3110013498</v>
        <stp/>
        <stp>BDP|7107317847886757580</stp>
        <tr r="Q238" s="3"/>
      </tp>
      <tp t="s">
        <v>#N/A Requesting Data...1805821915</v>
        <stp/>
        <stp>BDP|2969285839443854388</stp>
        <tr r="BH296" s="3"/>
      </tp>
      <tp t="s">
        <v>#N/A Requesting Data...2166449182</v>
        <stp/>
        <stp>BDP|2273033270277892112</stp>
        <tr r="I58" s="3"/>
      </tp>
      <tp t="s">
        <v>#N/A Requesting Data...3313026032</v>
        <stp/>
        <stp>BDP|1606546799149785742</stp>
        <tr r="AH333" s="3"/>
      </tp>
      <tp t="s">
        <v>#N/A Requesting Data...3314403343</v>
        <stp/>
        <stp>BDP|6799880394661262514</stp>
        <tr r="BH298" s="3"/>
      </tp>
      <tp t="s">
        <v>#N/A Requesting Data...3590340330</v>
        <stp/>
        <stp>BDP|4993602736131675311</stp>
        <tr r="AH198" s="3"/>
      </tp>
      <tp t="s">
        <v>#N/A Requesting Data...1960900006</v>
        <stp/>
        <stp>BDP|2847046967772291510</stp>
        <tr r="K235" s="3"/>
      </tp>
      <tp t="s">
        <v>#N/A Requesting Data...3655368511</v>
        <stp/>
        <stp>BDP|8419670091457387391</stp>
        <tr r="BG46" s="3"/>
      </tp>
      <tp t="s">
        <v>#N/A Requesting Data...2109760845</v>
        <stp/>
        <stp>BDP|5148048234327085298</stp>
        <tr r="BG161" s="3"/>
      </tp>
      <tp t="s">
        <v>#N/A Requesting Data...2815986236</v>
        <stp/>
        <stp>BDP|8904919103311256311</stp>
        <tr r="BF17" s="3"/>
      </tp>
      <tp t="s">
        <v>#N/A Requesting Data...2156740581</v>
        <stp/>
        <stp>BDP|2040008624141811242</stp>
        <tr r="AZ215" s="3"/>
      </tp>
      <tp t="s">
        <v>#N/A Requesting Data...2251539605</v>
        <stp/>
        <stp>BDP|1001594804001347661</stp>
        <tr r="AS275" s="3"/>
      </tp>
      <tp t="s">
        <v>#N/A Requesting Data...2470114787</v>
        <stp/>
        <stp>BDP|3795585472383687136</stp>
        <tr r="M40" s="4"/>
      </tp>
      <tp t="s">
        <v>#N/A Requesting Data...3051658980</v>
        <stp/>
        <stp>BDP|6956801881294016107</stp>
        <tr r="AH66" s="3"/>
      </tp>
      <tp t="s">
        <v>#N/A N/A</v>
        <stp/>
        <stp>BDP|1720590066415758473</stp>
        <tr r="BG46" s="2"/>
      </tp>
      <tp t="s">
        <v>#N/A Requesting Data...3682193812</v>
        <stp/>
        <stp>BDP|1855732156471442115</stp>
        <tr r="Y107" s="3"/>
      </tp>
      <tp t="s">
        <v>#N/A Requesting Data...2627326030</v>
        <stp/>
        <stp>BDP|5809141613387016171</stp>
        <tr r="AZ284" s="3"/>
      </tp>
      <tp t="s">
        <v>#N/A Requesting Data...4187214416</v>
        <stp/>
        <stp>BDP|4531146807474816262</stp>
        <tr r="AH168" s="3"/>
      </tp>
      <tp t="s">
        <v>#N/A Requesting Data...4064943296</v>
        <stp/>
        <stp>BDP|4764291884689234407</stp>
        <tr r="AJ253" s="3"/>
      </tp>
      <tp t="s">
        <v>#N/A Requesting Data...2337883798</v>
        <stp/>
        <stp>BDP|2873117303309562971</stp>
        <tr r="K231" s="3"/>
      </tp>
      <tp t="s">
        <v>#N/A Requesting Data...1845685499</v>
        <stp/>
        <stp>BDP|5193736146985906052</stp>
        <tr r="BI303" s="3"/>
      </tp>
      <tp t="s">
        <v>#N/A Requesting Data...2611031853</v>
        <stp/>
        <stp>BDP|6656002164132930132</stp>
        <tr r="BI266" s="3"/>
      </tp>
      <tp t="s">
        <v>#N/A Requesting Data...2058952492</v>
        <stp/>
        <stp>BDP|9414393059599420582</stp>
        <tr r="O285" s="3"/>
      </tp>
      <tp t="s">
        <v>#N/A Requesting Data...2592867791</v>
        <stp/>
        <stp>BDP|5297075744952194095</stp>
        <tr r="K52" s="3"/>
      </tp>
      <tp t="s">
        <v>#N/A N/A</v>
        <stp/>
        <stp>BDP|2969456814954909080</stp>
        <tr r="AF28" s="2"/>
      </tp>
      <tp t="s">
        <v>#N/A N/A</v>
        <stp/>
        <stp>BDP|1485497553954384745</stp>
        <tr r="AO24" s="2"/>
      </tp>
      <tp t="s">
        <v>#N/A Requesting Data...2627638882</v>
        <stp/>
        <stp>BDP|4990404238525867504</stp>
        <tr r="BB119" s="3"/>
      </tp>
      <tp t="s">
        <v>#N/A N/A</v>
        <stp/>
        <stp>BDP|5758059495599828666</stp>
        <tr r="BE18" s="2"/>
      </tp>
      <tp t="s">
        <v>#N/A Requesting Data...3851338225</v>
        <stp/>
        <stp>BDP|2159788515621714624</stp>
        <tr r="AH56" s="3"/>
      </tp>
      <tp t="s">
        <v>#N/A Requesting Data...3436971434</v>
        <stp/>
        <stp>BDP|7252378709885660233</stp>
        <tr r="W32" s="4"/>
      </tp>
      <tp t="s">
        <v>#N/A Requesting Data...3205195297</v>
        <stp/>
        <stp>BDP|5774492510935477638</stp>
        <tr r="Y65" s="3"/>
      </tp>
      <tp t="s">
        <v>#N/A Requesting Data...2161100019</v>
        <stp/>
        <stp>BDP|6836954636569098629</stp>
        <tr r="BA282" s="3"/>
      </tp>
      <tp t="s">
        <v>#N/A Requesting Data...3130982640</v>
        <stp/>
        <stp>BDP|4465565213683104097</stp>
        <tr r="BI283" s="3"/>
      </tp>
      <tp t="s">
        <v>#N/A Requesting Data...2012351791</v>
        <stp/>
        <stp>BDP|5884932654209329358</stp>
        <tr r="BH89" s="3"/>
      </tp>
      <tp t="s">
        <v>#N/A Requesting Data...2468738285</v>
        <stp/>
        <stp>BDP|4283911010807806825</stp>
        <tr r="Q133" s="3"/>
      </tp>
      <tp t="s">
        <v>#N/A Requesting Data...2254035900</v>
        <stp/>
        <stp>BDP|2335887691195742546</stp>
        <tr r="AS331" s="3"/>
      </tp>
      <tp t="s">
        <v>#N/A N/A</v>
        <stp/>
        <stp>BDP|1605099650106769119</stp>
        <tr r="BL18" s="2"/>
      </tp>
      <tp t="s">
        <v>#N/A Requesting Data...2110694332</v>
        <stp/>
        <stp>BDP|6871231852780413246</stp>
        <tr r="BA134" s="3"/>
      </tp>
      <tp t="s">
        <v>#N/A Requesting Data...2046505725</v>
        <stp/>
        <stp>BDP|4630427899418277261</stp>
        <tr r="Q38" s="3"/>
      </tp>
      <tp t="s">
        <v>#N/A Requesting Data...3667624093</v>
        <stp/>
        <stp>BDP|3258153947804720195</stp>
        <tr r="I315" s="3"/>
      </tp>
      <tp t="s">
        <v>#N/A Requesting Data...2629828229</v>
        <stp/>
        <stp>BDP|5782407418380106306</stp>
        <tr r="Q350" s="3"/>
      </tp>
      <tp t="s">
        <v>#N/A N/A</v>
        <stp/>
        <stp>BDP|8759882367842374752</stp>
        <tr r="AM14" s="2"/>
      </tp>
      <tp t="s">
        <v>#N/A Requesting Data...2408174290</v>
        <stp/>
        <stp>BDP|4562300718567670259</stp>
        <tr r="AJ210" s="3"/>
      </tp>
      <tp t="s">
        <v>#N/A N/A</v>
        <stp/>
        <stp>BDP|2540227837757607789</stp>
        <tr r="BK86" s="2"/>
      </tp>
      <tp t="s">
        <v>#N/A Requesting Data...3104333419</v>
        <stp/>
        <stp>BDP|7960821016104094933</stp>
        <tr r="AS129" s="3"/>
      </tp>
      <tp t="s">
        <v>#N/A N/A</v>
        <stp/>
        <stp>BDP|4606028598668473665</stp>
        <tr r="BL95" s="2"/>
      </tp>
      <tp t="s">
        <v>#N/A Requesting Data...1970500525</v>
        <stp/>
        <stp>BDP|3389245815395875647</stp>
        <tr r="BG240" s="3"/>
      </tp>
      <tp t="s">
        <v>#N/A Requesting Data...3580415504</v>
        <stp/>
        <stp>BDP|6328626743982981554</stp>
        <tr r="BF77" s="3"/>
      </tp>
      <tp t="s">
        <v>#N/A Requesting Data...2098192601</v>
        <stp/>
        <stp>BDP|2744713779533671275</stp>
        <tr r="K10" s="2"/>
      </tp>
      <tp t="s">
        <v>#N/A Requesting Data...3353353179</v>
        <stp/>
        <stp>BDP|3675613158735544644</stp>
        <tr r="AZ157" s="3"/>
      </tp>
      <tp t="s">
        <v>#N/A Requesting Data...2578022527</v>
        <stp/>
        <stp>BDP|7522039855841402091</stp>
        <tr r="I305" s="3"/>
      </tp>
      <tp t="s">
        <v>#N/A N/A</v>
        <stp/>
        <stp>BDP|1112352518487148736</stp>
        <tr r="BF46" s="2"/>
      </tp>
      <tp t="s">
        <v>#N/A Requesting Data...3823034818</v>
        <stp/>
        <stp>BDP|8765763608214467835</stp>
        <tr r="AJ54" s="3"/>
      </tp>
      <tp t="s">
        <v>#N/A Requesting Data...2949588664</v>
        <stp/>
        <stp>BDP|1524095241653674552</stp>
        <tr r="BH263" s="3"/>
      </tp>
      <tp t="s">
        <v>#N/A Requesting Data...3007881164</v>
        <stp/>
        <stp>BDP|7585838107365879970</stp>
        <tr r="AS49" s="3"/>
      </tp>
      <tp t="s">
        <v>#N/A N/A</v>
        <stp/>
        <stp>BDP|2152535205292149681</stp>
        <tr r="AX98" s="2"/>
      </tp>
      <tp t="s">
        <v>#N/A Requesting Data...2943523829</v>
        <stp/>
        <stp>BDP|6973067060066948583</stp>
        <tr r="BH266" s="3"/>
      </tp>
      <tp t="s">
        <v>#N/A Requesting Data...2241440451</v>
        <stp/>
        <stp>BDP|4008984984367217100</stp>
        <tr r="BG320" s="3"/>
      </tp>
      <tp t="s">
        <v>#N/A Requesting Data...2179645569</v>
        <stp/>
        <stp>BDP|7054201632513928655</stp>
        <tr r="AH100" s="3"/>
      </tp>
      <tp t="s">
        <v>#N/A N/A</v>
        <stp/>
        <stp>BDP|7219766048016383107</stp>
        <tr r="BG22" s="2"/>
      </tp>
      <tp t="s">
        <v>#N/A Requesting Data...3246336622</v>
        <stp/>
        <stp>BDP|4444258538591542736</stp>
        <tr r="I57" s="3"/>
      </tp>
      <tp t="s">
        <v>#N/A Requesting Data...2538892160</v>
        <stp/>
        <stp>BDP|4894610373554054253</stp>
        <tr r="O335" s="3"/>
      </tp>
      <tp t="s">
        <v>#N/A N/A</v>
        <stp/>
        <stp>BDP|8780395057065454822</stp>
        <tr r="AF18" s="2"/>
      </tp>
      <tp t="s">
        <v>#N/A Requesting Data...2563696034</v>
        <stp/>
        <stp>BDP|5588837999771213624</stp>
        <tr r="AX34" s="4"/>
      </tp>
      <tp t="s">
        <v>#N/A Requesting Data...2039176279</v>
        <stp/>
        <stp>BDP|4307182896498229709</stp>
        <tr r="BH304" s="3"/>
      </tp>
      <tp t="s">
        <v>#N/A N/A</v>
        <stp/>
        <stp>BDP|3465583213810375436</stp>
        <tr r="BN96" s="2"/>
      </tp>
      <tp t="s">
        <v>#N/A Requesting Data...4274009754</v>
        <stp/>
        <stp>BDP|9565482404439295746</stp>
        <tr r="O188" s="3"/>
      </tp>
      <tp t="s">
        <v>#N/A N/A</v>
        <stp/>
        <stp>BDP|2531454700666986367</stp>
        <tr r="BM94" s="2"/>
      </tp>
      <tp t="s">
        <v>#N/A Requesting Data...1940791614</v>
        <stp/>
        <stp>BDP|3525998015411253945</stp>
        <tr r="Q72" s="3"/>
      </tp>
      <tp t="s">
        <v>#N/A Requesting Data...2825781075</v>
        <stp/>
        <stp>BDP|3513505748718477964</stp>
        <tr r="Y13" s="4"/>
      </tp>
      <tp t="s">
        <v>#N/A Requesting Data...4277525841</v>
        <stp/>
        <stp>BDP|6706795409596065486</stp>
        <tr r="AJ347" s="3"/>
      </tp>
      <tp t="s">
        <v>#N/A Requesting Data...1991102033</v>
        <stp/>
        <stp>BDP|7748403539594320723</stp>
        <tr r="BG226" s="3"/>
      </tp>
      <tp t="s">
        <v>#N/A Requesting Data...2295901984</v>
        <stp/>
        <stp>BDP|4681991847713483935</stp>
        <tr r="BF181" s="3"/>
      </tp>
      <tp t="s">
        <v>#N/A Requesting Data...3059156530</v>
        <stp/>
        <stp>BDP|5314920546773809804</stp>
        <tr r="AH301" s="3"/>
      </tp>
      <tp t="s">
        <v>#N/A N/A</v>
        <stp/>
        <stp>BDP|9328970337798823843</stp>
        <tr r="AD30" s="2"/>
      </tp>
      <tp t="s">
        <v>#N/A Requesting Data...2197118871</v>
        <stp/>
        <stp>BDP|3358252114727458491</stp>
        <tr r="G57" s="4"/>
      </tp>
      <tp t="s">
        <v>#N/A Requesting Data...2730355806</v>
        <stp/>
        <stp>BDP|1018901760135712887</stp>
        <tr r="AZ137" s="3"/>
      </tp>
      <tp t="s">
        <v>#N/A Requesting Data...2769315737</v>
        <stp/>
        <stp>BDP|6474359514923162488</stp>
        <tr r="BF154" s="3"/>
      </tp>
      <tp t="s">
        <v>#N/A Requesting Data...4243991243</v>
        <stp/>
        <stp>BDP|6712166808444193042</stp>
        <tr r="O70" s="3"/>
      </tp>
      <tp t="s">
        <v>#N/A Requesting Data...3782770783</v>
        <stp/>
        <stp>BDP|8273544816208988754</stp>
        <tr r="BF235" s="3"/>
      </tp>
      <tp t="s">
        <v>#N/A Requesting Data...3219991873</v>
        <stp/>
        <stp>BDP|1748992131631647959</stp>
        <tr r="BB139" s="3"/>
      </tp>
      <tp t="s">
        <v>#N/A Requesting Data...2272322675</v>
        <stp/>
        <stp>BDP|9852026090434005768</stp>
        <tr r="AQ270" s="3"/>
      </tp>
      <tp t="s">
        <v>#N/A Requesting Data...3247612085</v>
        <stp/>
        <stp>BDP|3592021625370874263</stp>
        <tr r="F342" s="3"/>
      </tp>
      <tp t="s">
        <v>#N/A N/A</v>
        <stp/>
        <stp>BDP|4461358208726361261</stp>
        <tr r="BG26" s="2"/>
      </tp>
      <tp t="s">
        <v>#N/A Requesting Data...3609553877</v>
        <stp/>
        <stp>BDP|2847761427761001553</stp>
        <tr r="O242" s="3"/>
      </tp>
      <tp t="s">
        <v>#N/A Requesting Data...4200907368</v>
        <stp/>
        <stp>BDP|4420619801405192497</stp>
        <tr r="BI181" s="3"/>
      </tp>
      <tp t="s">
        <v>#N/A Requesting Data...3243441015</v>
        <stp/>
        <stp>BDP|5414995917987278949</stp>
        <tr r="BB166" s="3"/>
      </tp>
      <tp t="s">
        <v>#N/A Requesting Data...2154987669</v>
        <stp/>
        <stp>BDP|5555193916641629700</stp>
        <tr r="AS265" s="3"/>
      </tp>
      <tp t="s">
        <v>#N/A Requesting Data...3641141705</v>
        <stp/>
        <stp>BDP|5853452245357302171</stp>
        <tr r="F323" s="3"/>
      </tp>
      <tp t="s">
        <v>#N/A Requesting Data...2646788519</v>
        <stp/>
        <stp>BDP|7815365166571334077</stp>
        <tr r="AA27" s="3"/>
      </tp>
      <tp t="s">
        <v>#N/A Requesting Data...3642392801</v>
        <stp/>
        <stp>BDP|4080731209060791014</stp>
        <tr r="G50" s="4"/>
      </tp>
      <tp t="s">
        <v>#N/A Requesting Data...2124586270</v>
        <stp/>
        <stp>BDP|6879996224888106691</stp>
        <tr r="BF165" s="3"/>
      </tp>
      <tp t="s">
        <v>#N/A Requesting Data...3813978706</v>
        <stp/>
        <stp>BDP|1910568029742857733</stp>
        <tr r="BG138" s="3"/>
      </tp>
      <tp t="s">
        <v>#N/A Requesting Data...2482117890</v>
        <stp/>
        <stp>BDP|7490172461736760581</stp>
        <tr r="Q10" s="3"/>
      </tp>
      <tp t="s">
        <v>#N/A Requesting Data...3941056195</v>
        <stp/>
        <stp>BDP|1854340855977747335</stp>
        <tr r="AO42" s="4"/>
      </tp>
      <tp t="s">
        <v>#N/A Requesting Data...4243863702</v>
        <stp/>
        <stp>BDP|8132198855779770674</stp>
        <tr r="Y291" s="3"/>
      </tp>
      <tp t="s">
        <v>#N/A Requesting Data...3138921952</v>
        <stp/>
        <stp>BDP|2873761478783920222</stp>
        <tr r="BH52" s="3"/>
      </tp>
      <tp t="s">
        <v>#N/A N/A</v>
        <stp/>
        <stp>BDP|6162386813647452033</stp>
        <tr r="BE32" s="2"/>
      </tp>
      <tp t="s">
        <v>#N/A Requesting Data...3433456147</v>
        <stp/>
        <stp>BDP|7402845857731943836</stp>
        <tr r="BA121" s="3"/>
      </tp>
      <tp t="s">
        <v>#N/A Requesting Data...3692496562</v>
        <stp/>
        <stp>BDP|4010195142980171279</stp>
        <tr r="AJ80" s="3"/>
      </tp>
      <tp t="s">
        <v>#N/A Requesting Data...4013521349</v>
        <stp/>
        <stp>BDP|1332689756948131915</stp>
        <tr r="AA226" s="3"/>
      </tp>
      <tp t="s">
        <v>#N/A N/A</v>
        <stp/>
        <stp>BDP|5877742409228029980</stp>
        <tr r="AM5" s="2"/>
      </tp>
      <tp t="s">
        <v>#N/A Requesting Data...3775043308</v>
        <stp/>
        <stp>BDP|6936600745110945781</stp>
        <tr r="AS321" s="3"/>
      </tp>
      <tp t="s">
        <v>#N/A Requesting Data...2161448156</v>
        <stp/>
        <stp>BDP|7624575548704732135</stp>
        <tr r="Y160" s="3"/>
      </tp>
      <tp t="s">
        <v>#N/A Requesting Data...3802454262</v>
        <stp/>
        <stp>BDP|7584615147136806095</stp>
        <tr r="BA162" s="3"/>
      </tp>
      <tp t="s">
        <v>#N/A Requesting Data...3923868825</v>
        <stp/>
        <stp>BDP|4771274443865455455</stp>
        <tr r="I88" s="3"/>
      </tp>
      <tp t="s">
        <v>#N/A Requesting Data...2630405073</v>
        <stp/>
        <stp>BDP|4941846598952637415</stp>
        <tr r="O295" s="3"/>
      </tp>
      <tp t="s">
        <v>#N/A Requesting Data...2338877688</v>
        <stp/>
        <stp>BDP|1680509350866220464</stp>
        <tr r="BA287" s="3"/>
      </tp>
      <tp t="s">
        <v>#N/A Requesting Data...2464572086</v>
        <stp/>
        <stp>BDP|4416895061181639889</stp>
        <tr r="I118" s="3"/>
      </tp>
      <tp t="s">
        <v>#N/A Requesting Data...4186467288</v>
        <stp/>
        <stp>BDP|3677616444994818697</stp>
        <tr r="BF250" s="3"/>
      </tp>
      <tp t="s">
        <v>#N/A Requesting Data...3246387879</v>
        <stp/>
        <stp>BDP|6519425736940024231</stp>
        <tr r="AH103" s="3"/>
      </tp>
      <tp t="s">
        <v>#N/A Requesting Data...3677581750</v>
        <stp/>
        <stp>BDP|4747156755746326566</stp>
        <tr r="O58" s="3"/>
      </tp>
      <tp t="s">
        <v>#N/A Requesting Data...3528616258</v>
        <stp/>
        <stp>BDP|3143936595395258574</stp>
        <tr r="AA30" s="3"/>
      </tp>
      <tp t="s">
        <v>#N/A Requesting Data...2444699484</v>
        <stp/>
        <stp>BDP|1705594608450177754</stp>
        <tr r="Y319" s="3"/>
      </tp>
      <tp t="s">
        <v>#N/A Requesting Data...2308476126</v>
        <stp/>
        <stp>BDP|5481289638110161774</stp>
        <tr r="AA161" s="3"/>
      </tp>
      <tp t="s">
        <v>#N/A Requesting Data...2941434978</v>
        <stp/>
        <stp>BDP|6577653103751503246</stp>
        <tr r="D3" s="4"/>
      </tp>
      <tp t="s">
        <v>#N/A Requesting Data...2366283340</v>
        <stp/>
        <stp>BDP|7233098726136796086</stp>
        <tr r="AS90" s="3"/>
      </tp>
      <tp t="s">
        <v>#N/A N/A</v>
        <stp/>
        <stp>BDP|3531290397403909802</stp>
        <tr r="AO46" s="2"/>
      </tp>
      <tp t="s">
        <v>#N/A Requesting Data...4111037303</v>
        <stp/>
        <stp>BDP|1168376703174004575</stp>
        <tr r="AJ89" s="3"/>
      </tp>
      <tp t="s">
        <v>#N/A N/A</v>
        <stp/>
        <stp>BDP|3163207904706371446</stp>
        <tr r="AM58" s="2"/>
      </tp>
      <tp t="s">
        <v>#N/A Requesting Data...2362541294</v>
        <stp/>
        <stp>BDP|7985392810961458760</stp>
        <tr r="BA258" s="3"/>
      </tp>
      <tp t="s">
        <v>#N/A N/A</v>
        <stp/>
        <stp>BDP|7505955125036399955</stp>
        <tr r="AV12" s="2"/>
      </tp>
      <tp t="s">
        <v>#N/A N/A</v>
        <stp/>
        <stp>BDP|7444927181574363178</stp>
        <tr r="AF57" s="2"/>
      </tp>
      <tp t="s">
        <v>#N/A Requesting Data...3768520759</v>
        <stp/>
        <stp>BDP|7474836632976779912</stp>
        <tr r="BH46" s="3"/>
      </tp>
      <tp t="s">
        <v>#N/A Requesting Data...3556524994</v>
        <stp/>
        <stp>BDP|3303052824376887494</stp>
        <tr r="BF324" s="3"/>
      </tp>
      <tp t="s">
        <v>#N/A Requesting Data...4082760626</v>
        <stp/>
        <stp>BDP|2463634775244488457</stp>
        <tr r="BI199" s="3"/>
      </tp>
      <tp t="s">
        <v>#N/A Requesting Data...2854903446</v>
        <stp/>
        <stp>BDP|6491645017733773132</stp>
        <tr r="AH77" s="3"/>
      </tp>
      <tp t="s">
        <v>#N/A Requesting Data...2668004801</v>
        <stp/>
        <stp>BDP|3355445352270724110</stp>
        <tr r="K49" s="3"/>
      </tp>
      <tp t="s">
        <v>#N/A Requesting Data...2612365061</v>
        <stp/>
        <stp>BDP|7628863593946081300</stp>
        <tr r="AX10" s="2"/>
      </tp>
      <tp t="s">
        <v>#N/A N/A</v>
        <stp/>
        <stp>BDP|4194763552810617500</stp>
        <tr r="BK49" s="2"/>
      </tp>
      <tp t="s">
        <v>#N/A Requesting Data...2490291528</v>
        <stp/>
        <stp>BDP|7416317777564366426</stp>
        <tr r="AS111" s="3"/>
      </tp>
      <tp t="s">
        <v>#N/A N/A</v>
        <stp/>
        <stp>BDP|1356358806759217818</stp>
        <tr r="BK78" s="2"/>
      </tp>
      <tp t="s">
        <v>#N/A Requesting Data...4121125360</v>
        <stp/>
        <stp>BDP|9446425600339160746</stp>
        <tr r="O67" s="3"/>
      </tp>
      <tp t="s">
        <v>#N/A N/A</v>
        <stp/>
        <stp>BDP|5269367264934748749</stp>
        <tr r="BG68" s="2"/>
      </tp>
      <tp t="s">
        <v>#N/A Requesting Data...3151815581</v>
        <stp/>
        <stp>BDP|3973493685445610904</stp>
        <tr r="BA314" s="3"/>
      </tp>
      <tp t="s">
        <v>#N/A Requesting Data...3510307528</v>
        <stp/>
        <stp>BDP|4281047457990501273</stp>
        <tr r="I220" s="3"/>
      </tp>
      <tp t="s">
        <v>#N/A Requesting Data...3257103205</v>
        <stp/>
        <stp>BDP|1407944326139182049</stp>
        <tr r="K20" s="3"/>
      </tp>
      <tp t="s">
        <v>#N/A Requesting Data...2698981720</v>
        <stp/>
        <stp>BDP|9623829153437610029</stp>
        <tr r="BH120" s="3"/>
      </tp>
      <tp t="s">
        <v>#N/A Requesting Data...3333899517</v>
        <stp/>
        <stp>BDP|6314677689123894856</stp>
        <tr r="AS55" s="3"/>
      </tp>
      <tp t="s">
        <v>#N/A Requesting Data...2680729743</v>
        <stp/>
        <stp>BDP|5936989131009028500</stp>
        <tr r="Q20" s="3"/>
      </tp>
      <tp t="s">
        <v>#N/A Requesting Data...3498891678</v>
        <stp/>
        <stp>BDP|3076669535226366301</stp>
        <tr r="BA172" s="3"/>
      </tp>
      <tp t="s">
        <v>#N/A Requesting Data...4137934021</v>
        <stp/>
        <stp>BDP|6708104057780391131</stp>
        <tr r="AS336" s="3"/>
      </tp>
      <tp t="s">
        <v>#N/A N/A</v>
        <stp/>
        <stp>BDP|4595940981121055706</stp>
        <tr r="N53" s="2"/>
      </tp>
      <tp t="s">
        <v>#N/A Requesting Data...3461588313</v>
        <stp/>
        <stp>BDP|2915782010951870691</stp>
        <tr r="AH302" s="3"/>
      </tp>
      <tp t="s">
        <v>#N/A Requesting Data...2615433749</v>
        <stp/>
        <stp>BDP|5892987430355143918</stp>
        <tr r="Q323" s="3"/>
      </tp>
      <tp t="s">
        <v>#N/A Requesting Data...3355764862</v>
        <stp/>
        <stp>BDP|2135523115536172372</stp>
        <tr r="AA172" s="3"/>
      </tp>
      <tp t="s">
        <v>#N/A Requesting Data...3501971413</v>
        <stp/>
        <stp>BDP|9798919343462722524</stp>
        <tr r="AJ68" s="3"/>
      </tp>
      <tp t="s">
        <v>#N/A Requesting Data...4068102150</v>
        <stp/>
        <stp>BDP|6632879161099296226</stp>
        <tr r="AS245" s="3"/>
      </tp>
      <tp t="s">
        <v>#N/A Requesting Data...4121223803</v>
        <stp/>
        <stp>BDP|1217531977495338552</stp>
        <tr r="O38" s="3"/>
      </tp>
      <tp t="s">
        <v>#N/A Requesting Data...3545520265</v>
        <stp/>
        <stp>BDP|7138465158740838576</stp>
        <tr r="I255" s="3"/>
      </tp>
      <tp t="s">
        <v>#N/A Requesting Data...4047004536</v>
        <stp/>
        <stp>BDP|1605766077016704400</stp>
        <tr r="K66" s="3"/>
      </tp>
      <tp t="s">
        <v>#N/A Requesting Data...3187592965</v>
        <stp/>
        <stp>BDP|5560195779598001850</stp>
        <tr r="AZ323" s="3"/>
      </tp>
      <tp t="s">
        <v>#N/A Requesting Data...2806643068</v>
        <stp/>
        <stp>BDP|6675464636495561728</stp>
        <tr r="AX23" s="4"/>
      </tp>
      <tp t="s">
        <v>#N/A Requesting Data...2969047645</v>
        <stp/>
        <stp>BDP|1080305661510370734</stp>
        <tr r="I205" s="3"/>
      </tp>
      <tp t="s">
        <v>#N/A Requesting Data...3751220133</v>
        <stp/>
        <stp>BDP|1172135878784383086</stp>
        <tr r="Y27" s="4"/>
      </tp>
      <tp t="s">
        <v>#N/A Requesting Data...4210811361</v>
        <stp/>
        <stp>BDP|1753374845900729531</stp>
        <tr r="BB160" s="3"/>
      </tp>
      <tp t="s">
        <v>#N/A Requesting Data...3656790147</v>
        <stp/>
        <stp>BDP|3782457576811194244</stp>
        <tr r="BI15" s="3"/>
      </tp>
      <tp t="s">
        <v>#N/A Requesting Data...4132087812</v>
        <stp/>
        <stp>BDP|7073764024213386206</stp>
        <tr r="K279" s="3"/>
      </tp>
      <tp t="s">
        <v>#N/A N/A</v>
        <stp/>
        <stp>BDP|9990858023604613489</stp>
        <tr r="P23" s="2"/>
      </tp>
      <tp t="s">
        <v>#N/A N/A</v>
        <stp/>
        <stp>BDP|4850317743698958821</stp>
        <tr r="AD69" s="2"/>
      </tp>
      <tp t="s">
        <v>#N/A Requesting Data...4187060486</v>
        <stp/>
        <stp>BDP|2584500923846159065</stp>
        <tr r="O154" s="3"/>
      </tp>
      <tp t="s">
        <v>#N/A Requesting Data...3600266208</v>
        <stp/>
        <stp>BDP|5726339487884300913</stp>
        <tr r="BF220" s="3"/>
      </tp>
      <tp t="s">
        <v>#N/A Requesting Data...3266155956</v>
        <stp/>
        <stp>BDP|6971374095087203883</stp>
        <tr r="BB265" s="3"/>
      </tp>
      <tp t="s">
        <v>#N/A Requesting Data...3249306968</v>
        <stp/>
        <stp>BDP|4861708799048188115</stp>
        <tr r="BA275" s="3"/>
      </tp>
      <tp t="s">
        <v>#N/A Requesting Data...2768220455</v>
        <stp/>
        <stp>BDP|6303972867808509278</stp>
        <tr r="BI300" s="3"/>
      </tp>
      <tp t="s">
        <v>#N/A Requesting Data...4085503234</v>
        <stp/>
        <stp>BDP|1302355475073111531</stp>
        <tr r="BB334" s="3"/>
      </tp>
      <tp t="s">
        <v>#N/A Requesting Data...4046868572</v>
        <stp/>
        <stp>BDP|6213945507209417542</stp>
        <tr r="AS101" s="3"/>
      </tp>
      <tp t="s">
        <v>#N/A Requesting Data...4078899413</v>
        <stp/>
        <stp>BDP|2890194300419851988</stp>
        <tr r="AQ37" s="4"/>
      </tp>
      <tp t="s">
        <v>#N/A Requesting Data...3478485787</v>
        <stp/>
        <stp>BDP|2307777652163675017</stp>
        <tr r="M25" s="4"/>
      </tp>
      <tp t="s">
        <v>#N/A Requesting Data...3604593950</v>
        <stp/>
        <stp>BDP|9871899210280435349</stp>
        <tr r="O4" s="3"/>
      </tp>
      <tp t="s">
        <v>#N/A Requesting Data...2560024727</v>
        <stp/>
        <stp>BDP|6180956655258717104</stp>
        <tr r="F41" s="3"/>
      </tp>
      <tp t="s">
        <v>#N/A Requesting Data...3596493058</v>
        <stp/>
        <stp>BDP|6629776338675738488</stp>
        <tr r="Q79" s="3"/>
      </tp>
      <tp t="s">
        <v>#N/A Requesting Data...3542767292</v>
        <stp/>
        <stp>BDP|4783807714679740725</stp>
        <tr r="BG196" s="3"/>
      </tp>
      <tp t="s">
        <v>#N/A Requesting Data...3589049995</v>
        <stp/>
        <stp>BDP|6693724133587376627</stp>
        <tr r="F311" s="3"/>
      </tp>
      <tp t="s">
        <v>#N/A Requesting Data...3185194667</v>
        <stp/>
        <stp>BDP|4193636748001816445</stp>
        <tr r="BA28" s="3"/>
      </tp>
      <tp t="s">
        <v>#N/A N/A</v>
        <stp/>
        <stp>BDP|3799817464068306675</stp>
        <tr r="K62" s="2"/>
      </tp>
      <tp t="s">
        <v>#N/A Requesting Data...4191771908</v>
        <stp/>
        <stp>BDP|7080797314734874635</stp>
        <tr r="BG160" s="3"/>
      </tp>
      <tp t="s">
        <v>#N/A Requesting Data...2941180355</v>
        <stp/>
        <stp>BDP|1982432049480746226</stp>
        <tr r="BA17" s="3"/>
      </tp>
      <tp t="s">
        <v>#N/A Requesting Data...2653024441</v>
        <stp/>
        <stp>BDP|4623763948507602385</stp>
        <tr r="AQ54" s="3"/>
      </tp>
      <tp t="s">
        <v>#N/A Requesting Data...2678582633</v>
        <stp/>
        <stp>BDP|6982284454741685350</stp>
        <tr r="BI255" s="3"/>
      </tp>
      <tp t="s">
        <v>#N/A Requesting Data...4163797633</v>
        <stp/>
        <stp>BDP|6039251771360408062</stp>
        <tr r="BH302" s="3"/>
      </tp>
      <tp t="s">
        <v>#N/A N/A</v>
        <stp/>
        <stp>BDP|1790565354325640758</stp>
        <tr r="T40" s="2"/>
      </tp>
      <tp t="s">
        <v>#N/A Requesting Data...3354381754</v>
        <stp/>
        <stp>BDP|1818939740529585686</stp>
        <tr r="I156" s="3"/>
      </tp>
      <tp t="s">
        <v>#N/A Requesting Data...2658990790</v>
        <stp/>
        <stp>BDP|8936867248644475357</stp>
        <tr r="BG204" s="3"/>
      </tp>
      <tp t="s">
        <v>#N/A Requesting Data...3563502977</v>
        <stp/>
        <stp>BDP|6361963407774050845</stp>
        <tr r="BG68" s="3"/>
      </tp>
      <tp t="s">
        <v>#N/A N/A</v>
        <stp/>
        <stp>BDP|6875000038512260441</stp>
        <tr r="BN29" s="2"/>
      </tp>
      <tp t="s">
        <v>#N/A Requesting Data...3722621464</v>
        <stp/>
        <stp>BDP|3528760620215461012</stp>
        <tr r="F98" s="3"/>
      </tp>
      <tp t="s">
        <v>#N/A Requesting Data...3391471519</v>
        <stp/>
        <stp>BDP|1526873953577540827</stp>
        <tr r="AA114" s="3"/>
      </tp>
      <tp t="s">
        <v>#N/A N/A</v>
        <stp/>
        <stp>BDP|4023342912367114215</stp>
        <tr r="AF62" s="2"/>
      </tp>
      <tp t="s">
        <v>#N/A Requesting Data...3430325104</v>
        <stp/>
        <stp>BDP|1590127736707291756</stp>
        <tr r="Q66" s="3"/>
      </tp>
      <tp t="s">
        <v>#N/A Requesting Data...3302346042</v>
        <stp/>
        <stp>BDP|3587237071371564453</stp>
        <tr r="BG338" s="3"/>
      </tp>
      <tp t="s">
        <v>#N/A Requesting Data...3700391461</v>
        <stp/>
        <stp>BDP|9789415385741465705</stp>
        <tr r="AZ154" s="3"/>
      </tp>
      <tp t="s">
        <v>#N/A Requesting Data...4188250436</v>
        <stp/>
        <stp>BDP|2765996388426745668</stp>
        <tr r="Y71" s="3"/>
      </tp>
      <tp t="s">
        <v>#N/A Requesting Data...3398671565</v>
        <stp/>
        <stp>BDP|6444285859002690040</stp>
        <tr r="BG284" s="3"/>
      </tp>
      <tp t="s">
        <v>#N/A Requesting Data...3607792720</v>
        <stp/>
        <stp>BDP|4392455865427635223</stp>
        <tr r="AQ131" s="3"/>
      </tp>
      <tp t="s">
        <v>#N/A Requesting Data...3753205944</v>
        <stp/>
        <stp>BDP|9271129174474131822</stp>
        <tr r="Q242" s="3"/>
      </tp>
      <tp t="s">
        <v>#N/A Requesting Data...3243162472</v>
        <stp/>
        <stp>BDP|6352939250359225057</stp>
        <tr r="AJ139" s="3"/>
      </tp>
      <tp t="s">
        <v>#N/A N/A</v>
        <stp/>
        <stp>BDP|4971679114378988848</stp>
        <tr r="AM42" s="2"/>
      </tp>
      <tp t="s">
        <v>#N/A N/A</v>
        <stp/>
        <stp>BDP|5486629926837146560</stp>
        <tr r="K49" s="2"/>
      </tp>
      <tp t="s">
        <v>#N/A N/A</v>
        <stp/>
        <stp>BDP|3385729054806003425</stp>
        <tr r="BM38" s="2"/>
      </tp>
      <tp t="s">
        <v>#N/A Requesting Data...4251304836</v>
        <stp/>
        <stp>BDP|2548951780204687410</stp>
        <tr r="BA13" s="3"/>
      </tp>
      <tp t="s">
        <v>#N/A Requesting Data...4199017991</v>
        <stp/>
        <stp>BDP|5460434319617984402</stp>
        <tr r="K149" s="3"/>
      </tp>
      <tp t="s">
        <v>#N/A Requesting Data...2799500477</v>
        <stp/>
        <stp>BDP|5200534001555577627</stp>
        <tr r="Y120" s="3"/>
      </tp>
      <tp t="s">
        <v>#N/A Requesting Data...2751737818</v>
        <stp/>
        <stp>BDP|5421348725812374514</stp>
        <tr r="O347" s="3"/>
      </tp>
      <tp t="s">
        <v>#N/A Requesting Data...2746357306</v>
        <stp/>
        <stp>BDP|3638516410914388034</stp>
        <tr r="BI27" s="3"/>
      </tp>
      <tp t="s">
        <v>#N/A N/A</v>
        <stp/>
        <stp>BDP|8116722416074503973</stp>
        <tr r="P47" s="2"/>
      </tp>
      <tp t="s">
        <v>#N/A N/A</v>
        <stp/>
        <stp>BDP|5293275436003150459</stp>
        <tr r="BM97" s="2"/>
      </tp>
      <tp t="s">
        <v>#N/A Requesting Data...3824997742</v>
        <stp/>
        <stp>BDP|7605031566747071542</stp>
        <tr r="F146" s="3"/>
      </tp>
      <tp t="s">
        <v>#N/A Requesting Data...2782766488</v>
        <stp/>
        <stp>BDP|5001441237009321870</stp>
        <tr r="BH258" s="3"/>
      </tp>
      <tp t="s">
        <v>#N/A Requesting Data...2752302714</v>
        <stp/>
        <stp>BDP|5785555956074275218</stp>
        <tr r="F113" s="3"/>
      </tp>
      <tp t="s">
        <v>#N/A Requesting Data...3302388313</v>
        <stp/>
        <stp>BDP|6423122391834785975</stp>
        <tr r="AA167" s="3"/>
      </tp>
      <tp t="s">
        <v>#N/A Requesting Data...3226020375</v>
        <stp/>
        <stp>BDP|3397772742801222235</stp>
        <tr r="AZ199" s="3"/>
      </tp>
      <tp t="s">
        <v>#N/A Requesting Data...2808644930</v>
        <stp/>
        <stp>BDP|8209820794843347908</stp>
        <tr r="BI105" s="3"/>
      </tp>
      <tp t="s">
        <v>#N/A N/A</v>
        <stp/>
        <stp>BDP|3791349327184371502</stp>
        <tr r="T48" s="2"/>
      </tp>
      <tp t="s">
        <v>#N/A Requesting Data...3793321195</v>
        <stp/>
        <stp>BDP|1581290767447537198</stp>
        <tr r="BF218" s="3"/>
      </tp>
      <tp t="s">
        <v>#N/A Requesting Data...4205044366</v>
        <stp/>
        <stp>BDP|9564803649656963023</stp>
        <tr r="W41" s="4"/>
      </tp>
      <tp t="s">
        <v>#N/A Requesting Data...3429076739</v>
        <stp/>
        <stp>BDP|6487045410676524210</stp>
        <tr r="BH124" s="3"/>
      </tp>
      <tp t="s">
        <v>#N/A Requesting Data...3768430911</v>
        <stp/>
        <stp>BDP|9657875764946643275</stp>
        <tr r="BH264" s="3"/>
      </tp>
      <tp t="s">
        <v>#N/A Requesting Data...4113071304</v>
        <stp/>
        <stp>BDP|7166138447109153802</stp>
        <tr r="F13" s="3"/>
      </tp>
      <tp t="s">
        <v>#N/A Requesting Data...3447316115</v>
        <stp/>
        <stp>BDP|3565396610337828509</stp>
        <tr r="AJ219" s="3"/>
      </tp>
      <tp t="s">
        <v>#N/A Requesting Data...3257450871</v>
        <stp/>
        <stp>BDP|1094247693240157922</stp>
        <tr r="AH12" s="3"/>
      </tp>
      <tp t="s">
        <v>#N/A N/A</v>
        <stp/>
        <stp>BDP|2446477431056596031</stp>
        <tr r="AF37" s="2"/>
      </tp>
      <tp t="s">
        <v>#N/A Requesting Data...3401281392</v>
        <stp/>
        <stp>BDP|7375243473428657969</stp>
        <tr r="BA94" s="3"/>
      </tp>
      <tp t="s">
        <v>#N/A Requesting Data...3103670756</v>
        <stp/>
        <stp>BDP|8481922803083906186</stp>
        <tr r="Y88" s="3"/>
      </tp>
      <tp t="s">
        <v>#N/A Requesting Data...4237291495</v>
        <stp/>
        <stp>BDP|6783954890481210445</stp>
        <tr r="AQ58" s="4"/>
      </tp>
      <tp t="s">
        <v>#N/A Requesting Data...3684982787</v>
        <stp/>
        <stp>BDP|1130247924536571409</stp>
        <tr r="Y74" s="3"/>
      </tp>
      <tp t="s">
        <v>#N/A Requesting Data...3086191277</v>
        <stp/>
        <stp>BDP|4979137901160804670</stp>
        <tr r="AS343" s="3"/>
      </tp>
      <tp t="s">
        <v>#N/A Requesting Data...3046549771</v>
        <stp/>
        <stp>BDP|9987926758963746503</stp>
        <tr r="BH104" s="3"/>
      </tp>
      <tp t="s">
        <v>#N/A Requesting Data...3124308905</v>
        <stp/>
        <stp>BDP|7505059244843054307</stp>
        <tr r="AH280" s="3"/>
      </tp>
      <tp t="s">
        <v>#N/A Requesting Data...4205512877</v>
        <stp/>
        <stp>BDP|2596439562067314434</stp>
        <tr r="AJ185" s="3"/>
      </tp>
      <tp t="s">
        <v>#N/A Requesting Data...4277532885</v>
        <stp/>
        <stp>BDP|8313517202219701731</stp>
        <tr r="AF48" s="4"/>
      </tp>
      <tp t="s">
        <v>#N/A Requesting Data...2951057718</v>
        <stp/>
        <stp>BDP|3552937993763654374</stp>
        <tr r="AJ79" s="3"/>
      </tp>
      <tp t="s">
        <v>#N/A Requesting Data...4050788747</v>
        <stp/>
        <stp>BDP|2782927065296690823</stp>
        <tr r="AS77" s="3"/>
      </tp>
      <tp t="s">
        <v>#N/A Requesting Data...4167773908</v>
        <stp/>
        <stp>BDP|7103870083062700666</stp>
        <tr r="AA105" s="3"/>
      </tp>
      <tp t="s">
        <v>#N/A Requesting Data...3844416084</v>
        <stp/>
        <stp>BDP|3078553900335042015</stp>
        <tr r="BB173" s="3"/>
      </tp>
      <tp t="s">
        <v>#N/A Requesting Data...3282487408</v>
        <stp/>
        <stp>BDP|9356502150668723219</stp>
        <tr r="F310" s="3"/>
      </tp>
      <tp t="s">
        <v>#N/A N/A</v>
        <stp/>
        <stp>BDP|3583801695485572400</stp>
        <tr r="AV55" s="2"/>
      </tp>
      <tp t="s">
        <v>#N/A Requesting Data...3118967617</v>
        <stp/>
        <stp>BDP|8062873020025169439</stp>
        <tr r="AO39" s="4"/>
      </tp>
      <tp t="s">
        <v>#N/A Requesting Data...3781100997</v>
        <stp/>
        <stp>BDP|7061725532620121046</stp>
        <tr r="BB295" s="3"/>
      </tp>
      <tp t="s">
        <v>#N/A Requesting Data...3996823748</v>
        <stp/>
        <stp>BDP|7425824537588146756</stp>
        <tr r="BA308" s="3"/>
      </tp>
      <tp t="s">
        <v>#N/A Requesting Data...4082030238</v>
        <stp/>
        <stp>BDP|9116674882244143003</stp>
        <tr r="BH69" s="3"/>
      </tp>
      <tp t="s">
        <v>#N/A Requesting Data...4201128966</v>
        <stp/>
        <stp>BDP|7332654435273037264</stp>
        <tr r="BI62" s="3"/>
      </tp>
      <tp t="s">
        <v>#N/A Requesting Data...3336265339</v>
        <stp/>
        <stp>BDP|4577472406624159702</stp>
        <tr r="BA157" s="3"/>
      </tp>
      <tp t="s">
        <v>#N/A Requesting Data...3439291660</v>
        <stp/>
        <stp>BDP|8073327562588665637</stp>
        <tr r="I116" s="3"/>
      </tp>
      <tp t="s">
        <v>#N/A N/A</v>
        <stp/>
        <stp>BDP|9015305785365522452</stp>
        <tr r="AX29" s="2"/>
      </tp>
      <tp t="s">
        <v>#N/A Requesting Data...3086284789</v>
        <stp/>
        <stp>BDP|7449017835117263073</stp>
        <tr r="AJ117" s="3"/>
      </tp>
      <tp t="s">
        <v>#N/A N/A</v>
        <stp/>
        <stp>BDP|4042110864437445743</stp>
        <tr r="BN19" s="2"/>
      </tp>
      <tp t="s">
        <v>#N/A Requesting Data...3107569884</v>
        <stp/>
        <stp>BDP|2748201295233327943</stp>
        <tr r="BH300" s="3"/>
      </tp>
      <tp t="s">
        <v>#N/A N/A</v>
        <stp/>
        <stp>BDP|77683898663001528</stp>
        <tr r="BL47" s="2"/>
      </tp>
      <tp t="s">
        <v>#N/A Requesting Data...3467771485</v>
        <stp/>
        <stp>BDP|75784484914836262</stp>
        <tr r="AO10" s="2"/>
      </tp>
      <tp t="s">
        <v>#N/A N/A</v>
        <stp/>
        <stp>BDP|25644869839445092</stp>
        <tr r="K89" s="2"/>
      </tp>
      <tp t="s">
        <v>#N/A Requesting Data...3368864054</v>
        <stp/>
        <stp>BDP|16890169977635098</stp>
        <tr r="BI318" s="3"/>
      </tp>
      <tp t="s">
        <v>#N/A Requesting Data...4249041044</v>
        <stp/>
        <stp>BDP|68352782067284592</stp>
        <tr r="I329" s="3"/>
      </tp>
      <tp t="s">
        <v>#N/A Requesting Data...3949777902</v>
        <stp/>
        <stp>BDP|27637867920470860</stp>
        <tr r="K61" s="3"/>
      </tp>
      <tp t="s">
        <v>#N/A Requesting Data...3969293052</v>
        <stp/>
        <stp>BDP|58732989545215225</stp>
        <tr r="O107" s="3"/>
      </tp>
      <tp t="s">
        <v>#N/A Requesting Data...3767175865</v>
        <stp/>
        <stp>BDP|23413088485843199</stp>
        <tr r="O306" s="3"/>
      </tp>
      <tp t="s">
        <v>#N/A Requesting Data...4186006859</v>
        <stp/>
        <stp>BDP|84818495913311938</stp>
        <tr r="AJ220" s="3"/>
      </tp>
      <tp t="s">
        <v>#N/A Requesting Data...3299891205</v>
        <stp/>
        <stp>BDP|56916073927673259</stp>
        <tr r="BI97" s="3"/>
      </tp>
      <tp t="s">
        <v>#N/A Requesting Data...3331334792</v>
        <stp/>
        <stp>BDP|18302680232961235</stp>
        <tr r="BB87" s="3"/>
      </tp>
      <tp t="s">
        <v>#N/A Requesting Data...3420983207</v>
        <stp/>
        <stp>BDP|47883129354895500</stp>
        <tr r="F120" s="3"/>
      </tp>
      <tp t="s">
        <v>#N/A N/A</v>
        <stp/>
        <stp>BDP|25244693935476437</stp>
        <tr r="V5" s="2"/>
      </tp>
      <tp t="s">
        <v>#N/A Requesting Data...3603569040</v>
        <stp/>
        <stp>BDP|70326719839643157</stp>
        <tr r="AF22" s="4"/>
      </tp>
      <tp t="s">
        <v>#N/A Requesting Data...4053212631</v>
        <stp/>
        <stp>BDP|63303400108037696</stp>
        <tr r="O13" s="3"/>
      </tp>
      <tp t="s">
        <v>#N/A Requesting Data...4254570481</v>
        <stp/>
        <stp>BDP|52406886763848399</stp>
        <tr r="BH168" s="3"/>
      </tp>
      <tp t="s">
        <v>#N/A Requesting Data...3830529042</v>
        <stp/>
        <stp>BDP|69697298743411082</stp>
        <tr r="AJ32" s="3"/>
      </tp>
      <tp t="s">
        <v>#N/A Requesting Data...3192028242</v>
        <stp/>
        <stp>BDP|47432789610521055</stp>
        <tr r="AH225" s="3"/>
      </tp>
      <tp t="s">
        <v>#N/A Requesting Data...3606577344</v>
        <stp/>
        <stp>BDP|56351994493428670</stp>
        <tr r="BG125" s="3"/>
      </tp>
      <tp t="s">
        <v>#N/A N/A</v>
        <stp/>
        <stp>BDP|46217615495242959</stp>
        <tr r="BE25" s="2"/>
      </tp>
      <tp t="s">
        <v>#N/A Requesting Data...3928242228</v>
        <stp/>
        <stp>BDP|70268876503806990</stp>
        <tr r="Y42" s="4"/>
      </tp>
      <tp t="s">
        <v>#N/A Requesting Data...4264678411</v>
        <stp/>
        <stp>BDP|27918762833211396</stp>
        <tr r="BH77" s="3"/>
      </tp>
      <tp t="s">
        <v>#N/A Requesting Data...3680307268</v>
        <stp/>
        <stp>BDP|36097048763273919</stp>
        <tr r="I225" s="3"/>
      </tp>
      <tp t="s">
        <v>#N/A Requesting Data...4239537092</v>
        <stp/>
        <stp>BDP|75779077187308908</stp>
        <tr r="AJ284" s="3"/>
      </tp>
      <tp t="s">
        <v>#N/A Requesting Data...3384681575</v>
        <stp/>
        <stp>BDP|46818439797998207</stp>
        <tr r="BF3" s="2"/>
        <tr r="BA316" s="3"/>
      </tp>
      <tp t="s">
        <v>#N/A Requesting Data...4151806527</v>
        <stp/>
        <stp>BDP|93842782727880952</stp>
        <tr r="AQ281" s="3"/>
      </tp>
      <tp t="s">
        <v>#N/A Requesting Data...3575153147</v>
        <stp/>
        <stp>BDP|14613392197244966</stp>
        <tr r="O26" s="3"/>
      </tp>
      <tp t="s">
        <v>#N/A Requesting Data...3496882183</v>
        <stp/>
        <stp>BDP|32038322663287066</stp>
        <tr r="Q282" s="3"/>
      </tp>
      <tp t="s">
        <v>#N/A N/A</v>
        <stp/>
        <stp>BDP|71656452206486416</stp>
        <tr r="BE40" s="2"/>
      </tp>
      <tp t="s">
        <v>#N/A Requesting Data...3418321176</v>
        <stp/>
        <stp>BDP|76916084375875544</stp>
        <tr r="Q199" s="3"/>
      </tp>
      <tp t="s">
        <v>#N/A Requesting Data...3679797101</v>
        <stp/>
        <stp>BDP|87511748693653369</stp>
        <tr r="AX54" s="4"/>
      </tp>
      <tp t="s">
        <v>#N/A N/A</v>
        <stp/>
        <stp>BDP|78837877278519773</stp>
        <tr r="AF6" s="4"/>
      </tp>
      <tp t="s">
        <v>#N/A Requesting Data...3661078576</v>
        <stp/>
        <stp>BDP|52817536278408309</stp>
        <tr r="BG247" s="3"/>
      </tp>
      <tp t="s">
        <v>#N/A N/A</v>
        <stp/>
        <stp>BDP|53249315821718275</stp>
        <tr r="BL13" s="2"/>
      </tp>
      <tp t="s">
        <v>#N/A Requesting Data...4028909108</v>
        <stp/>
        <stp>BDP|14514268687019444</stp>
        <tr r="BB47" s="3"/>
      </tp>
      <tp t="s">
        <v>#N/A Requesting Data...3602501325</v>
        <stp/>
        <stp>BDP|50506451514928427</stp>
        <tr r="BB324" s="3"/>
      </tp>
      <tp t="s">
        <v>#N/A Requesting Data...3562829417</v>
        <stp/>
        <stp>BDP|15890307862256997</stp>
        <tr r="K178" s="3"/>
      </tp>
      <tp t="s">
        <v>#N/A N/A</v>
        <stp/>
        <stp>BDP|96403309050058731</stp>
        <tr r="T27" s="2"/>
      </tp>
      <tp t="s">
        <v>#N/A Requesting Data...3655739975</v>
        <stp/>
        <stp>BDP|95563267754915427</stp>
        <tr r="BA160" s="3"/>
      </tp>
      <tp t="s">
        <v>#N/A N/A</v>
        <stp/>
        <stp>BDP|96269457183022659</stp>
        <tr r="AF6" s="2"/>
      </tp>
      <tp t="s">
        <v>#N/A Requesting Data...3582589128</v>
        <stp/>
        <stp>BDP|87253177764859359</stp>
        <tr r="AA90" s="3"/>
      </tp>
      <tp t="s">
        <v>#N/A Requesting Data...3862879366</v>
        <stp/>
        <stp>BDP|61655643482260281</stp>
        <tr r="BI158" s="3"/>
      </tp>
      <tp t="s">
        <v>#N/A Requesting Data...3723951167</v>
        <stp/>
        <stp>BDP|21923331518671731</stp>
        <tr r="AA309" s="3"/>
      </tp>
      <tp t="s">
        <v>#N/A Requesting Data...3513916447</v>
        <stp/>
        <stp>BDP|69655571820255522</stp>
        <tr r="AZ344" s="3"/>
      </tp>
      <tp t="s">
        <v>#N/A Requesting Data...3966591849</v>
        <stp/>
        <stp>BDP|58942414164570895</stp>
        <tr r="AA188" s="3"/>
      </tp>
      <tp t="s">
        <v>#N/A Requesting Data...3305849641</v>
        <stp/>
        <stp>BDP|94980062073020820</stp>
        <tr r="BB69" s="3"/>
      </tp>
      <tp t="s">
        <v>#N/A Requesting Data...3440123139</v>
        <stp/>
        <stp>BDP|40425804245731651</stp>
        <tr r="O160" s="3"/>
      </tp>
      <tp t="s">
        <v>#N/A Requesting Data...3617635213</v>
        <stp/>
        <stp>BDP|76160434841801492</stp>
        <tr r="I311" s="3"/>
      </tp>
      <tp t="s">
        <v>#N/A Requesting Data...4055239623</v>
        <stp/>
        <stp>BDP|94643416825284513</stp>
        <tr r="BG10" s="2"/>
      </tp>
      <tp t="s">
        <v>#N/A Requesting Data...3656301858</v>
        <stp/>
        <stp>BDP|92150359610304312</stp>
        <tr r="M10" s="4"/>
      </tp>
      <tp t="s">
        <v>#N/A Requesting Data...3799033593</v>
        <stp/>
        <stp>BDP|94415186849644282</stp>
        <tr r="AH102" s="3"/>
      </tp>
      <tp t="s">
        <v>#N/A Requesting Data...3695287195</v>
        <stp/>
        <stp>BDP|649610957591855748</stp>
        <tr r="BB45" s="3"/>
      </tp>
      <tp t="s">
        <v>#N/A Requesting Data...3290964678</v>
        <stp/>
        <stp>BDP|343680671257179361</stp>
        <tr r="AQ10" s="3"/>
      </tp>
      <tp t="s">
        <v>#N/A Requesting Data...3456551326</v>
        <stp/>
        <stp>BDP|485490949911921402</stp>
        <tr r="AS313" s="3"/>
      </tp>
      <tp t="s">
        <v>#N/A Requesting Data...3287337736</v>
        <stp/>
        <stp>BDP|449080035067790105</stp>
        <tr r="F27" s="3"/>
      </tp>
      <tp t="s">
        <v>#N/A Requesting Data...4260559049</v>
        <stp/>
        <stp>BDP|452939192513932624</stp>
        <tr r="K202" s="3"/>
      </tp>
      <tp t="s">
        <v>#N/A N/A</v>
        <stp/>
        <stp>BDP|558004958950038029</stp>
        <tr r="BG54" s="2"/>
      </tp>
      <tp t="s">
        <v>#N/A Requesting Data...3737134100</v>
        <stp/>
        <stp>BDP|377334541035827760</stp>
        <tr r="AZ244" s="3"/>
      </tp>
      <tp t="s">
        <v>#N/A Requesting Data...3344010150</v>
        <stp/>
        <stp>BDP|109009671827162587</stp>
        <tr r="BH340" s="3"/>
      </tp>
      <tp t="s">
        <v>#N/A N/A</v>
        <stp/>
        <stp>BDP|595720519976728507</stp>
        <tr r="BM11" s="2"/>
      </tp>
      <tp t="s">
        <v>#N/A Requesting Data...3534148368</v>
        <stp/>
        <stp>BDP|878553256366355320</stp>
        <tr r="K80" s="3"/>
      </tp>
      <tp t="s">
        <v>#N/A Requesting Data...3955437395</v>
        <stp/>
        <stp>BDP|934573948562456685</stp>
        <tr r="BB231" s="3"/>
      </tp>
      <tp t="s">
        <v>#N/A Requesting Data...3478722645</v>
        <stp/>
        <stp>BDP|688779854550760798</stp>
        <tr r="BA61" s="3"/>
      </tp>
      <tp t="s">
        <v>#N/A Requesting Data...3848172294</v>
        <stp/>
        <stp>BDP|976317121456566282</stp>
        <tr r="BI312" s="3"/>
      </tp>
      <tp t="s">
        <v>#N/A N/A</v>
        <stp/>
        <stp>BDP|310976900958712462</stp>
        <tr r="BF44" s="2"/>
      </tp>
      <tp t="s">
        <v>#N/A Requesting Data...3854911600</v>
        <stp/>
        <stp>BDP|979080432626228041</stp>
        <tr r="F253" s="3"/>
      </tp>
      <tp t="s">
        <v>#N/A Requesting Data...3762709744</v>
        <stp/>
        <stp>BDP|200314025707319338</stp>
        <tr r="BB228" s="3"/>
      </tp>
      <tp t="s">
        <v>#N/A N/A</v>
        <stp/>
        <stp>BDP|962310056860028383</stp>
        <tr r="BM27" s="2"/>
      </tp>
      <tp t="s">
        <v>#N/A Requesting Data...3962760817</v>
        <stp/>
        <stp>BDP|582837108935019886</stp>
        <tr r="BB220" s="3"/>
      </tp>
      <tp t="s">
        <v>#N/A Requesting Data...4243943535</v>
        <stp/>
        <stp>BDP|151501800457448731</stp>
        <tr r="G52" s="4"/>
      </tp>
      <tp t="s">
        <v>#N/A N/A</v>
        <stp/>
        <stp>BDP|452051267813859090</stp>
        <tr r="K24" s="2"/>
      </tp>
      <tp t="s">
        <v>#N/A Requesting Data...3489460711</v>
        <stp/>
        <stp>BDP|710724402362751009</stp>
        <tr r="W27" s="4"/>
      </tp>
      <tp t="s">
        <v>#N/A Requesting Data...3417253718</v>
        <stp/>
        <stp>BDP|941931740741237988</stp>
        <tr r="AA162" s="3"/>
      </tp>
      <tp t="s">
        <v>#N/A Requesting Data...3832120661</v>
        <stp/>
        <stp>BDP|649521271837611014</stp>
        <tr r="BI258" s="3"/>
      </tp>
      <tp t="s">
        <v>#N/A Requesting Data...3507229814</v>
        <stp/>
        <stp>BDP|303333940997575575</stp>
        <tr r="BH78" s="3"/>
      </tp>
      <tp t="s">
        <v>#N/A N/A</v>
        <stp/>
        <stp>BDP|536030214030032402</stp>
        <tr r="BL24" s="2"/>
      </tp>
      <tp t="s">
        <v>#N/A Requesting Data...4153841274</v>
        <stp/>
        <stp>BDP|303561964604051232</stp>
        <tr r="BI177" s="3"/>
      </tp>
      <tp t="s">
        <v>#N/A Requesting Data...3627591050</v>
        <stp/>
        <stp>BDP|365830685523323644</stp>
        <tr r="Y259" s="3"/>
      </tp>
      <tp t="s">
        <v>#N/A N/A</v>
        <stp/>
        <stp>BDP|729869548138280071</stp>
        <tr r="T52" s="2"/>
      </tp>
      <tp t="s">
        <v>#N/A Requesting Data...4189528712</v>
        <stp/>
        <stp>BDP|795437379352595544</stp>
        <tr r="Y286" s="3"/>
      </tp>
      <tp t="s">
        <v>#N/A Requesting Data...4123864937</v>
        <stp/>
        <stp>BDP|136964316018972447</stp>
        <tr r="BA176" s="3"/>
      </tp>
      <tp t="s">
        <v>#N/A Requesting Data...3436698422</v>
        <stp/>
        <stp>BDP|503555989528757138</stp>
        <tr r="F177" s="3"/>
      </tp>
      <tp t="s">
        <v>#N/A Requesting Data...3552014547</v>
        <stp/>
        <stp>BDP|622774538152278267</stp>
        <tr r="BA317" s="3"/>
      </tp>
      <tp t="s">
        <v>#N/A Requesting Data...4198310679</v>
        <stp/>
        <stp>BDP|837565103560045132</stp>
        <tr r="BG78" s="3"/>
      </tp>
      <tp t="s">
        <v>#N/A Requesting Data...3514605836</v>
        <stp/>
        <stp>BDP|692475165982981453</stp>
        <tr r="I202" s="3"/>
      </tp>
      <tp t="s">
        <v>#N/A Requesting Data...4146837805</v>
        <stp/>
        <stp>BDP|304567906857245694</stp>
        <tr r="AJ190" s="3"/>
      </tp>
      <tp t="s">
        <v>#N/A Requesting Data...3942163589</v>
        <stp/>
        <stp>BDP|738705084159285282</stp>
        <tr r="K304" s="3"/>
      </tp>
      <tp t="s">
        <v>#N/A Requesting Data...3568440111</v>
        <stp/>
        <stp>BDP|751484585711036935</stp>
        <tr r="M57" s="4"/>
      </tp>
      <tp t="s">
        <v>#N/A Requesting Data...4092740583</v>
        <stp/>
        <stp>BDP|904236671105258403</stp>
        <tr r="Y311" s="3"/>
      </tp>
      <tp t="s">
        <v>#N/A Requesting Data...3814572664</v>
        <stp/>
        <stp>BDP|195512437932868062</stp>
        <tr r="BG305" s="3"/>
      </tp>
      <tp t="s">
        <v>#N/A N/A</v>
        <stp/>
        <stp>BDP|477062242861376196</stp>
        <tr r="AV18" s="2"/>
      </tp>
      <tp t="s">
        <v>#N/A Requesting Data...3634005631</v>
        <stp/>
        <stp>BDP|679008726802251481</stp>
        <tr r="F24" s="3"/>
      </tp>
      <tp t="s">
        <v>#N/A N/A</v>
        <stp/>
        <stp>BDP|805538145220700524</stp>
        <tr r="BN89" s="2"/>
      </tp>
      <tp t="s">
        <v>#N/A Requesting Data...3933080032</v>
        <stp/>
        <stp>BDP|176656161021774592</stp>
        <tr r="F333" s="3"/>
      </tp>
      <tp t="s">
        <v>#N/A Requesting Data...3980543980</v>
        <stp/>
        <stp>BDP|700242048656710482</stp>
        <tr r="BF266" s="3"/>
      </tp>
      <tp t="s">
        <v>#N/A Requesting Data...3728442590</v>
        <stp/>
        <stp>BDP|583375237886428253</stp>
        <tr r="K105" s="3"/>
      </tp>
      <tp t="s">
        <v>#N/A N/A</v>
        <stp/>
        <stp>BDP|779036872072203104</stp>
        <tr r="BG79" s="2"/>
      </tp>
      <tp t="s">
        <v>#N/A Requesting Data...3860299382</v>
        <stp/>
        <stp>BDP|192527635544010630</stp>
        <tr r="BA195" s="3"/>
      </tp>
      <tp t="s">
        <v>#N/A Requesting Data...3547706875</v>
        <stp/>
        <stp>BDP|425458636620669349</stp>
        <tr r="BH246" s="3"/>
      </tp>
      <tp t="s">
        <v>#N/A N/A</v>
        <stp/>
        <stp>BDP|681120479533313187</stp>
        <tr r="AD59" s="2"/>
      </tp>
      <tp t="s">
        <v>#N/A Requesting Data...3931378723</v>
        <stp/>
        <stp>BDP|403403258001855423</stp>
        <tr r="BK9" s="2"/>
      </tp>
      <tp t="s">
        <v>#N/A Requesting Data...4059047227</v>
        <stp/>
        <stp>BDP|349756786889975295</stp>
        <tr r="BA293" s="3"/>
      </tp>
      <tp t="s">
        <v>#N/A Requesting Data...4252360952</v>
        <stp/>
        <stp>BDP|216023350449651861</stp>
        <tr r="O69" s="3"/>
      </tp>
      <tp t="s">
        <v>#N/A Requesting Data...3972340798</v>
        <stp/>
        <stp>BDP|526693319995690628</stp>
        <tr r="I150" s="3"/>
      </tp>
      <tp t="s">
        <v>#N/A Requesting Data...3969184543</v>
        <stp/>
        <stp>BDP|403851660909761372</stp>
        <tr r="AJ181" s="3"/>
      </tp>
      <tp t="s">
        <v>#N/A Requesting Data...3730518677</v>
        <stp/>
        <stp>BDP|729924633199536713</stp>
        <tr r="F257" s="3"/>
      </tp>
      <tp t="s">
        <v>#N/A Requesting Data...4286973059</v>
        <stp/>
        <stp>BDP|638858648119438238</stp>
        <tr r="AH160" s="3"/>
      </tp>
      <tp t="s">
        <v>#N/A Requesting Data...4171402138</v>
        <stp/>
        <stp>BDP|867154163439245907</stp>
        <tr r="AA276" s="3"/>
      </tp>
      <tp t="s">
        <v>#N/A Requesting Data...4179947471</v>
        <stp/>
        <stp>BDP|259841319367320918</stp>
        <tr r="AZ343" s="3"/>
      </tp>
      <tp t="s">
        <v>#N/A N/A</v>
        <stp/>
        <stp>BDP|429452670633885748</stp>
        <tr r="AX38" s="2"/>
      </tp>
      <tp t="s">
        <v>#N/A Requesting Data...3894144091</v>
        <stp/>
        <stp>BDP|940504848802644482</stp>
        <tr r="AS234" s="3"/>
      </tp>
      <tp t="s">
        <v>#N/A N/A</v>
        <stp/>
        <stp>BDP|852927711557495803</stp>
        <tr r="AF80" s="2"/>
      </tp>
      <tp t="s">
        <v>#N/A Requesting Data...3935884946</v>
        <stp/>
        <stp>BDP|198084446482456137</stp>
        <tr r="BG262" s="3"/>
      </tp>
      <tp t="s">
        <v>#N/A Requesting Data...4007377570</v>
        <stp/>
        <stp>BDP|789304324971276790</stp>
        <tr r="BH190" s="3"/>
      </tp>
      <tp t="s">
        <v>#N/A Requesting Data...4022461981</v>
        <stp/>
        <stp>BDP|545210849757176647</stp>
        <tr r="G30" s="4"/>
      </tp>
      <tp t="s">
        <v>#N/A Requesting Data...3671629607</v>
        <stp/>
        <stp>BDP|837596303004933635</stp>
        <tr r="O108" s="3"/>
      </tp>
      <tp t="s">
        <v>#N/A Requesting Data...4052471553</v>
        <stp/>
        <stp>BDP|744565437316788785</stp>
        <tr r="AS332" s="3"/>
      </tp>
      <tp t="s">
        <v>#N/A Requesting Data...4186418547</v>
        <stp/>
        <stp>BDP|190685600517317601</stp>
        <tr r="BH84" s="3"/>
      </tp>
      <tp t="s">
        <v>#N/A Requesting Data...4172785701</v>
        <stp/>
        <stp>BDP|941729305524612424</stp>
        <tr r="AA337" s="3"/>
      </tp>
      <tp t="s">
        <v>#N/A Requesting Data...3917924622</v>
        <stp/>
        <stp>BDP|309727632323860014</stp>
        <tr r="AH8" s="3"/>
      </tp>
      <tp t="s">
        <v>#N/A N/A</v>
        <stp/>
        <stp>BDP|418326447292352269</stp>
        <tr r="BL68" s="2"/>
      </tp>
      <tp t="s">
        <v>#N/A Requesting Data...4057140015</v>
        <stp/>
        <stp>BDP|522867787036385131</stp>
        <tr r="I167" s="3"/>
      </tp>
      <tp t="s">
        <v>#N/A N/A</v>
        <stp/>
        <stp>BDP|313946758968351389</stp>
        <tr r="P12" s="2"/>
      </tp>
      <tp t="s">
        <v>#N/A Requesting Data...4153311079</v>
        <stp/>
        <stp>BDP|998520468305108177</stp>
        <tr r="O296" s="3"/>
      </tp>
      <tp t="s">
        <v>#N/A N/A</v>
        <stp/>
        <stp>BDP|571150241467248565</stp>
        <tr r="AD52" s="2"/>
      </tp>
      <tp t="s">
        <v>#N/A Requesting Data...3850298453</v>
        <stp/>
        <stp>BDP|826168519293494462</stp>
        <tr r="V16" s="2"/>
        <tr r="O8" s="4"/>
      </tp>
      <tp t="s">
        <v>#N/A N/A</v>
        <stp/>
        <stp>BDP|720235928261100685</stp>
        <tr r="AM36" s="2"/>
      </tp>
      <tp t="s">
        <v>#N/A Requesting Data...4162374891</v>
        <stp/>
        <stp>BDP|624192464308499893</stp>
        <tr r="AX40" s="4"/>
      </tp>
      <tp t="s">
        <v>#N/A Requesting Data...3770067507</v>
        <stp/>
        <stp>BDP|341161873977467653</stp>
        <tr r="AJ104" s="3"/>
      </tp>
      <tp t="s">
        <v>#N/A Requesting Data...4137845866</v>
        <stp/>
        <stp>BDP|167459994918544250</stp>
        <tr r="I169" s="3"/>
      </tp>
      <tp t="s">
        <v>#N/A Requesting Data...4123439804</v>
        <stp/>
        <stp>BDP|512137665837221702</stp>
        <tr r="BI332" s="3"/>
      </tp>
      <tp t="s">
        <v>#N/A N/A</v>
        <stp/>
        <stp>BDP|598108075789333829</stp>
        <tr r="AD36" s="2"/>
      </tp>
      <tp t="s">
        <v>#N/A Requesting Data...4057455320</v>
        <stp/>
        <stp>BDP|342123976770663133</stp>
        <tr r="AJ222" s="3"/>
      </tp>
      <tp t="s">
        <v>#N/A Requesting Data...3806152641</v>
        <stp/>
        <stp>BDP|332210007710184487</stp>
        <tr r="BB285" s="3"/>
      </tp>
      <tp t="s">
        <v>#N/A Requesting Data...4154712323</v>
        <stp/>
        <stp>BDP|606227044825859549</stp>
        <tr r="AZ261" s="3"/>
      </tp>
      <tp t="s">
        <v>#N/A Requesting Data...3993282381</v>
        <stp/>
        <stp>BDP|946177763428375920</stp>
        <tr r="AZ77" s="3"/>
      </tp>
      <tp t="s">
        <v>#N/A Requesting Data...4007843650</v>
        <stp/>
        <stp>BDP|169010134537862217</stp>
        <tr r="AA85" s="3"/>
      </tp>
      <tp t="s">
        <v>#N/A Requesting Data...4164499895</v>
        <stp/>
        <stp>BDP|934125161165753439</stp>
        <tr r="AZ304" s="3"/>
      </tp>
      <tp t="s">
        <v>#N/A Requesting Data...4161946379</v>
        <stp/>
        <stp>BDP|997096166573129398</stp>
        <tr r="BB268" s="3"/>
      </tp>
      <tp t="s">
        <v>#N/A Requesting Data...3938511628</v>
        <stp/>
        <stp>BDP|825994698166689006</stp>
        <tr r="AA45" s="3"/>
      </tp>
      <tp t="s">
        <v>#N/A Requesting Data...3951527585</v>
        <stp/>
        <stp>BDP|385055773971963034</stp>
        <tr r="BB315" s="3"/>
      </tp>
      <tp t="s">
        <v>#N/A Requesting Data...3858459683</v>
        <stp/>
        <stp>BDP|119030206355436389</stp>
        <tr r="BA42" s="3"/>
      </tp>
      <tp t="s">
        <v>#N/A Requesting Data...3989714289</v>
        <stp/>
        <stp>BDP|184289773411117237</stp>
        <tr r="Q257" s="3"/>
      </tp>
      <tp t="s">
        <v>#N/A Requesting Data...3985732184</v>
        <stp/>
        <stp>BDP|262842879601358841</stp>
        <tr r="I63" s="3"/>
      </tp>
      <tp t="s">
        <v>#N/A Requesting Data...4249116739</v>
        <stp/>
        <stp>BDP|870875860158468029</stp>
        <tr r="AS92" s="3"/>
      </tp>
      <tp t="s">
        <v>#N/A N/A</v>
        <stp/>
        <stp>BDP|661598922079080840</stp>
        <tr r="BK63" s="2"/>
      </tp>
      <tp t="s">
        <v>#N/A Requesting Data...4013470264</v>
        <stp/>
        <stp>BDP|573831925499987501</stp>
        <tr r="N7" s="2"/>
      </tp>
      <tp t="s">
        <v>#N/A Requesting Data...3920677328</v>
        <stp/>
        <stp>BDP|876127241844478758</stp>
        <tr r="AJ198" s="3"/>
      </tp>
      <tp t="s">
        <v>#N/A Requesting Data...4017667524</v>
        <stp/>
        <stp>BDP|840450411351204243</stp>
        <tr r="AS63" s="3"/>
      </tp>
      <tp t="s">
        <v>#N/A N/A</v>
        <stp/>
        <stp>BDP|886271742926137689</stp>
        <tr r="BE30" s="2"/>
      </tp>
      <tp t="s">
        <v>#N/A Requesting Data...4031179201</v>
        <stp/>
        <stp>BDP|585699072655867228</stp>
        <tr r="BG164" s="3"/>
      </tp>
      <tp t="s">
        <v>#N/A Requesting Data...3932907993</v>
        <stp/>
        <stp>BDP|664272375804819797</stp>
        <tr r="BG96" s="3"/>
      </tp>
      <tp t="s">
        <v>#N/A Requesting Data...4282425526</v>
        <stp/>
        <stp>BDP|780371015594928090</stp>
        <tr r="BH34" s="3"/>
      </tp>
      <tp t="s">
        <v>#N/A Requesting Data...4174849090</v>
        <stp/>
        <stp>BDP|301372938365175380</stp>
        <tr r="F328" s="3"/>
      </tp>
      <tp t="s">
        <v>#N/A Requesting Data...4086733703</v>
        <stp/>
        <stp>BDP|241414732892458309</stp>
        <tr r="K39" s="3"/>
      </tp>
      <tp t="s">
        <v>#N/A Requesting Data...3942163044</v>
        <stp/>
        <stp>BDP|454942992920516614</stp>
        <tr r="I285" s="3"/>
      </tp>
      <tp t="s">
        <v>#N/A Requesting Data...4041360289</v>
        <stp/>
        <stp>BDP|644655208501441188</stp>
        <tr r="Q187" s="3"/>
      </tp>
      <tp t="s">
        <v>#N/A Requesting Data...4064829935</v>
        <stp/>
        <stp>BDP|741922136889368503</stp>
        <tr r="Q100" s="3"/>
      </tp>
      <tp t="s">
        <v>#N/A Requesting Data...4046874211</v>
        <stp/>
        <stp>BDP|296676622897332548</stp>
        <tr r="BG229" s="3"/>
      </tp>
      <tp t="s">
        <v>#N/A Requesting Data...4210841173</v>
        <stp/>
        <stp>BDP|107296809951114502</stp>
        <tr r="Q232" s="3"/>
      </tp>
      <tp t="s">
        <v>#N/A Requesting Data...4149244454</v>
        <stp/>
        <stp>BDP|533317154932258225</stp>
        <tr r="I84" s="3"/>
      </tp>
      <tp t="s">
        <v>#N/A Requesting Data...4052406917</v>
        <stp/>
        <stp>BDP|807162070619887976</stp>
        <tr r="BI81" s="3"/>
      </tp>
      <tp t="s">
        <v>#N/A Requesting Data...4246897664</v>
        <stp/>
        <stp>BDP|755505703993439015</stp>
        <tr r="AS252" s="3"/>
      </tp>
      <tp t="s">
        <v>#N/A Requesting Data...3954112074</v>
        <stp/>
        <stp>BDP|745802683656207047</stp>
        <tr r="AS317" s="3"/>
      </tp>
      <tp t="s">
        <v>#N/A Requesting Data...4018841636</v>
        <stp/>
        <stp>BDP|125437852546376112</stp>
        <tr r="BH199" s="3"/>
      </tp>
      <tp t="s">
        <v>#N/A Requesting Data...4242434182</v>
        <stp/>
        <stp>BDP|254011942702174034</stp>
        <tr r="F105" s="3"/>
      </tp>
      <tp t="s">
        <v>#N/A Requesting Data...3984711899</v>
        <stp/>
        <stp>BDP|961212012751389354</stp>
        <tr r="F320" s="3"/>
      </tp>
      <tp t="s">
        <v>#N/A Requesting Data...4201564717</v>
        <stp/>
        <stp>BDP|293929396709847823</stp>
        <tr r="I203" s="3"/>
      </tp>
      <tp t="s">
        <v>#N/A N/A</v>
        <stp/>
        <stp>BDP|625696197747489921</stp>
        <tr r="BK16" s="2"/>
      </tp>
      <tp t="s">
        <v>#N/A Requesting Data...3994143020</v>
        <stp/>
        <stp>BDP|568020986000971969</stp>
        <tr r="AJ287" s="3"/>
      </tp>
      <tp t="s">
        <v>#N/A Requesting Data...3996318055</v>
        <stp/>
        <stp>BDP|247106213423942266</stp>
        <tr r="AH89" s="3"/>
      </tp>
      <tp t="s">
        <v>#N/A Requesting Data...4028091459</v>
        <stp/>
        <stp>BDP|455093683119313024</stp>
        <tr r="AJ109" s="3"/>
      </tp>
      <tp t="s">
        <v>#N/A Requesting Data...4205490995</v>
        <stp/>
        <stp>BDP|673517295604403994</stp>
        <tr r="AA140" s="3"/>
      </tp>
      <tp t="s">
        <v>#N/A Requesting Data...4274554295</v>
        <stp/>
        <stp>BDP|363931273598988722</stp>
        <tr r="AJ21" s="3"/>
      </tp>
      <tp t="s">
        <v>#N/A N/A</v>
        <stp/>
        <stp>BDP|965573226317599153</stp>
        <tr r="AM38" s="2"/>
      </tp>
      <tp t="s">
        <v>#N/A Requesting Data...4071267556</v>
        <stp/>
        <stp>BDP|305133211565164495</stp>
        <tr r="AA299" s="3"/>
      </tp>
      <tp t="s">
        <v>#N/A Requesting Data...4134217288</v>
        <stp/>
        <stp>BDP|811817787380702139</stp>
        <tr r="AH311" s="3"/>
      </tp>
      <tp t="s">
        <v>#N/A Requesting Data...4178131339</v>
        <stp/>
        <stp>BDP|167511040182352281</stp>
        <tr r="BA264" s="3"/>
      </tp>
      <tp t="s">
        <v>#N/A Requesting Data...4282569529</v>
        <stp/>
        <stp>BDP|844339929803001394</stp>
        <tr r="Q101" s="3"/>
      </tp>
      <tp t="s">
        <v>#N/A N/A</v>
        <stp/>
        <stp>BDP|603780518585134231</stp>
        <tr r="BM18" s="2"/>
      </tp>
      <tp t="s">
        <v>#N/A N/A</v>
        <stp/>
        <stp>BDP|391568170870997398</stp>
        <tr r="BN14" s="2"/>
      </tp>
      <tp t="s">
        <v>#N/A N/A</v>
        <stp/>
        <stp>BDP|826562728854011231</stp>
        <tr r="BE84" s="2"/>
      </tp>
      <tp t="s">
        <v>#N/A Requesting Data...4215335886</v>
        <stp/>
        <stp>BDP|360157533863134012</stp>
        <tr r="K311" s="3"/>
      </tp>
      <tp t="s">
        <v>#N/A Requesting Data...4219901724</v>
        <stp/>
        <stp>BDP|278429166443036037</stp>
        <tr r="BB330" s="3"/>
      </tp>
      <tp t="s">
        <v>#N/A N/A</v>
        <stp/>
        <stp>BDP|854168230510816337</stp>
        <tr r="P32" s="2"/>
      </tp>
      <tp t="s">
        <v>#N/A Requesting Data...4159668417</v>
        <stp/>
        <stp>BDP|366414046293651275</stp>
        <tr r="F201" s="3"/>
      </tp>
      <tp t="s">
        <v>#N/A N/A</v>
        <stp/>
        <stp>BDP|828608145010352387</stp>
        <tr r="N63" s="2"/>
      </tp>
      <tp t="s">
        <v>#N/A Requesting Data...4059363220</v>
        <stp/>
        <stp>BDP|169241669971242484</stp>
        <tr r="AX26" s="4"/>
        <tr r="AZ197" s="3"/>
      </tp>
      <tp t="s">
        <v>#N/A Requesting Data...4279690609</v>
        <stp/>
        <stp>BDP|421356844381373706</stp>
        <tr r="BH301" s="3"/>
      </tp>
      <tp t="s">
        <v>#N/A Requesting Data...4073893704</v>
        <stp/>
        <stp>BDP|528454530252089469</stp>
        <tr r="BH193" s="3"/>
      </tp>
      <tp t="s">
        <v>#N/A Requesting Data...4124709718</v>
        <stp/>
        <stp>BDP|604213013444691655</stp>
        <tr r="BI224" s="3"/>
      </tp>
      <tp t="s">
        <v>#N/A N/A</v>
        <stp/>
        <stp>BDP|262371296203266864</stp>
        <tr r="V93" s="2"/>
      </tp>
      <tp t="s">
        <v>#N/A N/A</v>
        <stp/>
        <stp>BDP|490673331031275503</stp>
        <tr r="BF38" s="2"/>
      </tp>
      <tp t="s">
        <v>#N/A Requesting Data...4102085722</v>
        <stp/>
        <stp>BDP|129482220081032691</stp>
        <tr r="BF74" s="3"/>
      </tp>
      <tp t="s">
        <v>#N/A Requesting Data...4270867559</v>
        <stp/>
        <stp>BDP|438172360111499765</stp>
        <tr r="AQ286" s="3"/>
      </tp>
      <tp t="s">
        <v>#N/A Requesting Data...4162300362</v>
        <stp/>
        <stp>BDP|944899933418705259</stp>
        <tr r="BH80" s="3"/>
      </tp>
      <tp t="s">
        <v>#N/A Requesting Data...4124198526</v>
        <stp/>
        <stp>BDP|329496956173693387</stp>
        <tr r="AS219" s="3"/>
      </tp>
      <tp t="s">
        <v>#N/A Requesting Data...4135915331</v>
        <stp/>
        <stp>BDP|883375052871870662</stp>
        <tr r="BG172" s="3"/>
      </tp>
      <tp t="s">
        <v>#N/A N/A</v>
        <stp/>
        <stp>BDP|733737076125627476</stp>
        <tr r="BM90" s="2"/>
      </tp>
      <tp t="s">
        <v>#N/A Requesting Data...4209094127</v>
        <stp/>
        <stp>BDP|582992687429739806</stp>
        <tr r="AJ339" s="3"/>
      </tp>
      <tp t="s">
        <v>#N/A Requesting Data...4290406944</v>
        <stp/>
        <stp>BDP|199561659636697649</stp>
        <tr r="AS4" s="3"/>
      </tp>
      <tp t="s">
        <v>#N/A Requesting Data...4195305531</v>
        <stp/>
        <stp>BDP|592012859065475051</stp>
        <tr r="BI28" s="3"/>
      </tp>
      <tp t="s">
        <v>#N/A Requesting Data...4273785326</v>
        <stp/>
        <stp>BDP|274144369182044534</stp>
        <tr r="AA184" s="3"/>
      </tp>
      <tp t="s">
        <v>#N/A Requesting Data...4194848572</v>
        <stp/>
        <stp>BDP|925301586693507863</stp>
        <tr r="BG310" s="3"/>
      </tp>
      <tp t="s">
        <v>#N/A N/A</v>
        <stp/>
        <stp>BDP|265299946061519751</stp>
        <tr r="AM52" s="2"/>
      </tp>
      <tp t="s">
        <v>#N/A Requesting Data...4174036846</v>
        <stp/>
        <stp>BDP|140311495062107894</stp>
        <tr r="BF305" s="3"/>
      </tp>
      <tp t="s">
        <v>#N/A Requesting Data...4271036339</v>
        <stp/>
        <stp>BDP|866873894180136151</stp>
        <tr r="I139" s="3"/>
      </tp>
      <tp t="s">
        <v>#N/A N/A</v>
        <stp/>
        <stp>BDP|474485714055363042</stp>
        <tr r="AM101" s="2"/>
      </tp>
      <tp t="s">
        <v>#N/A Requesting Data...4187387502</v>
        <stp/>
        <stp>BDP|288392731712116237</stp>
        <tr r="AQ279" s="3"/>
      </tp>
      <tp t="s">
        <v>#N/A Requesting Data...4223782764</v>
        <stp/>
        <stp>BDP|774353408555609647</stp>
        <tr r="I37" s="3"/>
      </tp>
      <tp t="s">
        <v>#N/A N/A</v>
        <stp/>
        <stp>BDP|279622107760995674</stp>
        <tr r="BL88" s="2"/>
      </tp>
      <tp t="s">
        <v>#N/A Requesting Data...4283708900</v>
        <stp/>
        <stp>BDP|185125711151266195</stp>
        <tr r="AZ109" s="3"/>
      </tp>
      <tp t="s">
        <v>#N/A Requesting Data...4288457732</v>
        <stp/>
        <stp>BDP|559936298015468535</stp>
        <tr r="I295" s="3"/>
      </tp>
      <tp t="s">
        <v>#N/A Requesting Data...4233125250</v>
        <stp/>
        <stp>BDP|477599526901719671</stp>
        <tr r="BH39" s="3"/>
      </tp>
      <tp t="s">
        <v>#N/A Requesting Data...4197556354</v>
        <stp/>
        <stp>BDP|191168272512711465</stp>
        <tr r="Y19" s="4"/>
      </tp>
      <tp t="s">
        <v>#N/A Requesting Data...4240344464</v>
        <stp/>
        <stp>BDP|620053024064628649</stp>
        <tr r="K72" s="3"/>
      </tp>
      <tp t="s">
        <v>#N/A Requesting Data...4266881508</v>
        <stp/>
        <stp>BDP|767805280356021629</stp>
        <tr r="BI54" s="3"/>
      </tp>
      <tp t="s">
        <v>#N/A Requesting Data...4228473044</v>
        <stp/>
        <stp>BDP|915131968551245668</stp>
        <tr r="BB322" s="3"/>
      </tp>
      <tp t="s">
        <v>#N/A Requesting Data...4260255393</v>
        <stp/>
        <stp>BDP|219709756446606449</stp>
        <tr r="AJ237" s="3"/>
      </tp>
      <tp t="s">
        <v>#N/A Requesting Data...4279561320</v>
        <stp/>
        <stp>BDP|167378817006514437</stp>
        <tr r="F325" s="3"/>
      </tp>
      <tp t="s">
        <v>#N/A Requesting Data...4253348090</v>
        <stp/>
        <stp>BDP|403275455935630272</stp>
        <tr r="Q236" s="3"/>
      </tp>
      <tp t="s">
        <v>#N/A Requesting Data...4249059935</v>
        <stp/>
        <stp>BDP|436665333246494356</stp>
        <tr r="F20" s="3"/>
      </tp>
      <tp t="s">
        <v>#N/A Requesting Data...4245852851</v>
        <stp/>
        <stp>BDP|793047323651093301</stp>
        <tr r="AJ82" s="3"/>
      </tp>
      <tp t="s">
        <v>#N/A Requesting Data...4271745277</v>
        <stp/>
        <stp>BDP|393620224825354171</stp>
        <tr r="K211" s="3"/>
      </tp>
      <tp t="s">
        <v>#N/A Requesting Data...4286588884</v>
        <stp/>
        <stp>BDP|340704076956160660</stp>
        <tr r="BG91" s="3"/>
      </tp>
      <tp t="s">
        <v>#N/A N/A</v>
        <stp/>
        <stp>BDP|541959276016155846</stp>
        <tr r="BN100" s="2"/>
      </tp>
      <tp t="s">
        <v>#N/A Requesting Data...4290998985</v>
        <stp/>
        <stp>BDP|380945093260788006</stp>
        <tr r="AX8" s="2"/>
      </tp>
      <tp t="s">
        <v>#N/A N/A</v>
        <stp/>
        <stp>BDP|521486532822616655</stp>
        <tr r="P67" s="2"/>
      </tp>
      <tp t="s">
        <v>#N/A Requesting Data...4282913401</v>
        <stp/>
        <stp>BDP|637078139692148255</stp>
        <tr r="Y170" s="3"/>
      </tp>
      <tp t="s">
        <v>#N/A Requesting Data...4281397801</v>
        <stp/>
        <stp>BDP|755388740210120420</stp>
        <tr r="BA224" s="3"/>
      </tp>
      <tp t="s">
        <v>#N/A N/A</v>
        <stp/>
        <stp>BDP|414893072219136522</stp>
        <tr r="BF11" s="2"/>
      </tp>
      <tp t="s">
        <v>#N/A N/A</v>
        <stp/>
        <stp>BDP|771488664892431330</stp>
        <tr r="BG74" s="2"/>
      </tp>
      <tp t="s">
        <v>#N/A Requesting Data...4294827844</v>
        <stp/>
        <stp>BDP|268332343935736185</stp>
        <tr r="I5" s="4"/>
      </tp>
      <tp t="s">
        <v>#N/A Requesting Data...4294553343</v>
        <stp/>
        <stp>BDP|598438080326954923</stp>
        <tr r="AA132" s="3"/>
      </tp>
      <tp t="s">
        <v>#N/A Requesting Data...44675936</v>
        <stp/>
        <stp>BDP|777657514682899606</stp>
        <tr r="Q117" s="3"/>
      </tp>
      <tp t="s">
        <v>#N/A Requesting Data...2431943465</v>
        <stp/>
        <stp>BDP|921592673202463395</stp>
        <tr r="BI76" s="3"/>
      </tp>
      <tp t="s">
        <v>#N/A Requesting Data...2514748503</v>
        <stp/>
        <stp>BDP|636040178326198244</stp>
        <tr r="AZ33" s="3"/>
      </tp>
      <tp t="s">
        <v>#N/A Requesting Data...1306008838</v>
        <stp/>
        <stp>BDP|890407822520512508</stp>
        <tr r="BI157" s="3"/>
      </tp>
      <tp t="s">
        <v>#N/A Requesting Data...2649704558</v>
        <stp/>
        <stp>BDP|203181737926090779</stp>
        <tr r="AQ295" s="3"/>
      </tp>
      <tp t="s">
        <v>#N/A N/A</v>
        <stp/>
        <stp>BDP|735079048480777756</stp>
        <tr r="AM85" s="2"/>
      </tp>
      <tp t="s">
        <v>#N/A Requesting Data...1621719195</v>
        <stp/>
        <stp>BDP|161631041148018995</stp>
        <tr r="AZ226" s="3"/>
      </tp>
      <tp t="s">
        <v>#N/A Requesting Data...3378947719</v>
        <stp/>
        <stp>BDP|107971787710210296</stp>
        <tr r="AQ39" s="3"/>
      </tp>
      <tp t="s">
        <v>#N/A Requesting Data...2840938188</v>
        <stp/>
        <stp>BDP|348852384577057493</stp>
        <tr r="AH16" s="4"/>
      </tp>
      <tp t="s">
        <v>#N/A Requesting Data...2436474617</v>
        <stp/>
        <stp>BDP|591725962973770175</stp>
        <tr r="AA22" s="3"/>
      </tp>
      <tp t="s">
        <v>#N/A Requesting Data...3746858952</v>
        <stp/>
        <stp>BDP|736452271989296944</stp>
        <tr r="BF256" s="3"/>
      </tp>
      <tp t="s">
        <v>#N/A Requesting Data...3613175460</v>
        <stp/>
        <stp>BDP|211018300060597316</stp>
        <tr r="W23" s="4"/>
      </tp>
      <tp t="s">
        <v>#N/A Requesting Data...3125082690</v>
        <stp/>
        <stp>BDP|819404346753717099</stp>
        <tr r="AH16" s="3"/>
      </tp>
      <tp t="s">
        <v>#N/A Requesting Data...3583672921</v>
        <stp/>
        <stp>BDP|734290458991024568</stp>
        <tr r="BF348" s="3"/>
      </tp>
      <tp t="s">
        <v>#N/A N/A</v>
        <stp/>
        <stp>BDP|875555049283656120</stp>
        <tr r="AF88" s="2"/>
      </tp>
      <tp t="s">
        <v>#N/A Requesting Data...798978240</v>
        <stp/>
        <stp>BDP|840784066465374749</stp>
        <tr r="O344" s="3"/>
      </tp>
      <tp t="s">
        <v>#N/A Requesting Data...2612229419</v>
        <stp/>
        <stp>BDP|573969394662454129</stp>
        <tr r="AM17" s="2"/>
        <tr r="AF9" s="4"/>
      </tp>
      <tp t="s">
        <v>#N/A N/A</v>
        <stp/>
        <stp>BDP|570011217890972285</stp>
        <tr r="N100" s="2"/>
      </tp>
      <tp t="s">
        <v>#N/A Requesting Data...2760378444</v>
        <stp/>
        <stp>BDP|179574263775552538</stp>
        <tr r="I99" s="3"/>
      </tp>
      <tp t="s">
        <v>#N/A Requesting Data...587274527</v>
        <stp/>
        <stp>BDP|380629304305140078</stp>
        <tr r="I67" s="3"/>
      </tp>
      <tp t="s">
        <v>#N/A N/A</v>
        <stp/>
        <stp>BDP|846837639510293831</stp>
        <tr r="AX95" s="2"/>
      </tp>
      <tp t="s">
        <v>#N/A Requesting Data...3328025442</v>
        <stp/>
        <stp>BDP|412396851401976462</stp>
        <tr r="AZ143" s="3"/>
      </tp>
      <tp t="s">
        <v>#N/A Requesting Data...3824105214</v>
        <stp/>
        <stp>BDP|949762433911625775</stp>
        <tr r="BF352" s="3"/>
      </tp>
      <tp t="s">
        <v>#N/A N/A</v>
        <stp/>
        <stp>BDP|708403358735056628</stp>
        <tr r="V32" s="2"/>
      </tp>
      <tp t="s">
        <v>#N/A N/A</v>
        <stp/>
        <stp>BDP|279113669252604716</stp>
        <tr r="T45" s="2"/>
      </tp>
      <tp t="s">
        <v>#N/A Requesting Data...2939565822</v>
        <stp/>
        <stp>BDP|354630578373433014</stp>
        <tr r="BH161" s="3"/>
      </tp>
      <tp t="s">
        <v>#N/A Requesting Data...1078041465</v>
        <stp/>
        <stp>BDP|541038568530072417</stp>
        <tr r="Q32" s="3"/>
      </tp>
      <tp t="s">
        <v>#N/A Requesting Data...616807351</v>
        <stp/>
        <stp>BDP|576225218007651668</stp>
        <tr r="BB59" s="3"/>
      </tp>
      <tp t="s">
        <v>#N/A N/A</v>
        <stp/>
        <stp>BDP|944089792428554390</stp>
        <tr r="BF37" s="2"/>
      </tp>
      <tp t="s">
        <v>#N/A Requesting Data...2192739643</v>
        <stp/>
        <stp>BDP|622634731864807346</stp>
        <tr r="BH238" s="3"/>
      </tp>
      <tp t="s">
        <v>#N/A Requesting Data...257349641</v>
        <stp/>
        <stp>BDP|959582322333957628</stp>
        <tr r="AA231" s="3"/>
      </tp>
      <tp t="s">
        <v>#N/A N/A</v>
        <stp/>
        <stp>BDP|861413089746900816</stp>
        <tr r="BN20" s="2"/>
      </tp>
      <tp t="s">
        <v>#N/A Requesting Data...433733255</v>
        <stp/>
        <stp>BDP|259241598971232850</stp>
        <tr r="BI275" s="3"/>
      </tp>
      <tp t="s">
        <v>#N/A Requesting Data...2782427737</v>
        <stp/>
        <stp>BDP|878713250156416677</stp>
        <tr r="BG291" s="3"/>
      </tp>
      <tp t="s">
        <v>#N/A N/A</v>
        <stp/>
        <stp>BDP|500042453561845604</stp>
        <tr r="BG101" s="2"/>
      </tp>
      <tp t="s">
        <v>#N/A Requesting Data...1367017981</v>
        <stp/>
        <stp>BDP|126956629378146171</stp>
        <tr r="O336" s="3"/>
      </tp>
      <tp t="s">
        <v>#N/A Requesting Data...1992198579</v>
        <stp/>
        <stp>BDP|316617251747126692</stp>
        <tr r="BF167" s="3"/>
      </tp>
      <tp t="s">
        <v>#N/A Requesting Data...679182522</v>
        <stp/>
        <stp>BDP|680769130123272559</stp>
        <tr r="BG27" s="3"/>
      </tp>
      <tp t="s">
        <v>#N/A Requesting Data...1985009217</v>
        <stp/>
        <stp>BDP|109837383394474621</stp>
        <tr r="G56" s="4"/>
      </tp>
      <tp t="s">
        <v>#N/A Requesting Data...860839529</v>
        <stp/>
        <stp>BDP|527569336252337618</stp>
        <tr r="BH110" s="3"/>
      </tp>
      <tp t="s">
        <v>#N/A Requesting Data...466794615</v>
        <stp/>
        <stp>BDP|494760007391028452</stp>
        <tr r="BH30" s="3"/>
      </tp>
      <tp t="s">
        <v>#N/A Requesting Data...3755820779</v>
        <stp/>
        <stp>BDP|756602728544803273</stp>
        <tr r="Q107" s="3"/>
      </tp>
      <tp t="s">
        <v>#N/A Requesting Data...3165547771</v>
        <stp/>
        <stp>BDP|950528798928294619</stp>
        <tr r="AH44" s="4"/>
      </tp>
      <tp t="s">
        <v>#N/A Requesting Data...464790351</v>
        <stp/>
        <stp>BDP|666323450997350368</stp>
        <tr r="AX51" s="4"/>
      </tp>
      <tp t="s">
        <v>#N/A Requesting Data...2354904508</v>
        <stp/>
        <stp>BDP|549625586214150812</stp>
        <tr r="P7" s="2"/>
      </tp>
      <tp t="s">
        <v>#N/A Requesting Data...354693653</v>
        <stp/>
        <stp>BDP|362961257606511859</stp>
        <tr r="AZ96" s="3"/>
      </tp>
      <tp t="s">
        <v>#N/A Requesting Data...1231470253</v>
        <stp/>
        <stp>BDP|165010754625579234</stp>
        <tr r="BI192" s="3"/>
      </tp>
      <tp t="s">
        <v>#N/A Requesting Data...969168644</v>
        <stp/>
        <stp>BDP|894898667222263189</stp>
        <tr r="AH334" s="3"/>
      </tp>
      <tp t="s">
        <v>#N/A Requesting Data...3672689516</v>
        <stp/>
        <stp>BDP|310592182078035840</stp>
        <tr r="BB296" s="3"/>
      </tp>
      <tp t="s">
        <v>#N/A Requesting Data...2107086308</v>
        <stp/>
        <stp>BDP|297897146700011127</stp>
        <tr r="AJ259" s="3"/>
      </tp>
      <tp t="s">
        <v>#N/A Requesting Data...2739985509</v>
        <stp/>
        <stp>BDP|309015915398818407</stp>
        <tr r="BF156" s="3"/>
      </tp>
      <tp t="s">
        <v>#N/A Requesting Data...572465049</v>
        <stp/>
        <stp>BDP|938407711371789976</stp>
        <tr r="AZ9" s="3"/>
      </tp>
      <tp t="s">
        <v>#N/A Requesting Data...2972188690</v>
        <stp/>
        <stp>BDP|454716638518645131</stp>
        <tr r="AH94" s="3"/>
      </tp>
      <tp t="s">
        <v>#N/A Requesting Data...2709476749</v>
        <stp/>
        <stp>BDP|971064590611490518</stp>
        <tr r="BF228" s="3"/>
      </tp>
      <tp t="s">
        <v>#N/A Requesting Data...3605582033</v>
        <stp/>
        <stp>BDP|671889381419337476</stp>
        <tr r="BG297" s="3"/>
      </tp>
      <tp t="s">
        <v>#N/A Requesting Data...2030562535</v>
        <stp/>
        <stp>BDP|359814851221129193</stp>
        <tr r="AZ189" s="3"/>
      </tp>
      <tp t="s">
        <v>#N/A Requesting Data...3989706990</v>
        <stp/>
        <stp>BDP|308595054194626935</stp>
        <tr r="BI243" s="3"/>
      </tp>
      <tp t="s">
        <v>#N/A Requesting Data...3820374849</v>
        <stp/>
        <stp>BDP|974582042064716808</stp>
        <tr r="W52" s="4"/>
      </tp>
      <tp t="s">
        <v>#N/A Requesting Data...2173671572</v>
        <stp/>
        <stp>BDP|292415499290746083</stp>
        <tr r="AQ56" s="3"/>
      </tp>
      <tp t="s">
        <v>#N/A Requesting Data...3085303715</v>
        <stp/>
        <stp>BDP|995517424823813919</stp>
        <tr r="K56" s="3"/>
      </tp>
      <tp t="s">
        <v>#N/A Requesting Data...1851993227</v>
        <stp/>
        <stp>BDP|958975744683899372</stp>
        <tr r="BF203" s="3"/>
      </tp>
      <tp t="s">
        <v>#N/A N/A</v>
        <stp/>
        <stp>BDP|809125379082171948</stp>
        <tr r="AV46" s="2"/>
      </tp>
      <tp t="s">
        <v>#N/A Requesting Data...2070286628</v>
        <stp/>
        <stp>BDP|276070387707350274</stp>
        <tr r="AJ334" s="3"/>
      </tp>
      <tp t="s">
        <v>#N/A N/A</v>
        <stp/>
        <stp>BDP|985612880803794080</stp>
        <tr r="AD66" s="2"/>
      </tp>
      <tp t="s">
        <v>#N/A Requesting Data...2807094574</v>
        <stp/>
        <stp>BDP|510400785955738473</stp>
        <tr r="F193" s="3"/>
      </tp>
      <tp t="s">
        <v>#N/A N/A</v>
        <stp/>
        <stp>BDP|506970567780514201</stp>
        <tr r="V12" s="2"/>
      </tp>
      <tp t="s">
        <v>#N/A Requesting Data...3036078729</v>
        <stp/>
        <stp>BDP|999254025498852509</stp>
        <tr r="F217" s="3"/>
      </tp>
      <tp t="s">
        <v>#N/A N/A</v>
        <stp/>
        <stp>BDP|336976333431091650</stp>
        <tr r="V30" s="2"/>
      </tp>
      <tp t="s">
        <v>#N/A Requesting Data...580224389</v>
        <stp/>
        <stp>BDP|822810424790635795</stp>
        <tr r="Y138" s="3"/>
      </tp>
      <tp t="s">
        <v>#N/A Requesting Data...3234772789</v>
        <stp/>
        <stp>BDP|211572576446853988</stp>
        <tr r="K7" s="3"/>
      </tp>
      <tp t="s">
        <v>#N/A N/A</v>
        <stp/>
        <stp>BDP|310333396670650738</stp>
        <tr r="BL70" s="2"/>
      </tp>
      <tp t="s">
        <v>#N/A Requesting Data...1905809079</v>
        <stp/>
        <stp>BDP|272821313984776078</stp>
        <tr r="K57" s="3"/>
      </tp>
      <tp t="s">
        <v>#N/A Requesting Data...3235801230</v>
        <stp/>
        <stp>BDP|114782992701473339</stp>
        <tr r="BG155" s="3"/>
      </tp>
      <tp t="s">
        <v>#N/A Requesting Data...1906085466</v>
        <stp/>
        <stp>BDP|939140422757307804</stp>
        <tr r="I48" s="3"/>
      </tp>
      <tp t="s">
        <v>#N/A Requesting Data...881004488</v>
        <stp/>
        <stp>BDP|318475353674908935</stp>
        <tr r="AJ278" s="3"/>
      </tp>
      <tp t="s">
        <v>#N/A Requesting Data...3642884722</v>
        <stp/>
        <stp>BDP|115918410524653083</stp>
        <tr r="K254" s="3"/>
      </tp>
      <tp t="s">
        <v>#N/A Requesting Data...1865855419</v>
        <stp/>
        <stp>BDP|551094826648799636</stp>
        <tr r="AS38" s="3"/>
      </tp>
      <tp t="s">
        <v>#N/A Requesting Data...3145931348</v>
        <stp/>
        <stp>BDP|540340003856474991</stp>
        <tr r="BA81" s="3"/>
      </tp>
      <tp t="s">
        <v>#N/A Requesting Data...2259270988</v>
        <stp/>
        <stp>BDP|959938296935242940</stp>
        <tr r="I185" s="3"/>
      </tp>
      <tp t="s">
        <v>#N/A Requesting Data...2937492393</v>
        <stp/>
        <stp>BDP|977029433347875854</stp>
        <tr r="I46" s="3"/>
      </tp>
      <tp t="s">
        <v>#N/A Requesting Data...1106752801</v>
        <stp/>
        <stp>BDP|545629502938677261</stp>
        <tr r="AZ23" s="3"/>
      </tp>
      <tp t="s">
        <v>#N/A Requesting Data...2192940739</v>
        <stp/>
        <stp>BDP|330772022799484047</stp>
        <tr r="I231" s="3"/>
      </tp>
      <tp t="s">
        <v>#N/A Requesting Data...2418112151</v>
        <stp/>
        <stp>BDP|142373150479120353</stp>
        <tr r="I327" s="3"/>
      </tp>
      <tp t="s">
        <v>#N/A Requesting Data...2167803299</v>
        <stp/>
        <stp>BDP|322978448417758683</stp>
        <tr r="AJ302" s="3"/>
      </tp>
      <tp t="s">
        <v>#N/A Requesting Data...2977090641</v>
        <stp/>
        <stp>BDP|260516311989915189</stp>
        <tr r="BG152" s="3"/>
      </tp>
      <tp t="s">
        <v>#N/A Requesting Data...1857723050</v>
        <stp/>
        <stp>BDP|632445899742840303</stp>
        <tr r="O87" s="3"/>
      </tp>
      <tp t="s">
        <v>#N/A Requesting Data...3677643719</v>
        <stp/>
        <stp>BDP|592926037800530583</stp>
        <tr r="BI153" s="3"/>
      </tp>
      <tp t="s">
        <v>#N/A Requesting Data...3603971736</v>
        <stp/>
        <stp>BDP|751251537619844736</stp>
        <tr r="Y92" s="3"/>
      </tp>
      <tp t="s">
        <v>#N/A N/A</v>
        <stp/>
        <stp>BDP|904861376562083263</stp>
        <tr r="BN84" s="2"/>
      </tp>
      <tp t="s">
        <v>#N/A Requesting Data...761328878</v>
        <stp/>
        <stp>BDP|877650211460644850</stp>
        <tr r="BI241" s="3"/>
      </tp>
      <tp t="s">
        <v>#N/A Requesting Data...2397288489</v>
        <stp/>
        <stp>BDP|492731604298947026</stp>
        <tr r="Q149" s="3"/>
      </tp>
      <tp t="s">
        <v>#N/A Requesting Data...1360191124</v>
        <stp/>
        <stp>BDP|156738282644965406</stp>
        <tr r="O257" s="3"/>
      </tp>
      <tp t="s">
        <v>#N/A Requesting Data...3375294360</v>
        <stp/>
        <stp>BDP|887278830029071768</stp>
        <tr r="AZ249" s="3"/>
      </tp>
      <tp t="s">
        <v>#N/A Requesting Data...2482195998</v>
        <stp/>
        <stp>BDP|472959112762116583</stp>
        <tr r="AQ4" s="3"/>
      </tp>
      <tp t="s">
        <v>#N/A Requesting Data...1810432496</v>
        <stp/>
        <stp>BDP|143698960616370913</stp>
        <tr r="AO3" s="4"/>
      </tp>
      <tp t="s">
        <v>#N/A Requesting Data...1106051414</v>
        <stp/>
        <stp>BDP|974918829572919639</stp>
        <tr r="AQ160" s="3"/>
      </tp>
      <tp t="s">
        <v>#N/A Requesting Data...1378325956</v>
        <stp/>
        <stp>BDP|805371442641203947</stp>
        <tr r="Y245" s="3"/>
      </tp>
      <tp t="s">
        <v>#N/A Requesting Data...1890382187</v>
        <stp/>
        <stp>BDP|680969331731714425</stp>
        <tr r="O226" s="3"/>
      </tp>
      <tp t="s">
        <v>#N/A Requesting Data...3884075204</v>
        <stp/>
        <stp>BDP|607927733755403073</stp>
        <tr r="AA82" s="3"/>
      </tp>
      <tp t="s">
        <v>#N/A Requesting Data...3515409797</v>
        <stp/>
        <stp>BDP|777137354738224362</stp>
        <tr r="BF39" s="3"/>
      </tp>
      <tp t="s">
        <v>#N/A Requesting Data...4005708808</v>
        <stp/>
        <stp>BDP|959747724043786987</stp>
        <tr r="F42" s="3"/>
      </tp>
      <tp t="s">
        <v>#N/A Requesting Data...3072047350</v>
        <stp/>
        <stp>BDP|408666813330087870</stp>
        <tr r="Q239" s="3"/>
      </tp>
      <tp t="s">
        <v>#N/A Requesting Data...868947489</v>
        <stp/>
        <stp>BDP|328945841464722663</stp>
        <tr r="O351" s="3"/>
      </tp>
      <tp t="s">
        <v>#N/A Requesting Data...3919549980</v>
        <stp/>
        <stp>BDP|320212793613648703</stp>
        <tr r="F301" s="3"/>
      </tp>
      <tp t="s">
        <v>#N/A N/A</v>
        <stp/>
        <stp>BDP|185618201699388026</stp>
        <tr r="V11" s="2"/>
      </tp>
      <tp t="s">
        <v>#N/A Requesting Data...2500096101</v>
        <stp/>
        <stp>BDP|828680115419523107</stp>
        <tr r="K217" s="3"/>
      </tp>
      <tp t="s">
        <v>#N/A Requesting Data...1351448367</v>
        <stp/>
        <stp>BDP|368802232123309720</stp>
        <tr r="BH150" s="3"/>
      </tp>
      <tp t="s">
        <v>#N/A Requesting Data...3741483477</v>
        <stp/>
        <stp>BDP|980541606163829924</stp>
        <tr r="AZ160" s="3"/>
      </tp>
      <tp t="s">
        <v>#N/A Requesting Data...4045252082</v>
        <stp/>
        <stp>BDP|688691110830647882</stp>
        <tr r="AQ223" s="3"/>
      </tp>
      <tp t="s">
        <v>#N/A Requesting Data...1924165145</v>
        <stp/>
        <stp>BDP|306186879398698174</stp>
        <tr r="BG143" s="3"/>
      </tp>
      <tp t="s">
        <v>#N/A Requesting Data...2044862959</v>
        <stp/>
        <stp>BDP|786347168078967211</stp>
        <tr r="Q165" s="3"/>
      </tp>
      <tp t="s">
        <v>#N/A Requesting Data...1541902588</v>
        <stp/>
        <stp>BDP|778326818764938972</stp>
        <tr r="AQ45" s="3"/>
      </tp>
      <tp t="s">
        <v>#N/A Requesting Data...3576340830</v>
        <stp/>
        <stp>BDP|445565693365928748</stp>
        <tr r="AS22" s="3"/>
      </tp>
      <tp t="s">
        <v>#N/A Requesting Data...1544463128</v>
        <stp/>
        <stp>BDP|689664430629431281</stp>
        <tr r="BA260" s="3"/>
      </tp>
      <tp t="s">
        <v>#N/A Requesting Data...3616039534</v>
        <stp/>
        <stp>BDP|302446057007977859</stp>
        <tr r="F52" s="3"/>
      </tp>
      <tp t="s">
        <v>#N/A N/A</v>
        <stp/>
        <stp>BDP|558236692954085190</stp>
        <tr r="BF85" s="2"/>
      </tp>
      <tp t="s">
        <v>#N/A Requesting Data...780802937</v>
        <stp/>
        <stp>BDP|828528971924073867</stp>
        <tr r="F119" s="3"/>
      </tp>
      <tp t="s">
        <v>#N/A Requesting Data...4187277164</v>
        <stp/>
        <stp>BDP|102789382240745121</stp>
        <tr r="BA40" s="3"/>
      </tp>
      <tp t="s">
        <v>#N/A Requesting Data...2219203975</v>
        <stp/>
        <stp>BDP|642789328413936815</stp>
        <tr r="I332" s="3"/>
      </tp>
      <tp t="s">
        <v>#N/A Requesting Data...1902336771</v>
        <stp/>
        <stp>BDP|742167916356848813</stp>
        <tr r="BB307" s="3"/>
      </tp>
      <tp t="s">
        <v>#N/A Requesting Data...1561955432</v>
        <stp/>
        <stp>BDP|511849362461916153</stp>
        <tr r="AS288" s="3"/>
      </tp>
      <tp t="s">
        <v>#N/A N/A</v>
        <stp/>
        <stp>BDP|429374641590464991</stp>
        <tr r="BK14" s="2"/>
      </tp>
      <tp t="s">
        <v>#N/A Requesting Data...2156075461</v>
        <stp/>
        <stp>BDP|504285090392505773</stp>
        <tr r="AH236" s="3"/>
      </tp>
      <tp t="s">
        <v>#N/A Requesting Data...4024760050</v>
        <stp/>
        <stp>BDP|909354203988709501</stp>
        <tr r="BA266" s="3"/>
      </tp>
      <tp t="s">
        <v>#N/A Requesting Data...2926164451</v>
        <stp/>
        <stp>BDP|704642469006593852</stp>
        <tr r="BB209" s="3"/>
      </tp>
      <tp t="s">
        <v>#N/A Requesting Data...940284822</v>
        <stp/>
        <stp>BDP|766893933954606110</stp>
        <tr r="BF8" s="2"/>
      </tp>
      <tp t="s">
        <v>#N/A N/A</v>
        <stp/>
        <stp>BDP|151953506237075092</stp>
        <tr r="K75" s="2"/>
      </tp>
      <tp t="s">
        <v>#N/A Requesting Data...2295611611</v>
        <stp/>
        <stp>BDP|520650497255377407</stp>
        <tr r="BB240" s="3"/>
      </tp>
      <tp t="s">
        <v>#N/A Requesting Data...4002817747</v>
        <stp/>
        <stp>BDP|284277005338192469</stp>
        <tr r="Y119" s="3"/>
      </tp>
      <tp t="s">
        <v>#N/A Requesting Data...4256128192</v>
        <stp/>
        <stp>BDP|627925530871240517</stp>
        <tr r="BA44" s="3"/>
      </tp>
      <tp t="s">
        <v>#N/A Requesting Data...1090198590</v>
        <stp/>
        <stp>BDP|265738709230703981</stp>
        <tr r="BI347" s="3"/>
      </tp>
      <tp t="s">
        <v>#N/A Requesting Data...2955717554</v>
        <stp/>
        <stp>BDP|842096023669092527</stp>
        <tr r="I249" s="3"/>
      </tp>
      <tp t="s">
        <v>#N/A Requesting Data...4293573314</v>
        <stp/>
        <stp>BDP|184885666228757882</stp>
        <tr r="BB23" s="3"/>
      </tp>
      <tp t="s">
        <v>#N/A N/A</v>
        <stp/>
        <stp>BDP|317455276338902598</stp>
        <tr r="BM82" s="2"/>
      </tp>
      <tp t="s">
        <v>#N/A N/A</v>
        <stp/>
        <stp>BDP|297763043619419439</stp>
        <tr r="BK54" s="2"/>
      </tp>
      <tp t="s">
        <v>#N/A Requesting Data...2007652814</v>
        <stp/>
        <stp>BDP|453743376876214855</stp>
        <tr r="AA320" s="3"/>
      </tp>
      <tp t="s">
        <v>#N/A Requesting Data...3655694995</v>
        <stp/>
        <stp>BDP|574550131418765076</stp>
        <tr r="F350" s="3"/>
      </tp>
      <tp t="s">
        <v>#N/A Requesting Data...1183613196</v>
        <stp/>
        <stp>BDP|605760186778666929</stp>
        <tr r="BL7" s="2"/>
      </tp>
      <tp t="s">
        <v>#N/A N/A</v>
        <stp/>
        <stp>BDP|599948304374440329</stp>
        <tr r="BG56" s="2"/>
      </tp>
      <tp t="s">
        <v>#N/A Requesting Data...3318229237</v>
        <stp/>
        <stp>BDP|982720257609062201</stp>
        <tr r="BH323" s="3"/>
      </tp>
      <tp t="s">
        <v>#N/A Requesting Data...1709262225</v>
        <stp/>
        <stp>BDP|701394263935785965</stp>
        <tr r="AZ191" s="3"/>
      </tp>
      <tp t="s">
        <v>#N/A Requesting Data...1939134372</v>
        <stp/>
        <stp>BDP|383972438682897183</stp>
        <tr r="BA171" s="3"/>
      </tp>
      <tp t="s">
        <v>#N/A Requesting Data...2843586557</v>
        <stp/>
        <stp>BDP|522590028028855601</stp>
        <tr r="Y336" s="3"/>
      </tp>
      <tp t="s">
        <v>#N/A Requesting Data...2260111041</v>
        <stp/>
        <stp>BDP|876596426188961636</stp>
        <tr r="BB43" s="3"/>
      </tp>
      <tp t="s">
        <v>#N/A Requesting Data...2120825228</v>
        <stp/>
        <stp>BDP|867775107546260841</stp>
        <tr r="AZ14" s="3"/>
      </tp>
      <tp t="s">
        <v>#N/A Requesting Data...4142592514</v>
        <stp/>
        <stp>BDP|790718958889007213</stp>
        <tr r="AS28" s="3"/>
      </tp>
      <tp t="s">
        <v>#N/A Requesting Data...2790459844</v>
        <stp/>
        <stp>BDP|848409287802752778</stp>
        <tr r="BB35" s="3"/>
      </tp>
      <tp t="s">
        <v>#N/A Requesting Data...4009593453</v>
        <stp/>
        <stp>BDP|950035389684516594</stp>
        <tr r="Y347" s="3"/>
      </tp>
      <tp t="s">
        <v>#N/A Requesting Data...2089475526</v>
        <stp/>
        <stp>BDP|152859879885647311</stp>
        <tr r="K22" s="3"/>
      </tp>
      <tp t="s">
        <v>#N/A Requesting Data...4235693479</v>
        <stp/>
        <stp>BDP|476043280399499807</stp>
        <tr r="BA271" s="3"/>
      </tp>
      <tp t="s">
        <v>#N/A Requesting Data...3150471371</v>
        <stp/>
        <stp>BDP|730670992930206649</stp>
        <tr r="W42" s="4"/>
      </tp>
      <tp t="s">
        <v>#N/A Requesting Data...1942344834</v>
        <stp/>
        <stp>BDP|584680884421873647</stp>
        <tr r="BH147" s="3"/>
      </tp>
      <tp t="s">
        <v>#N/A Requesting Data...2139921935</v>
        <stp/>
        <stp>BDP|517264090835025762</stp>
        <tr r="BG220" s="3"/>
      </tp>
      <tp t="s">
        <v>#N/A Requesting Data...3903305455</v>
        <stp/>
        <stp>BDP|454437912428826483</stp>
        <tr r="F233" s="3"/>
      </tp>
      <tp t="s">
        <v>#N/A Requesting Data...1534266779</v>
        <stp/>
        <stp>BDP|509429513518369412</stp>
        <tr r="BF170" s="3"/>
      </tp>
      <tp t="s">
        <v>#N/A Requesting Data...3879495663</v>
        <stp/>
        <stp>BDP|683174097629224821</stp>
        <tr r="Q191" s="3"/>
      </tp>
      <tp t="s">
        <v>#N/A Requesting Data...2474972973</v>
        <stp/>
        <stp>BDP|962307259578517734</stp>
        <tr r="AH292" s="3"/>
      </tp>
      <tp t="s">
        <v>#N/A Requesting Data...2335571481</v>
        <stp/>
        <stp>BDP|177842414871785115</stp>
        <tr r="Q209" s="3"/>
      </tp>
      <tp t="s">
        <v>#N/A Requesting Data...2132735166</v>
        <stp/>
        <stp>BDP|498926034455029658</stp>
        <tr r="AA139" s="3"/>
      </tp>
      <tp t="s">
        <v>#N/A Requesting Data...3550598001</v>
        <stp/>
        <stp>BDP|354249615442550876</stp>
        <tr r="AQ327" s="3"/>
      </tp>
      <tp t="s">
        <v>#N/A Requesting Data...3457317737</v>
        <stp/>
        <stp>BDP|102905376884479335</stp>
        <tr r="BH51" s="3"/>
      </tp>
      <tp t="s">
        <v>#N/A Requesting Data...3057111705</v>
        <stp/>
        <stp>BDP|304667600819405618</stp>
        <tr r="AS220" s="3"/>
      </tp>
      <tp t="s">
        <v>#N/A Requesting Data...4268565318</v>
        <stp/>
        <stp>BDP|961377885143338186</stp>
        <tr r="AX30" s="4"/>
      </tp>
      <tp t="s">
        <v>#N/A Requesting Data...3946191293</v>
        <stp/>
        <stp>BDP|393321902488174235</stp>
        <tr r="AH255" s="3"/>
      </tp>
      <tp t="s">
        <v>#N/A Requesting Data...3091223951</v>
        <stp/>
        <stp>BDP|747416862908041367</stp>
        <tr r="AH286" s="3"/>
      </tp>
      <tp t="s">
        <v>#N/A Requesting Data...1160648833</v>
        <stp/>
        <stp>BDP|396841209958412987</stp>
        <tr r="BA332" s="3"/>
      </tp>
      <tp t="s">
        <v>#N/A Requesting Data...2709709967</v>
        <stp/>
        <stp>BDP|972117688870786054</stp>
        <tr r="AS188" s="3"/>
      </tp>
      <tp t="s">
        <v>#N/A Requesting Data...3353756453</v>
        <stp/>
        <stp>BDP|843828759643078704</stp>
        <tr r="F164" s="3"/>
      </tp>
      <tp t="s">
        <v>#N/A Requesting Data...2339373764</v>
        <stp/>
        <stp>BDP|452560760643790881</stp>
        <tr r="BB157" s="3"/>
      </tp>
      <tp t="s">
        <v>#N/A Requesting Data...3743401155</v>
        <stp/>
        <stp>BDP|857584695680899406</stp>
        <tr r="AQ250" s="3"/>
      </tp>
      <tp t="s">
        <v>#N/A N/A</v>
        <stp/>
        <stp>BDP|895405873792352957</stp>
        <tr r="K15" s="2"/>
      </tp>
      <tp t="s">
        <v>#N/A Requesting Data...2094026580</v>
        <stp/>
        <stp>BDP|329591373202348824</stp>
        <tr r="I178" s="3"/>
      </tp>
      <tp t="s">
        <v>#N/A Requesting Data...2449271604</v>
        <stp/>
        <stp>BDP|535917762440937763</stp>
        <tr r="F184" s="3"/>
      </tp>
      <tp t="s">
        <v>#N/A Requesting Data...2443097843</v>
        <stp/>
        <stp>BDP|960246972755347869</stp>
        <tr r="Y211" s="3"/>
      </tp>
      <tp t="s">
        <v>#N/A Requesting Data...1508913986</v>
        <stp/>
        <stp>BDP|959100298227870721</stp>
        <tr r="BA22" s="3"/>
      </tp>
      <tp t="s">
        <v>#N/A Requesting Data...1726711758</v>
        <stp/>
        <stp>BDP|649686770251846834</stp>
        <tr r="BH212" s="3"/>
      </tp>
      <tp t="s">
        <v>#N/A Requesting Data...1143062287</v>
        <stp/>
        <stp>BDP|612907603001643048</stp>
        <tr r="N5" s="2"/>
      </tp>
      <tp t="s">
        <v>#N/A N/A</v>
        <stp/>
        <stp>BDP|895691885101718723</stp>
        <tr r="BK87" s="2"/>
      </tp>
      <tp t="s">
        <v>#N/A Requesting Data...2361526763</v>
        <stp/>
        <stp>BDP|383528920726360935</stp>
        <tr r="AQ269" s="3"/>
      </tp>
      <tp t="s">
        <v>#N/A Requesting Data...2441693361</v>
        <stp/>
        <stp>BDP|781210634710520954</stp>
        <tr r="AA314" s="3"/>
      </tp>
      <tp t="s">
        <v>#N/A Requesting Data...2716730766</v>
        <stp/>
        <stp>BDP|434203788723875165</stp>
        <tr r="BI48" s="3"/>
      </tp>
      <tp t="s">
        <v>#N/A Requesting Data...3766747365</v>
        <stp/>
        <stp>BDP|395754950393173943</stp>
        <tr r="AA211" s="3"/>
      </tp>
      <tp t="s">
        <v>#N/A N/A</v>
        <stp/>
        <stp>BDP|386683677441938863</stp>
        <tr r="AO36" s="2"/>
      </tp>
      <tp t="s">
        <v>#N/A N/A</v>
        <stp/>
        <stp>BDP|149854031726622506</stp>
        <tr r="AM57" s="2"/>
      </tp>
      <tp t="s">
        <v>#N/A Requesting Data...1187518184</v>
        <stp/>
        <stp>BDP|511164346885713818</stp>
        <tr r="AS167" s="3"/>
      </tp>
      <tp t="s">
        <v>#N/A N/A</v>
        <stp/>
        <stp>BDP|895802914974198611</stp>
        <tr r="BG19" s="2"/>
      </tp>
      <tp t="s">
        <v>#N/A N/A</v>
        <stp/>
        <stp>BDP|701349781679882954</stp>
        <tr r="BN62" s="2"/>
      </tp>
      <tp t="s">
        <v>#N/A Requesting Data...3170232345</v>
        <stp/>
        <stp>BDP|987966019322828118</stp>
        <tr r="AS162" s="3"/>
      </tp>
      <tp t="s">
        <v>#N/A N/A</v>
        <stp/>
        <stp>BDP|287802548326022121</stp>
        <tr r="BE93" s="2"/>
      </tp>
      <tp t="s">
        <v>#N/A Requesting Data...1575928527</v>
        <stp/>
        <stp>BDP|634341523258135299</stp>
        <tr r="BF21" s="3"/>
      </tp>
      <tp t="s">
        <v>#N/A Requesting Data...3390283379</v>
        <stp/>
        <stp>BDP|282121118189864264</stp>
        <tr r="AO21" s="4"/>
      </tp>
      <tp t="s">
        <v>#N/A Requesting Data...3036548766</v>
        <stp/>
        <stp>BDP|326966863450110414</stp>
        <tr r="AJ94" s="3"/>
      </tp>
      <tp t="s">
        <v>#N/A Requesting Data...1475194429</v>
        <stp/>
        <stp>BDP|350227903279105048</stp>
        <tr r="AS127" s="3"/>
      </tp>
      <tp t="s">
        <v>#N/A Requesting Data...3203730844</v>
        <stp/>
        <stp>BDP|491297348554061951</stp>
        <tr r="K221" s="3"/>
      </tp>
      <tp t="s">
        <v>#N/A Requesting Data...3404555038</v>
        <stp/>
        <stp>BDP|583543442438175207</stp>
        <tr r="AQ51" s="3"/>
      </tp>
      <tp t="s">
        <v>#N/A Requesting Data...2872725532</v>
        <stp/>
        <stp>BDP|607021991262385054</stp>
        <tr r="BH178" s="3"/>
      </tp>
      <tp t="s">
        <v>#N/A N/A</v>
        <stp/>
        <stp>BDP|756884356864940239</stp>
        <tr r="AX92" s="2"/>
      </tp>
      <tp t="s">
        <v>#N/A Requesting Data...3667466832</v>
        <stp/>
        <stp>BDP|663319272269888716</stp>
        <tr r="BG192" s="3"/>
      </tp>
      <tp t="s">
        <v>#N/A Requesting Data...2333708637</v>
        <stp/>
        <stp>BDP|767717992772187684</stp>
        <tr r="F71" s="3"/>
      </tp>
      <tp t="s">
        <v>#N/A Requesting Data...3974437792</v>
        <stp/>
        <stp>BDP|252661941220081889</stp>
        <tr r="I15" s="3"/>
      </tp>
      <tp t="s">
        <v>#N/A Requesting Data...2289878103</v>
        <stp/>
        <stp>BDP|817530225698633570</stp>
        <tr r="AZ51" s="3"/>
      </tp>
      <tp t="s">
        <v>#N/A Requesting Data...3133595323</v>
        <stp/>
        <stp>BDP|513958712585928727</stp>
        <tr r="P3" s="2"/>
        <tr r="K316" s="3"/>
      </tp>
      <tp t="s">
        <v>#N/A Requesting Data...1987811248</v>
        <stp/>
        <stp>BDP|451038070788926543</stp>
        <tr r="Y140" s="3"/>
      </tp>
      <tp t="s">
        <v>#N/A N/A</v>
        <stp/>
        <stp>BDP|326221167138809651</stp>
        <tr r="BK65" s="2"/>
      </tp>
      <tp t="s">
        <v>#N/A Requesting Data...3951140998</v>
        <stp/>
        <stp>BDP|327173782864618746</stp>
        <tr r="BI242" s="3"/>
      </tp>
      <tp t="s">
        <v>#N/A Requesting Data...3916546933</v>
        <stp/>
        <stp>BDP|914591976191499967</stp>
        <tr r="F351" s="3"/>
      </tp>
      <tp t="s">
        <v>#N/A N/A</v>
        <stp/>
        <stp>BDP|829907609197634438</stp>
        <tr r="P100" s="2"/>
      </tp>
      <tp t="s">
        <v>#N/A Requesting Data...2176635025</v>
        <stp/>
        <stp>BDP|141185222210637990</stp>
        <tr r="BI36" s="3"/>
      </tp>
      <tp t="s">
        <v>#N/A Requesting Data...4137911724</v>
        <stp/>
        <stp>BDP|693471291761163670</stp>
        <tr r="D57" s="4"/>
      </tp>
      <tp t="s">
        <v>#N/A Requesting Data...1947114825</v>
        <stp/>
        <stp>BDP|684863470214423124</stp>
        <tr r="BI9" s="3"/>
      </tp>
      <tp t="s">
        <v>#N/A Requesting Data...3400356827</v>
        <stp/>
        <stp>BDP|692497891607189094</stp>
        <tr r="BA112" s="3"/>
      </tp>
      <tp t="s">
        <v>#N/A Requesting Data...2571699105</v>
        <stp/>
        <stp>BDP|802534770438491087</stp>
        <tr r="AQ309" s="3"/>
      </tp>
      <tp t="s">
        <v>#N/A Requesting Data...3044852565</v>
        <stp/>
        <stp>BDP|565906587472665942</stp>
        <tr r="BH261" s="3"/>
      </tp>
      <tp t="s">
        <v>#N/A Requesting Data...2629442221</v>
        <stp/>
        <stp>BDP|703677884375273145</stp>
        <tr r="BA299" s="3"/>
      </tp>
      <tp t="s">
        <v>#N/A N/A</v>
        <stp/>
        <stp>BDP|817260890593833254</stp>
        <tr r="K41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volatileDependencies" Target="volatileDependencies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rica" refreshedDate="46064.84844050926" createdVersion="8" refreshedVersion="8" minRefreshableVersion="3" recordCount="3845" xr:uid="{D2E0BADC-5E87-411B-AFFF-41E6DC28E2E0}">
  <cacheSource type="worksheet">
    <worksheetSource ref="B1:K1048576" sheet="STOCKS"/>
  </cacheSource>
  <cacheFields count="10">
    <cacheField name="TICKER" numFmtId="0">
      <sharedItems containsBlank="1"/>
    </cacheField>
    <cacheField name="NAME" numFmtId="0">
      <sharedItems containsBlank="1"/>
    </cacheField>
    <cacheField name="INDUSTRY" numFmtId="0">
      <sharedItems containsBlank="1"/>
    </cacheField>
    <cacheField name="SECTOR" numFmtId="0">
      <sharedItems containsBlank="1"/>
    </cacheField>
    <cacheField name="SUBSECTOR" numFmtId="0">
      <sharedItems containsBlank="1" count="116">
        <s v="S&amp;P 500 INDEX"/>
        <s v="NYSE Composite Index"/>
        <s v="Invesco S&amp;P 500 Equal Weight ETF (RSP)"/>
        <s v="Machinery"/>
        <s v="Electrical Equipment"/>
        <s v="Apparel &amp; Textile Products"/>
        <s v="Leisure Facilities &amp; Services"/>
        <s v="Real Estate Services"/>
        <s v="Automotive"/>
        <s v="Medical Equipment &amp; Devices"/>
        <s v="Retail - Discretionary"/>
        <s v="Beverages"/>
        <s v="Transportation &amp; Logistics"/>
        <s v="Internet Media &amp; Services"/>
        <s v="Software"/>
        <s v="Commercial Support Services"/>
        <s v="Technology Hardware"/>
        <s v="Semiconductors"/>
        <s v="Diversified Industrials"/>
        <s v="Wholesale - Consumer Staples"/>
        <s v="Oil &amp; Gas Supply Chain"/>
        <s v="Chemicals"/>
        <s v="Metals &amp; Mining"/>
        <s v="Insurance"/>
        <s v="Asset Management"/>
        <s v="Biotech &amp; Pharma"/>
        <s v="Banking"/>
        <s v="Engineering &amp; Construction"/>
        <s v="Tobacco &amp; Cannabis"/>
        <s v="Home &amp; Office Products"/>
        <s v="Oil &amp; Gas Services &amp; Equip"/>
        <s v="Health Care Facilities &amp; Svcs"/>
        <s v="Aerospace &amp; Defense"/>
        <s v="Retail - Consumer Staples"/>
        <s v="IT Services"/>
        <s v="Specialty Finance"/>
        <s v="Telecommunications"/>
        <s v="REIT"/>
        <s v="Electric Utilities"/>
        <s v="Real Estate Owners &amp; Developers"/>
        <s v="Wholesale - Discretionary"/>
        <s v="Consumer Services"/>
        <s v="Food"/>
        <s v="Industrial Support Services"/>
        <s v="Transportation Equipment"/>
        <s v="Renewable Energy"/>
        <s v="Containers &amp; Packaging"/>
        <s v="Entertainment Content"/>
        <s v="Construction Materials"/>
        <s v="Institutional Financial Svcs"/>
        <s v="Home Construction"/>
        <s v="E-Commerce Discretionary"/>
        <s v="Industrial Intermediate Prod"/>
        <s v="Advertising &amp; Marketing"/>
        <s v="ARK Innovation ETF (ARKK)"/>
        <s v="Leisure Products"/>
        <s v="Steel"/>
        <s v="Gas &amp; Water Utilities"/>
        <s v="Forestry, Paper &amp; Wood Products"/>
        <s v="Publishing &amp; Broadcasting"/>
        <s v="Innovator IBD Breakout Opportunities ETF (BOUT)"/>
        <s v="Cable &amp; Satellite"/>
        <s v="Household Products"/>
        <s v="Deutsche Boerse Stock Index (DAX)"/>
        <s v="Innovator ETFs Trust - Innovator IBD R 50 ETF (FFTY)"/>
        <s v="Gold Miners ETF/USA (GDX)"/>
        <s v="Elec &amp; Gas Marketing &amp; Trading"/>
        <s v="Biotechnology ETF (IBB)"/>
        <s v="Online Retail ETF (IBUY)"/>
        <s v="Core S&amp;P Small-Cap ETF (IJR)"/>
        <s v="U.S. Aerospace &amp; Defense ETF (ITA)"/>
        <s v="U.S. Home Construction ETF (ITB)"/>
        <s v="Micro-Cap ETF (IWC)"/>
        <s v="Russell 1000 Value ETF (IWD)"/>
        <s v="Russell 2000 ETF (IWM)"/>
        <s v="Russell 2000 Value ETF (IWN)"/>
        <s v="Russell 2000 Growth ETF (IWO)"/>
        <s v="Russell Mid-Cap Value ETF (IWS)"/>
        <s v="Global Healthcare ETF (IXJ)"/>
        <s v="U.S. Healthcare ETF (IYH)"/>
        <s v="U.S. Real Estate ETF (IYR)"/>
        <s v="US Global Jets ETF (JETS)"/>
        <s v="SPDR S&amp;P Insurance ETF (KIE)"/>
        <s v="SPDR S&amp;P MidCap 400 ETF Trust (MDY)"/>
        <s v="Mega Cap ETF (MGC)"/>
        <s v="Mega Cap Growth ETF (MGK)"/>
        <s v="Mega Cap Value ETF (MGV)"/>
        <s v="MSCI USA Momentum Factor ETF (MTUM)"/>
        <s v="Oil Services ETF (OIH)"/>
        <s v="Pharmaceutical ETF (PPH)"/>
        <s v="MSCI USA Quality Factor ETF (QUAL)"/>
        <s v="U.S. Large-Cap Growth ETF (SCHG)"/>
        <s v="U.S. Large-Cap Value ETF (SCHV)"/>
        <s v="Semiconductor ETF (SMH)"/>
        <s v="S&amp;P 500 High Beta ETF (SPHB)"/>
        <s v="Up Fintech Holding Ltd (TIGR)"/>
        <s v="MSCI USA Min Vol Factor ETF (USMV)"/>
        <s v="Industrials ETF (VIS)"/>
        <s v="MSCI USA Value Factor ETF (VLUE)"/>
        <s v="SPDR S&amp;P Biotech ETF (XBI)"/>
        <s v="SPDR S&amp;P Homebuilders ETF (XHB)"/>
        <s v="Materials Select Sector SPDR Fund (XLB)"/>
        <s v="Energy Select SPDR Fund (XLE)"/>
        <s v="Financial Select SPDR Fund (XLF)"/>
        <s v="Industrial Select SPDR Fund (XLI)"/>
        <s v="Consumer Staples Select SPDR Fund (XLP)"/>
        <s v="Utilities Select SPDR Fund (XLU)"/>
        <s v="Health Care Select SPDR Fund (XLV)"/>
        <s v="Consumer Discretionary SPDR Fund (XLY)"/>
        <s v="SPDR S&amp;P Metals &amp; Mining ETF (XME)"/>
        <s v="SPDR S&amp;P Oil &amp; Gas Exploration &amp; Production ETF (XOP)"/>
        <s v="SPDR S&amp;P Retail ETF (XRT)"/>
        <m/>
        <s v="DAX INDEX" u="1"/>
        <s v="INDEX" u="1"/>
        <s v="" u="1"/>
      </sharedItems>
    </cacheField>
    <cacheField name="COUNTRY" numFmtId="0">
      <sharedItems containsBlank="1"/>
    </cacheField>
    <cacheField name="MKT CAP ($ Billions)" numFmtId="0">
      <sharedItems containsString="0" containsBlank="1" containsNumber="1" minValue="0" maxValue="4560.38"/>
    </cacheField>
    <cacheField name="ANALYST RATING" numFmtId="0">
      <sharedItems containsString="0" containsBlank="1" containsNumber="1" minValue="0" maxValue="5"/>
    </cacheField>
    <cacheField name="VALUE OF INSIDER PURCHASES" numFmtId="0">
      <sharedItems containsString="0" containsBlank="1" containsNumber="1" containsInteger="1" minValue="0" maxValue="1153514792"/>
    </cacheField>
    <cacheField name="RSI" numFmtId="2">
      <sharedItems containsBlank="1" containsMixedTypes="1" containsNumber="1" minValue="11.015613534301309" maxValue="89.50174737722912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45">
  <r>
    <s v="SPX Index"/>
    <s v="S&amp;P 500 INDEX"/>
    <s v="Financials"/>
    <s v="Financial Services"/>
    <x v="0"/>
    <s v="UNITED STATES"/>
    <n v="0"/>
    <n v="0"/>
    <n v="0"/>
    <n v="52.525531939815814"/>
  </r>
  <r>
    <s v="NYA Index"/>
    <s v="NYSE COMPOSITE INDEX"/>
    <s v="Financials"/>
    <s v="Financial Services"/>
    <x v="1"/>
    <s v="UNITED STATES"/>
    <n v="0"/>
    <n v="0"/>
    <n v="0"/>
    <n v="69.695086912633911"/>
  </r>
  <r>
    <s v="RSP US Equity"/>
    <s v="Invesco S&amp;P 500 Equal Weight ETF"/>
    <s v="Financials"/>
    <s v="Financial Services"/>
    <x v="2"/>
    <s v="UNITED STATES"/>
    <n v="83.12"/>
    <n v="0"/>
    <n v="0"/>
    <n v="67.301020603175431"/>
  </r>
  <r>
    <s v="034020 KS Equity"/>
    <s v="DOOSAN ENERBILIT"/>
    <s v="Industrials"/>
    <s v="Industrial Products"/>
    <x v="3"/>
    <s v="SOUTH KOREA"/>
    <n v="41.44"/>
    <n v="4.84"/>
    <n v="0"/>
    <n v="56.663714824633971"/>
  </r>
  <r>
    <s v="1072 HK Equity"/>
    <s v="DONGFANG ELECT-H"/>
    <s v="Industrials"/>
    <s v="Industrial Products"/>
    <x v="4"/>
    <s v="CHINA"/>
    <n v="13.56"/>
    <n v="5"/>
    <n v="0"/>
    <n v="64.585496121592143"/>
  </r>
  <r>
    <s v="1133 HK Equity"/>
    <s v="HARBIN ELECTRI-H"/>
    <s v="Industrials"/>
    <s v="Industrial Products"/>
    <x v="4"/>
    <s v="CHINA"/>
    <n v="5.48"/>
    <n v="5"/>
    <n v="0"/>
    <n v="61.273912328515458"/>
  </r>
  <r>
    <s v="1368 HK Equity"/>
    <s v="XTEP INTL"/>
    <s v="Consumer Discretionary"/>
    <s v="Consumer Discretionary Products"/>
    <x v="5"/>
    <s v="CHINA"/>
    <n v="1.83"/>
    <n v="4.91"/>
    <n v="0"/>
    <n v="51.091682869085787"/>
  </r>
  <r>
    <s v="1405 HK Equity"/>
    <s v="DPC DASH LTD"/>
    <s v="Consumer Discretionary"/>
    <s v="Consumer Discretionary Services"/>
    <x v="6"/>
    <s v="CHINA"/>
    <n v="1.1499999999999999"/>
    <n v="4.8099999999999996"/>
    <n v="0"/>
    <n v="46.788044256674993"/>
  </r>
  <r>
    <s v="1516 HK Equity"/>
    <s v="SUNAC SERVICES H"/>
    <s v="Real Estate"/>
    <s v="Real Estate"/>
    <x v="7"/>
    <s v="CHINA"/>
    <n v="0.55000000000000004"/>
    <n v="2.9"/>
    <n v="0"/>
    <n v="43.218633606796111"/>
  </r>
  <r>
    <s v="1585 HK Equity"/>
    <s v="YADEA GROUP HOLD"/>
    <s v="Consumer Discretionary"/>
    <s v="Consumer Discretionary Products"/>
    <x v="8"/>
    <s v="CHINA"/>
    <n v="4.68"/>
    <n v="4.8600000000000003"/>
    <n v="0"/>
    <n v="44.920808676964313"/>
  </r>
  <r>
    <s v="1696 HK Equity"/>
    <s v="SISRAM MEDICAL L"/>
    <s v="Health Care"/>
    <s v="Health Care"/>
    <x v="9"/>
    <s v="ISRAEL"/>
    <n v="0.26"/>
    <n v="5"/>
    <n v="0"/>
    <n v="42.993328610951302"/>
  </r>
  <r>
    <s v="1836 HK Equity"/>
    <s v="STELLA INTERNATI"/>
    <s v="Consumer Discretionary"/>
    <s v="Consumer Discretionary Products"/>
    <x v="5"/>
    <s v="HONG KONG"/>
    <n v="1.56"/>
    <n v="3.92"/>
    <n v="0"/>
    <n v="54.462015483598215"/>
  </r>
  <r>
    <s v="2020 HK Equity"/>
    <s v="ANTA SPORTS"/>
    <s v="Consumer Discretionary"/>
    <s v="Retail &amp; Whsle - Discretionary"/>
    <x v="10"/>
    <s v="CHINA"/>
    <n v="27.63"/>
    <n v="4.8499999999999996"/>
    <n v="0"/>
    <n v="62.534228480573788"/>
  </r>
  <r>
    <s v="2050 HK Equity"/>
    <s v="ZHEJIANG SANHU-H"/>
    <s v="Industrials"/>
    <s v="Industrial Products"/>
    <x v="3"/>
    <s v="CHINA"/>
    <n v="31.18"/>
    <n v="4.75"/>
    <n v="0"/>
    <n v="46.73311805628952"/>
  </r>
  <r>
    <s v="2502 JT Equity"/>
    <s v="ASAHI GROUP HOLD"/>
    <s v="Consumer Staples"/>
    <s v="Consumer Staple Products"/>
    <x v="11"/>
    <s v="JAPAN"/>
    <n v="16.02"/>
    <n v="4.47"/>
    <n v="0"/>
    <n v="53.794634655865153"/>
  </r>
  <r>
    <s v="2531 JT Equity"/>
    <s v="TAKARA HOLDINGS"/>
    <s v="Consumer Staples"/>
    <s v="Consumer Staple Products"/>
    <x v="11"/>
    <s v="JAPAN"/>
    <n v="2.06"/>
    <n v="3"/>
    <n v="0"/>
    <n v="51.451258447796675"/>
  </r>
  <r>
    <s v="2727 HK Equity"/>
    <s v="SHANGHAI ELECT-H"/>
    <s v="Industrials"/>
    <s v="Industrial Products"/>
    <x v="4"/>
    <s v="CHINA"/>
    <n v="18.5"/>
    <n v="3.67"/>
    <n v="0"/>
    <n v="52.559964430591613"/>
  </r>
  <r>
    <s v="357 HK Equity"/>
    <s v="HAINAN MEILAN IN"/>
    <s v="Industrials"/>
    <s v="Industrial Services"/>
    <x v="12"/>
    <s v="CHINA"/>
    <n v="0.64"/>
    <n v="4.1399999999999997"/>
    <n v="0"/>
    <n v="39.419742173116944"/>
  </r>
  <r>
    <s v="3606 HK Equity"/>
    <s v="FUYAO GLASS IN-H"/>
    <s v="Consumer Discretionary"/>
    <s v="Consumer Discretionary Products"/>
    <x v="8"/>
    <s v="CHINA"/>
    <n v="22.75"/>
    <n v="4.83"/>
    <n v="0"/>
    <n v="46.344698565339826"/>
  </r>
  <r>
    <s v="3690 HK Equity"/>
    <s v="MEITUAN-W"/>
    <s v="Communications"/>
    <s v="Media"/>
    <x v="13"/>
    <s v="CHINA"/>
    <n v="76.459999999999994"/>
    <n v="4.2"/>
    <n v="0"/>
    <n v="28.554223294015017"/>
  </r>
  <r>
    <s v="4704 JT Equity"/>
    <s v="TREND MICRO INC"/>
    <s v="Technology"/>
    <s v="Software &amp; Tech Services"/>
    <x v="14"/>
    <s v="JAPAN"/>
    <n v="5.66"/>
    <n v="3.18"/>
    <n v="0"/>
    <n v="36.254315416478534"/>
  </r>
  <r>
    <s v="6098 JT Equity"/>
    <s v="RECRUIT HOLDINGS"/>
    <s v="Industrials"/>
    <s v="Industrial Services"/>
    <x v="15"/>
    <s v="JAPAN"/>
    <n v="85.9"/>
    <n v="4.2699999999999996"/>
    <n v="0"/>
    <n v="33.562510134173039"/>
  </r>
  <r>
    <s v="6268 JT Equity"/>
    <s v="NABTESCO CORP"/>
    <s v="Industrials"/>
    <s v="Industrial Products"/>
    <x v="3"/>
    <s v="JAPAN"/>
    <n v="3.13"/>
    <n v="3.64"/>
    <n v="0"/>
    <n v="77.749477299577393"/>
  </r>
  <r>
    <s v="6324 JT Equity"/>
    <s v="HARMONIC DRIVE"/>
    <s v="Industrials"/>
    <s v="Industrial Products"/>
    <x v="3"/>
    <s v="JAPAN"/>
    <n v="2.2599999999999998"/>
    <n v="3.91"/>
    <n v="0"/>
    <n v="59.127038839752451"/>
  </r>
  <r>
    <s v="6481 JT Equity"/>
    <s v="THK CO LTD"/>
    <s v="Industrials"/>
    <s v="Industrial Products"/>
    <x v="3"/>
    <s v="JAPAN"/>
    <n v="3.33"/>
    <n v="3.85"/>
    <n v="0"/>
    <n v="83.018859866236468"/>
  </r>
  <r>
    <s v="6594 JT Equity"/>
    <s v="NIDEC CORP"/>
    <s v="Technology"/>
    <s v="Tech Hardware &amp; Semiconductors"/>
    <x v="16"/>
    <s v="JAPAN"/>
    <n v="18.14"/>
    <n v="3.75"/>
    <n v="0"/>
    <n v="64.573113767489417"/>
  </r>
  <r>
    <s v="6723 JT Equity"/>
    <s v="RENESAS ELECTRON"/>
    <s v="Technology"/>
    <s v="Tech Hardware &amp; Semiconductors"/>
    <x v="17"/>
    <s v="JAPAN"/>
    <n v="30.07"/>
    <n v="4.41"/>
    <n v="0"/>
    <n v="69.345875737534627"/>
  </r>
  <r>
    <s v="6736 JT Equity"/>
    <s v="SUN CORP"/>
    <s v="Technology"/>
    <s v="Tech Hardware &amp; Semiconductors"/>
    <x v="16"/>
    <s v="JAPAN"/>
    <n v="1.27"/>
    <n v="0"/>
    <n v="0"/>
    <n v="52.204598871701606"/>
  </r>
  <r>
    <s v="688036 CH Equity"/>
    <s v="SHENZHEN TRANS-A"/>
    <s v="Technology"/>
    <s v="Tech Hardware &amp; Semiconductors"/>
    <x v="16"/>
    <s v="CHINA"/>
    <n v="10.54"/>
    <n v="4.5"/>
    <n v="0"/>
    <n v="43.013748563554181"/>
  </r>
  <r>
    <s v="688256 CH Equity"/>
    <s v="CAMBRICON-A"/>
    <s v="Technology"/>
    <s v="Software &amp; Tech Services"/>
    <x v="14"/>
    <s v="CHINA"/>
    <n v="80.84"/>
    <n v="4.8099999999999996"/>
    <n v="0"/>
    <n v="30.506568959758596"/>
  </r>
  <r>
    <s v="7011 JT Equity"/>
    <s v="MITSUBISHI HEAVY"/>
    <s v="Industrials"/>
    <s v="Industrial Products"/>
    <x v="18"/>
    <s v="JAPAN"/>
    <n v="99.27"/>
    <n v="4.32"/>
    <n v="0"/>
    <n v="71.136968238736472"/>
  </r>
  <r>
    <s v="7733 JT Equity"/>
    <s v="OLYMPUS CORP"/>
    <s v="Health Care"/>
    <s v="Health Care"/>
    <x v="9"/>
    <s v="JAPAN"/>
    <n v="13.55"/>
    <n v="3.59"/>
    <n v="0"/>
    <n v="56.693663665804458"/>
  </r>
  <r>
    <s v="7974 JT Equity"/>
    <s v="NINTENDO CO LTD"/>
    <s v="Technology"/>
    <s v="Tech Hardware &amp; Semiconductors"/>
    <x v="16"/>
    <s v="JAPAN"/>
    <n v="86.38"/>
    <n v="4.2300000000000004"/>
    <n v="0"/>
    <n v="34.311240930636899"/>
  </r>
  <r>
    <s v="8001 JT Equity"/>
    <s v="ITOCHU CORP"/>
    <s v="Consumer Staples"/>
    <s v="Retail &amp; Wholesale - Staples"/>
    <x v="19"/>
    <s v="JAPAN"/>
    <n v="103.39"/>
    <n v="4.47"/>
    <n v="0"/>
    <n v="68.994371464303498"/>
  </r>
  <r>
    <s v="883 HK Equity"/>
    <s v="CNOOC-H"/>
    <s v="Energy"/>
    <s v="Oil &amp; Gas"/>
    <x v="20"/>
    <s v="CHINA"/>
    <n v="141.65"/>
    <n v="4.59"/>
    <n v="0"/>
    <n v="66.780437481443784"/>
  </r>
  <r>
    <s v="9696 HK Equity"/>
    <s v="TIANQI LITHIUM C"/>
    <s v="Materials"/>
    <s v="Materials"/>
    <x v="21"/>
    <s v="CHINA"/>
    <n v="14.54"/>
    <n v="3.67"/>
    <n v="0"/>
    <n v="33.314667102250922"/>
  </r>
  <r>
    <s v="A US Equity"/>
    <s v="AGILENT TECH INC"/>
    <s v="Health Care"/>
    <s v="Health Care"/>
    <x v="9"/>
    <s v="UNITED STATES"/>
    <n v="38.29"/>
    <n v="4.5199999999999996"/>
    <n v="0"/>
    <n v="34.857929599332181"/>
  </r>
  <r>
    <s v="AA US Equity"/>
    <s v="ALCOA CORP"/>
    <s v="Materials"/>
    <s v="Materials"/>
    <x v="22"/>
    <s v="UNITED STATES"/>
    <n v="16.11"/>
    <n v="3.57"/>
    <n v="0"/>
    <n v="58.333073783229644"/>
  </r>
  <r>
    <s v="AAL LN Equity"/>
    <s v="ANGLO AMER PLC"/>
    <s v="Materials"/>
    <s v="Materials"/>
    <x v="22"/>
    <s v="BRITAIN"/>
    <n v="54.15"/>
    <n v="3.71"/>
    <n v="144986"/>
    <n v="65.467941873950522"/>
  </r>
  <r>
    <s v="AAL US Equity"/>
    <s v="AMERICAN AIRLINE"/>
    <s v="Industrials"/>
    <s v="Industrial Services"/>
    <x v="12"/>
    <s v="UNITED STATES"/>
    <n v="9.68"/>
    <n v="3.93"/>
    <n v="0"/>
    <n v="46.99365404551294"/>
  </r>
  <r>
    <s v="AAME US Equity"/>
    <s v="ATLANTIC AMER CO"/>
    <s v="Financials"/>
    <s v="Insurance"/>
    <x v="23"/>
    <s v="UNITED STATES"/>
    <n v="0.06"/>
    <n v="0"/>
    <n v="0"/>
    <n v="40.423835930324685"/>
  </r>
  <r>
    <s v="AAMI US Equity"/>
    <s v="ACADIAN ASSET MA"/>
    <s v="Financials"/>
    <s v="Financial Services"/>
    <x v="24"/>
    <s v="UNITED STATES"/>
    <n v="1.97"/>
    <n v="3"/>
    <n v="0"/>
    <n v="49.363914254488414"/>
  </r>
  <r>
    <s v="AAOI US Equity"/>
    <s v="APPLIED OPTOELEC"/>
    <s v="Technology"/>
    <s v="Tech Hardware &amp; Semiconductors"/>
    <x v="16"/>
    <s v="UNITED STATES"/>
    <n v="2.44"/>
    <n v="4.25"/>
    <n v="2028324"/>
    <n v="62.084341956169176"/>
  </r>
  <r>
    <s v="AAON US Equity"/>
    <s v="AAON INC"/>
    <s v="Industrials"/>
    <s v="Industrial Products"/>
    <x v="4"/>
    <s v="UNITED STATES"/>
    <n v="7.71"/>
    <n v="4.83"/>
    <n v="620508"/>
    <n v="69.235093867546738"/>
  </r>
  <r>
    <s v="AAP US Equity"/>
    <s v="ADVANCE AUTO PAR"/>
    <s v="Consumer Discretionary"/>
    <s v="Retail &amp; Whsle - Discretionary"/>
    <x v="10"/>
    <s v="UNITED STATES"/>
    <n v="2.81"/>
    <n v="3"/>
    <n v="0"/>
    <n v="77.866267277682581"/>
  </r>
  <r>
    <s v="AAPL US Equity"/>
    <s v="APPLE INC"/>
    <s v="Technology"/>
    <s v="Tech Hardware &amp; Semiconductors"/>
    <x v="16"/>
    <s v="UNITED STATES"/>
    <n v="3645.67"/>
    <n v="4.1100000000000003"/>
    <n v="0"/>
    <n v="63.546377804928134"/>
  </r>
  <r>
    <s v="AAUC CT Equity"/>
    <s v="ALLIED GOLD CORP"/>
    <s v="Materials"/>
    <s v="Materials"/>
    <x v="22"/>
    <s v="CANADA"/>
    <n v="3.8"/>
    <n v="4.8"/>
    <n v="2589206"/>
    <n v="71.582534696953175"/>
  </r>
  <r>
    <s v="AAUC US Equity"/>
    <s v="ALLIED GOLD CORP"/>
    <s v="Materials"/>
    <s v="Materials"/>
    <x v="22"/>
    <s v="CANADA"/>
    <n v="3.79"/>
    <n v="4.8"/>
    <n v="2585520"/>
    <n v="70.924465000829713"/>
  </r>
  <r>
    <s v="ABAT US Equity"/>
    <s v="AMERICAN BATTERY"/>
    <s v="Materials"/>
    <s v="Materials"/>
    <x v="22"/>
    <s v="UNITED STATES"/>
    <n v="0.61"/>
    <n v="5"/>
    <n v="0"/>
    <n v="48.100172206848399"/>
  </r>
  <r>
    <s v="ABBN SW Equity"/>
    <s v="ABB LTD-REG"/>
    <s v="Industrials"/>
    <s v="Industrial Products"/>
    <x v="4"/>
    <s v="SWITZERLAND"/>
    <n v="140.22999999999999"/>
    <n v="3.4"/>
    <n v="0"/>
    <n v="75.472407989333973"/>
  </r>
  <r>
    <s v="ABBV US Equity"/>
    <s v="ABBVIE INC"/>
    <s v="Health Care"/>
    <s v="Health Care"/>
    <x v="25"/>
    <s v="UNITED STATES"/>
    <n v="387.52"/>
    <n v="4.25"/>
    <n v="0"/>
    <n v="48.987570943506618"/>
  </r>
  <r>
    <s v="ABCB US Equity"/>
    <s v="AMERIS BANCORP"/>
    <s v="Financials"/>
    <s v="Banking"/>
    <x v="26"/>
    <s v="UNITED STATES"/>
    <n v="5.5"/>
    <n v="4.43"/>
    <n v="50436"/>
    <n v="58.784862773356757"/>
  </r>
  <r>
    <s v="ABCL US Equity"/>
    <s v="ABCELLERA BIOLOG"/>
    <s v="Health Care"/>
    <s v="Health Care"/>
    <x v="25"/>
    <s v="CANADA"/>
    <n v="1.27"/>
    <n v="4.75"/>
    <n v="212000"/>
    <n v="37.466959467847964"/>
  </r>
  <r>
    <s v="ABEO US Equity"/>
    <s v="ABEONA THERAPEUT"/>
    <s v="Health Care"/>
    <s v="Health Care"/>
    <x v="25"/>
    <s v="UNITED STATES"/>
    <n v="0.28000000000000003"/>
    <n v="5"/>
    <n v="0"/>
    <n v="47.546362207529782"/>
  </r>
  <r>
    <s v="ABEV US Equity"/>
    <s v="AMBEV SA-ADR"/>
    <s v="Consumer Staples"/>
    <s v="Consumer Staple Products"/>
    <x v="11"/>
    <s v="BRAZIL"/>
    <n v="43.82"/>
    <n v="3.2"/>
    <n v="0"/>
    <n v="86.395235286045121"/>
  </r>
  <r>
    <s v="ABG US Equity"/>
    <s v="ASBURY AUTO GRP"/>
    <s v="Consumer Discretionary"/>
    <s v="Retail &amp; Whsle - Discretionary"/>
    <x v="10"/>
    <s v="UNITED STATES"/>
    <n v="4.63"/>
    <n v="3.4"/>
    <n v="0"/>
    <n v="46.644480724902657"/>
  </r>
  <r>
    <s v="ABM US Equity"/>
    <s v="ABM INDUSTRIES"/>
    <s v="Industrials"/>
    <s v="Industrial Services"/>
    <x v="15"/>
    <s v="UNITED STATES"/>
    <n v="2.73"/>
    <n v="3.5"/>
    <n v="0"/>
    <n v="57.941235495456269"/>
  </r>
  <r>
    <s v="ABNB US Equity"/>
    <s v="AIRBNB INC-A"/>
    <s v="Communications"/>
    <s v="Media"/>
    <x v="13"/>
    <s v="UNITED STATES"/>
    <n v="81.34"/>
    <n v="3.58"/>
    <n v="0"/>
    <n v="32.127659640928698"/>
  </r>
  <r>
    <s v="ABOS US Equity"/>
    <s v="ACUMEN PHARMACEU"/>
    <s v="Health Care"/>
    <s v="Health Care"/>
    <x v="25"/>
    <s v="UNITED STATES"/>
    <n v="0.12"/>
    <n v="5"/>
    <n v="0"/>
    <n v="60.702396420602788"/>
  </r>
  <r>
    <s v="ABSI US Equity"/>
    <s v="ABSCI CORP"/>
    <s v="Health Care"/>
    <s v="Health Care"/>
    <x v="25"/>
    <s v="UNITED STATES"/>
    <n v="0.44"/>
    <n v="4.78"/>
    <n v="569734"/>
    <n v="37.193342610499315"/>
  </r>
  <r>
    <s v="ABT US Equity"/>
    <s v="ABBOTT LABS"/>
    <s v="Health Care"/>
    <s v="Health Care"/>
    <x v="9"/>
    <s v="UNITED STATES"/>
    <n v="186.79"/>
    <n v="4.47"/>
    <n v="0"/>
    <n v="47.381565681083899"/>
  </r>
  <r>
    <s v="ABTC US Equity"/>
    <s v="AMERICAN BIT-A"/>
    <s v="Technology"/>
    <s v="Software &amp; Tech Services"/>
    <x v="14"/>
    <s v="UNITED STATES"/>
    <n v="1.42"/>
    <n v="5"/>
    <n v="422280"/>
    <n v="27.908616378625808"/>
  </r>
  <r>
    <s v="ABUS US Equity"/>
    <s v="ARBUTUS BIOPHARM"/>
    <s v="Health Care"/>
    <s v="Health Care"/>
    <x v="25"/>
    <s v="UNITED STATES"/>
    <n v="0.78"/>
    <n v="4.67"/>
    <n v="0"/>
    <n v="48.103652696496276"/>
  </r>
  <r>
    <s v="ABVC US Equity"/>
    <s v="ABVC BIOPHARMA I"/>
    <s v="Health Care"/>
    <s v="Health Care"/>
    <x v="25"/>
    <s v="UNITED STATES"/>
    <n v="0.05"/>
    <n v="0"/>
    <n v="0"/>
    <n v="35.70314186258571"/>
  </r>
  <r>
    <s v="ABVX US Equity"/>
    <s v="ABIVAX SA-ADR"/>
    <s v="Health Care"/>
    <s v="Health Care"/>
    <x v="25"/>
    <s v="FRANCE"/>
    <n v="9.57"/>
    <n v="4.92"/>
    <n v="0"/>
    <n v="55.569525620878352"/>
  </r>
  <r>
    <s v="ABX US Equity"/>
    <s v="ABACUS GLOBAL MA"/>
    <s v="Financials"/>
    <s v="Insurance"/>
    <x v="23"/>
    <s v="UNITED STATES"/>
    <n v="0.8"/>
    <n v="5"/>
    <n v="0"/>
    <n v="49.419746157178537"/>
  </r>
  <r>
    <s v="ACA US Equity"/>
    <s v="ARCOSA INC"/>
    <s v="Industrials"/>
    <s v="Industrial Services"/>
    <x v="27"/>
    <s v="UNITED STATES"/>
    <n v="5.57"/>
    <n v="5"/>
    <n v="0"/>
    <n v="77.309638318706675"/>
  </r>
  <r>
    <s v="ACAD US Equity"/>
    <s v="ACADIA PHARMACEU"/>
    <s v="Health Care"/>
    <s v="Health Care"/>
    <x v="25"/>
    <s v="UNITED STATES"/>
    <n v="4.54"/>
    <n v="4.1500000000000004"/>
    <n v="0"/>
    <n v="28.374005591665934"/>
  </r>
  <r>
    <s v="ACB US Equity"/>
    <s v="AURORA CANNABIS"/>
    <s v="Consumer Staples"/>
    <s v="Consumer Staple Products"/>
    <x v="28"/>
    <s v="CANADA"/>
    <n v="0.25"/>
    <n v="3.8"/>
    <n v="0"/>
    <n v="32.878618152433759"/>
  </r>
  <r>
    <s v="ACCO US Equity"/>
    <s v="ACCO BRANDS CORP"/>
    <s v="Consumer Discretionary"/>
    <s v="Consumer Discretionary Products"/>
    <x v="29"/>
    <s v="UNITED STATES"/>
    <n v="0.35"/>
    <n v="5"/>
    <n v="0"/>
    <n v="62.792422317081268"/>
  </r>
  <r>
    <s v="ACDC US Equity"/>
    <s v="PROFRAC HOLDIN-A"/>
    <s v="Energy"/>
    <s v="Oil &amp; Gas"/>
    <x v="30"/>
    <s v="UNITED STATES"/>
    <n v="0.91"/>
    <n v="2.2000000000000002"/>
    <n v="218650"/>
    <n v="64.422318289858481"/>
  </r>
  <r>
    <s v="ACEL US Equity"/>
    <s v="ACCEL ENTERTAINM"/>
    <s v="Consumer Discretionary"/>
    <s v="Consumer Discretionary Services"/>
    <x v="6"/>
    <s v="UNITED STATES"/>
    <n v="0.94"/>
    <n v="4.57"/>
    <n v="0"/>
    <n v="45.219400665648578"/>
  </r>
  <r>
    <s v="ACGL US Equity"/>
    <s v="ARCH CAPITAL GRP"/>
    <s v="Financials"/>
    <s v="Insurance"/>
    <x v="23"/>
    <s v="BERMUDA"/>
    <n v="33.71"/>
    <n v="3.77"/>
    <n v="0"/>
    <n v="58.230911698336641"/>
  </r>
  <r>
    <s v="ACHC US Equity"/>
    <s v="ACADIA HEALTHCAR"/>
    <s v="Health Care"/>
    <s v="Health Care"/>
    <x v="31"/>
    <s v="UNITED STATES"/>
    <n v="1.41"/>
    <n v="3.8"/>
    <n v="0"/>
    <n v="62.954838066201489"/>
  </r>
  <r>
    <s v="ACHR US Equity"/>
    <s v="ARCHER AVIATIO-A"/>
    <s v="Industrials"/>
    <s v="Industrial Products"/>
    <x v="32"/>
    <s v="UNITED STATES"/>
    <n v="5.61"/>
    <n v="4.33"/>
    <n v="0"/>
    <n v="39.762505826798744"/>
  </r>
  <r>
    <s v="ACHV US Equity"/>
    <s v="ACHIEVE LIFE SCI"/>
    <s v="Health Care"/>
    <s v="Health Care"/>
    <x v="25"/>
    <s v="UNITED STATES"/>
    <n v="0.3"/>
    <n v="4.8600000000000003"/>
    <n v="0"/>
    <n v="41.092704347411484"/>
  </r>
  <r>
    <s v="ACI US Equity"/>
    <s v="ALBERTSONS COS-A"/>
    <s v="Consumer Staples"/>
    <s v="Retail &amp; Wholesale - Staples"/>
    <x v="33"/>
    <s v="UNITED STATES"/>
    <n v="8.77"/>
    <n v="3.92"/>
    <n v="0"/>
    <n v="56.958831745766027"/>
  </r>
  <r>
    <s v="ACIC US Equity"/>
    <s v="AMERICAN COASTAL"/>
    <s v="Financials"/>
    <s v="Insurance"/>
    <x v="23"/>
    <s v="UNITED STATES"/>
    <n v="0.54"/>
    <n v="4"/>
    <n v="0"/>
    <n v="46.195707876021515"/>
  </r>
  <r>
    <s v="ACIU US Equity"/>
    <s v="AC IMMUNE SA"/>
    <s v="Health Care"/>
    <s v="Health Care"/>
    <x v="25"/>
    <s v="SWITZERLAND"/>
    <n v="0.37"/>
    <n v="5"/>
    <n v="0"/>
    <n v="41.850277674304607"/>
  </r>
  <r>
    <s v="ACIW US Equity"/>
    <s v="ACI WORLDWIDE IN"/>
    <s v="Technology"/>
    <s v="Software &amp; Tech Services"/>
    <x v="14"/>
    <s v="UNITED STATES"/>
    <n v="4.54"/>
    <n v="4.67"/>
    <n v="0"/>
    <n v="36.642251980973029"/>
  </r>
  <r>
    <s v="ACLS US Equity"/>
    <s v="AXCELIS TECH INC"/>
    <s v="Technology"/>
    <s v="Tech Hardware &amp; Semiconductors"/>
    <x v="17"/>
    <s v="UNITED STATES"/>
    <n v="2.82"/>
    <n v="3.33"/>
    <n v="0"/>
    <n v="55.276499645314935"/>
  </r>
  <r>
    <s v="ACLX US Equity"/>
    <s v="ARCELLX INC"/>
    <s v="Health Care"/>
    <s v="Health Care"/>
    <x v="25"/>
    <s v="UNITED STATES"/>
    <n v="3.91"/>
    <n v="4.8"/>
    <n v="0"/>
    <n v="54.421927256471008"/>
  </r>
  <r>
    <s v="ACM US Equity"/>
    <s v="AECOM"/>
    <s v="Industrials"/>
    <s v="Industrial Services"/>
    <x v="27"/>
    <s v="UNITED STATES"/>
    <n v="12.55"/>
    <n v="4.57"/>
    <n v="0"/>
    <n v="55.019535751835861"/>
  </r>
  <r>
    <s v="ACMR US Equity"/>
    <s v="ACM RESEARCH-A"/>
    <s v="Technology"/>
    <s v="Tech Hardware &amp; Semiconductors"/>
    <x v="17"/>
    <s v="UNITED STATES"/>
    <n v="3.23"/>
    <n v="4.75"/>
    <n v="0"/>
    <n v="74.605221352993723"/>
  </r>
  <r>
    <s v="ACN US Equity"/>
    <s v="ACCENTURE PLC-A"/>
    <s v="Technology"/>
    <s v="Software &amp; Tech Services"/>
    <x v="34"/>
    <s v="IRELAND"/>
    <n v="173.14"/>
    <n v="4.17"/>
    <n v="0"/>
    <n v="31.781356292835824"/>
  </r>
  <r>
    <s v="ACRS US Equity"/>
    <s v="ACLARIS THERAPEU"/>
    <s v="Health Care"/>
    <s v="Health Care"/>
    <x v="25"/>
    <s v="UNITED STATES"/>
    <n v="0.49"/>
    <n v="4.71"/>
    <n v="0"/>
    <n v="49.049457380094353"/>
  </r>
  <r>
    <s v="ACT US Equity"/>
    <s v="ENACT HOLDINGS I"/>
    <s v="Financials"/>
    <s v="Financial Services"/>
    <x v="35"/>
    <s v="UNITED STATES"/>
    <n v="5.59"/>
    <n v="3.4"/>
    <n v="0"/>
    <n v="65.26988967833347"/>
  </r>
  <r>
    <s v="ACTG US Equity"/>
    <s v="ACACIA RESEARCH"/>
    <s v="Industrials"/>
    <s v="Industrial Services"/>
    <x v="15"/>
    <s v="UNITED STATES"/>
    <n v="0.38"/>
    <n v="5"/>
    <n v="30492"/>
    <n v="56.292777449923648"/>
  </r>
  <r>
    <s v="ACVA US Equity"/>
    <s v="ACV AUCTIONS-A"/>
    <s v="Technology"/>
    <s v="Software &amp; Tech Services"/>
    <x v="14"/>
    <s v="UNITED STATES"/>
    <n v="1.46"/>
    <n v="3.86"/>
    <n v="1241247"/>
    <n v="33.520586489580708"/>
  </r>
  <r>
    <s v="AD US Equity"/>
    <s v="ARRAY DIGITAL IN"/>
    <s v="Communications"/>
    <s v="Telecommunications"/>
    <x v="36"/>
    <s v="UNITED STATES"/>
    <n v="4.1399999999999997"/>
    <n v="4.1399999999999997"/>
    <n v="0"/>
    <n v="62.328136863041145"/>
  </r>
  <r>
    <s v="ADAG US Equity"/>
    <s v="ADAGENE INC-ADR"/>
    <s v="Health Care"/>
    <s v="Health Care"/>
    <x v="25"/>
    <s v="CHINA"/>
    <n v="0.11"/>
    <n v="4.5"/>
    <n v="0"/>
    <n v="68.4460595937242"/>
  </r>
  <r>
    <s v="ADBE US Equity"/>
    <s v="ADOBE INC"/>
    <s v="Technology"/>
    <s v="Software &amp; Tech Services"/>
    <x v="14"/>
    <s v="UNITED STATES"/>
    <n v="123.59"/>
    <n v="3.91"/>
    <n v="0"/>
    <n v="22.832954032255657"/>
  </r>
  <r>
    <s v="ADC US Equity"/>
    <s v="AGREE REALTY"/>
    <s v="Real Estate"/>
    <s v="Real Estate"/>
    <x v="37"/>
    <s v="UNITED STATES"/>
    <n v="8.34"/>
    <n v="4.33"/>
    <n v="5531357"/>
    <n v="66.858495405941781"/>
  </r>
  <r>
    <s v="ADCT US Equity"/>
    <s v="ADC THERAPEUTICS"/>
    <s v="Health Care"/>
    <s v="Health Care"/>
    <x v="25"/>
    <s v="SWITZERLAND"/>
    <n v="0.45"/>
    <n v="5"/>
    <n v="0"/>
    <n v="54.544561960448547"/>
  </r>
  <r>
    <s v="ADEA US Equity"/>
    <s v="ADEIA INC"/>
    <s v="Technology"/>
    <s v="Software &amp; Tech Services"/>
    <x v="14"/>
    <s v="UNITED STATES"/>
    <n v="2.12"/>
    <n v="5"/>
    <n v="0"/>
    <n v="58.538581067832702"/>
  </r>
  <r>
    <s v="ADI US Equity"/>
    <s v="ANALOG DEVICES"/>
    <s v="Technology"/>
    <s v="Tech Hardware &amp; Semiconductors"/>
    <x v="17"/>
    <s v="UNITED STATES"/>
    <n v="149.32"/>
    <n v="4.32"/>
    <n v="0"/>
    <n v="74.105228583304708"/>
  </r>
  <r>
    <s v="ADM US Equity"/>
    <s v="ARCHER-DANIELS"/>
    <s v="Consumer Staples"/>
    <s v="Retail &amp; Wholesale - Staples"/>
    <x v="19"/>
    <s v="UNITED STATES"/>
    <n v="32.44"/>
    <n v="2.69"/>
    <n v="0"/>
    <n v="66.538296903945792"/>
  </r>
  <r>
    <s v="ADMA US Equity"/>
    <s v="ADMA BIOLOGICS I"/>
    <s v="Health Care"/>
    <s v="Health Care"/>
    <x v="25"/>
    <s v="UNITED STATES"/>
    <n v="3.98"/>
    <n v="5"/>
    <n v="0"/>
    <n v="39.603805774075461"/>
  </r>
  <r>
    <s v="ADNT US Equity"/>
    <s v="ADIENT PLC"/>
    <s v="Consumer Discretionary"/>
    <s v="Consumer Discretionary Products"/>
    <x v="8"/>
    <s v="UNITED STATES"/>
    <n v="1.69"/>
    <n v="3.77"/>
    <n v="0"/>
    <n v="72.776671075282522"/>
  </r>
  <r>
    <s v="ADP FP Equity"/>
    <s v="ADP"/>
    <s v="Industrials"/>
    <s v="Industrial Services"/>
    <x v="12"/>
    <s v="FRANCE"/>
    <n v="12.77"/>
    <n v="3.37"/>
    <n v="0"/>
    <n v="54.360063940198373"/>
  </r>
  <r>
    <s v="ADP US Equity"/>
    <s v="AUTOMATIC DATA"/>
    <s v="Industrials"/>
    <s v="Industrial Services"/>
    <x v="15"/>
    <s v="UNITED STATES"/>
    <n v="104.3"/>
    <n v="3"/>
    <n v="0"/>
    <n v="16.598853324509875"/>
  </r>
  <r>
    <s v="ADPT US Equity"/>
    <s v="ADAPTIVE BIOTECH"/>
    <s v="Health Care"/>
    <s v="Health Care"/>
    <x v="9"/>
    <s v="UNITED STATES"/>
    <n v="2.83"/>
    <n v="4.75"/>
    <n v="0"/>
    <n v="36.130561011023495"/>
  </r>
  <r>
    <s v="ADSK US Equity"/>
    <s v="AUTODESK INC"/>
    <s v="Technology"/>
    <s v="Software &amp; Tech Services"/>
    <x v="14"/>
    <s v="UNITED STATES"/>
    <n v="57.24"/>
    <n v="4.6900000000000004"/>
    <n v="0"/>
    <n v="28.405478085113046"/>
  </r>
  <r>
    <s v="ADT US Equity"/>
    <s v="ADT INC"/>
    <s v="Industrials"/>
    <s v="Industrial Services"/>
    <x v="15"/>
    <s v="UNITED STATES"/>
    <n v="6.58"/>
    <n v="3.8"/>
    <n v="0"/>
    <n v="42.251338629696029"/>
  </r>
  <r>
    <s v="ADTN US Equity"/>
    <s v="ADTRAN HOLDINGS"/>
    <s v="Technology"/>
    <s v="Tech Hardware &amp; Semiconductors"/>
    <x v="16"/>
    <s v="UNITED STATES"/>
    <n v="0.77"/>
    <n v="4.2"/>
    <n v="572398"/>
    <n v="67.947164161135447"/>
  </r>
  <r>
    <s v="ADUR US Equity"/>
    <s v="ADURO CLEAN TECH"/>
    <s v="Industrials"/>
    <s v="Industrial Services"/>
    <x v="15"/>
    <s v="CANADA"/>
    <n v="0.44"/>
    <n v="5"/>
    <n v="0"/>
    <n v="42.407354407917367"/>
  </r>
  <r>
    <s v="ADUS US Equity"/>
    <s v="ADDUS HOMECARE"/>
    <s v="Health Care"/>
    <s v="Health Care"/>
    <x v="31"/>
    <s v="UNITED STATES"/>
    <n v="2.04"/>
    <n v="4.5"/>
    <n v="0"/>
    <n v="59.321118031483635"/>
  </r>
  <r>
    <s v="ADYEN NA Equity"/>
    <s v="ADYEN NV"/>
    <s v="Financials"/>
    <s v="Financial Services"/>
    <x v="35"/>
    <s v="NETHERLANDS"/>
    <n v="51.95"/>
    <n v="4.58"/>
    <n v="0"/>
    <n v="34.378090934447883"/>
  </r>
  <r>
    <s v="AEBI US Equity"/>
    <s v="AEBI SCHMIDT HOL"/>
    <s v="Industrials"/>
    <s v="Industrial Products"/>
    <x v="3"/>
    <s v="SWITZERLAND"/>
    <n v="1.1100000000000001"/>
    <n v="4.33"/>
    <n v="637334"/>
    <n v="62.777673975120898"/>
  </r>
  <r>
    <s v="AEE US Equity"/>
    <s v="AMEREN CORP"/>
    <s v="Utilities"/>
    <s v="Utilities"/>
    <x v="38"/>
    <s v="UNITED STATES"/>
    <n v="27.68"/>
    <n v="3.88"/>
    <n v="0"/>
    <n v="64.87888407641023"/>
  </r>
  <r>
    <s v="AEG US Equity"/>
    <s v="AEGON LTD-NY REG"/>
    <s v="Financials"/>
    <s v="Insurance"/>
    <x v="23"/>
    <s v="NETHERLANDS"/>
    <n v="12.2"/>
    <n v="4.33"/>
    <n v="0"/>
    <n v="53.251740634000363"/>
  </r>
  <r>
    <s v="AEHR US Equity"/>
    <s v="AEHR TEST SYSTEM"/>
    <s v="Technology"/>
    <s v="Tech Hardware &amp; Semiconductors"/>
    <x v="17"/>
    <s v="UNITED STATES"/>
    <n v="0.86"/>
    <n v="3.5"/>
    <n v="0"/>
    <n v="66.747207125505867"/>
  </r>
  <r>
    <s v="AEI US Equity"/>
    <s v="ALSET INC"/>
    <s v="Real Estate"/>
    <s v="Real Estate"/>
    <x v="39"/>
    <s v="UNITED STATES"/>
    <n v="0.11"/>
    <n v="0"/>
    <n v="96030"/>
    <n v="41.368701483038244"/>
  </r>
  <r>
    <s v="AEIS US Equity"/>
    <s v="ADV ENERGY INDS"/>
    <s v="Industrials"/>
    <s v="Industrial Products"/>
    <x v="4"/>
    <s v="UNITED STATES"/>
    <n v="9.9"/>
    <n v="4.42"/>
    <n v="0"/>
    <n v="74.649570349730325"/>
  </r>
  <r>
    <s v="AEM US Equity"/>
    <s v="AGNICO EAGLE MIN"/>
    <s v="Materials"/>
    <s v="Materials"/>
    <x v="22"/>
    <s v="CANADA"/>
    <n v="107.64"/>
    <n v="4.5"/>
    <n v="643620"/>
    <n v="62.304986769335244"/>
  </r>
  <r>
    <s v="AENA SM Equity"/>
    <s v="AENA SME SA"/>
    <s v="Industrials"/>
    <s v="Industrial Services"/>
    <x v="12"/>
    <s v="SPAIN"/>
    <n v="44.92"/>
    <n v="3.3"/>
    <n v="0"/>
    <n v="72.421894969800817"/>
  </r>
  <r>
    <s v="AENT US Equity"/>
    <s v="ALLIANCE ENTERTA"/>
    <s v="Consumer Discretionary"/>
    <s v="Retail &amp; Whsle - Discretionary"/>
    <x v="40"/>
    <s v="UNITED STATES"/>
    <n v="0.39"/>
    <n v="5"/>
    <n v="0"/>
    <n v="44.588797247121107"/>
  </r>
  <r>
    <s v="AEO US Equity"/>
    <s v="AMER EAGLE OUTF"/>
    <s v="Consumer Discretionary"/>
    <s v="Retail &amp; Whsle - Discretionary"/>
    <x v="10"/>
    <s v="UNITED STATES"/>
    <n v="4.09"/>
    <n v="2.69"/>
    <n v="0"/>
    <n v="46.075038007451475"/>
  </r>
  <r>
    <s v="AEP US Equity"/>
    <s v="AMERICAN ELECTRI"/>
    <s v="Utilities"/>
    <s v="Utilities"/>
    <x v="38"/>
    <s v="UNITED STATES"/>
    <n v="62.29"/>
    <n v="3.8"/>
    <n v="0"/>
    <n v="67.864582071040672"/>
  </r>
  <r>
    <s v="AER US Equity"/>
    <s v="AERCAP HOLDINGS"/>
    <s v="Financials"/>
    <s v="Financial Services"/>
    <x v="35"/>
    <s v="IRELAND"/>
    <n v="24.66"/>
    <n v="4.7300000000000004"/>
    <n v="0"/>
    <n v="61.281688893350484"/>
  </r>
  <r>
    <s v="AERO SW Equity"/>
    <s v="MONTANA AEROSPAC"/>
    <s v="Industrials"/>
    <s v="Industrial Products"/>
    <x v="32"/>
    <s v="SWITZERLAND"/>
    <n v="2.67"/>
    <n v="4.67"/>
    <n v="0"/>
    <n v="58.65229151868094"/>
  </r>
  <r>
    <s v="AERO US Equity"/>
    <s v="GRUPO AEROMEXICO"/>
    <s v="Industrials"/>
    <s v="Industrial Services"/>
    <x v="12"/>
    <s v="MEXICO"/>
    <n v="3.08"/>
    <n v="5"/>
    <n v="0"/>
    <n v="36.150737966104643"/>
  </r>
  <r>
    <s v="AES US Equity"/>
    <s v="AES CORP"/>
    <s v="Utilities"/>
    <s v="Utilities"/>
    <x v="38"/>
    <s v="UNITED STATES"/>
    <n v="10.15"/>
    <n v="3.81"/>
    <n v="0"/>
    <n v="69.702268338077857"/>
  </r>
  <r>
    <s v="AESI US Equity"/>
    <s v="ATLAS ENERGY SOL"/>
    <s v="Energy"/>
    <s v="Oil &amp; Gas"/>
    <x v="30"/>
    <s v="UNITED STATES"/>
    <n v="1.48"/>
    <n v="3.23"/>
    <n v="0"/>
    <n v="61.101514412937483"/>
  </r>
  <r>
    <s v="AEVA US Equity"/>
    <s v="AEVA TECHNOLOGIE"/>
    <s v="Consumer Discretionary"/>
    <s v="Consumer Discretionary Products"/>
    <x v="8"/>
    <s v="UNITED STATES"/>
    <n v="0.95"/>
    <n v="4.5999999999999996"/>
    <n v="0"/>
    <n v="42.216874450412895"/>
  </r>
  <r>
    <s v="AEXA US Equity"/>
    <s v="AMERICAN EXCEP-A"/>
    <s v="Financials"/>
    <s v="Financial Services"/>
    <x v="24"/>
    <s v="UNITED STATES"/>
    <n v="0.41"/>
    <n v="0"/>
    <n v="0"/>
    <n v="50.726380479335262"/>
  </r>
  <r>
    <s v="AFBI US Equity"/>
    <s v="AFFINITY BANCSHA"/>
    <s v="Financials"/>
    <s v="Banking"/>
    <x v="26"/>
    <s v="UNITED STATES"/>
    <n v="0.13"/>
    <n v="0"/>
    <n v="0"/>
    <n v="55.001967024166674"/>
  </r>
  <r>
    <s v="AFG US Equity"/>
    <s v="AMER FINL GROUP"/>
    <s v="Financials"/>
    <s v="Insurance"/>
    <x v="23"/>
    <s v="UNITED STATES"/>
    <n v="10.66"/>
    <n v="3.57"/>
    <n v="0"/>
    <n v="44.763139920545591"/>
  </r>
  <r>
    <s v="AFJK US Equity"/>
    <s v="AIMEI HEALTH TEC"/>
    <s v="Financials"/>
    <s v="Financial Services"/>
    <x v="24"/>
    <s v="UNITED STATES"/>
    <n v="0.34"/>
    <n v="0"/>
    <n v="0"/>
    <n v="46.746847313704841"/>
  </r>
  <r>
    <s v="AFL US Equity"/>
    <s v="AFLAC INC"/>
    <s v="Financials"/>
    <s v="Insurance"/>
    <x v="23"/>
    <s v="UNITED STATES"/>
    <n v="56.13"/>
    <n v="3"/>
    <n v="0"/>
    <n v="63.360282620707835"/>
  </r>
  <r>
    <s v="AFRM US Equity"/>
    <s v="AFFIRM HOLDINGS"/>
    <s v="Financials"/>
    <s v="Financial Services"/>
    <x v="35"/>
    <s v="UNITED STATES"/>
    <n v="23.58"/>
    <n v="4.3499999999999996"/>
    <n v="0"/>
    <n v="30.890791240542598"/>
  </r>
  <r>
    <s v="AFYA US Equity"/>
    <s v="AFYA LTD-CLASS A"/>
    <s v="Consumer Discretionary"/>
    <s v="Consumer Discretionary Services"/>
    <x v="41"/>
    <s v="BRAZIL"/>
    <n v="1.32"/>
    <n v="3"/>
    <n v="0"/>
    <n v="60.362674712253231"/>
  </r>
  <r>
    <s v="AG US Equity"/>
    <s v="FIRST MAJESTIC S"/>
    <s v="Materials"/>
    <s v="Materials"/>
    <x v="22"/>
    <s v="CANADA"/>
    <n v="12.49"/>
    <n v="4.33"/>
    <n v="274752"/>
    <n v="58.854012563108085"/>
  </r>
  <r>
    <s v="AGCC US Equity"/>
    <s v="AGENCIA COMERCIA"/>
    <s v="Consumer Staples"/>
    <s v="Consumer Staple Products"/>
    <x v="11"/>
    <s v="TAIWAN"/>
    <n v="0.33"/>
    <n v="0"/>
    <n v="0"/>
    <n v="59.926985894901001"/>
  </r>
  <r>
    <s v="AGCO US Equity"/>
    <s v="AGCO CORP"/>
    <s v="Industrials"/>
    <s v="Industrial Products"/>
    <x v="3"/>
    <s v="UNITED STATES"/>
    <n v="8.49"/>
    <n v="3.35"/>
    <n v="0"/>
    <n v="86.156059104575462"/>
  </r>
  <r>
    <s v="AGEN US Equity"/>
    <s v="AGENUS INC"/>
    <s v="Health Care"/>
    <s v="Health Care"/>
    <x v="25"/>
    <s v="UNITED STATES"/>
    <n v="0.11"/>
    <n v="4.33"/>
    <n v="0"/>
    <n v="42.304922603553912"/>
  </r>
  <r>
    <s v="AGI US Equity"/>
    <s v="ALAMOS GOLD INC"/>
    <s v="Materials"/>
    <s v="Materials"/>
    <x v="22"/>
    <s v="CANADA"/>
    <n v="18.23"/>
    <n v="5"/>
    <n v="0"/>
    <n v="62.508711886440693"/>
  </r>
  <r>
    <s v="AGIO US Equity"/>
    <s v="AGIOS PHARMACEUT"/>
    <s v="Health Care"/>
    <s v="Health Care"/>
    <x v="25"/>
    <s v="UNITED STATES"/>
    <n v="1.66"/>
    <n v="4.4000000000000004"/>
    <n v="0"/>
    <n v="49.722128000823083"/>
  </r>
  <r>
    <s v="AGM US Equity"/>
    <s v="FED AGRI MTG-C"/>
    <s v="Financials"/>
    <s v="Financial Services"/>
    <x v="35"/>
    <s v="UNITED STATES"/>
    <n v="1.81"/>
    <n v="5"/>
    <n v="0"/>
    <n v="57.154275046473288"/>
  </r>
  <r>
    <s v="AGO US Equity"/>
    <s v="ASSURED GUARANTY"/>
    <s v="Financials"/>
    <s v="Insurance"/>
    <x v="23"/>
    <s v="BERMUDA"/>
    <n v="3.84"/>
    <n v="4.33"/>
    <n v="0"/>
    <n v="50.823251036730625"/>
  </r>
  <r>
    <s v="AGRO US Equity"/>
    <s v="ADECOAGRO SA"/>
    <s v="Consumer Staples"/>
    <s v="Consumer Staple Products"/>
    <x v="42"/>
    <s v="ARGENTINA"/>
    <n v="1.26"/>
    <n v="2.67"/>
    <n v="0"/>
    <n v="59.149327586597465"/>
  </r>
  <r>
    <s v="AGX US Equity"/>
    <s v="ARGAN INC"/>
    <s v="Industrials"/>
    <s v="Industrial Services"/>
    <x v="27"/>
    <s v="UNITED STATES"/>
    <n v="5.05"/>
    <n v="3.8"/>
    <n v="0"/>
    <n v="67.475379684131269"/>
  </r>
  <r>
    <s v="AGYS US Equity"/>
    <s v="AGILYSYS INC"/>
    <s v="Technology"/>
    <s v="Software &amp; Tech Services"/>
    <x v="14"/>
    <s v="UNITED STATES"/>
    <n v="3.02"/>
    <n v="4.71"/>
    <n v="0"/>
    <n v="32.97327659763701"/>
  </r>
  <r>
    <s v="AHCO US Equity"/>
    <s v="ADAPTHEALTH CORP"/>
    <s v="Health Care"/>
    <s v="Health Care"/>
    <x v="31"/>
    <s v="UNITED STATES"/>
    <n v="1.37"/>
    <n v="4.5"/>
    <n v="0"/>
    <n v="56.083801549757403"/>
  </r>
  <r>
    <s v="AHL US Equity"/>
    <s v="ASPEN INSURANC-A"/>
    <s v="Financials"/>
    <s v="Insurance"/>
    <x v="23"/>
    <s v="BERMUDA"/>
    <n v="3.42"/>
    <n v="3.29"/>
    <n v="0"/>
    <n v="65.216999798704549"/>
  </r>
  <r>
    <s v="AHR US Equity"/>
    <s v="AMERICAN HEALTHC"/>
    <s v="Real Estate"/>
    <s v="Real Estate"/>
    <x v="37"/>
    <s v="UNITED STATES"/>
    <n v="8.6999999999999993"/>
    <n v="4.75"/>
    <n v="0"/>
    <n v="69.525443380493684"/>
  </r>
  <r>
    <s v="AI FP Equity"/>
    <s v="AIR LIQUIDE SA"/>
    <s v="Materials"/>
    <s v="Materials"/>
    <x v="21"/>
    <s v="FRANCE"/>
    <n v="107.71"/>
    <n v="4.32"/>
    <n v="0"/>
    <n v="66.977628868697877"/>
  </r>
  <r>
    <s v="AI US Equity"/>
    <s v="C3.AI INC-A"/>
    <s v="Technology"/>
    <s v="Software &amp; Tech Services"/>
    <x v="14"/>
    <s v="UNITED STATES"/>
    <n v="1.79"/>
    <n v="2.38"/>
    <n v="0"/>
    <n v="37.817111604067733"/>
  </r>
  <r>
    <s v="AIG US Equity"/>
    <s v="AMERICAN INTERNA"/>
    <s v="Financials"/>
    <s v="Insurance"/>
    <x v="23"/>
    <s v="UNITED STATES"/>
    <n v="39.020000000000003"/>
    <n v="3.67"/>
    <n v="49250"/>
    <n v="58.575352563463575"/>
  </r>
  <r>
    <s v="AII US Equity"/>
    <s v="AMERICAN INTEGRI"/>
    <s v="Financials"/>
    <s v="Insurance"/>
    <x v="23"/>
    <s v="UNITED STATES"/>
    <n v="0.36"/>
    <n v="4.5"/>
    <n v="0"/>
    <n v="38.537608921333486"/>
  </r>
  <r>
    <s v="AIN US Equity"/>
    <s v="ALBANY INTL CORP"/>
    <s v="Industrials"/>
    <s v="Industrial Products"/>
    <x v="3"/>
    <s v="UNITED STATES"/>
    <n v="1.65"/>
    <n v="2.5"/>
    <n v="233118"/>
    <n v="62.53535706326327"/>
  </r>
  <r>
    <s v="AIOT US Equity"/>
    <s v="POWERFLEET INC"/>
    <s v="Technology"/>
    <s v="Tech Hardware &amp; Semiconductors"/>
    <x v="16"/>
    <s v="UNITED STATES"/>
    <n v="0.72"/>
    <n v="5"/>
    <n v="178716"/>
    <n v="24.711218376737037"/>
  </r>
  <r>
    <s v="AIP US Equity"/>
    <s v="ARTERIS INC"/>
    <s v="Technology"/>
    <s v="Tech Hardware &amp; Semiconductors"/>
    <x v="17"/>
    <s v="UNITED STATES"/>
    <n v="0.71"/>
    <n v="4.5"/>
    <n v="0"/>
    <n v="45.248531762698406"/>
  </r>
  <r>
    <s v="AIR FP Equity"/>
    <s v="AIRBUS SE"/>
    <s v="Industrials"/>
    <s v="Industrial Products"/>
    <x v="32"/>
    <s v="FRANCE"/>
    <n v="193.24"/>
    <n v="4.28"/>
    <n v="0"/>
    <n v="31.536906696276148"/>
  </r>
  <r>
    <s v="AIR US Equity"/>
    <s v="AAR CORP"/>
    <s v="Industrials"/>
    <s v="Industrial Products"/>
    <x v="32"/>
    <s v="UNITED STATES"/>
    <n v="4.18"/>
    <n v="5"/>
    <n v="0"/>
    <n v="70.521096002674739"/>
  </r>
  <r>
    <s v="AIRS US Equity"/>
    <s v="AIRSCULPT TECHNO"/>
    <s v="Consumer Discretionary"/>
    <s v="Consumer Discretionary Services"/>
    <x v="41"/>
    <s v="UNITED STATES"/>
    <n v="0.17"/>
    <n v="3.67"/>
    <n v="0"/>
    <n v="39.754246130871032"/>
  </r>
  <r>
    <s v="AIT US Equity"/>
    <s v="APPLIED INDU TEC"/>
    <s v="Industrials"/>
    <s v="Industrial Services"/>
    <x v="43"/>
    <s v="UNITED STATES"/>
    <n v="10.57"/>
    <n v="4.5"/>
    <n v="0"/>
    <n v="61.260152979122147"/>
  </r>
  <r>
    <s v="AIZ US Equity"/>
    <s v="ASSURANT INC"/>
    <s v="Financials"/>
    <s v="Insurance"/>
    <x v="23"/>
    <s v="UNITED STATES"/>
    <n v="11.69"/>
    <n v="4.75"/>
    <n v="0"/>
    <n v="26.611161050379422"/>
  </r>
  <r>
    <s v="AJG US Equity"/>
    <s v="ARTHUR J GALLAGH"/>
    <s v="Financials"/>
    <s v="Insurance"/>
    <x v="23"/>
    <s v="UNITED STATES"/>
    <n v="65.02"/>
    <n v="3.96"/>
    <n v="1012840"/>
    <n v="20.246882798182511"/>
  </r>
  <r>
    <s v="AKAM US Equity"/>
    <s v="AKAMAI TECHNOLOG"/>
    <s v="Technology"/>
    <s v="Software &amp; Tech Services"/>
    <x v="14"/>
    <s v="UNITED STATES"/>
    <n v="13.68"/>
    <n v="3.96"/>
    <n v="5039240"/>
    <n v="53.094905041185498"/>
  </r>
  <r>
    <s v="AKBA US Equity"/>
    <s v="AKEBIA THERAPEUT"/>
    <s v="Health Care"/>
    <s v="Health Care"/>
    <x v="25"/>
    <s v="UNITED STATES"/>
    <n v="0.36"/>
    <n v="5"/>
    <n v="0"/>
    <n v="57.630843722638488"/>
  </r>
  <r>
    <s v="AL US Equity"/>
    <s v="AIR LEASE C"/>
    <s v="Financials"/>
    <s v="Financial Services"/>
    <x v="35"/>
    <s v="UNITED STATES"/>
    <n v="7.2"/>
    <n v="3"/>
    <n v="0"/>
    <n v="67.762480893060086"/>
  </r>
  <r>
    <s v="ALAB US Equity"/>
    <s v="ASTERA LABS INC"/>
    <s v="Technology"/>
    <s v="Tech Hardware &amp; Semiconductors"/>
    <x v="17"/>
    <s v="UNITED STATES"/>
    <n v="28.66"/>
    <n v="4.4400000000000004"/>
    <n v="0"/>
    <n v="42.37680742191823"/>
  </r>
  <r>
    <s v="ALB US Equity"/>
    <s v="ALBEMARLE CORP"/>
    <s v="Materials"/>
    <s v="Materials"/>
    <x v="21"/>
    <s v="UNITED STATES"/>
    <n v="22.3"/>
    <n v="4"/>
    <n v="0"/>
    <n v="56.289271807782121"/>
  </r>
  <r>
    <s v="ALC SW Equity"/>
    <s v="ALCON INC"/>
    <s v="Health Care"/>
    <s v="Health Care"/>
    <x v="9"/>
    <s v="SWITZERLAND"/>
    <n v="40.18"/>
    <n v="4.3600000000000003"/>
    <n v="1271158"/>
    <n v="39.631799530205065"/>
  </r>
  <r>
    <s v="ALC US Equity"/>
    <s v="ALCON INC"/>
    <s v="Health Care"/>
    <s v="Health Care"/>
    <x v="9"/>
    <s v="SWITZERLAND"/>
    <n v="40.119999999999997"/>
    <n v="4.41"/>
    <n v="1269385"/>
    <n v="49.087267288412029"/>
  </r>
  <r>
    <s v="ALCY US Equity"/>
    <s v="ALCHEMY INVESTME"/>
    <s v="Financials"/>
    <s v="Financial Services"/>
    <x v="24"/>
    <s v="UNITED STATES"/>
    <n v="0.05"/>
    <n v="0"/>
    <n v="0"/>
    <n v="45.731858415360719"/>
  </r>
  <r>
    <s v="ALDE CN Equity"/>
    <s v="ALDEBARAN RESOUR"/>
    <s v="Materials"/>
    <s v="Materials"/>
    <x v="22"/>
    <s v="CANADA"/>
    <n v="0.45"/>
    <n v="5"/>
    <n v="0"/>
    <n v="40.717392125807557"/>
  </r>
  <r>
    <s v="ALDF US Equity"/>
    <s v="ALDEL FINANCIAL"/>
    <s v="Financials"/>
    <s v="Financial Services"/>
    <x v="24"/>
    <s v="UNITED STATES"/>
    <n v="0.31"/>
    <n v="0"/>
    <n v="0"/>
    <n v="55.518982940253373"/>
  </r>
  <r>
    <s v="ALDX US Equity"/>
    <s v="ALDEYRA THERAPEU"/>
    <s v="Health Care"/>
    <s v="Health Care"/>
    <x v="25"/>
    <s v="UNITED STATES"/>
    <n v="0.31"/>
    <n v="5"/>
    <n v="12975"/>
    <n v="54.751521011780355"/>
  </r>
  <r>
    <s v="ALG US Equity"/>
    <s v="ALAMO GROUP"/>
    <s v="Industrials"/>
    <s v="Industrial Products"/>
    <x v="3"/>
    <s v="UNITED STATES"/>
    <n v="2.3199999999999998"/>
    <n v="4"/>
    <n v="202226"/>
    <n v="78.113322454919071"/>
  </r>
  <r>
    <s v="ALGM US Equity"/>
    <s v="ALLEGRO MICROSYS"/>
    <s v="Technology"/>
    <s v="Tech Hardware &amp; Semiconductors"/>
    <x v="17"/>
    <s v="UNITED STATES"/>
    <n v="6.11"/>
    <n v="4.83"/>
    <n v="0"/>
    <n v="78.031918448978615"/>
  </r>
  <r>
    <s v="ALGN US Equity"/>
    <s v="ALIGN TECHNOLOGY"/>
    <s v="Health Care"/>
    <s v="Health Care"/>
    <x v="9"/>
    <s v="UNITED STATES"/>
    <n v="12.11"/>
    <n v="3.95"/>
    <n v="1285385"/>
    <n v="77.067119496530751"/>
  </r>
  <r>
    <s v="ALGT US Equity"/>
    <s v="ALLEGIANT TRAVEL"/>
    <s v="Industrials"/>
    <s v="Industrial Services"/>
    <x v="12"/>
    <s v="UNITED STATES"/>
    <n v="1.62"/>
    <n v="3.83"/>
    <n v="0"/>
    <n v="68.096057320574104"/>
  </r>
  <r>
    <s v="ALH US Equity"/>
    <s v="ALLIANCE LAUNDRY"/>
    <s v="Industrials"/>
    <s v="Industrial Products"/>
    <x v="3"/>
    <s v="UNITED STATES"/>
    <n v="4.2699999999999996"/>
    <n v="4.75"/>
    <n v="98445"/>
    <n v="66.902670986961596"/>
  </r>
  <r>
    <s v="ALHC US Equity"/>
    <s v="ALIGNMENT HEALTH"/>
    <s v="Technology"/>
    <s v="Software &amp; Tech Services"/>
    <x v="14"/>
    <s v="UNITED STATES"/>
    <n v="4.57"/>
    <n v="4.6900000000000004"/>
    <n v="0"/>
    <n v="42.022487914673221"/>
  </r>
  <r>
    <s v="ALIT US Equity"/>
    <s v="ALIGHT INC-CL A"/>
    <s v="Industrials"/>
    <s v="Industrial Services"/>
    <x v="15"/>
    <s v="UNITED STATES"/>
    <n v="0.78"/>
    <n v="4.67"/>
    <n v="295193"/>
    <n v="33.833321651394783"/>
  </r>
  <r>
    <s v="ALK US Equity"/>
    <s v="ALASKA AIR GROUP"/>
    <s v="Industrials"/>
    <s v="Industrial Services"/>
    <x v="12"/>
    <s v="UNITED STATES"/>
    <n v="5.9"/>
    <n v="4.9400000000000004"/>
    <n v="0"/>
    <n v="61.571852030743955"/>
  </r>
  <r>
    <s v="ALKS US Equity"/>
    <s v="ALKERMES PLC"/>
    <s v="Health Care"/>
    <s v="Health Care"/>
    <x v="25"/>
    <s v="IRELAND"/>
    <n v="5.55"/>
    <n v="4.6500000000000004"/>
    <n v="0"/>
    <n v="65.14360913987349"/>
  </r>
  <r>
    <s v="ALKT US Equity"/>
    <s v="ALKAMI TECHNOLOG"/>
    <s v="Technology"/>
    <s v="Software &amp; Tech Services"/>
    <x v="14"/>
    <s v="UNITED STATES"/>
    <n v="2.17"/>
    <n v="4.5"/>
    <n v="0"/>
    <n v="32.2227409070193"/>
  </r>
  <r>
    <s v="ALL US Equity"/>
    <s v="ALLSTATE CORP"/>
    <s v="Financials"/>
    <s v="Insurance"/>
    <x v="23"/>
    <s v="UNITED STATES"/>
    <n v="50.67"/>
    <n v="3.96"/>
    <n v="0"/>
    <n v="52.958576545143664"/>
  </r>
  <r>
    <s v="ALLE US Equity"/>
    <s v="ALLEGION PLC"/>
    <s v="Industrials"/>
    <s v="Industrial Products"/>
    <x v="4"/>
    <s v="IRELAND"/>
    <n v="14.35"/>
    <n v="3.62"/>
    <n v="266880"/>
    <n v="74.566055415740479"/>
  </r>
  <r>
    <s v="ALLT US Equity"/>
    <s v="ALLOT LTD"/>
    <s v="Communications"/>
    <s v="Telecommunications"/>
    <x v="36"/>
    <s v="ISRAEL"/>
    <n v="0.51"/>
    <n v="5"/>
    <n v="0"/>
    <n v="51.485338739940737"/>
  </r>
  <r>
    <s v="ALLY US Equity"/>
    <s v="ALLY FINANCIAL I"/>
    <s v="Financials"/>
    <s v="Financial Services"/>
    <x v="35"/>
    <s v="UNITED STATES"/>
    <n v="12.66"/>
    <n v="4.57"/>
    <n v="0"/>
    <n v="42.781003392698111"/>
  </r>
  <r>
    <s v="ALM US Equity"/>
    <s v="ALMONTY INDUSTRI"/>
    <s v="Materials"/>
    <s v="Materials"/>
    <x v="22"/>
    <s v="CANADA"/>
    <n v="2.82"/>
    <n v="5"/>
    <n v="556000"/>
    <n v="69.211416591749327"/>
  </r>
  <r>
    <s v="ALMS US Equity"/>
    <s v="ALUMIS INC"/>
    <s v="Health Care"/>
    <s v="Health Care"/>
    <x v="25"/>
    <s v="UNITED STATES"/>
    <n v="3.06"/>
    <n v="5"/>
    <n v="0"/>
    <n v="60.72310087277976"/>
  </r>
  <r>
    <s v="ALMU US Equity"/>
    <s v="AELUMA INC"/>
    <s v="Technology"/>
    <s v="Tech Hardware &amp; Semiconductors"/>
    <x v="17"/>
    <s v="UNITED STATES"/>
    <n v="0.3"/>
    <n v="5"/>
    <n v="0"/>
    <n v="49.247395859731633"/>
  </r>
  <r>
    <s v="ALNT US Equity"/>
    <s v="ALLIENT INC"/>
    <s v="Industrials"/>
    <s v="Industrial Products"/>
    <x v="4"/>
    <s v="UNITED STATES"/>
    <n v="1.07"/>
    <n v="4"/>
    <n v="53378"/>
    <n v="59.950401785091074"/>
  </r>
  <r>
    <s v="ALNY US Equity"/>
    <s v="ALNYLAM PHARMACE"/>
    <s v="Health Care"/>
    <s v="Health Care"/>
    <x v="25"/>
    <s v="UNITED STATES"/>
    <n v="47.29"/>
    <n v="4.2699999999999996"/>
    <n v="0"/>
    <n v="29.375203276938691"/>
  </r>
  <r>
    <s v="ALO FP Equity"/>
    <s v="ALSTOM"/>
    <s v="Industrials"/>
    <s v="Industrial Products"/>
    <x v="44"/>
    <s v="FRANCE"/>
    <n v="14.59"/>
    <n v="3.6"/>
    <n v="189512"/>
    <n v="76.598097490187172"/>
  </r>
  <r>
    <s v="ALRM US Equity"/>
    <s v="ALARM.COM HOLDIN"/>
    <s v="Industrials"/>
    <s v="Industrial Services"/>
    <x v="15"/>
    <s v="UNITED STATES"/>
    <n v="2.44"/>
    <n v="3.57"/>
    <n v="1272180"/>
    <n v="36.930864958990526"/>
  </r>
  <r>
    <s v="ALRS US Equity"/>
    <s v="ALERUS FINANCIAL"/>
    <s v="Financials"/>
    <s v="Banking"/>
    <x v="26"/>
    <s v="UNITED STATES"/>
    <n v="0.6"/>
    <n v="3.4"/>
    <n v="55601"/>
    <n v="56.53433660619369"/>
  </r>
  <r>
    <s v="ALSN US Equity"/>
    <s v="ALLISON TRANSMIS"/>
    <s v="Industrials"/>
    <s v="Industrial Products"/>
    <x v="44"/>
    <s v="UNITED STATES"/>
    <n v="9.1199999999999992"/>
    <n v="3.6"/>
    <n v="328710"/>
    <n v="71.472901890878944"/>
  </r>
  <r>
    <s v="ALT US Equity"/>
    <s v="ALTIMMUNE INC"/>
    <s v="Health Care"/>
    <s v="Health Care"/>
    <x v="25"/>
    <s v="UNITED STATES"/>
    <n v="0.56999999999999995"/>
    <n v="4.22"/>
    <n v="170649"/>
    <n v="45.958202706008073"/>
  </r>
  <r>
    <s v="ALTI US Equity"/>
    <s v="ALTI GLOBAL INC"/>
    <s v="Financials"/>
    <s v="Financial Services"/>
    <x v="24"/>
    <s v="UNITED STATES"/>
    <n v="0.65"/>
    <n v="5"/>
    <n v="0"/>
    <n v="43.643960382078568"/>
  </r>
  <r>
    <s v="ALTO US Equity"/>
    <s v="ALTO INGREDIENTS"/>
    <s v="Energy"/>
    <s v="Renewable Energy"/>
    <x v="45"/>
    <s v="UNITED STATES"/>
    <n v="0.22"/>
    <n v="5"/>
    <n v="8956"/>
    <n v="54.798696550976366"/>
  </r>
  <r>
    <s v="ALUB/U US Equity"/>
    <s v="ALUSSA ENERGY AC"/>
    <s v="Financials"/>
    <s v="Financial Services"/>
    <x v="24"/>
    <s v="UNITED STATES"/>
    <n v="0.36"/>
    <n v="0"/>
    <n v="0"/>
    <n v="49.169413315564498"/>
  </r>
  <r>
    <s v="ALV US Equity"/>
    <s v="AUTOLIV INC"/>
    <s v="Consumer Discretionary"/>
    <s v="Consumer Discretionary Products"/>
    <x v="8"/>
    <s v="SWEDEN"/>
    <n v="9.64"/>
    <n v="4.37"/>
    <n v="0"/>
    <n v="54.315674388040861"/>
  </r>
  <r>
    <s v="ALVO US Equity"/>
    <s v="ALVOTECH SA"/>
    <s v="Health Care"/>
    <s v="Health Care"/>
    <x v="25"/>
    <s v="LUXEMBOURG"/>
    <n v="1.59"/>
    <n v="4.1399999999999997"/>
    <n v="73717017"/>
    <n v="40.874279939989897"/>
  </r>
  <r>
    <s v="ALXO US Equity"/>
    <s v="ALX ONCOLOGY HOL"/>
    <s v="Health Care"/>
    <s v="Health Care"/>
    <x v="25"/>
    <s v="UNITED STATES"/>
    <n v="0.08"/>
    <n v="4.5999999999999996"/>
    <n v="234126"/>
    <n v="75.979810657435337"/>
  </r>
  <r>
    <s v="AM US Equity"/>
    <s v="ANTERO MIDSTREAM"/>
    <s v="Energy"/>
    <s v="Oil &amp; Gas"/>
    <x v="20"/>
    <s v="UNITED STATES"/>
    <n v="8.93"/>
    <n v="2.5"/>
    <n v="0"/>
    <n v="83.398333210687525"/>
  </r>
  <r>
    <s v="AMAL US Equity"/>
    <s v="AMALGAMATED FINA"/>
    <s v="Financials"/>
    <s v="Banking"/>
    <x v="26"/>
    <s v="UNITED STATES"/>
    <n v="1.1399999999999999"/>
    <n v="4"/>
    <n v="0"/>
    <n v="67.04463674681611"/>
  </r>
  <r>
    <s v="AMAT US Equity"/>
    <s v="APPLIED MATERIAL"/>
    <s v="Technology"/>
    <s v="Tech Hardware &amp; Semiconductors"/>
    <x v="17"/>
    <s v="UNITED STATES"/>
    <n v="255.63"/>
    <n v="4.29"/>
    <n v="0"/>
    <n v="62.305560713483167"/>
  </r>
  <r>
    <s v="AMBA US Equity"/>
    <s v="AMBARELLA INC"/>
    <s v="Technology"/>
    <s v="Tech Hardware &amp; Semiconductors"/>
    <x v="17"/>
    <s v="UNITED STATES"/>
    <n v="2.89"/>
    <n v="3.81"/>
    <n v="0"/>
    <n v="50.348817114848593"/>
  </r>
  <r>
    <s v="AMBP US Equity"/>
    <s v="ARDAGH METAL PAC"/>
    <s v="Materials"/>
    <s v="Materials"/>
    <x v="46"/>
    <s v="LUXEMBOURG"/>
    <n v="2.64"/>
    <n v="3"/>
    <n v="0"/>
    <n v="73.923534335267448"/>
  </r>
  <r>
    <s v="AMBQ US Equity"/>
    <s v="AMBIQ MICRO INC"/>
    <s v="Technology"/>
    <s v="Tech Hardware &amp; Semiconductors"/>
    <x v="17"/>
    <s v="UNITED STATES"/>
    <n v="0.61"/>
    <n v="4"/>
    <n v="0"/>
    <n v="42.60472510510364"/>
  </r>
  <r>
    <s v="AMC US Equity"/>
    <s v="AMC ENTERTAINMEN"/>
    <s v="Consumer Discretionary"/>
    <s v="Consumer Discretionary Services"/>
    <x v="6"/>
    <s v="UNITED STATES"/>
    <n v="0.8"/>
    <n v="2.6"/>
    <n v="0"/>
    <n v="33.540256852941809"/>
  </r>
  <r>
    <s v="AMCR US Equity"/>
    <s v="AMCOR PLC"/>
    <s v="Materials"/>
    <s v="Materials"/>
    <x v="46"/>
    <s v="SWITZERLAND"/>
    <n v="20.440000000000001"/>
    <n v="4.8600000000000003"/>
    <n v="3011084"/>
    <n v="71.983403828580904"/>
  </r>
  <r>
    <s v="AMCX US Equity"/>
    <s v="AMC NETWORKS-A"/>
    <s v="Communications"/>
    <s v="Media"/>
    <x v="47"/>
    <s v="UNITED STATES"/>
    <n v="0.35"/>
    <n v="2.25"/>
    <n v="0"/>
    <n v="37.402571185073597"/>
  </r>
  <r>
    <s v="AMD US Equity"/>
    <s v="ADV MICRO DEVICE"/>
    <s v="Technology"/>
    <s v="Tech Hardware &amp; Semiconductors"/>
    <x v="17"/>
    <s v="UNITED STATES"/>
    <n v="422.77"/>
    <n v="4.49"/>
    <n v="0"/>
    <n v="44.180105507096449"/>
  </r>
  <r>
    <s v="AME US Equity"/>
    <s v="AMETEK INC"/>
    <s v="Industrials"/>
    <s v="Industrial Products"/>
    <x v="4"/>
    <s v="UNITED STATES"/>
    <n v="50.82"/>
    <n v="4.3"/>
    <n v="0"/>
    <n v="76.456928083333565"/>
  </r>
  <r>
    <s v="AMG US Equity"/>
    <s v="AFFIL MANAGERS"/>
    <s v="Financials"/>
    <s v="Financial Services"/>
    <x v="24"/>
    <s v="UNITED STATES"/>
    <n v="9"/>
    <n v="4"/>
    <n v="0"/>
    <n v="51.368073568082309"/>
  </r>
  <r>
    <s v="AMGN US Equity"/>
    <s v="AMGEN INC"/>
    <s v="Health Care"/>
    <s v="Health Care"/>
    <x v="25"/>
    <s v="UNITED STATES"/>
    <n v="185.64"/>
    <n v="3.86"/>
    <n v="0"/>
    <n v="60.854717079519602"/>
  </r>
  <r>
    <s v="AMKR US Equity"/>
    <s v="AMKOR TECH INC"/>
    <s v="Technology"/>
    <s v="Tech Hardware &amp; Semiconductors"/>
    <x v="17"/>
    <s v="UNITED STATES"/>
    <n v="12.29"/>
    <n v="3.67"/>
    <n v="0"/>
    <n v="66.369422593211951"/>
  </r>
  <r>
    <s v="AMLX US Equity"/>
    <s v="AMYLYX PHARMACEU"/>
    <s v="Health Care"/>
    <s v="Health Care"/>
    <x v="25"/>
    <s v="UNITED STATES"/>
    <n v="1.73"/>
    <n v="4.82"/>
    <n v="127656"/>
    <n v="51.720079185428517"/>
  </r>
  <r>
    <s v="AMN US Equity"/>
    <s v="AMN HEALTHCARE"/>
    <s v="Industrials"/>
    <s v="Industrial Services"/>
    <x v="15"/>
    <s v="UNITED STATES"/>
    <n v="0.79"/>
    <n v="3.3"/>
    <n v="0"/>
    <n v="51.496663476864519"/>
  </r>
  <r>
    <s v="AMP US Equity"/>
    <s v="AMERIPRISE FINAN"/>
    <s v="Financials"/>
    <s v="Financial Services"/>
    <x v="24"/>
    <s v="UNITED STATES"/>
    <n v="46.14"/>
    <n v="3.57"/>
    <n v="0"/>
    <n v="40.164211633078885"/>
  </r>
  <r>
    <s v="AMPG US Equity"/>
    <s v="AMPLITECH GROUP"/>
    <s v="Technology"/>
    <s v="Tech Hardware &amp; Semiconductors"/>
    <x v="16"/>
    <s v="UNITED STATES"/>
    <n v="0.09"/>
    <n v="5"/>
    <n v="8280"/>
    <n v="40.478562409203818"/>
  </r>
  <r>
    <s v="AMPH US Equity"/>
    <s v="AMPHASTAR PHARMA"/>
    <s v="Health Care"/>
    <s v="Health Care"/>
    <x v="25"/>
    <s v="UNITED STATES"/>
    <n v="1.19"/>
    <n v="3.86"/>
    <n v="0"/>
    <n v="60.204764421854904"/>
  </r>
  <r>
    <s v="AMPL US Equity"/>
    <s v="AMPLITUDE-CL A"/>
    <s v="Technology"/>
    <s v="Software &amp; Tech Services"/>
    <x v="14"/>
    <s v="UNITED STATES"/>
    <n v="1.37"/>
    <n v="4.6399999999999997"/>
    <n v="307500"/>
    <n v="18.100352433322911"/>
  </r>
  <r>
    <s v="AMPX US Equity"/>
    <s v="AMPRIUS TECHNOLO"/>
    <s v="Industrials"/>
    <s v="Industrial Products"/>
    <x v="32"/>
    <s v="UNITED STATES"/>
    <n v="1.46"/>
    <n v="5"/>
    <n v="0"/>
    <n v="48.616093273025378"/>
  </r>
  <r>
    <s v="AMR US Equity"/>
    <s v="ALPHA METALLURGI"/>
    <s v="Materials"/>
    <s v="Materials"/>
    <x v="22"/>
    <s v="UNITED STATES"/>
    <n v="2.97"/>
    <n v="4"/>
    <n v="43918500"/>
    <n v="37.514633338794077"/>
  </r>
  <r>
    <s v="AMRC US Equity"/>
    <s v="AMERESCO INC-A"/>
    <s v="Energy"/>
    <s v="Renewable Energy"/>
    <x v="45"/>
    <s v="UNITED STATES"/>
    <n v="1.72"/>
    <n v="4.33"/>
    <n v="0"/>
    <n v="57.169643107516443"/>
  </r>
  <r>
    <s v="AMRX US Equity"/>
    <s v="AMNEAL PHARM INC"/>
    <s v="Health Care"/>
    <s v="Health Care"/>
    <x v="25"/>
    <s v="UNITED STATES"/>
    <n v="4.21"/>
    <n v="5"/>
    <n v="0"/>
    <n v="68.180601921583502"/>
  </r>
  <r>
    <s v="AMRZ US Equity"/>
    <s v="AMRIZE LTD"/>
    <s v="Materials"/>
    <s v="Materials"/>
    <x v="48"/>
    <s v="SWITZERLAND"/>
    <n v="30.75"/>
    <n v="4.26"/>
    <n v="68227411"/>
    <n v="62.592146085688825"/>
  </r>
  <r>
    <s v="AMSC US Equity"/>
    <s v="AMER SUPERCONDTR"/>
    <s v="Industrials"/>
    <s v="Industrial Products"/>
    <x v="4"/>
    <s v="UNITED STATES"/>
    <n v="1.58"/>
    <n v="5"/>
    <n v="0"/>
    <n v="60.469471334282659"/>
  </r>
  <r>
    <s v="AMSF US Equity"/>
    <s v="AMERISAFE INC"/>
    <s v="Financials"/>
    <s v="Insurance"/>
    <x v="23"/>
    <s v="UNITED STATES"/>
    <n v="0.7"/>
    <n v="3.33"/>
    <n v="0"/>
    <n v="51.737311803759873"/>
  </r>
  <r>
    <s v="AMTB US Equity"/>
    <s v="AMERANT BANCORP"/>
    <s v="Financials"/>
    <s v="Banking"/>
    <x v="26"/>
    <s v="UNITED STATES"/>
    <n v="0.86"/>
    <n v="4.5"/>
    <n v="106300"/>
    <n v="64.964007672659307"/>
  </r>
  <r>
    <s v="AMTD US Equity"/>
    <s v="AMTD IDEA GROUP"/>
    <s v="Financials"/>
    <s v="Financial Services"/>
    <x v="49"/>
    <s v="HONG KONG"/>
    <n v="0.08"/>
    <n v="0"/>
    <n v="0"/>
    <n v="48.47576309671711"/>
  </r>
  <r>
    <s v="AMTM US Equity"/>
    <s v="AMENTUM HOLDINGS"/>
    <s v="Technology"/>
    <s v="Software &amp; Tech Services"/>
    <x v="34"/>
    <s v="UNITED STATES"/>
    <n v="8.6199999999999992"/>
    <n v="3.92"/>
    <n v="0"/>
    <n v="34.700554240043758"/>
  </r>
  <r>
    <s v="AMWD US Equity"/>
    <s v="AMER WOODMARK CO"/>
    <s v="Consumer Discretionary"/>
    <s v="Consumer Discretionary Products"/>
    <x v="50"/>
    <s v="UNITED STATES"/>
    <n v="0.9"/>
    <n v="3"/>
    <n v="0"/>
    <n v="46.256738149902851"/>
  </r>
  <r>
    <s v="AMWL US Equity"/>
    <s v="AMERICAN WELL -A"/>
    <s v="Health Care"/>
    <s v="Health Care"/>
    <x v="31"/>
    <s v="UNITED STATES"/>
    <n v="0.08"/>
    <n v="3.25"/>
    <n v="0"/>
    <n v="42.236494673815073"/>
  </r>
  <r>
    <s v="AMX US Equity"/>
    <s v="AMERICA MOVIL SA"/>
    <s v="Communications"/>
    <s v="Telecommunications"/>
    <x v="36"/>
    <s v="MEXICO"/>
    <n v="62.56"/>
    <n v="3.75"/>
    <n v="0"/>
    <n v="73.304087628472189"/>
  </r>
  <r>
    <s v="AMZN US Equity"/>
    <s v="AMAZON.COM INC"/>
    <s v="Consumer Discretionary"/>
    <s v="Retail &amp; Whsle - Discretionary"/>
    <x v="51"/>
    <s v="UNITED STATES"/>
    <n v="2556.67"/>
    <n v="4.87"/>
    <n v="0"/>
    <n v="25.537516940319577"/>
  </r>
  <r>
    <s v="AN US Equity"/>
    <s v="AUTONATION INC"/>
    <s v="Consumer Discretionary"/>
    <s v="Retail &amp; Whsle - Discretionary"/>
    <x v="10"/>
    <s v="UNITED STATES"/>
    <n v="7.81"/>
    <n v="4.2300000000000004"/>
    <n v="0"/>
    <n v="47.040794709505285"/>
  </r>
  <r>
    <s v="ANAB US Equity"/>
    <s v="ANAPTYSBIO INC"/>
    <s v="Health Care"/>
    <s v="Health Care"/>
    <x v="25"/>
    <s v="UNITED STATES"/>
    <n v="1.32"/>
    <n v="4.8499999999999996"/>
    <n v="0"/>
    <n v="67.51729163075575"/>
  </r>
  <r>
    <s v="ANDE US Equity"/>
    <s v="ANDERSONS INC"/>
    <s v="Consumer Staples"/>
    <s v="Retail &amp; Wholesale - Staples"/>
    <x v="19"/>
    <s v="UNITED STATES"/>
    <n v="2.0099999999999998"/>
    <n v="5"/>
    <n v="0"/>
    <n v="81.531906423091229"/>
  </r>
  <r>
    <s v="ANET US Equity"/>
    <s v="ARISTA NETWORKS"/>
    <s v="Technology"/>
    <s v="Tech Hardware &amp; Semiconductors"/>
    <x v="16"/>
    <s v="UNITED STATES"/>
    <n v="171.69"/>
    <n v="4.6399999999999997"/>
    <n v="0"/>
    <n v="54.318126648827636"/>
  </r>
  <r>
    <s v="ANF US Equity"/>
    <s v="ABERCROMBIE &amp; FI"/>
    <s v="Consumer Discretionary"/>
    <s v="Retail &amp; Whsle - Discretionary"/>
    <x v="10"/>
    <s v="UNITED STATES"/>
    <n v="4.42"/>
    <n v="4.2300000000000004"/>
    <n v="0"/>
    <n v="36.962350946375146"/>
  </r>
  <r>
    <s v="ANGI US Equity"/>
    <s v="ANGI INC"/>
    <s v="Communications"/>
    <s v="Media"/>
    <x v="13"/>
    <s v="UNITED STATES"/>
    <n v="0.55000000000000004"/>
    <n v="3.67"/>
    <n v="0"/>
    <n v="25.756983586429001"/>
  </r>
  <r>
    <s v="ANGO US Equity"/>
    <s v="ANGIODYNAMICS IN"/>
    <s v="Health Care"/>
    <s v="Health Care"/>
    <x v="9"/>
    <s v="UNITED STATES"/>
    <n v="0.43"/>
    <n v="5"/>
    <n v="216838"/>
    <n v="56.731925388816506"/>
  </r>
  <r>
    <s v="ANGPY US Equity"/>
    <s v="VALTERRA PLATINU"/>
    <s v="Materials"/>
    <s v="Materials"/>
    <x v="22"/>
    <s v="SOUTH AFRICA"/>
    <n v="27.97"/>
    <n v="0"/>
    <n v="0"/>
    <n v="50.628911652136019"/>
  </r>
  <r>
    <s v="ANGX US Equity"/>
    <s v="ANGEL STUDIOS IN"/>
    <s v="Communications"/>
    <s v="Media"/>
    <x v="47"/>
    <s v="UNITED STATES"/>
    <n v="0.73"/>
    <n v="5"/>
    <n v="48"/>
    <n v="39.634798594382616"/>
  </r>
  <r>
    <s v="ANIP US Equity"/>
    <s v="ANI PHARMACEUTIC"/>
    <s v="Health Care"/>
    <s v="Health Care"/>
    <x v="25"/>
    <s v="UNITED STATES"/>
    <n v="1.86"/>
    <n v="4.75"/>
    <n v="0"/>
    <n v="35.641537789436128"/>
  </r>
  <r>
    <s v="ANNX US Equity"/>
    <s v="ANNEXON INC"/>
    <s v="Health Care"/>
    <s v="Health Care"/>
    <x v="25"/>
    <s v="UNITED STATES"/>
    <n v="0.98"/>
    <n v="5"/>
    <n v="391138"/>
    <n v="39.710253952185361"/>
  </r>
  <r>
    <s v="ANPA US Equity"/>
    <s v="RICH SPARKLE HOL"/>
    <s v="Industrials"/>
    <s v="Industrial Services"/>
    <x v="15"/>
    <s v="HONG KONG"/>
    <n v="4.6399999999999997"/>
    <n v="0"/>
    <n v="0"/>
    <n v="52.254241243333276"/>
  </r>
  <r>
    <s v="ANRO US Equity"/>
    <s v="ALTO NEUROSCIENC"/>
    <s v="Health Care"/>
    <s v="Health Care"/>
    <x v="25"/>
    <s v="UNITED STATES"/>
    <n v="0.52"/>
    <n v="4.8"/>
    <n v="0"/>
    <n v="53.555839355285599"/>
  </r>
  <r>
    <s v="ANSC US Equity"/>
    <s v="AGRICULTURE &amp; NA"/>
    <s v="Financials"/>
    <s v="Financial Services"/>
    <x v="24"/>
    <s v="UNITED STATES"/>
    <n v="0.47"/>
    <n v="0"/>
    <n v="0"/>
    <n v="70.371861095003126"/>
  </r>
  <r>
    <s v="ANTO LN Equity"/>
    <s v="ANTOFAGASTA PLC"/>
    <s v="Materials"/>
    <s v="Materials"/>
    <x v="22"/>
    <s v="CHILE"/>
    <n v="48.08"/>
    <n v="3.23"/>
    <n v="0"/>
    <n v="59.754007120224507"/>
  </r>
  <r>
    <s v="ANVS US Equity"/>
    <s v="ANNOVIS BIO"/>
    <s v="Health Care"/>
    <s v="Health Care"/>
    <x v="25"/>
    <s v="UNITED STATES"/>
    <n v="0.08"/>
    <n v="5"/>
    <n v="3589037"/>
    <n v="30.488877377551276"/>
  </r>
  <r>
    <s v="AON US Equity"/>
    <s v="AON PLC-CLASS A"/>
    <s v="Financials"/>
    <s v="Insurance"/>
    <x v="23"/>
    <s v="BRITAIN"/>
    <n v="72.8"/>
    <n v="4"/>
    <n v="0"/>
    <n v="31.558401258335124"/>
  </r>
  <r>
    <s v="AORT US Equity"/>
    <s v="ARTIVION INC"/>
    <s v="Health Care"/>
    <s v="Health Care"/>
    <x v="9"/>
    <s v="UNITED STATES"/>
    <n v="2.04"/>
    <n v="4.57"/>
    <n v="0"/>
    <n v="35.997902987564032"/>
  </r>
  <r>
    <s v="AOS US Equity"/>
    <s v="SMITH (A.O.)CORP"/>
    <s v="Industrials"/>
    <s v="Industrial Products"/>
    <x v="4"/>
    <s v="UNITED STATES"/>
    <n v="10.09"/>
    <n v="3.67"/>
    <n v="0"/>
    <n v="75.068445114342921"/>
  </r>
  <r>
    <s v="AOSL US Equity"/>
    <s v="ALPHA &amp; OMEGA SE"/>
    <s v="Technology"/>
    <s v="Tech Hardware &amp; Semiconductors"/>
    <x v="17"/>
    <s v="UNITED STATES"/>
    <n v="0.66"/>
    <n v="3.67"/>
    <n v="0"/>
    <n v="43.630599434435339"/>
  </r>
  <r>
    <s v="AP US Equity"/>
    <s v="AMPCO-PITTSBURGH"/>
    <s v="Industrials"/>
    <s v="Industrial Products"/>
    <x v="52"/>
    <s v="UNITED STATES"/>
    <n v="0.12"/>
    <n v="0"/>
    <n v="430560"/>
    <n v="76.080434956189663"/>
  </r>
  <r>
    <s v="APA US Equity"/>
    <s v="APA CORP"/>
    <s v="Energy"/>
    <s v="Oil &amp; Gas"/>
    <x v="20"/>
    <s v="UNITED STATES"/>
    <n v="9.15"/>
    <n v="3.06"/>
    <n v="0"/>
    <n v="65.203529536865943"/>
  </r>
  <r>
    <s v="APAM US Equity"/>
    <s v="ARTISAN PARTNE-A"/>
    <s v="Financials"/>
    <s v="Financial Services"/>
    <x v="24"/>
    <s v="UNITED STATES"/>
    <n v="3.48"/>
    <n v="3"/>
    <n v="0"/>
    <n v="51.565535644770883"/>
  </r>
  <r>
    <s v="APD US Equity"/>
    <s v="AIR PRODS &amp; CHEM"/>
    <s v="Materials"/>
    <s v="Materials"/>
    <x v="21"/>
    <s v="UNITED STATES"/>
    <n v="58.17"/>
    <n v="4.08"/>
    <n v="0"/>
    <n v="73.537173311173859"/>
  </r>
  <r>
    <s v="APEI US Equity"/>
    <s v="AMERICAN PUBLIC"/>
    <s v="Consumer Discretionary"/>
    <s v="Consumer Discretionary Services"/>
    <x v="41"/>
    <s v="UNITED STATES"/>
    <n v="0.79"/>
    <n v="4.75"/>
    <n v="0"/>
    <n v="58.276599016780693"/>
  </r>
  <r>
    <s v="APG US Equity"/>
    <s v="API GROUP CORP"/>
    <s v="Industrials"/>
    <s v="Industrial Services"/>
    <x v="43"/>
    <s v="UNITED STATES"/>
    <n v="17.399999999999999"/>
    <n v="4.9000000000000004"/>
    <n v="292810"/>
    <n v="69.613567985443041"/>
  </r>
  <r>
    <s v="APGE US Equity"/>
    <s v="APOGEE THERAPEUT"/>
    <s v="Health Care"/>
    <s v="Health Care"/>
    <x v="25"/>
    <s v="UNITED STATES"/>
    <n v="5.19"/>
    <n v="4.75"/>
    <n v="0"/>
    <n v="40.532039637381693"/>
  </r>
  <r>
    <s v="APH US Equity"/>
    <s v="AMPHENOL CORP-A"/>
    <s v="Industrials"/>
    <s v="Industrial Products"/>
    <x v="4"/>
    <s v="UNITED STATES"/>
    <n v="184.82"/>
    <n v="4.3"/>
    <n v="0"/>
    <n v="50.479208346662965"/>
  </r>
  <r>
    <s v="API US Equity"/>
    <s v="AGORA INC-ADR"/>
    <s v="Technology"/>
    <s v="Software &amp; Tech Services"/>
    <x v="14"/>
    <s v="CHINA"/>
    <n v="0.43"/>
    <n v="4.33"/>
    <n v="0"/>
    <n v="49.641501214560265"/>
  </r>
  <r>
    <s v="APLD US Equity"/>
    <s v="APPLIED DIGITAL"/>
    <s v="Communications"/>
    <s v="Telecommunications"/>
    <x v="36"/>
    <s v="UNITED STATES"/>
    <n v="10.54"/>
    <n v="4.92"/>
    <n v="0"/>
    <n v="53.573594012944952"/>
  </r>
  <r>
    <s v="APLS US Equity"/>
    <s v="APELLIS PHARMACE"/>
    <s v="Health Care"/>
    <s v="Health Care"/>
    <x v="25"/>
    <s v="UNITED STATES"/>
    <n v="2.75"/>
    <n v="4.24"/>
    <n v="0"/>
    <n v="46.547176631144339"/>
  </r>
  <r>
    <s v="APO US Equity"/>
    <s v="APOLLO GLOBAL MA"/>
    <s v="Financials"/>
    <s v="Financial Services"/>
    <x v="24"/>
    <s v="UNITED STATES"/>
    <n v="79.12"/>
    <n v="4.5199999999999996"/>
    <n v="0"/>
    <n v="38.393998060083511"/>
  </r>
  <r>
    <s v="APOG US Equity"/>
    <s v="APOGEE ENTERPR"/>
    <s v="Materials"/>
    <s v="Materials"/>
    <x v="48"/>
    <s v="UNITED STATES"/>
    <n v="0.84"/>
    <n v="5"/>
    <n v="0"/>
    <n v="65.630238409543438"/>
  </r>
  <r>
    <s v="APP US Equity"/>
    <s v="APPLOVIN CO-CL A"/>
    <s v="Communications"/>
    <s v="Media"/>
    <x v="53"/>
    <s v="UNITED STATES"/>
    <n v="177.23"/>
    <n v="4.5599999999999996"/>
    <n v="0"/>
    <n v="39.943646671335806"/>
  </r>
  <r>
    <s v="APPF US Equity"/>
    <s v="APPFOLIO INC - A"/>
    <s v="Technology"/>
    <s v="Software &amp; Tech Services"/>
    <x v="14"/>
    <s v="UNITED STATES"/>
    <n v="7.91"/>
    <n v="5"/>
    <n v="0"/>
    <n v="30.954228726231108"/>
  </r>
  <r>
    <s v="APPN US Equity"/>
    <s v="APPIAN CORP-A"/>
    <s v="Technology"/>
    <s v="Software &amp; Tech Services"/>
    <x v="14"/>
    <s v="UNITED STATES"/>
    <n v="2.19"/>
    <n v="3.22"/>
    <n v="0"/>
    <n v="25.123105560026872"/>
  </r>
  <r>
    <s v="APPS US Equity"/>
    <s v="DIGITAL TURBINE"/>
    <s v="Technology"/>
    <s v="Software &amp; Tech Services"/>
    <x v="14"/>
    <s v="UNITED STATES"/>
    <n v="0.59"/>
    <n v="4"/>
    <n v="0"/>
    <n v="38.742106257931042"/>
  </r>
  <r>
    <s v="APTV US Equity"/>
    <s v="APTIV PLC"/>
    <s v="Consumer Discretionary"/>
    <s v="Consumer Discretionary Products"/>
    <x v="8"/>
    <s v="IRELAND"/>
    <n v="16.52"/>
    <n v="4.57"/>
    <n v="282939"/>
    <n v="57.763896191646552"/>
  </r>
  <r>
    <s v="APWC US Equity"/>
    <s v="ASIA PAC WIRE"/>
    <s v="Industrials"/>
    <s v="Industrial Products"/>
    <x v="52"/>
    <s v="TAIWAN"/>
    <n v="0.04"/>
    <n v="0"/>
    <n v="0"/>
    <n v="44.998306443660809"/>
  </r>
  <r>
    <s v="APXT US Equity"/>
    <s v="APEX TREASURY-A"/>
    <s v="Financials"/>
    <s v="Financial Services"/>
    <x v="24"/>
    <s v="UNITED STATES"/>
    <n v="0.77"/>
    <n v="0"/>
    <n v="0"/>
    <n v="52.481851006447691"/>
  </r>
  <r>
    <s v="APYX US Equity"/>
    <s v="APYX MEDICAL COR"/>
    <s v="Health Care"/>
    <s v="Health Care"/>
    <x v="9"/>
    <s v="UNITED STATES"/>
    <n v="0.16"/>
    <n v="4.4000000000000004"/>
    <n v="0"/>
    <n v="49.504071005277765"/>
  </r>
  <r>
    <s v="AQN US Equity"/>
    <s v="ALGONQUIN POWER"/>
    <s v="Utilities"/>
    <s v="Utilities"/>
    <x v="38"/>
    <s v="CANADA"/>
    <n v="4.9000000000000004"/>
    <n v="3.73"/>
    <n v="0"/>
    <n v="62.351525995069778"/>
  </r>
  <r>
    <s v="AQST US Equity"/>
    <s v="AQUESTIVE THERAP"/>
    <s v="Health Care"/>
    <s v="Health Care"/>
    <x v="25"/>
    <s v="UNITED STATES"/>
    <n v="0.4"/>
    <n v="5"/>
    <n v="0"/>
    <n v="44.350128330283496"/>
  </r>
  <r>
    <s v="AR US Equity"/>
    <s v="ANTERO RESOURCES"/>
    <s v="Energy"/>
    <s v="Oil &amp; Gas"/>
    <x v="20"/>
    <s v="UNITED STATES"/>
    <n v="10.58"/>
    <n v="4.3600000000000003"/>
    <n v="171450"/>
    <n v="55.534876054913731"/>
  </r>
  <r>
    <s v="ARAY US Equity"/>
    <s v="ACCURAY INC"/>
    <s v="Health Care"/>
    <s v="Health Care"/>
    <x v="9"/>
    <s v="UNITED STATES"/>
    <n v="0.09"/>
    <n v="5"/>
    <n v="16316"/>
    <n v="18.546793199527968"/>
  </r>
  <r>
    <s v="ARBE US Equity"/>
    <s v="ARBE ROBOTICS LT"/>
    <s v="Consumer Discretionary"/>
    <s v="Consumer Discretionary Products"/>
    <x v="8"/>
    <s v="ISRAEL"/>
    <n v="0.18"/>
    <n v="4.5"/>
    <n v="0"/>
    <n v="44.470533112328233"/>
  </r>
  <r>
    <s v="ARCB US Equity"/>
    <s v="ARCBEST CORP"/>
    <s v="Industrials"/>
    <s v="Industrial Services"/>
    <x v="12"/>
    <s v="UNITED STATES"/>
    <n v="2.02"/>
    <n v="3.92"/>
    <n v="0"/>
    <n v="67.758848822954207"/>
  </r>
  <r>
    <s v="ARCC US Equity"/>
    <s v="ARES CAPITAL COR"/>
    <s v="Financials"/>
    <s v="Financial Services"/>
    <x v="24"/>
    <s v="UNITED STATES"/>
    <n v="14.87"/>
    <n v="4.67"/>
    <n v="270140"/>
    <n v="48.675063518959007"/>
  </r>
  <r>
    <s v="ARCO US Equity"/>
    <s v="ARCOS DORADOS-A"/>
    <s v="Consumer Discretionary"/>
    <s v="Consumer Discretionary Services"/>
    <x v="6"/>
    <s v="URUGUAY"/>
    <n v="1.64"/>
    <n v="4.33"/>
    <n v="0"/>
    <n v="60.792664364614971"/>
  </r>
  <r>
    <s v="ARDT US Equity"/>
    <s v="ARDENT HEALTH IN"/>
    <s v="Health Care"/>
    <s v="Health Care"/>
    <x v="31"/>
    <s v="UNITED STATES"/>
    <n v="1.23"/>
    <n v="4.08"/>
    <n v="0"/>
    <n v="63.327154077766693"/>
  </r>
  <r>
    <s v="ARDX US Equity"/>
    <s v="ARDELYX INC"/>
    <s v="Health Care"/>
    <s v="Health Care"/>
    <x v="25"/>
    <s v="UNITED STATES"/>
    <n v="1.89"/>
    <n v="5"/>
    <n v="0"/>
    <n v="51.239882943488468"/>
  </r>
  <r>
    <s v="AREC US Equity"/>
    <s v="AMERICAN RESOURC"/>
    <s v="Materials"/>
    <s v="Materials"/>
    <x v="22"/>
    <s v="UNITED STATES"/>
    <n v="0.44"/>
    <n v="5"/>
    <n v="0"/>
    <n v="44.406261006529597"/>
  </r>
  <r>
    <s v="ARES US Equity"/>
    <s v="ARES MANAGEM- A"/>
    <s v="Financials"/>
    <s v="Financial Services"/>
    <x v="24"/>
    <s v="UNITED STATES"/>
    <n v="51.07"/>
    <n v="4"/>
    <n v="0"/>
    <n v="39.053668095097478"/>
  </r>
  <r>
    <s v="ARGT US Equity"/>
    <s v="GLOBAL X MSCI AR"/>
    <s v="Financials"/>
    <s v="Financial Services"/>
    <x v="24"/>
    <s v="UNITED STATES"/>
    <n v="0.81"/>
    <n v="0"/>
    <n v="0"/>
    <n v="51.516511539928473"/>
  </r>
  <r>
    <s v="ARGX BB Equity"/>
    <s v="ARGENX SE"/>
    <s v="Health Care"/>
    <s v="Health Care"/>
    <x v="25"/>
    <s v="NETHERLANDS"/>
    <n v="51.16"/>
    <n v="4.76"/>
    <n v="0"/>
    <n v="46.852620874037918"/>
  </r>
  <r>
    <s v="ARGX US Equity"/>
    <s v="ARGENX SE - ADR"/>
    <s v="Health Care"/>
    <s v="Health Care"/>
    <x v="25"/>
    <s v="NETHERLANDS"/>
    <n v="50.42"/>
    <n v="4.67"/>
    <n v="0"/>
    <n v="50.554004056353826"/>
  </r>
  <r>
    <s v="ARHS US Equity"/>
    <s v="ARHAUS INC"/>
    <s v="Consumer Discretionary"/>
    <s v="Consumer Discretionary Products"/>
    <x v="29"/>
    <s v="UNITED STATES"/>
    <n v="1.46"/>
    <n v="3.5"/>
    <n v="0"/>
    <n v="38.801329820241861"/>
  </r>
  <r>
    <s v="ARKK US Equity"/>
    <s v="ARK Innovation ETF"/>
    <s v="Financials"/>
    <s v="Financial Services"/>
    <x v="54"/>
    <s v="UNITED STATES"/>
    <n v="8.43"/>
    <n v="0"/>
    <n v="0"/>
    <n v="37.389338911837086"/>
  </r>
  <r>
    <s v="ARKO US Equity"/>
    <s v="ARKO CORP"/>
    <s v="Consumer Staples"/>
    <s v="Retail &amp; Wholesale - Staples"/>
    <x v="33"/>
    <s v="UNITED STATES"/>
    <n v="0.56999999999999995"/>
    <n v="5"/>
    <n v="0"/>
    <n v="69.664208518346157"/>
  </r>
  <r>
    <s v="ARL US Equity"/>
    <s v="AMER REALTY INV"/>
    <s v="Real Estate"/>
    <s v="Real Estate"/>
    <x v="39"/>
    <s v="UNITED STATES"/>
    <n v="0.27"/>
    <n v="0"/>
    <n v="0"/>
    <n v="60.635250237890048"/>
  </r>
  <r>
    <s v="ARLO US Equity"/>
    <s v="ARLO TECHNOLOGIE"/>
    <s v="Technology"/>
    <s v="Tech Hardware &amp; Semiconductors"/>
    <x v="16"/>
    <s v="UNITED STATES"/>
    <n v="1.38"/>
    <n v="5"/>
    <n v="0"/>
    <n v="31.02165516522291"/>
  </r>
  <r>
    <s v="ARLP US Equity"/>
    <s v="ALLIANCE RESOURC"/>
    <s v="Materials"/>
    <s v="Materials"/>
    <x v="22"/>
    <s v="UNITED STATES"/>
    <n v="3.16"/>
    <n v="5"/>
    <n v="0"/>
    <n v="70.786063635403906"/>
  </r>
  <r>
    <s v="ARM US Equity"/>
    <s v="ARM HOLDINGS PLC"/>
    <s v="Technology"/>
    <s v="Tech Hardware &amp; Semiconductors"/>
    <x v="17"/>
    <s v="BRITAIN"/>
    <n v="123.15"/>
    <n v="3.98"/>
    <n v="0"/>
    <n v="63.506121404327132"/>
  </r>
  <r>
    <s v="ARMK US Equity"/>
    <s v="ARAMARK"/>
    <s v="Industrials"/>
    <s v="Industrial Services"/>
    <x v="15"/>
    <s v="UNITED STATES"/>
    <n v="10.27"/>
    <n v="4.5"/>
    <n v="249604"/>
    <n v="76.639138595329172"/>
  </r>
  <r>
    <s v="ARMN US Equity"/>
    <s v="ARIS MINING CORP"/>
    <s v="Materials"/>
    <s v="Materials"/>
    <x v="22"/>
    <s v="CANADA"/>
    <n v="4.1399999999999997"/>
    <n v="5"/>
    <n v="0"/>
    <n v="58.607148379957792"/>
  </r>
  <r>
    <s v="AROC US Equity"/>
    <s v="ARCHROCK INC"/>
    <s v="Energy"/>
    <s v="Oil &amp; Gas"/>
    <x v="30"/>
    <s v="UNITED STATES"/>
    <n v="4.88"/>
    <n v="5"/>
    <n v="696250"/>
    <n v="84.159954003794908"/>
  </r>
  <r>
    <s v="AROW US Equity"/>
    <s v="ARROW FINL CORP"/>
    <s v="Financials"/>
    <s v="Banking"/>
    <x v="26"/>
    <s v="UNITED STATES"/>
    <n v="0.54"/>
    <n v="3"/>
    <n v="815092"/>
    <n v="63.615656910369054"/>
  </r>
  <r>
    <s v="ARQQ US Equity"/>
    <s v="ARQIT QUANTUM IN"/>
    <s v="Technology"/>
    <s v="Software &amp; Tech Services"/>
    <x v="14"/>
    <s v="BRITAIN"/>
    <n v="0.38"/>
    <n v="5"/>
    <n v="0"/>
    <n v="30.948915366822149"/>
  </r>
  <r>
    <s v="ARQT US Equity"/>
    <s v="ARCUTIS BIOTHERA"/>
    <s v="Health Care"/>
    <s v="Health Care"/>
    <x v="25"/>
    <s v="UNITED STATES"/>
    <n v="3.21"/>
    <n v="4.75"/>
    <n v="0"/>
    <n v="48.156795725700235"/>
  </r>
  <r>
    <s v="ARRY US Equity"/>
    <s v="ARRAY TECHNOLOGI"/>
    <s v="Energy"/>
    <s v="Renewable Energy"/>
    <x v="45"/>
    <s v="UNITED STATES"/>
    <n v="1.61"/>
    <n v="4.08"/>
    <n v="0"/>
    <n v="53.488741285737213"/>
  </r>
  <r>
    <s v="ARTV US Equity"/>
    <s v="ARTIVA BIOTHERAP"/>
    <s v="Health Care"/>
    <s v="Health Care"/>
    <x v="25"/>
    <s v="UNITED STATES"/>
    <n v="0.12"/>
    <n v="5"/>
    <n v="0"/>
    <n v="42.905036483101384"/>
  </r>
  <r>
    <s v="ARVN US Equity"/>
    <s v="ARVINAS INC"/>
    <s v="Health Care"/>
    <s v="Health Care"/>
    <x v="25"/>
    <s v="UNITED STATES"/>
    <n v="0.83"/>
    <n v="3.95"/>
    <n v="386700"/>
    <n v="52.648271854157301"/>
  </r>
  <r>
    <s v="ARW US Equity"/>
    <s v="ARROW ELECTRONIC"/>
    <s v="Technology"/>
    <s v="Tech Hardware &amp; Semiconductors"/>
    <x v="16"/>
    <s v="UNITED STATES"/>
    <n v="6.01"/>
    <n v="2.33"/>
    <n v="1006776"/>
    <n v="84.406482265943936"/>
  </r>
  <r>
    <s v="ARWR US Equity"/>
    <s v="ARROWHEAD PHARMA"/>
    <s v="Health Care"/>
    <s v="Health Care"/>
    <x v="25"/>
    <s v="UNITED STATES"/>
    <n v="9.23"/>
    <n v="4.38"/>
    <n v="0"/>
    <n v="40.592220905930304"/>
  </r>
  <r>
    <s v="ARX CT Equity"/>
    <s v="ARC RESOURCES LT"/>
    <s v="Energy"/>
    <s v="Oil &amp; Gas"/>
    <x v="20"/>
    <s v="CANADA"/>
    <n v="10.58"/>
    <n v="4.8"/>
    <n v="2083639"/>
    <n v="47.215760908339853"/>
  </r>
  <r>
    <s v="ARX US Equity"/>
    <s v="ACCELERANT HOL-A"/>
    <s v="Technology"/>
    <s v="Software &amp; Tech Services"/>
    <x v="14"/>
    <s v="CAYMAN ISLANDS"/>
    <n v="3.29"/>
    <n v="4.5"/>
    <n v="2094622"/>
    <n v="25.94251793599031"/>
  </r>
  <r>
    <s v="AS US Equity"/>
    <s v="AMER SPORTS INC"/>
    <s v="Consumer Discretionary"/>
    <s v="Consumer Discretionary Products"/>
    <x v="55"/>
    <s v="FINLAND"/>
    <n v="20.89"/>
    <n v="4.9000000000000004"/>
    <n v="0"/>
    <n v="60.265398127933928"/>
  </r>
  <r>
    <s v="ASAN US Equity"/>
    <s v="ASANA INC- CL A"/>
    <s v="Technology"/>
    <s v="Software &amp; Tech Services"/>
    <x v="14"/>
    <s v="UNITED STATES"/>
    <n v="2.64"/>
    <n v="3.38"/>
    <n v="43918748"/>
    <n v="18.010388629506664"/>
  </r>
  <r>
    <s v="ASB US Equity"/>
    <s v="ASSOC BANC-CORP"/>
    <s v="Financials"/>
    <s v="Banking"/>
    <x v="26"/>
    <s v="UNITED STATES"/>
    <n v="4.3899999999999997"/>
    <n v="3.55"/>
    <n v="0"/>
    <n v="57.473850345977866"/>
  </r>
  <r>
    <s v="ASC US Equity"/>
    <s v="ARDMORE SHIPPING"/>
    <s v="Industrials"/>
    <s v="Industrial Services"/>
    <x v="12"/>
    <s v="IRELAND"/>
    <n v="0.48"/>
    <n v="5"/>
    <n v="0"/>
    <n v="74.232088867382288"/>
  </r>
  <r>
    <s v="ASGN US Equity"/>
    <s v="ASGN INC"/>
    <s v="Technology"/>
    <s v="Software &amp; Tech Services"/>
    <x v="34"/>
    <s v="UNITED STATES"/>
    <n v="2.1800000000000002"/>
    <n v="3.29"/>
    <n v="0"/>
    <n v="31.31704269367475"/>
  </r>
  <r>
    <s v="ASH US Equity"/>
    <s v="ASHLAND INC"/>
    <s v="Materials"/>
    <s v="Materials"/>
    <x v="21"/>
    <s v="UNITED STATES"/>
    <n v="2.9"/>
    <n v="4.33"/>
    <n v="0"/>
    <n v="52.443220966300515"/>
  </r>
  <r>
    <s v="ASIC US Equity"/>
    <s v="ATEGRITY SPECIAL"/>
    <s v="Financials"/>
    <s v="Insurance"/>
    <x v="23"/>
    <s v="UNITED STATES"/>
    <n v="0.87"/>
    <n v="5"/>
    <n v="569678"/>
    <n v="43.215687215121498"/>
  </r>
  <r>
    <s v="ASIX US Equity"/>
    <s v="ADVANSIX INC"/>
    <s v="Materials"/>
    <s v="Materials"/>
    <x v="21"/>
    <s v="UNITED STATES"/>
    <n v="0.46"/>
    <n v="4"/>
    <n v="0"/>
    <n v="63.534316258683369"/>
  </r>
  <r>
    <s v="ASLE US Equity"/>
    <s v="AERSALE CORP"/>
    <s v="Industrials"/>
    <s v="Industrial Products"/>
    <x v="32"/>
    <s v="UNITED STATES"/>
    <n v="0.35"/>
    <n v="3"/>
    <n v="87893"/>
    <n v="43.388568688485663"/>
  </r>
  <r>
    <s v="ASM US Equity"/>
    <s v="AVINO SILVER"/>
    <s v="Materials"/>
    <s v="Materials"/>
    <x v="22"/>
    <s v="CANADA"/>
    <n v="1.47"/>
    <n v="4.5"/>
    <n v="0"/>
    <n v="59.838037097761983"/>
  </r>
  <r>
    <s v="ASMB US Equity"/>
    <s v="ASSEMBLY BIOSCIE"/>
    <s v="Health Care"/>
    <s v="Health Care"/>
    <x v="25"/>
    <s v="UNITED STATES"/>
    <n v="0.44"/>
    <n v="4.8"/>
    <n v="0"/>
    <n v="45.178818689995801"/>
  </r>
  <r>
    <s v="ASML NA Equity"/>
    <s v="ASML HOLDING NV"/>
    <s v="Technology"/>
    <s v="Tech Hardware &amp; Semiconductors"/>
    <x v="17"/>
    <s v="NETHERLANDS"/>
    <n v="539.36"/>
    <n v="4.3"/>
    <n v="3765846"/>
    <n v="62.374584026021509"/>
  </r>
  <r>
    <s v="ASML US Equity"/>
    <s v="ASML HOLDING-NY"/>
    <s v="Technology"/>
    <s v="Tech Hardware &amp; Semiconductors"/>
    <x v="17"/>
    <s v="NETHERLANDS"/>
    <n v="539.15"/>
    <n v="4.5199999999999996"/>
    <n v="0"/>
    <n v="62.668865857936559"/>
  </r>
  <r>
    <s v="ASND US Equity"/>
    <s v="ASCENDIS PHA-ADR"/>
    <s v="Health Care"/>
    <s v="Health Care"/>
    <x v="25"/>
    <s v="DENMARK"/>
    <n v="13.16"/>
    <n v="5"/>
    <n v="0"/>
    <n v="51.567314593662985"/>
  </r>
  <r>
    <s v="ASO US Equity"/>
    <s v="ACADEMY SPORTS &amp;"/>
    <s v="Consumer Discretionary"/>
    <s v="Retail &amp; Whsle - Discretionary"/>
    <x v="10"/>
    <s v="UNITED STATES"/>
    <n v="3.79"/>
    <n v="3.9"/>
    <n v="0"/>
    <n v="58.952024761242804"/>
  </r>
  <r>
    <s v="ASPI US Equity"/>
    <s v="ASP ISOTOPES INC"/>
    <s v="Energy"/>
    <s v="Renewable Energy"/>
    <x v="45"/>
    <s v="UNITED STATES"/>
    <n v="1.06"/>
    <n v="5"/>
    <n v="0"/>
    <n v="41.77261519838131"/>
  </r>
  <r>
    <s v="ASPN US Equity"/>
    <s v="ASPEN AEROGELS I"/>
    <s v="Materials"/>
    <s v="Materials"/>
    <x v="48"/>
    <s v="UNITED STATES"/>
    <n v="0.32"/>
    <n v="4"/>
    <n v="0"/>
    <n v="52.936071805042069"/>
  </r>
  <r>
    <s v="ASR US Equity"/>
    <s v="GRUPO AEROPO-ADR"/>
    <s v="Industrials"/>
    <s v="Industrial Services"/>
    <x v="12"/>
    <s v="MEXICO"/>
    <n v="10.15"/>
    <n v="3.67"/>
    <n v="0"/>
    <n v="77.074873957093658"/>
  </r>
  <r>
    <s v="ASRV US Equity"/>
    <s v="AMERISERV FINANC"/>
    <s v="Financials"/>
    <s v="Banking"/>
    <x v="26"/>
    <s v="UNITED STATES"/>
    <n v="0.05"/>
    <n v="0"/>
    <n v="27965"/>
    <n v="58.531055266903955"/>
  </r>
  <r>
    <s v="ASTE US Equity"/>
    <s v="ASTEC INDUSTRIES"/>
    <s v="Industrials"/>
    <s v="Industrial Products"/>
    <x v="3"/>
    <s v="UNITED STATES"/>
    <n v="1.1000000000000001"/>
    <n v="0"/>
    <n v="0"/>
    <n v="75.38719783551042"/>
  </r>
  <r>
    <s v="ASTH US Equity"/>
    <s v="ASTRANA HEALTH I"/>
    <s v="Health Care"/>
    <s v="Health Care"/>
    <x v="31"/>
    <s v="UNITED STATES"/>
    <n v="1.36"/>
    <n v="4.6399999999999997"/>
    <n v="0"/>
    <n v="32.169454560323445"/>
  </r>
  <r>
    <s v="ASTI US Equity"/>
    <s v="ASCENT SOLAR TEC"/>
    <s v="Energy"/>
    <s v="Renewable Energy"/>
    <x v="45"/>
    <s v="UNITED STATES"/>
    <n v="0.03"/>
    <n v="0"/>
    <n v="0"/>
    <n v="69.153713121050345"/>
  </r>
  <r>
    <s v="ASTL US Equity"/>
    <s v="ALGOMA STEEL GRO"/>
    <s v="Materials"/>
    <s v="Materials"/>
    <x v="56"/>
    <s v="CANADA"/>
    <n v="0.48"/>
    <n v="3.8"/>
    <n v="0"/>
    <n v="62.763329946560134"/>
  </r>
  <r>
    <s v="ASTS US Equity"/>
    <s v="AST SPACEMOBILE"/>
    <s v="Communications"/>
    <s v="Telecommunications"/>
    <x v="36"/>
    <s v="UNITED STATES"/>
    <n v="41.92"/>
    <n v="3.36"/>
    <n v="314021"/>
    <n v="48.162174330704005"/>
  </r>
  <r>
    <s v="ASX US Equity"/>
    <s v="ASE TECHN-ADR"/>
    <s v="Technology"/>
    <s v="Tech Hardware &amp; Semiconductors"/>
    <x v="17"/>
    <s v="TAIWAN"/>
    <n v="43.01"/>
    <n v="5"/>
    <n v="0"/>
    <n v="81.502797724500098"/>
  </r>
  <r>
    <s v="ASYS US Equity"/>
    <s v="AMTECH SYS INC"/>
    <s v="Technology"/>
    <s v="Tech Hardware &amp; Semiconductors"/>
    <x v="17"/>
    <s v="UNITED STATES"/>
    <n v="0.24"/>
    <n v="5"/>
    <n v="0"/>
    <n v="37.917190301344846"/>
  </r>
  <r>
    <s v="ATAI US Equity"/>
    <s v="ATAIBECKLEY INC"/>
    <s v="Health Care"/>
    <s v="Health Care"/>
    <x v="25"/>
    <s v="UNITED STATES"/>
    <n v="1.51"/>
    <n v="5"/>
    <n v="0"/>
    <n v="53.056712849647027"/>
  </r>
  <r>
    <s v="ATAT US Equity"/>
    <s v="ATOUR LIFEST-ADR"/>
    <s v="Consumer Discretionary"/>
    <s v="Consumer Discretionary Services"/>
    <x v="6"/>
    <s v="CHINA"/>
    <n v="5.18"/>
    <n v="4.88"/>
    <n v="0"/>
    <n v="54.621671039286248"/>
  </r>
  <r>
    <s v="ATCOA SS Equity"/>
    <s v="ATLAS COPCO-A"/>
    <s v="Industrials"/>
    <s v="Industrial Products"/>
    <x v="3"/>
    <s v="SWEDEN"/>
    <n v="99.83"/>
    <n v="4.2699999999999996"/>
    <n v="0"/>
    <n v="67.719651895244539"/>
  </r>
  <r>
    <s v="ATEC US Equity"/>
    <s v="ALPHATEC HOLDING"/>
    <s v="Health Care"/>
    <s v="Health Care"/>
    <x v="9"/>
    <s v="UNITED STATES"/>
    <n v="2.3199999999999998"/>
    <n v="4.8499999999999996"/>
    <n v="0"/>
    <n v="28.779547908324574"/>
  </r>
  <r>
    <s v="ATEN US Equity"/>
    <s v="A10 NETWORKS INC"/>
    <s v="Technology"/>
    <s v="Tech Hardware &amp; Semiconductors"/>
    <x v="16"/>
    <s v="UNITED STATES"/>
    <n v="1.25"/>
    <n v="4.43"/>
    <n v="0"/>
    <n v="75.017478961791454"/>
  </r>
  <r>
    <s v="ATEX US Equity"/>
    <s v="ANTERIX INC"/>
    <s v="Technology"/>
    <s v="Tech Hardware &amp; Semiconductors"/>
    <x v="16"/>
    <s v="UNITED STATES"/>
    <n v="0.45"/>
    <n v="5"/>
    <n v="197861"/>
    <n v="68.797667742785237"/>
  </r>
  <r>
    <s v="ATGE US Equity"/>
    <s v="ADTALEM GLOBAL E"/>
    <s v="Consumer Discretionary"/>
    <s v="Consumer Discretionary Services"/>
    <x v="41"/>
    <s v="UNITED STATES"/>
    <n v="4.41"/>
    <n v="5"/>
    <n v="182890"/>
    <n v="31.939237586089078"/>
  </r>
  <r>
    <s v="ATHM US Equity"/>
    <s v="AUTOHOME INC-ADR"/>
    <s v="Communications"/>
    <s v="Media"/>
    <x v="13"/>
    <s v="CHINA"/>
    <n v="2.74"/>
    <n v="3.67"/>
    <n v="0"/>
    <n v="47.116254061669437"/>
  </r>
  <r>
    <s v="ATI US Equity"/>
    <s v="ATI INC"/>
    <s v="Industrials"/>
    <s v="Industrial Products"/>
    <x v="32"/>
    <s v="UNITED STATES"/>
    <n v="16.79"/>
    <n v="4.7300000000000004"/>
    <n v="0"/>
    <n v="79.311475975915101"/>
  </r>
  <r>
    <s v="ATII US Equity"/>
    <s v="ARCHIMEDES TECH"/>
    <s v="Financials"/>
    <s v="Financial Services"/>
    <x v="24"/>
    <s v="UNITED STATES"/>
    <n v="0.32"/>
    <n v="0"/>
    <n v="0"/>
    <n v="57.01266627646438"/>
  </r>
  <r>
    <s v="ATKR US Equity"/>
    <s v="ATKORE INC"/>
    <s v="Industrials"/>
    <s v="Industrial Products"/>
    <x v="4"/>
    <s v="UNITED STATES"/>
    <n v="2.44"/>
    <n v="3.5"/>
    <n v="0"/>
    <n v="46.567655164865982"/>
  </r>
  <r>
    <s v="ATLC US Equity"/>
    <s v="ATLANTICUS HOLDI"/>
    <s v="Financials"/>
    <s v="Financial Services"/>
    <x v="35"/>
    <s v="UNITED STATES"/>
    <n v="0.86"/>
    <n v="4.5"/>
    <n v="0"/>
    <n v="45.043895994173887"/>
  </r>
  <r>
    <s v="ATMU US Equity"/>
    <s v="ATMUS FILTRATION"/>
    <s v="Industrials"/>
    <s v="Industrial Products"/>
    <x v="4"/>
    <s v="UNITED STATES"/>
    <n v="4.6100000000000003"/>
    <n v="4.5999999999999996"/>
    <n v="2262"/>
    <n v="76.328124072709443"/>
  </r>
  <r>
    <s v="ATNI US Equity"/>
    <s v="ATN INTERNATIONA"/>
    <s v="Communications"/>
    <s v="Telecommunications"/>
    <x v="36"/>
    <s v="UNITED STATES"/>
    <n v="0.35"/>
    <n v="0"/>
    <n v="0"/>
    <n v="66.246907887402273"/>
  </r>
  <r>
    <s v="ATO US Equity"/>
    <s v="ATMOS ENERGY"/>
    <s v="Utilities"/>
    <s v="Utilities"/>
    <x v="57"/>
    <s v="UNITED STATES"/>
    <n v="26.74"/>
    <n v="3.4"/>
    <n v="0"/>
    <n v="69.363401724607115"/>
  </r>
  <r>
    <s v="ATR US Equity"/>
    <s v="APTARGROUP INC"/>
    <s v="Materials"/>
    <s v="Materials"/>
    <x v="46"/>
    <s v="UNITED STATES"/>
    <n v="8.27"/>
    <n v="4.4000000000000004"/>
    <n v="0"/>
    <n v="72.515964085834995"/>
  </r>
  <r>
    <s v="ATRC US Equity"/>
    <s v="ATRICURE INC"/>
    <s v="Health Care"/>
    <s v="Health Care"/>
    <x v="9"/>
    <s v="UNITED STATES"/>
    <n v="1.94"/>
    <n v="4.8899999999999997"/>
    <n v="0"/>
    <n v="33.524176533035003"/>
  </r>
  <r>
    <s v="ATRO US Equity"/>
    <s v="ASTRONICS CORP"/>
    <s v="Industrials"/>
    <s v="Industrial Products"/>
    <x v="32"/>
    <s v="UNITED STATES"/>
    <n v="2.74"/>
    <n v="4.4000000000000004"/>
    <n v="0"/>
    <n v="57.430905121891783"/>
  </r>
  <r>
    <s v="ATS US Equity"/>
    <s v="ATS CORP"/>
    <s v="Industrials"/>
    <s v="Industrial Products"/>
    <x v="3"/>
    <s v="CANADA"/>
    <n v="2.91"/>
    <n v="4.25"/>
    <n v="0"/>
    <n v="59.583231737764322"/>
  </r>
  <r>
    <s v="AU US Equity"/>
    <s v="ANGLOGOLD ASHANT"/>
    <s v="Materials"/>
    <s v="Materials"/>
    <x v="22"/>
    <s v="BRITAIN"/>
    <n v="53.63"/>
    <n v="4.4000000000000004"/>
    <n v="0"/>
    <n v="62.919337114760737"/>
  </r>
  <r>
    <s v="AUB US Equity"/>
    <s v="ATLANTIC UNION B"/>
    <s v="Financials"/>
    <s v="Banking"/>
    <x v="26"/>
    <s v="UNITED STATES"/>
    <n v="5.51"/>
    <n v="4.33"/>
    <n v="930587"/>
    <n v="64.363201681251709"/>
  </r>
  <r>
    <s v="AUBN US Equity"/>
    <s v="AUBURN NATL BANC"/>
    <s v="Financials"/>
    <s v="Banking"/>
    <x v="26"/>
    <s v="UNITED STATES"/>
    <n v="0.09"/>
    <n v="0"/>
    <n v="26980"/>
    <n v="47.444224595486062"/>
  </r>
  <r>
    <s v="AUGO US Equity"/>
    <s v="AURA MINERALS"/>
    <s v="Materials"/>
    <s v="Materials"/>
    <x v="22"/>
    <s v="UNITED STATES"/>
    <n v="5.71"/>
    <n v="5"/>
    <n v="0"/>
    <n v="68.504884805033242"/>
  </r>
  <r>
    <s v="AUNA US Equity"/>
    <s v="AUNA SA-CLASS A"/>
    <s v="Health Care"/>
    <s v="Health Care"/>
    <x v="31"/>
    <s v="LUXEMBOURG"/>
    <n v="0.42"/>
    <n v="4.78"/>
    <n v="0"/>
    <n v="49.479740757207338"/>
  </r>
  <r>
    <s v="AUPH US Equity"/>
    <s v="AURINIA PHARMACE"/>
    <s v="Health Care"/>
    <s v="Health Care"/>
    <x v="25"/>
    <s v="CANADA"/>
    <n v="1.92"/>
    <n v="4.1399999999999997"/>
    <n v="0"/>
    <n v="43.269971272057965"/>
  </r>
  <r>
    <s v="AUR US Equity"/>
    <s v="AURORA INNOVATIO"/>
    <s v="Consumer Discretionary"/>
    <s v="Consumer Discretionary Products"/>
    <x v="8"/>
    <s v="UNITED STATES"/>
    <n v="8.8699999999999992"/>
    <n v="4"/>
    <n v="1925143"/>
    <n v="50.413263171602914"/>
  </r>
  <r>
    <s v="AURA US Equity"/>
    <s v="AURA BIOSCIENCES"/>
    <s v="Health Care"/>
    <s v="Health Care"/>
    <x v="25"/>
    <s v="UNITED STATES"/>
    <n v="0.36"/>
    <n v="4.8600000000000003"/>
    <n v="0"/>
    <n v="50.867276048002893"/>
  </r>
  <r>
    <s v="AUTL US Equity"/>
    <s v="AUTOLUS THERAPEU"/>
    <s v="Health Care"/>
    <s v="Health Care"/>
    <x v="25"/>
    <s v="BRITAIN"/>
    <n v="0.39"/>
    <n v="5"/>
    <n v="0"/>
    <n v="46.30575782211605"/>
  </r>
  <r>
    <s v="AVA US Equity"/>
    <s v="AVISTA CORP"/>
    <s v="Utilities"/>
    <s v="Utilities"/>
    <x v="38"/>
    <s v="UNITED STATES"/>
    <n v="3.26"/>
    <n v="3"/>
    <n v="146987"/>
    <n v="60.586351341701111"/>
  </r>
  <r>
    <s v="AVAH US Equity"/>
    <s v="AVEANNA HEALTHCA"/>
    <s v="Health Care"/>
    <s v="Health Care"/>
    <x v="31"/>
    <s v="UNITED STATES"/>
    <n v="1.81"/>
    <n v="4.09"/>
    <n v="0"/>
    <n v="41.599204288763545"/>
  </r>
  <r>
    <s v="AVAL US Equity"/>
    <s v="GRUPO AVAL ACCIO"/>
    <s v="Financials"/>
    <s v="Banking"/>
    <x v="26"/>
    <s v="COLOMBIA"/>
    <n v="5.4"/>
    <n v="3"/>
    <n v="0"/>
    <n v="48.978564270512692"/>
  </r>
  <r>
    <s v="AVAV US Equity"/>
    <s v="AEROVIRONMENT IN"/>
    <s v="Industrials"/>
    <s v="Industrial Products"/>
    <x v="32"/>
    <s v="UNITED STATES"/>
    <n v="15.36"/>
    <n v="4.9400000000000004"/>
    <n v="0"/>
    <n v="38.464056771857479"/>
  </r>
  <r>
    <s v="AVBC US Equity"/>
    <s v="AVIDIA BANCORP I"/>
    <s v="Financials"/>
    <s v="Banking"/>
    <x v="26"/>
    <s v="UNITED STATES"/>
    <n v="0.35"/>
    <n v="0"/>
    <n v="3753090"/>
    <n v="62.934092585223098"/>
  </r>
  <r>
    <s v="AVBP US Equity"/>
    <s v="ARRIVENT BIOPHAR"/>
    <s v="Health Care"/>
    <s v="Health Care"/>
    <x v="25"/>
    <s v="UNITED STATES"/>
    <n v="0.96"/>
    <n v="5"/>
    <n v="0"/>
    <n v="47.686127378366507"/>
  </r>
  <r>
    <s v="AVDL US Equity"/>
    <s v="AVADEL PHARMACEU"/>
    <s v="Health Care"/>
    <s v="Health Care"/>
    <x v="25"/>
    <s v="IRELAND"/>
    <n v="2.11"/>
    <n v="3"/>
    <n v="0"/>
    <n v="61.580135994220434"/>
  </r>
  <r>
    <s v="AVGO US Equity"/>
    <s v="BROADCOM INC"/>
    <s v="Technology"/>
    <s v="Tech Hardware &amp; Semiconductors"/>
    <x v="17"/>
    <s v="UNITED STATES"/>
    <n v="1517.44"/>
    <n v="4.83"/>
    <n v="1456228"/>
    <n v="53.967430281220786"/>
  </r>
  <r>
    <s v="AVIO IM Equity"/>
    <s v="AVIO SPA"/>
    <s v="Industrials"/>
    <s v="Industrial Products"/>
    <x v="32"/>
    <s v="ITALY"/>
    <n v="1.95"/>
    <n v="5"/>
    <n v="0"/>
    <n v="48.292747562924838"/>
  </r>
  <r>
    <s v="AVIR US Equity"/>
    <s v="ATEA PHARMACEUTI"/>
    <s v="Health Care"/>
    <s v="Health Care"/>
    <x v="25"/>
    <s v="UNITED STATES"/>
    <n v="0.32"/>
    <n v="4.33"/>
    <n v="0"/>
    <n v="70.139085874549409"/>
  </r>
  <r>
    <s v="AVNS US Equity"/>
    <s v="AVANOS MEDICAL I"/>
    <s v="Health Care"/>
    <s v="Health Care"/>
    <x v="9"/>
    <s v="UNITED STATES"/>
    <n v="0.61"/>
    <n v="3"/>
    <n v="785400"/>
    <n v="77.162234309266438"/>
  </r>
  <r>
    <s v="AVNT US Equity"/>
    <s v="AVIENT CORP"/>
    <s v="Materials"/>
    <s v="Materials"/>
    <x v="21"/>
    <s v="UNITED STATES"/>
    <n v="3.42"/>
    <n v="4.5599999999999996"/>
    <n v="0"/>
    <n v="77.663247219798521"/>
  </r>
  <r>
    <s v="AVO US Equity"/>
    <s v="MISSION PRODUCE"/>
    <s v="Consumer Staples"/>
    <s v="Retail &amp; Wholesale - Staples"/>
    <x v="19"/>
    <s v="UNITED STATES"/>
    <n v="0.95"/>
    <n v="4.5"/>
    <n v="0"/>
    <n v="62.295369986459448"/>
  </r>
  <r>
    <s v="AVOL SW Equity"/>
    <s v="AVOLTA AG"/>
    <s v="Consumer Discretionary"/>
    <s v="Retail &amp; Whsle - Discretionary"/>
    <x v="10"/>
    <s v="SWITZERLAND"/>
    <n v="8.99"/>
    <n v="3.89"/>
    <n v="0"/>
    <n v="54.629085276576184"/>
  </r>
  <r>
    <s v="AVPT US Equity"/>
    <s v="AVEPOINT INC"/>
    <s v="Technology"/>
    <s v="Software &amp; Tech Services"/>
    <x v="14"/>
    <s v="UNITED STATES"/>
    <n v="2.72"/>
    <n v="4.5999999999999996"/>
    <n v="0"/>
    <n v="30.622344436956851"/>
  </r>
  <r>
    <s v="AVT US Equity"/>
    <s v="AVNET INC"/>
    <s v="Technology"/>
    <s v="Tech Hardware &amp; Semiconductors"/>
    <x v="16"/>
    <s v="UNITED STATES"/>
    <n v="4.13"/>
    <n v="2.33"/>
    <n v="108725"/>
    <n v="82.096891111639181"/>
  </r>
  <r>
    <s v="AVTR US Equity"/>
    <s v="AVANTOR INC"/>
    <s v="Health Care"/>
    <s v="Health Care"/>
    <x v="9"/>
    <s v="UNITED STATES"/>
    <n v="8.0500000000000007"/>
    <n v="3.11"/>
    <n v="7522500"/>
    <n v="29.469530498604428"/>
  </r>
  <r>
    <s v="AVTX US Equity"/>
    <s v="AVALO THERAPEUTI"/>
    <s v="Health Care"/>
    <s v="Health Care"/>
    <x v="25"/>
    <s v="UNITED STATES"/>
    <n v="0.28999999999999998"/>
    <n v="5"/>
    <n v="0"/>
    <n v="42.595699875694528"/>
  </r>
  <r>
    <s v="AVXL US Equity"/>
    <s v="ANAVEX LIFE SCIE"/>
    <s v="Health Care"/>
    <s v="Health Care"/>
    <x v="25"/>
    <s v="UNITED STATES"/>
    <n v="0.47"/>
    <n v="4.33"/>
    <n v="0"/>
    <n v="38.345548567845768"/>
  </r>
  <r>
    <s v="AVY US Equity"/>
    <s v="AVERY DENNISON"/>
    <s v="Materials"/>
    <s v="Materials"/>
    <x v="21"/>
    <s v="UNITED STATES"/>
    <n v="14.49"/>
    <n v="4.2300000000000004"/>
    <n v="0"/>
    <n v="62.915565501581867"/>
  </r>
  <r>
    <s v="AWI US Equity"/>
    <s v="ARMSTRONG WORLD"/>
    <s v="Consumer Discretionary"/>
    <s v="Consumer Discretionary Products"/>
    <x v="50"/>
    <s v="UNITED STATES"/>
    <n v="8.08"/>
    <n v="4.17"/>
    <n v="0"/>
    <n v="63.793041493493178"/>
  </r>
  <r>
    <s v="AWK US Equity"/>
    <s v="AMERICAN WATER W"/>
    <s v="Utilities"/>
    <s v="Utilities"/>
    <x v="57"/>
    <s v="UNITED STATES"/>
    <n v="25.31"/>
    <n v="3.5"/>
    <n v="0"/>
    <n v="40.899635101120637"/>
  </r>
  <r>
    <s v="AWR US Equity"/>
    <s v="AMER STATES WATE"/>
    <s v="Utilities"/>
    <s v="Utilities"/>
    <x v="57"/>
    <s v="UNITED STATES"/>
    <n v="2.83"/>
    <n v="3"/>
    <n v="0"/>
    <n v="40.837316886959947"/>
  </r>
  <r>
    <s v="AX US Equity"/>
    <s v="AXOS FINANCIAL I"/>
    <s v="Financials"/>
    <s v="Banking"/>
    <x v="26"/>
    <s v="UNITED STATES"/>
    <n v="5.2"/>
    <n v="4.67"/>
    <n v="0"/>
    <n v="50.376069703225212"/>
  </r>
  <r>
    <s v="AXG US Equity"/>
    <s v="SOLOWIN HOLDIN-A"/>
    <s v="Financials"/>
    <s v="Financial Services"/>
    <x v="24"/>
    <s v="HONG KONG"/>
    <n v="0.77"/>
    <n v="0"/>
    <n v="0"/>
    <n v="53.331211891749831"/>
  </r>
  <r>
    <s v="AXGN US Equity"/>
    <s v="AXOGEN INC"/>
    <s v="Health Care"/>
    <s v="Health Care"/>
    <x v="9"/>
    <s v="UNITED STATES"/>
    <n v="1.65"/>
    <n v="4.9000000000000004"/>
    <n v="0"/>
    <n v="53.597957258435706"/>
  </r>
  <r>
    <s v="AXIA US Equity"/>
    <s v="AXIA ENERGIA-ADR"/>
    <s v="Utilities"/>
    <s v="Utilities"/>
    <x v="38"/>
    <s v="BRAZIL"/>
    <n v="30.16"/>
    <n v="5"/>
    <n v="0"/>
    <n v="71.251698039815992"/>
  </r>
  <r>
    <s v="DCH US Equity"/>
    <s v="AMER AXLE &amp; MFG"/>
    <s v="Consumer Discretionary"/>
    <s v="Consumer Discretionary Products"/>
    <x v="8"/>
    <s v="UNITED STATES"/>
    <n v="0.98"/>
    <n v="3.5"/>
    <n v="0"/>
    <n v="61.272771033627976"/>
  </r>
  <r>
    <s v="AXON US Equity"/>
    <s v="AXON ENTERPRISE"/>
    <s v="Industrials"/>
    <s v="Industrial Products"/>
    <x v="32"/>
    <s v="UNITED STATES"/>
    <n v="48.38"/>
    <n v="4.8499999999999996"/>
    <n v="832644"/>
    <n v="30.430467516237442"/>
  </r>
  <r>
    <s v="AXP US Equity"/>
    <s v="AMERICAN EXPRESS"/>
    <s v="Financials"/>
    <s v="Financial Services"/>
    <x v="35"/>
    <s v="UNITED STATES"/>
    <n v="249.15"/>
    <n v="3.65"/>
    <n v="0"/>
    <n v="43.926907531899339"/>
  </r>
  <r>
    <s v="AXS US Equity"/>
    <s v="AXIS CAPITAL"/>
    <s v="Financials"/>
    <s v="Insurance"/>
    <x v="23"/>
    <s v="BERMUDA"/>
    <n v="7.86"/>
    <n v="4.33"/>
    <n v="0"/>
    <n v="42.690335350721234"/>
  </r>
  <r>
    <s v="AXSM US Equity"/>
    <s v="AXSOME THERAPEUT"/>
    <s v="Health Care"/>
    <s v="Health Care"/>
    <x v="25"/>
    <s v="UNITED STATES"/>
    <n v="9.3699999999999992"/>
    <n v="4.9000000000000004"/>
    <n v="292887"/>
    <n v="61.297918760249388"/>
  </r>
  <r>
    <s v="AXTA US Equity"/>
    <s v="AXALTA COATING S"/>
    <s v="Materials"/>
    <s v="Materials"/>
    <x v="21"/>
    <s v="UNITED STATES"/>
    <n v="7.17"/>
    <n v="3.88"/>
    <n v="0"/>
    <n v="52.257506884865528"/>
  </r>
  <r>
    <s v="AXTI US Equity"/>
    <s v="AXT INC"/>
    <s v="Technology"/>
    <s v="Tech Hardware &amp; Semiconductors"/>
    <x v="17"/>
    <s v="UNITED STATES"/>
    <n v="0.96"/>
    <n v="4.2"/>
    <n v="0"/>
    <n v="63.489705862607565"/>
  </r>
  <r>
    <s v="AYI US Equity"/>
    <s v="ACUITY INC"/>
    <s v="Industrials"/>
    <s v="Industrial Products"/>
    <x v="4"/>
    <s v="UNITED STATES"/>
    <n v="9.67"/>
    <n v="4.33"/>
    <n v="0"/>
    <n v="45.968690728204535"/>
  </r>
  <r>
    <s v="AYTU US Equity"/>
    <s v="AYTU BIOPHARMA I"/>
    <s v="Health Care"/>
    <s v="Health Care"/>
    <x v="25"/>
    <s v="UNITED STATES"/>
    <n v="0.03"/>
    <n v="5"/>
    <n v="0"/>
    <n v="37.847816704287588"/>
  </r>
  <r>
    <s v="AZ US Equity"/>
    <s v="A2Z CUST2MATE SO"/>
    <s v="Technology"/>
    <s v="Tech Hardware &amp; Semiconductors"/>
    <x v="16"/>
    <s v="ISRAEL"/>
    <n v="0.31"/>
    <n v="5"/>
    <n v="0"/>
    <n v="38.546834098038431"/>
  </r>
  <r>
    <s v="AZN US Equity"/>
    <s v="ASTRAZENECA-ADR"/>
    <s v="Health Care"/>
    <s v="Health Care"/>
    <x v="25"/>
    <s v="BRITAIN"/>
    <n v="288.27999999999997"/>
    <n v="4.71"/>
    <n v="0"/>
    <n v="65.418035507988549"/>
  </r>
  <r>
    <s v="AZO US Equity"/>
    <s v="AUTOZONE INC"/>
    <s v="Consumer Discretionary"/>
    <s v="Retail &amp; Whsle - Discretionary"/>
    <x v="10"/>
    <s v="UNITED STATES"/>
    <n v="61.3"/>
    <n v="4.53"/>
    <n v="1283900"/>
    <n v="58.049833019402755"/>
  </r>
  <r>
    <s v="AZTA US Equity"/>
    <s v="AZENTA INC"/>
    <s v="Health Care"/>
    <s v="Health Care"/>
    <x v="9"/>
    <s v="UNITED STATES"/>
    <n v="1.84"/>
    <n v="4"/>
    <n v="100125"/>
    <n v="33.174311414152172"/>
  </r>
  <r>
    <s v="AZZ US Equity"/>
    <s v="AZZ INC"/>
    <s v="Industrials"/>
    <s v="Industrial Products"/>
    <x v="52"/>
    <s v="UNITED STATES"/>
    <n v="3.69"/>
    <n v="4.4000000000000004"/>
    <n v="0"/>
    <n v="80.229049322762734"/>
  </r>
  <r>
    <s v="B US Equity"/>
    <s v="BARRICK MINING C"/>
    <s v="Materials"/>
    <s v="Materials"/>
    <x v="22"/>
    <s v="CANADA"/>
    <n v="86"/>
    <n v="4.58"/>
    <n v="7661183"/>
    <n v="51.204016741821498"/>
  </r>
  <r>
    <s v="BA US Equity"/>
    <s v="BOEING CO/THE"/>
    <s v="Industrials"/>
    <s v="Industrial Products"/>
    <x v="32"/>
    <s v="UNITED STATES"/>
    <n v="197.45"/>
    <n v="4.38"/>
    <n v="694421"/>
    <n v="50.242997134266119"/>
  </r>
  <r>
    <s v="BA/ LN Equity"/>
    <s v="BAE SYSTEMS PLC"/>
    <s v="Industrials"/>
    <s v="Industrial Products"/>
    <x v="32"/>
    <s v="BRITAIN"/>
    <n v="82.76"/>
    <n v="3.76"/>
    <n v="275840"/>
    <n v="49.579805203559317"/>
  </r>
  <r>
    <s v="BABA US Equity"/>
    <s v="ALIBABA GRP-ADR"/>
    <s v="Consumer Discretionary"/>
    <s v="Retail &amp; Whsle - Discretionary"/>
    <x v="51"/>
    <s v="HONG KONG"/>
    <n v="413.57"/>
    <n v="4.7300000000000004"/>
    <n v="0"/>
    <n v="50.387467254024706"/>
  </r>
  <r>
    <s v="BAC US Equity"/>
    <s v="BANK OF AMERICA"/>
    <s v="Financials"/>
    <s v="Banking"/>
    <x v="26"/>
    <s v="UNITED STATES"/>
    <n v="377.69"/>
    <n v="4.58"/>
    <n v="0"/>
    <n v="47.861582820950815"/>
  </r>
  <r>
    <s v="BACQ US Equity"/>
    <s v="INFLECTION POINT"/>
    <s v="Financials"/>
    <s v="Financial Services"/>
    <x v="24"/>
    <s v="UNITED STATES"/>
    <n v="0.36"/>
    <n v="0"/>
    <n v="0"/>
    <n v="36.803726573454952"/>
  </r>
  <r>
    <s v="BAER US Equity"/>
    <s v="BRIDGER AEROSPAC"/>
    <s v="Industrials"/>
    <s v="Industrial Products"/>
    <x v="32"/>
    <s v="UNITED STATES"/>
    <n v="0.15"/>
    <n v="5"/>
    <n v="534000"/>
    <n v="54.462948954530425"/>
  </r>
  <r>
    <s v="BAH US Equity"/>
    <s v="BOOZ ALLEN HAMIL"/>
    <s v="Technology"/>
    <s v="Software &amp; Tech Services"/>
    <x v="34"/>
    <s v="UNITED STATES"/>
    <n v="12.33"/>
    <n v="2.73"/>
    <n v="2433074"/>
    <n v="36.349571867764304"/>
  </r>
  <r>
    <s v="BAK US Equity"/>
    <s v="BRASKEM SA-A-ADR"/>
    <s v="Materials"/>
    <s v="Materials"/>
    <x v="21"/>
    <s v="BRAZIL"/>
    <n v="1.41"/>
    <n v="3.29"/>
    <n v="0"/>
    <n v="72.371004774895383"/>
  </r>
  <r>
    <s v="BALL US Equity"/>
    <s v="BALL CORP"/>
    <s v="Materials"/>
    <s v="Materials"/>
    <x v="46"/>
    <s v="UNITED STATES"/>
    <n v="15.37"/>
    <n v="4.33"/>
    <n v="0"/>
    <n v="85.504113734237436"/>
  </r>
  <r>
    <s v="BALY US Equity"/>
    <s v="BALLY'S CORP"/>
    <s v="Consumer Discretionary"/>
    <s v="Consumer Discretionary Services"/>
    <x v="6"/>
    <s v="UNITED STATES"/>
    <n v="0.81"/>
    <n v="2.6"/>
    <n v="0"/>
    <n v="41.130851770907093"/>
  </r>
  <r>
    <s v="BAM US Equity"/>
    <s v="BROOKFIELD-A"/>
    <s v="Financials"/>
    <s v="Financial Services"/>
    <x v="24"/>
    <s v="UNITED STATES"/>
    <n v="83.97"/>
    <n v="3.84"/>
    <n v="179410"/>
    <n v="53.504195836768652"/>
  </r>
  <r>
    <s v="BANC US Equity"/>
    <s v="BANC OF CALIFORN"/>
    <s v="Financials"/>
    <s v="Banking"/>
    <x v="26"/>
    <s v="UNITED STATES"/>
    <n v="3.01"/>
    <n v="4.82"/>
    <n v="0"/>
    <n v="52.646501619436471"/>
  </r>
  <r>
    <s v="BAND US Equity"/>
    <s v="BANDWIDTH INC-A"/>
    <s v="Technology"/>
    <s v="Software &amp; Tech Services"/>
    <x v="14"/>
    <s v="UNITED STATES"/>
    <n v="0.44"/>
    <n v="4.4000000000000004"/>
    <n v="0"/>
    <n v="38.5771022187648"/>
  </r>
  <r>
    <s v="BANF US Equity"/>
    <s v="BANCFIRST CORP"/>
    <s v="Financials"/>
    <s v="Banking"/>
    <x v="26"/>
    <s v="UNITED STATES"/>
    <n v="3.62"/>
    <n v="3"/>
    <n v="0"/>
    <n v="56.924370020196797"/>
  </r>
  <r>
    <s v="BANR US Equity"/>
    <s v="BANNER CORPORATI"/>
    <s v="Financials"/>
    <s v="Banking"/>
    <x v="26"/>
    <s v="UNITED STATES"/>
    <n v="2.1"/>
    <n v="4"/>
    <n v="0"/>
    <n v="56.033764396630858"/>
  </r>
  <r>
    <s v="BAP US Equity"/>
    <s v="CREDICORP LTD"/>
    <s v="Financials"/>
    <s v="Banking"/>
    <x v="26"/>
    <s v="PERU"/>
    <n v="27.33"/>
    <n v="4.26"/>
    <n v="0"/>
    <n v="54.504191524354901"/>
  </r>
  <r>
    <s v="BAS GY Equity"/>
    <s v="BASF SE"/>
    <s v="Materials"/>
    <s v="Materials"/>
    <x v="21"/>
    <s v="GERMANY"/>
    <n v="48.53"/>
    <n v="3.65"/>
    <n v="188453"/>
    <n v="73.10883706788141"/>
  </r>
  <r>
    <s v="BATRA US Equity"/>
    <s v="ATLANTA BRAVES H"/>
    <s v="Consumer Discretionary"/>
    <s v="Consumer Discretionary Services"/>
    <x v="6"/>
    <s v="UNITED STATES"/>
    <n v="2.54"/>
    <n v="4.33"/>
    <n v="0"/>
    <n v="69.824668987913526"/>
  </r>
  <r>
    <s v="BATRK US Equity"/>
    <s v="ATLANTA BRAVES H"/>
    <s v="Consumer Discretionary"/>
    <s v="Consumer Discretionary Services"/>
    <x v="6"/>
    <s v="UNITED STATES"/>
    <n v="2.54"/>
    <n v="4"/>
    <n v="0"/>
    <n v="64.19491155867783"/>
  </r>
  <r>
    <s v="BATT US Equity"/>
    <s v="AMPL-LITH &amp; BATT"/>
    <s v="Financials"/>
    <s v="Financial Services"/>
    <x v="24"/>
    <s v="UNITED STATES"/>
    <n v="0.11"/>
    <n v="0"/>
    <n v="0"/>
    <n v="58.082539467141871"/>
  </r>
  <r>
    <s v="BAX US Equity"/>
    <s v="BAXTER INTL INC"/>
    <s v="Health Care"/>
    <s v="Health Care"/>
    <x v="9"/>
    <s v="UNITED STATES"/>
    <n v="10.199999999999999"/>
    <n v="3.12"/>
    <n v="0"/>
    <n v="72.45348947523253"/>
  </r>
  <r>
    <s v="BAYN GY Equity"/>
    <s v="BAYER AG-REG"/>
    <s v="Health Care"/>
    <s v="Health Care"/>
    <x v="25"/>
    <s v="GERMANY"/>
    <n v="51.57"/>
    <n v="4.09"/>
    <n v="0"/>
    <n v="67.164713489820528"/>
  </r>
  <r>
    <s v="BB US Equity"/>
    <s v="BLACKBERRY LTD"/>
    <s v="Technology"/>
    <s v="Software &amp; Tech Services"/>
    <x v="14"/>
    <s v="CANADA"/>
    <n v="2.2599999999999998"/>
    <n v="3"/>
    <n v="0"/>
    <n v="36.26994604529051"/>
  </r>
  <r>
    <s v="BBAI US Equity"/>
    <s v="BIGBEAR.AI HOLDI"/>
    <s v="Technology"/>
    <s v="Software &amp; Tech Services"/>
    <x v="14"/>
    <s v="UNITED STATES"/>
    <n v="2.54"/>
    <n v="3.5"/>
    <n v="0"/>
    <n v="37.549934924847079"/>
  </r>
  <r>
    <s v="BBAR AR Equity"/>
    <s v="BANCO BBVA ARGEN"/>
    <s v="Financials"/>
    <s v="Banking"/>
    <x v="26"/>
    <s v="ARGENTINA"/>
    <n v="4.1900000000000004"/>
    <n v="5"/>
    <n v="0"/>
    <n v="44.791505301926044"/>
  </r>
  <r>
    <s v="BBAR US Equity"/>
    <s v="BBVA ARGENT-ADR"/>
    <s v="Financials"/>
    <s v="Banking"/>
    <x v="26"/>
    <s v="ARGENTINA"/>
    <n v="3.96"/>
    <n v="4.1399999999999997"/>
    <n v="0"/>
    <n v="47.269152792443265"/>
  </r>
  <r>
    <s v="BBBY US Equity"/>
    <s v="BED BATH &amp; BEYON"/>
    <s v="Consumer Discretionary"/>
    <s v="Retail &amp; Whsle - Discretionary"/>
    <x v="51"/>
    <s v="UNITED STATES"/>
    <n v="0.47"/>
    <n v="3.5"/>
    <n v="0"/>
    <n v="35.339463584617718"/>
  </r>
  <r>
    <s v="BBCP US Equity"/>
    <s v="CONCRETE PUMPING"/>
    <s v="Industrials"/>
    <s v="Industrial Services"/>
    <x v="27"/>
    <s v="UNITED STATES"/>
    <n v="0.31"/>
    <n v="3.67"/>
    <n v="0"/>
    <n v="58.088406647432109"/>
  </r>
  <r>
    <s v="BBD US Equity"/>
    <s v="BRADESCO-ADR"/>
    <s v="Financials"/>
    <s v="Banking"/>
    <x v="26"/>
    <s v="BRAZIL"/>
    <n v="39.4"/>
    <n v="3.67"/>
    <n v="0"/>
    <n v="67.66211486489324"/>
  </r>
  <r>
    <s v="BBD/B CT Equity"/>
    <s v="BOMBARDIER INC-B"/>
    <s v="Industrials"/>
    <s v="Industrial Products"/>
    <x v="32"/>
    <s v="CANADA"/>
    <n v="19.45"/>
    <n v="3.8"/>
    <n v="0"/>
    <n v="52.407324041079505"/>
  </r>
  <r>
    <s v="BBDC US Equity"/>
    <s v="BARINGS BDC INC"/>
    <s v="Financials"/>
    <s v="Financial Services"/>
    <x v="24"/>
    <s v="UNITED STATES"/>
    <n v="0.96"/>
    <n v="4.5999999999999996"/>
    <n v="61863"/>
    <n v="55.150329651335468"/>
  </r>
  <r>
    <s v="BBDO US Equity"/>
    <s v="BRADESCO-ADR"/>
    <s v="Financials"/>
    <s v="Banking"/>
    <x v="26"/>
    <s v="BRAZIL"/>
    <n v="39.4"/>
    <n v="0"/>
    <n v="0"/>
    <n v="70.029778427440718"/>
  </r>
  <r>
    <s v="BBIO US Equity"/>
    <s v="BRIDGEBIO PHARMA"/>
    <s v="Health Care"/>
    <s v="Health Care"/>
    <x v="25"/>
    <s v="UNITED STATES"/>
    <n v="15.01"/>
    <n v="4.9000000000000004"/>
    <n v="0"/>
    <n v="47.512611270326467"/>
  </r>
  <r>
    <s v="BBNX US Equity"/>
    <s v="BETA BIONICS INC"/>
    <s v="Health Care"/>
    <s v="Health Care"/>
    <x v="9"/>
    <s v="UNITED STATES"/>
    <n v="0.7"/>
    <n v="4.5999999999999996"/>
    <n v="0"/>
    <n v="32.458725053152051"/>
  </r>
  <r>
    <s v="BBOT US Equity"/>
    <s v="BRIDGEBIO ONCOLO"/>
    <s v="Health Care"/>
    <s v="Health Care"/>
    <x v="25"/>
    <s v="UNITED STATES"/>
    <n v="1.01"/>
    <n v="5"/>
    <n v="0"/>
    <n v="51.981957330754788"/>
  </r>
  <r>
    <s v="BBSI US Equity"/>
    <s v="BARRETT BUS SVCS"/>
    <s v="Industrials"/>
    <s v="Industrial Services"/>
    <x v="15"/>
    <s v="UNITED STATES"/>
    <n v="0.96"/>
    <n v="4.25"/>
    <n v="56295"/>
    <n v="24.814040899406265"/>
  </r>
  <r>
    <s v="BBT US Equity"/>
    <s v="BEACON FINANCIAL"/>
    <s v="Financials"/>
    <s v="Banking"/>
    <x v="26"/>
    <s v="UNITED STATES"/>
    <n v="2.37"/>
    <n v="4.43"/>
    <n v="306197"/>
    <n v="68.268276007056073"/>
  </r>
  <r>
    <s v="BBUC US Equity"/>
    <s v="BROOKFIELD- CL A"/>
    <s v="Financials"/>
    <s v="Financial Services"/>
    <x v="24"/>
    <s v="CANADA"/>
    <n v="2.46"/>
    <n v="0"/>
    <n v="0"/>
    <n v="52.713805350479049"/>
  </r>
  <r>
    <s v="BBVA US Equity"/>
    <s v="BANCO BILBAO-ADR"/>
    <s v="Financials"/>
    <s v="Banking"/>
    <x v="26"/>
    <s v="SPAIN"/>
    <n v="142.55000000000001"/>
    <n v="3"/>
    <n v="5118850"/>
    <n v="47.339751801120116"/>
  </r>
  <r>
    <s v="BBW US Equity"/>
    <s v="BUILD-A-BEAR WOR"/>
    <s v="Consumer Discretionary"/>
    <s v="Retail &amp; Whsle - Discretionary"/>
    <x v="10"/>
    <s v="UNITED STATES"/>
    <n v="0.82"/>
    <n v="4.75"/>
    <n v="0"/>
    <n v="26.539752560188617"/>
  </r>
  <r>
    <s v="BBWI US Equity"/>
    <s v="BATH &amp; BODY WORK"/>
    <s v="Consumer Discretionary"/>
    <s v="Retail &amp; Whsle - Discretionary"/>
    <x v="10"/>
    <s v="UNITED STATES"/>
    <n v="4.54"/>
    <n v="3.71"/>
    <n v="1465466"/>
    <n v="53.409099846268752"/>
  </r>
  <r>
    <s v="BBY US Equity"/>
    <s v="BEST BUY CO INC"/>
    <s v="Consumer Discretionary"/>
    <s v="Retail &amp; Whsle - Discretionary"/>
    <x v="10"/>
    <s v="UNITED STATES"/>
    <n v="14.05"/>
    <n v="3.62"/>
    <n v="0"/>
    <n v="47.226253289665308"/>
  </r>
  <r>
    <s v="BC US Equity"/>
    <s v="BRUNSWICK CORP"/>
    <s v="Consumer Discretionary"/>
    <s v="Consumer Discretionary Products"/>
    <x v="55"/>
    <s v="UNITED STATES"/>
    <n v="5.64"/>
    <n v="3.86"/>
    <n v="0"/>
    <n v="57.584211312264962"/>
  </r>
  <r>
    <s v="BCAL US Equity"/>
    <s v="CALIFORNIA BANCO"/>
    <s v="Financials"/>
    <s v="Banking"/>
    <x v="26"/>
    <s v="UNITED STATES"/>
    <n v="0.59"/>
    <n v="5"/>
    <n v="0"/>
    <n v="53.283536774161426"/>
  </r>
  <r>
    <s v="BCAX US Equity"/>
    <s v="BICARA THERAPEUT"/>
    <s v="Health Care"/>
    <s v="Health Care"/>
    <x v="25"/>
    <s v="UNITED STATES"/>
    <n v="0.92"/>
    <n v="4.6399999999999997"/>
    <n v="0"/>
    <n v="35.147784843744574"/>
  </r>
  <r>
    <s v="BCC US Equity"/>
    <s v="BOISE CASCADE CO"/>
    <s v="Materials"/>
    <s v="Materials"/>
    <x v="58"/>
    <s v="UNITED STATES"/>
    <n v="3.12"/>
    <n v="3.86"/>
    <n v="0"/>
    <n v="64.155347120064818"/>
  </r>
  <r>
    <s v="BCE US Equity"/>
    <s v="BCE INC"/>
    <s v="Communications"/>
    <s v="Telecommunications"/>
    <x v="36"/>
    <s v="CANADA"/>
    <n v="23.5"/>
    <n v="3.58"/>
    <n v="378000"/>
    <n v="59.569271610569771"/>
  </r>
  <r>
    <s v="BCG US Equity"/>
    <s v="BINAH CAPITAL GR"/>
    <s v="Financials"/>
    <s v="Financial Services"/>
    <x v="24"/>
    <s v="UNITED STATES"/>
    <n v="0.04"/>
    <n v="0"/>
    <n v="12917"/>
    <n v="46.129632798181845"/>
  </r>
  <r>
    <s v="BCH US Equity"/>
    <s v="BANCO CHILE-ADR"/>
    <s v="Financials"/>
    <s v="Banking"/>
    <x v="26"/>
    <s v="CHILE"/>
    <n v="21.82"/>
    <n v="3.33"/>
    <n v="0"/>
    <n v="64.231218095850465"/>
  </r>
  <r>
    <s v="BCML US Equity"/>
    <s v="BAYCOM CORP"/>
    <s v="Financials"/>
    <s v="Banking"/>
    <x v="26"/>
    <s v="UNITED STATES"/>
    <n v="0.32"/>
    <n v="4.33"/>
    <n v="0"/>
    <n v="55.997228909220574"/>
  </r>
  <r>
    <s v="BCO US Equity"/>
    <s v="BRINK'S CO/THE"/>
    <s v="Industrials"/>
    <s v="Industrial Services"/>
    <x v="15"/>
    <s v="UNITED STATES"/>
    <n v="5.21"/>
    <n v="5"/>
    <n v="0"/>
    <n v="63.686703297604559"/>
  </r>
  <r>
    <s v="BCPC US Equity"/>
    <s v="BALCHEM CORP"/>
    <s v="Materials"/>
    <s v="Materials"/>
    <x v="21"/>
    <s v="UNITED STATES"/>
    <n v="5.43"/>
    <n v="4"/>
    <n v="0"/>
    <n v="73.32357428116822"/>
  </r>
  <r>
    <s v="BCRX US Equity"/>
    <s v="BIOCRYST PHARM"/>
    <s v="Health Care"/>
    <s v="Health Care"/>
    <x v="25"/>
    <s v="UNITED STATES"/>
    <n v="1.43"/>
    <n v="4.7"/>
    <n v="0"/>
    <n v="51.123928223665722"/>
  </r>
  <r>
    <s v="BCS US Equity"/>
    <s v="BARCLAYS PLC-ADR"/>
    <s v="Financials"/>
    <s v="Banking"/>
    <x v="26"/>
    <s v="BRITAIN"/>
    <n v="90.6"/>
    <n v="4"/>
    <n v="0"/>
    <n v="50.519691040861368"/>
  </r>
  <r>
    <s v="BCSF US Equity"/>
    <s v="BAIN CAPITAL SPE"/>
    <s v="Financials"/>
    <s v="Financial Services"/>
    <x v="24"/>
    <s v="UNITED STATES"/>
    <n v="0.88"/>
    <n v="3.67"/>
    <n v="0"/>
    <n v="52.76427218501788"/>
  </r>
  <r>
    <s v="BCYC US Equity"/>
    <s v="BICYCLE THER-ADR"/>
    <s v="Health Care"/>
    <s v="Health Care"/>
    <x v="25"/>
    <s v="BRITAIN"/>
    <n v="0.48"/>
    <n v="4.3099999999999996"/>
    <n v="0"/>
    <n v="34.999077654952231"/>
  </r>
  <r>
    <s v="BDC US Equity"/>
    <s v="BELDEN INC"/>
    <s v="Industrials"/>
    <s v="Industrial Products"/>
    <x v="4"/>
    <s v="UNITED STATES"/>
    <n v="4.53"/>
    <n v="4.67"/>
    <n v="0"/>
    <n v="78.52258165805523"/>
  </r>
  <r>
    <s v="BDX US Equity"/>
    <s v="BECTON DICKINSON"/>
    <s v="Health Care"/>
    <s v="Health Care"/>
    <x v="9"/>
    <s v="UNITED STATES"/>
    <n v="57.59"/>
    <n v="3.77"/>
    <n v="1059398"/>
    <n v="74.688233640040593"/>
  </r>
  <r>
    <s v="BE US Equity"/>
    <s v="BLOOM ENERGY C-A"/>
    <s v="Industrials"/>
    <s v="Industrial Products"/>
    <x v="4"/>
    <s v="UNITED STATES"/>
    <n v="34.270000000000003"/>
    <n v="3.52"/>
    <n v="0"/>
    <n v="57.263285174169766"/>
  </r>
  <r>
    <s v="BEAG US Equity"/>
    <s v="BOLD EAGLE ACQ-A"/>
    <s v="Financials"/>
    <s v="Financial Services"/>
    <x v="24"/>
    <s v="UNITED STATES"/>
    <n v="0.61"/>
    <n v="0"/>
    <n v="0"/>
    <n v="40.156108923878932"/>
  </r>
  <r>
    <s v="BEAM US Equity"/>
    <s v="BEAM THERAPEUTIC"/>
    <s v="Health Care"/>
    <s v="Health Care"/>
    <x v="25"/>
    <s v="UNITED STATES"/>
    <n v="3.2"/>
    <n v="4.67"/>
    <n v="0"/>
    <n v="41.572625699890715"/>
  </r>
  <r>
    <s v="BEAT US Equity"/>
    <s v="HEARTBEAM INC"/>
    <s v="Health Care"/>
    <s v="Health Care"/>
    <x v="9"/>
    <s v="UNITED STATES"/>
    <n v="0.06"/>
    <n v="5"/>
    <n v="0"/>
    <n v="32.985989954157603"/>
  </r>
  <r>
    <s v="BEKE US Equity"/>
    <s v="KE HOLDINGS -ADR"/>
    <s v="Real Estate"/>
    <s v="Real Estate"/>
    <x v="7"/>
    <s v="CHINA"/>
    <n v="21.2"/>
    <n v="4.7699999999999996"/>
    <n v="0"/>
    <n v="60.286950255124786"/>
  </r>
  <r>
    <s v="BELFB US Equity"/>
    <s v="BEL FUSE INC-B"/>
    <s v="Industrials"/>
    <s v="Industrial Products"/>
    <x v="4"/>
    <s v="UNITED STATES"/>
    <n v="2.46"/>
    <n v="5"/>
    <n v="0"/>
    <n v="74.322314218481495"/>
  </r>
  <r>
    <s v="BEN US Equity"/>
    <s v="FRANKLIN RES INC"/>
    <s v="Financials"/>
    <s v="Financial Services"/>
    <x v="24"/>
    <s v="UNITED STATES"/>
    <n v="13.2"/>
    <n v="2.69"/>
    <n v="0"/>
    <n v="63.196759551612466"/>
  </r>
  <r>
    <s v="BEP US Equity"/>
    <s v="BROOKFIELD RENEW"/>
    <s v="Utilities"/>
    <s v="Utilities"/>
    <x v="38"/>
    <s v="CANADA"/>
    <n v="19.09"/>
    <n v="4.18"/>
    <n v="0"/>
    <n v="70.234310080226521"/>
  </r>
  <r>
    <s v="BEPC US Equity"/>
    <s v="BROOKFIELD RENEW"/>
    <s v="Utilities"/>
    <s v="Utilities"/>
    <x v="38"/>
    <s v="UNITED STATES"/>
    <n v="13.5"/>
    <n v="3.8"/>
    <n v="0"/>
    <n v="64.396624362598004"/>
  </r>
  <r>
    <s v="BESI NA Equity"/>
    <s v="BE SEMICONDUCTOR"/>
    <s v="Technology"/>
    <s v="Tech Hardware &amp; Semiconductors"/>
    <x v="17"/>
    <s v="NETHERLANDS"/>
    <n v="16.75"/>
    <n v="3.92"/>
    <n v="0"/>
    <n v="60.440585121961412"/>
  </r>
  <r>
    <s v="BETA US Equity"/>
    <s v="BETA TECHNOLOGIE"/>
    <s v="Industrials"/>
    <s v="Industrial Products"/>
    <x v="32"/>
    <s v="UNITED STATES"/>
    <n v="5.76"/>
    <n v="4.75"/>
    <n v="75448290"/>
    <n v="36.535850179998477"/>
  </r>
  <r>
    <s v="BETR US Equity"/>
    <s v="BETTER HOME &amp; FI"/>
    <s v="Financials"/>
    <s v="Financial Services"/>
    <x v="35"/>
    <s v="UNITED STATES"/>
    <n v="0.49"/>
    <n v="3"/>
    <n v="47010"/>
    <n v="43.160493684084678"/>
  </r>
  <r>
    <s v="BF/A US Equity"/>
    <s v="BROWN-FORMAN -A"/>
    <s v="Consumer Staples"/>
    <s v="Consumer Staple Products"/>
    <x v="11"/>
    <s v="UNITED STATES"/>
    <n v="12.82"/>
    <n v="0"/>
    <n v="0"/>
    <n v="68.867522920776437"/>
  </r>
  <r>
    <s v="BF/B US Equity"/>
    <s v="BROWN-FORMAN -B"/>
    <s v="Consumer Staples"/>
    <s v="Consumer Staple Products"/>
    <x v="11"/>
    <s v="UNITED STATES"/>
    <n v="12.82"/>
    <n v="2.62"/>
    <n v="0"/>
    <n v="67.640159187311625"/>
  </r>
  <r>
    <s v="BFAM US Equity"/>
    <s v="BRIGHT HORIZONS"/>
    <s v="Consumer Discretionary"/>
    <s v="Consumer Discretionary Services"/>
    <x v="41"/>
    <s v="UNITED STATES"/>
    <n v="5.28"/>
    <n v="3.89"/>
    <n v="0"/>
    <n v="24.868398634925413"/>
  </r>
  <r>
    <s v="BFC US Equity"/>
    <s v="BANK FIRST CORP"/>
    <s v="Financials"/>
    <s v="Banking"/>
    <x v="26"/>
    <s v="UNITED STATES"/>
    <n v="1.54"/>
    <n v="4"/>
    <n v="56301"/>
    <n v="65.363459889457573"/>
  </r>
  <r>
    <s v="BFH US Equity"/>
    <s v="BREAD FINANCIAL"/>
    <s v="Financials"/>
    <s v="Financial Services"/>
    <x v="35"/>
    <s v="UNITED STATES"/>
    <n v="3.14"/>
    <n v="3.33"/>
    <n v="70637"/>
    <n v="54.547130542945567"/>
  </r>
  <r>
    <s v="BFLY US Equity"/>
    <s v="BUTTERFLY NETWOR"/>
    <s v="Health Care"/>
    <s v="Health Care"/>
    <x v="9"/>
    <s v="UNITED STATES"/>
    <n v="1.1399999999999999"/>
    <n v="5"/>
    <n v="1061027"/>
    <n v="37.854756207837617"/>
  </r>
  <r>
    <s v="BFST US Equity"/>
    <s v="BUSINESS FIRST B"/>
    <s v="Financials"/>
    <s v="Banking"/>
    <x v="26"/>
    <s v="UNITED STATES"/>
    <n v="0.89"/>
    <n v="5"/>
    <n v="104270"/>
    <n v="61.214574800999529"/>
  </r>
  <r>
    <s v="BG US Equity"/>
    <s v="BUNGE GLOBAL SA"/>
    <s v="Consumer Staples"/>
    <s v="Retail &amp; Wholesale - Staples"/>
    <x v="19"/>
    <s v="UNITED STATES"/>
    <n v="21.97"/>
    <n v="4.67"/>
    <n v="568000"/>
    <n v="76.840200154251818"/>
  </r>
  <r>
    <s v="BGC US Equity"/>
    <s v="BGC GROUP INC-A"/>
    <s v="Financials"/>
    <s v="Financial Services"/>
    <x v="49"/>
    <s v="UNITED STATES"/>
    <n v="4.18"/>
    <n v="5"/>
    <n v="5354358"/>
    <n v="43.707587254545011"/>
  </r>
  <r>
    <s v="BGS US Equity"/>
    <s v="B&amp;G FOODS INC"/>
    <s v="Consumer Staples"/>
    <s v="Consumer Staple Products"/>
    <x v="42"/>
    <s v="UNITED STATES"/>
    <n v="0.35"/>
    <n v="2.4300000000000002"/>
    <n v="0"/>
    <n v="71.872597486782354"/>
  </r>
  <r>
    <s v="BH US Equity"/>
    <s v="BIGLARI HOLDIN-B"/>
    <s v="Consumer Discretionary"/>
    <s v="Consumer Discretionary Services"/>
    <x v="6"/>
    <s v="UNITED STATES"/>
    <n v="1.47"/>
    <n v="0"/>
    <n v="0"/>
    <n v="53.95165414988945"/>
  </r>
  <r>
    <s v="BHB US Equity"/>
    <s v="BAR HARBOR BNKSH"/>
    <s v="Financials"/>
    <s v="Banking"/>
    <x v="26"/>
    <s v="UNITED STATES"/>
    <n v="0.56000000000000005"/>
    <n v="4"/>
    <n v="356229"/>
    <n v="57.902522211618127"/>
  </r>
  <r>
    <s v="BHC US Equity"/>
    <s v="BAUSCH HEALTH CO"/>
    <s v="Health Care"/>
    <s v="Health Care"/>
    <x v="25"/>
    <s v="CANADA"/>
    <n v="2.19"/>
    <n v="2.71"/>
    <n v="0"/>
    <n v="43.989667622088248"/>
  </r>
  <r>
    <s v="BHE US Equity"/>
    <s v="BENCHMARK ELECTR"/>
    <s v="Technology"/>
    <s v="Tech Hardware &amp; Semiconductors"/>
    <x v="16"/>
    <s v="UNITED STATES"/>
    <n v="1.76"/>
    <n v="4.5"/>
    <n v="0"/>
    <n v="80.569384281588512"/>
  </r>
  <r>
    <s v="BHF US Equity"/>
    <s v="BRIGHTHOUSE FINA"/>
    <s v="Financials"/>
    <s v="Insurance"/>
    <x v="23"/>
    <s v="UNITED STATES"/>
    <n v="3.67"/>
    <n v="2.75"/>
    <n v="0"/>
    <n v="45.871068602264259"/>
  </r>
  <r>
    <s v="BHP US Equity"/>
    <s v="BHP GROUP-ADR"/>
    <s v="Materials"/>
    <s v="Materials"/>
    <x v="22"/>
    <s v="AUSTRALIA"/>
    <n v="171.46"/>
    <n v="2.75"/>
    <n v="0"/>
    <n v="68.794673806445644"/>
  </r>
  <r>
    <s v="BHRB US Equity"/>
    <s v="BURKE &amp; HERBERT"/>
    <s v="Financials"/>
    <s v="Banking"/>
    <x v="26"/>
    <s v="UNITED STATES"/>
    <n v="0.96"/>
    <n v="5"/>
    <n v="172800"/>
    <n v="64.891953440739343"/>
  </r>
  <r>
    <s v="BHVN US Equity"/>
    <s v="BIOHAVEN LTD"/>
    <s v="Health Care"/>
    <s v="Health Care"/>
    <x v="25"/>
    <s v="UNITED STATES"/>
    <n v="1.79"/>
    <n v="4.41"/>
    <n v="59443986"/>
    <n v="49.72432531500305"/>
  </r>
  <r>
    <s v="BIDU US Equity"/>
    <s v="BAIDU INC-SP ADR"/>
    <s v="Communications"/>
    <s v="Media"/>
    <x v="13"/>
    <s v="CHINA"/>
    <n v="56.6"/>
    <n v="4.53"/>
    <n v="0"/>
    <n v="48.832762168935879"/>
  </r>
  <r>
    <s v="BIIB US Equity"/>
    <s v="BIOGEN INC"/>
    <s v="Health Care"/>
    <s v="Health Care"/>
    <x v="25"/>
    <s v="UNITED STATES"/>
    <n v="25.17"/>
    <n v="3.92"/>
    <n v="0"/>
    <n v="60.266373219802723"/>
  </r>
  <r>
    <s v="BILI US Equity"/>
    <s v="BILIBILI INC-ADR"/>
    <s v="Communications"/>
    <s v="Media"/>
    <x v="13"/>
    <s v="CHINA"/>
    <n v="14.1"/>
    <n v="4.59"/>
    <n v="0"/>
    <n v="53.310839510437248"/>
  </r>
  <r>
    <s v="BILL US Equity"/>
    <s v="BILL HOLDINGS IN"/>
    <s v="Technology"/>
    <s v="Software &amp; Tech Services"/>
    <x v="14"/>
    <s v="UNITED STATES"/>
    <n v="4.8499999999999996"/>
    <n v="4.24"/>
    <n v="0"/>
    <n v="49.868207471866015"/>
  </r>
  <r>
    <s v="BIO US Equity"/>
    <s v="BIO-RAD LABS-A"/>
    <s v="Health Care"/>
    <s v="Health Care"/>
    <x v="9"/>
    <s v="UNITED STATES"/>
    <n v="8.08"/>
    <n v="3.86"/>
    <n v="0"/>
    <n v="40.856428660884859"/>
  </r>
  <r>
    <s v="BIOA US Equity"/>
    <s v="BIOAGE LABS INC"/>
    <s v="Health Care"/>
    <s v="Health Care"/>
    <x v="25"/>
    <s v="UNITED STATES"/>
    <n v="0.79"/>
    <n v="3.5"/>
    <n v="0"/>
    <n v="58.879613120742114"/>
  </r>
  <r>
    <s v="BIPC US Equity"/>
    <s v="BROOKFIELD INFRA"/>
    <s v="Utilities"/>
    <s v="Utilities"/>
    <x v="57"/>
    <s v="UNITED STATES"/>
    <n v="5.42"/>
    <n v="3"/>
    <n v="0"/>
    <n v="74.36103484547526"/>
  </r>
  <r>
    <s v="BIR CT Equity"/>
    <s v="BIRCHCLIFF ENERG"/>
    <s v="Energy"/>
    <s v="Oil &amp; Gas"/>
    <x v="20"/>
    <s v="CANADA"/>
    <n v="1.46"/>
    <n v="4.67"/>
    <n v="414132"/>
    <n v="50.677913933983376"/>
  </r>
  <r>
    <s v="BIRK US Equity"/>
    <s v="BIRKENSTOCK HOLD"/>
    <s v="Consumer Discretionary"/>
    <s v="Consumer Discretionary Products"/>
    <x v="5"/>
    <s v="BRITAIN"/>
    <n v="7.27"/>
    <n v="4.58"/>
    <n v="0"/>
    <n v="51.781168514094709"/>
  </r>
  <r>
    <s v="BITF US Equity"/>
    <s v="BITFARMS LTD/CAN"/>
    <s v="Financials"/>
    <s v="Financial Services"/>
    <x v="24"/>
    <s v="CANADA"/>
    <n v="1.64"/>
    <n v="5"/>
    <n v="483131"/>
    <n v="41.991820760493979"/>
  </r>
  <r>
    <s v="BJ US Equity"/>
    <s v="BJ'S WHOLESALE C"/>
    <s v="Consumer Staples"/>
    <s v="Retail &amp; Wholesale - Staples"/>
    <x v="33"/>
    <s v="UNITED STATES"/>
    <n v="12.75"/>
    <n v="3.85"/>
    <n v="202696"/>
    <n v="59.670722287270436"/>
  </r>
  <r>
    <s v="BJRI US Equity"/>
    <s v="BJ'S RESTAURANTS"/>
    <s v="Consumer Discretionary"/>
    <s v="Consumer Discretionary Services"/>
    <x v="6"/>
    <s v="UNITED STATES"/>
    <n v="0.91"/>
    <n v="3.36"/>
    <n v="0"/>
    <n v="48.761953853104295"/>
  </r>
  <r>
    <s v="BK US Equity"/>
    <s v="BANK NY MELLON"/>
    <s v="Financials"/>
    <s v="Financial Services"/>
    <x v="49"/>
    <s v="UNITED STATES"/>
    <n v="80.94"/>
    <n v="4.16"/>
    <n v="0"/>
    <n v="52.184218459692765"/>
  </r>
  <r>
    <s v="BKD US Equity"/>
    <s v="BROOKDALE SR"/>
    <s v="Health Care"/>
    <s v="Health Care"/>
    <x v="31"/>
    <s v="UNITED STATES"/>
    <n v="3.08"/>
    <n v="4.2"/>
    <n v="0"/>
    <n v="81.886666306154865"/>
  </r>
  <r>
    <s v="BKE US Equity"/>
    <s v="THE BUCKLE INC"/>
    <s v="Consumer Discretionary"/>
    <s v="Retail &amp; Whsle - Discretionary"/>
    <x v="10"/>
    <s v="UNITED STATES"/>
    <n v="2.61"/>
    <n v="3"/>
    <n v="0"/>
    <n v="55.779502659811399"/>
  </r>
  <r>
    <s v="BKH US Equity"/>
    <s v="BLACK HILLS CORP"/>
    <s v="Utilities"/>
    <s v="Utilities"/>
    <x v="38"/>
    <s v="UNITED STATES"/>
    <n v="5.41"/>
    <n v="4.5"/>
    <n v="0"/>
    <n v="52.107463940603871"/>
  </r>
  <r>
    <s v="BKHA US Equity"/>
    <s v="BLACK HAWK ACQ-A"/>
    <s v="Financials"/>
    <s v="Financial Services"/>
    <x v="24"/>
    <s v="UNITED STATES"/>
    <n v="0.05"/>
    <n v="0"/>
    <n v="0"/>
    <n v="57.330618392306853"/>
  </r>
  <r>
    <s v="BKNG US Equity"/>
    <s v="BOOKING HOLDINGS"/>
    <s v="Communications"/>
    <s v="Media"/>
    <x v="13"/>
    <s v="UNITED STATES"/>
    <n v="164.34"/>
    <n v="4.4000000000000004"/>
    <n v="0"/>
    <n v="25.692955944554683"/>
  </r>
  <r>
    <s v="BKR US Equity"/>
    <s v="BAKER HUGHES CO"/>
    <s v="Energy"/>
    <s v="Oil &amp; Gas"/>
    <x v="30"/>
    <s v="UNITED STATES"/>
    <n v="53.21"/>
    <n v="4.3499999999999996"/>
    <n v="0"/>
    <n v="74.08981293449483"/>
  </r>
  <r>
    <s v="BKSY US Equity"/>
    <s v="BLACKSKY TECHNOL"/>
    <s v="Communications"/>
    <s v="Telecommunications"/>
    <x v="36"/>
    <s v="UNITED STATES"/>
    <n v="0.97"/>
    <n v="4.75"/>
    <n v="0"/>
    <n v="44.42010568923051"/>
  </r>
  <r>
    <s v="BKU US Equity"/>
    <s v="BANKUNITED INC"/>
    <s v="Financials"/>
    <s v="Banking"/>
    <x v="26"/>
    <s v="UNITED STATES"/>
    <n v="3.53"/>
    <n v="3.67"/>
    <n v="0"/>
    <n v="57.743017117048609"/>
  </r>
  <r>
    <s v="BKV US Equity"/>
    <s v="BKV CORPORATION"/>
    <s v="Energy"/>
    <s v="Oil &amp; Gas"/>
    <x v="20"/>
    <s v="UNITED STATES"/>
    <n v="2.73"/>
    <n v="4.7300000000000004"/>
    <n v="0"/>
    <n v="67.231680899460031"/>
  </r>
  <r>
    <s v="BL US Equity"/>
    <s v="BLACKLINE INC"/>
    <s v="Technology"/>
    <s v="Software &amp; Tech Services"/>
    <x v="14"/>
    <s v="UNITED STATES"/>
    <n v="3.16"/>
    <n v="3.6"/>
    <n v="530800"/>
    <n v="30.596525943087542"/>
  </r>
  <r>
    <s v="BLBD US Equity"/>
    <s v="BLUE BIRD CORP"/>
    <s v="Industrials"/>
    <s v="Industrial Products"/>
    <x v="44"/>
    <s v="UNITED STATES"/>
    <n v="1.57"/>
    <n v="4.75"/>
    <n v="19828"/>
    <n v="66.63921863739192"/>
  </r>
  <r>
    <s v="BLCO US Equity"/>
    <s v="BAUSCH + LOMB CO"/>
    <s v="Health Care"/>
    <s v="Health Care"/>
    <x v="9"/>
    <s v="CANADA"/>
    <n v="6.01"/>
    <n v="3.53"/>
    <n v="0"/>
    <n v="52.836620140947829"/>
  </r>
  <r>
    <s v="BLD US Equity"/>
    <s v="TOPBUILD COR"/>
    <s v="Industrials"/>
    <s v="Industrial Services"/>
    <x v="27"/>
    <s v="UNITED STATES"/>
    <n v="13.71"/>
    <n v="4.38"/>
    <n v="0"/>
    <n v="73.0437590581911"/>
  </r>
  <r>
    <s v="BLDP US Equity"/>
    <s v="BALLARD POWER"/>
    <s v="Energy"/>
    <s v="Renewable Energy"/>
    <x v="45"/>
    <s v="CANADA"/>
    <n v="0.79"/>
    <n v="2.73"/>
    <n v="0"/>
    <n v="31.807232342018494"/>
  </r>
  <r>
    <s v="BLDR US Equity"/>
    <s v="BUILDERS FIRSTSO"/>
    <s v="Consumer Discretionary"/>
    <s v="Retail &amp; Whsle - Discretionary"/>
    <x v="10"/>
    <s v="UNITED STATES"/>
    <n v="13.53"/>
    <n v="3.78"/>
    <n v="0"/>
    <n v="60.631194986972851"/>
  </r>
  <r>
    <s v="BLFS US Equity"/>
    <s v="BIOLIFE SOLUTION"/>
    <s v="Health Care"/>
    <s v="Health Care"/>
    <x v="9"/>
    <s v="UNITED STATES"/>
    <n v="1.2"/>
    <n v="5"/>
    <n v="0"/>
    <n v="38.752137165676508"/>
  </r>
  <r>
    <s v="BLK US Equity"/>
    <s v="BLACKROCK INC"/>
    <s v="Financials"/>
    <s v="Financial Services"/>
    <x v="24"/>
    <s v="UNITED STATES"/>
    <n v="184.72"/>
    <n v="4.62"/>
    <n v="0"/>
    <n v="46.840249375590957"/>
  </r>
  <r>
    <s v="BLKB US Equity"/>
    <s v="BLACKBAUD INC"/>
    <s v="Technology"/>
    <s v="Software &amp; Tech Services"/>
    <x v="14"/>
    <s v="UNITED STATES"/>
    <n v="2.69"/>
    <n v="3.8"/>
    <n v="0"/>
    <n v="39.492035800838721"/>
  </r>
  <r>
    <s v="BLLN US Equity"/>
    <s v="BILLIONTOONE INC"/>
    <s v="Health Care"/>
    <s v="Health Care"/>
    <x v="9"/>
    <s v="UNITED STATES"/>
    <n v="4.01"/>
    <n v="4.5"/>
    <n v="306495"/>
    <n v="47.262396794114785"/>
  </r>
  <r>
    <s v="BLMN US Equity"/>
    <s v="BLOOMIN' BRANDS"/>
    <s v="Consumer Discretionary"/>
    <s v="Consumer Discretionary Services"/>
    <x v="6"/>
    <s v="UNITED STATES"/>
    <n v="0.66"/>
    <n v="3.14"/>
    <n v="11565"/>
    <n v="51.762010519414609"/>
  </r>
  <r>
    <s v="BLND US Equity"/>
    <s v="BLEND LABS INC-A"/>
    <s v="Technology"/>
    <s v="Software &amp; Tech Services"/>
    <x v="14"/>
    <s v="UNITED STATES"/>
    <n v="0.73"/>
    <n v="4.29"/>
    <n v="0"/>
    <n v="20.310520327212501"/>
  </r>
  <r>
    <s v="BLSH US Equity"/>
    <s v="BULLISH"/>
    <s v="Technology"/>
    <s v="Software &amp; Tech Services"/>
    <x v="14"/>
    <s v="CAYMAN ISLANDS"/>
    <n v="5.23"/>
    <n v="3.77"/>
    <n v="0"/>
    <n v="43.739651014743657"/>
  </r>
  <r>
    <s v="BLTE US Equity"/>
    <s v="BELITE BIO I-ADR"/>
    <s v="Health Care"/>
    <s v="Health Care"/>
    <x v="25"/>
    <s v="UNITED STATES"/>
    <n v="6.23"/>
    <n v="5"/>
    <n v="0"/>
    <n v="56.21927250986954"/>
  </r>
  <r>
    <s v="BLUW US Equity"/>
    <s v="BLUE WATER ACQUI"/>
    <s v="Financials"/>
    <s v="Financial Services"/>
    <x v="24"/>
    <s v="UNITED STATES"/>
    <n v="0.33"/>
    <n v="0"/>
    <n v="0"/>
    <n v="50.710695265872388"/>
  </r>
  <r>
    <s v="BLX US Equity"/>
    <s v="BANCO LATINOAM-E"/>
    <s v="Financials"/>
    <s v="Banking"/>
    <x v="26"/>
    <s v="PANAMA"/>
    <n v="1.72"/>
    <n v="5"/>
    <n v="0"/>
    <n v="71.187298001505752"/>
  </r>
  <r>
    <s v="BMA US Equity"/>
    <s v="BANCO MACRO -ADR"/>
    <s v="Financials"/>
    <s v="Banking"/>
    <x v="26"/>
    <s v="ARGENTINA"/>
    <n v="6.18"/>
    <n v="4.78"/>
    <n v="0"/>
    <n v="49.508515802256539"/>
  </r>
  <r>
    <s v="BMBL US Equity"/>
    <s v="BUMBLE INC-A"/>
    <s v="Communications"/>
    <s v="Media"/>
    <x v="13"/>
    <s v="UNITED STATES"/>
    <n v="0.61"/>
    <n v="2.88"/>
    <n v="0"/>
    <n v="32.781739892882271"/>
  </r>
  <r>
    <s v="BMI US Equity"/>
    <s v="BADGER METER INC"/>
    <s v="Industrials"/>
    <s v="Industrial Products"/>
    <x v="4"/>
    <s v="UNITED STATES"/>
    <n v="5"/>
    <n v="3.92"/>
    <n v="0"/>
    <n v="46.319263608557016"/>
  </r>
  <r>
    <s v="BMN AU Equity"/>
    <s v="BANNERMAN ENERGY"/>
    <s v="Materials"/>
    <s v="Materials"/>
    <x v="22"/>
    <s v="AUSTRALIA"/>
    <n v="0.6"/>
    <n v="4.5"/>
    <n v="0"/>
    <n v="50.576218030695003"/>
  </r>
  <r>
    <s v="BMNR US Equity"/>
    <s v="BITMINE IMMERSIO"/>
    <s v="Financials"/>
    <s v="Financial Services"/>
    <x v="35"/>
    <s v="UNITED STATES"/>
    <n v="13.1"/>
    <n v="5"/>
    <n v="0"/>
    <n v="34.332163521660959"/>
  </r>
  <r>
    <s v="BMO US Equity"/>
    <s v="BANK OF MONTREAL"/>
    <s v="Financials"/>
    <s v="Banking"/>
    <x v="26"/>
    <s v="CANADA"/>
    <n v="97.65"/>
    <n v="3.06"/>
    <n v="44749"/>
    <n v="64.608465677398272"/>
  </r>
  <r>
    <s v="BMR US Equity"/>
    <s v="BEAMR IMAGING LT"/>
    <s v="Technology"/>
    <s v="Software &amp; Tech Services"/>
    <x v="14"/>
    <s v="ISRAEL"/>
    <n v="0.03"/>
    <n v="5"/>
    <n v="0"/>
    <n v="39.643638341171908"/>
  </r>
  <r>
    <s v="BMRC US Equity"/>
    <s v="BANK OF MARIN BA"/>
    <s v="Financials"/>
    <s v="Banking"/>
    <x v="26"/>
    <s v="UNITED STATES"/>
    <n v="0.43"/>
    <n v="4.33"/>
    <n v="0"/>
    <n v="54.335887675914648"/>
  </r>
  <r>
    <s v="BMRN US Equity"/>
    <s v="BIOMARIN PHARMAC"/>
    <s v="Health Care"/>
    <s v="Health Care"/>
    <x v="25"/>
    <s v="UNITED STATES"/>
    <n v="10.8"/>
    <n v="4.5199999999999996"/>
    <n v="0"/>
    <n v="63.475806981796119"/>
  </r>
  <r>
    <s v="BMY US Equity"/>
    <s v="BRISTOL-MYER SQB"/>
    <s v="Health Care"/>
    <s v="Health Care"/>
    <x v="25"/>
    <s v="UNITED STATES"/>
    <n v="111.25"/>
    <n v="3.65"/>
    <n v="0"/>
    <n v="65.33861731908803"/>
  </r>
  <r>
    <s v="BN CT Equity"/>
    <s v="BROOKFIELD CORP"/>
    <s v="Financials"/>
    <s v="Financial Services"/>
    <x v="24"/>
    <s v="CANADA"/>
    <n v="116.65"/>
    <n v="4.2699999999999996"/>
    <n v="0"/>
    <n v="49.092933890655431"/>
  </r>
  <r>
    <s v="BN US Equity"/>
    <s v="BROOKFIELD CORP"/>
    <s v="Financials"/>
    <s v="Financial Services"/>
    <x v="24"/>
    <s v="CANADA"/>
    <n v="116.78"/>
    <n v="4.33"/>
    <n v="0"/>
    <n v="50.855667856519737"/>
  </r>
  <r>
    <s v="BNL US Equity"/>
    <s v="BROADSTONE NET"/>
    <s v="Real Estate"/>
    <s v="Real Estate"/>
    <x v="37"/>
    <s v="UNITED STATES"/>
    <n v="3.51"/>
    <n v="4.3600000000000003"/>
    <n v="0"/>
    <n v="67.678342413036688"/>
  </r>
  <r>
    <s v="BNS US Equity"/>
    <s v="BANK OF NOVA SCO"/>
    <s v="Financials"/>
    <s v="Banking"/>
    <x v="26"/>
    <s v="CANADA"/>
    <n v="92.54"/>
    <n v="3.18"/>
    <n v="74870"/>
    <n v="64.489270559385119"/>
  </r>
  <r>
    <s v="BNTC US Equity"/>
    <s v="BENITEC BIOPHARM"/>
    <s v="Health Care"/>
    <s v="Health Care"/>
    <x v="25"/>
    <s v="UNITED STATES"/>
    <n v="0.42"/>
    <n v="4.8600000000000003"/>
    <n v="0"/>
    <n v="43.563331198150216"/>
  </r>
  <r>
    <s v="BNTX US Equity"/>
    <s v="BIONTECH SE-ADR"/>
    <s v="Health Care"/>
    <s v="Health Care"/>
    <x v="25"/>
    <s v="GERMANY"/>
    <n v="30.04"/>
    <n v="4.6100000000000003"/>
    <n v="0"/>
    <n v="52.387060851212496"/>
  </r>
  <r>
    <s v="BOC US Equity"/>
    <s v="BOSTON OMAHA -A"/>
    <s v="Communications"/>
    <s v="Media"/>
    <x v="59"/>
    <s v="UNITED STATES"/>
    <n v="0.39"/>
    <n v="3"/>
    <n v="1161049"/>
    <n v="49.560550372548427"/>
  </r>
  <r>
    <s v="BOE AU Equity"/>
    <s v="BOSS ENERGY LTD"/>
    <s v="Materials"/>
    <s v="Materials"/>
    <x v="22"/>
    <s v="AUSTRALIA"/>
    <n v="0.53"/>
    <n v="3"/>
    <n v="96398"/>
    <n v="52.009426909830339"/>
  </r>
  <r>
    <s v="BOF US Equity"/>
    <s v="BRANCHOUT FOOD I"/>
    <s v="Consumer Staples"/>
    <s v="Consumer Staple Products"/>
    <x v="42"/>
    <s v="UNITED STATES"/>
    <n v="0.04"/>
    <n v="0"/>
    <n v="0"/>
    <n v="42.883090482296801"/>
  </r>
  <r>
    <s v="BOH US Equity"/>
    <s v="BANK OF HAWAII"/>
    <s v="Financials"/>
    <s v="Banking"/>
    <x v="26"/>
    <s v="UNITED STATES"/>
    <n v="2.82"/>
    <n v="2.71"/>
    <n v="0"/>
    <n v="61.174049104087175"/>
  </r>
  <r>
    <s v="BOKF US Equity"/>
    <s v="BOK FINL CORP"/>
    <s v="Financials"/>
    <s v="Banking"/>
    <x v="26"/>
    <s v="UNITED STATES"/>
    <n v="8.36"/>
    <n v="3.6"/>
    <n v="0"/>
    <n v="68.203033087868278"/>
  </r>
  <r>
    <s v="BONEX SS Equity"/>
    <s v="BONESUPPORT HOLD"/>
    <s v="Health Care"/>
    <s v="Health Care"/>
    <x v="25"/>
    <s v="SWEDEN"/>
    <n v="1.45"/>
    <n v="4.43"/>
    <n v="171134"/>
    <n v="37.010591824909547"/>
  </r>
  <r>
    <s v="BOOT US Equity"/>
    <s v="BOOT BARN HOLDIN"/>
    <s v="Consumer Discretionary"/>
    <s v="Retail &amp; Whsle - Discretionary"/>
    <x v="10"/>
    <s v="UNITED STATES"/>
    <n v="5.61"/>
    <n v="4.41"/>
    <n v="0"/>
    <n v="50.579058007531714"/>
  </r>
  <r>
    <s v="BORR US Equity"/>
    <s v="BORR DRILLING LT"/>
    <s v="Energy"/>
    <s v="Oil &amp; Gas"/>
    <x v="30"/>
    <s v="BERMUDA"/>
    <n v="1.37"/>
    <n v="4.5999999999999996"/>
    <n v="0"/>
    <n v="75.820403604778448"/>
  </r>
  <r>
    <s v="BOSC US Equity"/>
    <s v="BOS BETTER ON-LI"/>
    <s v="Technology"/>
    <s v="Software &amp; Tech Services"/>
    <x v="14"/>
    <s v="ISRAEL"/>
    <n v="0.03"/>
    <n v="0"/>
    <n v="0"/>
    <n v="46.206503003256003"/>
  </r>
  <r>
    <s v="BOTJ US Equity"/>
    <s v="BANK OF THE JAME"/>
    <s v="Financials"/>
    <s v="Banking"/>
    <x v="26"/>
    <s v="UNITED STATES"/>
    <n v="0.08"/>
    <n v="0"/>
    <n v="95637"/>
    <n v="61.205847684538547"/>
  </r>
  <r>
    <s v="BOUT US Equity"/>
    <s v="Innovator IBD Breakout Opportunities ETF"/>
    <s v="Financials"/>
    <s v="Financial Services"/>
    <x v="60"/>
    <s v="UNITED STATES"/>
    <n v="0.01"/>
    <n v="0"/>
    <n v="0"/>
    <n v="60.060508759959063"/>
  </r>
  <r>
    <s v="BOW US Equity"/>
    <s v="BOWHEAD SPECIALT"/>
    <s v="Financials"/>
    <s v="Insurance"/>
    <x v="23"/>
    <s v="UNITED STATES"/>
    <n v="0.83"/>
    <n v="4.29"/>
    <n v="0"/>
    <n v="43.840691118203878"/>
  </r>
  <r>
    <s v="BOX US Equity"/>
    <s v="BOX INC- CLASS A"/>
    <s v="Technology"/>
    <s v="Software &amp; Tech Services"/>
    <x v="14"/>
    <s v="UNITED STATES"/>
    <n v="3.79"/>
    <n v="3.8"/>
    <n v="0"/>
    <n v="27.21729560575595"/>
  </r>
  <r>
    <s v="BP US Equity"/>
    <s v="BP PLC-ADR"/>
    <s v="Energy"/>
    <s v="Oil &amp; Gas"/>
    <x v="20"/>
    <s v="BRITAIN"/>
    <n v="95.76"/>
    <n v="3.64"/>
    <n v="273975"/>
    <n v="58.019439816577723"/>
  </r>
  <r>
    <s v="BPOP US Equity"/>
    <s v="POPULAR INC"/>
    <s v="Financials"/>
    <s v="Banking"/>
    <x v="26"/>
    <s v="PUERTO RICO"/>
    <n v="8.1300000000000008"/>
    <n v="4.5999999999999996"/>
    <n v="0"/>
    <n v="73.379178842437668"/>
  </r>
  <r>
    <s v="BPRN US Equity"/>
    <s v="PRINCETON BANCOR"/>
    <s v="Financials"/>
    <s v="Banking"/>
    <x v="26"/>
    <s v="UNITED STATES"/>
    <n v="0.25"/>
    <n v="3.67"/>
    <n v="1305364"/>
    <n v="47.857324397164177"/>
  </r>
  <r>
    <s v="BR US Equity"/>
    <s v="BROADRIDGE FINL"/>
    <s v="Financials"/>
    <s v="Financial Services"/>
    <x v="35"/>
    <s v="UNITED STATES"/>
    <n v="24.23"/>
    <n v="4.09"/>
    <n v="0"/>
    <n v="18.783054677358933"/>
  </r>
  <r>
    <s v="BRBR US Equity"/>
    <s v="BELLRING BRANDS"/>
    <s v="Consumer Staples"/>
    <s v="Consumer Staple Products"/>
    <x v="42"/>
    <s v="UNITED STATES"/>
    <n v="3.31"/>
    <n v="4.4400000000000004"/>
    <n v="256657"/>
    <n v="24.098084351578294"/>
  </r>
  <r>
    <s v="BRBS US Equity"/>
    <s v="BLUE RIDGE BNKSH"/>
    <s v="Financials"/>
    <s v="Banking"/>
    <x v="26"/>
    <s v="UNITED STATES"/>
    <n v="0.4"/>
    <n v="0"/>
    <n v="0"/>
    <n v="47.132151067388584"/>
  </r>
  <r>
    <s v="BRC US Equity"/>
    <s v="BRADY CORP - A"/>
    <s v="Industrials"/>
    <s v="Industrial Services"/>
    <x v="15"/>
    <s v="UNITED STATES"/>
    <n v="3.98"/>
    <n v="5"/>
    <n v="0"/>
    <n v="86.805274817520328"/>
  </r>
  <r>
    <s v="BRCB US Equity"/>
    <s v="BLACK ROCK COF-A"/>
    <s v="Consumer Discretionary"/>
    <s v="Consumer Discretionary Services"/>
    <x v="6"/>
    <s v="UNITED STATES"/>
    <n v="0.88"/>
    <n v="4.5"/>
    <n v="0"/>
    <n v="32.957167683222679"/>
  </r>
  <r>
    <s v="BRK/B US Equity"/>
    <s v="BERKSHIRE HATH-B"/>
    <s v="Financials"/>
    <s v="Insurance"/>
    <x v="23"/>
    <s v="UNITED STATES"/>
    <n v="1037.3399999999999"/>
    <n v="3.67"/>
    <n v="0"/>
    <n v="55.983373049589169"/>
  </r>
  <r>
    <s v="BRKR US Equity"/>
    <s v="BRUKER CORP"/>
    <s v="Health Care"/>
    <s v="Health Care"/>
    <x v="9"/>
    <s v="UNITED STATES"/>
    <n v="7.65"/>
    <n v="4"/>
    <n v="0"/>
    <n v="37.302240714488498"/>
  </r>
  <r>
    <s v="BRO US Equity"/>
    <s v="BROWN &amp; BROWN"/>
    <s v="Financials"/>
    <s v="Insurance"/>
    <x v="23"/>
    <s v="UNITED STATES"/>
    <n v="27.03"/>
    <n v="3.22"/>
    <n v="291224"/>
    <n v="27.632714955966549"/>
  </r>
  <r>
    <s v="BROS US Equity"/>
    <s v="DUTCH BROS INC-A"/>
    <s v="Consumer Discretionary"/>
    <s v="Consumer Discretionary Services"/>
    <x v="6"/>
    <s v="UNITED STATES"/>
    <n v="10.039999999999999"/>
    <n v="4.8099999999999996"/>
    <n v="0"/>
    <n v="38.428437045072755"/>
  </r>
  <r>
    <s v="BRR US Equity"/>
    <s v="PROCAP FINANCIAL"/>
    <s v="Financials"/>
    <s v="Financial Services"/>
    <x v="24"/>
    <s v="UNITED STATES"/>
    <n v="0.27"/>
    <n v="0"/>
    <n v="95400"/>
    <n v="40.17287033881923"/>
  </r>
  <r>
    <s v="BRSL US Equity"/>
    <s v="BRIGHTSTAR LOTTE"/>
    <s v="Consumer Discretionary"/>
    <s v="Consumer Discretionary Services"/>
    <x v="6"/>
    <s v="BRITAIN"/>
    <n v="2.68"/>
    <n v="3.88"/>
    <n v="0"/>
    <n v="43.495850072533841"/>
  </r>
  <r>
    <s v="BRX US Equity"/>
    <s v="BRIXMOR PROPERTY"/>
    <s v="Real Estate"/>
    <s v="Real Estate"/>
    <x v="37"/>
    <s v="UNITED STATES"/>
    <n v="8.08"/>
    <n v="4.67"/>
    <n v="0"/>
    <n v="70.075068526161374"/>
  </r>
  <r>
    <s v="BRZE US Equity"/>
    <s v="BRAZE INC-A"/>
    <s v="Technology"/>
    <s v="Software &amp; Tech Services"/>
    <x v="14"/>
    <s v="UNITED STATES"/>
    <n v="2.82"/>
    <n v="4.95"/>
    <n v="0"/>
    <n v="23.426752206926651"/>
  </r>
  <r>
    <s v="BSAC US Equity"/>
    <s v="BANCO SANTAN-ADR"/>
    <s v="Financials"/>
    <s v="Banking"/>
    <x v="26"/>
    <s v="CHILE"/>
    <n v="17.04"/>
    <n v="2.82"/>
    <n v="0"/>
    <n v="62.084397249453062"/>
  </r>
  <r>
    <s v="BSBK US Equity"/>
    <s v="BOGOTA FINANCIAL"/>
    <s v="Financials"/>
    <s v="Banking"/>
    <x v="26"/>
    <s v="UNITED STATES"/>
    <n v="0.11"/>
    <n v="0"/>
    <n v="31920"/>
    <n v="52.265699314794659"/>
  </r>
  <r>
    <s v="BSBR US Equity"/>
    <s v="BANCO SANTANDER"/>
    <s v="Financials"/>
    <s v="Banking"/>
    <x v="26"/>
    <s v="BRAZIL"/>
    <n v="25.25"/>
    <n v="4"/>
    <n v="0"/>
    <n v="63.224763466459926"/>
  </r>
  <r>
    <s v="BSX US Equity"/>
    <s v="BOSTON SCIENTIFC"/>
    <s v="Health Care"/>
    <s v="Health Care"/>
    <x v="9"/>
    <s v="UNITED STATES"/>
    <n v="137.13999999999999"/>
    <n v="4.8899999999999997"/>
    <n v="0"/>
    <n v="22.051634370590591"/>
  </r>
  <r>
    <s v="BSY US Equity"/>
    <s v="BENTLEY SYSTEM-B"/>
    <s v="Technology"/>
    <s v="Software &amp; Tech Services"/>
    <x v="14"/>
    <s v="UNITED STATES"/>
    <n v="12.96"/>
    <n v="4.13"/>
    <n v="0"/>
    <n v="37.726839229921204"/>
  </r>
  <r>
    <s v="BTBT US Equity"/>
    <s v="BIT DIGITAL INC"/>
    <s v="Financials"/>
    <s v="Financial Services"/>
    <x v="24"/>
    <s v="UNITED STATES"/>
    <n v="0.68"/>
    <n v="5"/>
    <n v="0"/>
    <n v="39.756169177883812"/>
  </r>
  <r>
    <s v="BTCS US Equity"/>
    <s v="BTCS INC"/>
    <s v="Financials"/>
    <s v="Financial Services"/>
    <x v="35"/>
    <s v="UNITED STATES"/>
    <n v="0.13"/>
    <n v="5"/>
    <n v="241635"/>
    <n v="22.009861157894647"/>
  </r>
  <r>
    <s v="BTDR US Equity"/>
    <s v="BITDEER TECHNOLO"/>
    <s v="Financials"/>
    <s v="Financial Services"/>
    <x v="24"/>
    <s v="SINGAPORE"/>
    <n v="3.43"/>
    <n v="5"/>
    <n v="0"/>
    <n v="44.653128495463108"/>
  </r>
  <r>
    <s v="BTE US Equity"/>
    <s v="BAYTEX ENERGY CO"/>
    <s v="Energy"/>
    <s v="Oil &amp; Gas"/>
    <x v="20"/>
    <s v="CANADA"/>
    <n v="2.5499999999999998"/>
    <n v="3.91"/>
    <n v="412842"/>
    <n v="61.992700306903565"/>
  </r>
  <r>
    <s v="BTG US Equity"/>
    <s v="B2GOLD CORP"/>
    <s v="Materials"/>
    <s v="Materials"/>
    <x v="22"/>
    <s v="CANADA"/>
    <n v="7.08"/>
    <n v="3.92"/>
    <n v="45864"/>
    <n v="63.100020493041626"/>
  </r>
  <r>
    <s v="BTI US Equity"/>
    <s v="BRIT AMER TO-ADR"/>
    <s v="Consumer Staples"/>
    <s v="Consumer Staple Products"/>
    <x v="28"/>
    <s v="BRITAIN"/>
    <n v="128.94"/>
    <n v="3.86"/>
    <n v="0"/>
    <n v="56.116825468728017"/>
  </r>
  <r>
    <s v="BTQ US Equity"/>
    <s v="BTQ TECHNOLOGIES"/>
    <s v="Technology"/>
    <s v="Software &amp; Tech Services"/>
    <x v="34"/>
    <s v="CANADA"/>
    <n v="0.65"/>
    <n v="5"/>
    <n v="1023725"/>
    <n v="32.277544984017638"/>
  </r>
  <r>
    <s v="BTSG US Equity"/>
    <s v="BRIGHTSPRING HEA"/>
    <s v="Health Care"/>
    <s v="Health Care"/>
    <x v="31"/>
    <s v="UNITED STATES"/>
    <n v="7.15"/>
    <n v="4.9400000000000004"/>
    <n v="0"/>
    <n v="56.020213514125373"/>
  </r>
  <r>
    <s v="BTU US Equity"/>
    <s v="PEABODY ENERGY"/>
    <s v="Materials"/>
    <s v="Materials"/>
    <x v="22"/>
    <s v="UNITED STATES"/>
    <n v="4.62"/>
    <n v="4.71"/>
    <n v="0"/>
    <n v="57.123046236775984"/>
  </r>
  <r>
    <s v="BUD US Equity"/>
    <s v="ANHEUSER-SPN ADR"/>
    <s v="Consumer Staples"/>
    <s v="Consumer Staple Products"/>
    <x v="11"/>
    <s v="BELGIUM"/>
    <n v="141.1"/>
    <n v="4.5"/>
    <n v="0"/>
    <n v="85.447280365284342"/>
  </r>
  <r>
    <s v="BULL US Equity"/>
    <s v="WEBULL CORP"/>
    <s v="Financials"/>
    <s v="Financial Services"/>
    <x v="24"/>
    <s v="UNITED STATES"/>
    <n v="3.88"/>
    <n v="5"/>
    <n v="0"/>
    <n v="32.363311381088437"/>
  </r>
  <r>
    <s v="BUR US Equity"/>
    <s v="BURFORD CAPITAL"/>
    <s v="Financials"/>
    <s v="Financial Services"/>
    <x v="35"/>
    <s v="UNITED STATES"/>
    <n v="2.13"/>
    <n v="5"/>
    <n v="0"/>
    <n v="44.618871246847029"/>
  </r>
  <r>
    <s v="BURL US Equity"/>
    <s v="BURLINGTON STORE"/>
    <s v="Consumer Discretionary"/>
    <s v="Retail &amp; Whsle - Discretionary"/>
    <x v="10"/>
    <s v="UNITED STATES"/>
    <n v="18.75"/>
    <n v="4.5599999999999996"/>
    <n v="0"/>
    <n v="55.238722045224286"/>
  </r>
  <r>
    <s v="BUSE US Equity"/>
    <s v="FIRST BUSEY CORP"/>
    <s v="Financials"/>
    <s v="Banking"/>
    <x v="26"/>
    <s v="UNITED STATES"/>
    <n v="2.1800000000000002"/>
    <n v="4.1399999999999997"/>
    <n v="307625"/>
    <n v="60.855681193039132"/>
  </r>
  <r>
    <s v="BUUU US Equity"/>
    <s v="BUUU GROUP LT-A"/>
    <s v="Industrials"/>
    <s v="Industrial Services"/>
    <x v="15"/>
    <s v="HONG KONG"/>
    <n v="0.13"/>
    <n v="0"/>
    <n v="0"/>
    <n v="63.587895101600509"/>
  </r>
  <r>
    <s v="BUZZ US Equity"/>
    <s v="V/E SOCIAL SENT"/>
    <s v="Financials"/>
    <s v="Financial Services"/>
    <x v="24"/>
    <s v="UNITED STATES"/>
    <n v="0.11"/>
    <n v="0"/>
    <n v="0"/>
    <n v="38.864303270540404"/>
  </r>
  <r>
    <s v="BV US Equity"/>
    <s v="BRIGHTVIEW HOLDI"/>
    <s v="Industrials"/>
    <s v="Industrial Services"/>
    <x v="15"/>
    <s v="UNITED STATES"/>
    <n v="1.25"/>
    <n v="3.9"/>
    <n v="132100"/>
    <n v="61.432520242475221"/>
  </r>
  <r>
    <s v="BVN US Equity"/>
    <s v="BUENAVENTURA-ADR"/>
    <s v="Materials"/>
    <s v="Materials"/>
    <x v="22"/>
    <s v="PERU"/>
    <n v="10.210000000000001"/>
    <n v="3.18"/>
    <n v="0"/>
    <n v="66.867767239266627"/>
  </r>
  <r>
    <s v="BVS US Equity"/>
    <s v="BIOVENTUS - A"/>
    <s v="Health Care"/>
    <s v="Health Care"/>
    <x v="9"/>
    <s v="UNITED STATES"/>
    <n v="0.66"/>
    <n v="5"/>
    <n v="0"/>
    <n v="52.687519034155088"/>
  </r>
  <r>
    <s v="BW US Equity"/>
    <s v="BABCOCK &amp; WILCOX"/>
    <s v="Industrials"/>
    <s v="Industrial Products"/>
    <x v="4"/>
    <s v="UNITED STATES"/>
    <n v="1.05"/>
    <n v="4.5"/>
    <n v="617794"/>
    <n v="56.398150833415329"/>
  </r>
  <r>
    <s v="BWA US Equity"/>
    <s v="BORGWARNER INC"/>
    <s v="Consumer Discretionary"/>
    <s v="Consumer Discretionary Products"/>
    <x v="8"/>
    <s v="UNITED STATES"/>
    <n v="10.210000000000001"/>
    <n v="3.75"/>
    <n v="0"/>
    <n v="89.501747377229123"/>
  </r>
  <r>
    <s v="BWAY US Equity"/>
    <s v="BRAINSWAY-ADR"/>
    <s v="Health Care"/>
    <s v="Health Care"/>
    <x v="9"/>
    <s v="ISRAEL"/>
    <n v="0.45"/>
    <n v="5"/>
    <n v="0"/>
    <n v="56.035879687958108"/>
  </r>
  <r>
    <s v="BWB US Equity"/>
    <s v="BRIDGEWATER BANC"/>
    <s v="Financials"/>
    <s v="Banking"/>
    <x v="26"/>
    <s v="UNITED STATES"/>
    <n v="0.5"/>
    <n v="4.5"/>
    <n v="548723"/>
    <n v="54.959508439733824"/>
  </r>
  <r>
    <s v="BWEN US Equity"/>
    <s v="BROADWIND INC"/>
    <s v="Energy"/>
    <s v="Renewable Energy"/>
    <x v="45"/>
    <s v="UNITED STATES"/>
    <n v="7.0000000000000007E-2"/>
    <n v="5"/>
    <n v="0"/>
    <n v="37.384265574484637"/>
  </r>
  <r>
    <s v="BWFG US Equity"/>
    <s v="BANKWELL FINANCI"/>
    <s v="Financials"/>
    <s v="Banking"/>
    <x v="26"/>
    <s v="UNITED STATES"/>
    <n v="0.37"/>
    <n v="3.67"/>
    <n v="2071869"/>
    <n v="48.841838049257177"/>
  </r>
  <r>
    <s v="BWIN US Equity"/>
    <s v="BALDWIN INSURANC"/>
    <s v="Financials"/>
    <s v="Insurance"/>
    <x v="23"/>
    <s v="UNITED STATES"/>
    <n v="3.57"/>
    <n v="4.1100000000000003"/>
    <n v="251300"/>
    <n v="22.390454409569955"/>
  </r>
  <r>
    <s v="BWLP US Equity"/>
    <s v="BW LPG LTD"/>
    <s v="Industrials"/>
    <s v="Industrial Services"/>
    <x v="12"/>
    <s v="SINGAPORE"/>
    <n v="2.2599999999999998"/>
    <n v="4.5599999999999996"/>
    <n v="0"/>
    <n v="74.911988119732058"/>
  </r>
  <r>
    <s v="BWMN US Equity"/>
    <s v="BOWMAN CONSULTIN"/>
    <s v="Industrials"/>
    <s v="Industrial Services"/>
    <x v="27"/>
    <s v="UNITED STATES"/>
    <n v="0.62"/>
    <n v="4.75"/>
    <n v="0"/>
    <n v="54.016659285044042"/>
  </r>
  <r>
    <s v="BWXT US Equity"/>
    <s v="BWX TECHNOLOGIES"/>
    <s v="Industrials"/>
    <s v="Industrial Products"/>
    <x v="4"/>
    <s v="UNITED STATES"/>
    <n v="18.989999999999998"/>
    <n v="4.1399999999999997"/>
    <n v="0"/>
    <n v="49.188603448763914"/>
  </r>
  <r>
    <s v="BX US Equity"/>
    <s v="BLACKSTONE INC"/>
    <s v="Financials"/>
    <s v="Financial Services"/>
    <x v="24"/>
    <s v="UNITED STATES"/>
    <n v="186.08"/>
    <n v="3.88"/>
    <n v="4174917"/>
    <n v="37.173579103634054"/>
  </r>
  <r>
    <s v="BXC US Equity"/>
    <s v="BLUELINX HOLDING"/>
    <s v="Consumer Discretionary"/>
    <s v="Retail &amp; Whsle - Discretionary"/>
    <x v="10"/>
    <s v="UNITED STATES"/>
    <n v="0.57999999999999996"/>
    <n v="4.5"/>
    <n v="0"/>
    <n v="63.44530520090693"/>
  </r>
  <r>
    <s v="BXSL US Equity"/>
    <s v="BLACKSTONE SECUR"/>
    <s v="Financials"/>
    <s v="Financial Services"/>
    <x v="24"/>
    <s v="UNITED STATES"/>
    <n v="6.04"/>
    <n v="4.33"/>
    <n v="52220"/>
    <n v="44.991055604403947"/>
  </r>
  <r>
    <s v="BY US Equity"/>
    <s v="BYLINE BANCORP I"/>
    <s v="Financials"/>
    <s v="Banking"/>
    <x v="26"/>
    <s v="UNITED STATES"/>
    <n v="1.41"/>
    <n v="4"/>
    <n v="3869"/>
    <n v="60.522194330541417"/>
  </r>
  <r>
    <s v="BYD US Equity"/>
    <s v="BOYD GAMING CORP"/>
    <s v="Consumer Discretionary"/>
    <s v="Consumer Discretionary Services"/>
    <x v="6"/>
    <s v="UNITED STATES"/>
    <n v="6.55"/>
    <n v="3.78"/>
    <n v="0"/>
    <n v="45.524775946201757"/>
  </r>
  <r>
    <s v="BYRN US Equity"/>
    <s v="BYRNA TECHNOLOGI"/>
    <s v="Industrials"/>
    <s v="Industrial Products"/>
    <x v="32"/>
    <s v="UNITED STATES"/>
    <n v="0.36"/>
    <n v="5"/>
    <n v="0"/>
    <n v="38.461296446757181"/>
  </r>
  <r>
    <s v="BZ US Equity"/>
    <s v="KANZHUN LTD"/>
    <s v="Communications"/>
    <s v="Media"/>
    <x v="13"/>
    <s v="CHINA"/>
    <n v="9.31"/>
    <n v="4.76"/>
    <n v="0"/>
    <n v="42.822500457217956"/>
  </r>
  <r>
    <s v="BZH US Equity"/>
    <s v="BEAZER HOMES USA"/>
    <s v="Consumer Discretionary"/>
    <s v="Consumer Discretionary Products"/>
    <x v="50"/>
    <s v="UNITED STATES"/>
    <n v="0.7"/>
    <n v="3.8"/>
    <n v="0"/>
    <n v="69.2792702889613"/>
  </r>
  <r>
    <s v="BZU IM Equity"/>
    <s v="BUZZI SPA"/>
    <s v="Materials"/>
    <s v="Materials"/>
    <x v="48"/>
    <s v="ITALY"/>
    <n v="11.27"/>
    <n v="3.5"/>
    <n v="0"/>
    <n v="54.096930783377999"/>
  </r>
  <r>
    <s v="C US Equity"/>
    <s v="CITIGROUP INC"/>
    <s v="Financials"/>
    <s v="Banking"/>
    <x v="26"/>
    <s v="UNITED STATES"/>
    <n v="203.24"/>
    <n v="4.4800000000000004"/>
    <n v="0"/>
    <n v="51.328955545953903"/>
  </r>
  <r>
    <s v="CAAP US Equity"/>
    <s v="CORP AMERICA AIR"/>
    <s v="Industrials"/>
    <s v="Industrial Services"/>
    <x v="12"/>
    <s v="ARGENTINA"/>
    <n v="4.5999999999999996"/>
    <n v="4.71"/>
    <n v="0"/>
    <n v="62.4473809491395"/>
  </r>
  <r>
    <s v="CAAS US Equity"/>
    <s v="CHINA AUTOMOTIVE"/>
    <s v="Consumer Discretionary"/>
    <s v="Consumer Discretionary Products"/>
    <x v="8"/>
    <s v="CHINA"/>
    <n v="0.14000000000000001"/>
    <n v="0"/>
    <n v="0"/>
    <n v="56.81678599452583"/>
  </r>
  <r>
    <s v="CABA US Equity"/>
    <s v="CABALETTA BIO IN"/>
    <s v="Health Care"/>
    <s v="Health Care"/>
    <x v="25"/>
    <s v="UNITED STATES"/>
    <n v="0.31"/>
    <n v="4.5999999999999996"/>
    <n v="419992"/>
    <n v="52.223324131600933"/>
  </r>
  <r>
    <s v="CABO US Equity"/>
    <s v="CABLE ONE INC"/>
    <s v="Communications"/>
    <s v="Media"/>
    <x v="61"/>
    <s v="UNITED STATES"/>
    <n v="0.45"/>
    <n v="3"/>
    <n v="0"/>
    <n v="64.537034819300985"/>
  </r>
  <r>
    <s v="CAC US Equity"/>
    <s v="CAMDEN NATIONAL"/>
    <s v="Financials"/>
    <s v="Banking"/>
    <x v="26"/>
    <s v="UNITED STATES"/>
    <n v="0.77"/>
    <n v="4"/>
    <n v="0"/>
    <n v="62.452472927363509"/>
  </r>
  <r>
    <s v="CACC US Equity"/>
    <s v="CREDIT ACCEPTANC"/>
    <s v="Financials"/>
    <s v="Financial Services"/>
    <x v="35"/>
    <s v="UNITED STATES"/>
    <n v="4.91"/>
    <n v="3"/>
    <n v="0"/>
    <n v="62.319300856192442"/>
  </r>
  <r>
    <s v="CACI US Equity"/>
    <s v="CACI INTL-A"/>
    <s v="Technology"/>
    <s v="Software &amp; Tech Services"/>
    <x v="34"/>
    <s v="UNITED STATES"/>
    <n v="14.62"/>
    <n v="4.5999999999999996"/>
    <n v="0"/>
    <n v="39.329283155829408"/>
  </r>
  <r>
    <s v="CAE US Equity"/>
    <s v="CAE INC"/>
    <s v="Industrials"/>
    <s v="Industrial Products"/>
    <x v="32"/>
    <s v="CANADA"/>
    <n v="10.67"/>
    <n v="4.29"/>
    <n v="222306"/>
    <n v="48.253106489467143"/>
  </r>
  <r>
    <s v="CAEP US Equity"/>
    <s v="CANTOR EQUITY-A"/>
    <s v="Financials"/>
    <s v="Financial Services"/>
    <x v="24"/>
    <s v="UNITED STATES"/>
    <n v="0.36"/>
    <n v="0"/>
    <n v="5933400"/>
    <n v="49.262675520631994"/>
  </r>
  <r>
    <s v="CAG US Equity"/>
    <s v="CONAGRA BRANDS I"/>
    <s v="Consumer Staples"/>
    <s v="Consumer Staple Products"/>
    <x v="42"/>
    <s v="UNITED STATES"/>
    <n v="8.3699999999999992"/>
    <n v="3"/>
    <n v="175000"/>
    <n v="72.187833431496713"/>
  </r>
  <r>
    <s v="CAH US Equity"/>
    <s v="CARDINAL HEALTH"/>
    <s v="Health Care"/>
    <s v="Health Care"/>
    <x v="31"/>
    <s v="UNITED STATES"/>
    <n v="49.5"/>
    <n v="4.58"/>
    <n v="0"/>
    <n v="60.513554320137835"/>
  </r>
  <r>
    <s v="CAI US Equity"/>
    <s v="CARIS LIFE SCIEN"/>
    <s v="Health Care"/>
    <s v="Health Care"/>
    <x v="9"/>
    <s v="UNITED STATES"/>
    <n v="7.05"/>
    <n v="4.8"/>
    <n v="114600"/>
    <n v="32.012193274437891"/>
  </r>
  <r>
    <s v="CAKE US Equity"/>
    <s v="CHEESECAKE FACTO"/>
    <s v="Consumer Discretionary"/>
    <s v="Consumer Discretionary Services"/>
    <x v="6"/>
    <s v="UNITED STATES"/>
    <n v="2.93"/>
    <n v="3.52"/>
    <n v="0"/>
    <n v="60.550096319866903"/>
  </r>
  <r>
    <s v="CAL US Equity"/>
    <s v="CALERES INC"/>
    <s v="Consumer Discretionary"/>
    <s v="Retail &amp; Whsle - Discretionary"/>
    <x v="10"/>
    <s v="UNITED STATES"/>
    <n v="0.43"/>
    <n v="3.67"/>
    <n v="0"/>
    <n v="41.015653979689958"/>
  </r>
  <r>
    <s v="CALC US Equity"/>
    <s v="CALCIMEDICA INC"/>
    <s v="Health Care"/>
    <s v="Health Care"/>
    <x v="25"/>
    <s v="UNITED STATES"/>
    <n v="0.08"/>
    <n v="5"/>
    <n v="278075"/>
    <n v="20.990996513786982"/>
  </r>
  <r>
    <s v="CALM US Equity"/>
    <s v="CAL-MAINE FOODS"/>
    <s v="Consumer Staples"/>
    <s v="Consumer Staple Products"/>
    <x v="42"/>
    <s v="UNITED STATES"/>
    <n v="4.29"/>
    <n v="3.8"/>
    <n v="225400"/>
    <n v="54.632979957860591"/>
  </r>
  <r>
    <s v="CALX US Equity"/>
    <s v="CALIX INC"/>
    <s v="Technology"/>
    <s v="Software &amp; Tech Services"/>
    <x v="14"/>
    <s v="UNITED STATES"/>
    <n v="3.59"/>
    <n v="4.71"/>
    <n v="0"/>
    <n v="49.359659315672985"/>
  </r>
  <r>
    <s v="CALY US Equity"/>
    <s v="CALLAWAY GOLF CO"/>
    <s v="Consumer Discretionary"/>
    <s v="Consumer Discretionary Products"/>
    <x v="55"/>
    <s v="UNITED STATES"/>
    <n v="2.87"/>
    <n v="3.92"/>
    <n v="0"/>
    <n v="61.130930389593878"/>
  </r>
  <r>
    <s v="CAMP US Equity"/>
    <s v="CAMP4 THERAPEUTI"/>
    <s v="Health Care"/>
    <s v="Health Care"/>
    <x v="25"/>
    <s v="UNITED STATES"/>
    <n v="0.21"/>
    <n v="4.67"/>
    <n v="133657"/>
    <n v="52.976108418304548"/>
  </r>
  <r>
    <s v="CAMT US Equity"/>
    <s v="CAMTEK LTD"/>
    <s v="Technology"/>
    <s v="Tech Hardware &amp; Semiconductors"/>
    <x v="17"/>
    <s v="ISRAEL"/>
    <n v="6.57"/>
    <n v="4.43"/>
    <n v="0"/>
    <n v="66.181081138929216"/>
  </r>
  <r>
    <s v="CAN LN Equity"/>
    <s v="CANAL+SA"/>
    <s v="Communications"/>
    <s v="Media"/>
    <x v="47"/>
    <s v="FRANCE"/>
    <n v="3.63"/>
    <n v="4.5999999999999996"/>
    <n v="166627"/>
    <n v="61.436855082099449"/>
  </r>
  <r>
    <s v="CANG US Equity"/>
    <s v="CANGO INC/KY-A"/>
    <s v="Financials"/>
    <s v="Financial Services"/>
    <x v="24"/>
    <s v="CHINA"/>
    <n v="0.49"/>
    <n v="5"/>
    <n v="0"/>
    <n v="24.729258233650896"/>
  </r>
  <r>
    <s v="CAPR US Equity"/>
    <s v="CAPRICOR THERAPE"/>
    <s v="Health Care"/>
    <s v="Health Care"/>
    <x v="25"/>
    <s v="UNITED STATES"/>
    <n v="1.2"/>
    <n v="5"/>
    <n v="0"/>
    <n v="51.081926341599569"/>
  </r>
  <r>
    <s v="CAR US Equity"/>
    <s v="AVIS BUDGET GROU"/>
    <s v="Consumer Discretionary"/>
    <s v="Retail &amp; Whsle - Discretionary"/>
    <x v="10"/>
    <s v="UNITED STATES"/>
    <n v="4.28"/>
    <n v="3"/>
    <n v="0"/>
    <n v="41.540157161975046"/>
  </r>
  <r>
    <s v="CARE US Equity"/>
    <s v="CARTER BANKSHARE"/>
    <s v="Financials"/>
    <s v="Banking"/>
    <x v="26"/>
    <s v="UNITED STATES"/>
    <n v="0.45"/>
    <n v="5"/>
    <n v="0"/>
    <n v="62.802762231008884"/>
  </r>
  <r>
    <s v="CARG US Equity"/>
    <s v="CARGURUS INC"/>
    <s v="Communications"/>
    <s v="Media"/>
    <x v="13"/>
    <s v="UNITED STATES"/>
    <n v="3.27"/>
    <n v="4.07"/>
    <n v="0"/>
    <n v="14.571679619545677"/>
  </r>
  <r>
    <s v="CARL US Equity"/>
    <s v="CARLSMED INC"/>
    <s v="Technology"/>
    <s v="Software &amp; Tech Services"/>
    <x v="14"/>
    <s v="UNITED STATES"/>
    <n v="0.35"/>
    <n v="5"/>
    <n v="7144174"/>
    <n v="39.372669382097207"/>
  </r>
  <r>
    <s v="CARR US Equity"/>
    <s v="CARRIER GLOB"/>
    <s v="Industrials"/>
    <s v="Industrial Products"/>
    <x v="4"/>
    <s v="UNITED STATES"/>
    <n v="48.26"/>
    <n v="4.1100000000000003"/>
    <n v="1105890"/>
    <n v="83.588951791302122"/>
  </r>
  <r>
    <s v="CARS US Equity"/>
    <s v="CARS.COM INC"/>
    <s v="Communications"/>
    <s v="Media"/>
    <x v="13"/>
    <s v="UNITED STATES"/>
    <n v="0.71"/>
    <n v="4.1399999999999997"/>
    <n v="0"/>
    <n v="34.972647143048576"/>
  </r>
  <r>
    <s v="CART US Equity"/>
    <s v="MAPLEBEAR INC"/>
    <s v="Communications"/>
    <s v="Media"/>
    <x v="13"/>
    <s v="UNITED STATES"/>
    <n v="10.48"/>
    <n v="3.78"/>
    <n v="0"/>
    <n v="26.640074848586806"/>
  </r>
  <r>
    <s v="CASH US Equity"/>
    <s v="PATHWARD FINANCI"/>
    <s v="Financials"/>
    <s v="Banking"/>
    <x v="26"/>
    <s v="UNITED STATES"/>
    <n v="1.9"/>
    <n v="4"/>
    <n v="0"/>
    <n v="63.8573522746481"/>
  </r>
  <r>
    <s v="CASS US Equity"/>
    <s v="CASS INFORMATION"/>
    <s v="Financials"/>
    <s v="Financial Services"/>
    <x v="35"/>
    <s v="UNITED STATES"/>
    <n v="0.56999999999999995"/>
    <n v="5"/>
    <n v="75548"/>
    <n v="57.373810040819968"/>
  </r>
  <r>
    <s v="CASY US Equity"/>
    <s v="CASEY'S GENERAL"/>
    <s v="Consumer Staples"/>
    <s v="Retail &amp; Wholesale - Staples"/>
    <x v="33"/>
    <s v="UNITED STATES"/>
    <n v="23.1"/>
    <n v="4.16"/>
    <n v="186999"/>
    <n v="65.534171092523536"/>
  </r>
  <r>
    <s v="CAT US Equity"/>
    <s v="CATERPILLAR INC"/>
    <s v="Industrials"/>
    <s v="Industrial Products"/>
    <x v="3"/>
    <s v="UNITED STATES"/>
    <n v="293.25"/>
    <n v="3.96"/>
    <n v="187986"/>
    <n v="77.675403794797688"/>
  </r>
  <r>
    <s v="CATY US Equity"/>
    <s v="CATHAY GENERAL B"/>
    <s v="Financials"/>
    <s v="Banking"/>
    <x v="26"/>
    <s v="UNITED STATES"/>
    <n v="3.45"/>
    <n v="3"/>
    <n v="0"/>
    <n v="59.143226297787187"/>
  </r>
  <r>
    <s v="CAVA US Equity"/>
    <s v="CAVA GROUP INC"/>
    <s v="Consumer Discretionary"/>
    <s v="Consumer Discretionary Services"/>
    <x v="6"/>
    <s v="UNITED STATES"/>
    <n v="7.69"/>
    <n v="4.2"/>
    <n v="9948"/>
    <n v="54.776944860173046"/>
  </r>
  <r>
    <s v="CB US Equity"/>
    <s v="CHUBB LTD"/>
    <s v="Financials"/>
    <s v="Insurance"/>
    <x v="23"/>
    <s v="SWITZERLAND"/>
    <n v="118.42"/>
    <n v="3.75"/>
    <n v="127887"/>
    <n v="71.250136625690587"/>
  </r>
  <r>
    <s v="CBAN US Equity"/>
    <s v="COLONY BANKCORP"/>
    <s v="Financials"/>
    <s v="Banking"/>
    <x v="26"/>
    <s v="UNITED STATES"/>
    <n v="0.4"/>
    <n v="4"/>
    <n v="223408"/>
    <n v="69.358179609561063"/>
  </r>
  <r>
    <s v="CBC US Equity"/>
    <s v="CENTRAL BANCOMPA"/>
    <s v="Financials"/>
    <s v="Banking"/>
    <x v="26"/>
    <s v="UNITED STATES"/>
    <n v="5.78"/>
    <n v="4.5999999999999996"/>
    <n v="5788121"/>
    <n v="48.144741270544337"/>
  </r>
  <r>
    <s v="CBFV US Equity"/>
    <s v="CB FINANCIAL SER"/>
    <s v="Financials"/>
    <s v="Banking"/>
    <x v="26"/>
    <s v="UNITED STATES"/>
    <n v="0.18"/>
    <n v="4"/>
    <n v="35630"/>
    <n v="62.747373254254128"/>
  </r>
  <r>
    <s v="CBL US Equity"/>
    <s v="CBL &amp; ASSOC PROP"/>
    <s v="Real Estate"/>
    <s v="Real Estate"/>
    <x v="37"/>
    <s v="UNITED STATES"/>
    <n v="1.0900000000000001"/>
    <n v="5"/>
    <n v="142600"/>
    <n v="43.962520402484962"/>
  </r>
  <r>
    <s v="CBLL US Equity"/>
    <s v="CERIBELL INC"/>
    <s v="Health Care"/>
    <s v="Health Care"/>
    <x v="9"/>
    <s v="UNITED STATES"/>
    <n v="0.83"/>
    <n v="5"/>
    <n v="0"/>
    <n v="47.126403307387896"/>
  </r>
  <r>
    <s v="CBNA US Equity"/>
    <s v="CHAIN BRIDGE BAN"/>
    <s v="Financials"/>
    <s v="Banking"/>
    <x v="26"/>
    <s v="UNITED STATES"/>
    <n v="0.22"/>
    <n v="3"/>
    <n v="27639"/>
    <n v="50.26958334079913"/>
  </r>
  <r>
    <s v="CBNK US Equity"/>
    <s v="CAPITAL BANCORP"/>
    <s v="Financials"/>
    <s v="Banking"/>
    <x v="26"/>
    <s v="UNITED STATES"/>
    <n v="0.49"/>
    <n v="4.5"/>
    <n v="17616"/>
    <n v="58.23535989738842"/>
  </r>
  <r>
    <s v="CBOE US Equity"/>
    <s v="CBOE GLOBAL MARK"/>
    <s v="Financials"/>
    <s v="Financial Services"/>
    <x v="49"/>
    <s v="UNITED STATES"/>
    <n v="28.92"/>
    <n v="3"/>
    <n v="0"/>
    <n v="51.210032135248191"/>
  </r>
  <r>
    <s v="CBRE US Equity"/>
    <s v="CBRE GROUP INC-A"/>
    <s v="Real Estate"/>
    <s v="Real Estate"/>
    <x v="7"/>
    <s v="UNITED STATES"/>
    <n v="50.36"/>
    <n v="4.43"/>
    <n v="0"/>
    <n v="30.019038016163208"/>
  </r>
  <r>
    <s v="CBRL US Equity"/>
    <s v="CRACKER BARREL"/>
    <s v="Consumer Discretionary"/>
    <s v="Consumer Discretionary Services"/>
    <x v="6"/>
    <s v="UNITED STATES"/>
    <n v="0.67"/>
    <n v="2.82"/>
    <n v="0"/>
    <n v="55.981019236436424"/>
  </r>
  <r>
    <s v="CBSH US Equity"/>
    <s v="COMMERCE BCSHS"/>
    <s v="Financials"/>
    <s v="Banking"/>
    <x v="26"/>
    <s v="UNITED STATES"/>
    <n v="7.92"/>
    <n v="3"/>
    <n v="0"/>
    <n v="57.530846734202797"/>
  </r>
  <r>
    <s v="CBT US Equity"/>
    <s v="CABOT CORP"/>
    <s v="Materials"/>
    <s v="Materials"/>
    <x v="21"/>
    <s v="UNITED STATES"/>
    <n v="3.86"/>
    <n v="3.4"/>
    <n v="0"/>
    <n v="60.339375090179978"/>
  </r>
  <r>
    <s v="CBU US Equity"/>
    <s v="COMMUNITY FINANC"/>
    <s v="Financials"/>
    <s v="Banking"/>
    <x v="26"/>
    <s v="UNITED STATES"/>
    <n v="3.26"/>
    <n v="3.4"/>
    <n v="0"/>
    <n v="67.791281980657317"/>
  </r>
  <r>
    <s v="CBZ US Equity"/>
    <s v="CBIZ INC"/>
    <s v="Industrials"/>
    <s v="Industrial Services"/>
    <x v="15"/>
    <s v="UNITED STATES"/>
    <n v="2.23"/>
    <n v="4.25"/>
    <n v="231377"/>
    <n v="19.831082793132893"/>
  </r>
  <r>
    <s v="CC US Equity"/>
    <s v="CHEMOURS CO"/>
    <s v="Materials"/>
    <s v="Materials"/>
    <x v="21"/>
    <s v="UNITED STATES"/>
    <n v="2.36"/>
    <n v="3.91"/>
    <n v="64071"/>
    <n v="79.653031134947469"/>
  </r>
  <r>
    <s v="CCAP US Equity"/>
    <s v="CRESCENT CAPITAL"/>
    <s v="Financials"/>
    <s v="Financial Services"/>
    <x v="24"/>
    <s v="UNITED STATES"/>
    <n v="0.54"/>
    <n v="4.71"/>
    <n v="79061"/>
    <n v="50.513015044157321"/>
  </r>
  <r>
    <s v="CCB US Equity"/>
    <s v="COASTAL FINANCIA"/>
    <s v="Financials"/>
    <s v="Banking"/>
    <x v="26"/>
    <s v="UNITED STATES"/>
    <n v="1.68"/>
    <n v="5"/>
    <n v="0"/>
    <n v="29.016323468040554"/>
  </r>
  <r>
    <s v="CCBG US Equity"/>
    <s v="CAP CITY BANK"/>
    <s v="Financials"/>
    <s v="Banking"/>
    <x v="26"/>
    <s v="UNITED STATES"/>
    <n v="0.76"/>
    <n v="4.33"/>
    <n v="0"/>
    <n v="46.46087789248692"/>
  </r>
  <r>
    <s v="CCC US Equity"/>
    <s v="CCC INTELLIGENT"/>
    <s v="Technology"/>
    <s v="Software &amp; Tech Services"/>
    <x v="14"/>
    <s v="UNITED STATES"/>
    <n v="5.0599999999999996"/>
    <n v="4.21"/>
    <n v="1077354"/>
    <n v="14.689089465937258"/>
  </r>
  <r>
    <s v="CCCX US Equity"/>
    <s v="CHURCHILL CAPI-A"/>
    <s v="Financials"/>
    <s v="Financial Services"/>
    <x v="24"/>
    <s v="UNITED STATES"/>
    <n v="0.9"/>
    <n v="0"/>
    <n v="0"/>
    <n v="48.396601458884959"/>
  </r>
  <r>
    <s v="CCEC US Equity"/>
    <s v="CAPITAL CLEAN EN"/>
    <s v="Industrials"/>
    <s v="Industrial Services"/>
    <x v="12"/>
    <s v="GREECE"/>
    <n v="1.27"/>
    <n v="4.71"/>
    <n v="0"/>
    <n v="47.232140237646391"/>
  </r>
  <r>
    <s v="CCEP US Equity"/>
    <s v="COCA-COLA EUROPA"/>
    <s v="Consumer Staples"/>
    <s v="Consumer Staple Products"/>
    <x v="11"/>
    <s v="BRITAIN"/>
    <n v="40.56"/>
    <n v="4"/>
    <n v="0"/>
    <n v="73.18957644382985"/>
  </r>
  <r>
    <s v="CCI US Equity"/>
    <s v="CROWN CASTLE INC"/>
    <s v="Real Estate"/>
    <s v="Real Estate"/>
    <x v="37"/>
    <s v="UNITED STATES"/>
    <n v="37.71"/>
    <n v="3.95"/>
    <n v="0"/>
    <n v="50.972615102899766"/>
  </r>
  <r>
    <s v="CCIX US Equity"/>
    <s v="CHURCHILL CAPITA"/>
    <s v="Financials"/>
    <s v="Financial Services"/>
    <x v="24"/>
    <s v="UNITED STATES"/>
    <n v="0.39"/>
    <n v="0"/>
    <n v="0"/>
    <n v="49.535291743629905"/>
  </r>
  <r>
    <s v="CCJ US Equity"/>
    <s v="CAMECO CORP"/>
    <s v="Materials"/>
    <s v="Materials"/>
    <x v="22"/>
    <s v="CANADA"/>
    <n v="54.01"/>
    <n v="4.62"/>
    <n v="0"/>
    <n v="54.218581859915261"/>
  </r>
  <r>
    <s v="CCK US Equity"/>
    <s v="CROWN HOLDINGS I"/>
    <s v="Materials"/>
    <s v="Materials"/>
    <x v="46"/>
    <s v="UNITED STATES"/>
    <n v="11.99"/>
    <n v="4.6500000000000004"/>
    <n v="0"/>
    <n v="62.072362707072955"/>
  </r>
  <r>
    <s v="CCL US Equity"/>
    <s v="CARNIVAL CORP"/>
    <s v="Consumer Discretionary"/>
    <s v="Consumer Discretionary Services"/>
    <x v="6"/>
    <s v="UNITED STATES"/>
    <n v="37.5"/>
    <n v="4.54"/>
    <n v="0"/>
    <n v="60.60231056619056"/>
  </r>
  <r>
    <s v="CCNE US Equity"/>
    <s v="CNB FINL CORP/PA"/>
    <s v="Financials"/>
    <s v="Banking"/>
    <x v="26"/>
    <s v="UNITED STATES"/>
    <n v="0.8"/>
    <n v="4.33"/>
    <n v="77667"/>
    <n v="71.006314623195834"/>
  </r>
  <r>
    <s v="CCO CT Equity"/>
    <s v="CAMECO CORP"/>
    <s v="Materials"/>
    <s v="Materials"/>
    <x v="22"/>
    <s v="CANADA"/>
    <n v="53.94"/>
    <n v="4.62"/>
    <n v="0"/>
    <n v="53.030973252765726"/>
  </r>
  <r>
    <s v="CCO US Equity"/>
    <s v="CLEAR CHANNEL OU"/>
    <s v="Communications"/>
    <s v="Media"/>
    <x v="59"/>
    <s v="UNITED STATES"/>
    <n v="1.02"/>
    <n v="3"/>
    <n v="0"/>
    <n v="64.044020341488817"/>
  </r>
  <r>
    <s v="CCOI US Equity"/>
    <s v="COGENT COMMUNICA"/>
    <s v="Communications"/>
    <s v="Telecommunications"/>
    <x v="36"/>
    <s v="UNITED STATES"/>
    <n v="1.19"/>
    <n v="3.43"/>
    <n v="0"/>
    <n v="64.009084318572064"/>
  </r>
  <r>
    <s v="CCS US Equity"/>
    <s v="CENTURY COMMUNIT"/>
    <s v="Consumer Discretionary"/>
    <s v="Consumer Discretionary Products"/>
    <x v="50"/>
    <s v="UNITED STATES"/>
    <n v="1.91"/>
    <n v="3.5"/>
    <n v="0"/>
    <n v="70.577869904731671"/>
  </r>
  <r>
    <s v="CCSI US Equity"/>
    <s v="CONSENSUS CLOUD"/>
    <s v="Technology"/>
    <s v="Software &amp; Tech Services"/>
    <x v="14"/>
    <s v="UNITED STATES"/>
    <n v="0.41"/>
    <n v="4.2"/>
    <n v="0"/>
    <n v="71.974661947166709"/>
  </r>
  <r>
    <s v="CCU US Equity"/>
    <s v="CERVEZAS-SPN ADR"/>
    <s v="Consumer Staples"/>
    <s v="Consumer Staple Products"/>
    <x v="11"/>
    <s v="CHILE"/>
    <n v="2.73"/>
    <n v="3"/>
    <n v="0"/>
    <n v="57.371879104224533"/>
  </r>
  <r>
    <s v="CD US Equity"/>
    <s v="CHAINCE DIGITAL"/>
    <s v="Industrials"/>
    <s v="Industrial Services"/>
    <x v="15"/>
    <s v="UNITED STATES"/>
    <n v="0.43"/>
    <n v="0"/>
    <n v="0"/>
    <n v="46.223471268456031"/>
  </r>
  <r>
    <s v="CDE US Equity"/>
    <s v="COEUR MINING INC"/>
    <s v="Materials"/>
    <s v="Materials"/>
    <x v="22"/>
    <s v="UNITED STATES"/>
    <n v="16.77"/>
    <n v="4.43"/>
    <n v="10052"/>
    <n v="56.044094302289956"/>
  </r>
  <r>
    <s v="CDLR US Equity"/>
    <s v="CADELER A/S"/>
    <s v="Energy"/>
    <s v="Renewable Energy"/>
    <x v="45"/>
    <s v="DENMARK"/>
    <n v="1.9"/>
    <n v="5"/>
    <n v="21670"/>
    <n v="72.079423174456323"/>
  </r>
  <r>
    <s v="CDNA US Equity"/>
    <s v="CAREDX INC"/>
    <s v="Health Care"/>
    <s v="Health Care"/>
    <x v="9"/>
    <s v="UNITED STATES"/>
    <n v="1.05"/>
    <n v="3.89"/>
    <n v="0"/>
    <n v="49.268519887794675"/>
  </r>
  <r>
    <s v="CDNL US Equity"/>
    <s v="CARDINAL INFRA-A"/>
    <s v="Industrials"/>
    <s v="Industrial Services"/>
    <x v="27"/>
    <s v="UNITED STATES"/>
    <n v="0.99"/>
    <n v="5"/>
    <n v="1104130"/>
    <n v="48.994423233408114"/>
  </r>
  <r>
    <s v="CDNS US Equity"/>
    <s v="CADENCE DESIGN"/>
    <s v="Technology"/>
    <s v="Software &amp; Tech Services"/>
    <x v="14"/>
    <s v="UNITED STATES"/>
    <n v="86.65"/>
    <n v="4.68"/>
    <n v="0"/>
    <n v="48.432462919202585"/>
  </r>
  <r>
    <s v="CDRE US Equity"/>
    <s v="CADRE HOLDINGS I"/>
    <s v="Industrials"/>
    <s v="Industrial Products"/>
    <x v="3"/>
    <s v="UNITED STATES"/>
    <n v="1.77"/>
    <n v="4.17"/>
    <n v="0"/>
    <n v="48.008537687143061"/>
  </r>
  <r>
    <s v="CDRO US Equity"/>
    <s v="CODERE ONLINE LU"/>
    <s v="Consumer Discretionary"/>
    <s v="Consumer Discretionary Services"/>
    <x v="6"/>
    <s v="LUXEMBOURG"/>
    <n v="0.36"/>
    <n v="4.5"/>
    <n v="0"/>
    <n v="55.196558182227861"/>
  </r>
  <r>
    <s v="CDW US Equity"/>
    <s v="CDW CORP/DE"/>
    <s v="Technology"/>
    <s v="Software &amp; Tech Services"/>
    <x v="34"/>
    <s v="UNITED STATES"/>
    <n v="16.399999999999999"/>
    <n v="4.17"/>
    <n v="0"/>
    <n v="50.887606752639442"/>
  </r>
  <r>
    <s v="CDZI US Equity"/>
    <s v="CADIZ INC"/>
    <s v="Industrials"/>
    <s v="Industrial Services"/>
    <x v="43"/>
    <s v="UNITED STATES"/>
    <n v="0.55000000000000004"/>
    <n v="5"/>
    <n v="0"/>
    <n v="36.964814934847254"/>
  </r>
  <r>
    <s v="CE US Equity"/>
    <s v="CELANESE CORP"/>
    <s v="Materials"/>
    <s v="Materials"/>
    <x v="21"/>
    <s v="UNITED STATES"/>
    <n v="5.2"/>
    <n v="3.7"/>
    <n v="820005"/>
    <n v="79.852048717839594"/>
  </r>
  <r>
    <s v="CECO US Equity"/>
    <s v="CECO ENVIRONMNTL"/>
    <s v="Industrials"/>
    <s v="Industrial Products"/>
    <x v="3"/>
    <s v="UNITED STATES"/>
    <n v="2.44"/>
    <n v="5"/>
    <n v="513300"/>
    <n v="71.261190960868163"/>
  </r>
  <r>
    <s v="CEG US Equity"/>
    <s v="CONSTELLATION EN"/>
    <s v="Utilities"/>
    <s v="Utilities"/>
    <x v="38"/>
    <s v="UNITED STATES"/>
    <n v="104.74"/>
    <n v="4.5"/>
    <n v="0"/>
    <n v="41.013264208672176"/>
  </r>
  <r>
    <s v="CEL AU Equity"/>
    <s v="CHALLENGER GOLD"/>
    <s v="Materials"/>
    <s v="Materials"/>
    <x v="22"/>
    <s v="AUSTRALIA"/>
    <n v="0.28999999999999998"/>
    <n v="4"/>
    <n v="0"/>
    <n v="52.445896442889506"/>
  </r>
  <r>
    <s v="CELC US Equity"/>
    <s v="CELCUITY INC"/>
    <s v="Health Care"/>
    <s v="Health Care"/>
    <x v="25"/>
    <s v="UNITED STATES"/>
    <n v="5.09"/>
    <n v="4.82"/>
    <n v="0"/>
    <n v="45.765266018300352"/>
  </r>
  <r>
    <s v="CELH US Equity"/>
    <s v="CELSIUS HOLDINGS"/>
    <s v="Consumer Staples"/>
    <s v="Consumer Staple Products"/>
    <x v="11"/>
    <s v="UNITED STATES"/>
    <n v="14.42"/>
    <n v="4.33"/>
    <n v="814375"/>
    <n v="33.116809326861556"/>
  </r>
  <r>
    <s v="CEM IM Equity"/>
    <s v="CEMENTIR HOLDING"/>
    <s v="Materials"/>
    <s v="Materials"/>
    <x v="48"/>
    <s v="ITALY"/>
    <n v="3.8"/>
    <n v="4.0999999999999996"/>
    <n v="0"/>
    <n v="47.119486421544011"/>
  </r>
  <r>
    <s v="CENT US Equity"/>
    <s v="CENTRAL GARDEN"/>
    <s v="Consumer Discretionary"/>
    <s v="Consumer Discretionary Products"/>
    <x v="29"/>
    <s v="UNITED STATES"/>
    <n v="1.85"/>
    <n v="4"/>
    <n v="0"/>
    <n v="72.440683606690882"/>
  </r>
  <r>
    <s v="CENTA US Equity"/>
    <s v="CENTRAL GARDEN-A"/>
    <s v="Consumer Discretionary"/>
    <s v="Consumer Discretionary Products"/>
    <x v="29"/>
    <s v="UNITED STATES"/>
    <n v="1.85"/>
    <n v="3.67"/>
    <n v="0"/>
    <n v="70.512959617659277"/>
  </r>
  <r>
    <s v="CENX US Equity"/>
    <s v="CENTURY ALUMINUM"/>
    <s v="Materials"/>
    <s v="Materials"/>
    <x v="22"/>
    <s v="UNITED STATES"/>
    <n v="4.55"/>
    <n v="5"/>
    <n v="0"/>
    <n v="63.295968334267386"/>
  </r>
  <r>
    <s v="CEPF US Equity"/>
    <s v="CANTOR EQUITY-A"/>
    <s v="Financials"/>
    <s v="Financial Services"/>
    <x v="24"/>
    <s v="UNITED STATES"/>
    <n v="0.48"/>
    <n v="0"/>
    <n v="0"/>
    <n v="51.163306867429412"/>
  </r>
  <r>
    <s v="CEPT US Equity"/>
    <s v="CANTOR EQUITY-A"/>
    <s v="Financials"/>
    <s v="Financial Services"/>
    <x v="24"/>
    <s v="UNITED STATES"/>
    <n v="0.36"/>
    <n v="0"/>
    <n v="0"/>
    <n v="42.398043838847137"/>
  </r>
  <r>
    <s v="CEPU US Equity"/>
    <s v="CENTRAL PUERTO-A"/>
    <s v="Utilities"/>
    <s v="Utilities"/>
    <x v="38"/>
    <s v="ARGENTINA"/>
    <n v="2.4900000000000002"/>
    <n v="4.5"/>
    <n v="0"/>
    <n v="46.887623183010263"/>
  </r>
  <r>
    <s v="CERS US Equity"/>
    <s v="CERUS CORP"/>
    <s v="Health Care"/>
    <s v="Health Care"/>
    <x v="9"/>
    <s v="UNITED STATES"/>
    <n v="0.48"/>
    <n v="4.5"/>
    <n v="62250"/>
    <n v="43.160016974984892"/>
  </r>
  <r>
    <s v="CERT US Equity"/>
    <s v="CERTARA INC"/>
    <s v="Health Care"/>
    <s v="Health Care"/>
    <x v="25"/>
    <s v="UNITED STATES"/>
    <n v="1.59"/>
    <n v="4.1399999999999997"/>
    <n v="240960"/>
    <n v="21.682421777934806"/>
  </r>
  <r>
    <s v="CEVA US Equity"/>
    <s v="CEVA INC"/>
    <s v="Technology"/>
    <s v="Tech Hardware &amp; Semiconductors"/>
    <x v="17"/>
    <s v="UNITED STATES"/>
    <n v="0.63"/>
    <n v="4.5999999999999996"/>
    <n v="0"/>
    <n v="60.605882675240373"/>
  </r>
  <r>
    <s v="CF US Equity"/>
    <s v="CF INDUSTRIES HO"/>
    <s v="Materials"/>
    <s v="Materials"/>
    <x v="21"/>
    <s v="UNITED STATES"/>
    <n v="14.41"/>
    <n v="3.17"/>
    <n v="0"/>
    <n v="66.519050697968709"/>
  </r>
  <r>
    <s v="CFFI US Equity"/>
    <s v="C &amp; F FINANCIAL"/>
    <s v="Financials"/>
    <s v="Banking"/>
    <x v="26"/>
    <s v="UNITED STATES"/>
    <n v="0.23"/>
    <n v="0"/>
    <n v="0"/>
    <n v="60.679731446896945"/>
  </r>
  <r>
    <s v="CFFN US Equity"/>
    <s v="CAPITOL FEDERAL"/>
    <s v="Financials"/>
    <s v="Banking"/>
    <x v="26"/>
    <s v="UNITED STATES"/>
    <n v="0.89"/>
    <n v="3"/>
    <n v="67500"/>
    <n v="70.507035892425364"/>
  </r>
  <r>
    <s v="CFG US Equity"/>
    <s v="CITIZENS FINANCI"/>
    <s v="Financials"/>
    <s v="Banking"/>
    <x v="26"/>
    <s v="UNITED STATES"/>
    <n v="26.9"/>
    <n v="4.76"/>
    <n v="0"/>
    <n v="67.56020117601598"/>
  </r>
  <r>
    <s v="CFLT US Equity"/>
    <s v="CONFLUENT INC-A"/>
    <s v="Technology"/>
    <s v="Software &amp; Tech Services"/>
    <x v="14"/>
    <s v="UNITED STATES"/>
    <n v="10.89"/>
    <n v="3.28"/>
    <n v="0"/>
    <n v="64.674976790126635"/>
  </r>
  <r>
    <s v="CFR US Equity"/>
    <s v="CULLEN/FROST"/>
    <s v="Financials"/>
    <s v="Banking"/>
    <x v="26"/>
    <s v="UNITED STATES"/>
    <n v="8.7899999999999991"/>
    <n v="3.12"/>
    <n v="0"/>
    <n v="68.892772333389246"/>
  </r>
  <r>
    <s v="CG US Equity"/>
    <s v="CARLYLE GROUP IN"/>
    <s v="Financials"/>
    <s v="Financial Services"/>
    <x v="24"/>
    <s v="UNITED STATES"/>
    <n v="22.09"/>
    <n v="4.0599999999999996"/>
    <n v="0"/>
    <n v="33.507012087732804"/>
  </r>
  <r>
    <s v="CGAU US Equity"/>
    <s v="CENTERRA GOLD IN"/>
    <s v="Materials"/>
    <s v="Materials"/>
    <x v="22"/>
    <s v="CANADA"/>
    <n v="3.7"/>
    <n v="4.09"/>
    <n v="617630"/>
    <n v="65.750704879595418"/>
  </r>
  <r>
    <s v="CGBD US Equity"/>
    <s v="CARLYLE SECURED"/>
    <s v="Financials"/>
    <s v="Financial Services"/>
    <x v="24"/>
    <s v="UNITED STATES"/>
    <n v="0.93"/>
    <n v="3.25"/>
    <n v="200768"/>
    <n v="45.534055399118159"/>
  </r>
  <r>
    <s v="CGC US Equity"/>
    <s v="CANOPY GROWTH CO"/>
    <s v="Consumer Staples"/>
    <s v="Consumer Staple Products"/>
    <x v="28"/>
    <s v="CANADA"/>
    <n v="0.49"/>
    <n v="3"/>
    <n v="32688"/>
    <n v="39.823355046470006"/>
  </r>
  <r>
    <s v="CGCT US Equity"/>
    <s v="CARTESIAN G-CL A"/>
    <s v="Financials"/>
    <s v="Financial Services"/>
    <x v="24"/>
    <s v="UNITED STATES"/>
    <n v="0.35"/>
    <n v="0"/>
    <n v="0"/>
    <n v="52.860188279900868"/>
  </r>
  <r>
    <s v="CGEM US Equity"/>
    <s v="CULLINAN THERAPE"/>
    <s v="Health Care"/>
    <s v="Health Care"/>
    <x v="25"/>
    <s v="UNITED STATES"/>
    <n v="0.74"/>
    <n v="5"/>
    <n v="0"/>
    <n v="52.860540912905194"/>
  </r>
  <r>
    <s v="CGNT US Equity"/>
    <s v="COGNYTE SOFT"/>
    <s v="Technology"/>
    <s v="Software &amp; Tech Services"/>
    <x v="14"/>
    <s v="ISRAEL"/>
    <n v="0.64"/>
    <n v="3.67"/>
    <n v="0"/>
    <n v="28.963705048104217"/>
  </r>
  <r>
    <s v="CGNX US Equity"/>
    <s v="COGNEX CORP"/>
    <s v="Industrials"/>
    <s v="Industrial Products"/>
    <x v="4"/>
    <s v="UNITED STATES"/>
    <n v="6.66"/>
    <n v="4.22"/>
    <n v="0"/>
    <n v="62.954610931877035"/>
  </r>
  <r>
    <s v="CGON US Equity"/>
    <s v="CG ONCOLOGY INC"/>
    <s v="Health Care"/>
    <s v="Health Care"/>
    <x v="25"/>
    <s v="UNITED STATES"/>
    <n v="4.34"/>
    <n v="5"/>
    <n v="0"/>
    <n v="57.400576019856246"/>
  </r>
  <r>
    <s v="CGTX US Equity"/>
    <s v="COGNITION THERAP"/>
    <s v="Health Care"/>
    <s v="Health Care"/>
    <x v="25"/>
    <s v="UNITED STATES"/>
    <n v="0.13"/>
    <n v="5"/>
    <n v="0"/>
    <n v="38.437003652109851"/>
  </r>
  <r>
    <s v="CHA US Equity"/>
    <s v="CHAGEE HOLDINGS"/>
    <s v="Consumer Staples"/>
    <s v="Consumer Staple Products"/>
    <x v="11"/>
    <s v="CHINA"/>
    <n v="2.25"/>
    <n v="4.18"/>
    <n v="0"/>
    <n v="31.369809473408466"/>
  </r>
  <r>
    <s v="CHAC US Equity"/>
    <s v="CRANE HARBOR-A"/>
    <s v="Financials"/>
    <s v="Financial Services"/>
    <x v="24"/>
    <s v="UNITED STATES"/>
    <n v="0.33"/>
    <n v="0"/>
    <n v="0"/>
    <n v="39.713566058220955"/>
  </r>
  <r>
    <s v="CHAR US Equity"/>
    <s v="CHARLTON ARIA-A"/>
    <s v="Financials"/>
    <s v="Financial Services"/>
    <x v="24"/>
    <s v="UNITED STATES"/>
    <n v="0.12"/>
    <n v="0"/>
    <n v="0"/>
    <n v="61.849333318929745"/>
  </r>
  <r>
    <s v="CHCO US Equity"/>
    <s v="CITY HOLDING CO"/>
    <s v="Financials"/>
    <s v="Banking"/>
    <x v="26"/>
    <s v="UNITED STATES"/>
    <n v="1.75"/>
    <n v="3"/>
    <n v="87645"/>
    <n v="57.37921983618844"/>
  </r>
  <r>
    <s v="CHD US Equity"/>
    <s v="CHURCH &amp; DWIGHT"/>
    <s v="Consumer Staples"/>
    <s v="Consumer Staple Products"/>
    <x v="62"/>
    <s v="UNITED STATES"/>
    <n v="22.2"/>
    <n v="3.56"/>
    <n v="1190406"/>
    <n v="73.602686846007558"/>
  </r>
  <r>
    <s v="CHDN US Equity"/>
    <s v="CHURCHILL DOWNS"/>
    <s v="Consumer Discretionary"/>
    <s v="Consumer Discretionary Services"/>
    <x v="6"/>
    <s v="UNITED STATES"/>
    <n v="7.15"/>
    <n v="4.6900000000000004"/>
    <n v="0"/>
    <n v="33.049760955472792"/>
  </r>
  <r>
    <s v="CHE US Equity"/>
    <s v="CHEMED CORP"/>
    <s v="Health Care"/>
    <s v="Health Care"/>
    <x v="31"/>
    <s v="UNITED STATES"/>
    <n v="6.33"/>
    <n v="4.5"/>
    <n v="89354"/>
    <n v="63.979913034618079"/>
  </r>
  <r>
    <s v="CHEF US Equity"/>
    <s v="CHEFS WAREHOUSE"/>
    <s v="Consumer Staples"/>
    <s v="Retail &amp; Wholesale - Staples"/>
    <x v="19"/>
    <s v="UNITED STATES"/>
    <n v="2.6"/>
    <n v="4.75"/>
    <n v="0"/>
    <n v="51.662995966609486"/>
  </r>
  <r>
    <s v="CHH US Equity"/>
    <s v="CHOICE HOTELS"/>
    <s v="Consumer Discretionary"/>
    <s v="Consumer Discretionary Services"/>
    <x v="6"/>
    <s v="UNITED STATES"/>
    <n v="4.8499999999999996"/>
    <n v="2.88"/>
    <n v="0"/>
    <n v="59.27135113367089"/>
  </r>
  <r>
    <s v="CHKP US Equity"/>
    <s v="CHECK POINT SOFT"/>
    <s v="Technology"/>
    <s v="Software &amp; Tech Services"/>
    <x v="14"/>
    <s v="ISRAEL"/>
    <n v="19.46"/>
    <n v="3.87"/>
    <n v="0"/>
    <n v="41.851839522601914"/>
  </r>
  <r>
    <s v="CHMG US Equity"/>
    <s v="CHEMUNG FINL CRP"/>
    <s v="Financials"/>
    <s v="Banking"/>
    <x v="26"/>
    <s v="UNITED STATES"/>
    <n v="0.27"/>
    <n v="4"/>
    <n v="1247214"/>
    <n v="52.963791980693536"/>
  </r>
  <r>
    <s v="CHPG US Equity"/>
    <s v="CHAMPIONSGATE-A"/>
    <s v="Financials"/>
    <s v="Financial Services"/>
    <x v="24"/>
    <s v="UNITED STATES"/>
    <n v="0.1"/>
    <n v="0"/>
    <n v="0"/>
    <n v="63.67155741280137"/>
  </r>
  <r>
    <s v="CHRD US Equity"/>
    <s v="CHORD ENERGY COR"/>
    <s v="Energy"/>
    <s v="Oil &amp; Gas"/>
    <x v="20"/>
    <s v="UNITED STATES"/>
    <n v="5.43"/>
    <n v="4.3600000000000003"/>
    <n v="119413"/>
    <n v="63.228480887120469"/>
  </r>
  <r>
    <s v="CHRS US Equity"/>
    <s v="COHERUS ONCOLOGY"/>
    <s v="Health Care"/>
    <s v="Health Care"/>
    <x v="25"/>
    <s v="UNITED STATES"/>
    <n v="0.25"/>
    <n v="4.67"/>
    <n v="0"/>
    <n v="54.522782958288566"/>
  </r>
  <r>
    <s v="CHRW US Equity"/>
    <s v="CH ROBINSON"/>
    <s v="Industrials"/>
    <s v="Industrial Services"/>
    <x v="12"/>
    <s v="UNITED STATES"/>
    <n v="20.87"/>
    <n v="3.93"/>
    <n v="0"/>
    <n v="70.649815870440676"/>
  </r>
  <r>
    <s v="CHT US Equity"/>
    <s v="CHUNGHWA TEL-ADR"/>
    <s v="Communications"/>
    <s v="Telecommunications"/>
    <x v="36"/>
    <s v="TAIWAN"/>
    <n v="33.380000000000003"/>
    <n v="3"/>
    <n v="0"/>
    <n v="56.106892056513431"/>
  </r>
  <r>
    <s v="CHTR US Equity"/>
    <s v="CHARTER COMMUN-A"/>
    <s v="Communications"/>
    <s v="Media"/>
    <x v="61"/>
    <s v="UNITED STATES"/>
    <n v="27.96"/>
    <n v="3.08"/>
    <n v="772511"/>
    <n v="69.267547998944096"/>
  </r>
  <r>
    <s v="CHWY US Equity"/>
    <s v="CHEWY INC- CL A"/>
    <s v="Consumer Discretionary"/>
    <s v="Retail &amp; Whsle - Discretionary"/>
    <x v="51"/>
    <s v="UNITED STATES"/>
    <n v="13.15"/>
    <n v="4.37"/>
    <n v="0"/>
    <n v="29.163061597045299"/>
  </r>
  <r>
    <s v="CHYM US Equity"/>
    <s v="CHIME FINANCI-A"/>
    <s v="Technology"/>
    <s v="Software &amp; Tech Services"/>
    <x v="14"/>
    <s v="UNITED STATES"/>
    <n v="9.91"/>
    <n v="4.53"/>
    <n v="0"/>
    <n v="33.60307826853068"/>
  </r>
  <r>
    <s v="CI US Equity"/>
    <s v="THE CIGNA GROUP"/>
    <s v="Health Care"/>
    <s v="Health Care"/>
    <x v="31"/>
    <s v="UNITED STATES"/>
    <n v="74.58"/>
    <n v="4.6900000000000004"/>
    <n v="1154213"/>
    <n v="62.823397900558255"/>
  </r>
  <r>
    <s v="CIA US Equity"/>
    <s v="CITIZENS INC"/>
    <s v="Financials"/>
    <s v="Insurance"/>
    <x v="23"/>
    <s v="UNITED STATES"/>
    <n v="0.28000000000000003"/>
    <n v="0"/>
    <n v="0"/>
    <n v="59.571495386383241"/>
  </r>
  <r>
    <s v="CIB US Equity"/>
    <s v="GRUPO CIBEST SA-"/>
    <s v="Financials"/>
    <s v="Banking"/>
    <x v="26"/>
    <s v="COLOMBIA"/>
    <n v="21.25"/>
    <n v="3.18"/>
    <n v="0"/>
    <n v="57.145529033421077"/>
  </r>
  <r>
    <s v="CIEN US Equity"/>
    <s v="CIENA CORP"/>
    <s v="Technology"/>
    <s v="Tech Hardware &amp; Semiconductors"/>
    <x v="16"/>
    <s v="UNITED STATES"/>
    <n v="32.28"/>
    <n v="4.1100000000000003"/>
    <n v="0"/>
    <n v="68.057410964478777"/>
  </r>
  <r>
    <s v="CIFR US Equity"/>
    <s v="CIPHER MINING IN"/>
    <s v="Financials"/>
    <s v="Financial Services"/>
    <x v="24"/>
    <s v="UNITED STATES"/>
    <n v="6.94"/>
    <n v="4.8099999999999996"/>
    <n v="0"/>
    <n v="49.044446300388046"/>
  </r>
  <r>
    <s v="CIG US Equity"/>
    <s v="CEMIG SA-ADR"/>
    <s v="Utilities"/>
    <s v="Utilities"/>
    <x v="38"/>
    <s v="BRAZIL"/>
    <n v="6.91"/>
    <n v="1.67"/>
    <n v="0"/>
    <n v="67.799700018660261"/>
  </r>
  <r>
    <s v="CIG/C US Equity"/>
    <s v="CEMIG-ADR"/>
    <s v="Utilities"/>
    <s v="Utilities"/>
    <x v="38"/>
    <s v="BRAZIL"/>
    <n v="6.91"/>
    <n v="0"/>
    <n v="0"/>
    <n v="66.629940844672305"/>
  </r>
  <r>
    <s v="CIGI CT Equity"/>
    <s v="COLLIERS-SUBORD"/>
    <s v="Real Estate"/>
    <s v="Real Estate"/>
    <x v="7"/>
    <s v="CANADA"/>
    <n v="7.12"/>
    <n v="4.33"/>
    <n v="0"/>
    <n v="36.750402076122633"/>
  </r>
  <r>
    <s v="CIGI US Equity"/>
    <s v="COLLIERS-SUBORD"/>
    <s v="Real Estate"/>
    <s v="Real Estate"/>
    <x v="7"/>
    <s v="CANADA"/>
    <n v="7.13"/>
    <n v="4.38"/>
    <n v="0"/>
    <n v="38.516892072274111"/>
  </r>
  <r>
    <s v="CINF US Equity"/>
    <s v="CINCINNATI FIN"/>
    <s v="Financials"/>
    <s v="Insurance"/>
    <x v="23"/>
    <s v="UNITED STATES"/>
    <n v="24.5"/>
    <n v="4.1100000000000003"/>
    <n v="179014"/>
    <n v="49.465539598683364"/>
  </r>
  <r>
    <s v="CING US Equity"/>
    <s v="CINGULATE INC"/>
    <s v="Health Care"/>
    <s v="Health Care"/>
    <x v="25"/>
    <s v="UNITED STATES"/>
    <n v="0.04"/>
    <n v="5"/>
    <n v="0"/>
    <n v="59.950554914671471"/>
  </r>
  <r>
    <s v="CINT US Equity"/>
    <s v="CI&amp;T INC/UNITE-A"/>
    <s v="Technology"/>
    <s v="Software &amp; Tech Services"/>
    <x v="34"/>
    <s v="BRAZIL"/>
    <n v="0.64"/>
    <n v="4.8"/>
    <n v="0"/>
    <n v="55.157769527303245"/>
  </r>
  <r>
    <s v="CION US Equity"/>
    <s v="CION INVESTMENT"/>
    <s v="Financials"/>
    <s v="Financial Services"/>
    <x v="24"/>
    <s v="UNITED STATES"/>
    <n v="0.48"/>
    <n v="3"/>
    <n v="4427"/>
    <n v="36.656913024360435"/>
  </r>
  <r>
    <s v="CIVB US Equity"/>
    <s v="CIVISTA BANCSHAR"/>
    <s v="Financials"/>
    <s v="Banking"/>
    <x v="26"/>
    <s v="UNITED STATES"/>
    <n v="0.48"/>
    <n v="4"/>
    <n v="126060"/>
    <n v="52.086830189807642"/>
  </r>
  <r>
    <s v="CL CN Equity"/>
    <s v="CRESCO LABS INC"/>
    <s v="Consumer Staples"/>
    <s v="Consumer Staple Products"/>
    <x v="28"/>
    <s v="UNITED STATES"/>
    <n v="0.59"/>
    <n v="4.88"/>
    <n v="0"/>
    <n v="40.154460030162774"/>
  </r>
  <r>
    <s v="CL US Equity"/>
    <s v="COLGATE-PALMOLIV"/>
    <s v="Consumer Staples"/>
    <s v="Consumer Staple Products"/>
    <x v="62"/>
    <s v="UNITED STATES"/>
    <n v="69.849999999999994"/>
    <n v="4.04"/>
    <n v="0"/>
    <n v="79.330462556083376"/>
  </r>
  <r>
    <s v="CLB US Equity"/>
    <s v="CORE LABORATORIE"/>
    <s v="Energy"/>
    <s v="Oil &amp; Gas"/>
    <x v="30"/>
    <s v="UNITED STATES"/>
    <n v="0.91"/>
    <n v="2.5"/>
    <n v="0"/>
    <n v="52.43830073513039"/>
  </r>
  <r>
    <s v="CLBK US Equity"/>
    <s v="COLUMBIA FINANCI"/>
    <s v="Financials"/>
    <s v="Financial Services"/>
    <x v="24"/>
    <s v="UNITED STATES"/>
    <n v="1.66"/>
    <n v="4"/>
    <n v="0"/>
    <n v="63.471474977643147"/>
  </r>
  <r>
    <s v="CLBT US Equity"/>
    <s v="CELLEBRITE DI LT"/>
    <s v="Technology"/>
    <s v="Software &amp; Tech Services"/>
    <x v="14"/>
    <s v="ISRAEL"/>
    <n v="3.8"/>
    <n v="5"/>
    <n v="0"/>
    <n v="35.505142156345315"/>
  </r>
  <r>
    <s v="CLDX US Equity"/>
    <s v="CELLDEX THERAPEU"/>
    <s v="Health Care"/>
    <s v="Health Care"/>
    <x v="25"/>
    <s v="UNITED STATES"/>
    <n v="1.72"/>
    <n v="4.5"/>
    <n v="0"/>
    <n v="46.027410441650389"/>
  </r>
  <r>
    <s v="CLF US Equity"/>
    <s v="CLEVELAND-CLIFFS"/>
    <s v="Materials"/>
    <s v="Materials"/>
    <x v="56"/>
    <s v="UNITED STATES"/>
    <n v="8.6"/>
    <n v="3.14"/>
    <n v="0"/>
    <n v="41.643613781321122"/>
  </r>
  <r>
    <s v="CLFD US Equity"/>
    <s v="CLEARFIELD INC"/>
    <s v="Technology"/>
    <s v="Tech Hardware &amp; Semiconductors"/>
    <x v="16"/>
    <s v="UNITED STATES"/>
    <n v="0.43"/>
    <n v="5"/>
    <n v="307700"/>
    <n v="53.540409751827887"/>
  </r>
  <r>
    <s v="CLH US Equity"/>
    <s v="CLEAN HARBORS"/>
    <s v="Industrials"/>
    <s v="Industrial Services"/>
    <x v="15"/>
    <s v="UNITED STATES"/>
    <n v="13.87"/>
    <n v="4.21"/>
    <n v="519020"/>
    <n v="76.259142729598423"/>
  </r>
  <r>
    <s v="CLLS US Equity"/>
    <s v="CELLECTIS - ADR"/>
    <s v="Health Care"/>
    <s v="Health Care"/>
    <x v="25"/>
    <s v="FRANCE"/>
    <n v="0.44"/>
    <n v="4.38"/>
    <n v="0"/>
    <n v="40.241109729931416"/>
  </r>
  <r>
    <s v="CLMB US Equity"/>
    <s v="CLIMB GLOBAL SOL"/>
    <s v="Consumer Discretionary"/>
    <s v="Retail &amp; Whsle - Discretionary"/>
    <x v="40"/>
    <s v="UNITED STATES"/>
    <n v="0.55000000000000004"/>
    <n v="5"/>
    <n v="0"/>
    <n v="47.07708790645701"/>
  </r>
  <r>
    <s v="CLMT US Equity"/>
    <s v="CALUMET INC"/>
    <s v="Materials"/>
    <s v="Materials"/>
    <x v="21"/>
    <s v="UNITED STATES"/>
    <n v="1.83"/>
    <n v="4"/>
    <n v="0"/>
    <n v="79.557317044291551"/>
  </r>
  <r>
    <s v="CLNE US Equity"/>
    <s v="CLEAN ENERGY FUE"/>
    <s v="Energy"/>
    <s v="Oil &amp; Gas"/>
    <x v="20"/>
    <s v="UNITED STATES"/>
    <n v="0.51"/>
    <n v="4.75"/>
    <n v="0"/>
    <n v="64.448161961325695"/>
  </r>
  <r>
    <s v="CLOV US Equity"/>
    <s v="CLOVER HEALTH IN"/>
    <s v="Health Care"/>
    <s v="Health Care"/>
    <x v="31"/>
    <s v="UNITED STATES"/>
    <n v="1.33"/>
    <n v="3.67"/>
    <n v="1226313"/>
    <n v="33.611726537596383"/>
  </r>
  <r>
    <s v="CLPT US Equity"/>
    <s v="CLEARPOINT NEURO"/>
    <s v="Health Care"/>
    <s v="Health Care"/>
    <x v="9"/>
    <s v="UNITED STATES"/>
    <n v="0.47"/>
    <n v="5"/>
    <n v="0"/>
    <n v="46.090527844469392"/>
  </r>
  <r>
    <s v="CLS US Equity"/>
    <s v="CELESTICA INC"/>
    <s v="Technology"/>
    <s v="Tech Hardware &amp; Semiconductors"/>
    <x v="16"/>
    <s v="CANADA"/>
    <n v="34.880000000000003"/>
    <n v="4.68"/>
    <n v="3637080"/>
    <n v="47.717732479693893"/>
  </r>
  <r>
    <s v="CLSK US Equity"/>
    <s v="CLEANSPARK INC"/>
    <s v="Financials"/>
    <s v="Financial Services"/>
    <x v="24"/>
    <s v="UNITED STATES"/>
    <n v="3.51"/>
    <n v="5"/>
    <n v="0"/>
    <n v="39.615465519636373"/>
  </r>
  <r>
    <s v="CLST US Equity"/>
    <s v="CATALYST BANCORP"/>
    <s v="Financials"/>
    <s v="Financial Services"/>
    <x v="24"/>
    <s v="UNITED STATES"/>
    <n v="0.06"/>
    <n v="0"/>
    <n v="73625"/>
    <n v="68.459323663360806"/>
  </r>
  <r>
    <s v="CLVT US Equity"/>
    <s v="CLARIVATE PLC"/>
    <s v="Industrials"/>
    <s v="Industrial Services"/>
    <x v="15"/>
    <s v="BRITAIN"/>
    <n v="1.89"/>
    <n v="3"/>
    <n v="2821500"/>
    <n v="18.66437459967068"/>
  </r>
  <r>
    <s v="CLX US Equity"/>
    <s v="CLOROX CO"/>
    <s v="Consumer Staples"/>
    <s v="Consumer Staple Products"/>
    <x v="62"/>
    <s v="UNITED STATES"/>
    <n v="13.84"/>
    <n v="2.91"/>
    <n v="453920"/>
    <n v="83.939495245654939"/>
  </r>
  <r>
    <s v="CLYM US Equity"/>
    <s v="CLIMB BIO INC"/>
    <s v="Health Care"/>
    <s v="Health Care"/>
    <x v="25"/>
    <s v="UNITED STATES"/>
    <n v="0.24"/>
    <n v="5"/>
    <n v="0"/>
    <n v="60.699855715193983"/>
  </r>
  <r>
    <s v="CM US Equity"/>
    <s v="CAN IMPL BK COMM"/>
    <s v="Financials"/>
    <s v="Banking"/>
    <x v="26"/>
    <s v="CANADA"/>
    <n v="86.08"/>
    <n v="3.59"/>
    <n v="0"/>
    <n v="62.428400271016315"/>
  </r>
  <r>
    <s v="CMBT US Equity"/>
    <s v="CMB TECH NV"/>
    <s v="Industrials"/>
    <s v="Industrial Services"/>
    <x v="12"/>
    <s v="BELGIUM"/>
    <n v="3.64"/>
    <n v="4.5999999999999996"/>
    <n v="0"/>
    <n v="67.147191243443231"/>
  </r>
  <r>
    <s v="CMC US Equity"/>
    <s v="COMMERCIAL METAL"/>
    <s v="Materials"/>
    <s v="Materials"/>
    <x v="56"/>
    <s v="UNITED STATES"/>
    <n v="8.6"/>
    <n v="4.17"/>
    <n v="288529"/>
    <n v="68.280709615269089"/>
  </r>
  <r>
    <s v="CMCL US Equity"/>
    <s v="CALEDONIA MINING"/>
    <s v="Materials"/>
    <s v="Materials"/>
    <x v="22"/>
    <s v="SOUTH AFRICA"/>
    <n v="0.61"/>
    <n v="4.2"/>
    <n v="0"/>
    <n v="54.29793863697784"/>
  </r>
  <r>
    <s v="CMCM US Equity"/>
    <s v="CHEETAH MOBI-ADR"/>
    <s v="Technology"/>
    <s v="Software &amp; Tech Services"/>
    <x v="14"/>
    <s v="CHINA"/>
    <n v="0.21"/>
    <n v="4.67"/>
    <n v="0"/>
    <n v="40.104069993697465"/>
  </r>
  <r>
    <s v="CMCO US Equity"/>
    <s v="COLUMBUS MCKI/NY"/>
    <s v="Industrials"/>
    <s v="Industrial Products"/>
    <x v="3"/>
    <s v="UNITED STATES"/>
    <n v="0.6"/>
    <n v="4.25"/>
    <n v="0"/>
    <n v="73.613478583932363"/>
  </r>
  <r>
    <s v="CMCSA US Equity"/>
    <s v="COMCAST CORP-A"/>
    <s v="Communications"/>
    <s v="Media"/>
    <x v="61"/>
    <s v="UNITED STATES"/>
    <n v="106.77"/>
    <n v="3.65"/>
    <n v="0"/>
    <n v="78.105042821347922"/>
  </r>
  <r>
    <s v="CMDB US Equity"/>
    <s v="COSTAMARE BULKER"/>
    <s v="Industrials"/>
    <s v="Industrial Services"/>
    <x v="12"/>
    <s v="MONACO"/>
    <n v="0.37"/>
    <n v="3"/>
    <n v="0"/>
    <n v="76.530192722641402"/>
  </r>
  <r>
    <s v="CME US Equity"/>
    <s v="CME GROUP INC"/>
    <s v="Financials"/>
    <s v="Financial Services"/>
    <x v="49"/>
    <s v="UNITED STATES"/>
    <n v="101.95"/>
    <n v="3.59"/>
    <n v="151263"/>
    <n v="70.915727219623165"/>
  </r>
  <r>
    <s v="CMG US Equity"/>
    <s v="CHIPOTLE MEXICAN"/>
    <s v="Consumer Discretionary"/>
    <s v="Consumer Discretionary Services"/>
    <x v="6"/>
    <s v="UNITED STATES"/>
    <n v="54.04"/>
    <n v="4.3499999999999996"/>
    <n v="817400"/>
    <n v="41.048794565942629"/>
  </r>
  <r>
    <s v="CMI US Equity"/>
    <s v="CUMMINS INC"/>
    <s v="Industrials"/>
    <s v="Industrial Products"/>
    <x v="44"/>
    <s v="UNITED STATES"/>
    <n v="78.930000000000007"/>
    <n v="3.87"/>
    <n v="0"/>
    <n v="58.305132866686243"/>
  </r>
  <r>
    <s v="CMP US Equity"/>
    <s v="COMPASS MINERALS"/>
    <s v="Materials"/>
    <s v="Materials"/>
    <x v="22"/>
    <s v="UNITED STATES"/>
    <n v="1.07"/>
    <n v="3.4"/>
    <n v="0"/>
    <n v="54.63875092634941"/>
  </r>
  <r>
    <s v="CMPR US Equity"/>
    <s v="CIMPRESS PLC"/>
    <s v="Industrials"/>
    <s v="Industrial Services"/>
    <x v="15"/>
    <s v="IRELAND"/>
    <n v="1.95"/>
    <n v="5"/>
    <n v="630800"/>
    <n v="51.10527074111581"/>
  </r>
  <r>
    <s v="CMPS US Equity"/>
    <s v="COMPASS PATHWAYS"/>
    <s v="Health Care"/>
    <s v="Health Care"/>
    <x v="25"/>
    <s v="BRITAIN"/>
    <n v="0.69"/>
    <n v="4.82"/>
    <n v="0"/>
    <n v="44.414272750127317"/>
  </r>
  <r>
    <s v="CMPX US Equity"/>
    <s v="COMPASS THERAPEU"/>
    <s v="Health Care"/>
    <s v="Health Care"/>
    <x v="25"/>
    <s v="UNITED STATES"/>
    <n v="1.05"/>
    <n v="4.93"/>
    <n v="0"/>
    <n v="58.210315664394045"/>
  </r>
  <r>
    <s v="CMRC US Equity"/>
    <s v="COMMERCE.COM INC"/>
    <s v="Technology"/>
    <s v="Software &amp; Tech Services"/>
    <x v="14"/>
    <s v="UNITED STATES"/>
    <n v="0.27"/>
    <n v="2.8"/>
    <n v="0"/>
    <n v="21.730537157590462"/>
  </r>
  <r>
    <s v="CMRE US Equity"/>
    <s v="COSTAMARE INC"/>
    <s v="Industrials"/>
    <s v="Industrial Services"/>
    <x v="12"/>
    <s v="MONACO"/>
    <n v="1.91"/>
    <n v="2"/>
    <n v="0"/>
    <n v="57.530644409728914"/>
  </r>
  <r>
    <s v="CMS US Equity"/>
    <s v="CMS ENERGY CORP"/>
    <s v="Utilities"/>
    <s v="Utilities"/>
    <x v="38"/>
    <s v="UNITED STATES"/>
    <n v="21.52"/>
    <n v="4"/>
    <n v="0"/>
    <n v="68.097130005885816"/>
  </r>
  <r>
    <s v="CMTL US Equity"/>
    <s v="COMTECH TELECOMM"/>
    <s v="Technology"/>
    <s v="Tech Hardware &amp; Semiconductors"/>
    <x v="16"/>
    <s v="UNITED STATES"/>
    <n v="0.17"/>
    <n v="5"/>
    <n v="0"/>
    <n v="57.729628378305364"/>
  </r>
  <r>
    <s v="CNA US Equity"/>
    <s v="CNA FINL CORP"/>
    <s v="Financials"/>
    <s v="Insurance"/>
    <x v="23"/>
    <s v="UNITED STATES"/>
    <n v="12.52"/>
    <n v="1"/>
    <n v="0"/>
    <n v="56.934911887684066"/>
  </r>
  <r>
    <s v="CNC US Equity"/>
    <s v="CENTENE CORP"/>
    <s v="Health Care"/>
    <s v="Health Care"/>
    <x v="31"/>
    <s v="UNITED STATES"/>
    <n v="22.65"/>
    <n v="3.36"/>
    <n v="1301121"/>
    <n v="43.398568168611952"/>
  </r>
  <r>
    <s v="CNCK US Equity"/>
    <s v="COINCHECK GROUP"/>
    <s v="Financials"/>
    <s v="Financial Services"/>
    <x v="49"/>
    <s v="NETHERLANDS"/>
    <n v="0.35"/>
    <n v="3.67"/>
    <n v="0"/>
    <n v="51.074297519644325"/>
  </r>
  <r>
    <s v="CNH US Equity"/>
    <s v="CNH INDUSTRIAL N"/>
    <s v="Industrials"/>
    <s v="Industrial Products"/>
    <x v="3"/>
    <s v="BRITAIN"/>
    <n v="13.56"/>
    <n v="3.95"/>
    <n v="794316"/>
    <n v="82.440213589162582"/>
  </r>
  <r>
    <s v="CNI US Equity"/>
    <s v="CAN NATL RAILWAY"/>
    <s v="Industrials"/>
    <s v="Industrial Services"/>
    <x v="12"/>
    <s v="CANADA"/>
    <n v="61.45"/>
    <n v="3.97"/>
    <n v="1253617"/>
    <n v="66.916684159544019"/>
  </r>
  <r>
    <s v="CNK US Equity"/>
    <s v="CINEMARK HOLDING"/>
    <s v="Consumer Discretionary"/>
    <s v="Consumer Discretionary Services"/>
    <x v="6"/>
    <s v="UNITED STATES"/>
    <n v="2.76"/>
    <n v="4.2300000000000004"/>
    <n v="0"/>
    <n v="65.464851198914545"/>
  </r>
  <r>
    <s v="CNL US Equity"/>
    <s v="COLLECTIVE MININ"/>
    <s v="Materials"/>
    <s v="Materials"/>
    <x v="22"/>
    <s v="CANADA"/>
    <n v="1.53"/>
    <n v="4.67"/>
    <n v="0"/>
    <n v="57.036299607382851"/>
  </r>
  <r>
    <s v="CNM US Equity"/>
    <s v="CORE &amp; MAIN IN-A"/>
    <s v="Industrials"/>
    <s v="Industrial Services"/>
    <x v="43"/>
    <s v="UNITED STATES"/>
    <n v="11.5"/>
    <n v="4.07"/>
    <n v="0"/>
    <n v="57.674688341281069"/>
  </r>
  <r>
    <s v="CNMD US Equity"/>
    <s v="CONMED CORP"/>
    <s v="Health Care"/>
    <s v="Health Care"/>
    <x v="9"/>
    <s v="UNITED STATES"/>
    <n v="1.29"/>
    <n v="3.33"/>
    <n v="0"/>
    <n v="56.38133770332616"/>
  </r>
  <r>
    <s v="CNNE US Equity"/>
    <s v="CANNAE HOLDINGS"/>
    <s v="Financials"/>
    <s v="Financial Services"/>
    <x v="24"/>
    <s v="UNITED STATES"/>
    <n v="0.77"/>
    <n v="5"/>
    <n v="0"/>
    <n v="30.107228480293074"/>
  </r>
  <r>
    <s v="CNO US Equity"/>
    <s v="CNO FINANCIAL GR"/>
    <s v="Financials"/>
    <s v="Insurance"/>
    <x v="23"/>
    <s v="UNITED STATES"/>
    <n v="3.88"/>
    <n v="3.4"/>
    <n v="0"/>
    <n v="54.733504306137"/>
  </r>
  <r>
    <s v="CNOB US Equity"/>
    <s v="CONNECTONE BANCO"/>
    <s v="Financials"/>
    <s v="Banking"/>
    <x v="26"/>
    <s v="UNITED STATES"/>
    <n v="1.4"/>
    <n v="5"/>
    <n v="290297"/>
    <n v="50.155535968745298"/>
  </r>
  <r>
    <s v="CNP US Equity"/>
    <s v="CENTERPOINT ENER"/>
    <s v="Utilities"/>
    <s v="Utilities"/>
    <x v="38"/>
    <s v="UNITED STATES"/>
    <n v="25.32"/>
    <n v="4"/>
    <n v="0"/>
    <n v="68.299316726730424"/>
  </r>
  <r>
    <s v="CNQ CT Equity"/>
    <s v="CAN NATURAL RES"/>
    <s v="Energy"/>
    <s v="Oil &amp; Gas"/>
    <x v="20"/>
    <s v="CANADA"/>
    <n v="75.13"/>
    <n v="4.08"/>
    <n v="71712"/>
    <n v="73.502583640029229"/>
  </r>
  <r>
    <s v="CNQ US Equity"/>
    <s v="CAN NATURAL RES"/>
    <s v="Energy"/>
    <s v="Oil &amp; Gas"/>
    <x v="20"/>
    <s v="CANADA"/>
    <n v="75.28"/>
    <n v="4.08"/>
    <n v="71846"/>
    <n v="73.467597637563301"/>
  </r>
  <r>
    <s v="CNR US Equity"/>
    <s v="CORE NATURAL RES"/>
    <s v="Materials"/>
    <s v="Materials"/>
    <x v="22"/>
    <s v="UNITED STATES"/>
    <n v="5.08"/>
    <n v="5"/>
    <n v="0"/>
    <n v="49.929364741239219"/>
  </r>
  <r>
    <s v="CNS US Equity"/>
    <s v="COHEN &amp; STEERS"/>
    <s v="Financials"/>
    <s v="Financial Services"/>
    <x v="24"/>
    <s v="UNITED STATES"/>
    <n v="3.36"/>
    <n v="3"/>
    <n v="17560204"/>
    <n v="50.051584708402373"/>
  </r>
  <r>
    <s v="CNTA US Equity"/>
    <s v="CENTESSA PHARMAC"/>
    <s v="Health Care"/>
    <s v="Health Care"/>
    <x v="25"/>
    <s v="UNITED STATES"/>
    <n v="3.73"/>
    <n v="5"/>
    <n v="0"/>
    <n v="43.577332121632445"/>
  </r>
  <r>
    <s v="CNTB US Equity"/>
    <s v="CONNECT BIOPHARM"/>
    <s v="Health Care"/>
    <s v="Health Care"/>
    <x v="25"/>
    <s v="UNITED STATES"/>
    <n v="0.14000000000000001"/>
    <n v="5"/>
    <n v="0"/>
    <n v="56.550996025936186"/>
  </r>
  <r>
    <s v="CNTX US Equity"/>
    <s v="CONTEXT THERAPEU"/>
    <s v="Health Care"/>
    <s v="Health Care"/>
    <x v="25"/>
    <s v="UNITED STATES"/>
    <n v="0.17"/>
    <n v="4.8899999999999997"/>
    <n v="0"/>
    <n v="66.221504378173165"/>
  </r>
  <r>
    <s v="CNX US Equity"/>
    <s v="CNX RESOURCES CO"/>
    <s v="Energy"/>
    <s v="Oil &amp; Gas"/>
    <x v="20"/>
    <s v="UNITED STATES"/>
    <n v="4.9400000000000004"/>
    <n v="2.5299999999999998"/>
    <n v="0"/>
    <n v="61.415708397891585"/>
  </r>
  <r>
    <s v="CNXC US Equity"/>
    <s v="CONCENTRIX CORP"/>
    <s v="Technology"/>
    <s v="Software &amp; Tech Services"/>
    <x v="14"/>
    <s v="UNITED STATES"/>
    <n v="2.67"/>
    <n v="4.2"/>
    <n v="216100"/>
    <n v="39.311869417266536"/>
  </r>
  <r>
    <s v="CNXN US Equity"/>
    <s v="PC CONNECTION"/>
    <s v="Consumer Discretionary"/>
    <s v="Retail &amp; Whsle - Discretionary"/>
    <x v="40"/>
    <s v="UNITED STATES"/>
    <n v="1.44"/>
    <n v="3"/>
    <n v="0"/>
    <n v="64.517008129733824"/>
  </r>
  <r>
    <s v="CO FP Equity"/>
    <s v="CASINO GUICHARD"/>
    <s v="Consumer Staples"/>
    <s v="Retail &amp; Wholesale - Staples"/>
    <x v="33"/>
    <s v="FRANCE"/>
    <n v="0.11"/>
    <n v="3"/>
    <n v="0"/>
    <n v="42.852145078573116"/>
  </r>
  <r>
    <s v="COCO US Equity"/>
    <s v="VITA COCO CO INC"/>
    <s v="Consumer Staples"/>
    <s v="Consumer Staple Products"/>
    <x v="11"/>
    <s v="UNITED STATES"/>
    <n v="2.98"/>
    <n v="4.45"/>
    <n v="0"/>
    <n v="60.914149652248412"/>
  </r>
  <r>
    <s v="CODA US Equity"/>
    <s v="CODA OCTOPUS GRO"/>
    <s v="Industrials"/>
    <s v="Industrial Products"/>
    <x v="32"/>
    <s v="UNITED STATES"/>
    <n v="0.12"/>
    <n v="5"/>
    <n v="0"/>
    <n v="55.280200852203322"/>
  </r>
  <r>
    <s v="CODI US Equity"/>
    <s v="COMPASS DIVERSIF"/>
    <s v="Financials"/>
    <s v="Financial Services"/>
    <x v="24"/>
    <s v="UNITED STATES"/>
    <n v="0.46"/>
    <n v="3.67"/>
    <n v="0"/>
    <n v="58.325335947687535"/>
  </r>
  <r>
    <s v="COF US Equity"/>
    <s v="CAPITAL ONE FINA"/>
    <s v="Financials"/>
    <s v="Financial Services"/>
    <x v="35"/>
    <s v="UNITED STATES"/>
    <n v="135.83000000000001"/>
    <n v="4.5599999999999996"/>
    <n v="0"/>
    <n v="37.942517821309821"/>
  </r>
  <r>
    <s v="COFS US Equity"/>
    <s v="SCHOICEONE FINL"/>
    <s v="Financials"/>
    <s v="Banking"/>
    <x v="26"/>
    <s v="UNITED STATES"/>
    <n v="0.43"/>
    <n v="4.33"/>
    <n v="144200"/>
    <n v="49.972728704491708"/>
  </r>
  <r>
    <s v="COGT US Equity"/>
    <s v="COGENT BIOSCIENC"/>
    <s v="Health Care"/>
    <s v="Health Care"/>
    <x v="25"/>
    <s v="UNITED STATES"/>
    <n v="5.63"/>
    <n v="4.6900000000000004"/>
    <n v="0"/>
    <n v="49.621468564360228"/>
  </r>
  <r>
    <s v="COHN US Equity"/>
    <s v="COHEN &amp; CO INC"/>
    <s v="Financials"/>
    <s v="Financial Services"/>
    <x v="49"/>
    <s v="UNITED STATES"/>
    <n v="0.04"/>
    <n v="0"/>
    <n v="0"/>
    <n v="45.59657305269549"/>
  </r>
  <r>
    <s v="COHR US Equity"/>
    <s v="COHERENT CORP"/>
    <s v="Technology"/>
    <s v="Tech Hardware &amp; Semiconductors"/>
    <x v="17"/>
    <s v="UNITED STATES"/>
    <n v="30.95"/>
    <n v="4.43"/>
    <n v="0"/>
    <n v="57.210608372173226"/>
  </r>
  <r>
    <s v="COHU US Equity"/>
    <s v="COHU INC"/>
    <s v="Technology"/>
    <s v="Tech Hardware &amp; Semiconductors"/>
    <x v="17"/>
    <s v="UNITED STATES"/>
    <n v="1.32"/>
    <n v="5"/>
    <n v="0"/>
    <n v="76.389855714067778"/>
  </r>
  <r>
    <s v="COIN US Equity"/>
    <s v="COINBASE GLOBA-A"/>
    <s v="Financials"/>
    <s v="Financial Services"/>
    <x v="49"/>
    <s v="UNITED STATES"/>
    <n v="58.5"/>
    <n v="4.07"/>
    <n v="0"/>
    <n v="25.991504627080445"/>
  </r>
  <r>
    <s v="COKE US Equity"/>
    <s v="COCA-COLA CONSOL"/>
    <s v="Consumer Staples"/>
    <s v="Consumer Staple Products"/>
    <x v="11"/>
    <s v="UNITED STATES"/>
    <n v="12.84"/>
    <n v="0"/>
    <n v="0"/>
    <n v="59.002239998250197"/>
  </r>
  <r>
    <s v="COLB US Equity"/>
    <s v="COLUMBIA BANKING"/>
    <s v="Financials"/>
    <s v="Banking"/>
    <x v="26"/>
    <s v="UNITED STATES"/>
    <n v="8.5299999999999994"/>
    <n v="3.62"/>
    <n v="0"/>
    <n v="66.448849726410202"/>
  </r>
  <r>
    <s v="COLL US Equity"/>
    <s v="COLLEGIUM PHARMA"/>
    <s v="Health Care"/>
    <s v="Health Care"/>
    <x v="25"/>
    <s v="UNITED STATES"/>
    <n v="1.44"/>
    <n v="4.67"/>
    <n v="0"/>
    <n v="43.69507965408566"/>
  </r>
  <r>
    <s v="COLM US Equity"/>
    <s v="COLUMBIA SPORTSW"/>
    <s v="Consumer Discretionary"/>
    <s v="Consumer Discretionary Products"/>
    <x v="5"/>
    <s v="UNITED STATES"/>
    <n v="2.85"/>
    <n v="3.44"/>
    <n v="31734"/>
    <n v="62.36821231029149"/>
  </r>
  <r>
    <s v="COLO US Equity"/>
    <s v="GLOBAL X MSCI CO"/>
    <s v="Financials"/>
    <s v="Financial Services"/>
    <x v="24"/>
    <s v="UNITED STATES"/>
    <n v="0.14000000000000001"/>
    <n v="0"/>
    <n v="0"/>
    <n v="55.177837402940639"/>
  </r>
  <r>
    <s v="COMP US Equity"/>
    <s v="COMPASS INC - A"/>
    <s v="Real Estate"/>
    <s v="Real Estate"/>
    <x v="7"/>
    <s v="UNITED STATES"/>
    <n v="9.65"/>
    <n v="4.5999999999999996"/>
    <n v="0"/>
    <n v="38.734563659757903"/>
  </r>
  <r>
    <s v="CON US Equity"/>
    <s v="CONCENTRA GROUP"/>
    <s v="Health Care"/>
    <s v="Health Care"/>
    <x v="31"/>
    <s v="UNITED STATES"/>
    <n v="2.76"/>
    <n v="4.75"/>
    <n v="0"/>
    <n v="74.30687906774024"/>
  </r>
  <r>
    <s v="COO US Equity"/>
    <s v="COOPER COS INC"/>
    <s v="Health Care"/>
    <s v="Health Care"/>
    <x v="9"/>
    <s v="UNITED STATES"/>
    <n v="15.93"/>
    <n v="3.95"/>
    <n v="2762966"/>
    <n v="57.609500438208329"/>
  </r>
  <r>
    <s v="COP US Equity"/>
    <s v="CONOCOPHILLIPS"/>
    <s v="Energy"/>
    <s v="Oil &amp; Gas"/>
    <x v="20"/>
    <s v="UNITED STATES"/>
    <n v="121.53"/>
    <n v="4.42"/>
    <n v="567283"/>
    <n v="68.584871153685214"/>
  </r>
  <r>
    <s v="COPX US Equity"/>
    <s v="GLOBAL X COPPER"/>
    <s v="Financials"/>
    <s v="Financial Services"/>
    <x v="24"/>
    <s v="UNITED STATES"/>
    <n v="6.42"/>
    <n v="0"/>
    <n v="0"/>
    <n v="59.607311853007751"/>
  </r>
  <r>
    <s v="COR US Equity"/>
    <s v="CENCORA INC"/>
    <s v="Health Care"/>
    <s v="Health Care"/>
    <x v="31"/>
    <s v="UNITED STATES"/>
    <n v="68.760000000000005"/>
    <n v="4.67"/>
    <n v="0"/>
    <n v="58.299679613743933"/>
  </r>
  <r>
    <s v="CORT US Equity"/>
    <s v="CORCEPT THERA"/>
    <s v="Health Care"/>
    <s v="Health Care"/>
    <x v="25"/>
    <s v="UNITED STATES"/>
    <n v="4.63"/>
    <n v="4"/>
    <n v="0"/>
    <n v="40.323932639872041"/>
  </r>
  <r>
    <s v="CORZ US Equity"/>
    <s v="CORE SCIENTIFIC"/>
    <s v="Financials"/>
    <s v="Financial Services"/>
    <x v="24"/>
    <s v="UNITED STATES"/>
    <n v="5.83"/>
    <n v="4.74"/>
    <n v="93950"/>
    <n v="52.937366647563842"/>
  </r>
  <r>
    <s v="COST US Equity"/>
    <s v="COSTCO WHOLESALE"/>
    <s v="Consumer Staples"/>
    <s v="Retail &amp; Wholesale - Staples"/>
    <x v="33"/>
    <s v="UNITED STATES"/>
    <n v="436.43"/>
    <n v="4.12"/>
    <n v="0"/>
    <n v="58.447035757621357"/>
  </r>
  <r>
    <s v="COTY US Equity"/>
    <s v="COTY INC-CL A"/>
    <s v="Consumer Staples"/>
    <s v="Consumer Staple Products"/>
    <x v="62"/>
    <s v="UNITED STATES"/>
    <n v="2.94"/>
    <n v="3"/>
    <n v="1125264"/>
    <n v="30.774120762419713"/>
  </r>
  <r>
    <s v="COUR US Equity"/>
    <s v="COURSERA"/>
    <s v="Consumer Discretionary"/>
    <s v="Consumer Discretionary Services"/>
    <x v="41"/>
    <s v="UNITED STATES"/>
    <n v="1.08"/>
    <n v="4.1399999999999997"/>
    <n v="0"/>
    <n v="29.338597755033419"/>
  </r>
  <r>
    <s v="CP US Equity"/>
    <s v="CANADIAN PACIFIC"/>
    <s v="Industrials"/>
    <s v="Industrial Services"/>
    <x v="12"/>
    <s v="CANADA"/>
    <n v="65.349999999999994"/>
    <n v="4.68"/>
    <n v="0"/>
    <n v="75.424072331048507"/>
  </r>
  <r>
    <s v="CPA US Equity"/>
    <s v="COPA HOLDIN-CL A"/>
    <s v="Industrials"/>
    <s v="Industrial Services"/>
    <x v="12"/>
    <s v="PANAMA"/>
    <n v="5.51"/>
    <n v="4.75"/>
    <n v="0"/>
    <n v="70.740254367078066"/>
  </r>
  <r>
    <s v="CPAC US Equity"/>
    <s v="CEMENTOS PACASMA"/>
    <s v="Materials"/>
    <s v="Materials"/>
    <x v="48"/>
    <s v="PERU"/>
    <n v="1.02"/>
    <n v="3.33"/>
    <n v="0"/>
    <n v="57.480212782322887"/>
  </r>
  <r>
    <s v="CPAY US Equity"/>
    <s v="CORPAY INC"/>
    <s v="Financials"/>
    <s v="Financial Services"/>
    <x v="35"/>
    <s v="UNITED STATES"/>
    <n v="22.42"/>
    <n v="4.53"/>
    <n v="2564160"/>
    <n v="60.387233496892847"/>
  </r>
  <r>
    <s v="CPB US Equity"/>
    <s v="THE CAMPBELL'S C"/>
    <s v="Consumer Staples"/>
    <s v="Consumer Staple Products"/>
    <x v="42"/>
    <s v="UNITED STATES"/>
    <n v="7.99"/>
    <n v="2.91"/>
    <n v="0"/>
    <n v="65.044320614762185"/>
  </r>
  <r>
    <s v="CPBI US Equity"/>
    <s v="CENTRAL PLAINS B"/>
    <s v="Financials"/>
    <s v="Banking"/>
    <x v="26"/>
    <s v="UNITED STATES"/>
    <n v="7.0000000000000007E-2"/>
    <n v="0"/>
    <n v="0"/>
    <n v="62.231097301633518"/>
  </r>
  <r>
    <s v="CPF US Equity"/>
    <s v="CENTRAL PACIFIC"/>
    <s v="Financials"/>
    <s v="Banking"/>
    <x v="26"/>
    <s v="UNITED STATES"/>
    <n v="0.84"/>
    <n v="3.67"/>
    <n v="0"/>
    <n v="61.425253963015827"/>
  </r>
  <r>
    <s v="CPG LN Equity"/>
    <s v="COMPASS GROUP"/>
    <s v="Industrials"/>
    <s v="Industrial Services"/>
    <x v="15"/>
    <s v="BRITAIN"/>
    <n v="51.81"/>
    <n v="4.1399999999999997"/>
    <n v="477997"/>
    <n v="31.903427883692032"/>
  </r>
  <r>
    <s v="CPIX US Equity"/>
    <s v="CUMBERLAND PHARM"/>
    <s v="Health Care"/>
    <s v="Health Care"/>
    <x v="25"/>
    <s v="UNITED STATES"/>
    <n v="0.06"/>
    <n v="0"/>
    <n v="11385"/>
    <n v="48.134790425869852"/>
  </r>
  <r>
    <s v="CPK US Equity"/>
    <s v="CHESAPEAKE UTIL"/>
    <s v="Utilities"/>
    <s v="Utilities"/>
    <x v="57"/>
    <s v="UNITED STATES"/>
    <n v="2.96"/>
    <n v="4.33"/>
    <n v="0"/>
    <n v="57.9915540484593"/>
  </r>
  <r>
    <s v="CPNG US Equity"/>
    <s v="COUPANG INC"/>
    <s v="Consumer Discretionary"/>
    <s v="Retail &amp; Whsle - Discretionary"/>
    <x v="51"/>
    <s v="UNITED STATES"/>
    <n v="36.51"/>
    <n v="4.75"/>
    <n v="0"/>
    <n v="32.287844589560663"/>
  </r>
  <r>
    <s v="CPRI US Equity"/>
    <s v="CAPRI HOLDINGS L"/>
    <s v="Consumer Discretionary"/>
    <s v="Consumer Discretionary Products"/>
    <x v="5"/>
    <s v="BRITAIN"/>
    <n v="2.94"/>
    <n v="3.89"/>
    <n v="0"/>
    <n v="35.840433778307727"/>
  </r>
  <r>
    <s v="CPRT US Equity"/>
    <s v="COPART INC"/>
    <s v="Consumer Discretionary"/>
    <s v="Retail &amp; Whsle - Discretionary"/>
    <x v="40"/>
    <s v="UNITED STATES"/>
    <n v="40.08"/>
    <n v="3.85"/>
    <n v="0"/>
    <n v="45.118494129050355"/>
  </r>
  <r>
    <s v="CPRX US Equity"/>
    <s v="CATALYST PHARMAC"/>
    <s v="Health Care"/>
    <s v="Health Care"/>
    <x v="25"/>
    <s v="UNITED STATES"/>
    <n v="2.9"/>
    <n v="5"/>
    <n v="0"/>
    <n v="49.452475103860543"/>
  </r>
  <r>
    <s v="CPS US Equity"/>
    <s v="COOPER-STANDARD"/>
    <s v="Consumer Discretionary"/>
    <s v="Consumer Discretionary Products"/>
    <x v="8"/>
    <s v="UNITED STATES"/>
    <n v="0.55000000000000004"/>
    <n v="4.33"/>
    <n v="93540"/>
    <n v="66.432767494542276"/>
  </r>
  <r>
    <s v="CPSH US Equity"/>
    <s v="CPS TECHNOLOGIES"/>
    <s v="Materials"/>
    <s v="Materials"/>
    <x v="21"/>
    <s v="UNITED STATES"/>
    <n v="0.1"/>
    <n v="5"/>
    <n v="440934"/>
    <n v="50.12895843294995"/>
  </r>
  <r>
    <s v="CPSS US Equity"/>
    <s v="CONSUMER PORTFOL"/>
    <s v="Financials"/>
    <s v="Financial Services"/>
    <x v="35"/>
    <s v="UNITED STATES"/>
    <n v="0.18"/>
    <n v="0"/>
    <n v="0"/>
    <n v="45.334990788033757"/>
  </r>
  <r>
    <s v="CPT US Equity"/>
    <s v="CAMDEN PROP TR"/>
    <s v="Real Estate"/>
    <s v="Real Estate"/>
    <x v="37"/>
    <s v="UNITED STATES"/>
    <n v="11.48"/>
    <n v="3.44"/>
    <n v="0"/>
    <n v="58.680698992839631"/>
  </r>
  <r>
    <s v="CR US Equity"/>
    <s v="CRANE CO"/>
    <s v="Industrials"/>
    <s v="Industrial Products"/>
    <x v="3"/>
    <s v="UNITED STATES"/>
    <n v="11.76"/>
    <n v="4.3"/>
    <n v="0"/>
    <n v="56.449291339625169"/>
  </r>
  <r>
    <s v="CRAI US Equity"/>
    <s v="CRA INTERNATIONA"/>
    <s v="Industrials"/>
    <s v="Industrial Services"/>
    <x v="15"/>
    <s v="UNITED STATES"/>
    <n v="1.37"/>
    <n v="4"/>
    <n v="0"/>
    <n v="28.962045438101995"/>
  </r>
  <r>
    <s v="CRBG US Equity"/>
    <s v="COREBRIDGE FINAN"/>
    <s v="Financials"/>
    <s v="Insurance"/>
    <x v="23"/>
    <s v="UNITED STATES"/>
    <n v="15.64"/>
    <n v="4.33"/>
    <n v="0"/>
    <n v="53.327451007195734"/>
  </r>
  <r>
    <s v="CRC US Equity"/>
    <s v="CALIFORNIA RESOU"/>
    <s v="Energy"/>
    <s v="Oil &amp; Gas"/>
    <x v="20"/>
    <s v="UNITED STATES"/>
    <n v="4.38"/>
    <n v="4.75"/>
    <n v="289130"/>
    <n v="69.522117341058134"/>
  </r>
  <r>
    <s v="CRCL US Equity"/>
    <s v="CIRCLE INTERNET"/>
    <s v="Financials"/>
    <s v="Financial Services"/>
    <x v="35"/>
    <s v="UNITED STATES"/>
    <n v="16.8"/>
    <n v="3.86"/>
    <n v="0"/>
    <n v="35.950504821953501"/>
  </r>
  <r>
    <s v="CRCT US Equity"/>
    <s v="CRICUT INC- A"/>
    <s v="Technology"/>
    <s v="Tech Hardware &amp; Semiconductors"/>
    <x v="16"/>
    <s v="UNITED STATES"/>
    <n v="0.93"/>
    <n v="1"/>
    <n v="0"/>
    <n v="52.357252092519261"/>
  </r>
  <r>
    <s v="CRD/A US Equity"/>
    <s v="CRAWFORD &amp; CO-A"/>
    <s v="Financials"/>
    <s v="Insurance"/>
    <x v="23"/>
    <s v="UNITED STATES"/>
    <n v="0.53"/>
    <n v="5"/>
    <n v="0"/>
    <n v="42.230613454881457"/>
  </r>
  <r>
    <s v="CRDO US Equity"/>
    <s v="CREDO TECHNOLOGY"/>
    <s v="Technology"/>
    <s v="Tech Hardware &amp; Semiconductors"/>
    <x v="16"/>
    <s v="UNITED STATES"/>
    <n v="24.05"/>
    <n v="4.8099999999999996"/>
    <n v="0"/>
    <n v="48.748272310181882"/>
  </r>
  <r>
    <s v="CRESY US Equity"/>
    <s v="CRESUD SA-ADR"/>
    <s v="Real Estate"/>
    <s v="Real Estate"/>
    <x v="39"/>
    <s v="ARGENTINA"/>
    <n v="0.82"/>
    <n v="5"/>
    <n v="0"/>
    <n v="49.348685952152557"/>
  </r>
  <r>
    <s v="CRGY US Equity"/>
    <s v="CRESCENT ENERG-A"/>
    <s v="Energy"/>
    <s v="Oil &amp; Gas"/>
    <x v="20"/>
    <s v="UNITED STATES"/>
    <n v="2.86"/>
    <n v="4.7300000000000004"/>
    <n v="0"/>
    <n v="68.115508053911441"/>
  </r>
  <r>
    <s v="CRH US Equity"/>
    <s v="CRH PLC"/>
    <s v="Materials"/>
    <s v="Materials"/>
    <x v="48"/>
    <s v="IRELAND"/>
    <n v="82.13"/>
    <n v="4.5199999999999996"/>
    <n v="0"/>
    <n v="56.588863882214149"/>
  </r>
  <r>
    <s v="CRI US Equity"/>
    <s v="CARTER'S INC"/>
    <s v="Consumer Discretionary"/>
    <s v="Consumer Discretionary Products"/>
    <x v="5"/>
    <s v="UNITED STATES"/>
    <n v="1.3"/>
    <n v="2.25"/>
    <n v="0"/>
    <n v="59.401509871907201"/>
  </r>
  <r>
    <s v="CRK US Equity"/>
    <s v="COMSTOCK RES INC"/>
    <s v="Energy"/>
    <s v="Oil &amp; Gas"/>
    <x v="20"/>
    <s v="UNITED STATES"/>
    <n v="7.1"/>
    <n v="2.79"/>
    <n v="0"/>
    <n v="40.766167752320143"/>
  </r>
  <r>
    <s v="CRL US Equity"/>
    <s v="CHARLES RIVER LA"/>
    <s v="Health Care"/>
    <s v="Health Care"/>
    <x v="31"/>
    <s v="UNITED STATES"/>
    <n v="10.81"/>
    <n v="4.1100000000000003"/>
    <n v="0"/>
    <n v="24.49204181428766"/>
  </r>
  <r>
    <s v="CRM US Equity"/>
    <s v="SALESFORCE INC"/>
    <s v="Technology"/>
    <s v="Software &amp; Tech Services"/>
    <x v="14"/>
    <s v="UNITED STATES"/>
    <n v="213.68"/>
    <n v="4.5"/>
    <n v="1216875"/>
    <n v="21.646803638573957"/>
  </r>
  <r>
    <s v="CRMD US Equity"/>
    <s v="CORMEDIX INC"/>
    <s v="Health Care"/>
    <s v="Health Care"/>
    <x v="25"/>
    <s v="UNITED STATES"/>
    <n v="0.56999999999999995"/>
    <n v="4.8600000000000003"/>
    <n v="181750"/>
    <n v="38.79733958000017"/>
  </r>
  <r>
    <s v="CRML US Equity"/>
    <s v="CRITICAL METALS"/>
    <s v="Materials"/>
    <s v="Materials"/>
    <x v="22"/>
    <s v="UNITED STATES"/>
    <n v="2.4300000000000002"/>
    <n v="5"/>
    <n v="0"/>
    <n v="42.683304461108726"/>
  </r>
  <r>
    <s v="CRNC US Equity"/>
    <s v="CERENCE INC"/>
    <s v="Technology"/>
    <s v="Software &amp; Tech Services"/>
    <x v="14"/>
    <s v="UNITED STATES"/>
    <n v="0.51"/>
    <n v="3.4"/>
    <n v="0"/>
    <n v="32.344135955148701"/>
  </r>
  <r>
    <s v="CRNX US Equity"/>
    <s v="CRINETICS PHARMA"/>
    <s v="Health Care"/>
    <s v="Health Care"/>
    <x v="25"/>
    <s v="UNITED STATES"/>
    <n v="5.43"/>
    <n v="4.8099999999999996"/>
    <n v="0"/>
    <n v="43.065297548882413"/>
  </r>
  <r>
    <s v="CRON US Equity"/>
    <s v="CRONOS GROUP INC"/>
    <s v="Consumer Staples"/>
    <s v="Consumer Staple Products"/>
    <x v="28"/>
    <s v="CANADA"/>
    <n v="1.06"/>
    <n v="3.67"/>
    <n v="0"/>
    <n v="48.287000101583615"/>
  </r>
  <r>
    <s v="CROX US Equity"/>
    <s v="CROCS INC"/>
    <s v="Consumer Discretionary"/>
    <s v="Consumer Discretionary Products"/>
    <x v="5"/>
    <s v="UNITED STATES"/>
    <n v="4.46"/>
    <n v="3.38"/>
    <n v="709042"/>
    <n v="43.250581254027352"/>
  </r>
  <r>
    <s v="CRS US Equity"/>
    <s v="CARPENTER TECH"/>
    <s v="Materials"/>
    <s v="Materials"/>
    <x v="56"/>
    <s v="UNITED STATES"/>
    <n v="16.73"/>
    <n v="4.78"/>
    <n v="0"/>
    <n v="63.534559313520504"/>
  </r>
  <r>
    <s v="CRSP US Equity"/>
    <s v="CRISPR THERAPEUT"/>
    <s v="Health Care"/>
    <s v="Health Care"/>
    <x v="25"/>
    <s v="SWITZERLAND"/>
    <n v="5.29"/>
    <n v="4.03"/>
    <n v="1110400"/>
    <n v="40.779524786059802"/>
  </r>
  <r>
    <s v="CRSR US Equity"/>
    <s v="CORSAIR GAMING I"/>
    <s v="Technology"/>
    <s v="Tech Hardware &amp; Semiconductors"/>
    <x v="16"/>
    <s v="UNITED STATES"/>
    <n v="0.56000000000000005"/>
    <n v="4"/>
    <n v="795000"/>
    <n v="36.476673991796567"/>
  </r>
  <r>
    <s v="CRTO US Equity"/>
    <s v="CRITEO SA-ADR"/>
    <s v="Communications"/>
    <s v="Media"/>
    <x v="53"/>
    <s v="FRANCE"/>
    <n v="1.07"/>
    <n v="4.38"/>
    <n v="237434"/>
    <n v="40.817167491384353"/>
  </r>
  <r>
    <s v="CRUS US Equity"/>
    <s v="CIRRUS LOGIC INC"/>
    <s v="Technology"/>
    <s v="Tech Hardware &amp; Semiconductors"/>
    <x v="17"/>
    <s v="UNITED STATES"/>
    <n v="6.5"/>
    <n v="4.13"/>
    <n v="0"/>
    <n v="65.920561416736035"/>
  </r>
  <r>
    <s v="CRVL US Equity"/>
    <s v="CORVEL CORP"/>
    <s v="Health Care"/>
    <s v="Health Care"/>
    <x v="31"/>
    <s v="UNITED STATES"/>
    <n v="3.58"/>
    <n v="0"/>
    <n v="0"/>
    <n v="20.33230888759455"/>
  </r>
  <r>
    <s v="CRVS US Equity"/>
    <s v="CORVUS PHARMACEU"/>
    <s v="Health Care"/>
    <s v="Health Care"/>
    <x v="25"/>
    <s v="UNITED STATES"/>
    <n v="2.0699999999999998"/>
    <n v="5"/>
    <n v="0"/>
    <n v="60.568319729650995"/>
  </r>
  <r>
    <s v="CRWD US Equity"/>
    <s v="CROWDSTRIKE HO-A"/>
    <s v="Technology"/>
    <s v="Software &amp; Tech Services"/>
    <x v="14"/>
    <s v="UNITED STATES"/>
    <n v="114.07"/>
    <n v="4.16"/>
    <n v="0"/>
    <n v="40.371507672846732"/>
  </r>
  <r>
    <s v="CRWV US Equity"/>
    <s v="COREWEAVE I-CL A"/>
    <s v="Technology"/>
    <s v="Software &amp; Tech Services"/>
    <x v="14"/>
    <s v="UNITED STATES"/>
    <n v="46.91"/>
    <n v="3.85"/>
    <n v="0"/>
    <n v="53.813636599631423"/>
  </r>
  <r>
    <s v="CS CT Equity"/>
    <s v="CAPSTONE COPPER"/>
    <s v="Materials"/>
    <s v="Materials"/>
    <x v="22"/>
    <s v="CANADA"/>
    <n v="8.56"/>
    <n v="4.8899999999999997"/>
    <n v="168113"/>
    <n v="59.86135139059715"/>
  </r>
  <r>
    <s v="CSAN US Equity"/>
    <s v="COSAN -ADR"/>
    <s v="Energy"/>
    <s v="Oil &amp; Gas"/>
    <x v="20"/>
    <s v="BRAZIL"/>
    <n v="4.3099999999999996"/>
    <n v="3.5"/>
    <n v="0"/>
    <n v="67.69299656664262"/>
  </r>
  <r>
    <s v="CSCO US Equity"/>
    <s v="CISCO SYSTEMS"/>
    <s v="Technology"/>
    <s v="Tech Hardware &amp; Semiconductors"/>
    <x v="16"/>
    <s v="UNITED STATES"/>
    <n v="294.70999999999998"/>
    <n v="4.07"/>
    <n v="0"/>
    <n v="69.849947535890891"/>
  </r>
  <r>
    <s v="CSGP US Equity"/>
    <s v="COSTAR GROUP INC"/>
    <s v="Real Estate"/>
    <s v="Real Estate"/>
    <x v="7"/>
    <s v="UNITED STATES"/>
    <n v="27.8"/>
    <n v="4.1900000000000004"/>
    <n v="0"/>
    <n v="22.393107371112848"/>
  </r>
  <r>
    <s v="CSGS US Equity"/>
    <s v="CSG SYSTEMS INTL"/>
    <s v="Industrials"/>
    <s v="Industrial Services"/>
    <x v="15"/>
    <s v="UNITED STATES"/>
    <n v="2.27"/>
    <n v="3"/>
    <n v="0"/>
    <n v="57.479741838177098"/>
  </r>
  <r>
    <s v="CSIQ US Equity"/>
    <s v="CANADIAN SOLAR I"/>
    <s v="Energy"/>
    <s v="Renewable Energy"/>
    <x v="45"/>
    <s v="CANADA"/>
    <n v="1.5"/>
    <n v="2.85"/>
    <n v="0"/>
    <n v="48.265950689851486"/>
  </r>
  <r>
    <s v="CSL US Equity"/>
    <s v="CARLISLE COS INC"/>
    <s v="Materials"/>
    <s v="Materials"/>
    <x v="48"/>
    <s v="UNITED STATES"/>
    <n v="14.59"/>
    <n v="3.91"/>
    <n v="0"/>
    <n v="79.122864314562946"/>
  </r>
  <r>
    <s v="CSR US Equity"/>
    <s v="CENTERSPACE"/>
    <s v="Real Estate"/>
    <s v="Real Estate"/>
    <x v="37"/>
    <s v="UNITED STATES"/>
    <n v="1.07"/>
    <n v="3.83"/>
    <n v="112175"/>
    <n v="48.731685295673934"/>
  </r>
  <r>
    <s v="CSTL US Equity"/>
    <s v="CASTLE BIOSCIENC"/>
    <s v="Health Care"/>
    <s v="Health Care"/>
    <x v="9"/>
    <s v="UNITED STATES"/>
    <n v="1.23"/>
    <n v="5"/>
    <n v="0"/>
    <n v="25.663622527363316"/>
  </r>
  <r>
    <s v="CSTM US Equity"/>
    <s v="CONSTELLIUM SE"/>
    <s v="Materials"/>
    <s v="Materials"/>
    <x v="22"/>
    <s v="FRANCE"/>
    <n v="3.16"/>
    <n v="5"/>
    <n v="0"/>
    <n v="67.614114587488501"/>
  </r>
  <r>
    <s v="CSU CT Equity"/>
    <s v="CONSTELLATION SO"/>
    <s v="Technology"/>
    <s v="Software &amp; Tech Services"/>
    <x v="14"/>
    <s v="CANADA"/>
    <n v="42.98"/>
    <n v="4.54"/>
    <n v="1084945"/>
    <n v="28.162028101727344"/>
  </r>
  <r>
    <s v="CSV US Equity"/>
    <s v="CARRIAGE SERVICE"/>
    <s v="Consumer Discretionary"/>
    <s v="Consumer Discretionary Services"/>
    <x v="41"/>
    <s v="UNITED STATES"/>
    <n v="0.68"/>
    <n v="5"/>
    <n v="0"/>
    <n v="58.564185335461076"/>
  </r>
  <r>
    <s v="CSW US Equity"/>
    <s v="CSW INDUSTRI INC"/>
    <s v="Industrials"/>
    <s v="Industrial Products"/>
    <x v="3"/>
    <s v="UNITED STATES"/>
    <n v="5.33"/>
    <n v="3.5"/>
    <n v="0"/>
    <n v="60.416042320140349"/>
  </r>
  <r>
    <s v="CSWC US Equity"/>
    <s v="CAP SOUTHWEST"/>
    <s v="Financials"/>
    <s v="Financial Services"/>
    <x v="24"/>
    <s v="UNITED STATES"/>
    <n v="1.33"/>
    <n v="4.13"/>
    <n v="26080"/>
    <n v="56.049546156999725"/>
  </r>
  <r>
    <s v="CSX US Equity"/>
    <s v="CSX CORP"/>
    <s v="Industrials"/>
    <s v="Industrial Services"/>
    <x v="12"/>
    <s v="UNITED STATES"/>
    <n v="68.23"/>
    <n v="4.5599999999999996"/>
    <n v="2015200"/>
    <n v="79.815324709447964"/>
  </r>
  <r>
    <s v="CTAS US Equity"/>
    <s v="CINTAS CORP"/>
    <s v="Industrials"/>
    <s v="Industrial Services"/>
    <x v="15"/>
    <s v="UNITED STATES"/>
    <n v="77.16"/>
    <n v="3.64"/>
    <n v="0"/>
    <n v="68.319748210161151"/>
  </r>
  <r>
    <s v="CTBI US Equity"/>
    <s v="COMMUNI TRUST BA"/>
    <s v="Financials"/>
    <s v="Banking"/>
    <x v="26"/>
    <s v="UNITED STATES"/>
    <n v="1.1100000000000001"/>
    <n v="5"/>
    <n v="0"/>
    <n v="59.222576795537833"/>
  </r>
  <r>
    <s v="CTEC LN Equity"/>
    <s v="CONVATEC GROUP P"/>
    <s v="Health Care"/>
    <s v="Health Care"/>
    <x v="9"/>
    <s v="BRITAIN"/>
    <n v="6.22"/>
    <n v="4.71"/>
    <n v="226926"/>
    <n v="33.818785362197445"/>
  </r>
  <r>
    <s v="CTEV US Equity"/>
    <s v="CLARITEV CORP"/>
    <s v="Health Care"/>
    <s v="Health Care"/>
    <x v="31"/>
    <s v="UNITED STATES"/>
    <n v="0.48"/>
    <n v="4.5999999999999996"/>
    <n v="759999"/>
    <n v="25.287294496951361"/>
  </r>
  <r>
    <s v="CTGO US Equity"/>
    <s v="CONTANGO ORE INC"/>
    <s v="Materials"/>
    <s v="Materials"/>
    <x v="22"/>
    <s v="UNITED STATES"/>
    <n v="0.49"/>
    <n v="4.8"/>
    <n v="0"/>
    <n v="51.215180710726678"/>
  </r>
  <r>
    <s v="CTKB US Equity"/>
    <s v="CYTEK BIOSCIENCE"/>
    <s v="Health Care"/>
    <s v="Health Care"/>
    <x v="25"/>
    <s v="UNITED STATES"/>
    <n v="0.67"/>
    <n v="3.8"/>
    <n v="0"/>
    <n v="30.565927778619752"/>
  </r>
  <r>
    <s v="CTLP US Equity"/>
    <s v="CANTALOUPE INC"/>
    <s v="Technology"/>
    <s v="Software &amp; Tech Services"/>
    <x v="14"/>
    <s v="UNITED STATES"/>
    <n v="0.79"/>
    <n v="2.67"/>
    <n v="0"/>
    <n v="37.321265943866656"/>
  </r>
  <r>
    <s v="CTMX US Equity"/>
    <s v="CYTOMX THERAPEUT"/>
    <s v="Health Care"/>
    <s v="Health Care"/>
    <x v="25"/>
    <s v="UNITED STATES"/>
    <n v="0.94"/>
    <n v="4.78"/>
    <n v="0"/>
    <n v="55.701271879962491"/>
  </r>
  <r>
    <s v="CTNM US Equity"/>
    <s v="CONTINEUM THER-A"/>
    <s v="Health Care"/>
    <s v="Health Care"/>
    <x v="25"/>
    <s v="UNITED STATES"/>
    <n v="0.48"/>
    <n v="4.71"/>
    <n v="0"/>
    <n v="66.261357724496094"/>
  </r>
  <r>
    <s v="CTOS US Equity"/>
    <s v="CUSTOM TRUCK ONE"/>
    <s v="Industrials"/>
    <s v="Industrial Services"/>
    <x v="43"/>
    <s v="UNITED STATES"/>
    <n v="1.44"/>
    <n v="4"/>
    <n v="0"/>
    <n v="70.649016922192232"/>
  </r>
  <r>
    <s v="CTRA US Equity"/>
    <s v="COTERRA ENERGY I"/>
    <s v="Energy"/>
    <s v="Oil &amp; Gas"/>
    <x v="20"/>
    <s v="UNITED STATES"/>
    <n v="20.88"/>
    <n v="4.5199999999999996"/>
    <n v="0"/>
    <n v="77.221197988711566"/>
  </r>
  <r>
    <s v="CTRE US Equity"/>
    <s v="CARETRUST REI"/>
    <s v="Real Estate"/>
    <s v="Real Estate"/>
    <x v="37"/>
    <s v="UNITED STATES"/>
    <n v="8.23"/>
    <n v="4.7300000000000004"/>
    <n v="0"/>
    <n v="66.206831386590864"/>
  </r>
  <r>
    <s v="CTRI US Equity"/>
    <s v="CENTURI HOLDINGS"/>
    <s v="Industrials"/>
    <s v="Industrial Services"/>
    <x v="27"/>
    <s v="UNITED STATES"/>
    <n v="2.86"/>
    <n v="3.5"/>
    <n v="0"/>
    <n v="76.321197840228663"/>
  </r>
  <r>
    <s v="CTRN US Equity"/>
    <s v="CITI TRENDS INC"/>
    <s v="Consumer Discretionary"/>
    <s v="Retail &amp; Whsle - Discretionary"/>
    <x v="10"/>
    <s v="UNITED STATES"/>
    <n v="0.36"/>
    <n v="5"/>
    <n v="0"/>
    <n v="56.902530386606912"/>
  </r>
  <r>
    <s v="CTS US Equity"/>
    <s v="CTS CORP"/>
    <s v="Technology"/>
    <s v="Tech Hardware &amp; Semiconductors"/>
    <x v="16"/>
    <s v="UNITED STATES"/>
    <n v="1.44"/>
    <n v="0"/>
    <n v="0"/>
    <n v="79.375013629870963"/>
  </r>
  <r>
    <s v="CTSH US Equity"/>
    <s v="COGNIZANT TECH-A"/>
    <s v="Technology"/>
    <s v="Software &amp; Tech Services"/>
    <x v="34"/>
    <s v="UNITED STATES"/>
    <n v="40.630000000000003"/>
    <n v="3.86"/>
    <n v="0"/>
    <n v="27.087489623465061"/>
  </r>
  <r>
    <s v="CTVA US Equity"/>
    <s v="CORTEVA INC"/>
    <s v="Materials"/>
    <s v="Materials"/>
    <x v="21"/>
    <s v="UNITED STATES"/>
    <n v="48.97"/>
    <n v="4.46"/>
    <n v="0"/>
    <n v="66.418572645174706"/>
  </r>
  <r>
    <s v="CUBI US Equity"/>
    <s v="CUSTOMERS BANCOR"/>
    <s v="Financials"/>
    <s v="Banking"/>
    <x v="26"/>
    <s v="UNITED STATES"/>
    <n v="2.5499999999999998"/>
    <n v="4.1100000000000003"/>
    <n v="0"/>
    <n v="36.18880447176668"/>
  </r>
  <r>
    <s v="CUK US Equity"/>
    <s v="CARNIVAL PLC-ADR"/>
    <s v="Consumer Discretionary"/>
    <s v="Consumer Discretionary Services"/>
    <x v="6"/>
    <s v="UNITED STATES"/>
    <n v="37.47"/>
    <n v="5"/>
    <n v="0"/>
    <n v="61.292308192383885"/>
  </r>
  <r>
    <s v="CURA CT Equity"/>
    <s v="CURALEAF HOLDING"/>
    <s v="Consumer Staples"/>
    <s v="Consumer Staple Products"/>
    <x v="28"/>
    <s v="UNITED STATES"/>
    <n v="2.08"/>
    <n v="5"/>
    <n v="0"/>
    <n v="47.757238323351643"/>
  </r>
  <r>
    <s v="CURB US Equity"/>
    <s v="CURBLINE PROPERT"/>
    <s v="Real Estate"/>
    <s v="Real Estate"/>
    <x v="37"/>
    <s v="UNITED STATES"/>
    <n v="2.5299999999999998"/>
    <n v="4.78"/>
    <n v="0"/>
    <n v="71.951215338956501"/>
  </r>
  <r>
    <s v="CURI US Equity"/>
    <s v="CURIOSITYSTREAM"/>
    <s v="Communications"/>
    <s v="Media"/>
    <x v="47"/>
    <s v="UNITED STATES"/>
    <n v="0.21"/>
    <n v="5"/>
    <n v="0"/>
    <n v="32.696896048351235"/>
  </r>
  <r>
    <s v="CV US Equity"/>
    <s v="CAPSOVISION INC"/>
    <s v="Health Care"/>
    <s v="Health Care"/>
    <x v="9"/>
    <s v="UNITED STATES"/>
    <n v="0.28000000000000003"/>
    <n v="4.5"/>
    <n v="0"/>
    <n v="35.630991219250461"/>
  </r>
  <r>
    <s v="CVBF US Equity"/>
    <s v="CVB FINANCIAL"/>
    <s v="Financials"/>
    <s v="Banking"/>
    <x v="26"/>
    <s v="UNITED STATES"/>
    <n v="2.69"/>
    <n v="3.67"/>
    <n v="1600314"/>
    <n v="56.396060677922343"/>
  </r>
  <r>
    <s v="CVCO US Equity"/>
    <s v="CAVCO INDUSTRIES"/>
    <s v="Consumer Discretionary"/>
    <s v="Consumer Discretionary Products"/>
    <x v="50"/>
    <s v="UNITED STATES"/>
    <n v="5.21"/>
    <n v="4"/>
    <n v="0"/>
    <n v="46.393382928027421"/>
  </r>
  <r>
    <s v="CVE US Equity"/>
    <s v="CENOVUS ENERGY"/>
    <s v="Energy"/>
    <s v="Oil &amp; Gas"/>
    <x v="20"/>
    <s v="CANADA"/>
    <n v="35.369999999999997"/>
    <n v="4.6500000000000004"/>
    <n v="65695"/>
    <n v="73.718165633687605"/>
  </r>
  <r>
    <s v="CVGW US Equity"/>
    <s v="CALAVO GROWERS I"/>
    <s v="Consumer Staples"/>
    <s v="Retail &amp; Wholesale - Staples"/>
    <x v="19"/>
    <s v="UNITED STATES"/>
    <n v="0.45"/>
    <n v="3"/>
    <n v="0"/>
    <n v="60.813499282321928"/>
  </r>
  <r>
    <s v="CVI US Equity"/>
    <s v="CVR ENERGY INC"/>
    <s v="Energy"/>
    <s v="Oil &amp; Gas"/>
    <x v="20"/>
    <s v="UNITED STATES"/>
    <n v="2.4700000000000002"/>
    <n v="1.75"/>
    <n v="0"/>
    <n v="50.014415252737265"/>
  </r>
  <r>
    <s v="CVLG US Equity"/>
    <s v="COVENANT LOGISTI"/>
    <s v="Industrials"/>
    <s v="Industrial Services"/>
    <x v="12"/>
    <s v="UNITED STATES"/>
    <n v="0.67"/>
    <n v="4.5"/>
    <n v="0"/>
    <n v="69.857769462977402"/>
  </r>
  <r>
    <s v="CVLT US Equity"/>
    <s v="COMMVAULT SYSTEM"/>
    <s v="Technology"/>
    <s v="Software &amp; Tech Services"/>
    <x v="14"/>
    <s v="UNITED STATES"/>
    <n v="5.46"/>
    <n v="4.71"/>
    <n v="0"/>
    <n v="32.72294373502443"/>
  </r>
  <r>
    <s v="CVNA US Equity"/>
    <s v="CARVANA CO"/>
    <s v="Consumer Discretionary"/>
    <s v="Retail &amp; Whsle - Discretionary"/>
    <x v="10"/>
    <s v="UNITED STATES"/>
    <n v="99.42"/>
    <n v="4.1900000000000004"/>
    <n v="0"/>
    <n v="35.606882971437116"/>
  </r>
  <r>
    <s v="CVS US Equity"/>
    <s v="CVS HEALTH CORP"/>
    <s v="Health Care"/>
    <s v="Health Care"/>
    <x v="31"/>
    <s v="UNITED STATES"/>
    <n v="105.38"/>
    <n v="4.66"/>
    <n v="0"/>
    <n v="48.898272569287471"/>
  </r>
  <r>
    <s v="CVX US Equity"/>
    <s v="CHEVRON CORP"/>
    <s v="Energy"/>
    <s v="Oil &amp; Gas"/>
    <x v="20"/>
    <s v="UNITED STATES"/>
    <n v="335.69"/>
    <n v="4.1500000000000004"/>
    <n v="0"/>
    <n v="77.671905807960499"/>
  </r>
  <r>
    <s v="CW US Equity"/>
    <s v="CURTISS-WRIGHT"/>
    <s v="Industrials"/>
    <s v="Industrial Products"/>
    <x v="32"/>
    <s v="UNITED STATES"/>
    <n v="23.93"/>
    <n v="4.33"/>
    <n v="0"/>
    <n v="50.40896589460997"/>
  </r>
  <r>
    <s v="CWAN US Equity"/>
    <s v="CLEARWATER AN-A"/>
    <s v="Technology"/>
    <s v="Software &amp; Tech Services"/>
    <x v="14"/>
    <s v="UNITED STATES"/>
    <n v="7.08"/>
    <n v="3.44"/>
    <n v="0"/>
    <n v="46.056385406585989"/>
  </r>
  <r>
    <s v="CWBC US Equity"/>
    <s v="COMMUNITY WEST B"/>
    <s v="Financials"/>
    <s v="Banking"/>
    <x v="26"/>
    <s v="UNITED STATES"/>
    <n v="0.46"/>
    <n v="4"/>
    <n v="57789"/>
    <n v="58.894364206925111"/>
  </r>
  <r>
    <s v="CWCO US Equity"/>
    <s v="CONS WATER CO-OR"/>
    <s v="Utilities"/>
    <s v="Utilities"/>
    <x v="57"/>
    <s v="CAYMAN ISLANDS"/>
    <n v="0.59"/>
    <n v="5"/>
    <n v="97636"/>
    <n v="52.481335792328665"/>
  </r>
  <r>
    <s v="CWEN US Equity"/>
    <s v="CLEARWAY ENERG-C"/>
    <s v="Utilities"/>
    <s v="Utilities"/>
    <x v="38"/>
    <s v="UNITED STATES"/>
    <n v="7.14"/>
    <n v="4.83"/>
    <n v="0"/>
    <n v="76.668479423633954"/>
  </r>
  <r>
    <s v="CWEN/A US Equity"/>
    <s v="CLEARWAY ENERG-A"/>
    <s v="Utilities"/>
    <s v="Utilities"/>
    <x v="38"/>
    <s v="UNITED STATES"/>
    <n v="7.14"/>
    <n v="5"/>
    <n v="0"/>
    <n v="75.594156746461323"/>
  </r>
  <r>
    <s v="CWH US Equity"/>
    <s v="CAMPING WORLD-A"/>
    <s v="Consumer Discretionary"/>
    <s v="Retail &amp; Whsle - Discretionary"/>
    <x v="10"/>
    <s v="UNITED STATES"/>
    <n v="1.47"/>
    <n v="4.57"/>
    <n v="0"/>
    <n v="50.262938587127159"/>
  </r>
  <r>
    <s v="CWK US Equity"/>
    <s v="CUSHMAN &amp; WAKEFI"/>
    <s v="Real Estate"/>
    <s v="Real Estate"/>
    <x v="7"/>
    <s v="UNITED STATES"/>
    <n v="3.75"/>
    <n v="3.92"/>
    <n v="0"/>
    <n v="32.645580482389875"/>
  </r>
  <r>
    <s v="CWST US Equity"/>
    <s v="CASELLA WASTE"/>
    <s v="Industrials"/>
    <s v="Industrial Services"/>
    <x v="15"/>
    <s v="UNITED STATES"/>
    <n v="6.72"/>
    <n v="4.09"/>
    <n v="0"/>
    <n v="63.391706324746586"/>
  </r>
  <r>
    <s v="CWT US Equity"/>
    <s v="CALIF WATER SRVC"/>
    <s v="Utilities"/>
    <s v="Utilities"/>
    <x v="57"/>
    <s v="UNITED STATES"/>
    <n v="2.63"/>
    <n v="5"/>
    <n v="24288"/>
    <n v="50.039501706880614"/>
  </r>
  <r>
    <s v="CX US Equity"/>
    <s v="CEMEX SAB-SP ADR"/>
    <s v="Materials"/>
    <s v="Materials"/>
    <x v="48"/>
    <s v="MEXICO"/>
    <n v="19.54"/>
    <n v="4.2"/>
    <n v="0"/>
    <n v="59.013612930023029"/>
  </r>
  <r>
    <s v="CXDO US Equity"/>
    <s v="CREXENDO INC"/>
    <s v="Technology"/>
    <s v="Software &amp; Tech Services"/>
    <x v="34"/>
    <s v="UNITED STATES"/>
    <n v="0.23"/>
    <n v="5"/>
    <n v="0"/>
    <n v="40.650181308744941"/>
  </r>
  <r>
    <s v="CXM US Equity"/>
    <s v="SPRINKLR INC-A"/>
    <s v="Technology"/>
    <s v="Software &amp; Tech Services"/>
    <x v="14"/>
    <s v="UNITED STATES"/>
    <n v="1.76"/>
    <n v="3.33"/>
    <n v="0"/>
    <n v="24.168429152381719"/>
  </r>
  <r>
    <s v="CXT US Equity"/>
    <s v="CRANE NXT CO"/>
    <s v="Technology"/>
    <s v="Tech Hardware &amp; Semiconductors"/>
    <x v="16"/>
    <s v="UNITED STATES"/>
    <n v="2.93"/>
    <n v="4.17"/>
    <n v="0"/>
    <n v="49.230109176757821"/>
  </r>
  <r>
    <s v="CXW US Equity"/>
    <s v="CORECIVIC INC"/>
    <s v="Industrials"/>
    <s v="Industrial Services"/>
    <x v="15"/>
    <s v="UNITED STATES"/>
    <n v="2.1"/>
    <n v="5"/>
    <n v="0"/>
    <n v="41.350773749563004"/>
  </r>
  <r>
    <s v="CYBR US Equity"/>
    <s v="CYBERARK SOFTWAR"/>
    <s v="Technology"/>
    <s v="Software &amp; Tech Services"/>
    <x v="14"/>
    <s v="ISRAEL"/>
    <n v="22.12"/>
    <n v="3.58"/>
    <n v="0"/>
    <n v="38.932034399315633"/>
  </r>
  <r>
    <s v="CYD US Equity"/>
    <s v="CHINA YUCHAI"/>
    <s v="Industrials"/>
    <s v="Industrial Products"/>
    <x v="3"/>
    <s v="SINGAPORE"/>
    <n v="1.66"/>
    <n v="4.25"/>
    <n v="0"/>
    <n v="74.501864032046285"/>
  </r>
  <r>
    <s v="CYH US Equity"/>
    <s v="COMMUNITY HEALTH"/>
    <s v="Health Care"/>
    <s v="Health Care"/>
    <x v="31"/>
    <s v="UNITED STATES"/>
    <n v="0.45"/>
    <n v="3"/>
    <n v="0"/>
    <n v="58.740830476824065"/>
  </r>
  <r>
    <s v="CYPH US Equity"/>
    <s v="CYPHERPUNK TECHN"/>
    <s v="Health Care"/>
    <s v="Health Care"/>
    <x v="25"/>
    <s v="UNITED STATES"/>
    <n v="0.05"/>
    <n v="0"/>
    <n v="0"/>
    <n v="35.422764494913267"/>
  </r>
  <r>
    <s v="CYRX US Equity"/>
    <s v="CRYOPORT"/>
    <s v="Industrials"/>
    <s v="Industrial Services"/>
    <x v="12"/>
    <s v="UNITED STATES"/>
    <n v="0.52"/>
    <n v="4.78"/>
    <n v="0"/>
    <n v="30.609397584317904"/>
  </r>
  <r>
    <s v="CYTK US Equity"/>
    <s v="CYTOKINETICS INC"/>
    <s v="Health Care"/>
    <s v="Health Care"/>
    <x v="25"/>
    <s v="UNITED STATES"/>
    <n v="7.75"/>
    <n v="4.6500000000000004"/>
    <n v="0"/>
    <n v="57.825550213945384"/>
  </r>
  <r>
    <s v="CZFS US Equity"/>
    <s v="CITIZENS FINL SV"/>
    <s v="Financials"/>
    <s v="Banking"/>
    <x v="26"/>
    <s v="UNITED STATES"/>
    <n v="0.32"/>
    <n v="5"/>
    <n v="34671"/>
    <n v="48.258915136314478"/>
  </r>
  <r>
    <s v="CZNC US Equity"/>
    <s v="CITIZENS &amp; NORTH"/>
    <s v="Financials"/>
    <s v="Banking"/>
    <x v="26"/>
    <s v="UNITED STATES"/>
    <n v="0.38"/>
    <n v="3"/>
    <n v="31933"/>
    <n v="66.578485054760989"/>
  </r>
  <r>
    <s v="CZR US Equity"/>
    <s v="CAESARS ENTERTAI"/>
    <s v="Consumer Discretionary"/>
    <s v="Consumer Discretionary Services"/>
    <x v="6"/>
    <s v="UNITED STATES"/>
    <n v="4.7699999999999996"/>
    <n v="4.09"/>
    <n v="23350"/>
    <n v="35.038958411037356"/>
  </r>
  <r>
    <s v="D US Equity"/>
    <s v="DOMINION ENERGY"/>
    <s v="Utilities"/>
    <s v="Utilities"/>
    <x v="38"/>
    <s v="UNITED STATES"/>
    <n v="50.89"/>
    <n v="3.1"/>
    <n v="247459"/>
    <n v="73.116530421795943"/>
  </r>
  <r>
    <s v="DAC US Equity"/>
    <s v="DANAOS CORP"/>
    <s v="Industrials"/>
    <s v="Industrial Services"/>
    <x v="12"/>
    <s v="GREECE"/>
    <n v="1.84"/>
    <n v="3"/>
    <n v="0"/>
    <n v="69.056597166006867"/>
  </r>
  <r>
    <s v="DAKT US Equity"/>
    <s v="DAKTRONICS INC"/>
    <s v="Technology"/>
    <s v="Tech Hardware &amp; Semiconductors"/>
    <x v="16"/>
    <s v="UNITED STATES"/>
    <n v="1.05"/>
    <n v="5"/>
    <n v="0"/>
    <n v="78.748992460792309"/>
  </r>
  <r>
    <s v="DAL US Equity"/>
    <s v="DELTA AIR LI"/>
    <s v="Industrials"/>
    <s v="Industrial Services"/>
    <x v="12"/>
    <s v="UNITED STATES"/>
    <n v="44.38"/>
    <n v="4.75"/>
    <n v="0"/>
    <n v="53.68031154911835"/>
  </r>
  <r>
    <s v="DAN US Equity"/>
    <s v="DANA INC"/>
    <s v="Consumer Discretionary"/>
    <s v="Consumer Discretionary Products"/>
    <x v="8"/>
    <s v="UNITED STATES"/>
    <n v="3.62"/>
    <n v="4.33"/>
    <n v="0"/>
    <n v="80.905441381021177"/>
  </r>
  <r>
    <s v="DANR IM Equity"/>
    <s v="DANIELI-RSP"/>
    <s v="Industrials"/>
    <s v="Industrial Products"/>
    <x v="3"/>
    <s v="ITALY"/>
    <n v="5.19"/>
    <n v="5"/>
    <n v="0"/>
    <n v="75.779572372639294"/>
  </r>
  <r>
    <s v="DAO US Equity"/>
    <s v="YOUDAO INC - ADR"/>
    <s v="Technology"/>
    <s v="Software &amp; Tech Services"/>
    <x v="14"/>
    <s v="CHINA"/>
    <n v="1.36"/>
    <n v="4.8"/>
    <n v="0"/>
    <n v="38.527178011871541"/>
  </r>
  <r>
    <s v="DAR US Equity"/>
    <s v="DARLING INGREDIE"/>
    <s v="Consumer Staples"/>
    <s v="Consumer Staple Products"/>
    <x v="42"/>
    <s v="UNITED STATES"/>
    <n v="6.76"/>
    <n v="4.7300000000000004"/>
    <n v="0"/>
    <n v="82.219252722137583"/>
  </r>
  <r>
    <s v="DASH US Equity"/>
    <s v="DOORDASH INC-A"/>
    <s v="Communications"/>
    <s v="Media"/>
    <x v="13"/>
    <s v="UNITED STATES"/>
    <n v="89.32"/>
    <n v="4.5199999999999996"/>
    <n v="0"/>
    <n v="23.303579075537172"/>
  </r>
  <r>
    <s v="DAVA US Equity"/>
    <s v="ENDAVA PLC-ADR"/>
    <s v="Technology"/>
    <s v="Software &amp; Tech Services"/>
    <x v="34"/>
    <s v="BRITAIN"/>
    <n v="0.38"/>
    <n v="3.73"/>
    <n v="0"/>
    <n v="32.789007554138507"/>
  </r>
  <r>
    <s v="DAVE US Equity"/>
    <s v="DAVE INC"/>
    <s v="Financials"/>
    <s v="Financial Services"/>
    <x v="35"/>
    <s v="UNITED STATES"/>
    <n v="2.48"/>
    <n v="4.88"/>
    <n v="0"/>
    <n v="41.398021140257704"/>
  </r>
  <r>
    <s v="DAWN US Equity"/>
    <s v="DAY ONE BIOPHARM"/>
    <s v="Health Care"/>
    <s v="Health Care"/>
    <x v="25"/>
    <s v="UNITED STATES"/>
    <n v="1.23"/>
    <n v="4.8"/>
    <n v="0"/>
    <n v="53.189419029701071"/>
  </r>
  <r>
    <s v="DAX Index"/>
    <s v="Deutsche Boerse Stock Index"/>
    <s v="Financials"/>
    <s v="Financial Services"/>
    <x v="63"/>
    <s v="GERMANY"/>
    <n v="0"/>
    <n v="0"/>
    <n v="0"/>
    <n v="52.640461773259993"/>
  </r>
  <r>
    <s v="DB US Equity"/>
    <s v="DEUTSCHE BANK-RG"/>
    <s v="Financials"/>
    <s v="Banking"/>
    <x v="26"/>
    <s v="GERMANY"/>
    <n v="74.67"/>
    <n v="3.2"/>
    <n v="406471"/>
    <n v="43.862034427653079"/>
  </r>
  <r>
    <s v="DBA IM Equity"/>
    <s v="DBA GROUP SPA"/>
    <s v="Technology"/>
    <s v="Software &amp; Tech Services"/>
    <x v="34"/>
    <s v="ITALY"/>
    <n v="0.05"/>
    <n v="5"/>
    <n v="0"/>
    <n v="40.754632521555045"/>
  </r>
  <r>
    <s v="DBD US Equity"/>
    <s v="DIEBOLD NIXDORF"/>
    <s v="Technology"/>
    <s v="Tech Hardware &amp; Semiconductors"/>
    <x v="16"/>
    <s v="UNITED STATES"/>
    <n v="2.5099999999999998"/>
    <n v="4.67"/>
    <n v="0"/>
    <n v="60.329928564017656"/>
  </r>
  <r>
    <s v="DBI US Equity"/>
    <s v="DESIGNER BRAND-A"/>
    <s v="Consumer Discretionary"/>
    <s v="Retail &amp; Whsle - Discretionary"/>
    <x v="10"/>
    <s v="UNITED STATES"/>
    <n v="0.34"/>
    <n v="3"/>
    <n v="0"/>
    <n v="45.997194569866807"/>
  </r>
  <r>
    <s v="DBRG US Equity"/>
    <s v="DIGITALBRIDGE GR"/>
    <s v="Financials"/>
    <s v="Financial Services"/>
    <x v="24"/>
    <s v="UNITED STATES"/>
    <n v="2.82"/>
    <n v="3.5"/>
    <n v="0"/>
    <n v="66.524987579145005"/>
  </r>
  <r>
    <s v="DBVT US Equity"/>
    <s v="DBV TECHNOLO-ADR"/>
    <s v="Health Care"/>
    <s v="Health Care"/>
    <x v="25"/>
    <s v="FRANCE"/>
    <n v="1.1599999999999999"/>
    <n v="4.29"/>
    <n v="0"/>
    <n v="55.059304559052386"/>
  </r>
  <r>
    <s v="DBX US Equity"/>
    <s v="DROPBOX INC-A"/>
    <s v="Technology"/>
    <s v="Software &amp; Tech Services"/>
    <x v="14"/>
    <s v="UNITED STATES"/>
    <n v="6.8"/>
    <n v="2.6"/>
    <n v="0"/>
    <n v="31.183213329983587"/>
  </r>
  <r>
    <s v="DC US Equity"/>
    <s v="DAKOTA GOLD CORP"/>
    <s v="Materials"/>
    <s v="Materials"/>
    <x v="22"/>
    <s v="UNITED STATES"/>
    <n v="0.78"/>
    <n v="4.75"/>
    <n v="77363"/>
    <n v="49.996932435918531"/>
  </r>
  <r>
    <s v="DCBO US Equity"/>
    <s v="DOCEBO INC"/>
    <s v="Technology"/>
    <s v="Software &amp; Tech Services"/>
    <x v="14"/>
    <s v="CANADA"/>
    <n v="0.53"/>
    <n v="4.6900000000000004"/>
    <n v="0"/>
    <n v="39.041469056275893"/>
  </r>
  <r>
    <s v="DCI US Equity"/>
    <s v="DONALDSON CO INC"/>
    <s v="Industrials"/>
    <s v="Industrial Products"/>
    <x v="3"/>
    <s v="UNITED STATES"/>
    <n v="11.63"/>
    <n v="3.25"/>
    <n v="0"/>
    <n v="77.945124268941598"/>
  </r>
  <r>
    <s v="DCO US Equity"/>
    <s v="DUCOMMUN INC"/>
    <s v="Industrials"/>
    <s v="Industrial Products"/>
    <x v="32"/>
    <s v="UNITED STATES"/>
    <n v="1.69"/>
    <n v="5"/>
    <n v="0"/>
    <n v="67.928747196385658"/>
  </r>
  <r>
    <s v="DCOM US Equity"/>
    <s v="DIME COMMUNITY B"/>
    <s v="Financials"/>
    <s v="Banking"/>
    <x v="26"/>
    <s v="UNITED STATES"/>
    <n v="1.44"/>
    <n v="4.5999999999999996"/>
    <n v="0"/>
    <n v="69.083572503363015"/>
  </r>
  <r>
    <s v="DCTH US Equity"/>
    <s v="DELCATH SYSTEMS"/>
    <s v="Health Care"/>
    <s v="Health Care"/>
    <x v="9"/>
    <s v="UNITED STATES"/>
    <n v="0.37"/>
    <n v="5"/>
    <n v="167280"/>
    <n v="43.362969435594835"/>
  </r>
  <r>
    <s v="DD US Equity"/>
    <s v="DUPONT DE NEMOUR"/>
    <s v="Materials"/>
    <s v="Materials"/>
    <x v="21"/>
    <s v="UNITED STATES"/>
    <n v="18.489999999999998"/>
    <n v="4.7"/>
    <n v="0"/>
    <n v="77.179555935488253"/>
  </r>
  <r>
    <s v="DDI US Equity"/>
    <s v="DOUBLEDOWN I-ADR"/>
    <s v="Communications"/>
    <s v="Media"/>
    <x v="47"/>
    <s v="SOUTH KOREA"/>
    <n v="0.44"/>
    <n v="5"/>
    <n v="0"/>
    <n v="43.252337389102777"/>
  </r>
  <r>
    <s v="DDL US Equity"/>
    <s v="DINGDONG-SPN ADR"/>
    <s v="Consumer Staples"/>
    <s v="Retail &amp; Wholesale - Staples"/>
    <x v="33"/>
    <s v="CHINA"/>
    <n v="0.66"/>
    <n v="4"/>
    <n v="0"/>
    <n v="56.884447715023896"/>
  </r>
  <r>
    <s v="DDOG US Equity"/>
    <s v="DATADOG INC-A"/>
    <s v="Technology"/>
    <s v="Software &amp; Tech Services"/>
    <x v="14"/>
    <s v="UNITED STATES"/>
    <n v="45.66"/>
    <n v="4.75"/>
    <n v="0"/>
    <n v="49.981281010845557"/>
  </r>
  <r>
    <s v="DDS US Equity"/>
    <s v="DILLARDS INC-A"/>
    <s v="Consumer Discretionary"/>
    <s v="Retail &amp; Whsle - Discretionary"/>
    <x v="10"/>
    <s v="UNITED STATES"/>
    <n v="9.8000000000000007"/>
    <n v="2"/>
    <n v="0"/>
    <n v="50.521580841094114"/>
  </r>
  <r>
    <s v="DE US Equity"/>
    <s v="DEERE &amp; CO"/>
    <s v="Industrials"/>
    <s v="Industrial Products"/>
    <x v="3"/>
    <s v="UNITED STATES"/>
    <n v="139.44999999999999"/>
    <n v="3.96"/>
    <n v="0"/>
    <n v="84.755452466075184"/>
  </r>
  <r>
    <s v="DEC US Equity"/>
    <s v="DIVERSIFIED ENER"/>
    <s v="Energy"/>
    <s v="Oil &amp; Gas"/>
    <x v="20"/>
    <s v="UNITED STATES"/>
    <n v="1.03"/>
    <n v="4.82"/>
    <n v="0"/>
    <n v="52.160931582971543"/>
  </r>
  <r>
    <s v="DECK US Equity"/>
    <s v="DECKERS OUTDOOR"/>
    <s v="Consumer Discretionary"/>
    <s v="Consumer Discretionary Products"/>
    <x v="5"/>
    <s v="UNITED STATES"/>
    <n v="14.57"/>
    <n v="3.67"/>
    <n v="0"/>
    <n v="62.038106702417686"/>
  </r>
  <r>
    <s v="DELL US Equity"/>
    <s v="DELL TECHN-C"/>
    <s v="Technology"/>
    <s v="Tech Hardware &amp; Semiconductors"/>
    <x v="16"/>
    <s v="UNITED STATES"/>
    <n v="77.69"/>
    <n v="4.42"/>
    <n v="0"/>
    <n v="54.477212982733803"/>
  </r>
  <r>
    <s v="DEO US Equity"/>
    <s v="DIAGEO PLC-ADR"/>
    <s v="Consumer Staples"/>
    <s v="Consumer Staple Products"/>
    <x v="11"/>
    <s v="BRITAIN"/>
    <n v="50.92"/>
    <n v="3.4"/>
    <n v="0"/>
    <n v="73.8686234294249"/>
  </r>
  <r>
    <s v="DERM US Equity"/>
    <s v="JOURNEY MEDICAL"/>
    <s v="Health Care"/>
    <s v="Health Care"/>
    <x v="25"/>
    <s v="UNITED STATES"/>
    <n v="0.28999999999999998"/>
    <n v="5"/>
    <n v="0"/>
    <n v="45.421349428853915"/>
  </r>
  <r>
    <s v="DFDV US Equity"/>
    <s v="DEFI DEVELOPMENT"/>
    <s v="Technology"/>
    <s v="Software &amp; Tech Services"/>
    <x v="14"/>
    <s v="UNITED STATES"/>
    <n v="0.19"/>
    <n v="5"/>
    <n v="189784"/>
    <n v="35.500531630083088"/>
  </r>
  <r>
    <s v="DFH US Equity"/>
    <s v="DREAM FINDERS-A"/>
    <s v="Consumer Discretionary"/>
    <s v="Consumer Discretionary Products"/>
    <x v="50"/>
    <s v="UNITED STATES"/>
    <n v="1.78"/>
    <n v="3.4"/>
    <n v="0"/>
    <n v="61.826258797545755"/>
  </r>
  <r>
    <s v="DFIN US Equity"/>
    <s v="DONNELLEY FINANC"/>
    <s v="Technology"/>
    <s v="Software &amp; Tech Services"/>
    <x v="14"/>
    <s v="UNITED STATES"/>
    <n v="1.44"/>
    <n v="4.67"/>
    <n v="0"/>
    <n v="25.354478001343409"/>
  </r>
  <r>
    <s v="DFTX US Equity"/>
    <s v="DEFINIUM THERAPE"/>
    <s v="Health Care"/>
    <s v="Health Care"/>
    <x v="25"/>
    <s v="UNITED STATES"/>
    <n v="1.71"/>
    <n v="5"/>
    <n v="0"/>
    <n v="58.856788575331883"/>
  </r>
  <r>
    <s v="DG US Equity"/>
    <s v="DOLLAR GENERAL C"/>
    <s v="Consumer Staples"/>
    <s v="Retail &amp; Wholesale - Staples"/>
    <x v="33"/>
    <s v="UNITED STATES"/>
    <n v="32.340000000000003"/>
    <n v="3.75"/>
    <n v="0"/>
    <n v="56.13056650629327"/>
  </r>
  <r>
    <s v="DGE LN Equity"/>
    <s v="DIAGEO PLC"/>
    <s v="Consumer Staples"/>
    <s v="Consumer Staple Products"/>
    <x v="11"/>
    <s v="BRITAIN"/>
    <n v="50.75"/>
    <n v="3.92"/>
    <n v="660111"/>
    <n v="69.202291687472155"/>
  </r>
  <r>
    <s v="DGICA US Equity"/>
    <s v="DONEGAL GRP-CL A"/>
    <s v="Financials"/>
    <s v="Insurance"/>
    <x v="23"/>
    <s v="UNITED STATES"/>
    <n v="0.65"/>
    <n v="4"/>
    <n v="73"/>
    <n v="45.220495953739515"/>
  </r>
  <r>
    <s v="DGICB US Equity"/>
    <s v="DONEGAL GROUP-B"/>
    <s v="Financials"/>
    <s v="Insurance"/>
    <x v="23"/>
    <s v="UNITED STATES"/>
    <n v="0.65"/>
    <n v="0"/>
    <n v="0"/>
    <n v="46.778387600718176"/>
  </r>
  <r>
    <s v="DGII US Equity"/>
    <s v="DIGI INTL INC"/>
    <s v="Technology"/>
    <s v="Software &amp; Tech Services"/>
    <x v="14"/>
    <s v="UNITED STATES"/>
    <n v="1.59"/>
    <n v="4.67"/>
    <n v="0"/>
    <n v="59.11098127994596"/>
  </r>
  <r>
    <s v="DGNX US Equity"/>
    <s v="DIGINEX LTD"/>
    <s v="Technology"/>
    <s v="Software &amp; Tech Services"/>
    <x v="14"/>
    <s v="BRITAIN"/>
    <n v="0.26"/>
    <n v="0"/>
    <n v="0"/>
    <n v="20.660732504474353"/>
  </r>
  <r>
    <s v="DGX US Equity"/>
    <s v="QUEST DIAGNOSTIC"/>
    <s v="Health Care"/>
    <s v="Health Care"/>
    <x v="31"/>
    <s v="UNITED STATES"/>
    <n v="20.14"/>
    <n v="3.76"/>
    <n v="0"/>
    <n v="77.95032013552499"/>
  </r>
  <r>
    <s v="DH US Equity"/>
    <s v="DEFINITIVE HEALT"/>
    <s v="Technology"/>
    <s v="Software &amp; Tech Services"/>
    <x v="14"/>
    <s v="UNITED STATES"/>
    <n v="0.34"/>
    <n v="3.33"/>
    <n v="0"/>
    <n v="22.24815065303774"/>
  </r>
  <r>
    <s v="DHC US Equity"/>
    <s v="DIVERSIFIED HEAL"/>
    <s v="Real Estate"/>
    <s v="Real Estate"/>
    <x v="37"/>
    <s v="UNITED STATES"/>
    <n v="1.37"/>
    <n v="3.67"/>
    <n v="0"/>
    <n v="68.43866463159813"/>
  </r>
  <r>
    <s v="DHER GY Equity"/>
    <s v="DELIVERY HERO SE"/>
    <s v="Communications"/>
    <s v="Media"/>
    <x v="13"/>
    <s v="GERMANY"/>
    <n v="9.1"/>
    <n v="3.8"/>
    <n v="0"/>
    <n v="41.108437873285823"/>
  </r>
  <r>
    <s v="DHI US Equity"/>
    <s v="DR HORTON INC"/>
    <s v="Consumer Discretionary"/>
    <s v="Consumer Discretionary Products"/>
    <x v="50"/>
    <s v="UNITED STATES"/>
    <n v="43.6"/>
    <n v="3.27"/>
    <n v="0"/>
    <n v="63.509762235773152"/>
  </r>
  <r>
    <s v="DHR US Equity"/>
    <s v="DANAHER CORP"/>
    <s v="Health Care"/>
    <s v="Health Care"/>
    <x v="9"/>
    <s v="UNITED STATES"/>
    <n v="166"/>
    <n v="4.71"/>
    <n v="0"/>
    <n v="42.368892228569919"/>
  </r>
  <r>
    <s v="DHT US Equity"/>
    <s v="DHT HOLDINGS INC"/>
    <s v="Industrials"/>
    <s v="Industrial Services"/>
    <x v="12"/>
    <s v="BERMUDA"/>
    <n v="2.2200000000000002"/>
    <n v="4.8"/>
    <n v="0"/>
    <n v="76.647193996647417"/>
  </r>
  <r>
    <s v="DIBS US Equity"/>
    <s v="1STDIBS.COM INC"/>
    <s v="Consumer Discretionary"/>
    <s v="Retail &amp; Whsle - Discretionary"/>
    <x v="51"/>
    <s v="UNITED STATES"/>
    <n v="0.21"/>
    <n v="4"/>
    <n v="0"/>
    <n v="45.834843242979417"/>
  </r>
  <r>
    <s v="DIDIY US Equity"/>
    <s v="DIDI GLOBAL INC"/>
    <s v="Communications"/>
    <s v="Media"/>
    <x v="13"/>
    <s v="CHINA"/>
    <n v="23.1"/>
    <n v="5"/>
    <n v="0"/>
    <n v="47.575026051468569"/>
  </r>
  <r>
    <s v="DIN US Equity"/>
    <s v="DINE BRANDS GLOB"/>
    <s v="Consumer Discretionary"/>
    <s v="Consumer Discretionary Services"/>
    <x v="6"/>
    <s v="UNITED STATES"/>
    <n v="0.51"/>
    <n v="3.29"/>
    <n v="533952"/>
    <n v="47.842371726453941"/>
  </r>
  <r>
    <s v="DINO US Equity"/>
    <s v="HF SINCLAIR CORP"/>
    <s v="Energy"/>
    <s v="Oil &amp; Gas"/>
    <x v="20"/>
    <s v="UNITED STATES"/>
    <n v="9.1999999999999993"/>
    <n v="3.89"/>
    <n v="0"/>
    <n v="74.547245818157521"/>
  </r>
  <r>
    <s v="DIOD US Equity"/>
    <s v="DIODES INC"/>
    <s v="Technology"/>
    <s v="Tech Hardware &amp; Semiconductors"/>
    <x v="17"/>
    <s v="UNITED STATES"/>
    <n v="2.62"/>
    <n v="3.4"/>
    <n v="0"/>
    <n v="85.240800500701141"/>
  </r>
  <r>
    <s v="DIS US Equity"/>
    <s v="WALT DISNEY CO/T"/>
    <s v="Communications"/>
    <s v="Media"/>
    <x v="47"/>
    <s v="UNITED STATES"/>
    <n v="196.81"/>
    <n v="4.47"/>
    <n v="1997640"/>
    <n v="46.845576053827742"/>
  </r>
  <r>
    <s v="DJCO US Equity"/>
    <s v="DAILY JOURNAL"/>
    <s v="Technology"/>
    <s v="Software &amp; Tech Services"/>
    <x v="14"/>
    <s v="UNITED STATES"/>
    <n v="0.92"/>
    <n v="0"/>
    <n v="0"/>
    <n v="44.163465373542991"/>
  </r>
  <r>
    <s v="DJT US Equity"/>
    <s v="TRUMP MEDIA &amp; TE"/>
    <s v="Communications"/>
    <s v="Media"/>
    <x v="13"/>
    <s v="UNITED STATES"/>
    <n v="4.07"/>
    <n v="0"/>
    <n v="14530"/>
    <n v="34.398982537883043"/>
  </r>
  <r>
    <s v="DK US Equity"/>
    <s v="DELEK US HOLDING"/>
    <s v="Energy"/>
    <s v="Oil &amp; Gas"/>
    <x v="20"/>
    <s v="UNITED STATES"/>
    <n v="1.69"/>
    <n v="3.53"/>
    <n v="0"/>
    <n v="63.535845290346074"/>
  </r>
  <r>
    <s v="DKNG US Equity"/>
    <s v="DRAFTKINGS INC"/>
    <s v="Consumer Discretionary"/>
    <s v="Consumer Discretionary Services"/>
    <x v="6"/>
    <s v="UNITED STATES"/>
    <n v="14.92"/>
    <n v="4.54"/>
    <n v="1048950"/>
    <n v="31.74057932987165"/>
  </r>
  <r>
    <s v="DKS US Equity"/>
    <s v="DICK'S SPORTING"/>
    <s v="Consumer Discretionary"/>
    <s v="Retail &amp; Whsle - Discretionary"/>
    <x v="10"/>
    <s v="UNITED STATES"/>
    <n v="18.55"/>
    <n v="3.79"/>
    <n v="0"/>
    <n v="47.323403791088417"/>
  </r>
  <r>
    <s v="DLB US Equity"/>
    <s v="DOLBY LABORATO-A"/>
    <s v="Technology"/>
    <s v="Tech Hardware &amp; Semiconductors"/>
    <x v="16"/>
    <s v="UNITED STATES"/>
    <n v="5.93"/>
    <n v="4.67"/>
    <n v="0"/>
    <n v="67.524634459840428"/>
  </r>
  <r>
    <s v="DLNG US Equity"/>
    <s v="DYNAGAS LNG PART"/>
    <s v="Industrials"/>
    <s v="Industrial Products"/>
    <x v="44"/>
    <s v="MONACO"/>
    <n v="0.15"/>
    <n v="0"/>
    <n v="0"/>
    <n v="48.067342736803042"/>
  </r>
  <r>
    <s v="DLO US Equity"/>
    <s v="DLOCAL LTD"/>
    <s v="Financials"/>
    <s v="Financial Services"/>
    <x v="35"/>
    <s v="URUGUAY"/>
    <n v="4.24"/>
    <n v="4.5"/>
    <n v="0"/>
    <n v="37.815640331675475"/>
  </r>
  <r>
    <s v="DLPN US Equity"/>
    <s v="DOLPHIN ENTERTAI"/>
    <s v="Communications"/>
    <s v="Media"/>
    <x v="47"/>
    <s v="UNITED STATES"/>
    <n v="0.02"/>
    <n v="5"/>
    <n v="313130"/>
    <n v="45.718585423497743"/>
  </r>
  <r>
    <s v="DLR US Equity"/>
    <s v="DIGITAL REALTY"/>
    <s v="Real Estate"/>
    <s v="Real Estate"/>
    <x v="37"/>
    <s v="UNITED STATES"/>
    <n v="55.66"/>
    <n v="4.32"/>
    <n v="0"/>
    <n v="71.219732540838919"/>
  </r>
  <r>
    <s v="DLTR US Equity"/>
    <s v="DOLLAR TREE INC"/>
    <s v="Consumer Staples"/>
    <s v="Retail &amp; Wholesale - Staples"/>
    <x v="33"/>
    <s v="UNITED STATES"/>
    <n v="25.64"/>
    <n v="3.37"/>
    <n v="451220"/>
    <n v="51.222779430734292"/>
  </r>
  <r>
    <s v="DLX US Equity"/>
    <s v="DELUXE CORP"/>
    <s v="Industrials"/>
    <s v="Industrial Services"/>
    <x v="15"/>
    <s v="UNITED STATES"/>
    <n v="1.0900000000000001"/>
    <n v="4"/>
    <n v="8481"/>
    <n v="57.720112293388581"/>
  </r>
  <r>
    <s v="DMAC US Equity"/>
    <s v="DIAMEDICA THERAP"/>
    <s v="Health Care"/>
    <s v="Health Care"/>
    <x v="25"/>
    <s v="UNITED STATES"/>
    <n v="0.44"/>
    <n v="5"/>
    <n v="0"/>
    <n v="51.407019081925412"/>
  </r>
  <r>
    <s v="DMRC US Equity"/>
    <s v="DIGIMARC CORP"/>
    <s v="Technology"/>
    <s v="Software &amp; Tech Services"/>
    <x v="14"/>
    <s v="UNITED STATES"/>
    <n v="0.14000000000000001"/>
    <n v="4"/>
    <n v="0"/>
    <n v="35.306629761714461"/>
  </r>
  <r>
    <s v="DNA US Equity"/>
    <s v="GINKGO BIOWORKS"/>
    <s v="Health Care"/>
    <s v="Health Care"/>
    <x v="31"/>
    <s v="UNITED STATES"/>
    <n v="0.61"/>
    <n v="2"/>
    <n v="0"/>
    <n v="50.347368826243965"/>
  </r>
  <r>
    <s v="DNLI US Equity"/>
    <s v="DENALI THERAPEUT"/>
    <s v="Health Care"/>
    <s v="Health Care"/>
    <x v="25"/>
    <s v="UNITED STATES"/>
    <n v="3.19"/>
    <n v="5"/>
    <n v="0"/>
    <n v="49.474303584562094"/>
  </r>
  <r>
    <s v="DNN US Equity"/>
    <s v="DENISON MINES CO"/>
    <s v="Materials"/>
    <s v="Materials"/>
    <x v="22"/>
    <s v="CANADA"/>
    <n v="3.52"/>
    <n v="4.92"/>
    <n v="0"/>
    <n v="57.408133023892319"/>
  </r>
  <r>
    <s v="DNOW US Equity"/>
    <s v="DNOW INC"/>
    <s v="Energy"/>
    <s v="Oil &amp; Gas"/>
    <x v="30"/>
    <s v="UNITED STATES"/>
    <n v="2.71"/>
    <n v="4.67"/>
    <n v="0"/>
    <n v="71.605537241876661"/>
  </r>
  <r>
    <s v="DNTH US Equity"/>
    <s v="DIANTHUS THERAPE"/>
    <s v="Health Care"/>
    <s v="Health Care"/>
    <x v="25"/>
    <s v="UNITED STATES"/>
    <n v="2.2400000000000002"/>
    <n v="5"/>
    <n v="0"/>
    <n v="54.279493990268655"/>
  </r>
  <r>
    <s v="DNUT US Equity"/>
    <s v="KRISPY KREME INC"/>
    <s v="Consumer Discretionary"/>
    <s v="Consumer Discretionary Services"/>
    <x v="6"/>
    <s v="UNITED STATES"/>
    <n v="0.57999999999999996"/>
    <n v="2.89"/>
    <n v="0"/>
    <n v="29.036467825435949"/>
  </r>
  <r>
    <s v="DOC US Equity"/>
    <s v="HEALTHPEAK PROPE"/>
    <s v="Real Estate"/>
    <s v="Real Estate"/>
    <x v="37"/>
    <s v="UNITED STATES"/>
    <n v="12.56"/>
    <n v="4.05"/>
    <n v="158073"/>
    <n v="49.083064273097406"/>
  </r>
  <r>
    <s v="DOCM SW Equity"/>
    <s v="DOCMORRIS AG"/>
    <s v="Consumer Staples"/>
    <s v="Retail &amp; Wholesale - Staples"/>
    <x v="33"/>
    <s v="SWITZERLAND"/>
    <n v="0.38"/>
    <n v="3.56"/>
    <n v="0"/>
    <n v="47.245894946340542"/>
  </r>
  <r>
    <s v="DOCN US Equity"/>
    <s v="DIGITALOCEAN HOL"/>
    <s v="Technology"/>
    <s v="Software &amp; Tech Services"/>
    <x v="14"/>
    <s v="UNITED STATES"/>
    <n v="4.9000000000000004"/>
    <n v="4.21"/>
    <n v="0"/>
    <n v="62.302160334525638"/>
  </r>
  <r>
    <s v="DOCS US Equity"/>
    <s v="DOXIMITY INC-A"/>
    <s v="Technology"/>
    <s v="Software &amp; Tech Services"/>
    <x v="14"/>
    <s v="UNITED STATES"/>
    <n v="7.65"/>
    <n v="4.3"/>
    <n v="0"/>
    <n v="12.029805929938405"/>
  </r>
  <r>
    <s v="DOCU US Equity"/>
    <s v="DOCUSIGN INC"/>
    <s v="Technology"/>
    <s v="Software &amp; Tech Services"/>
    <x v="14"/>
    <s v="UNITED STATES"/>
    <n v="11.51"/>
    <n v="3.59"/>
    <n v="0"/>
    <n v="23.498259814678889"/>
  </r>
  <r>
    <s v="DOLE US Equity"/>
    <s v="DOLE PLC"/>
    <s v="Consumer Staples"/>
    <s v="Consumer Staple Products"/>
    <x v="42"/>
    <s v="IRELAND"/>
    <n v="1.46"/>
    <n v="3.8"/>
    <n v="0"/>
    <n v="57.953616219926879"/>
  </r>
  <r>
    <s v="DOMH US Equity"/>
    <s v="DOMINARI HOLDING"/>
    <s v="Financials"/>
    <s v="Financial Services"/>
    <x v="24"/>
    <s v="UNITED STATES"/>
    <n v="7.0000000000000007E-2"/>
    <n v="0"/>
    <n v="202560"/>
    <n v="35.98148881444034"/>
  </r>
  <r>
    <s v="DOMO US Equity"/>
    <s v="DOMO INC- CL B"/>
    <s v="Technology"/>
    <s v="Software &amp; Tech Services"/>
    <x v="14"/>
    <s v="UNITED STATES"/>
    <n v="0.24"/>
    <n v="4.17"/>
    <n v="0"/>
    <n v="33.921235694983025"/>
  </r>
  <r>
    <s v="DOO US Equity"/>
    <s v="BRP INC/CA-SUB V"/>
    <s v="Consumer Discretionary"/>
    <s v="Consumer Discretionary Products"/>
    <x v="55"/>
    <s v="CANADA"/>
    <n v="6.22"/>
    <n v="4.3"/>
    <n v="0"/>
    <n v="55.944586290401176"/>
  </r>
  <r>
    <s v="DORM US Equity"/>
    <s v="DORMAN PRODUCTS"/>
    <s v="Consumer Discretionary"/>
    <s v="Consumer Discretionary Products"/>
    <x v="8"/>
    <s v="UNITED STATES"/>
    <n v="3.79"/>
    <n v="4.63"/>
    <n v="0"/>
    <n v="64.987524821244392"/>
  </r>
  <r>
    <s v="DOV US Equity"/>
    <s v="DOVER CORP"/>
    <s v="Industrials"/>
    <s v="Industrial Products"/>
    <x v="18"/>
    <s v="UNITED STATES"/>
    <n v="28.35"/>
    <n v="4.24"/>
    <n v="0"/>
    <n v="77.451172305137931"/>
  </r>
  <r>
    <s v="DOW US Equity"/>
    <s v="DOW INC"/>
    <s v="Materials"/>
    <s v="Materials"/>
    <x v="21"/>
    <s v="UNITED STATES"/>
    <n v="19.940000000000001"/>
    <n v="3.09"/>
    <n v="0"/>
    <n v="74.815070494298169"/>
  </r>
  <r>
    <s v="DOX US Equity"/>
    <s v="AMDOCS LTD"/>
    <s v="Technology"/>
    <s v="Software &amp; Tech Services"/>
    <x v="34"/>
    <s v="UNITED STATES"/>
    <n v="8.92"/>
    <n v="4.67"/>
    <n v="0"/>
    <n v="25.814751860457505"/>
  </r>
  <r>
    <s v="DPM CT Equity"/>
    <s v="DPM METALS INC"/>
    <s v="Materials"/>
    <s v="Materials"/>
    <x v="22"/>
    <s v="CANADA"/>
    <n v="8.14"/>
    <n v="4.83"/>
    <n v="0"/>
    <n v="66.846009594940028"/>
  </r>
  <r>
    <s v="DPRO US Equity"/>
    <s v="DRAGANFLY INC"/>
    <s v="Technology"/>
    <s v="Tech Hardware &amp; Semiconductors"/>
    <x v="16"/>
    <s v="CANADA"/>
    <n v="0.22"/>
    <n v="5"/>
    <n v="0"/>
    <n v="41.592974242554028"/>
  </r>
  <r>
    <s v="DPZ US Equity"/>
    <s v="DOMINO'S PIZZA"/>
    <s v="Consumer Discretionary"/>
    <s v="Consumer Discretionary Services"/>
    <x v="6"/>
    <s v="UNITED STATES"/>
    <n v="13.9"/>
    <n v="3.86"/>
    <n v="0"/>
    <n v="33.071243511211946"/>
  </r>
  <r>
    <s v="DQ US Equity"/>
    <s v="DAQO NEW ENE-ADR"/>
    <s v="Energy"/>
    <s v="Renewable Energy"/>
    <x v="45"/>
    <s v="CHINA"/>
    <n v="1.82"/>
    <n v="4.54"/>
    <n v="0"/>
    <n v="48.243524115232049"/>
  </r>
  <r>
    <s v="DRD US Equity"/>
    <s v="DRDGOLD LTD-ADR"/>
    <s v="Materials"/>
    <s v="Materials"/>
    <x v="22"/>
    <s v="SOUTH AFRICA"/>
    <n v="3.25"/>
    <n v="5"/>
    <n v="0"/>
    <n v="57.471546520508184"/>
  </r>
  <r>
    <s v="DRH US Equity"/>
    <s v="DIAMONDROCK HOSP"/>
    <s v="Real Estate"/>
    <s v="Real Estate"/>
    <x v="37"/>
    <s v="UNITED STATES"/>
    <n v="1.93"/>
    <n v="3.86"/>
    <n v="0"/>
    <n v="67.325454510912778"/>
  </r>
  <r>
    <s v="DRI US Equity"/>
    <s v="DARDEN RESTAURAN"/>
    <s v="Consumer Discretionary"/>
    <s v="Consumer Discretionary Services"/>
    <x v="6"/>
    <s v="UNITED STATES"/>
    <n v="23.74"/>
    <n v="4.09"/>
    <n v="0"/>
    <n v="60.806045188642486"/>
  </r>
  <r>
    <s v="DRIO US Equity"/>
    <s v="DARIOHEALTH CORP"/>
    <s v="Technology"/>
    <s v="Software &amp; Tech Services"/>
    <x v="14"/>
    <s v="UNITED STATES"/>
    <n v="0.11"/>
    <n v="4.5"/>
    <n v="23280"/>
    <n v="49.539711807152749"/>
  </r>
  <r>
    <s v="DRS US Equity"/>
    <s v="LEONARDO DRS INC"/>
    <s v="Industrials"/>
    <s v="Industrial Products"/>
    <x v="32"/>
    <s v="UNITED STATES"/>
    <n v="10.9"/>
    <n v="4.5"/>
    <n v="0"/>
    <n v="44.197571801612746"/>
  </r>
  <r>
    <s v="DRTS US Equity"/>
    <s v="ALPHA TAU MEDI"/>
    <s v="Health Care"/>
    <s v="Health Care"/>
    <x v="9"/>
    <s v="ISRAEL"/>
    <n v="0.49"/>
    <n v="5"/>
    <n v="0"/>
    <n v="57.673360057570321"/>
  </r>
  <r>
    <s v="DRUG US Equity"/>
    <s v="BRIGHT MINDS BIO"/>
    <s v="Health Care"/>
    <s v="Health Care"/>
    <x v="25"/>
    <s v="UNITED STATES"/>
    <n v="0.85"/>
    <n v="5"/>
    <n v="0"/>
    <n v="46.469907884902049"/>
  </r>
  <r>
    <s v="DRVN US Equity"/>
    <s v="DRIVEN BRANDS HO"/>
    <s v="Consumer Discretionary"/>
    <s v="Retail &amp; Whsle - Discretionary"/>
    <x v="10"/>
    <s v="UNITED STATES"/>
    <n v="2.66"/>
    <n v="4.47"/>
    <n v="0"/>
    <n v="62.420511735113472"/>
  </r>
  <r>
    <s v="DSGN US Equity"/>
    <s v="DESIGN THERAPEUT"/>
    <s v="Health Care"/>
    <s v="Health Care"/>
    <x v="25"/>
    <s v="UNITED STATES"/>
    <n v="0.57999999999999996"/>
    <n v="5"/>
    <n v="0"/>
    <n v="55.604058803769988"/>
  </r>
  <r>
    <s v="DSGR US Equity"/>
    <s v="DISTRIBUTION SOL"/>
    <s v="Industrials"/>
    <s v="Industrial Services"/>
    <x v="15"/>
    <s v="UNITED STATES"/>
    <n v="1.35"/>
    <n v="4.33"/>
    <n v="0"/>
    <n v="64.241592143431646"/>
  </r>
  <r>
    <s v="DSGX US Equity"/>
    <s v="DESCARTES SYS"/>
    <s v="Technology"/>
    <s v="Software &amp; Tech Services"/>
    <x v="14"/>
    <s v="CANADA"/>
    <n v="7.03"/>
    <n v="4.71"/>
    <n v="65360"/>
    <n v="25.280494042504245"/>
  </r>
  <r>
    <s v="DSP US Equity"/>
    <s v="VIANT TECHNOLO-A"/>
    <s v="Technology"/>
    <s v="Software &amp; Tech Services"/>
    <x v="14"/>
    <s v="UNITED STATES"/>
    <n v="0.8"/>
    <n v="4.9000000000000004"/>
    <n v="0"/>
    <n v="31.855106948812818"/>
  </r>
  <r>
    <s v="DSWL US Equity"/>
    <s v="DESWELL INDS"/>
    <s v="Industrials"/>
    <s v="Industrial Products"/>
    <x v="4"/>
    <s v="MACAU"/>
    <n v="0.05"/>
    <n v="0"/>
    <n v="0"/>
    <n v="56.551366388346224"/>
  </r>
  <r>
    <s v="DSX US Equity"/>
    <s v="DIANA SHIPPING I"/>
    <s v="Industrials"/>
    <s v="Industrial Services"/>
    <x v="12"/>
    <s v="GREECE"/>
    <n v="0.25"/>
    <n v="4"/>
    <n v="0"/>
    <n v="69.867401168561457"/>
  </r>
  <r>
    <s v="DT US Equity"/>
    <s v="DYNATRACE INC"/>
    <s v="Technology"/>
    <s v="Software &amp; Tech Services"/>
    <x v="14"/>
    <s v="UNITED STATES"/>
    <n v="12.3"/>
    <n v="4.5"/>
    <n v="0"/>
    <n v="42.441297932815068"/>
  </r>
  <r>
    <s v="DTE US Equity"/>
    <s v="DTE ENERGY CO"/>
    <s v="Utilities"/>
    <s v="Utilities"/>
    <x v="38"/>
    <s v="UNITED STATES"/>
    <n v="27.9"/>
    <n v="4.1100000000000003"/>
    <n v="0"/>
    <n v="66.939164007532071"/>
  </r>
  <r>
    <s v="DTM US Equity"/>
    <s v="DT MIDSTREAM"/>
    <s v="Energy"/>
    <s v="Oil &amp; Gas"/>
    <x v="20"/>
    <s v="UNITED STATES"/>
    <n v="12.44"/>
    <n v="3.8"/>
    <n v="18347"/>
    <n v="74.235629813030627"/>
  </r>
  <r>
    <s v="DTST US Equity"/>
    <s v="DATA STORAGE COR"/>
    <s v="Technology"/>
    <s v="Software &amp; Tech Services"/>
    <x v="34"/>
    <s v="UNITED STATES"/>
    <n v="0.03"/>
    <n v="3"/>
    <n v="0"/>
    <n v="41.025122808476567"/>
  </r>
  <r>
    <s v="DUFRY US Equity"/>
    <s v="AVOLTA AG- ADR"/>
    <s v="Consumer Discretionary"/>
    <s v="Retail &amp; Whsle - Discretionary"/>
    <x v="10"/>
    <s v="SWITZERLAND"/>
    <n v="8.9499999999999993"/>
    <n v="3"/>
    <n v="0"/>
    <n v="60.389366144087091"/>
  </r>
  <r>
    <s v="DUK US Equity"/>
    <s v="DUKE ENERGY CORP"/>
    <s v="Utilities"/>
    <s v="Utilities"/>
    <x v="38"/>
    <s v="UNITED STATES"/>
    <n v="91.32"/>
    <n v="4.08"/>
    <n v="0"/>
    <n v="68.090507781278717"/>
  </r>
  <r>
    <s v="DUOL US Equity"/>
    <s v="DUOLINGO"/>
    <s v="Technology"/>
    <s v="Software &amp; Tech Services"/>
    <x v="14"/>
    <s v="UNITED STATES"/>
    <n v="7.2"/>
    <n v="4.1399999999999997"/>
    <n v="0"/>
    <n v="22.319213058081289"/>
  </r>
  <r>
    <s v="DUOT US Equity"/>
    <s v="DUOS TECHNOLOGIE"/>
    <s v="Technology"/>
    <s v="Software &amp; Tech Services"/>
    <x v="14"/>
    <s v="UNITED STATES"/>
    <n v="0.22"/>
    <n v="5"/>
    <n v="0"/>
    <n v="44.779562719920229"/>
  </r>
  <r>
    <s v="DV US Equity"/>
    <s v="DOUBLEVERIFY HOL"/>
    <s v="Technology"/>
    <s v="Software &amp; Tech Services"/>
    <x v="14"/>
    <s v="UNITED STATES"/>
    <n v="1.77"/>
    <n v="3.9"/>
    <n v="0"/>
    <n v="35.538542944875559"/>
  </r>
  <r>
    <s v="DVA US Equity"/>
    <s v="DAVITA INC"/>
    <s v="Health Care"/>
    <s v="Health Care"/>
    <x v="31"/>
    <s v="UNITED STATES"/>
    <n v="7.63"/>
    <n v="3.22"/>
    <n v="0"/>
    <n v="71.597556358313469"/>
  </r>
  <r>
    <s v="DVAX US Equity"/>
    <s v="DYNAVAX TECHNOLO"/>
    <s v="Health Care"/>
    <s v="Health Care"/>
    <x v="25"/>
    <s v="UNITED STATES"/>
    <n v="1.76"/>
    <n v="4.25"/>
    <n v="58938"/>
    <n v="75.99552895383006"/>
  </r>
  <r>
    <s v="DVN US Equity"/>
    <s v="DEVON ENERGY CO"/>
    <s v="Energy"/>
    <s v="Oil &amp; Gas"/>
    <x v="20"/>
    <s v="UNITED STATES"/>
    <n v="24.24"/>
    <n v="4.3099999999999996"/>
    <n v="0"/>
    <n v="78.458667537257128"/>
  </r>
  <r>
    <s v="DVS US Equity"/>
    <s v="DOLLY VARDEN SIL"/>
    <s v="Materials"/>
    <s v="Materials"/>
    <x v="22"/>
    <s v="CANADA"/>
    <n v="0.51"/>
    <n v="5"/>
    <n v="0"/>
    <n v="50.038567089485966"/>
  </r>
  <r>
    <s v="DXC US Equity"/>
    <s v="DXC TECHNOLOGY C"/>
    <s v="Technology"/>
    <s v="Software &amp; Tech Services"/>
    <x v="34"/>
    <s v="UNITED STATES"/>
    <n v="2.61"/>
    <n v="2.6"/>
    <n v="0"/>
    <n v="43.845009892733735"/>
  </r>
  <r>
    <s v="DXCM US Equity"/>
    <s v="DEXCOM"/>
    <s v="Health Care"/>
    <s v="Health Care"/>
    <x v="9"/>
    <s v="UNITED STATES"/>
    <n v="28.42"/>
    <n v="4.5599999999999996"/>
    <n v="1326052"/>
    <n v="40.304681156207948"/>
  </r>
  <r>
    <s v="DXPE US Equity"/>
    <s v="DXP ENTERPRISES"/>
    <s v="Industrials"/>
    <s v="Industrial Services"/>
    <x v="43"/>
    <s v="UNITED STATES"/>
    <n v="2.02"/>
    <n v="5"/>
    <n v="0"/>
    <n v="75.269051636272224"/>
  </r>
  <r>
    <s v="DXR US Equity"/>
    <s v="DAXOR CORP"/>
    <s v="Health Care"/>
    <s v="Health Care"/>
    <x v="9"/>
    <s v="UNITED STATES"/>
    <n v="0.06"/>
    <n v="5"/>
    <n v="293901"/>
    <n v="46.831698724289318"/>
  </r>
  <r>
    <s v="DY US Equity"/>
    <s v="DYCOM INDS"/>
    <s v="Industrials"/>
    <s v="Industrial Services"/>
    <x v="27"/>
    <s v="UNITED STATES"/>
    <n v="11.03"/>
    <n v="5"/>
    <n v="0"/>
    <n v="70.050746692781033"/>
  </r>
  <r>
    <s v="DYL AU Equity"/>
    <s v="DEEP YELLOW LTD"/>
    <s v="Materials"/>
    <s v="Materials"/>
    <x v="22"/>
    <s v="AUSTRALIA"/>
    <n v="1.57"/>
    <n v="3.44"/>
    <n v="149041"/>
    <n v="56.749026333969042"/>
  </r>
  <r>
    <s v="DYN US Equity"/>
    <s v="DYNE THERAPEUTIC"/>
    <s v="Health Care"/>
    <s v="Health Care"/>
    <x v="25"/>
    <s v="UNITED STATES"/>
    <n v="2.96"/>
    <n v="4.75"/>
    <n v="0"/>
    <n v="40.718132418171415"/>
  </r>
  <r>
    <s v="E US Equity"/>
    <s v="ENI SPA-ADR"/>
    <s v="Energy"/>
    <s v="Oil &amp; Gas"/>
    <x v="20"/>
    <s v="ITALY"/>
    <n v="62.9"/>
    <n v="3"/>
    <n v="0"/>
    <n v="74.254655224147427"/>
  </r>
  <r>
    <s v="EA US Equity"/>
    <s v="ELECTRONIC ARTS"/>
    <s v="Communications"/>
    <s v="Media"/>
    <x v="47"/>
    <s v="UNITED STATES"/>
    <n v="51.02"/>
    <n v="3.29"/>
    <n v="0"/>
    <n v="48.686238100632636"/>
  </r>
  <r>
    <s v="EAF US Equity"/>
    <s v="GRAFTECH INTERNA"/>
    <s v="Materials"/>
    <s v="Materials"/>
    <x v="21"/>
    <s v="UNITED STATES"/>
    <n v="0.45"/>
    <n v="3"/>
    <n v="0"/>
    <n v="25.369832948306225"/>
  </r>
  <r>
    <s v="EAT US Equity"/>
    <s v="BRINKER INTL"/>
    <s v="Consumer Discretionary"/>
    <s v="Consumer Discretionary Services"/>
    <x v="6"/>
    <s v="UNITED STATES"/>
    <n v="7.23"/>
    <n v="4.3899999999999997"/>
    <n v="0"/>
    <n v="57.739573449771164"/>
  </r>
  <r>
    <s v="EB US Equity"/>
    <s v="EVENTBRITE INC-A"/>
    <s v="Communications"/>
    <s v="Media"/>
    <x v="13"/>
    <s v="UNITED STATES"/>
    <n v="0.44"/>
    <n v="3"/>
    <n v="0"/>
    <n v="58.803183830468882"/>
  </r>
  <r>
    <s v="EBAY US Equity"/>
    <s v="EBAY INC"/>
    <s v="Consumer Discretionary"/>
    <s v="Retail &amp; Whsle - Discretionary"/>
    <x v="51"/>
    <s v="UNITED STATES"/>
    <n v="42.31"/>
    <n v="3.42"/>
    <n v="0"/>
    <n v="34.028849925421355"/>
  </r>
  <r>
    <s v="EBC US Equity"/>
    <s v="EASTERN BANKSHAR"/>
    <s v="Financials"/>
    <s v="Banking"/>
    <x v="26"/>
    <s v="UNITED STATES"/>
    <n v="4.72"/>
    <n v="4.67"/>
    <n v="3411487"/>
    <n v="63.763503017909684"/>
  </r>
  <r>
    <s v="EBF US Equity"/>
    <s v="ENNIS INC"/>
    <s v="Industrials"/>
    <s v="Industrial Services"/>
    <x v="15"/>
    <s v="UNITED STATES"/>
    <n v="0.49"/>
    <n v="5"/>
    <n v="175812"/>
    <n v="73.193648923390271"/>
  </r>
  <r>
    <s v="EBS US Equity"/>
    <s v="EMERGENT BIOSOLU"/>
    <s v="Health Care"/>
    <s v="Health Care"/>
    <x v="25"/>
    <s v="UNITED STATES"/>
    <n v="0.63"/>
    <n v="5"/>
    <n v="0"/>
    <n v="43.155468505135055"/>
  </r>
  <r>
    <s v="EC US Equity"/>
    <s v="ECOPETROL-SP ADR"/>
    <s v="Energy"/>
    <s v="Oil &amp; Gas"/>
    <x v="20"/>
    <s v="COLOMBIA"/>
    <n v="25.7"/>
    <n v="2.54"/>
    <n v="0"/>
    <n v="55.763765023713482"/>
  </r>
  <r>
    <s v="ECBK US Equity"/>
    <s v="ECB BANCORP INC"/>
    <s v="Financials"/>
    <s v="Banking"/>
    <x v="26"/>
    <s v="UNITED STATES"/>
    <n v="0.15"/>
    <n v="0"/>
    <n v="82650"/>
    <n v="61.522000405306969"/>
  </r>
  <r>
    <s v="ECC US Equity"/>
    <s v="EAGLE POINT CRED"/>
    <s v="Financials"/>
    <s v="Financial Services"/>
    <x v="24"/>
    <s v="UNITED STATES"/>
    <n v="0.76"/>
    <n v="4.67"/>
    <n v="0"/>
    <n v="36.139981094564028"/>
  </r>
  <r>
    <s v="ECG US Equity"/>
    <s v="EVERUS CONSTRUCT"/>
    <s v="Industrials"/>
    <s v="Industrial Services"/>
    <x v="27"/>
    <s v="UNITED STATES"/>
    <n v="4.6500000000000004"/>
    <n v="3.75"/>
    <n v="22805"/>
    <n v="62.434311843318149"/>
  </r>
  <r>
    <s v="ECH US Equity"/>
    <s v="ISHARES MSCI CHI"/>
    <s v="Financials"/>
    <s v="Financial Services"/>
    <x v="24"/>
    <s v="UNITED STATES"/>
    <n v="1.3"/>
    <n v="0"/>
    <n v="0"/>
    <n v="54.497142101541357"/>
  </r>
  <r>
    <s v="ECL US Equity"/>
    <s v="ECOLAB INC"/>
    <s v="Materials"/>
    <s v="Materials"/>
    <x v="21"/>
    <s v="UNITED STATES"/>
    <n v="79.84"/>
    <n v="4.17"/>
    <n v="380565"/>
    <n v="77.968248263880241"/>
  </r>
  <r>
    <s v="ECO US Equity"/>
    <s v="OKEANIS ECO TANK"/>
    <s v="Industrials"/>
    <s v="Industrial Services"/>
    <x v="12"/>
    <s v="GREECE"/>
    <n v="1.48"/>
    <n v="4.25"/>
    <n v="0"/>
    <n v="68.652277578612356"/>
  </r>
  <r>
    <s v="ECPG US Equity"/>
    <s v="ENCORE CAPITAL G"/>
    <s v="Financials"/>
    <s v="Financial Services"/>
    <x v="35"/>
    <s v="UNITED STATES"/>
    <n v="1.23"/>
    <n v="4.17"/>
    <n v="0"/>
    <n v="58.38672505766376"/>
  </r>
  <r>
    <s v="ECVT US Equity"/>
    <s v="ECOVYST INC"/>
    <s v="Materials"/>
    <s v="Materials"/>
    <x v="21"/>
    <s v="UNITED STATES"/>
    <n v="1.27"/>
    <n v="4.67"/>
    <n v="0"/>
    <n v="71.431828805329374"/>
  </r>
  <r>
    <s v="ECX US Equity"/>
    <s v="ECARX HOLDINGS I"/>
    <s v="Consumer Discretionary"/>
    <s v="Consumer Discretionary Products"/>
    <x v="8"/>
    <s v="CHINA"/>
    <n v="0.74"/>
    <n v="5"/>
    <n v="0"/>
    <n v="54.873233920534602"/>
  </r>
  <r>
    <s v="ED US Equity"/>
    <s v="CONS EDISON INC"/>
    <s v="Utilities"/>
    <s v="Utilities"/>
    <x v="38"/>
    <s v="UNITED STATES"/>
    <n v="37.49"/>
    <n v="2.6"/>
    <n v="208"/>
    <n v="69.287741564796391"/>
  </r>
  <r>
    <s v="EDAP US Equity"/>
    <s v="EDAP TMS SA -ADR"/>
    <s v="Health Care"/>
    <s v="Health Care"/>
    <x v="9"/>
    <s v="FRANCE"/>
    <n v="0.14000000000000001"/>
    <n v="3.67"/>
    <n v="0"/>
    <n v="66.029772120492268"/>
  </r>
  <r>
    <s v="EDEN FP Equity"/>
    <s v="EDENRED"/>
    <s v="Financials"/>
    <s v="Financial Services"/>
    <x v="35"/>
    <s v="FRANCE"/>
    <n v="4.8600000000000003"/>
    <n v="4"/>
    <n v="39972"/>
    <n v="47.576746971409506"/>
  </r>
  <r>
    <s v="EDIT US Equity"/>
    <s v="EDITAS MEDICINE"/>
    <s v="Health Care"/>
    <s v="Health Care"/>
    <x v="25"/>
    <s v="UNITED STATES"/>
    <n v="0.21"/>
    <n v="3.63"/>
    <n v="0"/>
    <n v="37.967946076800537"/>
  </r>
  <r>
    <s v="EDN US Equity"/>
    <s v="EMP DISTRIB-ADR"/>
    <s v="Utilities"/>
    <s v="Utilities"/>
    <x v="38"/>
    <s v="ARGENTINA"/>
    <n v="1.3"/>
    <n v="4.33"/>
    <n v="0"/>
    <n v="50.197279830707288"/>
  </r>
  <r>
    <s v="EDRY US Equity"/>
    <s v="EURODRY LTD"/>
    <s v="Industrials"/>
    <s v="Industrial Services"/>
    <x v="12"/>
    <s v="GREECE"/>
    <n v="0.04"/>
    <n v="4.33"/>
    <n v="0"/>
    <n v="57.91157903870193"/>
  </r>
  <r>
    <s v="EDU US Equity"/>
    <s v="NEW ORIENTAL-ADR"/>
    <s v="Consumer Discretionary"/>
    <s v="Consumer Discretionary Services"/>
    <x v="41"/>
    <s v="CHINA"/>
    <n v="9.18"/>
    <n v="4.1500000000000004"/>
    <n v="0"/>
    <n v="58.229303246191449"/>
  </r>
  <r>
    <s v="EDV CT Equity"/>
    <s v="ENDEAVOUR MINING"/>
    <s v="Materials"/>
    <s v="Materials"/>
    <x v="22"/>
    <s v="BRITAIN"/>
    <n v="14.32"/>
    <n v="4.75"/>
    <n v="0"/>
    <n v="61.463166251614062"/>
  </r>
  <r>
    <s v="EE US Equity"/>
    <s v="EXCELERATE ENE-A"/>
    <s v="Energy"/>
    <s v="Oil &amp; Gas"/>
    <x v="20"/>
    <s v="UNITED STATES"/>
    <n v="4.1100000000000003"/>
    <n v="4.5"/>
    <n v="0"/>
    <n v="80.188466533442636"/>
  </r>
  <r>
    <s v="EEFT US Equity"/>
    <s v="EURONET WORLDWID"/>
    <s v="Financials"/>
    <s v="Financial Services"/>
    <x v="35"/>
    <s v="UNITED STATES"/>
    <n v="3.12"/>
    <n v="3.8"/>
    <n v="0"/>
    <n v="43.01958148556789"/>
  </r>
  <r>
    <s v="EEX US Equity"/>
    <s v="EMERALD HOLDING"/>
    <s v="Industrials"/>
    <s v="Industrial Services"/>
    <x v="15"/>
    <s v="UNITED STATES"/>
    <n v="0.92"/>
    <n v="5"/>
    <n v="0"/>
    <n v="49.936137383071213"/>
  </r>
  <r>
    <s v="EFSC US Equity"/>
    <s v="ENTERPRISE FINAN"/>
    <s v="Financials"/>
    <s v="Banking"/>
    <x v="26"/>
    <s v="UNITED STATES"/>
    <n v="2.06"/>
    <n v="4.2"/>
    <n v="83415"/>
    <n v="60.658553005826498"/>
  </r>
  <r>
    <s v="EFSI US Equity"/>
    <s v="EAGLE FINANCIAL"/>
    <s v="Financials"/>
    <s v="Banking"/>
    <x v="26"/>
    <s v="UNITED STATES"/>
    <n v="0.22"/>
    <n v="5"/>
    <n v="12129"/>
    <n v="45.051558343478497"/>
  </r>
  <r>
    <s v="EFX US Equity"/>
    <s v="EQUIFAX INC"/>
    <s v="Financials"/>
    <s v="Financial Services"/>
    <x v="35"/>
    <s v="UNITED STATES"/>
    <n v="25.67"/>
    <n v="4.1900000000000004"/>
    <n v="0"/>
    <n v="44.749480795181057"/>
  </r>
  <r>
    <s v="EFXT US Equity"/>
    <s v="ENERFLEX LTD"/>
    <s v="Energy"/>
    <s v="Oil &amp; Gas"/>
    <x v="30"/>
    <s v="CANADA"/>
    <n v="2"/>
    <n v="4.5599999999999996"/>
    <n v="656359"/>
    <n v="61.579785736846993"/>
  </r>
  <r>
    <s v="EG US Equity"/>
    <s v="EVEREST GROUP LT"/>
    <s v="Financials"/>
    <s v="Insurance"/>
    <x v="23"/>
    <s v="BERMUDA"/>
    <n v="13.58"/>
    <n v="3.56"/>
    <n v="4686911"/>
    <n v="54.613991642801693"/>
  </r>
  <r>
    <s v="EGBN US Equity"/>
    <s v="EAGLE BANCRP INC"/>
    <s v="Financials"/>
    <s v="Banking"/>
    <x v="26"/>
    <s v="UNITED STATES"/>
    <n v="0.82"/>
    <n v="3.5"/>
    <n v="162685"/>
    <n v="63.135394158634931"/>
  </r>
  <r>
    <s v="EGHT US Equity"/>
    <s v="8X8 INC"/>
    <s v="Technology"/>
    <s v="Software &amp; Tech Services"/>
    <x v="14"/>
    <s v="UNITED STATES"/>
    <n v="0.23"/>
    <n v="3.5"/>
    <n v="0"/>
    <n v="73.450777019817266"/>
  </r>
  <r>
    <s v="EGO US Equity"/>
    <s v="ELDORADO GOLD"/>
    <s v="Materials"/>
    <s v="Materials"/>
    <x v="22"/>
    <s v="CANADA"/>
    <n v="9.26"/>
    <n v="4"/>
    <n v="264541"/>
    <n v="61.827625344164261"/>
  </r>
  <r>
    <s v="EGP US Equity"/>
    <s v="EASTGROUP PROP"/>
    <s v="Real Estate"/>
    <s v="Real Estate"/>
    <x v="37"/>
    <s v="UNITED STATES"/>
    <n v="9.66"/>
    <n v="4.43"/>
    <n v="0"/>
    <n v="62.978879897887232"/>
  </r>
  <r>
    <s v="EGY US Equity"/>
    <s v="VAALCO ENERGY"/>
    <s v="Energy"/>
    <s v="Oil &amp; Gas"/>
    <x v="20"/>
    <s v="UNITED STATES"/>
    <n v="0.5"/>
    <n v="5"/>
    <n v="0"/>
    <n v="61.572103834177369"/>
  </r>
  <r>
    <s v="EH US Equity"/>
    <s v="EHANG HOLDINGS"/>
    <s v="Industrials"/>
    <s v="Industrial Services"/>
    <x v="12"/>
    <s v="CHINA"/>
    <n v="0.99"/>
    <n v="4.88"/>
    <n v="0"/>
    <n v="37.766355031531667"/>
  </r>
  <r>
    <s v="EHAB US Equity"/>
    <s v="ENHABIT INC"/>
    <s v="Health Care"/>
    <s v="Health Care"/>
    <x v="31"/>
    <s v="UNITED STATES"/>
    <n v="0.55000000000000004"/>
    <n v="4.33"/>
    <n v="107900"/>
    <n v="67.34890763118014"/>
  </r>
  <r>
    <s v="EHC US Equity"/>
    <s v="ENCOMPASS HEALTH"/>
    <s v="Health Care"/>
    <s v="Health Care"/>
    <x v="31"/>
    <s v="UNITED STATES"/>
    <n v="9.9"/>
    <n v="5"/>
    <n v="0"/>
    <n v="73.743894131542262"/>
  </r>
  <r>
    <s v="EIG US Equity"/>
    <s v="EMPLOYERS HOLDIN"/>
    <s v="Financials"/>
    <s v="Insurance"/>
    <x v="23"/>
    <s v="UNITED STATES"/>
    <n v="0.98"/>
    <n v="3.67"/>
    <n v="458220"/>
    <n v="43.221467169810111"/>
  </r>
  <r>
    <s v="EIX US Equity"/>
    <s v="EDISON INTL"/>
    <s v="Utilities"/>
    <s v="Utilities"/>
    <x v="38"/>
    <s v="UNITED STATES"/>
    <n v="23.38"/>
    <n v="3.78"/>
    <n v="0"/>
    <n v="73.648578844203698"/>
  </r>
  <r>
    <s v="EKSO US Equity"/>
    <s v="EKSO BIONICS HOL"/>
    <s v="Health Care"/>
    <s v="Health Care"/>
    <x v="9"/>
    <s v="UNITED STATES"/>
    <n v="0.03"/>
    <n v="4"/>
    <n v="0"/>
    <n v="61.259359766163627"/>
  </r>
  <r>
    <s v="EL FP Equity"/>
    <s v="ESSILORLUXOTTICA"/>
    <s v="Health Care"/>
    <s v="Health Care"/>
    <x v="9"/>
    <s v="FRANCE"/>
    <n v="144.85"/>
    <n v="4.59"/>
    <n v="938005"/>
    <n v="32.200110392861021"/>
  </r>
  <r>
    <s v="EL US Equity"/>
    <s v="ESTEE LAUDER"/>
    <s v="Consumer Staples"/>
    <s v="Consumer Staple Products"/>
    <x v="62"/>
    <s v="UNITED STATES"/>
    <n v="42.41"/>
    <n v="3.62"/>
    <n v="0"/>
    <n v="44.973473560768667"/>
  </r>
  <r>
    <s v="ELA US Equity"/>
    <s v="ENVELA CORP"/>
    <s v="Consumer Discretionary"/>
    <s v="Retail &amp; Whsle - Discretionary"/>
    <x v="10"/>
    <s v="UNITED STATES"/>
    <n v="0.35"/>
    <n v="5"/>
    <n v="5058"/>
    <n v="45.712029296270501"/>
  </r>
  <r>
    <s v="ELAN US Equity"/>
    <s v="ELANCO ANIMAL HE"/>
    <s v="Health Care"/>
    <s v="Health Care"/>
    <x v="25"/>
    <s v="UNITED STATES"/>
    <n v="12.12"/>
    <n v="4.6500000000000004"/>
    <n v="1060180"/>
    <n v="65.505769291815142"/>
  </r>
  <r>
    <s v="ELE SM Equity"/>
    <s v="ENDESA"/>
    <s v="Utilities"/>
    <s v="Utilities"/>
    <x v="38"/>
    <s v="SPAIN"/>
    <n v="37.869999999999997"/>
    <n v="2.5"/>
    <n v="0"/>
    <n v="71.820131177600175"/>
  </r>
  <r>
    <s v="ELE US Equity"/>
    <s v="ELEMENTAL ROYALT"/>
    <s v="Materials"/>
    <s v="Materials"/>
    <x v="22"/>
    <s v="CANADA"/>
    <n v="1.34"/>
    <n v="5"/>
    <n v="62940"/>
    <n v="54.414266546170822"/>
  </r>
  <r>
    <s v="ELF US Equity"/>
    <s v="ELF BEAUTY INC"/>
    <s v="Consumer Staples"/>
    <s v="Consumer Staple Products"/>
    <x v="62"/>
    <s v="UNITED STATES"/>
    <n v="5.62"/>
    <n v="4.41"/>
    <n v="0"/>
    <n v="40.980236056580885"/>
  </r>
  <r>
    <s v="ELMD US Equity"/>
    <s v="ELECTROMED INC"/>
    <s v="Health Care"/>
    <s v="Health Care"/>
    <x v="9"/>
    <s v="UNITED STATES"/>
    <n v="0.24"/>
    <n v="5"/>
    <n v="0"/>
    <n v="32.54106660401338"/>
  </r>
  <r>
    <s v="ELPE GA Equity"/>
    <s v="HELLENIQ ENERGY"/>
    <s v="Energy"/>
    <s v="Oil &amp; Gas"/>
    <x v="20"/>
    <s v="GREECE"/>
    <n v="3.13"/>
    <n v="3.87"/>
    <n v="0"/>
    <n v="64.391642100951628"/>
  </r>
  <r>
    <s v="ELS US Equity"/>
    <s v="EQUITY LIFESTYLE"/>
    <s v="Real Estate"/>
    <s v="Real Estate"/>
    <x v="37"/>
    <s v="UNITED STATES"/>
    <n v="12.4"/>
    <n v="4.29"/>
    <n v="0"/>
    <n v="65.381799356298089"/>
  </r>
  <r>
    <s v="ELUXB SS Equity"/>
    <s v="ELECTROLUX AB-B"/>
    <s v="Consumer Discretionary"/>
    <s v="Consumer Discretionary Products"/>
    <x v="29"/>
    <s v="SWEDEN"/>
    <n v="2.06"/>
    <n v="3.4"/>
    <n v="36215"/>
    <n v="78.178957704241739"/>
  </r>
  <r>
    <s v="ELV US Equity"/>
    <s v="ELEVANCE HEALTH"/>
    <s v="Health Care"/>
    <s v="Health Care"/>
    <x v="31"/>
    <s v="UNITED STATES"/>
    <n v="82.46"/>
    <n v="4.17"/>
    <n v="445272"/>
    <n v="40.845156662050229"/>
  </r>
  <r>
    <s v="ELVA US Equity"/>
    <s v="ELECTROVAYA INC"/>
    <s v="Energy"/>
    <s v="Renewable Energy"/>
    <x v="45"/>
    <s v="CANADA"/>
    <n v="0.52"/>
    <n v="5"/>
    <n v="57304"/>
    <n v="49.684327519609532"/>
  </r>
  <r>
    <s v="ELVN US Equity"/>
    <s v="ENLIVEN THERAPEU"/>
    <s v="Health Care"/>
    <s v="Health Care"/>
    <x v="25"/>
    <s v="UNITED STATES"/>
    <n v="1.53"/>
    <n v="5"/>
    <n v="0"/>
    <n v="61.912483273421536"/>
  </r>
  <r>
    <s v="ELVR US Equity"/>
    <s v="ELEVRA LITHIUM L"/>
    <s v="Materials"/>
    <s v="Materials"/>
    <x v="22"/>
    <s v="AUSTRALIA"/>
    <n v="1.1200000000000001"/>
    <n v="0"/>
    <n v="0"/>
    <n v="53.459421259662484"/>
  </r>
  <r>
    <s v="EMA US Equity"/>
    <s v="EMERA INC"/>
    <s v="Utilities"/>
    <s v="Utilities"/>
    <x v="38"/>
    <s v="CANADA"/>
    <n v="15.04"/>
    <n v="3.4"/>
    <n v="249200"/>
    <n v="49.911471856328362"/>
  </r>
  <r>
    <s v="EMBC US Equity"/>
    <s v="EMBECTA CORP"/>
    <s v="Health Care"/>
    <s v="Health Care"/>
    <x v="9"/>
    <s v="UNITED STATES"/>
    <n v="0.65"/>
    <n v="3"/>
    <n v="0"/>
    <n v="35.090566761333577"/>
  </r>
  <r>
    <s v="EMBJ US Equity"/>
    <s v="EMBRAER SA-ADR"/>
    <s v="Industrials"/>
    <s v="Industrial Products"/>
    <x v="32"/>
    <s v="BRAZIL"/>
    <n v="14.59"/>
    <n v="4.7300000000000004"/>
    <n v="0"/>
    <n v="51.69154836189049"/>
  </r>
  <r>
    <s v="EME US Equity"/>
    <s v="EMCOR GROUP INC"/>
    <s v="Industrials"/>
    <s v="Industrial Services"/>
    <x v="27"/>
    <s v="UNITED STATES"/>
    <n v="31.08"/>
    <n v="4.33"/>
    <n v="0"/>
    <n v="74.276063215071886"/>
  </r>
  <r>
    <s v="EMN US Equity"/>
    <s v="EASTMAN CHEMICAL"/>
    <s v="Materials"/>
    <s v="Materials"/>
    <x v="21"/>
    <s v="UNITED STATES"/>
    <n v="7.84"/>
    <n v="4"/>
    <n v="1952601"/>
    <n v="77.465944753795938"/>
  </r>
  <r>
    <s v="EMR US Equity"/>
    <s v="EMERSON ELEC CO"/>
    <s v="Industrials"/>
    <s v="Industrial Products"/>
    <x v="18"/>
    <s v="UNITED STATES"/>
    <n v="83.04"/>
    <n v="4.2300000000000004"/>
    <n v="0"/>
    <n v="56.532024125196294"/>
  </r>
  <r>
    <s v="ENB US Equity"/>
    <s v="ENBRIDGE INC"/>
    <s v="Energy"/>
    <s v="Oil &amp; Gas"/>
    <x v="20"/>
    <s v="CANADA"/>
    <n v="105.14"/>
    <n v="3.83"/>
    <n v="0"/>
    <n v="73.710234381298875"/>
  </r>
  <r>
    <s v="ENEL IM Equity"/>
    <s v="ENEL SPA"/>
    <s v="Utilities"/>
    <s v="Utilities"/>
    <x v="38"/>
    <s v="ITALY"/>
    <n v="108.12"/>
    <n v="3.79"/>
    <n v="0"/>
    <n v="77.573571449424236"/>
  </r>
  <r>
    <s v="ENGN US Equity"/>
    <s v="ENGENE HOLDINGS"/>
    <s v="Health Care"/>
    <s v="Health Care"/>
    <x v="25"/>
    <s v="CANADA"/>
    <n v="0.82"/>
    <n v="4.7300000000000004"/>
    <n v="0"/>
    <n v="53.16775701181168"/>
  </r>
  <r>
    <s v="ENIC US Equity"/>
    <s v="ENEL CHILE-ADR"/>
    <s v="Utilities"/>
    <s v="Utilities"/>
    <x v="38"/>
    <s v="CHILE"/>
    <n v="6.06"/>
    <n v="4.5999999999999996"/>
    <n v="0"/>
    <n v="56.893767955070459"/>
  </r>
  <r>
    <s v="ENLT US Equity"/>
    <s v="ENLIGHT RENEWABL"/>
    <s v="Utilities"/>
    <s v="Utilities"/>
    <x v="38"/>
    <s v="ISRAEL"/>
    <n v="7.39"/>
    <n v="3.29"/>
    <n v="0"/>
    <n v="69.033650029055778"/>
  </r>
  <r>
    <s v="ENOV US Equity"/>
    <s v="ENOVIS CORP"/>
    <s v="Health Care"/>
    <s v="Health Care"/>
    <x v="9"/>
    <s v="UNITED STATES"/>
    <n v="1.32"/>
    <n v="4.75"/>
    <n v="509833"/>
    <n v="44.128965405564607"/>
  </r>
  <r>
    <s v="ENPH US Equity"/>
    <s v="ENPHASE ENERGY"/>
    <s v="Energy"/>
    <s v="Renewable Energy"/>
    <x v="45"/>
    <s v="UNITED STATES"/>
    <n v="5.16"/>
    <n v="3.16"/>
    <n v="789200"/>
    <n v="65.074122290209615"/>
  </r>
  <r>
    <s v="ENR GR Equity"/>
    <s v="SIEMENS ENERGY A"/>
    <s v="Industrials"/>
    <s v="Industrial Products"/>
    <x v="4"/>
    <s v="GERMANY"/>
    <n v="145.08000000000001"/>
    <n v="4.3099999999999996"/>
    <n v="33191"/>
    <n v="70.797983337234314"/>
  </r>
  <r>
    <s v="ENR GY Equity"/>
    <s v="SIEMENS ENERGY A"/>
    <s v="Industrials"/>
    <s v="Industrial Products"/>
    <x v="4"/>
    <s v="GERMANY"/>
    <n v="143.96"/>
    <n v="4.3099999999999996"/>
    <n v="32935"/>
    <n v="69.702285414649324"/>
  </r>
  <r>
    <s v="ENR US Equity"/>
    <s v="ENERGIZER HOLDIN"/>
    <s v="Consumer Staples"/>
    <s v="Consumer Staple Products"/>
    <x v="62"/>
    <s v="UNITED STATES"/>
    <n v="1.35"/>
    <n v="3.29"/>
    <n v="513760"/>
    <n v="61.889903858261739"/>
  </r>
  <r>
    <s v="ENS US Equity"/>
    <s v="ENERSYS"/>
    <s v="Energy"/>
    <s v="Renewable Energy"/>
    <x v="45"/>
    <s v="UNITED STATES"/>
    <n v="6.4"/>
    <n v="4.5999999999999996"/>
    <n v="0"/>
    <n v="55.012076849592297"/>
  </r>
  <r>
    <s v="ENSG US Equity"/>
    <s v="ENSIGN GROUP INC"/>
    <s v="Health Care"/>
    <s v="Health Care"/>
    <x v="31"/>
    <s v="UNITED STATES"/>
    <n v="10.16"/>
    <n v="4.5999999999999996"/>
    <n v="0"/>
    <n v="80.709593889562029"/>
  </r>
  <r>
    <s v="ENT LN Equity"/>
    <s v="ENTAIN PLC"/>
    <s v="Consumer Discretionary"/>
    <s v="Consumer Discretionary Services"/>
    <x v="6"/>
    <s v="BRITAIN"/>
    <n v="5.85"/>
    <n v="4.5"/>
    <n v="0"/>
    <n v="34.320513594360023"/>
  </r>
  <r>
    <s v="ENTA US Equity"/>
    <s v="ENANTA PHARMACEU"/>
    <s v="Health Care"/>
    <s v="Health Care"/>
    <x v="25"/>
    <s v="UNITED STATES"/>
    <n v="0.38"/>
    <n v="4.63"/>
    <n v="0"/>
    <n v="58.852161921224166"/>
  </r>
  <r>
    <s v="ENTG US Equity"/>
    <s v="ENTEGRIS INC"/>
    <s v="Industrials"/>
    <s v="Industrial Products"/>
    <x v="3"/>
    <s v="UNITED STATES"/>
    <n v="17.39"/>
    <n v="3.77"/>
    <n v="0"/>
    <n v="74.495573478877645"/>
  </r>
  <r>
    <s v="ENVA US Equity"/>
    <s v="ENOVA INTERNATIO"/>
    <s v="Financials"/>
    <s v="Financial Services"/>
    <x v="35"/>
    <s v="UNITED STATES"/>
    <n v="3.91"/>
    <n v="4.63"/>
    <n v="267835"/>
    <n v="43.170907332605793"/>
  </r>
  <r>
    <s v="ENVX US Equity"/>
    <s v="ENOVIX CORP"/>
    <s v="Technology"/>
    <s v="Tech Hardware &amp; Semiconductors"/>
    <x v="16"/>
    <s v="UNITED STATES"/>
    <n v="1.63"/>
    <n v="4.6399999999999997"/>
    <n v="0"/>
    <n v="37.585568384939101"/>
  </r>
  <r>
    <s v="ENX FP Equity"/>
    <s v="EURONEXT NV"/>
    <s v="Financials"/>
    <s v="Financial Services"/>
    <x v="49"/>
    <s v="NETHERLANDS"/>
    <n v="14.83"/>
    <n v="3.42"/>
    <n v="14307"/>
    <n v="50.105082713526841"/>
  </r>
  <r>
    <s v="EOAN GY Equity"/>
    <s v="E.ON SE"/>
    <s v="Utilities"/>
    <s v="Utilities"/>
    <x v="38"/>
    <s v="GERMANY"/>
    <n v="52.8"/>
    <n v="4.04"/>
    <n v="533571"/>
    <n v="67.847232185300328"/>
  </r>
  <r>
    <s v="EOG US Equity"/>
    <s v="EOG RESOURCES"/>
    <s v="Energy"/>
    <s v="Oil &amp; Gas"/>
    <x v="20"/>
    <s v="UNITED STATES"/>
    <n v="58.78"/>
    <n v="4"/>
    <n v="0"/>
    <n v="66.403290845886431"/>
  </r>
  <r>
    <s v="EOLS US Equity"/>
    <s v="EVOLUS INC"/>
    <s v="Health Care"/>
    <s v="Health Care"/>
    <x v="25"/>
    <s v="UNITED STATES"/>
    <n v="0.32"/>
    <n v="4.71"/>
    <n v="147600"/>
    <n v="32.226429597606185"/>
  </r>
  <r>
    <s v="EOSE US Equity"/>
    <s v="EOS ENERGY ENTER"/>
    <s v="Energy"/>
    <s v="Renewable Energy"/>
    <x v="45"/>
    <s v="UNITED STATES"/>
    <n v="5.55"/>
    <n v="3.6"/>
    <n v="0"/>
    <n v="38.390018264915177"/>
  </r>
  <r>
    <s v="EPAC US Equity"/>
    <s v="ENERPAC TOOL GRO"/>
    <s v="Industrials"/>
    <s v="Industrial Products"/>
    <x v="3"/>
    <s v="UNITED STATES"/>
    <n v="2.15"/>
    <n v="3.75"/>
    <n v="0"/>
    <n v="63.783602973298919"/>
  </r>
  <r>
    <s v="EPAM US Equity"/>
    <s v="EPAM SYSTEMS INC"/>
    <s v="Technology"/>
    <s v="Software &amp; Tech Services"/>
    <x v="34"/>
    <s v="UNITED STATES"/>
    <n v="12.05"/>
    <n v="4.1500000000000004"/>
    <n v="84011"/>
    <n v="34.525847616637947"/>
  </r>
  <r>
    <s v="EPC US Equity"/>
    <s v="EDGEWELL PERSONA"/>
    <s v="Consumer Staples"/>
    <s v="Consumer Staple Products"/>
    <x v="62"/>
    <s v="UNITED STATES"/>
    <n v="0.91"/>
    <n v="3.86"/>
    <n v="0"/>
    <n v="67.705372449902427"/>
  </r>
  <r>
    <s v="EPD US Equity"/>
    <s v="ENTERPRISE PRODU"/>
    <s v="Energy"/>
    <s v="Oil &amp; Gas"/>
    <x v="20"/>
    <s v="UNITED STATES"/>
    <n v="71.48"/>
    <n v="4"/>
    <n v="1519840"/>
    <n v="79.051893803876681"/>
  </r>
  <r>
    <s v="EPHE US Equity"/>
    <s v="ISHARES MSCI PHI"/>
    <s v="Financials"/>
    <s v="Financial Services"/>
    <x v="24"/>
    <s v="UNITED STATES"/>
    <n v="0.16"/>
    <n v="0"/>
    <n v="0"/>
    <n v="66.354183572591069"/>
  </r>
  <r>
    <s v="EPI US Equity"/>
    <s v="WISDOMTREE INDIA"/>
    <s v="Financials"/>
    <s v="Financial Services"/>
    <x v="24"/>
    <s v="UNITED STATES"/>
    <n v="2.6"/>
    <n v="0"/>
    <n v="0"/>
    <n v="57.578828795588691"/>
  </r>
  <r>
    <s v="EPOL US Equity"/>
    <s v="ISHARES MSCI POL"/>
    <s v="Financials"/>
    <s v="Financial Services"/>
    <x v="24"/>
    <s v="UNITED STATES"/>
    <n v="0.56000000000000005"/>
    <n v="0"/>
    <n v="0"/>
    <n v="60.677385175993372"/>
  </r>
  <r>
    <s v="EPRT US Equity"/>
    <s v="ESSENTIAL PROPER"/>
    <s v="Real Estate"/>
    <s v="Real Estate"/>
    <x v="37"/>
    <s v="UNITED STATES"/>
    <n v="6.03"/>
    <n v="4.8"/>
    <n v="0"/>
    <n v="59.08233584485555"/>
  </r>
  <r>
    <s v="EPRX US Equity"/>
    <s v="EUPRAXIA PHARMAC"/>
    <s v="Health Care"/>
    <s v="Health Care"/>
    <x v="25"/>
    <s v="CANADA"/>
    <n v="0.46"/>
    <n v="4.83"/>
    <n v="191070"/>
    <n v="53.086069384230001"/>
  </r>
  <r>
    <s v="EQ US Equity"/>
    <s v="EQUILLIUM INC"/>
    <s v="Health Care"/>
    <s v="Health Care"/>
    <x v="25"/>
    <s v="UNITED STATES"/>
    <n v="0.08"/>
    <n v="3.67"/>
    <n v="0"/>
    <n v="63.959254175167899"/>
  </r>
  <r>
    <s v="EQBK US Equity"/>
    <s v="EQUITY BANCSHA-A"/>
    <s v="Financials"/>
    <s v="Banking"/>
    <x v="26"/>
    <s v="UNITED STATES"/>
    <n v="0.86"/>
    <n v="4"/>
    <n v="22590"/>
    <n v="47.884594394303008"/>
  </r>
  <r>
    <s v="EQH US Equity"/>
    <s v="EQUITABLE HOLDIN"/>
    <s v="Financials"/>
    <s v="Insurance"/>
    <x v="23"/>
    <s v="UNITED STATES"/>
    <n v="13.08"/>
    <n v="4.8600000000000003"/>
    <n v="0"/>
    <n v="41.540416268111372"/>
  </r>
  <r>
    <s v="EQIX US Equity"/>
    <s v="EQUINIX INC"/>
    <s v="Real Estate"/>
    <s v="Real Estate"/>
    <x v="37"/>
    <s v="UNITED STATES"/>
    <n v="77.69"/>
    <n v="4.62"/>
    <n v="0"/>
    <n v="73.646011509150469"/>
  </r>
  <r>
    <s v="EQNR US Equity"/>
    <s v="EQUINOR ASA-ADR"/>
    <s v="Energy"/>
    <s v="Oil &amp; Gas"/>
    <x v="20"/>
    <s v="NORWAY"/>
    <n v="65.48"/>
    <n v="2.75"/>
    <n v="0"/>
    <n v="71.638776328898757"/>
  </r>
  <r>
    <s v="EQT US Equity"/>
    <s v="EQT CORP"/>
    <s v="Energy"/>
    <s v="Oil &amp; Gas"/>
    <x v="20"/>
    <s v="UNITED STATES"/>
    <n v="34.65"/>
    <n v="4.4400000000000004"/>
    <n v="0"/>
    <n v="56.891910114777779"/>
  </r>
  <r>
    <s v="EQX US Equity"/>
    <s v="EQUINOX GOLD COR"/>
    <s v="Materials"/>
    <s v="Materials"/>
    <x v="22"/>
    <s v="CANADA"/>
    <n v="12.71"/>
    <n v="4.78"/>
    <n v="362510"/>
    <n v="58.090528169425014"/>
  </r>
  <r>
    <s v="ERAS US Equity"/>
    <s v="ERASCA INC"/>
    <s v="Health Care"/>
    <s v="Health Care"/>
    <x v="25"/>
    <s v="UNITED STATES"/>
    <n v="3.05"/>
    <n v="4.45"/>
    <n v="0"/>
    <n v="72.957018236423693"/>
  </r>
  <r>
    <s v="ERIC US Equity"/>
    <s v="ERICSSON LM-ADR"/>
    <s v="Technology"/>
    <s v="Tech Hardware &amp; Semiconductors"/>
    <x v="16"/>
    <s v="SWEDEN"/>
    <n v="35.21"/>
    <n v="2.4300000000000002"/>
    <n v="0"/>
    <n v="67.243184541105506"/>
  </r>
  <r>
    <s v="ERIE US Equity"/>
    <s v="ERIE INDEMNITY-A"/>
    <s v="Financials"/>
    <s v="Insurance"/>
    <x v="23"/>
    <s v="UNITED STATES"/>
    <n v="14.42"/>
    <n v="5"/>
    <n v="0"/>
    <n v="49.043367757043015"/>
  </r>
  <r>
    <s v="ERII US Equity"/>
    <s v="ENERGY RECOVERY"/>
    <s v="Industrials"/>
    <s v="Industrial Products"/>
    <x v="3"/>
    <s v="UNITED STATES"/>
    <n v="0.76"/>
    <n v="4.25"/>
    <n v="0"/>
    <n v="61.732568981854108"/>
  </r>
  <r>
    <s v="ERO US Equity"/>
    <s v="ERO COPPER CORP"/>
    <s v="Materials"/>
    <s v="Materials"/>
    <x v="22"/>
    <s v="CANADA"/>
    <n v="3.41"/>
    <n v="4.22"/>
    <n v="135859"/>
    <n v="49.571536810975225"/>
  </r>
  <r>
    <s v="ES US Equity"/>
    <s v="EVERSOURCE ENERG"/>
    <s v="Utilities"/>
    <s v="Utilities"/>
    <x v="38"/>
    <s v="UNITED STATES"/>
    <n v="26.11"/>
    <n v="3.56"/>
    <n v="0"/>
    <n v="57.940574742277086"/>
  </r>
  <r>
    <s v="ESAB US Equity"/>
    <s v="ESAB CORP"/>
    <s v="Industrials"/>
    <s v="Industrial Products"/>
    <x v="3"/>
    <s v="UNITED STATES"/>
    <n v="7.33"/>
    <n v="4.6399999999999997"/>
    <n v="5915"/>
    <n v="69.738797888173522"/>
  </r>
  <r>
    <s v="ESE US Equity"/>
    <s v="ESCO TECH INC"/>
    <s v="Industrials"/>
    <s v="Industrial Products"/>
    <x v="4"/>
    <s v="UNITED STATES"/>
    <n v="5.7"/>
    <n v="4.5"/>
    <n v="0"/>
    <n v="85.874304459216631"/>
  </r>
  <r>
    <s v="ESHA US Equity"/>
    <s v="ESH ACQUISITIO-A"/>
    <s v="Financials"/>
    <s v="Financial Services"/>
    <x v="24"/>
    <s v="UNITED STATES"/>
    <n v="0.04"/>
    <n v="0"/>
    <n v="0"/>
    <n v="46.991636462612725"/>
  </r>
  <r>
    <s v="ESI US Equity"/>
    <s v="ELEMENT SOLUTION"/>
    <s v="Materials"/>
    <s v="Materials"/>
    <x v="21"/>
    <s v="UNITED STATES"/>
    <n v="6.94"/>
    <n v="4.7300000000000004"/>
    <n v="0"/>
    <n v="67.114516655311576"/>
  </r>
  <r>
    <s v="ESLA US Equity"/>
    <s v="ESTRELLA IMMUNOP"/>
    <s v="Health Care"/>
    <s v="Health Care"/>
    <x v="25"/>
    <s v="UNITED STATES"/>
    <n v="0.04"/>
    <n v="5"/>
    <n v="0"/>
    <n v="52.276019151790408"/>
  </r>
  <r>
    <s v="ESLT US Equity"/>
    <s v="ELBIT SYSTEMS"/>
    <s v="Industrials"/>
    <s v="Industrial Products"/>
    <x v="32"/>
    <s v="ISRAEL"/>
    <n v="33.4"/>
    <n v="3.33"/>
    <n v="0"/>
    <n v="47.742794669444415"/>
  </r>
  <r>
    <s v="ESNT US Equity"/>
    <s v="ESSENT GROUP LTD"/>
    <s v="Financials"/>
    <s v="Financial Services"/>
    <x v="35"/>
    <s v="BERMUDA"/>
    <n v="5.89"/>
    <n v="3.75"/>
    <n v="0"/>
    <n v="59.738677766202244"/>
  </r>
  <r>
    <s v="ESOA US Equity"/>
    <s v="ENERGY SERVICES"/>
    <s v="Industrials"/>
    <s v="Industrial Services"/>
    <x v="27"/>
    <s v="UNITED STATES"/>
    <n v="0.15"/>
    <n v="5"/>
    <n v="83265"/>
    <n v="87.744729717732426"/>
  </r>
  <r>
    <s v="ESPR US Equity"/>
    <s v="ESPERION THERAPE"/>
    <s v="Health Care"/>
    <s v="Health Care"/>
    <x v="25"/>
    <s v="UNITED STATES"/>
    <n v="0.75"/>
    <n v="4.13"/>
    <n v="0"/>
    <n v="51.33660886171328"/>
  </r>
  <r>
    <s v="ESQ US Equity"/>
    <s v="ESQUIRE FINANCIA"/>
    <s v="Financials"/>
    <s v="Banking"/>
    <x v="26"/>
    <s v="UNITED STATES"/>
    <n v="0.93"/>
    <n v="3.67"/>
    <n v="0"/>
    <n v="48.685295265599237"/>
  </r>
  <r>
    <s v="ESTA US Equity"/>
    <s v="ESTABLISHMENT LA"/>
    <s v="Health Care"/>
    <s v="Health Care"/>
    <x v="9"/>
    <s v="UNITED STATES"/>
    <n v="1.92"/>
    <n v="4.78"/>
    <n v="510880"/>
    <n v="57.398437843018634"/>
  </r>
  <r>
    <s v="ESTC US Equity"/>
    <s v="ELASTIC NV"/>
    <s v="Technology"/>
    <s v="Software &amp; Tech Services"/>
    <x v="14"/>
    <s v="UNITED STATES"/>
    <n v="7.56"/>
    <n v="4.4000000000000004"/>
    <n v="717800"/>
    <n v="37.597586822539313"/>
  </r>
  <r>
    <s v="ET US Equity"/>
    <s v="ENERGY TRANSFER"/>
    <s v="Energy"/>
    <s v="Oil &amp; Gas"/>
    <x v="20"/>
    <s v="UNITED STATES"/>
    <n v="61.77"/>
    <n v="4.71"/>
    <n v="71960000"/>
    <n v="68.555237783377351"/>
  </r>
  <r>
    <s v="ETD US Equity"/>
    <s v="ETHAN ALLEN"/>
    <s v="Consumer Discretionary"/>
    <s v="Retail &amp; Whsle - Discretionary"/>
    <x v="10"/>
    <s v="UNITED STATES"/>
    <n v="0.62"/>
    <n v="3"/>
    <n v="0"/>
    <n v="49.835860426621089"/>
  </r>
  <r>
    <s v="ETHZ US Equity"/>
    <s v="ETHZILLA CORP"/>
    <s v="Financials"/>
    <s v="Financial Services"/>
    <x v="24"/>
    <s v="UNITED STATES"/>
    <n v="0.1"/>
    <n v="0"/>
    <n v="0"/>
    <n v="28.297804429494803"/>
  </r>
  <r>
    <s v="ETN US Equity"/>
    <s v="EATON CORP PLC"/>
    <s v="Industrials"/>
    <s v="Industrial Products"/>
    <x v="4"/>
    <s v="IRELAND"/>
    <n v="128.65"/>
    <n v="4.32"/>
    <n v="264976"/>
    <n v="76.201752885776813"/>
  </r>
  <r>
    <s v="ETON US Equity"/>
    <s v="ETON PHARMACEUTI"/>
    <s v="Health Care"/>
    <s v="Health Care"/>
    <x v="25"/>
    <s v="UNITED STATES"/>
    <n v="0.4"/>
    <n v="5"/>
    <n v="0"/>
    <n v="57.705580813961639"/>
  </r>
  <r>
    <s v="ETOR US Equity"/>
    <s v="ETORO GROUP LT-A"/>
    <s v="Financials"/>
    <s v="Financial Services"/>
    <x v="24"/>
    <s v="ISRAEL"/>
    <n v="2.63"/>
    <n v="4.29"/>
    <n v="0"/>
    <n v="34.606640007768775"/>
  </r>
  <r>
    <s v="ETR US Equity"/>
    <s v="ENTERGY CORP"/>
    <s v="Utilities"/>
    <s v="Utilities"/>
    <x v="38"/>
    <s v="UNITED STATES"/>
    <n v="41.62"/>
    <n v="4.38"/>
    <n v="93190"/>
    <n v="70.634171482766192"/>
  </r>
  <r>
    <s v="ETSY US Equity"/>
    <s v="ETSY INC"/>
    <s v="Consumer Discretionary"/>
    <s v="Retail &amp; Whsle - Discretionary"/>
    <x v="51"/>
    <s v="UNITED STATES"/>
    <n v="5.94"/>
    <n v="3.4"/>
    <n v="0"/>
    <n v="31.496432539545012"/>
  </r>
  <r>
    <s v="EU US Equity"/>
    <s v="ENCORE ENERGY CO"/>
    <s v="Materials"/>
    <s v="Materials"/>
    <x v="22"/>
    <s v="CANADA"/>
    <n v="0.62"/>
    <n v="5"/>
    <n v="0"/>
    <n v="45.646720138000873"/>
  </r>
  <r>
    <s v="EVAX US Equity"/>
    <s v="EVAXION A/S"/>
    <s v="Health Care"/>
    <s v="Health Care"/>
    <x v="25"/>
    <s v="DENMARK"/>
    <n v="0.04"/>
    <n v="5"/>
    <n v="0"/>
    <n v="36.7411757256938"/>
  </r>
  <r>
    <s v="EVC US Equity"/>
    <s v="ENTRAVISION CO-A"/>
    <s v="Communications"/>
    <s v="Media"/>
    <x v="53"/>
    <s v="UNITED STATES"/>
    <n v="0.28999999999999998"/>
    <n v="0"/>
    <n v="0"/>
    <n v="49.279779842062048"/>
  </r>
  <r>
    <s v="EVCM US Equity"/>
    <s v="EVERCOMMERCE INC"/>
    <s v="Technology"/>
    <s v="Software &amp; Tech Services"/>
    <x v="14"/>
    <s v="UNITED STATES"/>
    <n v="2.27"/>
    <n v="3.56"/>
    <n v="0"/>
    <n v="34.347881850434689"/>
  </r>
  <r>
    <s v="EVER US Equity"/>
    <s v="EVERQUOTE INC-A"/>
    <s v="Communications"/>
    <s v="Media"/>
    <x v="13"/>
    <s v="UNITED STATES"/>
    <n v="0.85"/>
    <n v="4.5"/>
    <n v="0"/>
    <n v="15.145090206316553"/>
  </r>
  <r>
    <s v="EVEX US Equity"/>
    <s v="EVE HOLDING INC"/>
    <s v="Industrials"/>
    <s v="Industrial Products"/>
    <x v="32"/>
    <s v="UNITED STATES"/>
    <n v="1.56"/>
    <n v="4.33"/>
    <n v="0"/>
    <n v="23.912298077942779"/>
  </r>
  <r>
    <s v="EVGO US Equity"/>
    <s v="EVGO INC"/>
    <s v="Consumer Discretionary"/>
    <s v="Retail &amp; Whsle - Discretionary"/>
    <x v="10"/>
    <s v="UNITED STATES"/>
    <n v="0.95"/>
    <n v="4.5999999999999996"/>
    <n v="0"/>
    <n v="47.582029121100227"/>
  </r>
  <r>
    <s v="EVH US Equity"/>
    <s v="EVOLENT HEALTH-A"/>
    <s v="Technology"/>
    <s v="Software &amp; Tech Services"/>
    <x v="14"/>
    <s v="UNITED STATES"/>
    <n v="0.44"/>
    <n v="4.8099999999999996"/>
    <n v="39400"/>
    <n v="19.417111280744251"/>
  </r>
  <r>
    <s v="EVLV US Equity"/>
    <s v="EVOLV TECHNOLOGI"/>
    <s v="Industrials"/>
    <s v="Industrial Products"/>
    <x v="4"/>
    <s v="UNITED STATES"/>
    <n v="1.1399999999999999"/>
    <n v="5"/>
    <n v="496713"/>
    <n v="40.225771723115209"/>
  </r>
  <r>
    <s v="EVMN US Equity"/>
    <s v="EVOMMUNE INC"/>
    <s v="Health Care"/>
    <s v="Health Care"/>
    <x v="25"/>
    <s v="UNITED STATES"/>
    <n v="0.59"/>
    <n v="5"/>
    <n v="29503245"/>
    <n v="69.262731643774174"/>
  </r>
  <r>
    <s v="EVO US Equity"/>
    <s v="EVOTEC SE-ADR"/>
    <s v="Health Care"/>
    <s v="Health Care"/>
    <x v="31"/>
    <s v="GERMANY"/>
    <n v="1.28"/>
    <n v="3.8"/>
    <n v="36100"/>
    <n v="47.65949867802231"/>
  </r>
  <r>
    <s v="EVR US Equity"/>
    <s v="EVERCORE INC"/>
    <s v="Financials"/>
    <s v="Financial Services"/>
    <x v="49"/>
    <s v="UNITED STATES"/>
    <n v="14"/>
    <n v="3.91"/>
    <n v="0"/>
    <n v="43.554887548744084"/>
  </r>
  <r>
    <s v="EVRG US Equity"/>
    <s v="EVERGY INC"/>
    <s v="Utilities"/>
    <s v="Utilities"/>
    <x v="38"/>
    <s v="UNITED STATES"/>
    <n v="17.39"/>
    <n v="4.1399999999999997"/>
    <n v="0"/>
    <n v="67.123555948029988"/>
  </r>
  <r>
    <s v="EVTC US Equity"/>
    <s v="EVERTEC INC"/>
    <s v="Financials"/>
    <s v="Financial Services"/>
    <x v="35"/>
    <s v="PUERTO RICO"/>
    <n v="1.91"/>
    <n v="4"/>
    <n v="0"/>
    <n v="30.350957808548941"/>
  </r>
  <r>
    <s v="EVTL US Equity"/>
    <s v="VERTICAL AEROSPA"/>
    <s v="Industrials"/>
    <s v="Industrial Products"/>
    <x v="32"/>
    <s v="BRITAIN"/>
    <n v="0.54"/>
    <n v="4.33"/>
    <n v="0"/>
    <n v="38.234160329228025"/>
  </r>
  <r>
    <s v="EW US Equity"/>
    <s v="EDWARDS LIFE"/>
    <s v="Health Care"/>
    <s v="Health Care"/>
    <x v="9"/>
    <s v="UNITED STATES"/>
    <n v="48.55"/>
    <n v="4.37"/>
    <n v="0"/>
    <n v="41.367886855594001"/>
  </r>
  <r>
    <s v="EWBC US Equity"/>
    <s v="EAST WEST BNCRP"/>
    <s v="Financials"/>
    <s v="Banking"/>
    <x v="26"/>
    <s v="UNITED STATES"/>
    <n v="15.32"/>
    <n v="4.5"/>
    <n v="0"/>
    <n v="59.01353660270135"/>
  </r>
  <r>
    <s v="EWC US Equity"/>
    <s v="ISHARES MSCI CAN"/>
    <s v="Financials"/>
    <s v="Financial Services"/>
    <x v="24"/>
    <s v="UNITED STATES"/>
    <n v="4.09"/>
    <n v="0"/>
    <n v="0"/>
    <n v="61.816551475892659"/>
  </r>
  <r>
    <s v="EWG US Equity"/>
    <s v="ISHARES MSCI GER"/>
    <s v="Financials"/>
    <s v="Financial Services"/>
    <x v="24"/>
    <s v="UNITED STATES"/>
    <n v="1.77"/>
    <n v="0"/>
    <n v="0"/>
    <n v="58.288401722913683"/>
  </r>
  <r>
    <s v="EWM US Equity"/>
    <s v="ISHARES MSCI MAL"/>
    <s v="Financials"/>
    <s v="Financial Services"/>
    <x v="24"/>
    <s v="UNITED STATES"/>
    <n v="0.31"/>
    <n v="0"/>
    <n v="0"/>
    <n v="68.230567613786278"/>
  </r>
  <r>
    <s v="EWTX US Equity"/>
    <s v="EDGEWISE THERAPE"/>
    <s v="Health Care"/>
    <s v="Health Care"/>
    <x v="25"/>
    <s v="UNITED STATES"/>
    <n v="3.03"/>
    <n v="4.67"/>
    <n v="306127"/>
    <n v="60.930153187137186"/>
  </r>
  <r>
    <s v="EWW US Equity"/>
    <s v="ISHARES MSCI MEX"/>
    <s v="Financials"/>
    <s v="Financial Services"/>
    <x v="24"/>
    <s v="UNITED STATES"/>
    <n v="2.13"/>
    <n v="0"/>
    <n v="0"/>
    <n v="69.151259997643933"/>
  </r>
  <r>
    <s v="EWZ US Equity"/>
    <s v="ISHARES MSCI BRA"/>
    <s v="Financials"/>
    <s v="Financial Services"/>
    <x v="24"/>
    <s v="UNITED STATES"/>
    <n v="8.4499999999999993"/>
    <n v="0"/>
    <n v="0"/>
    <n v="72.224158577713681"/>
  </r>
  <r>
    <s v="EXA FP Equity"/>
    <s v="EXAIL TECHNOLOGI"/>
    <s v="Industrials"/>
    <s v="Industrial Products"/>
    <x v="32"/>
    <s v="FRANCE"/>
    <n v="2.14"/>
    <n v="5"/>
    <n v="0"/>
    <n v="56.314603937390991"/>
  </r>
  <r>
    <s v="EXAS US Equity"/>
    <s v="EXACT SCIENCES"/>
    <s v="Health Care"/>
    <s v="Health Care"/>
    <x v="9"/>
    <s v="UNITED STATES"/>
    <n v="19.510000000000002"/>
    <n v="3.04"/>
    <n v="0"/>
    <n v="78.981432879143327"/>
  </r>
  <r>
    <s v="EXC US Equity"/>
    <s v="EXELON CORP"/>
    <s v="Utilities"/>
    <s v="Utilities"/>
    <x v="38"/>
    <s v="UNITED STATES"/>
    <n v="44.48"/>
    <n v="3.57"/>
    <n v="0"/>
    <n v="52.346198733882744"/>
  </r>
  <r>
    <s v="EXE US Equity"/>
    <s v="EXPAND ENERGY CO"/>
    <s v="Energy"/>
    <s v="Oil &amp; Gas"/>
    <x v="20"/>
    <s v="UNITED STATES"/>
    <n v="26.08"/>
    <n v="4.7"/>
    <n v="492705"/>
    <n v="42.181895713812516"/>
  </r>
  <r>
    <s v="EXEL US Equity"/>
    <s v="EXELIXIS INC"/>
    <s v="Health Care"/>
    <s v="Health Care"/>
    <x v="25"/>
    <s v="UNITED STATES"/>
    <n v="11.87"/>
    <n v="3.81"/>
    <n v="0"/>
    <n v="47.374678720038105"/>
  </r>
  <r>
    <s v="EXK US Equity"/>
    <s v="ENDEAVOUR SILVER"/>
    <s v="Materials"/>
    <s v="Materials"/>
    <x v="22"/>
    <s v="CANADA"/>
    <n v="4.17"/>
    <n v="5"/>
    <n v="0"/>
    <n v="55.503026293967082"/>
  </r>
  <r>
    <s v="EXL GY Equity"/>
    <s v="EXASOL AG"/>
    <s v="Technology"/>
    <s v="Software &amp; Tech Services"/>
    <x v="14"/>
    <s v="GERMANY"/>
    <n v="0.08"/>
    <n v="5"/>
    <n v="0"/>
    <n v="39.851732231869939"/>
  </r>
  <r>
    <s v="EXLS US Equity"/>
    <s v="EXLSERVICE HOLDI"/>
    <s v="Technology"/>
    <s v="Software &amp; Tech Services"/>
    <x v="34"/>
    <s v="UNITED STATES"/>
    <n v="6.77"/>
    <n v="4.5599999999999996"/>
    <n v="0"/>
    <n v="20.069297887097363"/>
  </r>
  <r>
    <s v="EXOD US Equity"/>
    <s v="EXODUS MOVEMEN-A"/>
    <s v="Technology"/>
    <s v="Software &amp; Tech Services"/>
    <x v="14"/>
    <s v="UNITED STATES"/>
    <n v="0.44"/>
    <n v="5"/>
    <n v="0"/>
    <n v="31.28019863359664"/>
  </r>
  <r>
    <s v="EXP US Equity"/>
    <s v="EAGLE MATERIALS"/>
    <s v="Materials"/>
    <s v="Materials"/>
    <x v="48"/>
    <s v="UNITED STATES"/>
    <n v="7.17"/>
    <n v="3"/>
    <n v="223740"/>
    <n v="56.686990030785331"/>
  </r>
  <r>
    <s v="EXPD US Equity"/>
    <s v="EXPEDITORS INTL"/>
    <s v="Industrials"/>
    <s v="Industrial Services"/>
    <x v="12"/>
    <s v="UNITED STATES"/>
    <n v="21.34"/>
    <n v="2.44"/>
    <n v="0"/>
    <n v="55.129307292960284"/>
  </r>
  <r>
    <s v="EXPE US Equity"/>
    <s v="EXPEDIA GROUP IN"/>
    <s v="Communications"/>
    <s v="Media"/>
    <x v="13"/>
    <s v="UNITED STATES"/>
    <n v="33.22"/>
    <n v="3.73"/>
    <n v="0"/>
    <n v="34.994813807437438"/>
  </r>
  <r>
    <s v="EXPI US Equity"/>
    <s v="EXP WORLD HOLDIN"/>
    <s v="Real Estate"/>
    <s v="Real Estate"/>
    <x v="7"/>
    <s v="UNITED STATES"/>
    <n v="1.47"/>
    <n v="4"/>
    <n v="0"/>
    <n v="24.270043338333025"/>
  </r>
  <r>
    <s v="EXPN LN Equity"/>
    <s v="EXPERIAN PLC"/>
    <s v="Financials"/>
    <s v="Financial Services"/>
    <x v="35"/>
    <s v="IRELAND"/>
    <n v="37.82"/>
    <n v="4.68"/>
    <n v="824391"/>
    <n v="18.74281033314891"/>
  </r>
  <r>
    <s v="EXPO US Equity"/>
    <s v="EXPONENT INC"/>
    <s v="Industrials"/>
    <s v="Industrial Services"/>
    <x v="27"/>
    <s v="UNITED STATES"/>
    <n v="3.7"/>
    <n v="4.33"/>
    <n v="0"/>
    <n v="46.20960216848836"/>
  </r>
  <r>
    <s v="EXTR US Equity"/>
    <s v="EXTREME NETWORKS"/>
    <s v="Technology"/>
    <s v="Tech Hardware &amp; Semiconductors"/>
    <x v="16"/>
    <s v="UNITED STATES"/>
    <n v="1.97"/>
    <n v="4.75"/>
    <n v="0"/>
    <n v="42.048514741602375"/>
  </r>
  <r>
    <s v="EYE US Equity"/>
    <s v="NATIONAL VISION"/>
    <s v="Consumer Discretionary"/>
    <s v="Retail &amp; Whsle - Discretionary"/>
    <x v="10"/>
    <s v="UNITED STATES"/>
    <n v="2.11"/>
    <n v="4.38"/>
    <n v="0"/>
    <n v="55.534899156413246"/>
  </r>
  <r>
    <s v="EYPT US Equity"/>
    <s v="EYEPOINT INC"/>
    <s v="Health Care"/>
    <s v="Health Care"/>
    <x v="25"/>
    <s v="UNITED STATES"/>
    <n v="1.26"/>
    <n v="5"/>
    <n v="0"/>
    <n v="36.970562150581124"/>
  </r>
  <r>
    <s v="EZPW US Equity"/>
    <s v="EZCORP INC-A"/>
    <s v="Financials"/>
    <s v="Financial Services"/>
    <x v="35"/>
    <s v="UNITED STATES"/>
    <n v="1.29"/>
    <n v="4.29"/>
    <n v="0"/>
    <n v="71.225564185034557"/>
  </r>
  <r>
    <s v="F US Equity"/>
    <s v="FORD MOTOR CO"/>
    <s v="Consumer Discretionary"/>
    <s v="Consumer Discretionary Products"/>
    <x v="8"/>
    <s v="UNITED STATES"/>
    <n v="54.03"/>
    <n v="3"/>
    <n v="101971"/>
    <n v="53.87395233651641"/>
  </r>
  <r>
    <s v="FA US Equity"/>
    <s v="FIRST ADVANTAGE"/>
    <s v="Industrials"/>
    <s v="Industrial Services"/>
    <x v="15"/>
    <s v="UNITED STATES"/>
    <n v="2.46"/>
    <n v="3.8"/>
    <n v="0"/>
    <n v="27.979034099348581"/>
  </r>
  <r>
    <s v="FAF US Equity"/>
    <s v="FIRST AMERICAN F"/>
    <s v="Financials"/>
    <s v="Financial Services"/>
    <x v="35"/>
    <s v="UNITED STATES"/>
    <n v="6.47"/>
    <n v="4"/>
    <n v="0"/>
    <n v="51.193824591146701"/>
  </r>
  <r>
    <s v="FANG US Equity"/>
    <s v="DIAMONDBACK ENER"/>
    <s v="Energy"/>
    <s v="Oil &amp; Gas"/>
    <x v="20"/>
    <s v="UNITED STATES"/>
    <n v="44.13"/>
    <n v="4.7300000000000004"/>
    <n v="0"/>
    <n v="64.107371478032476"/>
  </r>
  <r>
    <s v="FANUY US Equity"/>
    <s v="FANUC CORP-ADR"/>
    <s v="Industrials"/>
    <s v="Industrial Products"/>
    <x v="3"/>
    <s v="JAPAN"/>
    <n v="40.51"/>
    <n v="3"/>
    <n v="0"/>
    <n v="66.410500694712894"/>
  </r>
  <r>
    <s v="FAST US Equity"/>
    <s v="FASTENAL CO"/>
    <s v="Industrials"/>
    <s v="Industrial Services"/>
    <x v="43"/>
    <s v="UNITED STATES"/>
    <n v="50.39"/>
    <n v="3.05"/>
    <n v="219450"/>
    <n v="64.533195673460554"/>
  </r>
  <r>
    <s v="FBIN US Equity"/>
    <s v="FORTUNE BRANDS I"/>
    <s v="Consumer Discretionary"/>
    <s v="Consumer Discretionary Products"/>
    <x v="50"/>
    <s v="UNITED STATES"/>
    <n v="7.01"/>
    <n v="3.67"/>
    <n v="0"/>
    <n v="63.086847780100221"/>
  </r>
  <r>
    <s v="FBIO US Equity"/>
    <s v="FORTRESS BIOTECH"/>
    <s v="Health Care"/>
    <s v="Health Care"/>
    <x v="25"/>
    <s v="UNITED STATES"/>
    <n v="0.11"/>
    <n v="5"/>
    <n v="0"/>
    <n v="56.215909636683492"/>
  </r>
  <r>
    <s v="FBK US Equity"/>
    <s v="FB FINANCIAL COR"/>
    <s v="Financials"/>
    <s v="Banking"/>
    <x v="26"/>
    <s v="UNITED STATES"/>
    <n v="3.04"/>
    <n v="4.43"/>
    <n v="520464"/>
    <n v="53.260770634964715"/>
  </r>
  <r>
    <s v="FBNC US Equity"/>
    <s v="FIRST BANCORP/NC"/>
    <s v="Financials"/>
    <s v="Banking"/>
    <x v="26"/>
    <s v="UNITED STATES"/>
    <n v="2.4"/>
    <n v="4.5999999999999996"/>
    <n v="2600"/>
    <n v="63.548428130607768"/>
  </r>
  <r>
    <s v="FBP US Equity"/>
    <s v="FIRST BANCORP PR"/>
    <s v="Financials"/>
    <s v="Banking"/>
    <x v="26"/>
    <s v="PUERTO RICO"/>
    <n v="3.26"/>
    <n v="4.43"/>
    <n v="0"/>
    <n v="59.503043775157202"/>
  </r>
  <r>
    <s v="FBRX US Equity"/>
    <s v="FORTE BIOSCIENCE"/>
    <s v="Health Care"/>
    <s v="Health Care"/>
    <x v="25"/>
    <s v="UNITED STATES"/>
    <n v="0.4"/>
    <n v="5"/>
    <n v="308792"/>
    <n v="50.843717657507412"/>
  </r>
  <r>
    <s v="FBYD US Equity"/>
    <s v="FALCON'S BEYOND"/>
    <s v="Consumer Discretionary"/>
    <s v="Consumer Discretionary Services"/>
    <x v="6"/>
    <s v="UNITED STATES"/>
    <n v="0.91"/>
    <n v="0"/>
    <n v="0"/>
    <n v="29.137494518721411"/>
  </r>
  <r>
    <s v="FCAP US Equity"/>
    <s v="FIRST CAPITAL"/>
    <s v="Financials"/>
    <s v="Banking"/>
    <x v="26"/>
    <s v="UNITED STATES"/>
    <n v="0.17"/>
    <n v="0"/>
    <n v="69743"/>
    <n v="46.712611459850507"/>
  </r>
  <r>
    <s v="FCEL US Equity"/>
    <s v="FUELCELL ENERGY"/>
    <s v="Energy"/>
    <s v="Renewable Energy"/>
    <x v="45"/>
    <s v="UNITED STATES"/>
    <n v="0.48"/>
    <n v="2.5"/>
    <n v="0"/>
    <n v="44.797661377060741"/>
  </r>
  <r>
    <s v="FCF US Equity"/>
    <s v="FIRST COMMON FIN"/>
    <s v="Financials"/>
    <s v="Banking"/>
    <x v="26"/>
    <s v="UNITED STATES"/>
    <n v="1.81"/>
    <n v="4.33"/>
    <n v="138293"/>
    <n v="60.060909073116832"/>
  </r>
  <r>
    <s v="FCFS US Equity"/>
    <s v="FIRSTCASH HOLDIN"/>
    <s v="Consumer Discretionary"/>
    <s v="Retail &amp; Whsle - Discretionary"/>
    <x v="10"/>
    <s v="UNITED STATES"/>
    <n v="7.39"/>
    <n v="4.1100000000000003"/>
    <n v="0"/>
    <n v="71.25449680098238"/>
  </r>
  <r>
    <s v="FCN US Equity"/>
    <s v="FTI CONSULTING"/>
    <s v="Industrials"/>
    <s v="Industrial Services"/>
    <x v="15"/>
    <s v="UNITED STATES"/>
    <n v="5.63"/>
    <n v="3.67"/>
    <n v="1368075"/>
    <n v="28.26000875376505"/>
  </r>
  <r>
    <s v="FCNCA US Equity"/>
    <s v="FIRST CITIZENS-A"/>
    <s v="Financials"/>
    <s v="Banking"/>
    <x v="26"/>
    <s v="UNITED STATES"/>
    <n v="24.73"/>
    <n v="4"/>
    <n v="32265"/>
    <n v="49.731286188151586"/>
  </r>
  <r>
    <s v="FCRS US Equity"/>
    <s v="FUTURECREST AC-A"/>
    <s v="Financials"/>
    <s v="Financial Services"/>
    <x v="24"/>
    <s v="UNITED STATES"/>
    <n v="0.37"/>
    <n v="0"/>
    <n v="5110000"/>
    <n v="39.561681194709848"/>
  </r>
  <r>
    <s v="FCRS/U US Equity"/>
    <s v="FUTURECREST ACQU"/>
    <s v="Financials"/>
    <s v="Financial Services"/>
    <x v="24"/>
    <s v="UNITED STATES"/>
    <n v="0.37"/>
    <n v="0"/>
    <n v="0"/>
    <n v="41.770635599032431"/>
  </r>
  <r>
    <s v="FCX US Equity"/>
    <s v="FREEPORT-MCMORAN"/>
    <s v="Materials"/>
    <s v="Materials"/>
    <x v="22"/>
    <s v="UNITED STATES"/>
    <n v="86.74"/>
    <n v="4.42"/>
    <n v="0"/>
    <n v="63.259578331133277"/>
  </r>
  <r>
    <s v="FDBC US Equity"/>
    <s v="FIDELITY D&amp;D BAN"/>
    <s v="Financials"/>
    <s v="Banking"/>
    <x v="26"/>
    <s v="UNITED STATES"/>
    <n v="0.25"/>
    <n v="0"/>
    <n v="199641"/>
    <n v="55.865007759015526"/>
  </r>
  <r>
    <s v="FDMT US Equity"/>
    <s v="4D MOLECULAR THE"/>
    <s v="Health Care"/>
    <s v="Health Care"/>
    <x v="25"/>
    <s v="UNITED STATES"/>
    <n v="0.48"/>
    <n v="4.6399999999999997"/>
    <n v="0"/>
    <n v="57.01258000434801"/>
  </r>
  <r>
    <s v="FDP US Equity"/>
    <s v="FRESH DEL MONTE"/>
    <s v="Consumer Staples"/>
    <s v="Consumer Staple Products"/>
    <x v="42"/>
    <s v="UNITED STATES"/>
    <n v="1.82"/>
    <n v="5"/>
    <n v="0"/>
    <n v="62.872137816860132"/>
  </r>
  <r>
    <s v="FDS US Equity"/>
    <s v="FACTSET RESEARCH"/>
    <s v="Financials"/>
    <s v="Financial Services"/>
    <x v="35"/>
    <s v="UNITED STATES"/>
    <n v="10.64"/>
    <n v="3.1"/>
    <n v="346023"/>
    <n v="16.62012891411301"/>
  </r>
  <r>
    <s v="FDUS US Equity"/>
    <s v="FIDUS INVESTMENT"/>
    <s v="Financials"/>
    <s v="Financial Services"/>
    <x v="24"/>
    <s v="UNITED STATES"/>
    <n v="0.71"/>
    <n v="5"/>
    <n v="0"/>
    <n v="46.009529533186935"/>
  </r>
  <r>
    <s v="FDX US Equity"/>
    <s v="FEDEX CORP"/>
    <s v="Industrials"/>
    <s v="Industrial Services"/>
    <x v="12"/>
    <s v="UNITED STATES"/>
    <n v="71.53"/>
    <n v="4"/>
    <n v="0"/>
    <n v="80.511901824456999"/>
  </r>
  <r>
    <s v="FE US Equity"/>
    <s v="FIRSTENERGY CORP"/>
    <s v="Utilities"/>
    <s v="Utilities"/>
    <x v="38"/>
    <s v="UNITED STATES"/>
    <n v="26.87"/>
    <n v="3.94"/>
    <n v="0"/>
    <n v="69.47780988439925"/>
  </r>
  <r>
    <s v="FEBO US Equity"/>
    <s v="FENBO HOLDINGS-A"/>
    <s v="Financials"/>
    <s v="Financial Services"/>
    <x v="24"/>
    <s v="HONG KONG"/>
    <n v="0.01"/>
    <n v="0"/>
    <n v="0"/>
    <n v="53.47344566201587"/>
  </r>
  <r>
    <s v="FEIM US Equity"/>
    <s v="FREQUENCY ELECT"/>
    <s v="Technology"/>
    <s v="Tech Hardware &amp; Semiconductors"/>
    <x v="16"/>
    <s v="UNITED STATES"/>
    <n v="0.52"/>
    <n v="4"/>
    <n v="0"/>
    <n v="42.09035836779811"/>
  </r>
  <r>
    <s v="FELE US Equity"/>
    <s v="FRANKLIN ELEC CO"/>
    <s v="Industrials"/>
    <s v="Industrial Products"/>
    <x v="3"/>
    <s v="UNITED STATES"/>
    <n v="4.46"/>
    <n v="3.8"/>
    <n v="0"/>
    <n v="74.908879936391187"/>
  </r>
  <r>
    <s v="FENC US Equity"/>
    <s v="FENNEC PHARMACEU"/>
    <s v="Health Care"/>
    <s v="Health Care"/>
    <x v="25"/>
    <s v="UNITED STATES"/>
    <n v="0.26"/>
    <n v="5"/>
    <n v="655673"/>
    <n v="52.726849789130334"/>
  </r>
  <r>
    <s v="FER US Equity"/>
    <s v="FERROVIAL SE"/>
    <s v="Industrials"/>
    <s v="Industrial Services"/>
    <x v="27"/>
    <s v="NETHERLANDS"/>
    <n v="49.19"/>
    <n v="3.89"/>
    <n v="26208953"/>
    <n v="74.410869266389227"/>
  </r>
  <r>
    <s v="FERG US Equity"/>
    <s v="FERGUSON ENTERPR"/>
    <s v="Consumer Discretionary"/>
    <s v="Retail &amp; Whsle - Discretionary"/>
    <x v="10"/>
    <s v="UNITED STATES"/>
    <n v="49.67"/>
    <n v="4.18"/>
    <n v="0"/>
    <n v="68.114150070187065"/>
  </r>
  <r>
    <s v="FET US Equity"/>
    <s v="FORUM ENERGY TEC"/>
    <s v="Energy"/>
    <s v="Oil &amp; Gas"/>
    <x v="30"/>
    <s v="UNITED STATES"/>
    <n v="0.5"/>
    <n v="0"/>
    <n v="0"/>
    <n v="70.610784783344315"/>
  </r>
  <r>
    <s v="FFBC US Equity"/>
    <s v="FIRST FIN BANCRP"/>
    <s v="Financials"/>
    <s v="Banking"/>
    <x v="26"/>
    <s v="UNITED STATES"/>
    <n v="2.81"/>
    <n v="3.86"/>
    <n v="0"/>
    <n v="70.447186251283881"/>
  </r>
  <r>
    <s v="FFIC US Equity"/>
    <s v="FLUSHING FINL"/>
    <s v="Financials"/>
    <s v="Banking"/>
    <x v="26"/>
    <s v="UNITED STATES"/>
    <n v="0.53"/>
    <n v="3"/>
    <n v="0"/>
    <n v="55.838504271920506"/>
  </r>
  <r>
    <s v="FFIN US Equity"/>
    <s v="FIRST FIN BANKSH"/>
    <s v="Financials"/>
    <s v="Banking"/>
    <x v="26"/>
    <s v="UNITED STATES"/>
    <n v="4.6900000000000004"/>
    <n v="3.4"/>
    <n v="193323"/>
    <n v="57.681055590862641"/>
  </r>
  <r>
    <s v="FFIV US Equity"/>
    <s v="F5 INC"/>
    <s v="Technology"/>
    <s v="Tech Hardware &amp; Semiconductors"/>
    <x v="16"/>
    <s v="UNITED STATES"/>
    <n v="15.06"/>
    <n v="3.43"/>
    <n v="0"/>
    <n v="58.872199503349954"/>
  </r>
  <r>
    <s v="FFTY US Equity"/>
    <s v="Innovator ETFs Trust - Innovator IBD R 50 ETF"/>
    <s v="Financials"/>
    <s v="Financial Services"/>
    <x v="64"/>
    <s v="UNITED STATES"/>
    <n v="0.09"/>
    <n v="0"/>
    <n v="0"/>
    <n v="58.46434757216673"/>
  </r>
  <r>
    <s v="FFWM US Equity"/>
    <s v="FIRST FOUNDATION"/>
    <s v="Financials"/>
    <s v="Banking"/>
    <x v="26"/>
    <s v="UNITED STATES"/>
    <n v="0.5"/>
    <n v="4"/>
    <n v="0"/>
    <n v="47.74398077145549"/>
  </r>
  <r>
    <s v="FG US Equity"/>
    <s v="F&amp;G ANNUITIES"/>
    <s v="Financials"/>
    <s v="Insurance"/>
    <x v="23"/>
    <s v="UNITED STATES"/>
    <n v="3.75"/>
    <n v="3"/>
    <n v="473960"/>
    <n v="46.787890440795614"/>
  </r>
  <r>
    <s v="FHB US Equity"/>
    <s v="FIRST HAWAIIA"/>
    <s v="Financials"/>
    <s v="Banking"/>
    <x v="26"/>
    <s v="UNITED STATES"/>
    <n v="3.35"/>
    <n v="2.2000000000000002"/>
    <n v="0"/>
    <n v="50.24396776053478"/>
  </r>
  <r>
    <s v="FHI US Equity"/>
    <s v="FEDERATED HERMES"/>
    <s v="Financials"/>
    <s v="Financial Services"/>
    <x v="24"/>
    <s v="UNITED STATES"/>
    <n v="4.1399999999999997"/>
    <n v="3.44"/>
    <n v="0"/>
    <n v="56.493579212733138"/>
  </r>
  <r>
    <s v="FHN US Equity"/>
    <s v="FIRST HORIZON CO"/>
    <s v="Financials"/>
    <s v="Banking"/>
    <x v="26"/>
    <s v="UNITED STATES"/>
    <n v="11.78"/>
    <n v="4"/>
    <n v="0"/>
    <n v="52.008944295716219"/>
  </r>
  <r>
    <s v="FHTX US Equity"/>
    <s v="FOGHORN THERAPEU"/>
    <s v="Health Care"/>
    <s v="Health Care"/>
    <x v="25"/>
    <s v="UNITED STATES"/>
    <n v="0.33"/>
    <n v="4.9000000000000004"/>
    <n v="0"/>
    <n v="46.780535672610398"/>
  </r>
  <r>
    <s v="FIBK US Equity"/>
    <s v="FIRST INTER/MT-A"/>
    <s v="Financials"/>
    <s v="Banking"/>
    <x v="26"/>
    <s v="UNITED STATES"/>
    <n v="3.77"/>
    <n v="3.75"/>
    <n v="0"/>
    <n v="59.541200380796653"/>
  </r>
  <r>
    <s v="FICO US Equity"/>
    <s v="FAIR ISAAC CORP"/>
    <s v="Financials"/>
    <s v="Financial Services"/>
    <x v="35"/>
    <s v="UNITED STATES"/>
    <n v="36.71"/>
    <n v="4.1399999999999997"/>
    <n v="0"/>
    <n v="32.336594519404457"/>
  </r>
  <r>
    <s v="FIG US Equity"/>
    <s v="FIGMA INC-A"/>
    <s v="Technology"/>
    <s v="Software &amp; Tech Services"/>
    <x v="14"/>
    <s v="UNITED STATES"/>
    <n v="14.34"/>
    <n v="3.73"/>
    <n v="7304825"/>
    <n v="31.671169745145306"/>
  </r>
  <r>
    <s v="FIGR US Equity"/>
    <s v="FIGURE TECHNOL-A"/>
    <s v="Technology"/>
    <s v="Software &amp; Tech Services"/>
    <x v="34"/>
    <s v="UNITED STATES"/>
    <n v="13.44"/>
    <n v="4.33"/>
    <n v="251240"/>
    <n v="32.042477927023668"/>
  </r>
  <r>
    <s v="FIGS US Equity"/>
    <s v="FIGS INC-CLASS A"/>
    <s v="Consumer Discretionary"/>
    <s v="Retail &amp; Whsle - Discretionary"/>
    <x v="51"/>
    <s v="UNITED STATES"/>
    <n v="1.82"/>
    <n v="3"/>
    <n v="0"/>
    <n v="38.045659010946622"/>
  </r>
  <r>
    <s v="FIHL US Equity"/>
    <s v="FIDELIS INSURANC"/>
    <s v="Financials"/>
    <s v="Insurance"/>
    <x v="23"/>
    <s v="BERMUDA"/>
    <n v="1.92"/>
    <n v="3.11"/>
    <n v="0"/>
    <n v="62.833737448929575"/>
  </r>
  <r>
    <s v="FINDLPI ID Equity"/>
    <s v="FNDLY-AMER-$"/>
    <s v="Financials"/>
    <s v="Financial Services"/>
    <x v="24"/>
    <s v="IRELAND"/>
    <n v="0"/>
    <n v="0"/>
    <n v="0"/>
    <n v="57.162105518731138"/>
  </r>
  <r>
    <s v="FINV US Equity"/>
    <s v="FINVOLUTION-ADR"/>
    <s v="Financials"/>
    <s v="Financial Services"/>
    <x v="35"/>
    <s v="CHINA"/>
    <n v="1.3"/>
    <n v="5"/>
    <n v="0"/>
    <n v="63.032451705865142"/>
  </r>
  <r>
    <s v="FINW US Equity"/>
    <s v="FINWISE BANCORP"/>
    <s v="Financials"/>
    <s v="Banking"/>
    <x v="26"/>
    <s v="UNITED STATES"/>
    <n v="0.25"/>
    <n v="5"/>
    <n v="87161"/>
    <n v="45.130748944983303"/>
  </r>
  <r>
    <s v="FIP US Equity"/>
    <s v="FTAI INFRASTRUCT"/>
    <s v="Financials"/>
    <s v="Financial Services"/>
    <x v="24"/>
    <s v="UNITED STATES"/>
    <n v="0.74"/>
    <n v="4.67"/>
    <n v="63500"/>
    <n v="60.713053964562683"/>
  </r>
  <r>
    <s v="FIS US Equity"/>
    <s v="FIDELITY NATIONA"/>
    <s v="Financials"/>
    <s v="Financial Services"/>
    <x v="35"/>
    <s v="UNITED STATES"/>
    <n v="31.33"/>
    <n v="4.1399999999999997"/>
    <n v="110715"/>
    <n v="19.658288348295628"/>
  </r>
  <r>
    <s v="FISI US Equity"/>
    <s v="FINANCIAL INST"/>
    <s v="Financials"/>
    <s v="Banking"/>
    <x v="26"/>
    <s v="UNITED STATES"/>
    <n v="0.64"/>
    <n v="4"/>
    <n v="0"/>
    <n v="63.153764742969535"/>
  </r>
  <r>
    <s v="FISV US Equity"/>
    <s v="FISERV INC"/>
    <s v="Financials"/>
    <s v="Financial Services"/>
    <x v="35"/>
    <s v="UNITED STATES"/>
    <n v="36.340000000000003"/>
    <n v="3.41"/>
    <n v="2357844"/>
    <n v="43.778323460630688"/>
  </r>
  <r>
    <s v="FITB US Equity"/>
    <s v="FIFTH THIRD BANC"/>
    <s v="Financials"/>
    <s v="Banking"/>
    <x v="26"/>
    <s v="UNITED STATES"/>
    <n v="33.549999999999997"/>
    <n v="4.4400000000000004"/>
    <n v="152220"/>
    <n v="67.17136536769803"/>
  </r>
  <r>
    <s v="FIVE US Equity"/>
    <s v="FIVE BELOW"/>
    <s v="Consumer Staples"/>
    <s v="Retail &amp; Wholesale - Staples"/>
    <x v="33"/>
    <s v="UNITED STATES"/>
    <n v="10.5"/>
    <n v="3.96"/>
    <n v="0"/>
    <n v="63.503226112112038"/>
  </r>
  <r>
    <s v="FIVN US Equity"/>
    <s v="FIVE9 INC"/>
    <s v="Technology"/>
    <s v="Software &amp; Tech Services"/>
    <x v="14"/>
    <s v="UNITED STATES"/>
    <n v="1.43"/>
    <n v="4.4800000000000004"/>
    <n v="18320"/>
    <n v="40.534878961337327"/>
  </r>
  <r>
    <s v="FIX US Equity"/>
    <s v="COMFORT SYSTEMS"/>
    <s v="Industrials"/>
    <s v="Industrial Services"/>
    <x v="27"/>
    <s v="UNITED STATES"/>
    <n v="39.56"/>
    <n v="4.5"/>
    <n v="0"/>
    <n v="71.774696620652222"/>
  </r>
  <r>
    <s v="FIZZ US Equity"/>
    <s v="NATL BEVERAGE"/>
    <s v="Consumer Staples"/>
    <s v="Consumer Staple Products"/>
    <x v="11"/>
    <s v="UNITED STATES"/>
    <n v="3.16"/>
    <n v="2"/>
    <n v="0"/>
    <n v="66.705052418686819"/>
  </r>
  <r>
    <s v="FLEX US Equity"/>
    <s v="FLEX LTD"/>
    <s v="Technology"/>
    <s v="Tech Hardware &amp; Semiconductors"/>
    <x v="16"/>
    <s v="UNITED STATES"/>
    <n v="23.58"/>
    <n v="5"/>
    <n v="0"/>
    <n v="52.204580401393279"/>
  </r>
  <r>
    <s v="FLG US Equity"/>
    <s v="FLAGSTAR BANK NA"/>
    <s v="Financials"/>
    <s v="Banking"/>
    <x v="26"/>
    <s v="UNITED STATES"/>
    <n v="5.37"/>
    <n v="3.7"/>
    <n v="0"/>
    <n v="60.689662988510705"/>
  </r>
  <r>
    <s v="FLGT US Equity"/>
    <s v="FULGENT GENETICS"/>
    <s v="Health Care"/>
    <s v="Health Care"/>
    <x v="31"/>
    <s v="UNITED STATES"/>
    <n v="0.86"/>
    <n v="4.33"/>
    <n v="0"/>
    <n v="22.129826859123938"/>
  </r>
  <r>
    <s v="FLNC US Equity"/>
    <s v="FLUENCE ENERGY I"/>
    <s v="Energy"/>
    <s v="Renewable Energy"/>
    <x v="45"/>
    <s v="UNITED STATES"/>
    <n v="4.93"/>
    <n v="2.9"/>
    <n v="0"/>
    <n v="33.490558066602063"/>
  </r>
  <r>
    <s v="FLNG US Equity"/>
    <s v="FLEX LNG LTD"/>
    <s v="Industrials"/>
    <s v="Industrial Services"/>
    <x v="12"/>
    <s v="BERMUDA"/>
    <n v="1.43"/>
    <n v="2.78"/>
    <n v="0"/>
    <n v="46.605209495082264"/>
  </r>
  <r>
    <s v="FLO US Equity"/>
    <s v="FLOWERS FOODS"/>
    <s v="Consumer Staples"/>
    <s v="Consumer Staple Products"/>
    <x v="42"/>
    <s v="UNITED STATES"/>
    <n v="2.35"/>
    <n v="3"/>
    <n v="5066"/>
    <n v="59.580555607952448"/>
  </r>
  <r>
    <s v="FLOC US Equity"/>
    <s v="FLOWCO HOLDINGS"/>
    <s v="Energy"/>
    <s v="Oil &amp; Gas"/>
    <x v="30"/>
    <s v="UNITED STATES"/>
    <n v="1.84"/>
    <n v="5"/>
    <n v="0"/>
    <n v="61.910424307073974"/>
  </r>
  <r>
    <s v="FLR US Equity"/>
    <s v="FLUOR CORP"/>
    <s v="Industrials"/>
    <s v="Industrial Services"/>
    <x v="27"/>
    <s v="UNITED STATES"/>
    <n v="7.35"/>
    <n v="4.09"/>
    <n v="0"/>
    <n v="59.343381099683626"/>
  </r>
  <r>
    <s v="FLS US Equity"/>
    <s v="FLOWSERVE CORP"/>
    <s v="Industrials"/>
    <s v="Industrial Products"/>
    <x v="3"/>
    <s v="UNITED STATES"/>
    <n v="9.9"/>
    <n v="4.5"/>
    <n v="0"/>
    <n v="79.789010204150131"/>
  </r>
  <r>
    <s v="FLTR LN Equity"/>
    <s v="FLUTTER ENTER-DI"/>
    <s v="Consumer Discretionary"/>
    <s v="Consumer Discretionary Services"/>
    <x v="6"/>
    <s v="UNITED STATES"/>
    <n v="30.97"/>
    <n v="4.5599999999999996"/>
    <n v="0"/>
    <n v="19.87137658723033"/>
  </r>
  <r>
    <s v="FLUT US Equity"/>
    <s v="FLUTTER ENTER-DI"/>
    <s v="Consumer Discretionary"/>
    <s v="Consumer Discretionary Services"/>
    <x v="6"/>
    <s v="UNITED STATES"/>
    <n v="30.65"/>
    <n v="4.5599999999999996"/>
    <n v="0"/>
    <n v="19.219228718419174"/>
  </r>
  <r>
    <s v="FLY US Equity"/>
    <s v="FIREFLY AEROSPAC"/>
    <s v="Industrials"/>
    <s v="Industrial Products"/>
    <x v="32"/>
    <s v="UNITED STATES"/>
    <n v="4.6399999999999997"/>
    <n v="4.25"/>
    <n v="444029"/>
    <n v="40.197087201799114"/>
  </r>
  <r>
    <s v="FLYW US Equity"/>
    <s v="FLYWIRE CORP-VOT"/>
    <s v="Financials"/>
    <s v="Financial Services"/>
    <x v="35"/>
    <s v="UNITED STATES"/>
    <n v="1.68"/>
    <n v="4"/>
    <n v="0"/>
    <n v="25.037879095691238"/>
  </r>
  <r>
    <s v="FMBH US Equity"/>
    <s v="FIRST MID BANCSH"/>
    <s v="Financials"/>
    <s v="Banking"/>
    <x v="26"/>
    <s v="UNITED STATES"/>
    <n v="1.01"/>
    <n v="4.1399999999999997"/>
    <n v="0"/>
    <n v="56.078156569148838"/>
  </r>
  <r>
    <s v="FMC US Equity"/>
    <s v="FMC CORP"/>
    <s v="Materials"/>
    <s v="Materials"/>
    <x v="21"/>
    <s v="UNITED STATES"/>
    <n v="2.0299999999999998"/>
    <n v="3.29"/>
    <n v="276760"/>
    <n v="54.758676207110838"/>
  </r>
  <r>
    <s v="FMNB US Equity"/>
    <s v="FARMERS NATL BAN"/>
    <s v="Financials"/>
    <s v="Banking"/>
    <x v="26"/>
    <s v="UNITED STATES"/>
    <n v="0.51"/>
    <n v="3.67"/>
    <n v="1024529"/>
    <n v="50.287581679435299"/>
  </r>
  <r>
    <s v="FMS US Equity"/>
    <s v="FRESENIUS ME-ADR"/>
    <s v="Health Care"/>
    <s v="Health Care"/>
    <x v="31"/>
    <s v="GERMANY"/>
    <n v="12.92"/>
    <n v="2.71"/>
    <n v="0"/>
    <n v="59.847881221995529"/>
  </r>
  <r>
    <s v="FMST US Equity"/>
    <s v="FOREMOST CLEAN E"/>
    <s v="Materials"/>
    <s v="Materials"/>
    <x v="22"/>
    <s v="CANADA"/>
    <n v="0.03"/>
    <n v="4"/>
    <n v="0"/>
    <n v="51.548525929436082"/>
  </r>
  <r>
    <s v="FMX US Equity"/>
    <s v="FOMENTO ECON-ADR"/>
    <s v="Consumer Staples"/>
    <s v="Consumer Staple Products"/>
    <x v="11"/>
    <s v="MEXICO"/>
    <n v="35.4"/>
    <n v="4.2300000000000004"/>
    <n v="0"/>
    <n v="72.758518474004362"/>
  </r>
  <r>
    <s v="FN US Equity"/>
    <s v="FABRINET"/>
    <s v="Technology"/>
    <s v="Tech Hardware &amp; Semiconductors"/>
    <x v="16"/>
    <s v="THAILAND"/>
    <n v="16.73"/>
    <n v="4.08"/>
    <n v="0"/>
    <n v="48.151699125153847"/>
  </r>
  <r>
    <s v="FNB US Equity"/>
    <s v="FNB CORP"/>
    <s v="Financials"/>
    <s v="Banking"/>
    <x v="26"/>
    <s v="UNITED STATES"/>
    <n v="6.11"/>
    <n v="4.78"/>
    <n v="0"/>
    <n v="59.521139750936122"/>
  </r>
  <r>
    <s v="FND US Equity"/>
    <s v="FLOOR &amp; DECOR-A"/>
    <s v="Consumer Discretionary"/>
    <s v="Retail &amp; Whsle - Discretionary"/>
    <x v="10"/>
    <s v="UNITED STATES"/>
    <n v="8.11"/>
    <n v="3.4"/>
    <n v="376200"/>
    <n v="49.985238662898503"/>
  </r>
  <r>
    <s v="FNF US Equity"/>
    <s v="FIDELITY NATIONA"/>
    <s v="Financials"/>
    <s v="Financial Services"/>
    <x v="35"/>
    <s v="UNITED STATES"/>
    <n v="14.48"/>
    <n v="4.33"/>
    <n v="0"/>
    <n v="59.671658714592752"/>
  </r>
  <r>
    <s v="FNLC US Equity"/>
    <s v="FIRST BANCORP/ME"/>
    <s v="Financials"/>
    <s v="Banking"/>
    <x v="26"/>
    <s v="UNITED STATES"/>
    <n v="0.3"/>
    <n v="0"/>
    <n v="0"/>
    <n v="61.611408018842191"/>
  </r>
  <r>
    <s v="FNV US Equity"/>
    <s v="FRANCO-NEVADA CO"/>
    <s v="Materials"/>
    <s v="Materials"/>
    <x v="22"/>
    <s v="CANADA"/>
    <n v="49.3"/>
    <n v="4.22"/>
    <n v="0"/>
    <n v="61.236369831588966"/>
  </r>
  <r>
    <s v="FNWB US Equity"/>
    <s v="FIRST NORTHWEST"/>
    <s v="Financials"/>
    <s v="Banking"/>
    <x v="26"/>
    <s v="UNITED STATES"/>
    <n v="0.1"/>
    <n v="5"/>
    <n v="31800"/>
    <n v="48.758781337408195"/>
  </r>
  <r>
    <s v="FOA US Equity"/>
    <s v="FINANCE OF AME-A"/>
    <s v="Financials"/>
    <s v="Financial Services"/>
    <x v="35"/>
    <s v="UNITED STATES"/>
    <n v="0.41"/>
    <n v="3"/>
    <n v="0"/>
    <n v="33.69049813775743"/>
  </r>
  <r>
    <s v="FOLD US Equity"/>
    <s v="AMICUS THERAPEUT"/>
    <s v="Health Care"/>
    <s v="Health Care"/>
    <x v="25"/>
    <s v="UNITED STATES"/>
    <n v="4.4800000000000004"/>
    <n v="3"/>
    <n v="0"/>
    <n v="79.70151754718006"/>
  </r>
  <r>
    <s v="FONR US Equity"/>
    <s v="FONAR CORP"/>
    <s v="Health Care"/>
    <s v="Health Care"/>
    <x v="9"/>
    <s v="UNITED STATES"/>
    <n v="0.12"/>
    <n v="0"/>
    <n v="0"/>
    <n v="67.140995452836819"/>
  </r>
  <r>
    <s v="FOR US Equity"/>
    <s v="FORESTAR GROUP"/>
    <s v="Consumer Discretionary"/>
    <s v="Consumer Discretionary Products"/>
    <x v="50"/>
    <s v="UNITED STATES"/>
    <n v="1.26"/>
    <n v="4.25"/>
    <n v="0"/>
    <n v="67.776226488880468"/>
  </r>
  <r>
    <s v="FORM US Equity"/>
    <s v="FORMFACTOR INC"/>
    <s v="Technology"/>
    <s v="Tech Hardware &amp; Semiconductors"/>
    <x v="17"/>
    <s v="UNITED STATES"/>
    <n v="5.67"/>
    <n v="3.6"/>
    <n v="0"/>
    <n v="74.297071781667768"/>
  </r>
  <r>
    <s v="FOSL US Equity"/>
    <s v="FOSSIL GROUP INC"/>
    <s v="Consumer Discretionary"/>
    <s v="Consumer Discretionary Products"/>
    <x v="5"/>
    <s v="UNITED STATES"/>
    <n v="0.2"/>
    <n v="5"/>
    <n v="1414437"/>
    <n v="56.635994002337341"/>
  </r>
  <r>
    <s v="FOUR US Equity"/>
    <s v="SHIFT4 PAYMENT-A"/>
    <s v="Financials"/>
    <s v="Financial Services"/>
    <x v="35"/>
    <s v="UNITED STATES"/>
    <n v="5.87"/>
    <n v="4.08"/>
    <n v="13005365"/>
    <n v="42.038349711993369"/>
  </r>
  <r>
    <s v="FOX US Equity"/>
    <s v="FOX CORP - B"/>
    <s v="Communications"/>
    <s v="Media"/>
    <x v="47"/>
    <s v="UNITED STATES"/>
    <n v="30.62"/>
    <n v="3.67"/>
    <n v="0"/>
    <n v="21.61446869571688"/>
  </r>
  <r>
    <s v="FOXA US Equity"/>
    <s v="FOX CORP - A"/>
    <s v="Communications"/>
    <s v="Media"/>
    <x v="47"/>
    <s v="UNITED STATES"/>
    <n v="30.62"/>
    <n v="3.78"/>
    <n v="0"/>
    <n v="20.835536903515276"/>
  </r>
  <r>
    <s v="FOXF US Equity"/>
    <s v="FOX FACTORY HOLD"/>
    <s v="Consumer Discretionary"/>
    <s v="Consumer Discretionary Products"/>
    <x v="8"/>
    <s v="UNITED STATES"/>
    <n v="0.8"/>
    <n v="3.71"/>
    <n v="419760"/>
    <n v="66.330346648163527"/>
  </r>
  <r>
    <s v="FPH US Equity"/>
    <s v="FIVE POINT HOL-A"/>
    <s v="Real Estate"/>
    <s v="Real Estate"/>
    <x v="39"/>
    <s v="UNITED STATES"/>
    <n v="0.79"/>
    <n v="5"/>
    <n v="0"/>
    <n v="43.097968047290031"/>
  </r>
  <r>
    <s v="FPI US Equity"/>
    <s v="FARMLAND PARTNER"/>
    <s v="Real Estate"/>
    <s v="Real Estate"/>
    <x v="37"/>
    <s v="UNITED STATES"/>
    <n v="0.47"/>
    <n v="4.33"/>
    <n v="163231"/>
    <n v="80.162716461816728"/>
  </r>
  <r>
    <s v="FR US Equity"/>
    <s v="FIRST IND REALTY"/>
    <s v="Real Estate"/>
    <s v="Real Estate"/>
    <x v="37"/>
    <s v="UNITED STATES"/>
    <n v="7.6"/>
    <n v="4.1100000000000003"/>
    <n v="0"/>
    <n v="56.573502434837302"/>
  </r>
  <r>
    <s v="FRA GY Equity"/>
    <s v="FRAPORT AG"/>
    <s v="Industrials"/>
    <s v="Industrial Services"/>
    <x v="12"/>
    <s v="GERMANY"/>
    <n v="8.2899999999999991"/>
    <n v="3.38"/>
    <n v="0"/>
    <n v="65.408380693615825"/>
  </r>
  <r>
    <s v="FRAS LN Equity"/>
    <s v="FRASERS GROUP PL"/>
    <s v="Consumer Discretionary"/>
    <s v="Retail &amp; Whsle - Discretionary"/>
    <x v="10"/>
    <s v="BRITAIN"/>
    <n v="4.17"/>
    <n v="3.75"/>
    <n v="139111"/>
    <n v="52.600641687445261"/>
  </r>
  <r>
    <s v="FRBA US Equity"/>
    <s v="FIRST BANK/HAMIL"/>
    <s v="Financials"/>
    <s v="Banking"/>
    <x v="26"/>
    <s v="UNITED STATES"/>
    <n v="0.42"/>
    <n v="5"/>
    <n v="0"/>
    <n v="59.36467012880302"/>
  </r>
  <r>
    <s v="FRES LN Equity"/>
    <s v="FRESNILLO PLC"/>
    <s v="Materials"/>
    <s v="Materials"/>
    <x v="22"/>
    <s v="MEXICO"/>
    <n v="41.8"/>
    <n v="3.15"/>
    <n v="0"/>
    <n v="55.706331988506051"/>
  </r>
  <r>
    <s v="FRFHF US Equity"/>
    <s v="FAIRFAX FINL HLD"/>
    <s v="Financials"/>
    <s v="Insurance"/>
    <x v="23"/>
    <s v="CANADA"/>
    <n v="39.25"/>
    <n v="4"/>
    <n v="272715"/>
    <n v="46.314333584905889"/>
  </r>
  <r>
    <s v="FRGE US Equity"/>
    <s v="FORGE GLOBAL HOL"/>
    <s v="Financials"/>
    <s v="Financial Services"/>
    <x v="49"/>
    <s v="UNITED STATES"/>
    <n v="0.62"/>
    <n v="3"/>
    <n v="86873"/>
    <n v="64.221601339418726"/>
  </r>
  <r>
    <s v="FRHC US Equity"/>
    <s v="FREEDOM HOLDING"/>
    <s v="Financials"/>
    <s v="Financial Services"/>
    <x v="24"/>
    <s v="KAZAKHSTAN"/>
    <n v="7.77"/>
    <n v="0"/>
    <n v="727075"/>
    <n v="40.383348490810256"/>
  </r>
  <r>
    <s v="FRME US Equity"/>
    <s v="FIRST MERCHANTS"/>
    <s v="Financials"/>
    <s v="Banking"/>
    <x v="26"/>
    <s v="UNITED STATES"/>
    <n v="2.2000000000000002"/>
    <n v="4.33"/>
    <n v="0"/>
    <n v="67.466100331984748"/>
  </r>
  <r>
    <s v="FRMI US Equity"/>
    <s v="FERMI INC"/>
    <s v="Industrials"/>
    <s v="Industrial Services"/>
    <x v="43"/>
    <s v="UNITED STATES"/>
    <n v="6.02"/>
    <n v="5"/>
    <n v="0"/>
    <n v="51.186920776441319"/>
  </r>
  <r>
    <s v="FRO US Equity"/>
    <s v="FRONTLINE PLC"/>
    <s v="Industrials"/>
    <s v="Industrial Services"/>
    <x v="12"/>
    <s v="NORWAY"/>
    <n v="5.8"/>
    <n v="4.7699999999999996"/>
    <n v="0"/>
    <n v="73.395982884196258"/>
  </r>
  <r>
    <s v="FROG US Equity"/>
    <s v="JFROG LTD"/>
    <s v="Technology"/>
    <s v="Software &amp; Tech Services"/>
    <x v="14"/>
    <s v="UNITED STATES"/>
    <n v="6.91"/>
    <n v="4.8099999999999996"/>
    <n v="0"/>
    <n v="41.9778233838151"/>
  </r>
  <r>
    <s v="FRPH US Equity"/>
    <s v="FRP HOLDINGS INC"/>
    <s v="Real Estate"/>
    <s v="Real Estate"/>
    <x v="39"/>
    <s v="UNITED STATES"/>
    <n v="0.45"/>
    <n v="0"/>
    <n v="343030"/>
    <n v="52.742245635262499"/>
  </r>
  <r>
    <s v="FRPT US Equity"/>
    <s v="FRESHPET INC"/>
    <s v="Consumer Discretionary"/>
    <s v="Retail &amp; Whsle - Discretionary"/>
    <x v="10"/>
    <s v="UNITED STATES"/>
    <n v="3.49"/>
    <n v="4.26"/>
    <n v="371631"/>
    <n v="53.373168870589943"/>
  </r>
  <r>
    <s v="FRSH US Equity"/>
    <s v="FRESHWORKS-CL A"/>
    <s v="Technology"/>
    <s v="Software &amp; Tech Services"/>
    <x v="14"/>
    <s v="UNITED STATES"/>
    <n v="3.56"/>
    <n v="4.1900000000000004"/>
    <n v="4116946"/>
    <n v="18.603034745294579"/>
  </r>
  <r>
    <s v="FRST US Equity"/>
    <s v="PRIMIS FINANCIAL"/>
    <s v="Financials"/>
    <s v="Banking"/>
    <x v="26"/>
    <s v="UNITED STATES"/>
    <n v="0.34"/>
    <n v="5"/>
    <n v="191610"/>
    <n v="57.548296557872845"/>
  </r>
  <r>
    <s v="FRT US Equity"/>
    <s v="FED REALTY INVS"/>
    <s v="Real Estate"/>
    <s v="Real Estate"/>
    <x v="37"/>
    <s v="UNITED STATES"/>
    <n v="8.7799999999999994"/>
    <n v="4.2"/>
    <n v="0"/>
    <n v="69.220294529220823"/>
  </r>
  <r>
    <s v="FSBC US Equity"/>
    <s v="FIVE STAR BANCOR"/>
    <s v="Financials"/>
    <s v="Banking"/>
    <x v="26"/>
    <s v="UNITED STATES"/>
    <n v="0.82"/>
    <n v="4.2"/>
    <n v="0"/>
    <n v="60.807873377096691"/>
  </r>
  <r>
    <s v="FSBW US Equity"/>
    <s v="FS BANCORP INC"/>
    <s v="Financials"/>
    <s v="Banking"/>
    <x v="26"/>
    <s v="UNITED STATES"/>
    <n v="0.31"/>
    <n v="3.67"/>
    <n v="0"/>
    <n v="50.721209037047089"/>
  </r>
  <r>
    <s v="FSEA US Equity"/>
    <s v="FIRST SEACOAST B"/>
    <s v="Financials"/>
    <s v="Banking"/>
    <x v="26"/>
    <s v="UNITED STATES"/>
    <n v="0.06"/>
    <n v="0"/>
    <n v="52514"/>
    <n v="55.007742271094742"/>
  </r>
  <r>
    <s v="FSK US Equity"/>
    <s v="FS KKR CAPITAL C"/>
    <s v="Financials"/>
    <s v="Financial Services"/>
    <x v="24"/>
    <s v="UNITED STATES"/>
    <n v="4.05"/>
    <n v="3.18"/>
    <n v="354949"/>
    <n v="40.893566700616098"/>
  </r>
  <r>
    <s v="FSLR US Equity"/>
    <s v="FIRST SOLAR INC"/>
    <s v="Energy"/>
    <s v="Renewable Energy"/>
    <x v="45"/>
    <s v="UNITED STATES"/>
    <n v="25.98"/>
    <n v="4.4000000000000004"/>
    <n v="0"/>
    <n v="43.284946424146014"/>
  </r>
  <r>
    <s v="FSLY US Equity"/>
    <s v="FASTLY INC -CL A"/>
    <s v="Technology"/>
    <s v="Software &amp; Tech Services"/>
    <x v="14"/>
    <s v="UNITED STATES"/>
    <n v="1.39"/>
    <n v="3.18"/>
    <n v="0"/>
    <n v="50.075765936621067"/>
  </r>
  <r>
    <s v="FSM US Equity"/>
    <s v="FORTUNA MINING C"/>
    <s v="Materials"/>
    <s v="Materials"/>
    <x v="22"/>
    <s v="CANADA"/>
    <n v="3.58"/>
    <n v="4"/>
    <n v="0"/>
    <n v="58.661495707002167"/>
  </r>
  <r>
    <s v="FSMEQTA LN Equity"/>
    <s v="FUNDSM-EQUITY-TA"/>
    <s v="Financials"/>
    <s v="Financial Services"/>
    <x v="24"/>
    <s v="BRITAIN"/>
    <n v="0"/>
    <n v="0"/>
    <n v="0"/>
    <n v="38.068114583584077"/>
  </r>
  <r>
    <s v="FSS US Equity"/>
    <s v="FED SIGNAL CORP"/>
    <s v="Industrials"/>
    <s v="Industrial Products"/>
    <x v="3"/>
    <s v="UNITED STATES"/>
    <n v="6.81"/>
    <n v="4"/>
    <n v="0"/>
    <n v="63.185098565301715"/>
  </r>
  <r>
    <s v="FSUN US Equity"/>
    <s v="FIRSTSUN CAPITAL"/>
    <s v="Financials"/>
    <s v="Banking"/>
    <x v="26"/>
    <s v="UNITED STATES"/>
    <n v="1.05"/>
    <n v="5"/>
    <n v="0"/>
    <n v="48.108218886336012"/>
  </r>
  <r>
    <s v="FSV US Equity"/>
    <s v="FIRSTSERVICE-WI"/>
    <s v="Real Estate"/>
    <s v="Real Estate"/>
    <x v="7"/>
    <s v="CANADA"/>
    <n v="7.51"/>
    <n v="4.78"/>
    <n v="0"/>
    <n v="48.389611928304511"/>
  </r>
  <r>
    <s v="FTAI US Equity"/>
    <s v="FTAI AVIATION LT"/>
    <s v="Industrials"/>
    <s v="Industrial Products"/>
    <x v="32"/>
    <s v="UNITED STATES"/>
    <n v="29.96"/>
    <n v="4.9000000000000004"/>
    <n v="2713317"/>
    <n v="54.745208567877057"/>
  </r>
  <r>
    <s v="FTDR US Equity"/>
    <s v="FRONTDOOR INC"/>
    <s v="Industrials"/>
    <s v="Industrial Services"/>
    <x v="27"/>
    <s v="UNITED STATES"/>
    <n v="4.18"/>
    <n v="3.67"/>
    <n v="0"/>
    <n v="41.678401713594646"/>
  </r>
  <r>
    <s v="FTI US Equity"/>
    <s v="TECHNIPFMC PLC"/>
    <s v="Energy"/>
    <s v="Oil &amp; Gas"/>
    <x v="30"/>
    <s v="BRITAIN"/>
    <n v="21.95"/>
    <n v="4.24"/>
    <n v="0"/>
    <n v="84.801774883007141"/>
  </r>
  <r>
    <s v="FTK US Equity"/>
    <s v="FLOTEK INDS"/>
    <s v="Energy"/>
    <s v="Oil &amp; Gas"/>
    <x v="30"/>
    <s v="UNITED STATES"/>
    <n v="0.53"/>
    <n v="5"/>
    <n v="0"/>
    <n v="50.214802436279136"/>
  </r>
  <r>
    <s v="FTNT US Equity"/>
    <s v="FORTINET INC"/>
    <s v="Technology"/>
    <s v="Software &amp; Tech Services"/>
    <x v="14"/>
    <s v="UNITED STATES"/>
    <n v="60.71"/>
    <n v="3.38"/>
    <n v="0"/>
    <n v="66.798939749285694"/>
  </r>
  <r>
    <s v="FTRE US Equity"/>
    <s v="FORTREA HOLDINGS"/>
    <s v="Health Care"/>
    <s v="Health Care"/>
    <x v="31"/>
    <s v="UNITED STATES"/>
    <n v="1.56"/>
    <n v="3.33"/>
    <n v="1217718"/>
    <n v="27.390658906419745"/>
  </r>
  <r>
    <s v="FTS US Equity"/>
    <s v="FORTIS INC"/>
    <s v="Utilities"/>
    <s v="Utilities"/>
    <x v="38"/>
    <s v="CANADA"/>
    <n v="26.64"/>
    <n v="3.24"/>
    <n v="91698"/>
    <n v="62.911633583236892"/>
  </r>
  <r>
    <s v="FTV US Equity"/>
    <s v="FORTIVE CORP"/>
    <s v="Industrials"/>
    <s v="Industrial Products"/>
    <x v="4"/>
    <s v="UNITED STATES"/>
    <n v="17.34"/>
    <n v="3.35"/>
    <n v="1162767"/>
    <n v="58.380601425556648"/>
  </r>
  <r>
    <s v="FTW US Equity"/>
    <s v="EQV VENTURES ACQ"/>
    <s v="Financials"/>
    <s v="Financial Services"/>
    <x v="24"/>
    <s v="UNITED STATES"/>
    <n v="0.85"/>
    <n v="0"/>
    <n v="0"/>
    <n v="53.225226102705761"/>
  </r>
  <r>
    <s v="FUBO US Equity"/>
    <s v="FUBOTV INC -A"/>
    <s v="Communications"/>
    <s v="Media"/>
    <x v="13"/>
    <s v="UNITED STATES"/>
    <n v="3.2"/>
    <n v="3.2"/>
    <n v="0"/>
    <n v="16.604162985477743"/>
  </r>
  <r>
    <s v="FUFU US Equity"/>
    <s v="BITFUFU INC-A"/>
    <s v="Technology"/>
    <s v="Software &amp; Tech Services"/>
    <x v="34"/>
    <s v="SINGAPORE"/>
    <n v="0.49"/>
    <n v="4.5"/>
    <n v="0"/>
    <n v="41.045647714961177"/>
  </r>
  <r>
    <s v="FUL US Equity"/>
    <s v="HB FULLER CO"/>
    <s v="Materials"/>
    <s v="Materials"/>
    <x v="21"/>
    <s v="UNITED STATES"/>
    <n v="3.26"/>
    <n v="3.86"/>
    <n v="1862"/>
    <n v="65.998306373884333"/>
  </r>
  <r>
    <s v="FULC US Equity"/>
    <s v="FULCRUM THERAPEU"/>
    <s v="Health Care"/>
    <s v="Health Care"/>
    <x v="25"/>
    <s v="UNITED STATES"/>
    <n v="0.71"/>
    <n v="4.4000000000000004"/>
    <n v="0"/>
    <n v="53.888429124053978"/>
  </r>
  <r>
    <s v="FULT US Equity"/>
    <s v="FULTON FINANCIAL"/>
    <s v="Financials"/>
    <s v="Banking"/>
    <x v="26"/>
    <s v="UNITED STATES"/>
    <n v="3.63"/>
    <n v="3.67"/>
    <n v="8480"/>
    <n v="65.289676389861796"/>
  </r>
  <r>
    <s v="FUN US Equity"/>
    <s v="SIX FLAGS ENTERT"/>
    <s v="Consumer Discretionary"/>
    <s v="Consumer Discretionary Services"/>
    <x v="6"/>
    <s v="UNITED STATES"/>
    <n v="1.76"/>
    <n v="4.13"/>
    <n v="174104"/>
    <n v="55.249266345420203"/>
  </r>
  <r>
    <s v="FUNO11 MM Equity"/>
    <s v="TRUST FIBRA UNO"/>
    <s v="Real Estate"/>
    <s v="Real Estate"/>
    <x v="37"/>
    <s v="MEXICO"/>
    <n v="6.27"/>
    <n v="4.4400000000000004"/>
    <n v="0"/>
    <n v="63.565550363227075"/>
  </r>
  <r>
    <s v="FUSB US Equity"/>
    <s v="FIRST US BANCSHA"/>
    <s v="Financials"/>
    <s v="Banking"/>
    <x v="26"/>
    <s v="UNITED STATES"/>
    <n v="0.08"/>
    <n v="0"/>
    <n v="363370"/>
    <n v="66.541992035549058"/>
  </r>
  <r>
    <s v="FUTU US Equity"/>
    <s v="FUTU HOLDING-ADR"/>
    <s v="Financials"/>
    <s v="Financial Services"/>
    <x v="24"/>
    <s v="HONG KONG"/>
    <n v="22.51"/>
    <n v="4.8499999999999996"/>
    <n v="0"/>
    <n v="39.823030798275063"/>
  </r>
  <r>
    <s v="FVRR US Equity"/>
    <s v="FIVERR INTERNATI"/>
    <s v="Communications"/>
    <s v="Media"/>
    <x v="13"/>
    <s v="ISRAEL"/>
    <n v="0.57999999999999996"/>
    <n v="4.45"/>
    <n v="0"/>
    <n v="25.386607989871194"/>
  </r>
  <r>
    <s v="FWDI US Equity"/>
    <s v="FORWARD INDS INC"/>
    <s v="Technology"/>
    <s v="Tech Hardware &amp; Semiconductors"/>
    <x v="16"/>
    <s v="UNITED STATES"/>
    <n v="0.66"/>
    <n v="5"/>
    <n v="86020"/>
    <n v="32.957475537638899"/>
  </r>
  <r>
    <s v="FWONA US Equity"/>
    <s v="LIBERTY MEDIA CO"/>
    <s v="Communications"/>
    <s v="Media"/>
    <x v="59"/>
    <s v="UNITED STATES"/>
    <n v="21.98"/>
    <n v="4.75"/>
    <n v="0"/>
    <n v="34.963584323663767"/>
  </r>
  <r>
    <s v="FWONK US Equity"/>
    <s v="LIBERTY MEDIA CO"/>
    <s v="Communications"/>
    <s v="Media"/>
    <x v="59"/>
    <s v="UNITED STATES"/>
    <n v="21.98"/>
    <n v="4.3499999999999996"/>
    <n v="0"/>
    <n v="34.988209452245584"/>
  </r>
  <r>
    <s v="FWRD US Equity"/>
    <s v="FORWARD AIR CORP"/>
    <s v="Industrials"/>
    <s v="Industrial Services"/>
    <x v="12"/>
    <s v="UNITED STATES"/>
    <n v="1.2"/>
    <n v="3.83"/>
    <n v="0"/>
    <n v="60.112952718700569"/>
  </r>
  <r>
    <s v="FWRG US Equity"/>
    <s v="FIRST WATCH REST"/>
    <s v="Consumer Discretionary"/>
    <s v="Consumer Discretionary Services"/>
    <x v="6"/>
    <s v="UNITED STATES"/>
    <n v="1.01"/>
    <n v="4.83"/>
    <n v="0"/>
    <n v="49.872926111206908"/>
  </r>
  <r>
    <s v="FXI US Equity"/>
    <s v="ISHARES CHINA LA"/>
    <s v="Financials"/>
    <s v="Financial Services"/>
    <x v="24"/>
    <s v="UNITED STATES"/>
    <n v="6.58"/>
    <n v="0"/>
    <n v="0"/>
    <n v="51.46709232066636"/>
  </r>
  <r>
    <s v="G US Equity"/>
    <s v="GENPACT LTD"/>
    <s v="Technology"/>
    <s v="Software &amp; Tech Services"/>
    <x v="34"/>
    <s v="UNITED STATES"/>
    <n v="7.9"/>
    <n v="3.77"/>
    <n v="0"/>
    <n v="27.065519912376544"/>
  </r>
  <r>
    <s v="GABC US Equity"/>
    <s v="GERMAN AMER BNCP"/>
    <s v="Financials"/>
    <s v="Banking"/>
    <x v="26"/>
    <s v="UNITED STATES"/>
    <n v="1.51"/>
    <n v="4"/>
    <n v="188048"/>
    <n v="59.285934336843113"/>
  </r>
  <r>
    <s v="GAIN US Equity"/>
    <s v="GLADSTONE INVEST"/>
    <s v="Financials"/>
    <s v="Financial Services"/>
    <x v="24"/>
    <s v="UNITED STATES"/>
    <n v="0.55000000000000004"/>
    <n v="4"/>
    <n v="0"/>
    <n v="53.947851022835891"/>
  </r>
  <r>
    <s v="GALD SW Equity"/>
    <s v="GALDERMA GROUP A"/>
    <s v="Health Care"/>
    <s v="Health Care"/>
    <x v="25"/>
    <s v="SWITZERLAND"/>
    <n v="45.35"/>
    <n v="4.25"/>
    <n v="0"/>
    <n v="46.110903215016769"/>
  </r>
  <r>
    <s v="GALDY US Equity"/>
    <s v="GALDERMA GR-ADR"/>
    <s v="Health Care"/>
    <s v="Health Care"/>
    <x v="25"/>
    <s v="SWITZERLAND"/>
    <n v="45.62"/>
    <n v="5"/>
    <n v="0"/>
    <n v="49.258137579519087"/>
  </r>
  <r>
    <s v="GALT US Equity"/>
    <s v="GALECTIN THERAPE"/>
    <s v="Health Care"/>
    <s v="Health Care"/>
    <x v="25"/>
    <s v="UNITED STATES"/>
    <n v="0.21"/>
    <n v="5"/>
    <n v="22839"/>
    <n v="36.233591648634693"/>
  </r>
  <r>
    <s v="GAMB US Equity"/>
    <s v="GAMBLING.COM GRO"/>
    <s v="Communications"/>
    <s v="Media"/>
    <x v="53"/>
    <s v="JERSEY"/>
    <n v="0.18"/>
    <n v="4.5999999999999996"/>
    <n v="0"/>
    <n v="32.932223391449511"/>
  </r>
  <r>
    <s v="GANX US Equity"/>
    <s v="GAIN THERAPEUTIC"/>
    <s v="Health Care"/>
    <s v="Health Care"/>
    <x v="25"/>
    <s v="UNITED STATES"/>
    <n v="7.0000000000000007E-2"/>
    <n v="5"/>
    <n v="0"/>
    <n v="37.120879476728767"/>
  </r>
  <r>
    <s v="GAP US Equity"/>
    <s v="GAP INC/THE"/>
    <s v="Consumer Discretionary"/>
    <s v="Retail &amp; Whsle - Discretionary"/>
    <x v="10"/>
    <s v="UNITED STATES"/>
    <n v="10.08"/>
    <n v="4.4000000000000004"/>
    <n v="0"/>
    <n v="50.09619935472702"/>
  </r>
  <r>
    <s v="GASS US Equity"/>
    <s v="STEALTHGAS INC"/>
    <s v="Industrials"/>
    <s v="Industrial Services"/>
    <x v="12"/>
    <s v="GREECE"/>
    <n v="0.28999999999999998"/>
    <n v="5"/>
    <n v="0"/>
    <n v="63.69004019913131"/>
  </r>
  <r>
    <s v="GATX US Equity"/>
    <s v="GATX CORP"/>
    <s v="Financials"/>
    <s v="Financial Services"/>
    <x v="35"/>
    <s v="UNITED STATES"/>
    <n v="6.55"/>
    <n v="4.25"/>
    <n v="0"/>
    <n v="70.951286023177531"/>
  </r>
  <r>
    <s v="GAU US Equity"/>
    <s v="GALIANO GOLD INC"/>
    <s v="Materials"/>
    <s v="Materials"/>
    <x v="22"/>
    <s v="CANADA"/>
    <n v="0.8"/>
    <n v="4"/>
    <n v="950070"/>
    <n v="60.820546564159677"/>
  </r>
  <r>
    <s v="GBCI US Equity"/>
    <s v="GLACIER BANCORP"/>
    <s v="Financials"/>
    <s v="Banking"/>
    <x v="26"/>
    <s v="UNITED STATES"/>
    <n v="6.24"/>
    <n v="5"/>
    <n v="432240"/>
    <n v="60.791218464600476"/>
  </r>
  <r>
    <s v="GBDC US Equity"/>
    <s v="GOLUB CAPITAL BD"/>
    <s v="Financials"/>
    <s v="Financial Services"/>
    <x v="24"/>
    <s v="UNITED STATES"/>
    <n v="3.6"/>
    <n v="4.67"/>
    <n v="0"/>
    <n v="39.303845310386613"/>
  </r>
  <r>
    <s v="GBFH US Equity"/>
    <s v="GBANK FINANCIAL"/>
    <s v="Financials"/>
    <s v="Banking"/>
    <x v="26"/>
    <s v="UNITED STATES"/>
    <n v="0.48"/>
    <n v="5"/>
    <n v="863139"/>
    <n v="47.269333436906976"/>
  </r>
  <r>
    <s v="GBLI US Equity"/>
    <s v="GLOBAL INDEMNI-A"/>
    <s v="Financials"/>
    <s v="Insurance"/>
    <x v="23"/>
    <s v="UNITED STATES"/>
    <n v="0.42"/>
    <n v="0"/>
    <n v="809448"/>
    <n v="43.735663901812821"/>
  </r>
  <r>
    <s v="GBTG US Equity"/>
    <s v="GLOBAL BUSINESS"/>
    <s v="Consumer Discretionary"/>
    <s v="Consumer Discretionary Services"/>
    <x v="6"/>
    <s v="UNITED STATES"/>
    <n v="3.8"/>
    <n v="4.71"/>
    <n v="0"/>
    <n v="18.051458851722771"/>
  </r>
  <r>
    <s v="GBX US Equity"/>
    <s v="GREENBRIER COS"/>
    <s v="Industrials"/>
    <s v="Industrial Products"/>
    <x v="44"/>
    <s v="UNITED STATES"/>
    <n v="1.56"/>
    <n v="2"/>
    <n v="126600"/>
    <n v="72.340315893167855"/>
  </r>
  <r>
    <s v="GCBC US Equity"/>
    <s v="GREENE COUNTY"/>
    <s v="Financials"/>
    <s v="Banking"/>
    <x v="26"/>
    <s v="UNITED STATES"/>
    <n v="0.37"/>
    <n v="0"/>
    <n v="287650"/>
    <n v="55.734145141470776"/>
  </r>
  <r>
    <s v="GCMG US Equity"/>
    <s v="GCM GROSVENOR-A"/>
    <s v="Financials"/>
    <s v="Financial Services"/>
    <x v="24"/>
    <s v="UNITED STATES"/>
    <n v="2.21"/>
    <n v="4.2"/>
    <n v="0"/>
    <n v="55.635876040051365"/>
  </r>
  <r>
    <s v="GCT US Equity"/>
    <s v="GIGACLOUD TECH-A"/>
    <s v="Technology"/>
    <s v="Software &amp; Tech Services"/>
    <x v="14"/>
    <s v="UNITED STATES"/>
    <n v="1.22"/>
    <n v="4.5"/>
    <n v="0"/>
    <n v="39.706371792267227"/>
  </r>
  <r>
    <s v="GD US Equity"/>
    <s v="GENERAL DYNAMICS"/>
    <s v="Industrials"/>
    <s v="Industrial Products"/>
    <x v="32"/>
    <s v="UNITED STATES"/>
    <n v="98.13"/>
    <n v="3.93"/>
    <n v="0"/>
    <n v="43.17119234649298"/>
  </r>
  <r>
    <s v="GDC US Equity"/>
    <s v="GD CULTURE GROUP"/>
    <s v="Industrials"/>
    <s v="Industrial Products"/>
    <x v="3"/>
    <s v="HONG KONG"/>
    <n v="0.26"/>
    <n v="0"/>
    <n v="0"/>
    <n v="38.622455035898973"/>
  </r>
  <r>
    <s v="GDDY US Equity"/>
    <s v="GODADDY INC-A"/>
    <s v="Communications"/>
    <s v="Media"/>
    <x v="13"/>
    <s v="UNITED STATES"/>
    <n v="14.01"/>
    <n v="4.22"/>
    <n v="0"/>
    <n v="23.601779490843299"/>
  </r>
  <r>
    <s v="GDEN US Equity"/>
    <s v="GOLDEN ENTERTAIN"/>
    <s v="Consumer Discretionary"/>
    <s v="Consumer Discretionary Services"/>
    <x v="6"/>
    <s v="UNITED STATES"/>
    <n v="0.72"/>
    <n v="3"/>
    <n v="0"/>
    <n v="61.478197183513998"/>
  </r>
  <r>
    <s v="GDOT US Equity"/>
    <s v="GREEN DOT CORP-A"/>
    <s v="Financials"/>
    <s v="Financial Services"/>
    <x v="35"/>
    <s v="UNITED STATES"/>
    <n v="0.67"/>
    <n v="3.67"/>
    <n v="0"/>
    <n v="36.835731602517356"/>
  </r>
  <r>
    <s v="GDRX US Equity"/>
    <s v="GOODRX HOLDIN-A"/>
    <s v="Health Care"/>
    <s v="Health Care"/>
    <x v="31"/>
    <s v="UNITED STATES"/>
    <n v="0.87"/>
    <n v="3.5"/>
    <n v="0"/>
    <n v="38.837283734203396"/>
  </r>
  <r>
    <s v="GDS US Equity"/>
    <s v="GDS HLDGS - ADR"/>
    <s v="Communications"/>
    <s v="Telecommunications"/>
    <x v="36"/>
    <s v="CHINA"/>
    <n v="8.7899999999999991"/>
    <n v="4.8600000000000003"/>
    <n v="0"/>
    <n v="60.389748031428418"/>
  </r>
  <r>
    <s v="GDX US Equity"/>
    <s v="Gold Miners ETF"/>
    <s v="Financials"/>
    <s v="Financial Services"/>
    <x v="65"/>
    <s v="UNITED STATES"/>
    <n v="32.08"/>
    <n v="0"/>
    <n v="0"/>
    <n v="60.110774144518366"/>
  </r>
  <r>
    <s v="GDXJ US Equity"/>
    <s v="V/E JR GLD MINER"/>
    <s v="Financials"/>
    <s v="Financial Services"/>
    <x v="24"/>
    <s v="UNITED STATES"/>
    <n v="11.97"/>
    <n v="0"/>
    <n v="0"/>
    <n v="59.714450523685521"/>
  </r>
  <r>
    <s v="GDYN US Equity"/>
    <s v="GRID DYNAMICS HO"/>
    <s v="Technology"/>
    <s v="Software &amp; Tech Services"/>
    <x v="34"/>
    <s v="UNITED STATES"/>
    <n v="0.73"/>
    <n v="5"/>
    <n v="0"/>
    <n v="21.069725477751419"/>
  </r>
  <r>
    <s v="GE US Equity"/>
    <s v="GENERAL ELECTRIC"/>
    <s v="Industrials"/>
    <s v="Industrial Products"/>
    <x v="32"/>
    <s v="UNITED STATES"/>
    <n v="309.98"/>
    <n v="4.32"/>
    <n v="0"/>
    <n v="53.057315460394214"/>
  </r>
  <r>
    <s v="GEF US Equity"/>
    <s v="GREIF INC-CL A"/>
    <s v="Materials"/>
    <s v="Materials"/>
    <x v="46"/>
    <s v="UNITED STATES"/>
    <n v="3.64"/>
    <n v="3.33"/>
    <n v="0"/>
    <n v="63.472123944087727"/>
  </r>
  <r>
    <s v="GEG US Equity"/>
    <s v="GREAT ELM GROUP"/>
    <s v="Financials"/>
    <s v="Financial Services"/>
    <x v="24"/>
    <s v="UNITED STATES"/>
    <n v="7.0000000000000007E-2"/>
    <n v="0"/>
    <n v="0"/>
    <n v="27.590618633170294"/>
  </r>
  <r>
    <s v="GEHC US Equity"/>
    <s v="GE HEALTHCARE TE"/>
    <s v="Health Care"/>
    <s v="Health Care"/>
    <x v="9"/>
    <s v="UNITED STATES"/>
    <n v="36.340000000000003"/>
    <n v="4.22"/>
    <n v="0"/>
    <n v="43.801989456279642"/>
  </r>
  <r>
    <s v="GELYF US Equity"/>
    <s v="GEELY AUTOMOBILE"/>
    <s v="Consumer Discretionary"/>
    <s v="Consumer Discretionary Products"/>
    <x v="8"/>
    <s v="HONG KONG"/>
    <n v="23.65"/>
    <n v="4.9400000000000004"/>
    <n v="0"/>
    <n v="50.940337773889965"/>
  </r>
  <r>
    <s v="GEMI US Equity"/>
    <s v="GEMINI SPACE -A"/>
    <s v="Technology"/>
    <s v="Software &amp; Tech Services"/>
    <x v="14"/>
    <s v="UNITED STATES"/>
    <n v="1.1499999999999999"/>
    <n v="4.2"/>
    <n v="0"/>
    <n v="30.750837189734682"/>
  </r>
  <r>
    <s v="GEN US Equity"/>
    <s v="GEN DIGITAL INC"/>
    <s v="Technology"/>
    <s v="Software &amp; Tech Services"/>
    <x v="14"/>
    <s v="UNITED STATES"/>
    <n v="15.67"/>
    <n v="3.91"/>
    <n v="381150"/>
    <n v="47.618688348765616"/>
  </r>
  <r>
    <s v="GENI US Equity"/>
    <s v="GENIUS SPORTS LT"/>
    <s v="Technology"/>
    <s v="Software &amp; Tech Services"/>
    <x v="14"/>
    <s v="BRITAIN"/>
    <n v="2.31"/>
    <n v="4.75"/>
    <n v="0"/>
    <n v="20.272884007191095"/>
  </r>
  <r>
    <s v="GEO US Equity"/>
    <s v="GEO GROUP INC/TH"/>
    <s v="Industrials"/>
    <s v="Industrial Services"/>
    <x v="15"/>
    <s v="UNITED STATES"/>
    <n v="2.58"/>
    <n v="5"/>
    <n v="0"/>
    <n v="42.291656412813694"/>
  </r>
  <r>
    <s v="GERN US Equity"/>
    <s v="GERON CORP"/>
    <s v="Health Care"/>
    <s v="Health Care"/>
    <x v="25"/>
    <s v="UNITED STATES"/>
    <n v="0.88"/>
    <n v="4"/>
    <n v="0"/>
    <n v="67.103359309869077"/>
  </r>
  <r>
    <s v="GETY US Equity"/>
    <s v="GETTY IMAGES HOL"/>
    <s v="Communications"/>
    <s v="Media"/>
    <x v="13"/>
    <s v="UNITED STATES"/>
    <n v="0.53"/>
    <n v="3.67"/>
    <n v="0"/>
    <n v="32.659753295349176"/>
  </r>
  <r>
    <s v="GEV US Equity"/>
    <s v="GE VERNOVA INC"/>
    <s v="Industrials"/>
    <s v="Industrial Products"/>
    <x v="4"/>
    <s v="UNITED STATES"/>
    <n v="178.47"/>
    <n v="4.18"/>
    <n v="0"/>
    <n v="71.440943449915295"/>
  </r>
  <r>
    <s v="GEVO US Equity"/>
    <s v="GEVO INC"/>
    <s v="Energy"/>
    <s v="Renewable Energy"/>
    <x v="45"/>
    <s v="UNITED STATES"/>
    <n v="0.53"/>
    <n v="4.2"/>
    <n v="0"/>
    <n v="43.757678184426439"/>
  </r>
  <r>
    <s v="GFF US Equity"/>
    <s v="GRIFFON CORP"/>
    <s v="Consumer Discretionary"/>
    <s v="Consumer Discretionary Products"/>
    <x v="50"/>
    <s v="UNITED STATES"/>
    <n v="3.89"/>
    <n v="4.8600000000000003"/>
    <n v="0"/>
    <n v="74.543033273677935"/>
  </r>
  <r>
    <s v="GFI US Equity"/>
    <s v="GOLD FIELDS-ADR"/>
    <s v="Materials"/>
    <s v="Materials"/>
    <x v="22"/>
    <s v="SOUTH AFRICA"/>
    <n v="47.63"/>
    <n v="4"/>
    <n v="0"/>
    <n v="61.297408333805372"/>
  </r>
  <r>
    <s v="GFL US Equity"/>
    <s v="GFL ENVIRONM-SUB"/>
    <s v="Industrials"/>
    <s v="Industrial Services"/>
    <x v="15"/>
    <s v="CANADA"/>
    <n v="15.99"/>
    <n v="4.45"/>
    <n v="76659"/>
    <n v="58.735701570304187"/>
  </r>
  <r>
    <s v="GFR US Equity"/>
    <s v="GREENFIRE RESOUR"/>
    <s v="Energy"/>
    <s v="Oil &amp; Gas"/>
    <x v="20"/>
    <s v="CANADA"/>
    <n v="0.68"/>
    <n v="4"/>
    <n v="1088937"/>
    <n v="67.27562742840999"/>
  </r>
  <r>
    <s v="GFS US Equity"/>
    <s v="GLOBALFOUNDRIES"/>
    <s v="Technology"/>
    <s v="Tech Hardware &amp; Semiconductors"/>
    <x v="17"/>
    <s v="UNITED STATES"/>
    <n v="23.78"/>
    <n v="3.78"/>
    <n v="0"/>
    <n v="66.265552977238087"/>
  </r>
  <r>
    <s v="GGAL US Equity"/>
    <s v="GRUPO GALICI-ADR"/>
    <s v="Financials"/>
    <s v="Banking"/>
    <x v="26"/>
    <s v="ARGENTINA"/>
    <n v="8.6300000000000008"/>
    <n v="4.33"/>
    <n v="0"/>
    <n v="44.759021306641678"/>
  </r>
  <r>
    <s v="GGB US Equity"/>
    <s v="GERDAU SA-ADR"/>
    <s v="Materials"/>
    <s v="Materials"/>
    <x v="56"/>
    <s v="BRAZIL"/>
    <n v="8.33"/>
    <n v="5"/>
    <n v="0"/>
    <n v="58.23028574314214"/>
  </r>
  <r>
    <s v="GGG US Equity"/>
    <s v="GRACO INC"/>
    <s v="Industrials"/>
    <s v="Industrial Products"/>
    <x v="3"/>
    <s v="UNITED STATES"/>
    <n v="14.35"/>
    <n v="3.83"/>
    <n v="0"/>
    <n v="76.921358573481328"/>
  </r>
  <r>
    <s v="GH US Equity"/>
    <s v="GUARDANT HEALTH"/>
    <s v="Health Care"/>
    <s v="Health Care"/>
    <x v="9"/>
    <s v="UNITED STATES"/>
    <n v="14.73"/>
    <n v="4.68"/>
    <n v="0"/>
    <n v="49.553437339169193"/>
  </r>
  <r>
    <s v="GHM US Equity"/>
    <s v="GRAHAM CORP"/>
    <s v="Industrials"/>
    <s v="Industrial Products"/>
    <x v="3"/>
    <s v="UNITED STATES"/>
    <n v="0.83"/>
    <n v="4.5"/>
    <n v="90240"/>
    <n v="71.684089922730408"/>
  </r>
  <r>
    <s v="GHRS US Equity"/>
    <s v="GH RESEARCH PLC"/>
    <s v="Health Care"/>
    <s v="Health Care"/>
    <x v="25"/>
    <s v="IRELAND"/>
    <n v="1.04"/>
    <n v="4.8899999999999997"/>
    <n v="0"/>
    <n v="48.479727161420065"/>
  </r>
  <r>
    <s v="GIB US Equity"/>
    <s v="CGI INC"/>
    <s v="Technology"/>
    <s v="Software &amp; Tech Services"/>
    <x v="34"/>
    <s v="CANADA"/>
    <n v="19.41"/>
    <n v="4.2"/>
    <n v="67020"/>
    <n v="23.701717567967208"/>
  </r>
  <r>
    <s v="GIC US Equity"/>
    <s v="GLOBAL INDUSTRIA"/>
    <s v="Industrials"/>
    <s v="Industrial Services"/>
    <x v="43"/>
    <s v="UNITED STATES"/>
    <n v="1.18"/>
    <n v="3"/>
    <n v="0"/>
    <n v="67.734582522839133"/>
  </r>
  <r>
    <s v="GIG US Equity"/>
    <s v="GIGCAPITAL7 CO-A"/>
    <s v="Financials"/>
    <s v="Financial Services"/>
    <x v="24"/>
    <s v="UNITED STATES"/>
    <n v="0.35"/>
    <n v="0"/>
    <n v="0"/>
    <n v="60.130711091936242"/>
  </r>
  <r>
    <s v="GIII US Equity"/>
    <s v="G III APPAREL"/>
    <s v="Consumer Discretionary"/>
    <s v="Retail &amp; Whsle - Discretionary"/>
    <x v="40"/>
    <s v="UNITED STATES"/>
    <n v="1.21"/>
    <n v="3.4"/>
    <n v="0"/>
    <n v="53.185565835828832"/>
  </r>
  <r>
    <s v="GIL CT Equity"/>
    <s v="GILDAN ACTIVEWEA"/>
    <s v="Consumer Discretionary"/>
    <s v="Consumer Discretionary Products"/>
    <x v="5"/>
    <s v="CANADA"/>
    <n v="12.38"/>
    <n v="4.71"/>
    <n v="35435"/>
    <n v="68.820034754460863"/>
  </r>
  <r>
    <s v="GIL US Equity"/>
    <s v="GILDAN ACTIVEWEA"/>
    <s v="Consumer Discretionary"/>
    <s v="Consumer Discretionary Products"/>
    <x v="5"/>
    <s v="CANADA"/>
    <n v="12.39"/>
    <n v="4.7300000000000004"/>
    <n v="35462"/>
    <n v="70.007080176616014"/>
  </r>
  <r>
    <s v="GILD US Equity"/>
    <s v="GILEAD SCIENCES"/>
    <s v="Health Care"/>
    <s v="Health Care"/>
    <x v="25"/>
    <s v="UNITED STATES"/>
    <n v="168.65"/>
    <n v="4.6100000000000003"/>
    <n v="0"/>
    <n v="75.572011540804098"/>
  </r>
  <r>
    <s v="GILT US Equity"/>
    <s v="GILAT SATEL NETW"/>
    <s v="Technology"/>
    <s v="Tech Hardware &amp; Semiconductors"/>
    <x v="16"/>
    <s v="ISRAEL"/>
    <n v="1.36"/>
    <n v="4.33"/>
    <n v="0"/>
    <n v="35.293332579085074"/>
  </r>
  <r>
    <s v="GIS US Equity"/>
    <s v="GENERAL MILLS IN"/>
    <s v="Consumer Staples"/>
    <s v="Consumer Staple Products"/>
    <x v="42"/>
    <s v="UNITED STATES"/>
    <n v="23.78"/>
    <n v="3.17"/>
    <n v="0"/>
    <n v="67.617231982392639"/>
  </r>
  <r>
    <s v="GIW US Equity"/>
    <s v="GIGCAPITAL8 CO-A"/>
    <s v="Financials"/>
    <s v="Financial Services"/>
    <x v="24"/>
    <s v="UNITED STATES"/>
    <n v="0.35"/>
    <n v="0"/>
    <n v="0"/>
    <n v="71.60012732531311"/>
  </r>
  <r>
    <s v="GKOS US Equity"/>
    <s v="GLAUKOS CORP"/>
    <s v="Health Care"/>
    <s v="Health Care"/>
    <x v="9"/>
    <s v="UNITED STATES"/>
    <n v="6.89"/>
    <n v="4.7300000000000004"/>
    <n v="0"/>
    <n v="40.43882630570932"/>
  </r>
  <r>
    <s v="GL US Equity"/>
    <s v="GLOBE LIFE INC"/>
    <s v="Financials"/>
    <s v="Insurance"/>
    <x v="23"/>
    <s v="UNITED STATES"/>
    <n v="10.87"/>
    <n v="4.45"/>
    <n v="0"/>
    <n v="56.969560594481464"/>
  </r>
  <r>
    <s v="GLAD US Equity"/>
    <s v="GLADSTONE CAP CO"/>
    <s v="Financials"/>
    <s v="Financial Services"/>
    <x v="24"/>
    <s v="UNITED STATES"/>
    <n v="0.47"/>
    <n v="4.25"/>
    <n v="10232"/>
    <n v="31.562783153108356"/>
  </r>
  <r>
    <s v="GLASF US Equity"/>
    <s v="GLASS HOUSE BRAN"/>
    <s v="Consumer Staples"/>
    <s v="Consumer Staple Products"/>
    <x v="28"/>
    <s v="UNITED STATES"/>
    <n v="0.62"/>
    <n v="5"/>
    <n v="0"/>
    <n v="43.580372775083198"/>
  </r>
  <r>
    <s v="GLBE US Equity"/>
    <s v="GLOBAL-E ONLINE"/>
    <s v="Technology"/>
    <s v="Software &amp; Tech Services"/>
    <x v="14"/>
    <s v="ISRAEL"/>
    <n v="6.37"/>
    <n v="4.8"/>
    <n v="0"/>
    <n v="32.91418739467683"/>
  </r>
  <r>
    <s v="GLBS US Equity"/>
    <s v="GLOBUS MARITIME"/>
    <s v="Industrials"/>
    <s v="Industrial Services"/>
    <x v="12"/>
    <s v="GREECE"/>
    <n v="0.03"/>
    <n v="5"/>
    <n v="0"/>
    <n v="55.352106785787569"/>
  </r>
  <r>
    <s v="GLD US Equity"/>
    <s v="SPDR GOLD SHARES"/>
    <s v="Financials"/>
    <s v="Financial Services"/>
    <x v="24"/>
    <s v="UNITED STATES"/>
    <n v="173.99"/>
    <n v="0"/>
    <n v="0"/>
    <n v="58.955396288713288"/>
  </r>
  <r>
    <s v="GLDD US Equity"/>
    <s v="GREAT LAKES DRED"/>
    <s v="Industrials"/>
    <s v="Industrial Services"/>
    <x v="27"/>
    <s v="UNITED STATES"/>
    <n v="1.05"/>
    <n v="4.8"/>
    <n v="0"/>
    <n v="71.564569226521158"/>
  </r>
  <r>
    <s v="GLEN LN Equity"/>
    <s v="GLENCORE PLC"/>
    <s v="Materials"/>
    <s v="Materials"/>
    <x v="22"/>
    <s v="SWITZERLAND"/>
    <n v="80.010000000000005"/>
    <n v="4.53"/>
    <n v="0"/>
    <n v="60.328027685735762"/>
  </r>
  <r>
    <s v="GLIBA US Equity"/>
    <s v="GCI LIBERTY-A"/>
    <s v="Communications"/>
    <s v="Telecommunications"/>
    <x v="36"/>
    <s v="UNITED STATES"/>
    <n v="1.5"/>
    <n v="0"/>
    <n v="3197674"/>
    <n v="52.890230405507012"/>
  </r>
  <r>
    <s v="GLIBK US Equity"/>
    <s v="GCI LIBERTY-C"/>
    <s v="Communications"/>
    <s v="Telecommunications"/>
    <x v="36"/>
    <s v="UNITED STATES"/>
    <n v="1.5"/>
    <n v="3"/>
    <n v="7903977"/>
    <n v="54.778501532358035"/>
  </r>
  <r>
    <s v="GLNCY US Equity"/>
    <s v="GLENCORE PLC-ADR"/>
    <s v="Materials"/>
    <s v="Materials"/>
    <x v="22"/>
    <s v="SWITZERLAND"/>
    <n v="79.97"/>
    <n v="5"/>
    <n v="0"/>
    <n v="59.169310598444234"/>
  </r>
  <r>
    <s v="GLNG US Equity"/>
    <s v="GOLAR LNG LTD"/>
    <s v="Energy"/>
    <s v="Oil &amp; Gas"/>
    <x v="20"/>
    <s v="BERMUDA"/>
    <n v="4.1399999999999997"/>
    <n v="4.83"/>
    <n v="0"/>
    <n v="73.192166012267222"/>
  </r>
  <r>
    <s v="GLOB US Equity"/>
    <s v="GLOBANT SA"/>
    <s v="Technology"/>
    <s v="Software &amp; Tech Services"/>
    <x v="34"/>
    <s v="LUXEMBOURG"/>
    <n v="3.04"/>
    <n v="4.04"/>
    <n v="0"/>
    <n v="33.645908537780201"/>
  </r>
  <r>
    <s v="GLPG US Equity"/>
    <s v="GALAPAGOS NV-ADR"/>
    <s v="Health Care"/>
    <s v="Health Care"/>
    <x v="25"/>
    <s v="BELGIUM"/>
    <n v="2.27"/>
    <n v="2.67"/>
    <n v="0"/>
    <n v="55.1538842030916"/>
  </r>
  <r>
    <s v="GLRE US Equity"/>
    <s v="GREENLIGHT CAP-A"/>
    <s v="Financials"/>
    <s v="Insurance"/>
    <x v="23"/>
    <s v="CAYMAN ISLANDS"/>
    <n v="0.54"/>
    <n v="0"/>
    <n v="801600"/>
    <n v="52.530619602541179"/>
  </r>
  <r>
    <s v="GLUE US Equity"/>
    <s v="MONTE ROSA THERA"/>
    <s v="Health Care"/>
    <s v="Health Care"/>
    <x v="25"/>
    <s v="UNITED STATES"/>
    <n v="1.74"/>
    <n v="5"/>
    <n v="0"/>
    <n v="42.110807596067488"/>
  </r>
  <r>
    <s v="GLV ID Equity"/>
    <s v="GLENVEAGH PROPER"/>
    <s v="Consumer Discretionary"/>
    <s v="Consumer Discretionary Products"/>
    <x v="50"/>
    <s v="IRELAND"/>
    <n v="1.2"/>
    <n v="5"/>
    <n v="345339"/>
    <n v="68.590995381825323"/>
  </r>
  <r>
    <s v="GLW US Equity"/>
    <s v="CORNING INC"/>
    <s v="Technology"/>
    <s v="Tech Hardware &amp; Semiconductors"/>
    <x v="16"/>
    <s v="UNITED STATES"/>
    <n v="79.989999999999995"/>
    <n v="4.4400000000000004"/>
    <n v="0"/>
    <n v="77.777824016014705"/>
  </r>
  <r>
    <s v="GLXY US Equity"/>
    <s v="GALAXY DIGITAL I"/>
    <s v="Financials"/>
    <s v="Financial Services"/>
    <x v="49"/>
    <s v="UNITED STATES"/>
    <n v="12.47"/>
    <n v="4.79"/>
    <n v="0"/>
    <n v="38.100100750023159"/>
  </r>
  <r>
    <s v="GM US Equity"/>
    <s v="GENERAL MOTORS C"/>
    <s v="Consumer Discretionary"/>
    <s v="Consumer Discretionary Products"/>
    <x v="8"/>
    <s v="UNITED STATES"/>
    <n v="74.33"/>
    <n v="4.13"/>
    <n v="0"/>
    <n v="43.928220332755366"/>
  </r>
  <r>
    <s v="GMAB DC Equity"/>
    <s v="GENMAB A/S"/>
    <s v="Health Care"/>
    <s v="Health Care"/>
    <x v="25"/>
    <s v="DENMARK"/>
    <n v="21.61"/>
    <n v="3.95"/>
    <n v="0"/>
    <n v="35.840236439447381"/>
  </r>
  <r>
    <s v="GMAB US Equity"/>
    <s v="GENMAB A/S-S ADR"/>
    <s v="Health Care"/>
    <s v="Health Care"/>
    <x v="25"/>
    <s v="DENMARK"/>
    <n v="21.76"/>
    <n v="4.5599999999999996"/>
    <n v="0"/>
    <n v="36.906059306934054"/>
  </r>
  <r>
    <s v="GME US Equity"/>
    <s v="GAMESTOP CORP-A"/>
    <s v="Consumer Discretionary"/>
    <s v="Retail &amp; Whsle - Discretionary"/>
    <x v="10"/>
    <s v="UNITED STATES"/>
    <n v="10.3"/>
    <n v="3"/>
    <n v="23541760"/>
    <n v="55.88026945753564"/>
  </r>
  <r>
    <s v="GMED US Equity"/>
    <s v="GLOBUS MEDICAL I"/>
    <s v="Health Care"/>
    <s v="Health Care"/>
    <x v="9"/>
    <s v="UNITED STATES"/>
    <n v="12.45"/>
    <n v="4.25"/>
    <n v="0"/>
    <n v="44.904458610610881"/>
  </r>
  <r>
    <s v="GMEXICOB MM Equity"/>
    <s v="GRUPO MEXICO-B"/>
    <s v="Materials"/>
    <s v="Materials"/>
    <x v="22"/>
    <s v="MEXICO"/>
    <n v="86.29"/>
    <n v="3.31"/>
    <n v="0"/>
    <n v="58.5788124157189"/>
  </r>
  <r>
    <s v="GNE US Equity"/>
    <s v="GENIE ENERGY-B"/>
    <s v="Utilities"/>
    <s v="Utilities"/>
    <x v="66"/>
    <s v="UNITED STATES"/>
    <n v="0.37"/>
    <n v="3"/>
    <n v="0"/>
    <n v="46.255527383952121"/>
  </r>
  <r>
    <s v="GNK US Equity"/>
    <s v="GENCO SHIPPING &amp;"/>
    <s v="Industrials"/>
    <s v="Industrial Services"/>
    <x v="12"/>
    <s v="UNITED STATES"/>
    <n v="0.86"/>
    <n v="4.75"/>
    <n v="0"/>
    <n v="71.006146348581126"/>
  </r>
  <r>
    <s v="GNL US Equity"/>
    <s v="GLOBAL NET LEASE"/>
    <s v="Real Estate"/>
    <s v="Real Estate"/>
    <x v="37"/>
    <s v="UNITED STATES"/>
    <n v="2.06"/>
    <n v="3.88"/>
    <n v="0"/>
    <n v="73.032513368044064"/>
  </r>
  <r>
    <s v="GNLX US Equity"/>
    <s v="GENELUX CORP"/>
    <s v="Health Care"/>
    <s v="Health Care"/>
    <x v="25"/>
    <s v="UNITED STATES"/>
    <n v="0.13"/>
    <n v="4.8600000000000003"/>
    <n v="0"/>
    <n v="30.849721675885476"/>
  </r>
  <r>
    <s v="GNRC US Equity"/>
    <s v="GENERAC HOLDINGS"/>
    <s v="Industrials"/>
    <s v="Industrial Products"/>
    <x v="4"/>
    <s v="UNITED STATES"/>
    <n v="10.15"/>
    <n v="4.3899999999999997"/>
    <n v="0"/>
    <n v="78.237703681076681"/>
  </r>
  <r>
    <s v="GNTX US Equity"/>
    <s v="GENTEX CORP"/>
    <s v="Consumer Discretionary"/>
    <s v="Consumer Discretionary Products"/>
    <x v="8"/>
    <s v="UNITED STATES"/>
    <n v="5.16"/>
    <n v="3.89"/>
    <n v="0"/>
    <n v="55.292666033375667"/>
  </r>
  <r>
    <s v="GNW US Equity"/>
    <s v="GENWORTH FINANCI"/>
    <s v="Financials"/>
    <s v="Insurance"/>
    <x v="23"/>
    <s v="UNITED STATES"/>
    <n v="3.25"/>
    <n v="0"/>
    <n v="0"/>
    <n v="62.685371706999703"/>
  </r>
  <r>
    <s v="GO US Equity"/>
    <s v="GROCERY OUTLET"/>
    <s v="Consumer Staples"/>
    <s v="Retail &amp; Wholesale - Staples"/>
    <x v="33"/>
    <s v="UNITED STATES"/>
    <n v="0.96"/>
    <n v="3.5"/>
    <n v="0"/>
    <n v="48.579075331945795"/>
  </r>
  <r>
    <s v="GOGO US Equity"/>
    <s v="GOGO INC"/>
    <s v="Communications"/>
    <s v="Telecommunications"/>
    <x v="36"/>
    <s v="UNITED STATES"/>
    <n v="0.65"/>
    <n v="3.5"/>
    <n v="1858200"/>
    <n v="30.796054624324128"/>
  </r>
  <r>
    <s v="GOLD US Equity"/>
    <s v="GOLD.COM INC"/>
    <s v="Materials"/>
    <s v="Materials"/>
    <x v="22"/>
    <s v="UNITED STATES"/>
    <n v="1.06"/>
    <n v="4.5"/>
    <n v="0"/>
    <n v="78.133787556655093"/>
  </r>
  <r>
    <s v="GOLF US Equity"/>
    <s v="ACUSHNET HOLDING"/>
    <s v="Consumer Discretionary"/>
    <s v="Consumer Discretionary Products"/>
    <x v="55"/>
    <s v="UNITED STATES"/>
    <n v="5.53"/>
    <n v="2.78"/>
    <n v="0"/>
    <n v="63.80950334257156"/>
  </r>
  <r>
    <s v="GOOG US Equity"/>
    <s v="ALPHABET INC-C"/>
    <s v="Communications"/>
    <s v="Media"/>
    <x v="13"/>
    <s v="UNITED STATES"/>
    <n v="3960.05"/>
    <n v="4.8099999999999996"/>
    <n v="0"/>
    <n v="35.759486086006788"/>
  </r>
  <r>
    <s v="GOOGL US Equity"/>
    <s v="ALPHABET INC-A"/>
    <s v="Communications"/>
    <s v="Media"/>
    <x v="13"/>
    <s v="UNITED STATES"/>
    <n v="3960.05"/>
    <n v="4.72"/>
    <n v="0"/>
    <n v="35.663574914872726"/>
  </r>
  <r>
    <s v="GOOS US Equity"/>
    <s v="CANADA GOOSE HOL"/>
    <s v="Consumer Discretionary"/>
    <s v="Consumer Discretionary Products"/>
    <x v="5"/>
    <s v="CANADA"/>
    <n v="1.25"/>
    <n v="3.31"/>
    <n v="0"/>
    <n v="44.292555692031122"/>
  </r>
  <r>
    <s v="GOSS US Equity"/>
    <s v="GOSSAMER BIO INC"/>
    <s v="Health Care"/>
    <s v="Health Care"/>
    <x v="25"/>
    <s v="UNITED STATES"/>
    <n v="0.62"/>
    <n v="4.75"/>
    <n v="70335"/>
    <n v="41.698114347372538"/>
  </r>
  <r>
    <s v="GOTU US Equity"/>
    <s v="GAOTU TECHEDU IN"/>
    <s v="Technology"/>
    <s v="Software &amp; Tech Services"/>
    <x v="14"/>
    <s v="CHINA"/>
    <n v="0.62"/>
    <n v="4.3600000000000003"/>
    <n v="0"/>
    <n v="38.030222103928828"/>
  </r>
  <r>
    <s v="GPC US Equity"/>
    <s v="GENUINE PARTS CO"/>
    <s v="Consumer Discretionary"/>
    <s v="Retail &amp; Whsle - Discretionary"/>
    <x v="10"/>
    <s v="UNITED STATES"/>
    <n v="19.149999999999999"/>
    <n v="3.77"/>
    <n v="0"/>
    <n v="71.298407131843774"/>
  </r>
  <r>
    <s v="GPCR US Equity"/>
    <s v="STRUCTURE THERAP"/>
    <s v="Health Care"/>
    <s v="Health Care"/>
    <x v="25"/>
    <s v="UNITED STATES"/>
    <n v="6.38"/>
    <n v="4.9400000000000004"/>
    <n v="0"/>
    <n v="46.302664676896811"/>
  </r>
  <r>
    <s v="GPGI US Equity"/>
    <s v="GPGI INC"/>
    <s v="Financials"/>
    <s v="Financial Services"/>
    <x v="35"/>
    <s v="UNITED STATES"/>
    <n v="7.25"/>
    <n v="4.67"/>
    <n v="456912"/>
    <n v="59.598272302416724"/>
  </r>
  <r>
    <s v="GPI US Equity"/>
    <s v="GROUP 1 AUTOMOTI"/>
    <s v="Consumer Discretionary"/>
    <s v="Retail &amp; Whsle - Discretionary"/>
    <x v="10"/>
    <s v="UNITED STATES"/>
    <n v="4.95"/>
    <n v="4"/>
    <n v="0"/>
    <n v="29.781817181812926"/>
  </r>
  <r>
    <s v="GPK US Equity"/>
    <s v="GRAPHIC PACKAGIN"/>
    <s v="Materials"/>
    <s v="Materials"/>
    <x v="46"/>
    <s v="UNITED STATES"/>
    <n v="4.5599999999999996"/>
    <n v="3.18"/>
    <n v="0"/>
    <n v="31.637429901425378"/>
  </r>
  <r>
    <s v="GPN US Equity"/>
    <s v="GLOBAL PAYMENTS"/>
    <s v="Financials"/>
    <s v="Financial Services"/>
    <x v="35"/>
    <s v="UNITED STATES"/>
    <n v="21.06"/>
    <n v="3.64"/>
    <n v="1107317"/>
    <n v="45.411960268471219"/>
  </r>
  <r>
    <s v="GPOR US Equity"/>
    <s v="GULFPORT ENERGY"/>
    <s v="Energy"/>
    <s v="Oil &amp; Gas"/>
    <x v="20"/>
    <s v="UNITED STATES"/>
    <n v="3.75"/>
    <n v="4.5"/>
    <n v="0"/>
    <n v="52.3022979961735"/>
  </r>
  <r>
    <s v="GPRE US Equity"/>
    <s v="GREEN PLAINS INC"/>
    <s v="Energy"/>
    <s v="Renewable Energy"/>
    <x v="45"/>
    <s v="UNITED STATES"/>
    <n v="0.82"/>
    <n v="3.44"/>
    <n v="0"/>
    <n v="82.026893158633982"/>
  </r>
  <r>
    <s v="GPRK US Equity"/>
    <s v="GEOPARK LTD"/>
    <s v="Energy"/>
    <s v="Oil &amp; Gas"/>
    <x v="20"/>
    <s v="COLOMBIA"/>
    <n v="0.42"/>
    <n v="4.5999999999999996"/>
    <n v="0"/>
    <n v="64.857668538025536"/>
  </r>
  <r>
    <s v="GRAB US Equity"/>
    <s v="GRAB HOLDINGS LT"/>
    <s v="Communications"/>
    <s v="Media"/>
    <x v="13"/>
    <s v="SINGAPORE"/>
    <n v="18.66"/>
    <n v="4.79"/>
    <n v="0"/>
    <n v="37.520939990899564"/>
  </r>
  <r>
    <s v="GRAF US Equity"/>
    <s v="GRAF GLOBAL CORP"/>
    <s v="Financials"/>
    <s v="Financial Services"/>
    <x v="24"/>
    <s v="UNITED STATES"/>
    <n v="0.24"/>
    <n v="0"/>
    <n v="0"/>
    <n v="43.91007614268279"/>
  </r>
  <r>
    <s v="GRAL US Equity"/>
    <s v="GRAIL INC"/>
    <s v="Health Care"/>
    <s v="Health Care"/>
    <x v="9"/>
    <s v="UNITED STATES"/>
    <n v="4.09"/>
    <n v="4"/>
    <n v="0"/>
    <n v="50.162302921172127"/>
  </r>
  <r>
    <s v="GRBK US Equity"/>
    <s v="GREEN BRICK PART"/>
    <s v="Consumer Discretionary"/>
    <s v="Consumer Discretionary Products"/>
    <x v="50"/>
    <s v="UNITED STATES"/>
    <n v="3.05"/>
    <n v="3"/>
    <n v="0"/>
    <n v="68.315095494981662"/>
  </r>
  <r>
    <s v="GRC US Equity"/>
    <s v="GORMAN-RUPP CO"/>
    <s v="Industrials"/>
    <s v="Industrial Products"/>
    <x v="3"/>
    <s v="UNITED STATES"/>
    <n v="1.38"/>
    <n v="5"/>
    <n v="0"/>
    <n v="86.11566289741603"/>
  </r>
  <r>
    <s v="GRCE US Equity"/>
    <s v="GRACE THERAPEUTI"/>
    <s v="Health Care"/>
    <s v="Health Care"/>
    <x v="25"/>
    <s v="UNITED STATES"/>
    <n v="0.06"/>
    <n v="5"/>
    <n v="0"/>
    <n v="49.209274726384365"/>
  </r>
  <r>
    <s v="GRDN US Equity"/>
    <s v="GUARDIAN PHARM-A"/>
    <s v="Health Care"/>
    <s v="Health Care"/>
    <x v="31"/>
    <s v="UNITED STATES"/>
    <n v="1.93"/>
    <n v="5"/>
    <n v="102819"/>
    <n v="66.433312235385941"/>
  </r>
  <r>
    <s v="GRDX US Equity"/>
    <s v="GRIDAI TECHNOLOG"/>
    <s v="Health Care"/>
    <s v="Health Care"/>
    <x v="25"/>
    <s v="UNITED STATES"/>
    <n v="0.01"/>
    <n v="0"/>
    <n v="0"/>
    <n v="47.852649476761783"/>
  </r>
  <r>
    <s v="GREK US Equity"/>
    <s v="GLOBAL X MSCI GR"/>
    <s v="Financials"/>
    <s v="Financial Services"/>
    <x v="24"/>
    <s v="UNITED STATES"/>
    <n v="0.32"/>
    <n v="0"/>
    <n v="0"/>
    <n v="56.7898961467261"/>
  </r>
  <r>
    <s v="GRFS US Equity"/>
    <s v="GRIFOLS SA-ADR"/>
    <s v="Health Care"/>
    <s v="Health Care"/>
    <x v="25"/>
    <s v="SPAIN"/>
    <n v="7.9"/>
    <n v="4.33"/>
    <n v="0"/>
    <n v="49.642138094180233"/>
  </r>
  <r>
    <s v="GRMN US Equity"/>
    <s v="GARMIN LTD"/>
    <s v="Technology"/>
    <s v="Tech Hardware &amp; Semiconductors"/>
    <x v="16"/>
    <s v="SWITZERLAND"/>
    <n v="39.65"/>
    <n v="2.78"/>
    <n v="0"/>
    <n v="51.406450378215418"/>
  </r>
  <r>
    <s v="GRND US Equity"/>
    <s v="GRINDR INC"/>
    <s v="Communications"/>
    <s v="Media"/>
    <x v="13"/>
    <s v="UNITED STATES"/>
    <n v="2.21"/>
    <n v="4.75"/>
    <n v="20374750"/>
    <n v="29.344927411265076"/>
  </r>
  <r>
    <s v="GRNT US Equity"/>
    <s v="GRANITE RIDGE RE"/>
    <s v="Energy"/>
    <s v="Oil &amp; Gas"/>
    <x v="20"/>
    <s v="UNITED STATES"/>
    <n v="0.6"/>
    <n v="3.86"/>
    <n v="401746"/>
    <n v="61.426930417265304"/>
  </r>
  <r>
    <s v="GRNY US Equity"/>
    <s v="FNDSTR-G/S US LR"/>
    <s v="Financials"/>
    <s v="Financial Services"/>
    <x v="24"/>
    <s v="UNITED STATES"/>
    <n v="4.2699999999999996"/>
    <n v="0"/>
    <n v="0"/>
    <n v="47.915856916096466"/>
  </r>
  <r>
    <s v="GROY US Equity"/>
    <s v="GOLD ROYALTY COR"/>
    <s v="Materials"/>
    <s v="Materials"/>
    <x v="22"/>
    <s v="CANADA"/>
    <n v="1.07"/>
    <n v="4.71"/>
    <n v="0"/>
    <n v="50.137985522938031"/>
  </r>
  <r>
    <s v="GRPN US Equity"/>
    <s v="GROUPON INC"/>
    <s v="Communications"/>
    <s v="Media"/>
    <x v="13"/>
    <s v="UNITED STATES"/>
    <n v="0.66"/>
    <n v="4"/>
    <n v="0"/>
    <n v="23.623946639672866"/>
  </r>
  <r>
    <s v="GRRR US Equity"/>
    <s v="GORILLA TECHNOLO"/>
    <s v="Technology"/>
    <s v="Software &amp; Tech Services"/>
    <x v="34"/>
    <s v="BRITAIN"/>
    <n v="0.32"/>
    <n v="5"/>
    <n v="0"/>
    <n v="47.559115428362745"/>
  </r>
  <r>
    <s v="GS US Equity"/>
    <s v="GOLDMAN SACHS GP"/>
    <s v="Financials"/>
    <s v="Financial Services"/>
    <x v="49"/>
    <s v="UNITED STATES"/>
    <n v="286.20999999999998"/>
    <n v="3.66"/>
    <n v="0"/>
    <n v="54.778916234624475"/>
  </r>
  <r>
    <s v="GSAT US Equity"/>
    <s v="GLOBALSTAR INC"/>
    <s v="Communications"/>
    <s v="Telecommunications"/>
    <x v="36"/>
    <s v="UNITED STATES"/>
    <n v="8.24"/>
    <n v="4.5"/>
    <n v="0"/>
    <n v="45.856452408524582"/>
  </r>
  <r>
    <s v="GSBC US Equity"/>
    <s v="GREAT SOUTHN BAN"/>
    <s v="Financials"/>
    <s v="Banking"/>
    <x v="26"/>
    <s v="UNITED STATES"/>
    <n v="0.68"/>
    <n v="3"/>
    <n v="0"/>
    <n v="52.141208084457396"/>
  </r>
  <r>
    <s v="GSBD US Equity"/>
    <s v="GOLDMAN SACHS BD"/>
    <s v="Financials"/>
    <s v="Financial Services"/>
    <x v="24"/>
    <s v="UNITED STATES"/>
    <n v="1.07"/>
    <n v="2.6"/>
    <n v="305825"/>
    <n v="55.452872605125457"/>
  </r>
  <r>
    <s v="GSHD US Equity"/>
    <s v="GOOSEHEAD INSU-A"/>
    <s v="Financials"/>
    <s v="Insurance"/>
    <x v="23"/>
    <s v="UNITED STATES"/>
    <n v="2.5499999999999998"/>
    <n v="3.38"/>
    <n v="625952"/>
    <n v="23.390255139836384"/>
  </r>
  <r>
    <s v="GSIT US Equity"/>
    <s v="GSI TECHNOLOGY"/>
    <s v="Technology"/>
    <s v="Tech Hardware &amp; Semiconductors"/>
    <x v="17"/>
    <s v="UNITED STATES"/>
    <n v="0.28999999999999998"/>
    <n v="0"/>
    <n v="0"/>
    <n v="40.792627588613705"/>
  </r>
  <r>
    <s v="GSK US Equity"/>
    <s v="GSK PLC-ADR"/>
    <s v="Health Care"/>
    <s v="Health Care"/>
    <x v="25"/>
    <s v="BRITAIN"/>
    <n v="100.15"/>
    <n v="3.73"/>
    <n v="344935"/>
    <n v="73.305472043424288"/>
  </r>
  <r>
    <s v="GSKR CN Equity"/>
    <s v="GOLDSKY RESOURCE"/>
    <s v="Materials"/>
    <s v="Materials"/>
    <x v="22"/>
    <s v="CANADA"/>
    <n v="0.39"/>
    <n v="5"/>
    <n v="0"/>
    <n v="72.501212821596951"/>
  </r>
  <r>
    <s v="GSL US Equity"/>
    <s v="GLOBAL SHIP-CL A"/>
    <s v="Industrials"/>
    <s v="Industrial Services"/>
    <x v="12"/>
    <s v="BRITAIN"/>
    <n v="1.29"/>
    <n v="3.67"/>
    <n v="0"/>
    <n v="60.635324069571858"/>
  </r>
  <r>
    <s v="GSM US Equity"/>
    <s v="FERROGLOBE PLC"/>
    <s v="Materials"/>
    <s v="Materials"/>
    <x v="22"/>
    <s v="BRITAIN"/>
    <n v="0.96"/>
    <n v="4"/>
    <n v="0"/>
    <n v="65.691174422404231"/>
  </r>
  <r>
    <s v="GT US Equity"/>
    <s v="GOODYEAR TIRE"/>
    <s v="Consumer Discretionary"/>
    <s v="Consumer Discretionary Products"/>
    <x v="8"/>
    <s v="UNITED STATES"/>
    <n v="2.75"/>
    <n v="3.67"/>
    <n v="961000"/>
    <n v="49.724552525642288"/>
  </r>
  <r>
    <s v="GTBIF US Equity"/>
    <s v="GREEN THUMB INDU"/>
    <s v="Consumer Staples"/>
    <s v="Consumer Staple Products"/>
    <x v="28"/>
    <s v="UNITED STATES"/>
    <n v="1.67"/>
    <n v="4.83"/>
    <n v="0"/>
    <n v="40.384381639971551"/>
  </r>
  <r>
    <s v="GTES US Equity"/>
    <s v="GATES INDUSTRIAL"/>
    <s v="Industrials"/>
    <s v="Industrial Products"/>
    <x v="3"/>
    <s v="UNITED STATES"/>
    <n v="5.96"/>
    <n v="4.5"/>
    <n v="0"/>
    <n v="70.143426985376195"/>
  </r>
  <r>
    <s v="GTLB US Equity"/>
    <s v="GITLAB INC-CL A"/>
    <s v="Technology"/>
    <s v="Software &amp; Tech Services"/>
    <x v="14"/>
    <s v="UNITED STATES"/>
    <n v="6.13"/>
    <n v="4.07"/>
    <n v="119181"/>
    <n v="33.035812345828191"/>
  </r>
  <r>
    <s v="GTLS US Equity"/>
    <s v="CHART INDUSTRIES"/>
    <s v="Industrials"/>
    <s v="Industrial Products"/>
    <x v="52"/>
    <s v="UNITED STATES"/>
    <n v="9.32"/>
    <n v="3.14"/>
    <n v="0"/>
    <n v="50.803559452612447"/>
  </r>
  <r>
    <s v="GTM US Equity"/>
    <s v="ZOOMINFO TECH"/>
    <s v="Technology"/>
    <s v="Software &amp; Tech Services"/>
    <x v="14"/>
    <s v="UNITED STATES"/>
    <n v="2.75"/>
    <n v="3.18"/>
    <n v="0"/>
    <n v="24.109709758345119"/>
  </r>
  <r>
    <s v="GTN US Equity"/>
    <s v="GRAY MEDIA INC"/>
    <s v="Communications"/>
    <s v="Media"/>
    <x v="59"/>
    <s v="UNITED STATES"/>
    <n v="0.54"/>
    <n v="3.8"/>
    <n v="0"/>
    <n v="59.17013716329982"/>
  </r>
  <r>
    <s v="GTX US Equity"/>
    <s v="GARRETT MOTIO"/>
    <s v="Consumer Discretionary"/>
    <s v="Consumer Discretionary Products"/>
    <x v="8"/>
    <s v="SWITZERLAND"/>
    <n v="3.46"/>
    <n v="4.5999999999999996"/>
    <n v="0"/>
    <n v="75.804257079183188"/>
  </r>
  <r>
    <s v="GUTS US Equity"/>
    <s v="FRACTYL HEALTH I"/>
    <s v="Health Care"/>
    <s v="Health Care"/>
    <x v="9"/>
    <s v="UNITED STATES"/>
    <n v="0.28999999999999998"/>
    <n v="5"/>
    <n v="21769"/>
    <n v="19.498349134823215"/>
  </r>
  <r>
    <s v="GVA US Equity"/>
    <s v="GRANITE CONSTR"/>
    <s v="Industrials"/>
    <s v="Industrial Services"/>
    <x v="27"/>
    <s v="UNITED STATES"/>
    <n v="5.25"/>
    <n v="4.5"/>
    <n v="0"/>
    <n v="76.12842136688559"/>
  </r>
  <r>
    <s v="GWRE US Equity"/>
    <s v="GUIDEWIRE SOFTWA"/>
    <s v="Technology"/>
    <s v="Software &amp; Tech Services"/>
    <x v="14"/>
    <s v="UNITED STATES"/>
    <n v="13.61"/>
    <n v="4.4400000000000004"/>
    <n v="0"/>
    <n v="29.189279080329158"/>
  </r>
  <r>
    <s v="GWW US Equity"/>
    <s v="WW GRAINGER INC"/>
    <s v="Industrials"/>
    <s v="Industrial Services"/>
    <x v="43"/>
    <s v="UNITED STATES"/>
    <n v="50.3"/>
    <n v="2.91"/>
    <n v="0"/>
    <n v="76.974786404411532"/>
  </r>
  <r>
    <s v="GXO US Equity"/>
    <s v="GXO LOGISTIC"/>
    <s v="Industrials"/>
    <s v="Industrial Services"/>
    <x v="12"/>
    <s v="UNITED STATES"/>
    <n v="6.57"/>
    <n v="4.8099999999999996"/>
    <n v="344460"/>
    <n v="70.260789202200399"/>
  </r>
  <r>
    <s v="GYRE US Equity"/>
    <s v="GYRE THERAPEUTIC"/>
    <s v="Health Care"/>
    <s v="Health Care"/>
    <x v="25"/>
    <s v="UNITED STATES"/>
    <n v="0.76"/>
    <n v="5"/>
    <n v="0"/>
    <n v="50.712515695509303"/>
  </r>
  <r>
    <s v="H US Equity"/>
    <s v="HYATT HOTELS-A"/>
    <s v="Consumer Discretionary"/>
    <s v="Consumer Discretionary Services"/>
    <x v="6"/>
    <s v="UNITED STATES"/>
    <n v="15.55"/>
    <n v="4.12"/>
    <n v="0"/>
    <n v="58.619176509215059"/>
  </r>
  <r>
    <s v="HAE US Equity"/>
    <s v="HAEMONETICS CORP"/>
    <s v="Health Care"/>
    <s v="Health Care"/>
    <x v="9"/>
    <s v="UNITED STATES"/>
    <n v="3.22"/>
    <n v="4.09"/>
    <n v="96348"/>
    <n v="21.874251433160154"/>
  </r>
  <r>
    <s v="HAFC US Equity"/>
    <s v="HANMI FINL CORP"/>
    <s v="Financials"/>
    <s v="Banking"/>
    <x v="26"/>
    <s v="UNITED STATES"/>
    <n v="0.87"/>
    <n v="4"/>
    <n v="5794"/>
    <n v="45.267816898323083"/>
  </r>
  <r>
    <s v="HAFN US Equity"/>
    <s v="HAFNIA LTD"/>
    <s v="Industrials"/>
    <s v="Industrial Services"/>
    <x v="12"/>
    <s v="SINGAPORE"/>
    <n v="2.94"/>
    <n v="4.5599999999999996"/>
    <n v="0"/>
    <n v="74.556203282349642"/>
  </r>
  <r>
    <s v="HAL US Equity"/>
    <s v="HALLIBURTON CO"/>
    <s v="Energy"/>
    <s v="Oil &amp; Gas"/>
    <x v="30"/>
    <s v="UNITED STATES"/>
    <n v="28.57"/>
    <n v="4.07"/>
    <n v="0"/>
    <n v="63.619221357504493"/>
  </r>
  <r>
    <s v="HALO US Equity"/>
    <s v="HALOZYME THERAPE"/>
    <s v="Health Care"/>
    <s v="Health Care"/>
    <x v="25"/>
    <s v="UNITED STATES"/>
    <n v="8.14"/>
    <n v="4"/>
    <n v="0"/>
    <n v="66.715968824740997"/>
  </r>
  <r>
    <s v="HAS US Equity"/>
    <s v="HASBRO INC"/>
    <s v="Consumer Discretionary"/>
    <s v="Consumer Discretionary Products"/>
    <x v="55"/>
    <s v="UNITED STATES"/>
    <n v="12.45"/>
    <n v="4.7300000000000004"/>
    <n v="0"/>
    <n v="80.807990016148466"/>
  </r>
  <r>
    <s v="HASI US Equity"/>
    <s v="HA SUSTAINABLE I"/>
    <s v="Financials"/>
    <s v="Financial Services"/>
    <x v="24"/>
    <s v="UNITED STATES"/>
    <n v="4.3"/>
    <n v="4.75"/>
    <n v="0"/>
    <n v="70.209480276938649"/>
  </r>
  <r>
    <s v="HAYW US Equity"/>
    <s v="HAYWARD HOLDINGS"/>
    <s v="Industrials"/>
    <s v="Industrial Products"/>
    <x v="4"/>
    <s v="UNITED STATES"/>
    <n v="3.58"/>
    <n v="3.2"/>
    <n v="0"/>
    <n v="59.448393329882904"/>
  </r>
  <r>
    <s v="HBAN US Equity"/>
    <s v="HUNTINGTON BANC"/>
    <s v="Financials"/>
    <s v="Banking"/>
    <x v="26"/>
    <s v="UNITED STATES"/>
    <n v="27.2"/>
    <n v="4.33"/>
    <n v="112879"/>
    <n v="48.663805347326239"/>
  </r>
  <r>
    <s v="HBM US Equity"/>
    <s v="HUDBAY MINERALS"/>
    <s v="Materials"/>
    <s v="Materials"/>
    <x v="22"/>
    <s v="CANADA"/>
    <n v="9.91"/>
    <n v="5"/>
    <n v="0"/>
    <n v="60.612716118845839"/>
  </r>
  <r>
    <s v="HBNB US Equity"/>
    <s v="HOTEL101 GLOBA-A"/>
    <s v="Consumer Discretionary"/>
    <s v="Consumer Discretionary Services"/>
    <x v="6"/>
    <s v="SINGAPORE"/>
    <n v="1.97"/>
    <n v="0"/>
    <n v="0"/>
    <n v="41.934995871697055"/>
  </r>
  <r>
    <s v="HBNC US Equity"/>
    <s v="HORIZON BANCORP"/>
    <s v="Financials"/>
    <s v="Banking"/>
    <x v="26"/>
    <s v="UNITED STATES"/>
    <n v="0.9"/>
    <n v="4.33"/>
    <n v="300995"/>
    <n v="55.291798696498859"/>
  </r>
  <r>
    <s v="HCA US Equity"/>
    <s v="HCA HEALTHCARE I"/>
    <s v="Health Care"/>
    <s v="Health Care"/>
    <x v="31"/>
    <s v="UNITED STATES"/>
    <n v="107.45"/>
    <n v="3.86"/>
    <n v="0"/>
    <n v="67.089023774913528"/>
  </r>
  <r>
    <s v="HCC US Equity"/>
    <s v="WARRIOR MET COAL"/>
    <s v="Materials"/>
    <s v="Materials"/>
    <x v="22"/>
    <s v="UNITED STATES"/>
    <n v="5.17"/>
    <n v="4"/>
    <n v="0"/>
    <n v="48.688774935371384"/>
  </r>
  <r>
    <s v="HCI US Equity"/>
    <s v="HCI GROUP INC"/>
    <s v="Financials"/>
    <s v="Insurance"/>
    <x v="23"/>
    <s v="UNITED STATES"/>
    <n v="2.0499999999999998"/>
    <n v="4.4000000000000004"/>
    <n v="0"/>
    <n v="47.818072700147347"/>
  </r>
  <r>
    <s v="HCKT US Equity"/>
    <s v="HACKETT GROUP"/>
    <s v="Industrials"/>
    <s v="Industrial Services"/>
    <x v="15"/>
    <s v="UNITED STATES"/>
    <n v="0.53"/>
    <n v="5"/>
    <n v="0"/>
    <n v="15.658714775062151"/>
  </r>
  <r>
    <s v="HCSG US Equity"/>
    <s v="HEALTHCARE SERVS"/>
    <s v="Industrials"/>
    <s v="Industrial Services"/>
    <x v="15"/>
    <s v="UNITED STATES"/>
    <n v="1.33"/>
    <n v="3.8"/>
    <n v="0"/>
    <n v="76.227236872689019"/>
  </r>
  <r>
    <s v="HD US Equity"/>
    <s v="HOME DEPOT INC"/>
    <s v="Consumer Discretionary"/>
    <s v="Retail &amp; Whsle - Discretionary"/>
    <x v="10"/>
    <s v="UNITED STATES"/>
    <n v="382.05"/>
    <n v="3.98"/>
    <n v="0"/>
    <n v="63.013965669770293"/>
  </r>
  <r>
    <s v="HDB US Equity"/>
    <s v="HDFC BANK-ADR"/>
    <s v="Financials"/>
    <s v="Banking"/>
    <x v="26"/>
    <s v="INDIA"/>
    <n v="164.41"/>
    <n v="4.71"/>
    <n v="0"/>
    <n v="45.633370102011696"/>
  </r>
  <r>
    <s v="HE US Equity"/>
    <s v="HAWAIIAN ELEC"/>
    <s v="Utilities"/>
    <s v="Utilities"/>
    <x v="38"/>
    <s v="UNITED STATES"/>
    <n v="2.54"/>
    <n v="1.67"/>
    <n v="0"/>
    <n v="67.052981805335051"/>
  </r>
  <r>
    <s v="HEI GY Equity"/>
    <s v="HEIDELBERG MATER"/>
    <s v="Materials"/>
    <s v="Materials"/>
    <x v="48"/>
    <s v="GERMANY"/>
    <n v="49.92"/>
    <n v="3.64"/>
    <n v="344107"/>
    <n v="39.130417709708027"/>
  </r>
  <r>
    <s v="HEI US Equity"/>
    <s v="HEICO CORP"/>
    <s v="Industrials"/>
    <s v="Industrial Products"/>
    <x v="32"/>
    <s v="UNITED STATES"/>
    <n v="40.119999999999997"/>
    <n v="4.09"/>
    <n v="224724"/>
    <n v="40.087537238395669"/>
  </r>
  <r>
    <s v="HEI/A US Equity"/>
    <s v="HEICO CORP-A"/>
    <s v="Industrials"/>
    <s v="Industrial Products"/>
    <x v="32"/>
    <s v="UNITED STATES"/>
    <n v="40.119999999999997"/>
    <n v="3"/>
    <n v="1322921"/>
    <n v="36.864495997439619"/>
  </r>
  <r>
    <s v="HELE US Equity"/>
    <s v="HELEN OF TROY"/>
    <s v="Consumer Staples"/>
    <s v="Consumer Staple Products"/>
    <x v="62"/>
    <s v="UNITED STATES"/>
    <n v="0.42"/>
    <n v="2.83"/>
    <n v="0"/>
    <n v="43.02908877437082"/>
  </r>
  <r>
    <s v="HELP US Equity"/>
    <s v="CYBIN INC"/>
    <s v="Health Care"/>
    <s v="Health Care"/>
    <x v="25"/>
    <s v="CANADA"/>
    <n v="0.38"/>
    <n v="5"/>
    <n v="84260"/>
    <n v="42.843764650284612"/>
  </r>
  <r>
    <s v="HEPS US Equity"/>
    <s v="D-MARKET ELE-ADR"/>
    <s v="Consumer Discretionary"/>
    <s v="Retail &amp; Whsle - Discretionary"/>
    <x v="51"/>
    <s v="TURKEY"/>
    <n v="1.1100000000000001"/>
    <n v="3.67"/>
    <n v="0"/>
    <n v="47.037503965725143"/>
  </r>
  <r>
    <s v="HESM US Equity"/>
    <s v="HESS MIDSTREAM-A"/>
    <s v="Energy"/>
    <s v="Oil &amp; Gas"/>
    <x v="20"/>
    <s v="UNITED STATES"/>
    <n v="8.0500000000000007"/>
    <n v="3"/>
    <n v="0"/>
    <n v="68.395632748744248"/>
  </r>
  <r>
    <s v="HEXAB SS Equity"/>
    <s v="HEXAGON AB-B"/>
    <s v="Industrials"/>
    <s v="Industrial Products"/>
    <x v="4"/>
    <s v="SWEDEN"/>
    <n v="30.94"/>
    <n v="3.43"/>
    <n v="0"/>
    <n v="32.534018468168071"/>
  </r>
  <r>
    <s v="HFBL US Equity"/>
    <s v="HOME FEDERAL/LA"/>
    <s v="Financials"/>
    <s v="Banking"/>
    <x v="26"/>
    <s v="UNITED STATES"/>
    <n v="0.06"/>
    <n v="0"/>
    <n v="0"/>
    <n v="59.272801365462037"/>
  </r>
  <r>
    <s v="HFWA US Equity"/>
    <s v="HERITAGE FINL"/>
    <s v="Financials"/>
    <s v="Banking"/>
    <x v="26"/>
    <s v="UNITED STATES"/>
    <n v="0.9"/>
    <n v="3.67"/>
    <n v="507837"/>
    <n v="64.467827584985116"/>
  </r>
  <r>
    <s v="HG US Equity"/>
    <s v="HAMILTON INSUR-B"/>
    <s v="Financials"/>
    <s v="Insurance"/>
    <x v="23"/>
    <s v="BERMUDA"/>
    <n v="2.67"/>
    <n v="4"/>
    <n v="0"/>
    <n v="75.683492709373013"/>
  </r>
  <r>
    <s v="HGTY US Equity"/>
    <s v="HAGERTY INC-A"/>
    <s v="Financials"/>
    <s v="Insurance"/>
    <x v="23"/>
    <s v="UNITED STATES"/>
    <n v="4.42"/>
    <n v="3.38"/>
    <n v="12580"/>
    <n v="33.967724826179136"/>
  </r>
  <r>
    <s v="HGV US Equity"/>
    <s v="HILTON GRAND VAC"/>
    <s v="Consumer Discretionary"/>
    <s v="Consumer Discretionary Services"/>
    <x v="6"/>
    <s v="UNITED STATES"/>
    <n v="3.88"/>
    <n v="3.5"/>
    <n v="0"/>
    <n v="52.486711480373742"/>
  </r>
  <r>
    <s v="HHH US Equity"/>
    <s v="HOWARD HUGHES HO"/>
    <s v="Real Estate"/>
    <s v="Real Estate"/>
    <x v="39"/>
    <s v="UNITED STATES"/>
    <n v="4.82"/>
    <n v="4.33"/>
    <n v="405500"/>
    <n v="54.698994851792378"/>
  </r>
  <r>
    <s v="HIFS US Equity"/>
    <s v="HINGHAM INST SVG"/>
    <s v="Financials"/>
    <s v="Banking"/>
    <x v="26"/>
    <s v="UNITED STATES"/>
    <n v="0.68"/>
    <n v="0"/>
    <n v="58913"/>
    <n v="48.054916797337711"/>
  </r>
  <r>
    <s v="HIG US Equity"/>
    <s v="HARTFORD INSURAN"/>
    <s v="Financials"/>
    <s v="Insurance"/>
    <x v="23"/>
    <s v="UNITED STATES"/>
    <n v="35.840000000000003"/>
    <n v="4.04"/>
    <n v="0"/>
    <n v="65.450073952652815"/>
  </r>
  <r>
    <s v="HII US Equity"/>
    <s v="HUNTINGTON INGAL"/>
    <s v="Industrials"/>
    <s v="Industrial Products"/>
    <x v="32"/>
    <s v="UNITED STATES"/>
    <n v="16.43"/>
    <n v="3.71"/>
    <n v="1465030"/>
    <n v="48.401457544167855"/>
  </r>
  <r>
    <s v="HIMS US Equity"/>
    <s v="HIMS &amp; HERS HEAL"/>
    <s v="Consumer Staples"/>
    <s v="Retail &amp; Wholesale - Staples"/>
    <x v="33"/>
    <s v="UNITED STATES"/>
    <n v="6.74"/>
    <n v="3.11"/>
    <n v="0"/>
    <n v="15.557624250864478"/>
  </r>
  <r>
    <s v="HIMX US Equity"/>
    <s v="HIMAX TECHNO-ADR"/>
    <s v="Technology"/>
    <s v="Tech Hardware &amp; Semiconductors"/>
    <x v="17"/>
    <s v="TAIWAN"/>
    <n v="1.47"/>
    <n v="4.5999999999999996"/>
    <n v="0"/>
    <n v="51.980106782735035"/>
  </r>
  <r>
    <s v="HIPO US Equity"/>
    <s v="HIPPO HOLDINGS I"/>
    <s v="Financials"/>
    <s v="Insurance"/>
    <x v="23"/>
    <s v="UNITED STATES"/>
    <n v="0.78"/>
    <n v="3.75"/>
    <n v="0"/>
    <n v="29.668375721356597"/>
  </r>
  <r>
    <s v="HIVE US Equity"/>
    <s v="HIVE DIGITAL TEC"/>
    <s v="Financials"/>
    <s v="Financial Services"/>
    <x v="24"/>
    <s v="CANADA"/>
    <n v="0.78"/>
    <n v="5"/>
    <n v="0"/>
    <n v="35.458871386343617"/>
  </r>
  <r>
    <s v="HKD US Equity"/>
    <s v="AMTD DIGITAL-ADR"/>
    <s v="Technology"/>
    <s v="Software &amp; Tech Services"/>
    <x v="14"/>
    <s v="HONG KONG"/>
    <n v="0.35"/>
    <n v="0"/>
    <n v="0"/>
    <n v="57.316558200227227"/>
  </r>
  <r>
    <s v="HL US Equity"/>
    <s v="HECLA MINING CO"/>
    <s v="Materials"/>
    <s v="Materials"/>
    <x v="22"/>
    <s v="UNITED STATES"/>
    <n v="21.32"/>
    <n v="3.4"/>
    <n v="0"/>
    <n v="49.964041733695261"/>
  </r>
  <r>
    <s v="HLF US Equity"/>
    <s v="HERBALIFE LTD"/>
    <s v="Consumer Staples"/>
    <s v="Consumer Staple Products"/>
    <x v="42"/>
    <s v="UNITED STATES"/>
    <n v="1.72"/>
    <n v="3.67"/>
    <n v="302848"/>
    <n v="56.30184412811905"/>
  </r>
  <r>
    <s v="HLI US Equity"/>
    <s v="HOULIHAN LOKEY I"/>
    <s v="Financials"/>
    <s v="Financial Services"/>
    <x v="49"/>
    <s v="UNITED STATES"/>
    <n v="13.05"/>
    <n v="3.6"/>
    <n v="0"/>
    <n v="40.215447080476302"/>
  </r>
  <r>
    <s v="HLIO US Equity"/>
    <s v="HELIOS TECHNOLOG"/>
    <s v="Industrials"/>
    <s v="Industrial Products"/>
    <x v="3"/>
    <s v="UNITED STATES"/>
    <n v="2.1800000000000002"/>
    <n v="4.83"/>
    <n v="0"/>
    <n v="76.0822375047657"/>
  </r>
  <r>
    <s v="HLIT US Equity"/>
    <s v="HARMONIC INC"/>
    <s v="Technology"/>
    <s v="Tech Hardware &amp; Semiconductors"/>
    <x v="16"/>
    <s v="UNITED STATES"/>
    <n v="1.1499999999999999"/>
    <n v="3.86"/>
    <n v="507662"/>
    <n v="49.675352557765535"/>
  </r>
  <r>
    <s v="HLLY US Equity"/>
    <s v="HOLLEY INC"/>
    <s v="Consumer Discretionary"/>
    <s v="Consumer Discretionary Products"/>
    <x v="8"/>
    <s v="UNITED STATES"/>
    <n v="0.49"/>
    <n v="4.5"/>
    <n v="0"/>
    <n v="54.650850033353265"/>
  </r>
  <r>
    <s v="HLMN US Equity"/>
    <s v="HILLMAN SOLUTION"/>
    <s v="Industrials"/>
    <s v="Industrial Products"/>
    <x v="52"/>
    <s v="UNITED STATES"/>
    <n v="1.9"/>
    <n v="4.38"/>
    <n v="0"/>
    <n v="60.268122814621769"/>
  </r>
  <r>
    <s v="HLN US Equity"/>
    <s v="HALEON-ADR"/>
    <s v="Consumer Staples"/>
    <s v="Consumer Staple Products"/>
    <x v="62"/>
    <s v="BRITAIN"/>
    <n v="46.58"/>
    <n v="4.43"/>
    <n v="0"/>
    <n v="73.692401692020354"/>
  </r>
  <r>
    <s v="HLNE US Equity"/>
    <s v="HAMILTON LANE-A"/>
    <s v="Financials"/>
    <s v="Financial Services"/>
    <x v="24"/>
    <s v="UNITED STATES"/>
    <n v="8.39"/>
    <n v="4.43"/>
    <n v="1195600"/>
    <n v="34.390312368606317"/>
  </r>
  <r>
    <s v="HLP US Equity"/>
    <s v="HONGLI GROUP INC"/>
    <s v="Materials"/>
    <s v="Materials"/>
    <x v="56"/>
    <s v="CHINA"/>
    <n v="0.06"/>
    <n v="0"/>
    <n v="0"/>
    <n v="57.151314175738655"/>
  </r>
  <r>
    <s v="HLT US Equity"/>
    <s v="HILTON WORLDWIDE"/>
    <s v="Consumer Discretionary"/>
    <s v="Consumer Discretionary Services"/>
    <x v="6"/>
    <s v="UNITED STATES"/>
    <n v="69.290000000000006"/>
    <n v="3.93"/>
    <n v="0"/>
    <n v="78.91947326715578"/>
  </r>
  <r>
    <s v="HLX US Equity"/>
    <s v="HELIX ENERGY SOL"/>
    <s v="Energy"/>
    <s v="Oil &amp; Gas"/>
    <x v="30"/>
    <s v="UNITED STATES"/>
    <n v="1.1100000000000001"/>
    <n v="4.17"/>
    <n v="0"/>
    <n v="72.269344637002447"/>
  </r>
  <r>
    <s v="HMC US Equity"/>
    <s v="HONDA MOTOR-ADR"/>
    <s v="Consumer Discretionary"/>
    <s v="Consumer Discretionary Products"/>
    <x v="8"/>
    <s v="JAPAN"/>
    <n v="53.54"/>
    <n v="3.67"/>
    <n v="0"/>
    <n v="60.315969262786297"/>
  </r>
  <r>
    <s v="HMN US Equity"/>
    <s v="HORACE MANN EDUC"/>
    <s v="Financials"/>
    <s v="Insurance"/>
    <x v="23"/>
    <s v="UNITED STATES"/>
    <n v="1.74"/>
    <n v="4"/>
    <n v="0"/>
    <n v="41.527147463813861"/>
  </r>
  <r>
    <s v="HMY US Equity"/>
    <s v="HARMONY GOLD-ADR"/>
    <s v="Materials"/>
    <s v="Materials"/>
    <x v="22"/>
    <s v="SOUTH AFRICA"/>
    <n v="14.93"/>
    <n v="3.67"/>
    <n v="0"/>
    <n v="50.337360086174613"/>
  </r>
  <r>
    <s v="HNGE US Equity"/>
    <s v="HINGE HEALTH-A"/>
    <s v="Technology"/>
    <s v="Software &amp; Tech Services"/>
    <x v="14"/>
    <s v="UNITED STATES"/>
    <n v="3.35"/>
    <n v="4.82"/>
    <n v="0"/>
    <n v="49.383587091015684"/>
  </r>
  <r>
    <s v="HNI US Equity"/>
    <s v="HNI CORP"/>
    <s v="Consumer Discretionary"/>
    <s v="Consumer Discretionary Products"/>
    <x v="29"/>
    <s v="UNITED STATES"/>
    <n v="3.38"/>
    <n v="5"/>
    <n v="0"/>
    <n v="77.41633813272027"/>
  </r>
  <r>
    <s v="HNRG US Equity"/>
    <s v="HALLADOR ENERGY"/>
    <s v="Materials"/>
    <s v="Materials"/>
    <x v="22"/>
    <s v="UNITED STATES"/>
    <n v="0.93"/>
    <n v="4.5"/>
    <n v="1060000"/>
    <n v="55.854895346314393"/>
  </r>
  <r>
    <s v="HNVR US Equity"/>
    <s v="HANOVER BANCORP"/>
    <s v="Financials"/>
    <s v="Banking"/>
    <x v="26"/>
    <s v="UNITED STATES"/>
    <n v="0.17"/>
    <n v="3.67"/>
    <n v="0"/>
    <n v="40.432498393577106"/>
  </r>
  <r>
    <s v="HO FP Equity"/>
    <s v="THALES SA"/>
    <s v="Industrials"/>
    <s v="Industrial Products"/>
    <x v="32"/>
    <s v="FRANCE"/>
    <n v="62.79"/>
    <n v="3.77"/>
    <n v="152442"/>
    <n v="43.930363995836402"/>
  </r>
  <r>
    <s v="HOG US Equity"/>
    <s v="HARLEY-DAVIDSON"/>
    <s v="Consumer Discretionary"/>
    <s v="Consumer Discretionary Products"/>
    <x v="8"/>
    <s v="UNITED STATES"/>
    <n v="2.4"/>
    <n v="3.59"/>
    <n v="41980"/>
    <n v="49.974020752463119"/>
  </r>
  <r>
    <s v="HOLO US Equity"/>
    <s v="MICROCLOUD HOLOG"/>
    <s v="Technology"/>
    <s v="Tech Hardware &amp; Semiconductors"/>
    <x v="17"/>
    <s v="UNITED STATES"/>
    <n v="0.01"/>
    <n v="0"/>
    <n v="0"/>
    <n v="31.319565797910755"/>
  </r>
  <r>
    <s v="HOLX US Equity"/>
    <s v="HOLOGIC INC"/>
    <s v="Health Care"/>
    <s v="Health Care"/>
    <x v="9"/>
    <s v="UNITED STATES"/>
    <n v="16.739999999999998"/>
    <n v="3"/>
    <n v="0"/>
    <n v="57.418952642993716"/>
  </r>
  <r>
    <s v="HOMB US Equity"/>
    <s v="HOME BANCSHARES"/>
    <s v="Financials"/>
    <s v="Banking"/>
    <x v="26"/>
    <s v="UNITED STATES"/>
    <n v="5.57"/>
    <n v="3.89"/>
    <n v="0"/>
    <n v="59.185015211407887"/>
  </r>
  <r>
    <s v="HON US Equity"/>
    <s v="HONEYWELL INTL"/>
    <s v="Industrials"/>
    <s v="Industrial Products"/>
    <x v="18"/>
    <s v="UNITED STATES"/>
    <n v="140.6"/>
    <n v="4.1399999999999997"/>
    <n v="0"/>
    <n v="78.327901597722175"/>
  </r>
  <r>
    <s v="HOOD US Equity"/>
    <s v="ROBINHOOD MARK-A"/>
    <s v="Financials"/>
    <s v="Financial Services"/>
    <x v="24"/>
    <s v="UNITED STATES"/>
    <n v="96.36"/>
    <n v="4.4800000000000004"/>
    <n v="0"/>
    <n v="29.911904117937837"/>
  </r>
  <r>
    <s v="HOPE US Equity"/>
    <s v="HOPE BANCORP INC"/>
    <s v="Financials"/>
    <s v="Banking"/>
    <x v="26"/>
    <s v="UNITED STATES"/>
    <n v="1.5"/>
    <n v="3.5"/>
    <n v="0"/>
    <n v="56.824277777369815"/>
  </r>
  <r>
    <s v="HOV US Equity"/>
    <s v="HOVNANIAN ENT-A"/>
    <s v="Consumer Discretionary"/>
    <s v="Consumer Discretionary Products"/>
    <x v="50"/>
    <s v="UNITED STATES"/>
    <n v="0.69"/>
    <n v="1"/>
    <n v="0"/>
    <n v="63.681711475385988"/>
  </r>
  <r>
    <s v="HP US Equity"/>
    <s v="HELMERICH &amp; PAYN"/>
    <s v="Energy"/>
    <s v="Oil &amp; Gas"/>
    <x v="30"/>
    <s v="UNITED STATES"/>
    <n v="3.28"/>
    <n v="3.42"/>
    <n v="0"/>
    <n v="56.892254318090892"/>
  </r>
  <r>
    <s v="HPE US Equity"/>
    <s v="HEWLETT PACKA"/>
    <s v="Technology"/>
    <s v="Tech Hardware &amp; Semiconductors"/>
    <x v="16"/>
    <s v="UNITED STATES"/>
    <n v="28.09"/>
    <n v="4.13"/>
    <n v="0"/>
    <n v="60.559778381733551"/>
  </r>
  <r>
    <s v="HPK US Equity"/>
    <s v="HIGHPEAK ENERGY"/>
    <s v="Energy"/>
    <s v="Oil &amp; Gas"/>
    <x v="20"/>
    <s v="UNITED STATES"/>
    <n v="0.49"/>
    <n v="3"/>
    <n v="0"/>
    <n v="61.370345048825499"/>
  </r>
  <r>
    <s v="HPQ US Equity"/>
    <s v="HP INC"/>
    <s v="Technology"/>
    <s v="Tech Hardware &amp; Semiconductors"/>
    <x v="16"/>
    <s v="UNITED STATES"/>
    <n v="17.84"/>
    <n v="2.78"/>
    <n v="0"/>
    <n v="43.892818847589851"/>
  </r>
  <r>
    <s v="HQY US Equity"/>
    <s v="HEALTHEQUITY INC"/>
    <s v="Health Care"/>
    <s v="Health Care"/>
    <x v="31"/>
    <s v="UNITED STATES"/>
    <n v="7.19"/>
    <n v="4.47"/>
    <n v="0"/>
    <n v="30.340507426805317"/>
  </r>
  <r>
    <s v="HR US Equity"/>
    <s v="HEALTHCARE REALT"/>
    <s v="Real Estate"/>
    <s v="Real Estate"/>
    <x v="37"/>
    <s v="UNITED STATES"/>
    <n v="6.01"/>
    <n v="3.55"/>
    <n v="170900"/>
    <n v="60.11772698534066"/>
  </r>
  <r>
    <s v="HRB US Equity"/>
    <s v="H&amp;R BLOCK INC"/>
    <s v="Industrials"/>
    <s v="Industrial Services"/>
    <x v="15"/>
    <s v="UNITED STATES"/>
    <n v="5.0599999999999996"/>
    <n v="3"/>
    <n v="0"/>
    <n v="13.976113793504837"/>
  </r>
  <r>
    <s v="HRI US Equity"/>
    <s v="HERC HOLDINGS IN"/>
    <s v="Industrials"/>
    <s v="Industrial Services"/>
    <x v="43"/>
    <s v="UNITED STATES"/>
    <n v="5.31"/>
    <n v="4.2"/>
    <n v="0"/>
    <n v="66.113953288684613"/>
  </r>
  <r>
    <s v="HRL US Equity"/>
    <s v="HORMEL FOODS CRP"/>
    <s v="Consumer Staples"/>
    <s v="Consumer Staple Products"/>
    <x v="42"/>
    <s v="UNITED STATES"/>
    <n v="13.53"/>
    <n v="3.67"/>
    <n v="0"/>
    <n v="45.911272997854446"/>
  </r>
  <r>
    <s v="HRMY US Equity"/>
    <s v="HARMONY BIOSCIE"/>
    <s v="Health Care"/>
    <s v="Health Care"/>
    <x v="25"/>
    <s v="UNITED STATES"/>
    <n v="2.12"/>
    <n v="4.45"/>
    <n v="0"/>
    <n v="46.901161824970103"/>
  </r>
  <r>
    <s v="HROW US Equity"/>
    <s v="HARROW INC"/>
    <s v="Health Care"/>
    <s v="Health Care"/>
    <x v="25"/>
    <s v="UNITED STATES"/>
    <n v="1.65"/>
    <n v="5"/>
    <n v="0"/>
    <n v="57.809278720488471"/>
  </r>
  <r>
    <s v="HRTG US Equity"/>
    <s v="HERITAGE INSURAN"/>
    <s v="Financials"/>
    <s v="Insurance"/>
    <x v="23"/>
    <s v="UNITED STATES"/>
    <n v="0.79"/>
    <n v="4.33"/>
    <n v="63725"/>
    <n v="41.488804313376107"/>
  </r>
  <r>
    <s v="HSAI US Equity"/>
    <s v="HESAI GROUP"/>
    <s v="Industrials"/>
    <s v="Industrial Products"/>
    <x v="4"/>
    <s v="CHINA"/>
    <n v="4.3899999999999997"/>
    <n v="4.93"/>
    <n v="0"/>
    <n v="53.012328233529843"/>
  </r>
  <r>
    <s v="HSBC US Equity"/>
    <s v="HSBC HOLDING-ADR"/>
    <s v="Financials"/>
    <s v="Banking"/>
    <x v="26"/>
    <s v="BRITAIN"/>
    <n v="288.33999999999997"/>
    <n v="3.5"/>
    <n v="0"/>
    <n v="64.327351121545973"/>
  </r>
  <r>
    <s v="HSHP US Equity"/>
    <s v="HIMALAYA SHIPPIN"/>
    <s v="Industrials"/>
    <s v="Industrial Services"/>
    <x v="12"/>
    <s v="BERMUDA"/>
    <n v="0.44"/>
    <n v="3.67"/>
    <n v="0"/>
    <n v="77.651214809240884"/>
  </r>
  <r>
    <s v="HSIC US Equity"/>
    <s v="HENRY SCHEIN INC"/>
    <s v="Health Care"/>
    <s v="Health Care"/>
    <x v="31"/>
    <s v="UNITED STATES"/>
    <n v="9.09"/>
    <n v="3.5"/>
    <n v="772100"/>
    <n v="64.671002189535344"/>
  </r>
  <r>
    <s v="HST US Equity"/>
    <s v="HOST HOTELS &amp; RE"/>
    <s v="Real Estate"/>
    <s v="Real Estate"/>
    <x v="37"/>
    <s v="UNITED STATES"/>
    <n v="12.86"/>
    <n v="4.09"/>
    <n v="0"/>
    <n v="70.246530798278599"/>
  </r>
  <r>
    <s v="HSTM US Equity"/>
    <s v="HEALTHSTREAM INC"/>
    <s v="Communications"/>
    <s v="Media"/>
    <x v="13"/>
    <s v="UNITED STATES"/>
    <n v="0.63"/>
    <n v="3.8"/>
    <n v="0"/>
    <n v="29.483114305678527"/>
  </r>
  <r>
    <s v="HSY US Equity"/>
    <s v="HERSHEY CO/THE"/>
    <s v="Consumer Staples"/>
    <s v="Consumer Staple Products"/>
    <x v="42"/>
    <s v="UNITED STATES"/>
    <n v="38.770000000000003"/>
    <n v="3.46"/>
    <n v="458880"/>
    <n v="80.30031635070668"/>
  </r>
  <r>
    <s v="HTB US Equity"/>
    <s v="HOMETRUST BANCSH"/>
    <s v="Financials"/>
    <s v="Banking"/>
    <x v="26"/>
    <s v="UNITED STATES"/>
    <n v="0.73"/>
    <n v="4.2"/>
    <n v="0"/>
    <n v="53.190719244952348"/>
  </r>
  <r>
    <s v="HTBK US Equity"/>
    <s v="HERITAGE COMMERC"/>
    <s v="Financials"/>
    <s v="Banking"/>
    <x v="26"/>
    <s v="UNITED STATES"/>
    <n v="0.79"/>
    <n v="3.4"/>
    <n v="257400"/>
    <n v="60.877642778701542"/>
  </r>
  <r>
    <s v="HTFL US Equity"/>
    <s v="HEARTFLOW INC"/>
    <s v="Technology"/>
    <s v="Software &amp; Tech Services"/>
    <x v="14"/>
    <s v="UNITED STATES"/>
    <n v="2.74"/>
    <n v="4.5999999999999996"/>
    <n v="1286400"/>
    <n v="38.998928652297643"/>
  </r>
  <r>
    <s v="HTGC US Equity"/>
    <s v="HERCULES CAPITAL"/>
    <s v="Financials"/>
    <s v="Financial Services"/>
    <x v="24"/>
    <s v="UNITED STATES"/>
    <n v="3.38"/>
    <n v="4.67"/>
    <n v="111720"/>
    <n v="31.959522988328544"/>
  </r>
  <r>
    <s v="HTH US Equity"/>
    <s v="HILLTOP HOLDINGS"/>
    <s v="Financials"/>
    <s v="Banking"/>
    <x v="26"/>
    <s v="UNITED STATES"/>
    <n v="2.19"/>
    <n v="3"/>
    <n v="3569000"/>
    <n v="67.738606281626318"/>
  </r>
  <r>
    <s v="HTHT US Equity"/>
    <s v="H WORLD GROU-ADR"/>
    <s v="Consumer Discretionary"/>
    <s v="Consumer Discretionary Services"/>
    <x v="6"/>
    <s v="CHINA"/>
    <n v="15.43"/>
    <n v="4.84"/>
    <n v="0"/>
    <n v="64.847806520102367"/>
  </r>
  <r>
    <s v="HTLD US Equity"/>
    <s v="HEARTLAND EXPRES"/>
    <s v="Industrials"/>
    <s v="Industrial Services"/>
    <x v="12"/>
    <s v="UNITED STATES"/>
    <n v="0.82"/>
    <n v="2.67"/>
    <n v="317100"/>
    <n v="69.741925972788124"/>
  </r>
  <r>
    <s v="HTO US Equity"/>
    <s v="H2O AMERICA"/>
    <s v="Utilities"/>
    <s v="Utilities"/>
    <x v="57"/>
    <s v="UNITED STATES"/>
    <n v="1.87"/>
    <n v="5"/>
    <n v="0"/>
    <n v="53.934019077006383"/>
  </r>
  <r>
    <s v="HTT US Equity"/>
    <s v="HIGH TEMPLAR TEC"/>
    <s v="Financials"/>
    <s v="Financial Services"/>
    <x v="35"/>
    <s v="CHINA"/>
    <n v="0.51"/>
    <n v="0"/>
    <n v="0"/>
    <n v="28.251143790893863"/>
  </r>
  <r>
    <s v="HTWS LN Equity"/>
    <s v="HELIOS TOWER"/>
    <s v="Industrials"/>
    <s v="Industrial Services"/>
    <x v="27"/>
    <s v="BRITAIN"/>
    <n v="2.38"/>
    <n v="5"/>
    <n v="0"/>
    <n v="78.748993679748565"/>
  </r>
  <r>
    <s v="HTZ US Equity"/>
    <s v="HERTZ GLOBAL HLD"/>
    <s v="Consumer Discretionary"/>
    <s v="Retail &amp; Whsle - Discretionary"/>
    <x v="10"/>
    <s v="UNITED STATES"/>
    <n v="1.7"/>
    <n v="2.33"/>
    <n v="0"/>
    <n v="49.655865949181937"/>
  </r>
  <r>
    <s v="HUBB US Equity"/>
    <s v="HUBBELL INC"/>
    <s v="Industrials"/>
    <s v="Industrial Products"/>
    <x v="4"/>
    <s v="UNITED STATES"/>
    <n v="25.8"/>
    <n v="3.88"/>
    <n v="211206"/>
    <n v="65.825436012483422"/>
  </r>
  <r>
    <s v="HUBG US Equity"/>
    <s v="HUB GROUP-A"/>
    <s v="Industrials"/>
    <s v="Industrial Services"/>
    <x v="12"/>
    <s v="UNITED STATES"/>
    <n v="2.9"/>
    <n v="3.88"/>
    <n v="216565"/>
    <n v="39.630255927209667"/>
  </r>
  <r>
    <s v="HUBS US Equity"/>
    <s v="HUBSPOT INC"/>
    <s v="Technology"/>
    <s v="Software &amp; Tech Services"/>
    <x v="14"/>
    <s v="UNITED STATES"/>
    <n v="16.91"/>
    <n v="4.78"/>
    <n v="0"/>
    <n v="19.00046811238694"/>
  </r>
  <r>
    <s v="HUM US Equity"/>
    <s v="HUMANA INC"/>
    <s v="Health Care"/>
    <s v="Health Care"/>
    <x v="31"/>
    <s v="UNITED STATES"/>
    <n v="32.049999999999997"/>
    <n v="3.55"/>
    <n v="0"/>
    <n v="20.322477871236799"/>
  </r>
  <r>
    <s v="HUN US Equity"/>
    <s v="HUNTSMAN CORP"/>
    <s v="Materials"/>
    <s v="Materials"/>
    <x v="21"/>
    <s v="UNITED STATES"/>
    <n v="2.06"/>
    <n v="3"/>
    <n v="352680"/>
    <n v="68.263266627016634"/>
  </r>
  <r>
    <s v="HURN US Equity"/>
    <s v="HURON CONSULTING"/>
    <s v="Industrials"/>
    <s v="Industrial Services"/>
    <x v="15"/>
    <s v="UNITED STATES"/>
    <n v="2.95"/>
    <n v="5"/>
    <n v="0"/>
    <n v="20.896150002200415"/>
  </r>
  <r>
    <s v="HUT CT Equity"/>
    <s v="HUT 8 CORP"/>
    <s v="Financials"/>
    <s v="Financial Services"/>
    <x v="24"/>
    <s v="UNITED STATES"/>
    <n v="6.36"/>
    <n v="4.9400000000000004"/>
    <n v="0"/>
    <n v="47.448105514105777"/>
  </r>
  <r>
    <s v="HUT US Equity"/>
    <s v="HUT 8 CORP"/>
    <s v="Financials"/>
    <s v="Financial Services"/>
    <x v="24"/>
    <s v="UNITED STATES"/>
    <n v="6.37"/>
    <n v="4.9400000000000004"/>
    <n v="0"/>
    <n v="48.108664797264161"/>
  </r>
  <r>
    <s v="HUYA US Equity"/>
    <s v="HUYA INC-ADR"/>
    <s v="Communications"/>
    <s v="Media"/>
    <x v="47"/>
    <s v="CHINA"/>
    <n v="0.75"/>
    <n v="4.1399999999999997"/>
    <n v="0"/>
    <n v="66.239754150752475"/>
  </r>
  <r>
    <s v="HVT US Equity"/>
    <s v="HAVERTY FURNITUR"/>
    <s v="Consumer Discretionary"/>
    <s v="Retail &amp; Whsle - Discretionary"/>
    <x v="10"/>
    <s v="UNITED STATES"/>
    <n v="0.43"/>
    <n v="0"/>
    <n v="0"/>
    <n v="53.204857077177657"/>
  </r>
  <r>
    <s v="HWBK US Equity"/>
    <s v="HAWTHORN BANCSHA"/>
    <s v="Financials"/>
    <s v="Banking"/>
    <x v="26"/>
    <s v="UNITED STATES"/>
    <n v="0.22"/>
    <n v="0"/>
    <n v="0"/>
    <n v="53.809184450953779"/>
  </r>
  <r>
    <s v="HWC US Equity"/>
    <s v="HANCOCK WHITNEY"/>
    <s v="Financials"/>
    <s v="Banking"/>
    <x v="26"/>
    <s v="UNITED STATES"/>
    <n v="5.62"/>
    <n v="4.5999999999999996"/>
    <n v="0"/>
    <n v="59.386795778397456"/>
  </r>
  <r>
    <s v="HWKN US Equity"/>
    <s v="HAWKINS INC"/>
    <s v="Materials"/>
    <s v="Materials"/>
    <x v="21"/>
    <s v="UNITED STATES"/>
    <n v="3.23"/>
    <n v="4"/>
    <n v="245541"/>
    <n v="57.335618824763934"/>
  </r>
  <r>
    <s v="HWM US Equity"/>
    <s v="HOWMET AEROSPACE"/>
    <s v="Industrials"/>
    <s v="Industrial Products"/>
    <x v="32"/>
    <s v="UNITED STATES"/>
    <n v="86.4"/>
    <n v="4.6500000000000004"/>
    <n v="0"/>
    <n v="66.850910423485374"/>
  </r>
  <r>
    <s v="HXL US Equity"/>
    <s v="HEXCEL CORP"/>
    <s v="Industrials"/>
    <s v="Industrial Products"/>
    <x v="32"/>
    <s v="UNITED STATES"/>
    <n v="6.7"/>
    <n v="3.32"/>
    <n v="0"/>
    <n v="67.928160145893202"/>
  </r>
  <r>
    <s v="HY US Equity"/>
    <s v="HYSTER-YALE INC"/>
    <s v="Industrials"/>
    <s v="Industrial Products"/>
    <x v="3"/>
    <s v="UNITED STATES"/>
    <n v="0.59"/>
    <n v="4"/>
    <n v="0"/>
    <n v="70.857870952055876"/>
  </r>
  <r>
    <s v="HYAC US Equity"/>
    <s v="HAYMAKER ACQUISI"/>
    <s v="Financials"/>
    <s v="Financial Services"/>
    <x v="24"/>
    <s v="UNITED STATES"/>
    <n v="0.33"/>
    <n v="5"/>
    <n v="0"/>
    <n v="63.32129110011347"/>
  </r>
  <r>
    <s v="HYFT US Equity"/>
    <s v="MINDWALK HOLDING"/>
    <s v="Health Care"/>
    <s v="Health Care"/>
    <x v="25"/>
    <s v="UNITED STATES"/>
    <n v="0.1"/>
    <n v="4.5"/>
    <n v="0"/>
    <n v="37.203278999612394"/>
  </r>
  <r>
    <s v="HYLN US Equity"/>
    <s v="HYLIION HOLDINGS"/>
    <s v="Industrials"/>
    <s v="Industrial Products"/>
    <x v="44"/>
    <s v="UNITED STATES"/>
    <n v="0.39"/>
    <n v="4"/>
    <n v="142350"/>
    <n v="49.620129323322047"/>
  </r>
  <r>
    <s v="HYMC US Equity"/>
    <s v="HYCROFT MINING-A"/>
    <s v="Materials"/>
    <s v="Materials"/>
    <x v="22"/>
    <s v="UNITED STATES"/>
    <n v="4.21"/>
    <n v="3"/>
    <n v="0"/>
    <n v="49.801915481280204"/>
  </r>
  <r>
    <s v="HYNE US Equity"/>
    <s v="HOYNE BANCORP IN"/>
    <s v="Financials"/>
    <s v="Banking"/>
    <x v="26"/>
    <s v="UNITED STATES"/>
    <n v="0.12"/>
    <n v="0"/>
    <n v="3353363"/>
    <n v="59.795162061503724"/>
  </r>
  <r>
    <s v="HZO US Equity"/>
    <s v="MARINEMAX INC"/>
    <s v="Consumer Discretionary"/>
    <s v="Retail &amp; Whsle - Discretionary"/>
    <x v="10"/>
    <s v="UNITED STATES"/>
    <n v="0.62"/>
    <n v="4.5999999999999996"/>
    <n v="0"/>
    <n v="53.376603622074491"/>
  </r>
  <r>
    <s v="IAC US Equity"/>
    <s v="IAC INC"/>
    <s v="Communications"/>
    <s v="Media"/>
    <x v="13"/>
    <s v="UNITED STATES"/>
    <n v="3.06"/>
    <n v="4.5"/>
    <n v="0"/>
    <n v="36.850072168877865"/>
  </r>
  <r>
    <s v="IAG LN Equity"/>
    <s v="INTL CONS AIRLIN"/>
    <s v="Industrials"/>
    <s v="Industrial Services"/>
    <x v="12"/>
    <s v="BRITAIN"/>
    <n v="25.99"/>
    <n v="4.6100000000000003"/>
    <n v="0"/>
    <n v="51.392012034743068"/>
  </r>
  <r>
    <s v="IAG US Equity"/>
    <s v="IAMGOLD CORP"/>
    <s v="Materials"/>
    <s v="Materials"/>
    <x v="22"/>
    <s v="CANADA"/>
    <n v="12.44"/>
    <n v="4.6399999999999997"/>
    <n v="206714"/>
    <n v="65.315046889065229"/>
  </r>
  <r>
    <s v="IART US Equity"/>
    <s v="INTEGRA LIFESCIE"/>
    <s v="Health Care"/>
    <s v="Health Care"/>
    <x v="9"/>
    <s v="UNITED STATES"/>
    <n v="0.93"/>
    <n v="2.73"/>
    <n v="107100"/>
    <n v="42.513943399751923"/>
  </r>
  <r>
    <s v="IAUX US Equity"/>
    <s v="I-80 GOLD CORP"/>
    <s v="Materials"/>
    <s v="Materials"/>
    <x v="22"/>
    <s v="CANADA"/>
    <n v="1.45"/>
    <n v="4.8"/>
    <n v="108600"/>
    <n v="67.847035645296103"/>
  </r>
  <r>
    <s v="IBB US Equity"/>
    <s v="Biotechnology ETF"/>
    <s v="Financials"/>
    <s v="Financial Services"/>
    <x v="67"/>
    <s v="UNITED STATES"/>
    <n v="8.66"/>
    <n v="0"/>
    <n v="0"/>
    <n v="49.918780376121511"/>
  </r>
  <r>
    <s v="IBCP US Equity"/>
    <s v="INDEP BANK/MICH"/>
    <s v="Financials"/>
    <s v="Banking"/>
    <x v="26"/>
    <s v="UNITED STATES"/>
    <n v="0.71"/>
    <n v="3"/>
    <n v="86763"/>
    <n v="61.362953255203266"/>
  </r>
  <r>
    <s v="IBEX US Equity"/>
    <s v="IBEX LTD"/>
    <s v="Technology"/>
    <s v="Software &amp; Tech Services"/>
    <x v="14"/>
    <s v="UNITED STATES"/>
    <n v="0.52"/>
    <n v="3"/>
    <n v="0"/>
    <n v="25.751404321097482"/>
  </r>
  <r>
    <s v="IBIO US Equity"/>
    <s v="IBIO INC"/>
    <s v="Health Care"/>
    <s v="Health Care"/>
    <x v="25"/>
    <s v="UNITED STATES"/>
    <n v="0.05"/>
    <n v="5"/>
    <n v="0"/>
    <n v="50.377316873386285"/>
  </r>
  <r>
    <s v="IBKR US Equity"/>
    <s v="INTERACTIVE BROK"/>
    <s v="Financials"/>
    <s v="Financial Services"/>
    <x v="49"/>
    <s v="UNITED STATES"/>
    <n v="131.88"/>
    <n v="4.5999999999999996"/>
    <n v="31032"/>
    <n v="57.172346291311094"/>
  </r>
  <r>
    <s v="IBM US Equity"/>
    <s v="IBM"/>
    <s v="Technology"/>
    <s v="Software &amp; Tech Services"/>
    <x v="34"/>
    <s v="UNITED STATES"/>
    <n v="273.35000000000002"/>
    <n v="3.74"/>
    <n v="0"/>
    <n v="36.857145024079898"/>
  </r>
  <r>
    <s v="IBN US Equity"/>
    <s v="ICICI BANK-ADR"/>
    <s v="Financials"/>
    <s v="Banking"/>
    <x v="26"/>
    <s v="INDIA"/>
    <n v="104.22"/>
    <n v="5"/>
    <n v="0"/>
    <n v="58.143872427223698"/>
  </r>
  <r>
    <s v="IBOC US Equity"/>
    <s v="INTL BANCSHARES"/>
    <s v="Financials"/>
    <s v="Banking"/>
    <x v="26"/>
    <s v="UNITED STATES"/>
    <n v="4.25"/>
    <n v="5"/>
    <n v="0"/>
    <n v="53.559920043613175"/>
  </r>
  <r>
    <s v="IBP US Equity"/>
    <s v="INSTALLED BUILDI"/>
    <s v="Industrials"/>
    <s v="Industrial Services"/>
    <x v="27"/>
    <s v="UNITED STATES"/>
    <n v="8.06"/>
    <n v="2.87"/>
    <n v="0"/>
    <n v="68.408726802773515"/>
  </r>
  <r>
    <s v="IBRX US Equity"/>
    <s v="IMMUNITYBIO INC"/>
    <s v="Health Care"/>
    <s v="Health Care"/>
    <x v="25"/>
    <s v="UNITED STATES"/>
    <n v="6.35"/>
    <n v="5"/>
    <n v="0"/>
    <n v="64.470350929279903"/>
  </r>
  <r>
    <s v="IBTA US Equity"/>
    <s v="IBOTTA INC-CL A"/>
    <s v="Technology"/>
    <s v="Software &amp; Tech Services"/>
    <x v="14"/>
    <s v="UNITED STATES"/>
    <n v="0.63"/>
    <n v="2.78"/>
    <n v="6583578"/>
    <n v="44.819046453702214"/>
  </r>
  <r>
    <s v="IBUY US Equity"/>
    <s v="Online Retail ETF"/>
    <s v="Financials"/>
    <s v="Financial Services"/>
    <x v="68"/>
    <s v="UNITED STATES"/>
    <n v="0.14000000000000001"/>
    <n v="0"/>
    <n v="0"/>
    <n v="25.596473199314943"/>
  </r>
  <r>
    <s v="ICCC US Equity"/>
    <s v="IMMUCELL CORP"/>
    <s v="Health Care"/>
    <s v="Health Care"/>
    <x v="25"/>
    <s v="UNITED STATES"/>
    <n v="0.06"/>
    <n v="0"/>
    <n v="81405"/>
    <n v="55.469405447407922"/>
  </r>
  <r>
    <s v="ICE US Equity"/>
    <s v="INTERCONT EXCH I"/>
    <s v="Financials"/>
    <s v="Financial Services"/>
    <x v="49"/>
    <s v="UNITED STATES"/>
    <n v="98.6"/>
    <n v="4.67"/>
    <n v="0"/>
    <n v="30.798307723401166"/>
  </r>
  <r>
    <s v="ICFI US Equity"/>
    <s v="ICF INTERNATIONA"/>
    <s v="Technology"/>
    <s v="Software &amp; Tech Services"/>
    <x v="34"/>
    <s v="UNITED STATES"/>
    <n v="1.79"/>
    <n v="4.5999999999999996"/>
    <n v="97080"/>
    <n v="28.104568853075946"/>
  </r>
  <r>
    <s v="ICHR US Equity"/>
    <s v="ICHOR HOLDINGS L"/>
    <s v="Industrials"/>
    <s v="Industrial Products"/>
    <x v="3"/>
    <s v="UNITED STATES"/>
    <n v="1.08"/>
    <n v="4.43"/>
    <n v="1602420"/>
    <n v="81.190844074327131"/>
  </r>
  <r>
    <s v="ICL US Equity"/>
    <s v="ICL GROUP LTD"/>
    <s v="Materials"/>
    <s v="Materials"/>
    <x v="21"/>
    <s v="ISRAEL"/>
    <n v="6.97"/>
    <n v="3"/>
    <n v="0"/>
    <n v="63.961595154005359"/>
  </r>
  <r>
    <s v="ICLR US Equity"/>
    <s v="ICON PLC"/>
    <s v="Health Care"/>
    <s v="Health Care"/>
    <x v="31"/>
    <s v="IRELAND"/>
    <n v="14.26"/>
    <n v="3.86"/>
    <n v="0"/>
    <n v="23.733123621315343"/>
  </r>
  <r>
    <s v="ICUI US Equity"/>
    <s v="ICU MEDICAL"/>
    <s v="Health Care"/>
    <s v="Health Care"/>
    <x v="9"/>
    <s v="UNITED STATES"/>
    <n v="3.77"/>
    <n v="4.29"/>
    <n v="3531104"/>
    <n v="45.438579207987033"/>
  </r>
  <r>
    <s v="IDA US Equity"/>
    <s v="IDACORP INC"/>
    <s v="Utilities"/>
    <s v="Utilities"/>
    <x v="38"/>
    <s v="UNITED STATES"/>
    <n v="7.14"/>
    <n v="4.33"/>
    <n v="0"/>
    <n v="69.649537478093862"/>
  </r>
  <r>
    <s v="IDCC US Equity"/>
    <s v="INTERDIGITAL INC"/>
    <s v="Technology"/>
    <s v="Tech Hardware &amp; Semiconductors"/>
    <x v="16"/>
    <s v="UNITED STATES"/>
    <n v="8.51"/>
    <n v="5"/>
    <n v="0"/>
    <n v="60.972343789520245"/>
  </r>
  <r>
    <s v="IDN US Equity"/>
    <s v="INTELLICHECK INC"/>
    <s v="Technology"/>
    <s v="Tech Hardware &amp; Semiconductors"/>
    <x v="17"/>
    <s v="UNITED STATES"/>
    <n v="0.12"/>
    <n v="5"/>
    <n v="6010"/>
    <n v="27.807703677044998"/>
  </r>
  <r>
    <s v="IDR US Equity"/>
    <s v="IDAHO STRATEGIC"/>
    <s v="Materials"/>
    <s v="Materials"/>
    <x v="22"/>
    <s v="UNITED STATES"/>
    <n v="0.73"/>
    <n v="5"/>
    <n v="0"/>
    <n v="48.904632796496948"/>
  </r>
  <r>
    <s v="IDT US Equity"/>
    <s v="IDT CORP-CLASS B"/>
    <s v="Communications"/>
    <s v="Telecommunications"/>
    <x v="36"/>
    <s v="UNITED STATES"/>
    <n v="1.21"/>
    <n v="5"/>
    <n v="0"/>
    <n v="44.542043905214143"/>
  </r>
  <r>
    <s v="IDXX US Equity"/>
    <s v="IDEXX LABS"/>
    <s v="Health Care"/>
    <s v="Health Care"/>
    <x v="9"/>
    <s v="UNITED STATES"/>
    <n v="55.4"/>
    <n v="4.18"/>
    <n v="0"/>
    <n v="37.730765812925775"/>
  </r>
  <r>
    <s v="IDYA US Equity"/>
    <s v="IDEAYA BIOSCIENC"/>
    <s v="Health Care"/>
    <s v="Health Care"/>
    <x v="25"/>
    <s v="UNITED STATES"/>
    <n v="3.05"/>
    <n v="4.74"/>
    <n v="0"/>
    <n v="40.501376324394201"/>
  </r>
  <r>
    <s v="IE US Equity"/>
    <s v="IVANHOE ELECTRIC"/>
    <s v="Materials"/>
    <s v="Materials"/>
    <x v="22"/>
    <s v="UNITED STATES"/>
    <n v="2.87"/>
    <n v="5"/>
    <n v="0"/>
    <n v="48.301324225113582"/>
  </r>
  <r>
    <s v="IESC US Equity"/>
    <s v="IES HOLDINGS INC"/>
    <s v="Industrials"/>
    <s v="Industrial Services"/>
    <x v="27"/>
    <s v="UNITED STATES"/>
    <n v="9.1999999999999993"/>
    <n v="5"/>
    <n v="0"/>
    <n v="64.216211898205074"/>
  </r>
  <r>
    <s v="IEX US Equity"/>
    <s v="IDEX CORP"/>
    <s v="Industrials"/>
    <s v="Industrial Products"/>
    <x v="3"/>
    <s v="UNITED STATES"/>
    <n v="14.62"/>
    <n v="3.93"/>
    <n v="605337"/>
    <n v="70.593392662985138"/>
  </r>
  <r>
    <s v="IFF US Equity"/>
    <s v="INTL FLVR &amp; FRAG"/>
    <s v="Materials"/>
    <s v="Materials"/>
    <x v="21"/>
    <s v="UNITED STATES"/>
    <n v="18.75"/>
    <n v="4.2699999999999996"/>
    <n v="2478836"/>
    <n v="70.31820769010767"/>
  </r>
  <r>
    <s v="IFNNY US Equity"/>
    <s v="INFINEON TEC-ADR"/>
    <s v="Technology"/>
    <s v="Tech Hardware &amp; Semiconductors"/>
    <x v="17"/>
    <s v="GERMANY"/>
    <n v="65.22"/>
    <n v="4.33"/>
    <n v="0"/>
    <n v="63.601262374006318"/>
  </r>
  <r>
    <s v="IFS US Equity"/>
    <s v="INTERCORP FINANC"/>
    <s v="Financials"/>
    <s v="Banking"/>
    <x v="26"/>
    <s v="PERU"/>
    <n v="5.44"/>
    <n v="5"/>
    <n v="0"/>
    <n v="75.329953147933409"/>
  </r>
  <r>
    <s v="IFX GY Equity"/>
    <s v="INFINEON TECH"/>
    <s v="Technology"/>
    <s v="Tech Hardware &amp; Semiconductors"/>
    <x v="17"/>
    <s v="GERMANY"/>
    <n v="65.14"/>
    <n v="4.6100000000000003"/>
    <n v="0"/>
    <n v="63.032144149054886"/>
  </r>
  <r>
    <s v="IGV US Equity"/>
    <s v="ISHARES EXPANDED"/>
    <s v="Financials"/>
    <s v="Financial Services"/>
    <x v="24"/>
    <s v="UNITED STATES"/>
    <n v="6.71"/>
    <n v="0"/>
    <n v="0"/>
    <n v="29.431979776720183"/>
  </r>
  <r>
    <s v="IHG US Equity"/>
    <s v="INTERCONTIN-ADR"/>
    <s v="Consumer Discretionary"/>
    <s v="Consumer Discretionary Services"/>
    <x v="6"/>
    <s v="BRITAIN"/>
    <n v="21"/>
    <n v="2.75"/>
    <n v="0"/>
    <n v="59.737982530415486"/>
  </r>
  <r>
    <s v="IHRT US Equity"/>
    <s v="IHEARTMEDIA-CL A"/>
    <s v="Communications"/>
    <s v="Media"/>
    <x v="59"/>
    <s v="UNITED STATES"/>
    <n v="0.56000000000000005"/>
    <n v="2"/>
    <n v="427230"/>
    <n v="50.812351419708143"/>
  </r>
  <r>
    <s v="IHS US Equity"/>
    <s v="IHS HOLDING LTD"/>
    <s v="Industrials"/>
    <s v="Industrial Services"/>
    <x v="27"/>
    <s v="BRITAIN"/>
    <n v="2.56"/>
    <n v="4.25"/>
    <n v="0"/>
    <n v="58.720908587951463"/>
  </r>
  <r>
    <s v="III LN Equity"/>
    <s v="3I GROUP PLC"/>
    <s v="Financials"/>
    <s v="Financial Services"/>
    <x v="24"/>
    <s v="BRITAIN"/>
    <n v="44.46"/>
    <n v="4.62"/>
    <n v="6833604"/>
    <n v="54.091234125430383"/>
  </r>
  <r>
    <s v="III US Equity"/>
    <s v="INFORMATION SERV"/>
    <s v="Industrials"/>
    <s v="Industrial Services"/>
    <x v="15"/>
    <s v="UNITED STATES"/>
    <n v="0.27"/>
    <n v="5"/>
    <n v="0"/>
    <n v="26.683389262680265"/>
  </r>
  <r>
    <s v="IIIN US Equity"/>
    <s v="INSTEEL INDS"/>
    <s v="Industrials"/>
    <s v="Industrial Products"/>
    <x v="52"/>
    <s v="UNITED STATES"/>
    <n v="0.64"/>
    <n v="3"/>
    <n v="0"/>
    <n v="69.337250476149421"/>
  </r>
  <r>
    <s v="IIIV US Equity"/>
    <s v="I3 VERTICALS-A"/>
    <s v="Technology"/>
    <s v="Software &amp; Tech Services"/>
    <x v="14"/>
    <s v="UNITED STATES"/>
    <n v="0.75"/>
    <n v="4.67"/>
    <n v="0"/>
    <n v="41.803941823265134"/>
  </r>
  <r>
    <s v="IJR US Equity"/>
    <s v="Core S&amp;P Small-Cap ETF"/>
    <s v="Financials"/>
    <s v="Financial Services"/>
    <x v="69"/>
    <s v="UNITED STATES"/>
    <n v="94.24"/>
    <n v="0"/>
    <n v="0"/>
    <n v="65.729431842525941"/>
  </r>
  <r>
    <s v="IKT US Equity"/>
    <s v="INHIBIKASE THERA"/>
    <s v="Health Care"/>
    <s v="Health Care"/>
    <x v="25"/>
    <s v="UNITED STATES"/>
    <n v="0.27"/>
    <n v="5"/>
    <n v="0"/>
    <n v="53.256038030523023"/>
  </r>
  <r>
    <s v="ILMN US Equity"/>
    <s v="ILLUMINA INC"/>
    <s v="Health Care"/>
    <s v="Health Care"/>
    <x v="9"/>
    <s v="UNITED STATES"/>
    <n v="22.96"/>
    <n v="3.58"/>
    <n v="75140"/>
    <n v="27.872911295318843"/>
  </r>
  <r>
    <s v="ILPT US Equity"/>
    <s v="INDUSTRIAL LOGIS"/>
    <s v="Real Estate"/>
    <s v="Real Estate"/>
    <x v="37"/>
    <s v="UNITED STATES"/>
    <n v="0.37"/>
    <n v="4.33"/>
    <n v="27950"/>
    <n v="47.320456414944282"/>
  </r>
  <r>
    <s v="IMAX US Equity"/>
    <s v="IMAX CORP"/>
    <s v="Technology"/>
    <s v="Tech Hardware &amp; Semiconductors"/>
    <x v="16"/>
    <s v="CANADA"/>
    <n v="1.86"/>
    <n v="4.83"/>
    <n v="0"/>
    <n v="54.851766624332129"/>
  </r>
  <r>
    <s v="IMCR US Equity"/>
    <s v="IMMUNOCORE HOLDI"/>
    <s v="Health Care"/>
    <s v="Health Care"/>
    <x v="25"/>
    <s v="BRITAIN"/>
    <n v="1.77"/>
    <n v="4.6500000000000004"/>
    <n v="0"/>
    <n v="47.129659630346389"/>
  </r>
  <r>
    <s v="IMDX US Equity"/>
    <s v="INSIGHT MOLECULA"/>
    <s v="Health Care"/>
    <s v="Health Care"/>
    <x v="25"/>
    <s v="UNITED STATES"/>
    <n v="0.19"/>
    <n v="4"/>
    <n v="0"/>
    <n v="38.870145331936975"/>
  </r>
  <r>
    <s v="IMKTA US Equity"/>
    <s v="INGLES MARKETS-A"/>
    <s v="Consumer Staples"/>
    <s v="Retail &amp; Wholesale - Staples"/>
    <x v="33"/>
    <s v="UNITED STATES"/>
    <n v="1.38"/>
    <n v="0"/>
    <n v="0"/>
    <n v="80.127690545686065"/>
  </r>
  <r>
    <s v="IMMP US Equity"/>
    <s v="IMMUTEP LTD-ADR"/>
    <s v="Health Care"/>
    <s v="Health Care"/>
    <x v="25"/>
    <s v="AUSTRALIA"/>
    <n v="0.47"/>
    <n v="5"/>
    <n v="0"/>
    <n v="48.768682395159516"/>
  </r>
  <r>
    <s v="IMMR US Equity"/>
    <s v="IMMERSION CORP"/>
    <s v="Technology"/>
    <s v="Software &amp; Tech Services"/>
    <x v="14"/>
    <s v="UNITED STATES"/>
    <n v="0.22"/>
    <n v="5"/>
    <n v="0"/>
    <n v="40.028214625469062"/>
  </r>
  <r>
    <s v="IMMX US Equity"/>
    <s v="IMMIX BIOPHARMA"/>
    <s v="Health Care"/>
    <s v="Health Care"/>
    <x v="25"/>
    <s v="UNITED STATES"/>
    <n v="0.28000000000000003"/>
    <n v="5"/>
    <n v="35594"/>
    <n v="65.382700601727834"/>
  </r>
  <r>
    <s v="IMNM US Equity"/>
    <s v="IMMUNOME INC"/>
    <s v="Health Care"/>
    <s v="Health Care"/>
    <x v="25"/>
    <s v="UNITED STATES"/>
    <n v="2.85"/>
    <n v="5"/>
    <n v="1772561"/>
    <n v="48.280818244192055"/>
  </r>
  <r>
    <s v="IMO US Equity"/>
    <s v="IMPERIAL OIL"/>
    <s v="Energy"/>
    <s v="Oil &amp; Gas"/>
    <x v="20"/>
    <s v="CANADA"/>
    <n v="49.28"/>
    <n v="2.16"/>
    <n v="0"/>
    <n v="78.038117772586475"/>
  </r>
  <r>
    <s v="IMOS US Equity"/>
    <s v="CHIPMOS TECH-ADR"/>
    <s v="Technology"/>
    <s v="Tech Hardware &amp; Semiconductors"/>
    <x v="17"/>
    <s v="TAIWAN"/>
    <n v="1.48"/>
    <n v="0"/>
    <n v="0"/>
    <n v="47.393331173419568"/>
  </r>
  <r>
    <s v="IMPUY US Equity"/>
    <s v="IMPALA PLAT-ADR"/>
    <s v="Materials"/>
    <s v="Materials"/>
    <x v="22"/>
    <s v="SOUTH AFRICA"/>
    <n v="19.82"/>
    <n v="5"/>
    <n v="0"/>
    <n v="51.324547938029148"/>
  </r>
  <r>
    <s v="IMRX US Equity"/>
    <s v="IMMUNEERING CO-A"/>
    <s v="Health Care"/>
    <s v="Health Care"/>
    <x v="25"/>
    <s v="UNITED STATES"/>
    <n v="0.35"/>
    <n v="5"/>
    <n v="396313"/>
    <n v="48.001040771029395"/>
  </r>
  <r>
    <s v="IMSR US Equity"/>
    <s v="TERRESTRIAL ENER"/>
    <s v="Industrials"/>
    <s v="Industrial Products"/>
    <x v="4"/>
    <s v="UNITED STATES"/>
    <n v="1.38"/>
    <n v="5"/>
    <n v="0"/>
    <n v="39.472494698861894"/>
  </r>
  <r>
    <s v="IMTX US Equity"/>
    <s v="IMMATICS NV"/>
    <s v="Health Care"/>
    <s v="Health Care"/>
    <x v="25"/>
    <s v="GERMANY"/>
    <n v="1.33"/>
    <n v="5"/>
    <n v="0"/>
    <n v="54.666637035218841"/>
  </r>
  <r>
    <s v="IMVT US Equity"/>
    <s v="IMMUNOVANT INC"/>
    <s v="Health Care"/>
    <s v="Health Care"/>
    <x v="25"/>
    <s v="UNITED STATES"/>
    <n v="5.27"/>
    <n v="4.53"/>
    <n v="0"/>
    <n v="49.613290670027482"/>
  </r>
  <r>
    <s v="IMXI US Equity"/>
    <s v="INTERNATIONAL MO"/>
    <s v="Financials"/>
    <s v="Financial Services"/>
    <x v="35"/>
    <s v="UNITED STATES"/>
    <n v="0.46"/>
    <n v="3"/>
    <n v="0"/>
    <n v="61.015697232900543"/>
  </r>
  <r>
    <s v="INAC US Equity"/>
    <s v="INDIGO ACQUISITI"/>
    <s v="Financials"/>
    <s v="Financial Services"/>
    <x v="24"/>
    <s v="UNITED STATES"/>
    <n v="0.15"/>
    <n v="0"/>
    <n v="0"/>
    <n v="53.817637147346154"/>
  </r>
  <r>
    <s v="INBX US Equity"/>
    <s v="INHIBRX BI"/>
    <s v="Health Care"/>
    <s v="Health Care"/>
    <x v="25"/>
    <s v="UNITED STATES"/>
    <n v="1.0900000000000001"/>
    <n v="3"/>
    <n v="0"/>
    <n v="54.439250378997293"/>
  </r>
  <r>
    <s v="INCR US Equity"/>
    <s v="INTERCURE LTD"/>
    <s v="Consumer Staples"/>
    <s v="Consumer Staple Products"/>
    <x v="28"/>
    <s v="ISRAEL"/>
    <n v="0.05"/>
    <n v="0"/>
    <n v="0"/>
    <n v="40.936142193060832"/>
  </r>
  <r>
    <s v="INCY US Equity"/>
    <s v="INCYTE CORP"/>
    <s v="Health Care"/>
    <s v="Health Care"/>
    <x v="25"/>
    <s v="UNITED STATES"/>
    <n v="20.02"/>
    <n v="3.69"/>
    <n v="0"/>
    <n v="43.064994165785706"/>
  </r>
  <r>
    <s v="INDB US Equity"/>
    <s v="INDEP BANK/MA"/>
    <s v="Financials"/>
    <s v="Banking"/>
    <x v="26"/>
    <s v="UNITED STATES"/>
    <n v="3.88"/>
    <n v="4.2"/>
    <n v="0"/>
    <n v="66.251619929855394"/>
  </r>
  <r>
    <s v="INDI US Equity"/>
    <s v="INDIE SEMICOND-A"/>
    <s v="Consumer Discretionary"/>
    <s v="Consumer Discretionary Products"/>
    <x v="8"/>
    <s v="UNITED STATES"/>
    <n v="0.98"/>
    <n v="4.57"/>
    <n v="0"/>
    <n v="44.869321416221233"/>
  </r>
  <r>
    <s v="INF LN Equity"/>
    <s v="INFORMA PLC"/>
    <s v="Communications"/>
    <s v="Media"/>
    <x v="59"/>
    <s v="BRITAIN"/>
    <n v="16.010000000000002"/>
    <n v="4.42"/>
    <n v="0"/>
    <n v="35.624836844817068"/>
  </r>
  <r>
    <s v="INFY US Equity"/>
    <s v="INFOSYS LTD-ADR"/>
    <s v="Technology"/>
    <s v="Software &amp; Tech Services"/>
    <x v="34"/>
    <s v="INDIA"/>
    <n v="75.78"/>
    <n v="3.63"/>
    <n v="0"/>
    <n v="33.02455045025242"/>
  </r>
  <r>
    <s v="ING US Equity"/>
    <s v="ING GROEP-ADR"/>
    <s v="Financials"/>
    <s v="Banking"/>
    <x v="26"/>
    <s v="NETHERLANDS"/>
    <n v="83.61"/>
    <n v="3.67"/>
    <n v="0"/>
    <n v="56.413187021589195"/>
  </r>
  <r>
    <s v="INGM US Equity"/>
    <s v="INGRAM MICRO HOL"/>
    <s v="Technology"/>
    <s v="Tech Hardware &amp; Semiconductors"/>
    <x v="16"/>
    <s v="UNITED STATES"/>
    <n v="4.9400000000000004"/>
    <n v="3.86"/>
    <n v="0"/>
    <n v="55.063761183051255"/>
  </r>
  <r>
    <s v="INGR US Equity"/>
    <s v="INGREDION INC"/>
    <s v="Consumer Staples"/>
    <s v="Consumer Staple Products"/>
    <x v="42"/>
    <s v="UNITED STATES"/>
    <n v="7.42"/>
    <n v="3.86"/>
    <n v="0"/>
    <n v="64.318675355686096"/>
  </r>
  <r>
    <s v="INMB US Equity"/>
    <s v="INMUNE BIO INC"/>
    <s v="Health Care"/>
    <s v="Health Care"/>
    <x v="25"/>
    <s v="UNITED STATES"/>
    <n v="0.05"/>
    <n v="4.5"/>
    <n v="0"/>
    <n v="47.988033580250942"/>
  </r>
  <r>
    <s v="INMD US Equity"/>
    <s v="INMODE LTD"/>
    <s v="Health Care"/>
    <s v="Health Care"/>
    <x v="9"/>
    <s v="ISRAEL"/>
    <n v="0.88"/>
    <n v="3.29"/>
    <n v="0"/>
    <n v="43.436842606292728"/>
  </r>
  <r>
    <s v="INNV US Equity"/>
    <s v="INNOVAGE HOLDING"/>
    <s v="Health Care"/>
    <s v="Health Care"/>
    <x v="31"/>
    <s v="UNITED STATES"/>
    <n v="0.79"/>
    <n v="2.33"/>
    <n v="0"/>
    <n v="69.078930757730319"/>
  </r>
  <r>
    <s v="INOD US Equity"/>
    <s v="INNODATA INC"/>
    <s v="Industrials"/>
    <s v="Industrial Services"/>
    <x v="15"/>
    <s v="UNITED STATES"/>
    <n v="1.9"/>
    <n v="5"/>
    <n v="0"/>
    <n v="37.189681041941157"/>
  </r>
  <r>
    <s v="INR US Equity"/>
    <s v="INFINITY NATUR-A"/>
    <s v="Energy"/>
    <s v="Oil &amp; Gas"/>
    <x v="20"/>
    <s v="UNITED STATES"/>
    <n v="0.93"/>
    <n v="5"/>
    <n v="1048181"/>
    <n v="65.321535413985345"/>
  </r>
  <r>
    <s v="INSM US Equity"/>
    <s v="INSMED INC"/>
    <s v="Health Care"/>
    <s v="Health Care"/>
    <x v="25"/>
    <s v="UNITED STATES"/>
    <n v="33.32"/>
    <n v="4.9000000000000004"/>
    <n v="0"/>
    <n v="33.311298610824338"/>
  </r>
  <r>
    <s v="INSP US Equity"/>
    <s v="INSPIRE MEDICAL"/>
    <s v="Health Care"/>
    <s v="Health Care"/>
    <x v="9"/>
    <s v="UNITED STATES"/>
    <n v="2.31"/>
    <n v="4.05"/>
    <n v="0"/>
    <n v="29.430238681765161"/>
  </r>
  <r>
    <s v="INSW US Equity"/>
    <s v="INTERNATIONAL SE"/>
    <s v="Industrials"/>
    <s v="Industrial Services"/>
    <x v="12"/>
    <s v="UNITED STATES"/>
    <n v="2.83"/>
    <n v="5"/>
    <n v="0"/>
    <n v="71.088690163334007"/>
  </r>
  <r>
    <s v="INTA US Equity"/>
    <s v="INTAPP INC"/>
    <s v="Technology"/>
    <s v="Software &amp; Tech Services"/>
    <x v="14"/>
    <s v="UNITED STATES"/>
    <n v="3.17"/>
    <n v="3.8"/>
    <n v="0"/>
    <n v="20.28123836901139"/>
  </r>
  <r>
    <s v="INTC US Equity"/>
    <s v="INTEL CORP"/>
    <s v="Technology"/>
    <s v="Tech Hardware &amp; Semiconductors"/>
    <x v="17"/>
    <s v="UNITED STATES"/>
    <n v="225.12"/>
    <n v="3.08"/>
    <n v="0"/>
    <n v="53.910089976544519"/>
  </r>
  <r>
    <s v="INTR US Equity"/>
    <s v="INTER &amp; CO INC"/>
    <s v="Financials"/>
    <s v="Banking"/>
    <x v="26"/>
    <s v="BRAZIL"/>
    <n v="4.09"/>
    <n v="4.4000000000000004"/>
    <n v="0"/>
    <n v="49.14140282338635"/>
  </r>
  <r>
    <s v="INTU US Equity"/>
    <s v="INTUIT INC"/>
    <s v="Technology"/>
    <s v="Software &amp; Tech Services"/>
    <x v="14"/>
    <s v="UNITED STATES"/>
    <n v="156.94"/>
    <n v="4.49"/>
    <n v="0"/>
    <n v="19.010424380700343"/>
  </r>
  <r>
    <s v="INV US Equity"/>
    <s v="INNVENTURE INC"/>
    <s v="Financials"/>
    <s v="Financial Services"/>
    <x v="24"/>
    <s v="UNITED STATES"/>
    <n v="0.28999999999999998"/>
    <n v="5"/>
    <n v="215745"/>
    <n v="42.582256124097093"/>
  </r>
  <r>
    <s v="INVA US Equity"/>
    <s v="INNOVIVA INC"/>
    <s v="Health Care"/>
    <s v="Health Care"/>
    <x v="25"/>
    <s v="UNITED STATES"/>
    <n v="1.46"/>
    <n v="4"/>
    <n v="0"/>
    <n v="78.588603069550004"/>
  </r>
  <r>
    <s v="INVH US Equity"/>
    <s v="INVITATION HOMES"/>
    <s v="Real Estate"/>
    <s v="Real Estate"/>
    <x v="37"/>
    <s v="UNITED STATES"/>
    <n v="16.670000000000002"/>
    <n v="4.04"/>
    <n v="0"/>
    <n v="54.637085358250538"/>
  </r>
  <r>
    <s v="INVX US Equity"/>
    <s v="INNOVEX INTERNAT"/>
    <s v="Energy"/>
    <s v="Oil &amp; Gas"/>
    <x v="30"/>
    <s v="UNITED STATES"/>
    <n v="1.74"/>
    <n v="4.5"/>
    <n v="0"/>
    <n v="57.531196333867427"/>
  </r>
  <r>
    <s v="IONQ US Equity"/>
    <s v="IONQ INC"/>
    <s v="Technology"/>
    <s v="Software &amp; Tech Services"/>
    <x v="14"/>
    <s v="UNITED STATES"/>
    <n v="16.739999999999998"/>
    <n v="4.5"/>
    <n v="94500"/>
    <n v="34.342373527767919"/>
  </r>
  <r>
    <s v="IONR US Equity"/>
    <s v="IONEER LTD - ADR"/>
    <s v="Materials"/>
    <s v="Materials"/>
    <x v="22"/>
    <s v="AUSTRALIA"/>
    <n v="0.43"/>
    <n v="0"/>
    <n v="0"/>
    <n v="40.748455635500036"/>
  </r>
  <r>
    <s v="IONS US Equity"/>
    <s v="IONIS PHARMACEUT"/>
    <s v="Health Care"/>
    <s v="Health Care"/>
    <x v="25"/>
    <s v="UNITED STATES"/>
    <n v="13"/>
    <n v="4.45"/>
    <n v="0"/>
    <n v="56.882456580159598"/>
  </r>
  <r>
    <s v="IOS GY Equity"/>
    <s v="IONOS GROUP SE"/>
    <s v="Technology"/>
    <s v="Software &amp; Tech Services"/>
    <x v="14"/>
    <s v="GERMANY"/>
    <n v="4.6100000000000003"/>
    <n v="4.45"/>
    <n v="0"/>
    <n v="29.620637379138756"/>
  </r>
  <r>
    <s v="IOSP US Equity"/>
    <s v="INNOSPEC INC"/>
    <s v="Materials"/>
    <s v="Materials"/>
    <x v="21"/>
    <s v="UNITED STATES"/>
    <n v="2"/>
    <n v="4.67"/>
    <n v="27482"/>
    <n v="74.283797578927761"/>
  </r>
  <r>
    <s v="IOT US Equity"/>
    <s v="SAMSARA INC-CL A"/>
    <s v="Technology"/>
    <s v="Software &amp; Tech Services"/>
    <x v="14"/>
    <s v="UNITED STATES"/>
    <n v="18.52"/>
    <n v="4.55"/>
    <n v="0"/>
    <n v="39.21618918214309"/>
  </r>
  <r>
    <s v="IOVA US Equity"/>
    <s v="IOVANCE BIOTHERA"/>
    <s v="Health Care"/>
    <s v="Health Care"/>
    <x v="25"/>
    <s v="UNITED STATES"/>
    <n v="1.05"/>
    <n v="4"/>
    <n v="0"/>
    <n v="51.515594625901635"/>
  </r>
  <r>
    <s v="IP US Equity"/>
    <s v="INTL PAPER CO"/>
    <s v="Materials"/>
    <s v="Materials"/>
    <x v="46"/>
    <s v="UNITED STATES"/>
    <n v="22.73"/>
    <n v="4"/>
    <n v="0"/>
    <n v="72.226462318893482"/>
  </r>
  <r>
    <s v="IPAR US Equity"/>
    <s v="INTERPARFUMS INC"/>
    <s v="Consumer Staples"/>
    <s v="Consumer Staple Products"/>
    <x v="62"/>
    <s v="UNITED STATES"/>
    <n v="3.17"/>
    <n v="4.5999999999999996"/>
    <n v="0"/>
    <n v="68.156029729510195"/>
  </r>
  <r>
    <s v="IPCX US Equity"/>
    <s v="INFLECTION POI-A"/>
    <s v="Financials"/>
    <s v="Financial Services"/>
    <x v="24"/>
    <s v="UNITED STATES"/>
    <n v="0.35"/>
    <n v="0"/>
    <n v="0"/>
    <n v="48.362952458879164"/>
  </r>
  <r>
    <s v="IPGP US Equity"/>
    <s v="IPG PHOTONICS"/>
    <s v="Technology"/>
    <s v="Tech Hardware &amp; Semiconductors"/>
    <x v="17"/>
    <s v="UNITED STATES"/>
    <n v="3.64"/>
    <n v="3.73"/>
    <n v="0"/>
    <n v="84.491361629856996"/>
  </r>
  <r>
    <s v="IPI US Equity"/>
    <s v="INTREPID POTASH"/>
    <s v="Materials"/>
    <s v="Materials"/>
    <x v="21"/>
    <s v="UNITED STATES"/>
    <n v="0.47"/>
    <n v="1"/>
    <n v="0"/>
    <n v="60.633172276956266"/>
  </r>
  <r>
    <s v="IPN FP Equity"/>
    <s v="IPSEN"/>
    <s v="Health Care"/>
    <s v="Health Care"/>
    <x v="25"/>
    <s v="FRANCE"/>
    <n v="13.5"/>
    <n v="3.25"/>
    <n v="0"/>
    <n v="63.710516323063707"/>
  </r>
  <r>
    <s v="IPSC US Equity"/>
    <s v="CENTURY THERAPEU"/>
    <s v="Health Care"/>
    <s v="Health Care"/>
    <x v="25"/>
    <s v="UNITED STATES"/>
    <n v="0.5"/>
    <n v="4.5999999999999996"/>
    <n v="351045"/>
    <n v="49.848563263082546"/>
  </r>
  <r>
    <s v="IPX US Equity"/>
    <s v="IPERIONX LTD-ADR"/>
    <s v="Materials"/>
    <s v="Materials"/>
    <x v="22"/>
    <s v="AUSTRALIA"/>
    <n v="2.02"/>
    <n v="5"/>
    <n v="0"/>
    <n v="45.018367365996461"/>
  </r>
  <r>
    <s v="IQ US Equity"/>
    <s v="IQIYI INC-ADR"/>
    <s v="Communications"/>
    <s v="Media"/>
    <x v="47"/>
    <s v="CHINA"/>
    <n v="1.96"/>
    <n v="3.81"/>
    <n v="0"/>
    <n v="42.676939707750037"/>
  </r>
  <r>
    <s v="IQV US Equity"/>
    <s v="IQVIA HOLDINGS I"/>
    <s v="Health Care"/>
    <s v="Health Care"/>
    <x v="31"/>
    <s v="UNITED STATES"/>
    <n v="40.07"/>
    <n v="4.68"/>
    <n v="0"/>
    <n v="24.587971739577824"/>
  </r>
  <r>
    <s v="IR US Equity"/>
    <s v="INGERSOLL-RAND I"/>
    <s v="Industrials"/>
    <s v="Industrial Products"/>
    <x v="3"/>
    <s v="UNITED STATES"/>
    <n v="34.46"/>
    <n v="3.94"/>
    <n v="0"/>
    <n v="65.394615690859993"/>
  </r>
  <r>
    <s v="IRD US Equity"/>
    <s v="OPUS GENETICS IN"/>
    <s v="Health Care"/>
    <s v="Health Care"/>
    <x v="25"/>
    <s v="UNITED STATES"/>
    <n v="0.18"/>
    <n v="5"/>
    <n v="419840"/>
    <n v="68.227789543289362"/>
  </r>
  <r>
    <s v="IRDM US Equity"/>
    <s v="IRIDIUM COMMUNIC"/>
    <s v="Communications"/>
    <s v="Telecommunications"/>
    <x v="36"/>
    <s v="UNITED STATES"/>
    <n v="2.2799999999999998"/>
    <n v="4.09"/>
    <n v="1088500"/>
    <n v="42.292391674587876"/>
  </r>
  <r>
    <s v="IREN US Equity"/>
    <s v="IREN LTD"/>
    <s v="Financials"/>
    <s v="Financial Services"/>
    <x v="24"/>
    <s v="AUSTRALIA"/>
    <n v="18.32"/>
    <n v="4.3600000000000003"/>
    <n v="0"/>
    <n v="42.813668437129031"/>
  </r>
  <r>
    <s v="IRM US Equity"/>
    <s v="IRON MOUNTAIN"/>
    <s v="Real Estate"/>
    <s v="Real Estate"/>
    <x v="37"/>
    <s v="UNITED STATES"/>
    <n v="27.66"/>
    <n v="4.54"/>
    <n v="3088"/>
    <n v="69.825944003331472"/>
  </r>
  <r>
    <s v="IRMD US Equity"/>
    <s v="IRADIMED CORP"/>
    <s v="Health Care"/>
    <s v="Health Care"/>
    <x v="9"/>
    <s v="UNITED STATES"/>
    <n v="1.28"/>
    <n v="5"/>
    <n v="0"/>
    <n v="59.561420545479898"/>
  </r>
  <r>
    <s v="IRON US Equity"/>
    <s v="DISC MEDICINE IN"/>
    <s v="Health Care"/>
    <s v="Health Care"/>
    <x v="25"/>
    <s v="UNITED STATES"/>
    <n v="2.88"/>
    <n v="5"/>
    <n v="0"/>
    <n v="39.679424922474539"/>
  </r>
  <r>
    <s v="IROQ US Equity"/>
    <s v="IF BANCORP INC"/>
    <s v="Financials"/>
    <s v="Banking"/>
    <x v="26"/>
    <s v="UNITED STATES"/>
    <n v="0.09"/>
    <n v="0"/>
    <n v="0"/>
    <n v="59.611688521637241"/>
  </r>
  <r>
    <s v="IRS US Equity"/>
    <s v="IRSA SA-ADR"/>
    <s v="Real Estate"/>
    <s v="Real Estate"/>
    <x v="39"/>
    <s v="ARGENTINA"/>
    <n v="1.28"/>
    <n v="5"/>
    <n v="0"/>
    <n v="40.983644169441384"/>
  </r>
  <r>
    <s v="IRTC US Equity"/>
    <s v="IRHYTHM HOLDINGS"/>
    <s v="Health Care"/>
    <s v="Health Care"/>
    <x v="9"/>
    <s v="UNITED STATES"/>
    <n v="5.17"/>
    <n v="4.88"/>
    <n v="0"/>
    <n v="42.062973272665715"/>
  </r>
  <r>
    <s v="IRWD US Equity"/>
    <s v="IRONWOOD PHARMAC"/>
    <s v="Health Care"/>
    <s v="Health Care"/>
    <x v="25"/>
    <s v="UNITED STATES"/>
    <n v="0.85"/>
    <n v="4"/>
    <n v="0"/>
    <n v="48.127382625701806"/>
  </r>
  <r>
    <s v="ISBA US Equity"/>
    <s v="ISABELLA BANK"/>
    <s v="Financials"/>
    <s v="Banking"/>
    <x v="26"/>
    <s v="UNITED STATES"/>
    <n v="0.37"/>
    <n v="3"/>
    <n v="13030"/>
    <n v="59.778075383154146"/>
  </r>
  <r>
    <s v="ISOU US Equity"/>
    <s v="ISOENERGY LTD"/>
    <s v="Materials"/>
    <s v="Materials"/>
    <x v="22"/>
    <s v="CANADA"/>
    <n v="0.66"/>
    <n v="4.8"/>
    <n v="0"/>
    <n v="47.981562140396619"/>
  </r>
  <r>
    <s v="ISRG US Equity"/>
    <s v="INTUITIVE SURGIC"/>
    <s v="Health Care"/>
    <s v="Health Care"/>
    <x v="9"/>
    <s v="UNITED STATES"/>
    <n v="185.75"/>
    <n v="4.17"/>
    <n v="0"/>
    <n v="35.559359620146139"/>
  </r>
  <r>
    <s v="ISSC US Equity"/>
    <s v="INNOVATIVE SOL"/>
    <s v="Industrials"/>
    <s v="Industrial Products"/>
    <x v="32"/>
    <s v="UNITED STATES"/>
    <n v="0.38"/>
    <n v="5"/>
    <n v="0"/>
    <n v="49.453889769801947"/>
  </r>
  <r>
    <s v="IT US Equity"/>
    <s v="GARTNER INC"/>
    <s v="Technology"/>
    <s v="Software &amp; Tech Services"/>
    <x v="34"/>
    <s v="UNITED STATES"/>
    <n v="16.7"/>
    <n v="3.57"/>
    <n v="10131852"/>
    <n v="24.29486653547356"/>
  </r>
  <r>
    <s v="ITA US Equity"/>
    <s v="U.S. Aerospace &amp; Defense ETF"/>
    <s v="Financials"/>
    <s v="Financial Services"/>
    <x v="70"/>
    <s v="UNITED STATES"/>
    <n v="14.82"/>
    <n v="0"/>
    <n v="0"/>
    <n v="50.71498345196165"/>
  </r>
  <r>
    <s v="ITB US Equity"/>
    <s v="U.S. Home Construction ETF"/>
    <s v="Financials"/>
    <s v="Financial Services"/>
    <x v="71"/>
    <s v="UNITED STATES"/>
    <n v="2.91"/>
    <n v="0"/>
    <n v="0"/>
    <n v="67.85553213478596"/>
  </r>
  <r>
    <s v="ITGR US Equity"/>
    <s v="INTEGER HOLDINGS"/>
    <s v="Health Care"/>
    <s v="Health Care"/>
    <x v="9"/>
    <s v="UNITED STATES"/>
    <n v="3.02"/>
    <n v="3.91"/>
    <n v="503756"/>
    <n v="63.367814754837063"/>
  </r>
  <r>
    <s v="ITRG US Equity"/>
    <s v="INTEGRA RESOURCE"/>
    <s v="Materials"/>
    <s v="Materials"/>
    <x v="22"/>
    <s v="CANADA"/>
    <n v="0.78"/>
    <n v="4.8600000000000003"/>
    <n v="63157"/>
    <n v="43.987955918882705"/>
  </r>
  <r>
    <s v="ITRI US Equity"/>
    <s v="ITRON INC"/>
    <s v="Industrials"/>
    <s v="Industrial Products"/>
    <x v="4"/>
    <s v="UNITED STATES"/>
    <n v="4.47"/>
    <n v="4.67"/>
    <n v="0"/>
    <n v="49.166049263348583"/>
  </r>
  <r>
    <s v="ITRN US Equity"/>
    <s v="ITURAN LOCATION"/>
    <s v="Industrials"/>
    <s v="Industrial Services"/>
    <x v="12"/>
    <s v="ISRAEL"/>
    <n v="0.88"/>
    <n v="5"/>
    <n v="0"/>
    <n v="63.946850146026009"/>
  </r>
  <r>
    <s v="ITT US Equity"/>
    <s v="ITT INC"/>
    <s v="Industrials"/>
    <s v="Industrial Products"/>
    <x v="18"/>
    <s v="UNITED STATES"/>
    <n v="15.76"/>
    <n v="4.17"/>
    <n v="0"/>
    <n v="67.080683904894585"/>
  </r>
  <r>
    <s v="ITUB US Equity"/>
    <s v="ITAU UNIBANC-ADR"/>
    <s v="Financials"/>
    <s v="Banking"/>
    <x v="26"/>
    <s v="BRAZIL"/>
    <n v="89.42"/>
    <n v="4.43"/>
    <n v="0"/>
    <n v="76.809059807265001"/>
  </r>
  <r>
    <s v="ITW US Equity"/>
    <s v="ILLINOIS TOOL WO"/>
    <s v="Industrials"/>
    <s v="Industrial Products"/>
    <x v="18"/>
    <s v="UNITED STATES"/>
    <n v="74.92"/>
    <n v="2.5"/>
    <n v="1732666"/>
    <n v="79.032464566011896"/>
  </r>
  <r>
    <s v="IVA US Equity"/>
    <s v="INVENTIVA SA-ADR"/>
    <s v="Health Care"/>
    <s v="Health Care"/>
    <x v="25"/>
    <s v="FRANCE"/>
    <n v="1.37"/>
    <n v="5"/>
    <n v="0"/>
    <n v="55.371604395341521"/>
  </r>
  <r>
    <s v="IVVD US Equity"/>
    <s v="INVIVYD INC"/>
    <s v="Health Care"/>
    <s v="Health Care"/>
    <x v="25"/>
    <s v="UNITED STATES"/>
    <n v="0.57999999999999996"/>
    <n v="4.5"/>
    <n v="105500"/>
    <n v="34.420739391497477"/>
  </r>
  <r>
    <s v="IVZ US Equity"/>
    <s v="INVESCO LTD"/>
    <s v="Financials"/>
    <s v="Financial Services"/>
    <x v="24"/>
    <s v="UNITED STATES"/>
    <n v="12.64"/>
    <n v="3.71"/>
    <n v="0"/>
    <n v="44.37563096799655"/>
  </r>
  <r>
    <s v="IWC US Equity"/>
    <s v="Micro-Cap ETF"/>
    <s v="Financials"/>
    <s v="Financial Services"/>
    <x v="72"/>
    <s v="UNITED STATES"/>
    <n v="1.29"/>
    <n v="0"/>
    <n v="0"/>
    <n v="50.958421967132651"/>
  </r>
  <r>
    <s v="IWD US Equity"/>
    <s v="Russell 1000 Value ETF"/>
    <s v="Financials"/>
    <s v="Financial Services"/>
    <x v="73"/>
    <s v="UNITED STATES"/>
    <n v="68.69"/>
    <n v="0"/>
    <n v="0"/>
    <n v="69.646554553080492"/>
  </r>
  <r>
    <s v="IWM US Equity"/>
    <s v="Russell 2000 ETF"/>
    <s v="Financials"/>
    <s v="Financial Services"/>
    <x v="74"/>
    <s v="UNITED STATES"/>
    <n v="76.95"/>
    <n v="0"/>
    <n v="0"/>
    <n v="55.999014454086812"/>
  </r>
  <r>
    <s v="IWN US Equity"/>
    <s v="Russell 2000 Value ETF"/>
    <s v="Financials"/>
    <s v="Financial Services"/>
    <x v="75"/>
    <s v="UNITED STATES"/>
    <n v="12.74"/>
    <n v="0"/>
    <n v="0"/>
    <n v="64.394369730305243"/>
  </r>
  <r>
    <s v="IWO US Equity"/>
    <s v="Russell 2000 Growth ETF"/>
    <s v="Financials"/>
    <s v="Financial Services"/>
    <x v="76"/>
    <s v="UNITED STATES"/>
    <n v="13.87"/>
    <n v="0"/>
    <n v="0"/>
    <n v="50.089113567873397"/>
  </r>
  <r>
    <s v="IWS US Equity"/>
    <s v="Russell Mid-Cap Value ETF"/>
    <s v="Financials"/>
    <s v="Financial Services"/>
    <x v="77"/>
    <s v="UNITED STATES"/>
    <n v="14.78"/>
    <n v="0"/>
    <n v="0"/>
    <n v="69.197791096795399"/>
  </r>
  <r>
    <s v="IX US Equity"/>
    <s v="ORIX-ADR"/>
    <s v="Financials"/>
    <s v="Financial Services"/>
    <x v="35"/>
    <s v="JAPAN"/>
    <n v="35.229999999999997"/>
    <n v="3"/>
    <n v="0"/>
    <n v="87.534059885265251"/>
  </r>
  <r>
    <s v="IXJ US Equity"/>
    <s v="Global Healthcare ETF"/>
    <s v="Financials"/>
    <s v="Financial Services"/>
    <x v="78"/>
    <s v="UNITED STATES"/>
    <n v="4.78"/>
    <n v="0"/>
    <n v="0"/>
    <n v="57.006773555812835"/>
  </r>
  <r>
    <s v="IYH US Equity"/>
    <s v="U.S. Healthcare ETF"/>
    <s v="Financials"/>
    <s v="Financial Services"/>
    <x v="79"/>
    <s v="UNITED STATES"/>
    <n v="3.62"/>
    <n v="0"/>
    <n v="0"/>
    <n v="49.018359601938251"/>
  </r>
  <r>
    <s v="IYR US Equity"/>
    <s v="U.S. Real Estate ETF"/>
    <s v="Financials"/>
    <s v="Financial Services"/>
    <x v="80"/>
    <s v="UNITED STATES"/>
    <n v="4.17"/>
    <n v="0"/>
    <n v="0"/>
    <n v="65.052656579521781"/>
  </r>
  <r>
    <s v="IYT US Equity"/>
    <s v="ISHARES US TRANS"/>
    <s v="Financials"/>
    <s v="Financial Services"/>
    <x v="24"/>
    <s v="UNITED STATES"/>
    <n v="0.88"/>
    <n v="0"/>
    <n v="0"/>
    <n v="64.442310193136052"/>
  </r>
  <r>
    <s v="IZEA US Equity"/>
    <s v="IZEA WORLDWIDE I"/>
    <s v="Communications"/>
    <s v="Media"/>
    <x v="53"/>
    <s v="UNITED STATES"/>
    <n v="7.0000000000000007E-2"/>
    <n v="5"/>
    <n v="1970"/>
    <n v="36.8309271867437"/>
  </r>
  <r>
    <s v="IZM US Equity"/>
    <s v="ICZOOM GROUP-A"/>
    <s v="Consumer Discretionary"/>
    <s v="Retail &amp; Whsle - Discretionary"/>
    <x v="51"/>
    <s v="CHINA"/>
    <n v="0.02"/>
    <n v="0"/>
    <n v="0"/>
    <n v="34.240426603220669"/>
  </r>
  <r>
    <s v="J US Equity"/>
    <s v="JACOBS SOLUTIONS"/>
    <s v="Industrials"/>
    <s v="Industrial Services"/>
    <x v="27"/>
    <s v="UNITED STATES"/>
    <n v="16.28"/>
    <n v="4.16"/>
    <n v="346518"/>
    <n v="52.474149846533223"/>
  </r>
  <r>
    <s v="JACK US Equity"/>
    <s v="JACK IN THE BOX"/>
    <s v="Consumer Discretionary"/>
    <s v="Consumer Discretionary Services"/>
    <x v="6"/>
    <s v="UNITED STATES"/>
    <n v="0.4"/>
    <n v="3.36"/>
    <n v="126960"/>
    <n v="47.008369253557802"/>
  </r>
  <r>
    <s v="DSV DC Equity"/>
    <s v="DSV A/S"/>
    <s v="Industrials"/>
    <s v="Industrial Services"/>
    <x v="12"/>
    <s v="DENMARK"/>
    <n v="67.680000000000007"/>
    <n v="4.84"/>
    <n v="0"/>
    <n v="76.287592987801162"/>
  </r>
  <r>
    <s v="JANX US Equity"/>
    <s v="JANUX THERAPEUTI"/>
    <s v="Health Care"/>
    <s v="Health Care"/>
    <x v="25"/>
    <s v="UNITED STATES"/>
    <n v="0.89"/>
    <n v="4.8"/>
    <n v="0"/>
    <n v="40.608654951770596"/>
  </r>
  <r>
    <s v="JAZZ US Equity"/>
    <s v="JAZZ PHARMACEUTI"/>
    <s v="Health Care"/>
    <s v="Health Care"/>
    <x v="25"/>
    <s v="IRELAND"/>
    <n v="10.25"/>
    <n v="4.88"/>
    <n v="0"/>
    <n v="49.843231754170716"/>
  </r>
  <r>
    <s v="JBHT US Equity"/>
    <s v="HUNT (JB) TRANS"/>
    <s v="Industrials"/>
    <s v="Industrial Services"/>
    <x v="12"/>
    <s v="UNITED STATES"/>
    <n v="19.690000000000001"/>
    <n v="3.81"/>
    <n v="237142"/>
    <n v="73.580560872627984"/>
  </r>
  <r>
    <s v="JBI US Equity"/>
    <s v="JANUS INTERNATIO"/>
    <s v="Industrials"/>
    <s v="Industrial Products"/>
    <x v="52"/>
    <s v="UNITED STATES"/>
    <n v="0.98"/>
    <n v="4"/>
    <n v="0"/>
    <n v="61.288818012542912"/>
  </r>
  <r>
    <s v="JBIO US Equity"/>
    <s v="JADE BIOSCIENCES"/>
    <s v="Health Care"/>
    <s v="Health Care"/>
    <x v="25"/>
    <s v="UNITED STATES"/>
    <n v="0.8"/>
    <n v="5"/>
    <n v="0"/>
    <n v="49.604329139909822"/>
  </r>
  <r>
    <s v="JBL US Equity"/>
    <s v="JABIL INC"/>
    <s v="Technology"/>
    <s v="Tech Hardware &amp; Semiconductors"/>
    <x v="16"/>
    <s v="UNITED STATES"/>
    <n v="25.67"/>
    <n v="4.6399999999999997"/>
    <n v="0"/>
    <n v="62.191867844958416"/>
  </r>
  <r>
    <s v="JBLU US Equity"/>
    <s v="JETBLUE AIRWAYS"/>
    <s v="Industrials"/>
    <s v="Industrial Services"/>
    <x v="12"/>
    <s v="UNITED STATES"/>
    <n v="1.92"/>
    <n v="2.1800000000000002"/>
    <n v="264000"/>
    <n v="57.977402092518986"/>
  </r>
  <r>
    <s v="JBS US Equity"/>
    <s v="JBS NV-A"/>
    <s v="Consumer Staples"/>
    <s v="Consumer Staple Products"/>
    <x v="42"/>
    <s v="BRAZIL"/>
    <n v="17.329999999999998"/>
    <n v="4.8899999999999997"/>
    <n v="0"/>
    <n v="70.134351637840922"/>
  </r>
  <r>
    <s v="JBSS US Equity"/>
    <s v="JOHN B SANFILIPP"/>
    <s v="Consumer Staples"/>
    <s v="Consumer Staple Products"/>
    <x v="42"/>
    <s v="UNITED STATES"/>
    <n v="0.86"/>
    <n v="5"/>
    <n v="0"/>
    <n v="63.085563634623966"/>
  </r>
  <r>
    <s v="JBTM US Equity"/>
    <s v="JBT MAREL CORP"/>
    <s v="Industrials"/>
    <s v="Industrial Products"/>
    <x v="3"/>
    <s v="UNITED STATES"/>
    <n v="8.02"/>
    <n v="4.17"/>
    <n v="0"/>
    <n v="60.408956531851729"/>
  </r>
  <r>
    <s v="JCAP US Equity"/>
    <s v="JEFFERSON CAPITA"/>
    <s v="Financials"/>
    <s v="Financial Services"/>
    <x v="35"/>
    <s v="UNITED STATES"/>
    <n v="1.44"/>
    <n v="4.83"/>
    <n v="0"/>
    <n v="51.207361108771508"/>
  </r>
  <r>
    <s v="JCI US Equity"/>
    <s v="JOHNSON CONTROLS"/>
    <s v="Industrials"/>
    <s v="Industrial Products"/>
    <x v="4"/>
    <s v="UNITED STATES"/>
    <n v="69.52"/>
    <n v="4.09"/>
    <n v="0"/>
    <n v="83.783852001716141"/>
  </r>
  <r>
    <s v="JD US Equity"/>
    <s v="JD.COM INC-ADR"/>
    <s v="Consumer Discretionary"/>
    <s v="Retail &amp; Whsle - Discretionary"/>
    <x v="51"/>
    <s v="CHINA"/>
    <n v="43.37"/>
    <n v="4.71"/>
    <n v="0"/>
    <n v="44.289332406970495"/>
  </r>
  <r>
    <s v="JEF US Equity"/>
    <s v="JEFFERIES FINANC"/>
    <s v="Financials"/>
    <s v="Financial Services"/>
    <x v="49"/>
    <s v="UNITED STATES"/>
    <n v="12.85"/>
    <n v="4.1399999999999997"/>
    <n v="0"/>
    <n v="40.741455994153057"/>
  </r>
  <r>
    <s v="JET2 LN Equity"/>
    <s v="JET2 PLC"/>
    <s v="Industrials"/>
    <s v="Industrial Services"/>
    <x v="12"/>
    <s v="BRITAIN"/>
    <n v="3.39"/>
    <n v="4.29"/>
    <n v="0"/>
    <n v="37.314477658057513"/>
  </r>
  <r>
    <s v="JETS US Equity"/>
    <s v="US Global Jets ETF"/>
    <s v="Financials"/>
    <s v="Financial Services"/>
    <x v="81"/>
    <s v="UNITED STATES"/>
    <n v="0.9"/>
    <n v="0"/>
    <n v="0"/>
    <n v="56.003445095356028"/>
  </r>
  <r>
    <s v="JFIN US Equity"/>
    <s v="JIAYIN GRP-ADR"/>
    <s v="Financials"/>
    <s v="Financial Services"/>
    <x v="35"/>
    <s v="CHINA"/>
    <n v="0.38"/>
    <n v="0"/>
    <n v="0"/>
    <n v="42.708766118059714"/>
  </r>
  <r>
    <s v="JFU US Equity"/>
    <s v="9F INC-ADR"/>
    <s v="Financials"/>
    <s v="Financial Services"/>
    <x v="49"/>
    <s v="CHINA"/>
    <n v="7.0000000000000007E-2"/>
    <n v="0"/>
    <n v="0"/>
    <n v="39.231235027667843"/>
  </r>
  <r>
    <s v="JHG US Equity"/>
    <s v="JANUS HENDERSON"/>
    <s v="Financials"/>
    <s v="Financial Services"/>
    <x v="24"/>
    <s v="BRITAIN"/>
    <n v="7.41"/>
    <n v="3.57"/>
    <n v="0"/>
    <n v="64.118462998080105"/>
  </r>
  <r>
    <s v="JHX US Equity"/>
    <s v="JAMES HARDIE IND"/>
    <s v="Materials"/>
    <s v="Materials"/>
    <x v="48"/>
    <s v="IRELAND"/>
    <n v="14.21"/>
    <n v="4.8"/>
    <n v="0"/>
    <n v="71.438874718333096"/>
  </r>
  <r>
    <s v="JJSF US Equity"/>
    <s v="J &amp; J SNACK FOOD"/>
    <s v="Consumer Staples"/>
    <s v="Consumer Staple Products"/>
    <x v="42"/>
    <s v="UNITED STATES"/>
    <n v="1.77"/>
    <n v="4"/>
    <n v="50328"/>
    <n v="34.530262933705075"/>
  </r>
  <r>
    <s v="JKHY US Equity"/>
    <s v="JACK HENRY"/>
    <s v="Financials"/>
    <s v="Financial Services"/>
    <x v="35"/>
    <s v="UNITED STATES"/>
    <n v="13.4"/>
    <n v="3.82"/>
    <n v="0"/>
    <n v="33.431132165013707"/>
  </r>
  <r>
    <s v="JKS US Equity"/>
    <s v="JINKOSOLAR-ADR"/>
    <s v="Energy"/>
    <s v="Renewable Energy"/>
    <x v="45"/>
    <s v="CHINA"/>
    <n v="1.43"/>
    <n v="2.71"/>
    <n v="0"/>
    <n v="52.734887086965877"/>
  </r>
  <r>
    <s v="JL US Equity"/>
    <s v="J-LONG GROUP LTD"/>
    <s v="Consumer Discretionary"/>
    <s v="Consumer Discretionary Products"/>
    <x v="5"/>
    <s v="HONG KONG"/>
    <n v="0.01"/>
    <n v="0"/>
    <n v="0"/>
    <n v="34.67300293934386"/>
  </r>
  <r>
    <s v="JLHL US Equity"/>
    <s v="JULONG HOLDING L"/>
    <s v="Industrials"/>
    <s v="Industrial Products"/>
    <x v="4"/>
    <s v="CHINA"/>
    <n v="0.09"/>
    <n v="0"/>
    <n v="0"/>
    <n v="67.39213387118258"/>
  </r>
  <r>
    <s v="JLL US Equity"/>
    <s v="JONES LANG LASAL"/>
    <s v="Real Estate"/>
    <s v="Real Estate"/>
    <x v="7"/>
    <s v="UNITED STATES"/>
    <n v="16.71"/>
    <n v="4.08"/>
    <n v="0"/>
    <n v="29.325092873414562"/>
  </r>
  <r>
    <s v="JMIA US Equity"/>
    <s v="JUMIA TECHNO-ADR"/>
    <s v="Communications"/>
    <s v="Media"/>
    <x v="53"/>
    <s v="GERMANY"/>
    <n v="1.58"/>
    <n v="4"/>
    <n v="0"/>
    <n v="34.710942809928071"/>
  </r>
  <r>
    <s v="JNJ US Equity"/>
    <s v="JOHNSON&amp;JOHNSON"/>
    <s v="Health Care"/>
    <s v="Health Care"/>
    <x v="25"/>
    <s v="UNITED STATES"/>
    <n v="530.38"/>
    <n v="4"/>
    <n v="275175"/>
    <n v="82.995070984095122"/>
  </r>
  <r>
    <s v="JOBY US Equity"/>
    <s v="JOBY AVIATION IN"/>
    <s v="Industrials"/>
    <s v="Industrial Products"/>
    <x v="32"/>
    <s v="UNITED STATES"/>
    <n v="12.7"/>
    <n v="2.6"/>
    <n v="15323"/>
    <n v="32.417772347021469"/>
  </r>
  <r>
    <s v="JOE US Equity"/>
    <s v="ST JOE CO"/>
    <s v="Real Estate"/>
    <s v="Real Estate"/>
    <x v="39"/>
    <s v="UNITED STATES"/>
    <n v="3.69"/>
    <n v="0"/>
    <n v="0"/>
    <n v="62.732294437385853"/>
  </r>
  <r>
    <s v="JOUT US Equity"/>
    <s v="JOHNSON OUTDOO-A"/>
    <s v="Consumer Discretionary"/>
    <s v="Consumer Discretionary Products"/>
    <x v="55"/>
    <s v="UNITED STATES"/>
    <n v="0.48"/>
    <n v="0"/>
    <n v="0"/>
    <n v="60.400392151653264"/>
  </r>
  <r>
    <s v="JOYY US Equity"/>
    <s v="JOYY INC-ADR"/>
    <s v="Communications"/>
    <s v="Media"/>
    <x v="13"/>
    <s v="SINGAPORE"/>
    <n v="3.54"/>
    <n v="4.71"/>
    <n v="0"/>
    <n v="47.121859417023437"/>
  </r>
  <r>
    <s v="JPM US Equity"/>
    <s v="JPMORGAN CHASE"/>
    <s v="Financials"/>
    <s v="Banking"/>
    <x v="26"/>
    <s v="UNITED STATES"/>
    <n v="802.71"/>
    <n v="3.97"/>
    <n v="0"/>
    <n v="48.196162252680907"/>
  </r>
  <r>
    <s v="JRVR US Equity"/>
    <s v="JAMES RIVER GROU"/>
    <s v="Financials"/>
    <s v="Insurance"/>
    <x v="23"/>
    <s v="UNITED STATES"/>
    <n v="0.31"/>
    <n v="4"/>
    <n v="0"/>
    <n v="48.589176301609733"/>
  </r>
  <r>
    <s v="JWEL US Equity"/>
    <s v="JOWELL GLOBAL LT"/>
    <s v="Consumer Discretionary"/>
    <s v="Retail &amp; Whsle - Discretionary"/>
    <x v="51"/>
    <s v="CHINA"/>
    <n v="0"/>
    <n v="0"/>
    <n v="0"/>
    <n v="56.029231013540411"/>
  </r>
  <r>
    <s v="JXN US Equity"/>
    <s v="JACKSON FI-A"/>
    <s v="Financials"/>
    <s v="Insurance"/>
    <x v="23"/>
    <s v="UNITED STATES"/>
    <n v="7.7"/>
    <n v="3.67"/>
    <n v="0"/>
    <n v="48.985732857883924"/>
  </r>
  <r>
    <s v="K CT Equity"/>
    <s v="KINROSS GOLD"/>
    <s v="Materials"/>
    <s v="Materials"/>
    <x v="22"/>
    <s v="CANADA"/>
    <n v="44.69"/>
    <n v="4.29"/>
    <n v="0"/>
    <n v="55.578205093159916"/>
  </r>
  <r>
    <s v="KAI US Equity"/>
    <s v="KADANT INC"/>
    <s v="Industrials"/>
    <s v="Industrial Products"/>
    <x v="3"/>
    <s v="UNITED STATES"/>
    <n v="3.81"/>
    <n v="4"/>
    <n v="0"/>
    <n v="60.48317007704275"/>
  </r>
  <r>
    <s v="KALU US Equity"/>
    <s v="KAISER ALUMINUM"/>
    <s v="Materials"/>
    <s v="Materials"/>
    <x v="22"/>
    <s v="UNITED STATES"/>
    <n v="2.06"/>
    <n v="3"/>
    <n v="0"/>
    <n v="67.205769240554332"/>
  </r>
  <r>
    <s v="KALV US Equity"/>
    <s v="KALVISTA PHARMAC"/>
    <s v="Health Care"/>
    <s v="Health Care"/>
    <x v="25"/>
    <s v="UNITED STATES"/>
    <n v="0.81"/>
    <n v="4.8899999999999997"/>
    <n v="0"/>
    <n v="51.500577813312603"/>
  </r>
  <r>
    <s v="KAP LI Equity"/>
    <s v="NAC KAZATOG-REGS"/>
    <s v="Materials"/>
    <s v="Materials"/>
    <x v="22"/>
    <s v="KAZAKHSTAN"/>
    <n v="19.45"/>
    <n v="4.75"/>
    <n v="0"/>
    <n v="66.66803144877025"/>
  </r>
  <r>
    <s v="KB US Equity"/>
    <s v="KB FINANCIAL-ADR"/>
    <s v="Financials"/>
    <s v="Banking"/>
    <x v="26"/>
    <s v="SOUTH KOREA"/>
    <n v="36.06"/>
    <n v="5"/>
    <n v="0"/>
    <n v="80.270694300868939"/>
  </r>
  <r>
    <s v="KBDC US Equity"/>
    <s v="KAYNE ANDERSON B"/>
    <s v="Financials"/>
    <s v="Financial Services"/>
    <x v="24"/>
    <s v="UNITED STATES"/>
    <n v="1"/>
    <n v="4.5999999999999996"/>
    <n v="5311"/>
    <n v="44.341955779318688"/>
  </r>
  <r>
    <s v="KBH US Equity"/>
    <s v="KB HOME"/>
    <s v="Consumer Discretionary"/>
    <s v="Consumer Discretionary Products"/>
    <x v="50"/>
    <s v="UNITED STATES"/>
    <n v="3.73"/>
    <n v="2.88"/>
    <n v="0"/>
    <n v="64.251227708669674"/>
  </r>
  <r>
    <s v="KBR US Equity"/>
    <s v="KBR INC"/>
    <s v="Technology"/>
    <s v="Software &amp; Tech Services"/>
    <x v="34"/>
    <s v="UNITED STATES"/>
    <n v="5.63"/>
    <n v="4.2"/>
    <n v="0"/>
    <n v="39.420777229252053"/>
  </r>
  <r>
    <s v="KC US Equity"/>
    <s v="KINGSOFT CLO-ADR"/>
    <s v="Technology"/>
    <s v="Software &amp; Tech Services"/>
    <x v="14"/>
    <s v="CHINA"/>
    <n v="3.73"/>
    <n v="4.62"/>
    <n v="0"/>
    <n v="61.349649394434657"/>
  </r>
  <r>
    <s v="KD US Equity"/>
    <s v="KYNDRYL HOLDINGS"/>
    <s v="Technology"/>
    <s v="Software &amp; Tech Services"/>
    <x v="34"/>
    <s v="UNITED STATES"/>
    <n v="5.54"/>
    <n v="4.4000000000000004"/>
    <n v="0"/>
    <n v="23.055229370939742"/>
  </r>
  <r>
    <s v="KDK US Equity"/>
    <s v="KODIAK AI INC"/>
    <s v="Technology"/>
    <s v="Software &amp; Tech Services"/>
    <x v="14"/>
    <s v="UNITED STATES"/>
    <n v="1.7"/>
    <n v="5"/>
    <n v="0"/>
    <n v="41.813603481923778"/>
  </r>
  <r>
    <s v="KDP US Equity"/>
    <s v="KEURIG DR PEPPER"/>
    <s v="Consumer Staples"/>
    <s v="Consumer Staple Products"/>
    <x v="11"/>
    <s v="UNITED STATES"/>
    <n v="37.71"/>
    <n v="4.22"/>
    <n v="254698"/>
    <n v="70.409986650160889"/>
  </r>
  <r>
    <s v="KE US Equity"/>
    <s v="KIMBALL ELECTRON"/>
    <s v="Industrials"/>
    <s v="Industrial Products"/>
    <x v="4"/>
    <s v="UNITED STATES"/>
    <n v="0.72"/>
    <n v="5"/>
    <n v="0"/>
    <n v="35.484395636722851"/>
  </r>
  <r>
    <s v="KELYA US Equity"/>
    <s v="KELLY SERVICES-A"/>
    <s v="Industrials"/>
    <s v="Industrial Services"/>
    <x v="15"/>
    <s v="UNITED STATES"/>
    <n v="0.37"/>
    <n v="4.33"/>
    <n v="0"/>
    <n v="46.414526662932815"/>
  </r>
  <r>
    <s v="KEN US Equity"/>
    <s v="KENON HOLDINGS L"/>
    <s v="Utilities"/>
    <s v="Utilities"/>
    <x v="38"/>
    <s v="SINGAPORE"/>
    <n v="3.81"/>
    <n v="0"/>
    <n v="0"/>
    <n v="63.869256074128756"/>
  </r>
  <r>
    <s v="KEP US Equity"/>
    <s v="KOREA ELEC P-ADR"/>
    <s v="Utilities"/>
    <s v="Utilities"/>
    <x v="38"/>
    <s v="SOUTH KOREA"/>
    <n v="27.73"/>
    <n v="5"/>
    <n v="0"/>
    <n v="58.952250108618358"/>
  </r>
  <r>
    <s v="KER FP Equity"/>
    <s v="KERING"/>
    <s v="Consumer Discretionary"/>
    <s v="Consumer Discretionary Products"/>
    <x v="5"/>
    <s v="FRANCE"/>
    <n v="40.020000000000003"/>
    <n v="2.74"/>
    <n v="0"/>
    <n v="51.226824797747952"/>
  </r>
  <r>
    <s v="KEX US Equity"/>
    <s v="KIRBY CORP"/>
    <s v="Industrials"/>
    <s v="Industrial Services"/>
    <x v="12"/>
    <s v="UNITED STATES"/>
    <n v="6.98"/>
    <n v="5"/>
    <n v="0"/>
    <n v="52.213230145634171"/>
  </r>
  <r>
    <s v="KEY CT Equity"/>
    <s v="KEYERA CORP"/>
    <s v="Energy"/>
    <s v="Oil &amp; Gas"/>
    <x v="20"/>
    <s v="CANADA"/>
    <n v="9.06"/>
    <n v="4.29"/>
    <n v="50313"/>
    <n v="70.385489912896546"/>
  </r>
  <r>
    <s v="KEY US Equity"/>
    <s v="KEYCORP"/>
    <s v="Financials"/>
    <s v="Banking"/>
    <x v="26"/>
    <s v="UNITED STATES"/>
    <n v="23.26"/>
    <n v="3.96"/>
    <n v="0"/>
    <n v="61.746556719546781"/>
  </r>
  <r>
    <s v="KEYS US Equity"/>
    <s v="KEYSIGHT TEC"/>
    <s v="Industrials"/>
    <s v="Industrial Products"/>
    <x v="4"/>
    <s v="UNITED STATES"/>
    <n v="36.590000000000003"/>
    <n v="4.07"/>
    <n v="0"/>
    <n v="71.729237398089225"/>
  </r>
  <r>
    <s v="KFFB US Equity"/>
    <s v="KENTUCKY FIRST F"/>
    <s v="Financials"/>
    <s v="Banking"/>
    <x v="26"/>
    <s v="UNITED STATES"/>
    <n v="0.04"/>
    <n v="0"/>
    <n v="0"/>
    <n v="52.711073271182293"/>
  </r>
  <r>
    <s v="KFRC US Equity"/>
    <s v="KFORCE INC"/>
    <s v="Industrials"/>
    <s v="Industrial Services"/>
    <x v="15"/>
    <s v="UNITED STATES"/>
    <n v="0.63"/>
    <n v="3.67"/>
    <n v="11689"/>
    <n v="38.020949677966001"/>
  </r>
  <r>
    <s v="KFS US Equity"/>
    <s v="KINGSWAY FINL"/>
    <s v="Financials"/>
    <s v="Insurance"/>
    <x v="23"/>
    <s v="UNITED STATES"/>
    <n v="0.38"/>
    <n v="0"/>
    <n v="42221"/>
    <n v="45.308288431326723"/>
  </r>
  <r>
    <s v="KFY US Equity"/>
    <s v="KORN FERRY"/>
    <s v="Industrials"/>
    <s v="Industrial Services"/>
    <x v="15"/>
    <s v="UNITED STATES"/>
    <n v="3.55"/>
    <n v="4.5999999999999996"/>
    <n v="0"/>
    <n v="36.099062203825355"/>
  </r>
  <r>
    <s v="KGC US Equity"/>
    <s v="KINROSS GOLD"/>
    <s v="Materials"/>
    <s v="Materials"/>
    <x v="22"/>
    <s v="CANADA"/>
    <n v="44.72"/>
    <n v="4.37"/>
    <n v="0"/>
    <n v="56.657864346243109"/>
  </r>
  <r>
    <s v="KGS US Equity"/>
    <s v="KODIAK GAS SERVI"/>
    <s v="Energy"/>
    <s v="Oil &amp; Gas"/>
    <x v="30"/>
    <s v="UNITED STATES"/>
    <n v="3.47"/>
    <n v="5"/>
    <n v="0"/>
    <n v="87.747082936345194"/>
  </r>
  <r>
    <s v="KHC US Equity"/>
    <s v="KRAFT HEINZ CO/T"/>
    <s v="Consumer Staples"/>
    <s v="Consumer Staple Products"/>
    <x v="42"/>
    <s v="UNITED STATES"/>
    <n v="27.46"/>
    <n v="2.92"/>
    <n v="0"/>
    <n v="62.260106844024492"/>
  </r>
  <r>
    <s v="KIDS US Equity"/>
    <s v="ORTHOPEDIATRICS"/>
    <s v="Health Care"/>
    <s v="Health Care"/>
    <x v="9"/>
    <s v="UNITED STATES"/>
    <n v="0.45"/>
    <n v="4.63"/>
    <n v="91926"/>
    <n v="45.604417158790426"/>
  </r>
  <r>
    <s v="KIE US Equity"/>
    <s v="SPDR S&amp;P Insurance ETF"/>
    <s v="Financials"/>
    <s v="Financial Services"/>
    <x v="82"/>
    <s v="UNITED STATES"/>
    <n v="0.56000000000000005"/>
    <n v="0"/>
    <n v="0"/>
    <n v="42.4307035736743"/>
  </r>
  <r>
    <s v="KKR US Equity"/>
    <s v="KKR &amp; CO INC"/>
    <s v="Financials"/>
    <s v="Financial Services"/>
    <x v="24"/>
    <s v="UNITED STATES"/>
    <n v="108.08"/>
    <n v="4.55"/>
    <n v="0"/>
    <n v="33.675046096527652"/>
  </r>
  <r>
    <s v="KLAC US Equity"/>
    <s v="KLA CORP"/>
    <s v="Technology"/>
    <s v="Tech Hardware &amp; Semiconductors"/>
    <x v="17"/>
    <s v="UNITED STATES"/>
    <n v="198.77"/>
    <n v="4.03"/>
    <n v="0"/>
    <n v="54.486112786745878"/>
  </r>
  <r>
    <s v="KLAR US Equity"/>
    <s v="KLARNA GROUP PLC"/>
    <s v="Financials"/>
    <s v="Financial Services"/>
    <x v="35"/>
    <s v="BRITAIN"/>
    <n v="10.45"/>
    <n v="4.5"/>
    <n v="0"/>
    <n v="21.048146755384451"/>
  </r>
  <r>
    <s v="KLC US Equity"/>
    <s v="KINDERCARE LEARN"/>
    <s v="Consumer Discretionary"/>
    <s v="Consumer Discretionary Services"/>
    <x v="41"/>
    <s v="UNITED STATES"/>
    <n v="0.51"/>
    <n v="3.5"/>
    <n v="0"/>
    <n v="58.01118060212287"/>
  </r>
  <r>
    <s v="KLIC US Equity"/>
    <s v="KULICKE &amp; SOFFA"/>
    <s v="Technology"/>
    <s v="Tech Hardware &amp; Semiconductors"/>
    <x v="17"/>
    <s v="SINGAPORE"/>
    <n v="3.01"/>
    <n v="4.2"/>
    <n v="0"/>
    <n v="81.776973817399195"/>
  </r>
  <r>
    <s v="KLRS US Equity"/>
    <s v="KALARIS THERAPEU"/>
    <s v="Health Care"/>
    <s v="Health Care"/>
    <x v="25"/>
    <s v="UNITED STATES"/>
    <n v="0.22"/>
    <n v="4.5"/>
    <n v="0"/>
    <n v="56.137255684742968"/>
  </r>
  <r>
    <s v="KMB US Equity"/>
    <s v="KIMBERLY-CLARK"/>
    <s v="Consumer Staples"/>
    <s v="Consumer Staple Products"/>
    <x v="62"/>
    <s v="UNITED STATES"/>
    <n v="33.93"/>
    <n v="3.53"/>
    <n v="0"/>
    <n v="70.256419083852137"/>
  </r>
  <r>
    <s v="KMDA US Equity"/>
    <s v="KAMADA LTD"/>
    <s v="Health Care"/>
    <s v="Health Care"/>
    <x v="25"/>
    <s v="ISRAEL"/>
    <n v="0.46"/>
    <n v="5"/>
    <n v="0"/>
    <n v="62.314288505339682"/>
  </r>
  <r>
    <s v="KMI US Equity"/>
    <s v="KINDER MORGAN IN"/>
    <s v="Energy"/>
    <s v="Oil &amp; Gas"/>
    <x v="20"/>
    <s v="UNITED STATES"/>
    <n v="65.790000000000006"/>
    <n v="4.17"/>
    <n v="29778350"/>
    <n v="75.860958350649909"/>
  </r>
  <r>
    <s v="KMPR US Equity"/>
    <s v="KEMPER CORP"/>
    <s v="Financials"/>
    <s v="Insurance"/>
    <x v="23"/>
    <s v="UNITED STATES"/>
    <n v="2.27"/>
    <n v="3.17"/>
    <n v="1277100"/>
    <n v="21.937108049783788"/>
  </r>
  <r>
    <s v="KMT US Equity"/>
    <s v="KENNAMETAL INC"/>
    <s v="Industrials"/>
    <s v="Industrial Products"/>
    <x v="3"/>
    <s v="UNITED STATES"/>
    <n v="2.62"/>
    <n v="2.56"/>
    <n v="0"/>
    <n v="79.562916634439048"/>
  </r>
  <r>
    <s v="KMTS US Equity"/>
    <s v="KESTRA MEDICAL T"/>
    <s v="Health Care"/>
    <s v="Health Care"/>
    <x v="9"/>
    <s v="UNITED STATES"/>
    <n v="1.44"/>
    <n v="4.71"/>
    <n v="0"/>
    <n v="66.040628379716935"/>
  </r>
  <r>
    <s v="KMX US Equity"/>
    <s v="CARMAX INC"/>
    <s v="Consumer Discretionary"/>
    <s v="Retail &amp; Whsle - Discretionary"/>
    <x v="10"/>
    <s v="UNITED STATES"/>
    <n v="6.56"/>
    <n v="2.91"/>
    <n v="593253"/>
    <n v="52.771766500390008"/>
  </r>
  <r>
    <s v="KN US Equity"/>
    <s v="KNOWLES CORP"/>
    <s v="Technology"/>
    <s v="Tech Hardware &amp; Semiconductors"/>
    <x v="16"/>
    <s v="UNITED STATES"/>
    <n v="2.04"/>
    <n v="4.25"/>
    <n v="0"/>
    <n v="68.690146190610207"/>
  </r>
  <r>
    <s v="KNF US Equity"/>
    <s v="KNIFE RIVER"/>
    <s v="Materials"/>
    <s v="Materials"/>
    <x v="48"/>
    <s v="UNITED STATES"/>
    <n v="4.16"/>
    <n v="4.45"/>
    <n v="0"/>
    <n v="59.957684187421769"/>
  </r>
  <r>
    <s v="KNOP US Equity"/>
    <s v="KNOT OFFSHORE PA"/>
    <s v="Industrials"/>
    <s v="Industrial Services"/>
    <x v="12"/>
    <s v="BRITAIN"/>
    <n v="0.45"/>
    <n v="3"/>
    <n v="0"/>
    <n v="47.93937319648456"/>
  </r>
  <r>
    <s v="KNSA US Equity"/>
    <s v="KINIKSA PHARMACE"/>
    <s v="Health Care"/>
    <s v="Health Care"/>
    <x v="25"/>
    <s v="UNITED STATES"/>
    <n v="3.2"/>
    <n v="5"/>
    <n v="0"/>
    <n v="59.72981655663731"/>
  </r>
  <r>
    <s v="KNSL US Equity"/>
    <s v="KINSALE CAPITAL"/>
    <s v="Financials"/>
    <s v="Insurance"/>
    <x v="23"/>
    <s v="UNITED STATES"/>
    <n v="9.4600000000000009"/>
    <n v="3.62"/>
    <n v="1087923"/>
    <n v="53.901979583304652"/>
  </r>
  <r>
    <s v="KNTK US Equity"/>
    <s v="KINETIK HOLDINGS"/>
    <s v="Energy"/>
    <s v="Oil &amp; Gas"/>
    <x v="20"/>
    <s v="UNITED STATES"/>
    <n v="6.54"/>
    <n v="4.5999999999999996"/>
    <n v="517140"/>
    <n v="71.062445203753285"/>
  </r>
  <r>
    <s v="KNX US Equity"/>
    <s v="KNIGHT-SWIFT TRA"/>
    <s v="Industrials"/>
    <s v="Industrial Services"/>
    <x v="12"/>
    <s v="UNITED STATES"/>
    <n v="9.25"/>
    <n v="4.1399999999999997"/>
    <n v="0"/>
    <n v="62.563306494840695"/>
  </r>
  <r>
    <s v="KO US Equity"/>
    <s v="COCA-COLA CO/THE"/>
    <s v="Consumer Staples"/>
    <s v="Consumer Staple Products"/>
    <x v="11"/>
    <s v="UNITED STATES"/>
    <n v="313.5"/>
    <n v="4.8"/>
    <n v="1039779"/>
    <n v="70.457004178250855"/>
  </r>
  <r>
    <s v="KOD US Equity"/>
    <s v="KODIAK SCIENCES"/>
    <s v="Health Care"/>
    <s v="Health Care"/>
    <x v="25"/>
    <s v="UNITED STATES"/>
    <n v="1.58"/>
    <n v="4.5"/>
    <n v="0"/>
    <n v="43.856634370780469"/>
  </r>
  <r>
    <s v="KODK US Equity"/>
    <s v="EASTMAN KODAK CO"/>
    <s v="Industrials"/>
    <s v="Industrial Products"/>
    <x v="3"/>
    <s v="UNITED STATES"/>
    <n v="0.7"/>
    <n v="0"/>
    <n v="475150"/>
    <n v="49.807218706031712"/>
  </r>
  <r>
    <s v="KOF US Equity"/>
    <s v="COCA-COLA F-ADR"/>
    <s v="Consumer Staples"/>
    <s v="Consumer Staple Products"/>
    <x v="11"/>
    <s v="MEXICO"/>
    <n v="22.38"/>
    <n v="4.6900000000000004"/>
    <n v="0"/>
    <n v="72.26951065667393"/>
  </r>
  <r>
    <s v="KOP US Equity"/>
    <s v="KOPPERS HOLDINGS"/>
    <s v="Materials"/>
    <s v="Materials"/>
    <x v="21"/>
    <s v="UNITED STATES"/>
    <n v="0.56999999999999995"/>
    <n v="5"/>
    <n v="0"/>
    <n v="81.697077438193404"/>
  </r>
  <r>
    <s v="KOPN US Equity"/>
    <s v="KOPIN CORP"/>
    <s v="Technology"/>
    <s v="Tech Hardware &amp; Semiconductors"/>
    <x v="16"/>
    <s v="UNITED STATES"/>
    <n v="0.52"/>
    <n v="5"/>
    <n v="0"/>
    <n v="40.199476748605306"/>
  </r>
  <r>
    <s v="KORE US Equity"/>
    <s v="KORE GROUP HOLDI"/>
    <s v="Communications"/>
    <s v="Telecommunications"/>
    <x v="36"/>
    <s v="UNITED STATES"/>
    <n v="0.09"/>
    <n v="4"/>
    <n v="0"/>
    <n v="55.532709780849956"/>
  </r>
  <r>
    <s v="KOSS US Equity"/>
    <s v="KOSS CORP"/>
    <s v="Technology"/>
    <s v="Tech Hardware &amp; Semiconductors"/>
    <x v="16"/>
    <s v="UNITED STATES"/>
    <n v="0.04"/>
    <n v="0"/>
    <n v="11050"/>
    <n v="46.764277898148521"/>
  </r>
  <r>
    <s v="KOYN US Equity"/>
    <s v="CSLM DIGITAL ASS"/>
    <s v="Financials"/>
    <s v="Financial Services"/>
    <x v="24"/>
    <s v="UNITED STATES"/>
    <n v="0.32"/>
    <n v="0"/>
    <n v="17301750"/>
    <n v="68.97216516856551"/>
  </r>
  <r>
    <s v="KPTI US Equity"/>
    <s v="KARYOPHARM THERA"/>
    <s v="Health Care"/>
    <s v="Health Care"/>
    <x v="25"/>
    <s v="UNITED STATES"/>
    <n v="0.12"/>
    <n v="4.67"/>
    <n v="0"/>
    <n v="59.131734570173442"/>
  </r>
  <r>
    <s v="KR US Equity"/>
    <s v="KROGER CO"/>
    <s v="Consumer Staples"/>
    <s v="Retail &amp; Wholesale - Staples"/>
    <x v="33"/>
    <s v="UNITED STATES"/>
    <n v="40.659999999999997"/>
    <n v="3.77"/>
    <n v="0"/>
    <n v="65.320443691229485"/>
  </r>
  <r>
    <s v="KRC US Equity"/>
    <s v="KILROY REALTY"/>
    <s v="Real Estate"/>
    <s v="Real Estate"/>
    <x v="37"/>
    <s v="UNITED STATES"/>
    <n v="4.21"/>
    <n v="3.24"/>
    <n v="0"/>
    <n v="21.67291336863093"/>
  </r>
  <r>
    <s v="KRE US Equity"/>
    <s v="SS SPDR S&amp;P REGB"/>
    <s v="Financials"/>
    <s v="Financial Services"/>
    <x v="24"/>
    <s v="UNITED STATES"/>
    <n v="4.29"/>
    <n v="0"/>
    <n v="0"/>
    <n v="61.021807179479751"/>
  </r>
  <r>
    <s v="KRG US Equity"/>
    <s v="KITE REALTY GROU"/>
    <s v="Real Estate"/>
    <s v="Real Estate"/>
    <x v="37"/>
    <s v="UNITED STATES"/>
    <n v="5.01"/>
    <n v="3.77"/>
    <n v="0"/>
    <n v="64.338430313453216"/>
  </r>
  <r>
    <s v="KRKNF US Equity"/>
    <s v="KRAKEN ROBOTICS"/>
    <s v="Industrials"/>
    <s v="Industrial Products"/>
    <x v="4"/>
    <s v="CANADA"/>
    <n v="1.87"/>
    <n v="4"/>
    <n v="0"/>
    <n v="52.927078799240128"/>
  </r>
  <r>
    <s v="KRMD US Equity"/>
    <s v="KORU MEDICAL SYS"/>
    <s v="Health Care"/>
    <s v="Health Care"/>
    <x v="9"/>
    <s v="UNITED STATES"/>
    <n v="0.26"/>
    <n v="4.5999999999999996"/>
    <n v="0"/>
    <n v="29.54209934194752"/>
  </r>
  <r>
    <s v="KRMN US Equity"/>
    <s v="KARMAN HOLDINGS"/>
    <s v="Industrials"/>
    <s v="Industrial Products"/>
    <x v="32"/>
    <s v="UNITED STATES"/>
    <n v="14.32"/>
    <n v="4.4000000000000004"/>
    <n v="0"/>
    <n v="36.778719796886044"/>
  </r>
  <r>
    <s v="KRNT US Equity"/>
    <s v="KORNIT DIGITAL L"/>
    <s v="Industrials"/>
    <s v="Industrial Products"/>
    <x v="3"/>
    <s v="ISRAEL"/>
    <n v="0.62"/>
    <n v="4.29"/>
    <n v="0"/>
    <n v="75.082993189850427"/>
  </r>
  <r>
    <s v="KRNY US Equity"/>
    <s v="KEARNY FINANCIAL"/>
    <s v="Financials"/>
    <s v="Banking"/>
    <x v="26"/>
    <s v="UNITED STATES"/>
    <n v="0.5"/>
    <n v="4"/>
    <n v="100425"/>
    <n v="58.513902641113496"/>
  </r>
  <r>
    <s v="KRO US Equity"/>
    <s v="KRONOS WORLDWIDE"/>
    <s v="Materials"/>
    <s v="Materials"/>
    <x v="21"/>
    <s v="UNITED STATES"/>
    <n v="0.63"/>
    <n v="3"/>
    <n v="194540"/>
    <n v="73.428161424085644"/>
  </r>
  <r>
    <s v="KROS US Equity"/>
    <s v="KEROS THERAPEUTI"/>
    <s v="Health Care"/>
    <s v="Health Care"/>
    <x v="25"/>
    <s v="UNITED STATES"/>
    <n v="0.57999999999999996"/>
    <n v="4.09"/>
    <n v="0"/>
    <n v="36.139246981932423"/>
  </r>
  <r>
    <s v="KRP US Equity"/>
    <s v="KIMBELL ROYALTY"/>
    <s v="Energy"/>
    <s v="Oil &amp; Gas"/>
    <x v="20"/>
    <s v="UNITED STATES"/>
    <n v="1.39"/>
    <n v="3.57"/>
    <n v="0"/>
    <n v="73.496371950476032"/>
  </r>
  <r>
    <s v="KRT US Equity"/>
    <s v="KARAT PACKAGING"/>
    <s v="Materials"/>
    <s v="Materials"/>
    <x v="46"/>
    <s v="UNITED STATES"/>
    <n v="0.5"/>
    <n v="3"/>
    <n v="33589"/>
    <n v="68.456295447786417"/>
  </r>
  <r>
    <s v="KRUS US Equity"/>
    <s v="KURA SUSHI USA-A"/>
    <s v="Consumer Discretionary"/>
    <s v="Consumer Discretionary Services"/>
    <x v="6"/>
    <s v="UNITED STATES"/>
    <n v="0.85"/>
    <n v="4.09"/>
    <n v="0"/>
    <n v="56.457558179316692"/>
  </r>
  <r>
    <s v="KRYS US Equity"/>
    <s v="KRYSTAL BIOTECH"/>
    <s v="Health Care"/>
    <s v="Health Care"/>
    <x v="25"/>
    <s v="UNITED STATES"/>
    <n v="8.16"/>
    <n v="5"/>
    <n v="0"/>
    <n v="52.975130426125652"/>
  </r>
  <r>
    <s v="KSPI US Equity"/>
    <s v="JSC KASPI.KZ"/>
    <s v="Financials"/>
    <s v="Financial Services"/>
    <x v="35"/>
    <s v="KAZAKHSTAN"/>
    <n v="15.02"/>
    <n v="4.3"/>
    <n v="0"/>
    <n v="41.935811256999166"/>
  </r>
  <r>
    <s v="KSS US Equity"/>
    <s v="KOHLS CORP"/>
    <s v="Consumer Discretionary"/>
    <s v="Retail &amp; Whsle - Discretionary"/>
    <x v="10"/>
    <s v="UNITED STATES"/>
    <n v="1.98"/>
    <n v="2.4700000000000002"/>
    <n v="0"/>
    <n v="50.955359055690529"/>
  </r>
  <r>
    <s v="KT US Equity"/>
    <s v="KT CORP-ADR"/>
    <s v="Communications"/>
    <s v="Telecommunications"/>
    <x v="36"/>
    <s v="SOUTH KOREA"/>
    <n v="10.039999999999999"/>
    <n v="5"/>
    <n v="0"/>
    <n v="86.7415485422529"/>
  </r>
  <r>
    <s v="KTB US Equity"/>
    <s v="KONTOOR BRAND"/>
    <s v="Consumer Discretionary"/>
    <s v="Consumer Discretionary Products"/>
    <x v="5"/>
    <s v="UNITED STATES"/>
    <n v="3.21"/>
    <n v="4.25"/>
    <n v="0"/>
    <n v="65.458585101911467"/>
  </r>
  <r>
    <s v="KTOS US Equity"/>
    <s v="KRATOS DEFENSE &amp;"/>
    <s v="Industrials"/>
    <s v="Industrial Products"/>
    <x v="32"/>
    <s v="UNITED STATES"/>
    <n v="18.64"/>
    <n v="4.53"/>
    <n v="0"/>
    <n v="41.703288531768465"/>
  </r>
  <r>
    <s v="KTTA US Equity"/>
    <s v="PASITHEA THERA C"/>
    <s v="Health Care"/>
    <s v="Health Care"/>
    <x v="25"/>
    <s v="UNITED STATES"/>
    <n v="0.02"/>
    <n v="5"/>
    <n v="149999"/>
    <n v="30.2262797848296"/>
  </r>
  <r>
    <s v="KURA US Equity"/>
    <s v="KURA ONCOLOGY IN"/>
    <s v="Health Care"/>
    <s v="Health Care"/>
    <x v="25"/>
    <s v="UNITED STATES"/>
    <n v="0.75"/>
    <n v="4.67"/>
    <n v="863000"/>
    <n v="37.18027241135551"/>
  </r>
  <r>
    <s v="KURE US Equity"/>
    <s v="KRANESHARES MSCI"/>
    <s v="Financials"/>
    <s v="Financial Services"/>
    <x v="24"/>
    <s v="UNITED STATES"/>
    <n v="0.08"/>
    <n v="0"/>
    <n v="0"/>
    <n v="58.740172403471391"/>
  </r>
  <r>
    <s v="KVHI US Equity"/>
    <s v="KVH INDUSTRIES"/>
    <s v="Communications"/>
    <s v="Telecommunications"/>
    <x v="36"/>
    <s v="UNITED STATES"/>
    <n v="0.14000000000000001"/>
    <n v="0"/>
    <n v="0"/>
    <n v="35.000978539557352"/>
  </r>
  <r>
    <s v="KVUE US Equity"/>
    <s v="KENVUE INC"/>
    <s v="Consumer Staples"/>
    <s v="Consumer Staple Products"/>
    <x v="62"/>
    <s v="UNITED STATES"/>
    <n v="34.1"/>
    <n v="3.38"/>
    <n v="0"/>
    <n v="75.416711889182494"/>
  </r>
  <r>
    <s v="KVYO US Equity"/>
    <s v="KLAVIYO INC-A"/>
    <s v="Technology"/>
    <s v="Software &amp; Tech Services"/>
    <x v="14"/>
    <s v="UNITED STATES"/>
    <n v="8.2100000000000009"/>
    <n v="4.92"/>
    <n v="0"/>
    <n v="35.266552823622632"/>
  </r>
  <r>
    <s v="KW US Equity"/>
    <s v="KENNEDY-WILSON H"/>
    <s v="Real Estate"/>
    <s v="Real Estate"/>
    <x v="39"/>
    <s v="UNITED STATES"/>
    <n v="1.35"/>
    <n v="2"/>
    <n v="0"/>
    <n v="47.95089371005465"/>
  </r>
  <r>
    <s v="KWR US Equity"/>
    <s v="QUAKER CHEMICAL"/>
    <s v="Materials"/>
    <s v="Materials"/>
    <x v="21"/>
    <s v="UNITED STATES"/>
    <n v="2.7"/>
    <n v="4.4000000000000004"/>
    <n v="0"/>
    <n v="74.486211226970227"/>
  </r>
  <r>
    <s v="KYIV US Equity"/>
    <s v="KYIVSTAR GROUP L"/>
    <s v="Communications"/>
    <s v="Telecommunications"/>
    <x v="36"/>
    <s v="UAE"/>
    <n v="2.84"/>
    <n v="5"/>
    <n v="0"/>
    <n v="55.323577265876182"/>
  </r>
  <r>
    <s v="KYMR US Equity"/>
    <s v="KYMERA THERAPEUT"/>
    <s v="Health Care"/>
    <s v="Health Care"/>
    <x v="25"/>
    <s v="UNITED STATES"/>
    <n v="5.58"/>
    <n v="4.91"/>
    <n v="0"/>
    <n v="63.61505708813776"/>
  </r>
  <r>
    <s v="KYTX US Equity"/>
    <s v="KYVERNA THERAPEU"/>
    <s v="Health Care"/>
    <s v="Health Care"/>
    <x v="25"/>
    <s v="UNITED STATES"/>
    <n v="0.56000000000000005"/>
    <n v="5"/>
    <n v="0"/>
    <n v="43.229130690855868"/>
  </r>
  <r>
    <s v="KZIA US Equity"/>
    <s v="KAZIA THERAPEUTI"/>
    <s v="Health Care"/>
    <s v="Health Care"/>
    <x v="25"/>
    <s v="AUSTRALIA"/>
    <n v="0"/>
    <n v="5"/>
    <n v="0"/>
    <n v="36.047358590709038"/>
  </r>
  <r>
    <s v="KZR US Equity"/>
    <s v="KEZAR LIFE SCIEN"/>
    <s v="Health Care"/>
    <s v="Health Care"/>
    <x v="25"/>
    <s v="UNITED STATES"/>
    <n v="0.05"/>
    <n v="3"/>
    <n v="0"/>
    <n v="61.075037316977578"/>
  </r>
  <r>
    <s v="L US Equity"/>
    <s v="LOEWS CORP"/>
    <s v="Financials"/>
    <s v="Insurance"/>
    <x v="23"/>
    <s v="UNITED STATES"/>
    <n v="21.05"/>
    <n v="0"/>
    <n v="0"/>
    <n v="68.524207813777281"/>
  </r>
  <r>
    <s v="LAB US Equity"/>
    <s v="STANDARD BIOTOOL"/>
    <s v="Health Care"/>
    <s v="Health Care"/>
    <x v="9"/>
    <s v="UNITED STATES"/>
    <n v="0.6"/>
    <n v="3.67"/>
    <n v="0"/>
    <n v="31.915427421626049"/>
  </r>
  <r>
    <s v="LAC US Equity"/>
    <s v="LITHIUM AMERICAS"/>
    <s v="Materials"/>
    <s v="Materials"/>
    <x v="22"/>
    <s v="CANADA"/>
    <n v="1.97"/>
    <n v="3.71"/>
    <n v="3066161"/>
    <n v="43.200873659967222"/>
  </r>
  <r>
    <s v="LAD US Equity"/>
    <s v="LITHIA MOTORS"/>
    <s v="Consumer Discretionary"/>
    <s v="Retail &amp; Whsle - Discretionary"/>
    <x v="10"/>
    <s v="UNITED STATES"/>
    <n v="7.82"/>
    <n v="4.5"/>
    <n v="0"/>
    <n v="43.201287761100915"/>
  </r>
  <r>
    <s v="LAES US Equity"/>
    <s v="SEALSQ CORP"/>
    <s v="Technology"/>
    <s v="Tech Hardware &amp; Semiconductors"/>
    <x v="17"/>
    <s v="SWITZERLAND"/>
    <n v="0.86"/>
    <n v="5"/>
    <n v="0"/>
    <n v="45.48618180258898"/>
  </r>
  <r>
    <s v="LAR US Equity"/>
    <s v="LITHIUM ARGENTIN"/>
    <s v="Materials"/>
    <s v="Materials"/>
    <x v="22"/>
    <s v="CANADA"/>
    <n v="1.39"/>
    <n v="4.82"/>
    <n v="3432000"/>
    <n v="51.872500928379381"/>
  </r>
  <r>
    <s v="LARK US Equity"/>
    <s v="LANDMARK BANCORP"/>
    <s v="Financials"/>
    <s v="Banking"/>
    <x v="26"/>
    <s v="UNITED STATES"/>
    <n v="0.16"/>
    <n v="0"/>
    <n v="0"/>
    <n v="51.923143287164962"/>
  </r>
  <r>
    <s v="LASR US Equity"/>
    <s v="NLIGHT INC"/>
    <s v="Industrials"/>
    <s v="Industrial Products"/>
    <x v="4"/>
    <s v="UNITED STATES"/>
    <n v="2.23"/>
    <n v="4.75"/>
    <n v="0"/>
    <n v="67.14193831003098"/>
  </r>
  <r>
    <s v="LAUR US Equity"/>
    <s v="LAUREATE EDUCATI"/>
    <s v="Consumer Discretionary"/>
    <s v="Consumer Discretionary Services"/>
    <x v="41"/>
    <s v="UNITED STATES"/>
    <n v="5.1100000000000003"/>
    <n v="4.67"/>
    <n v="0"/>
    <n v="49.362732273613794"/>
  </r>
  <r>
    <s v="LAW US Equity"/>
    <s v="CS DISCO INC"/>
    <s v="Technology"/>
    <s v="Software &amp; Tech Services"/>
    <x v="14"/>
    <s v="UNITED STATES"/>
    <n v="0.41"/>
    <n v="4"/>
    <n v="806698"/>
    <n v="13.037891326149136"/>
  </r>
  <r>
    <s v="LAZ US Equity"/>
    <s v="LAZARD INC"/>
    <s v="Financials"/>
    <s v="Financial Services"/>
    <x v="49"/>
    <s v="UNITED STATES"/>
    <n v="5.79"/>
    <n v="3.27"/>
    <n v="0"/>
    <n v="56.306763124900634"/>
  </r>
  <r>
    <s v="LB US Equity"/>
    <s v="LANDBRIDGE CO LL"/>
    <s v="Energy"/>
    <s v="Oil &amp; Gas"/>
    <x v="20"/>
    <s v="UNITED STATES"/>
    <n v="4.62"/>
    <n v="4.0999999999999996"/>
    <n v="84626"/>
    <n v="62.365111558149351"/>
  </r>
  <r>
    <s v="LBRDA US Equity"/>
    <s v="LIBERTY BR-A"/>
    <s v="Communications"/>
    <s v="Media"/>
    <x v="61"/>
    <s v="UNITED STATES"/>
    <n v="6.4"/>
    <n v="4"/>
    <n v="0"/>
    <n v="69.325777355545185"/>
  </r>
  <r>
    <s v="LBRDK US Equity"/>
    <s v="LIBERTY BR-C"/>
    <s v="Communications"/>
    <s v="Media"/>
    <x v="61"/>
    <s v="UNITED STATES"/>
    <n v="6.4"/>
    <n v="5"/>
    <n v="0"/>
    <n v="69.394302211288348"/>
  </r>
  <r>
    <s v="LBRT US Equity"/>
    <s v="LIBERTY ENERGY I"/>
    <s v="Energy"/>
    <s v="Oil &amp; Gas"/>
    <x v="30"/>
    <s v="UNITED STATES"/>
    <n v="3.38"/>
    <n v="4"/>
    <n v="0"/>
    <n v="60.4266098305052"/>
  </r>
  <r>
    <s v="LBRX US Equity"/>
    <s v="LB PHARMACEUTICA"/>
    <s v="Health Care"/>
    <s v="Health Care"/>
    <x v="25"/>
    <s v="UNITED STATES"/>
    <n v="0.6"/>
    <n v="5"/>
    <n v="47820000"/>
    <n v="60.034033712302133"/>
  </r>
  <r>
    <s v="LBTYA US Equity"/>
    <s v="LIBERTY GLOBAL-A"/>
    <s v="Communications"/>
    <s v="Media"/>
    <x v="61"/>
    <s v="BRITAIN"/>
    <n v="3.71"/>
    <n v="3.27"/>
    <n v="0"/>
    <n v="55.167614298144926"/>
  </r>
  <r>
    <s v="LBTYK US Equity"/>
    <s v="LIBERTY GLOBAL-C"/>
    <s v="Communications"/>
    <s v="Media"/>
    <x v="61"/>
    <s v="BRITAIN"/>
    <n v="3.71"/>
    <n v="5"/>
    <n v="0"/>
    <n v="57.211429843114196"/>
  </r>
  <r>
    <s v="LC US Equity"/>
    <s v="LENDINGCLUB CORP"/>
    <s v="Financials"/>
    <s v="Financial Services"/>
    <x v="35"/>
    <s v="UNITED STATES"/>
    <n v="2.4300000000000002"/>
    <n v="4.7300000000000004"/>
    <n v="0"/>
    <n v="39.463046592588732"/>
  </r>
  <r>
    <s v="LCID US Equity"/>
    <s v="LUCID GROUP INC"/>
    <s v="Consumer Discretionary"/>
    <s v="Consumer Discretionary Products"/>
    <x v="8"/>
    <s v="UNITED STATES"/>
    <n v="3.59"/>
    <n v="2.67"/>
    <n v="0"/>
    <n v="42.737633762232583"/>
  </r>
  <r>
    <s v="LCII US Equity"/>
    <s v="LCI INDUSTRIES"/>
    <s v="Consumer Discretionary"/>
    <s v="Consumer Discretionary Products"/>
    <x v="55"/>
    <s v="UNITED STATES"/>
    <n v="3.56"/>
    <n v="3.5"/>
    <n v="0"/>
    <n v="76.879741730388446"/>
  </r>
  <r>
    <s v="LCTX US Equity"/>
    <s v="LINEAGE CELL THE"/>
    <s v="Health Care"/>
    <s v="Health Care"/>
    <x v="25"/>
    <s v="UNITED STATES"/>
    <n v="0.37"/>
    <n v="4.71"/>
    <n v="0"/>
    <n v="57.621953057100377"/>
  </r>
  <r>
    <s v="LDI US Equity"/>
    <s v="LOANDEPOT INC -A"/>
    <s v="Financials"/>
    <s v="Financial Services"/>
    <x v="35"/>
    <s v="UNITED STATES"/>
    <n v="0.88"/>
    <n v="2.33"/>
    <n v="0"/>
    <n v="37.552049518454282"/>
  </r>
  <r>
    <s v="LDOS US Equity"/>
    <s v="LEIDOS HOLDINGS"/>
    <s v="Technology"/>
    <s v="Software &amp; Tech Services"/>
    <x v="34"/>
    <s v="UNITED STATES"/>
    <n v="24.45"/>
    <n v="4.0599999999999996"/>
    <n v="0"/>
    <n v="31.851944435690456"/>
  </r>
  <r>
    <s v="LE US Equity"/>
    <s v="LANDS' END INC"/>
    <s v="Consumer Discretionary"/>
    <s v="Retail &amp; Whsle - Discretionary"/>
    <x v="51"/>
    <s v="UNITED STATES"/>
    <n v="0.43"/>
    <n v="5"/>
    <n v="0"/>
    <n v="55.266574412982266"/>
  </r>
  <r>
    <s v="LEA US Equity"/>
    <s v="LEAR CORP"/>
    <s v="Consumer Discretionary"/>
    <s v="Consumer Discretionary Products"/>
    <x v="8"/>
    <s v="UNITED STATES"/>
    <n v="6.22"/>
    <n v="3.71"/>
    <n v="0"/>
    <n v="71.729168049447082"/>
  </r>
  <r>
    <s v="LECO US Equity"/>
    <s v="LINCOLN ELECTRIC"/>
    <s v="Industrials"/>
    <s v="Industrial Products"/>
    <x v="3"/>
    <s v="UNITED STATES"/>
    <n v="14.23"/>
    <n v="3.67"/>
    <n v="0"/>
    <n v="69.24380432609162"/>
  </r>
  <r>
    <s v="LEG US Equity"/>
    <s v="LEGGETT &amp; PLATT"/>
    <s v="Consumer Discretionary"/>
    <s v="Consumer Discretionary Products"/>
    <x v="29"/>
    <s v="UNITED STATES"/>
    <n v="1.65"/>
    <n v="3"/>
    <n v="0"/>
    <n v="54.873112021334094"/>
  </r>
  <r>
    <s v="LEGH US Equity"/>
    <s v="LEGACY HOUSING C"/>
    <s v="Real Estate"/>
    <s v="Real Estate"/>
    <x v="39"/>
    <s v="UNITED STATES"/>
    <n v="0.52"/>
    <n v="4.33"/>
    <n v="0"/>
    <n v="55.252607726417402"/>
  </r>
  <r>
    <s v="LEGN US Equity"/>
    <s v="LEGEND BIOT-ADR"/>
    <s v="Health Care"/>
    <s v="Health Care"/>
    <x v="25"/>
    <s v="UNITED STATES"/>
    <n v="3.49"/>
    <n v="4.8099999999999996"/>
    <n v="0"/>
    <n v="43.348025208871128"/>
  </r>
  <r>
    <s v="LEN US Equity"/>
    <s v="LENNAR CORP-A"/>
    <s v="Consumer Discretionary"/>
    <s v="Consumer Discretionary Products"/>
    <x v="50"/>
    <s v="UNITED STATES"/>
    <n v="28.31"/>
    <n v="2.71"/>
    <n v="0"/>
    <n v="62.985769524939954"/>
  </r>
  <r>
    <s v="LEN/B US Equity"/>
    <s v="LENNAR CORP-B"/>
    <s v="Consumer Discretionary"/>
    <s v="Consumer Discretionary Products"/>
    <x v="50"/>
    <s v="UNITED STATES"/>
    <n v="28.31"/>
    <n v="0"/>
    <n v="0"/>
    <n v="63.105477430353346"/>
  </r>
  <r>
    <s v="LENZ US Equity"/>
    <s v="LENZ THERAPEUTIC"/>
    <s v="Health Care"/>
    <s v="Health Care"/>
    <x v="25"/>
    <s v="UNITED STATES"/>
    <n v="0.64"/>
    <n v="5"/>
    <n v="259547"/>
    <n v="30.998090962176335"/>
  </r>
  <r>
    <s v="LEU US Equity"/>
    <s v="CENTRUS ENERGY-A"/>
    <s v="Materials"/>
    <s v="Materials"/>
    <x v="22"/>
    <s v="UNITED STATES"/>
    <n v="5.39"/>
    <n v="4.22"/>
    <n v="0"/>
    <n v="36.324318941348075"/>
  </r>
  <r>
    <s v="LEVI US Equity"/>
    <s v="LEVI STRAUSS-A"/>
    <s v="Consumer Discretionary"/>
    <s v="Consumer Discretionary Products"/>
    <x v="5"/>
    <s v="UNITED STATES"/>
    <n v="8.32"/>
    <n v="4.71"/>
    <n v="0"/>
    <n v="61.165214080299393"/>
  </r>
  <r>
    <s v="LFCR US Equity"/>
    <s v="LIFECORE BIOMEDI"/>
    <s v="Health Care"/>
    <s v="Health Care"/>
    <x v="31"/>
    <s v="UNITED STATES"/>
    <n v="0.32"/>
    <n v="3.8"/>
    <n v="0"/>
    <n v="32.247971498515227"/>
  </r>
  <r>
    <s v="LFMD US Equity"/>
    <s v="LIFEMD INC"/>
    <s v="Communications"/>
    <s v="Media"/>
    <x v="13"/>
    <s v="UNITED STATES"/>
    <n v="0.17"/>
    <n v="4.78"/>
    <n v="0"/>
    <n v="36.747612989701189"/>
  </r>
  <r>
    <s v="LFST US Equity"/>
    <s v="LIFESTANCE HEALT"/>
    <s v="Health Care"/>
    <s v="Health Care"/>
    <x v="31"/>
    <s v="UNITED STATES"/>
    <n v="2.86"/>
    <n v="4.8"/>
    <n v="838089"/>
    <n v="46.888661823334097"/>
  </r>
  <r>
    <s v="LFUS US Equity"/>
    <s v="LITTELFUSE INC"/>
    <s v="Industrials"/>
    <s v="Industrial Products"/>
    <x v="4"/>
    <s v="UNITED STATES"/>
    <n v="7.23"/>
    <n v="3.8"/>
    <n v="0"/>
    <n v="81.037775731118643"/>
  </r>
  <r>
    <s v="LGIH US Equity"/>
    <s v="LGI HOMES INC"/>
    <s v="Consumer Discretionary"/>
    <s v="Consumer Discretionary Products"/>
    <x v="50"/>
    <s v="UNITED STATES"/>
    <n v="1.18"/>
    <n v="3.2"/>
    <n v="0"/>
    <n v="73.035497163416494"/>
  </r>
  <r>
    <s v="LGN US Equity"/>
    <s v="LEGENCE CORP-A"/>
    <s v="Industrials"/>
    <s v="Industrial Services"/>
    <x v="15"/>
    <s v="UNITED STATES"/>
    <n v="5.37"/>
    <n v="4.88"/>
    <n v="444347"/>
    <n v="61.591319151071403"/>
  </r>
  <r>
    <s v="LGND US Equity"/>
    <s v="LIGAND PHARM"/>
    <s v="Health Care"/>
    <s v="Health Care"/>
    <x v="25"/>
    <s v="UNITED STATES"/>
    <n v="3.96"/>
    <n v="4.88"/>
    <n v="0"/>
    <n v="39.948094846277016"/>
  </r>
  <r>
    <s v="LH US Equity"/>
    <s v="LABCORP HOLDINGS"/>
    <s v="Health Care"/>
    <s v="Health Care"/>
    <x v="31"/>
    <s v="UNITED STATES"/>
    <n v="22.11"/>
    <n v="4.45"/>
    <n v="0"/>
    <n v="73.269237216585836"/>
  </r>
  <r>
    <s v="LHAI US Equity"/>
    <s v="LINKHOME HOLDING"/>
    <s v="Technology"/>
    <s v="Software &amp; Tech Services"/>
    <x v="14"/>
    <s v="UNITED STATES"/>
    <n v="0.03"/>
    <n v="0"/>
    <n v="0"/>
    <n v="27.603628345475656"/>
  </r>
  <r>
    <s v="LHX US Equity"/>
    <s v="L3HARRIS TECHNOL"/>
    <s v="Industrials"/>
    <s v="Industrial Products"/>
    <x v="32"/>
    <s v="UNITED STATES"/>
    <n v="66.349999999999994"/>
    <n v="4.29"/>
    <n v="0"/>
    <n v="51.764812594282624"/>
  </r>
  <r>
    <s v="LI US Equity"/>
    <s v="LI AUTO INC -ADR"/>
    <s v="Consumer Discretionary"/>
    <s v="Consumer Discretionary Products"/>
    <x v="8"/>
    <s v="CHINA"/>
    <n v="17.89"/>
    <n v="3.86"/>
    <n v="0"/>
    <n v="66.827139662563496"/>
  </r>
  <r>
    <s v="LIDR US Equity"/>
    <s v="AEYE INC"/>
    <s v="Consumer Discretionary"/>
    <s v="Consumer Discretionary Products"/>
    <x v="8"/>
    <s v="UNITED STATES"/>
    <n v="0.09"/>
    <n v="5"/>
    <n v="20700"/>
    <n v="41.873229304389483"/>
  </r>
  <r>
    <s v="LIF US Equity"/>
    <s v="LIFE360 INC"/>
    <s v="Technology"/>
    <s v="Software &amp; Tech Services"/>
    <x v="14"/>
    <s v="UNITED STATES"/>
    <n v="5.34"/>
    <n v="4.5599999999999996"/>
    <n v="0"/>
    <n v="38.768150107343978"/>
  </r>
  <r>
    <s v="LII US Equity"/>
    <s v="LENNOX INTL INC"/>
    <s v="Industrials"/>
    <s v="Industrial Products"/>
    <x v="4"/>
    <s v="UNITED STATES"/>
    <n v="17.88"/>
    <n v="3.38"/>
    <n v="0"/>
    <n v="66.555830385176833"/>
  </r>
  <r>
    <s v="LILA US Equity"/>
    <s v="LIBERTY LATI-A"/>
    <s v="Communications"/>
    <s v="Media"/>
    <x v="61"/>
    <s v="UNITED STATES"/>
    <n v="1.54"/>
    <n v="4"/>
    <n v="0"/>
    <n v="65.491935996666939"/>
  </r>
  <r>
    <s v="LILAK US Equity"/>
    <s v="LIBERTY LATI-C"/>
    <s v="Communications"/>
    <s v="Media"/>
    <x v="61"/>
    <s v="UNITED STATES"/>
    <n v="1.54"/>
    <n v="4.33"/>
    <n v="0"/>
    <n v="64.374623973224288"/>
  </r>
  <r>
    <s v="LIN US Equity"/>
    <s v="LINDE PLC"/>
    <s v="Materials"/>
    <s v="Materials"/>
    <x v="21"/>
    <s v="UNITED STATES"/>
    <n v="210.86"/>
    <n v="4.5"/>
    <n v="1137956"/>
    <n v="63.407071780207723"/>
  </r>
  <r>
    <s v="LINC US Equity"/>
    <s v="LINCOLN EDUCATIO"/>
    <s v="Consumer Discretionary"/>
    <s v="Consumer Discretionary Services"/>
    <x v="41"/>
    <s v="UNITED STATES"/>
    <n v="0.86"/>
    <n v="5"/>
    <n v="0"/>
    <n v="58.876011066597798"/>
  </r>
  <r>
    <s v="LIND US Equity"/>
    <s v="LINDBLAD EXPEDIT"/>
    <s v="Consumer Discretionary"/>
    <s v="Consumer Discretionary Services"/>
    <x v="6"/>
    <s v="UNITED STATES"/>
    <n v="0.88"/>
    <n v="4.5999999999999996"/>
    <n v="0"/>
    <n v="79.51654332348636"/>
  </r>
  <r>
    <s v="LION US Equity"/>
    <s v="LIONSGATE STUDIO"/>
    <s v="Communications"/>
    <s v="Media"/>
    <x v="47"/>
    <s v="CANADA"/>
    <n v="2.82"/>
    <n v="4.6399999999999997"/>
    <n v="0"/>
    <n v="49.661089684567749"/>
  </r>
  <r>
    <s v="LITB US Equity"/>
    <s v="LIGHTINTHEBO-ADR"/>
    <s v="Consumer Discretionary"/>
    <s v="Retail &amp; Whsle - Discretionary"/>
    <x v="51"/>
    <s v="SINGAPORE"/>
    <n v="0.05"/>
    <n v="0"/>
    <n v="0"/>
    <n v="51.069843893358723"/>
  </r>
  <r>
    <s v="LITE US Equity"/>
    <s v="LUMENTUM HOL"/>
    <s v="Technology"/>
    <s v="Tech Hardware &amp; Semiconductors"/>
    <x v="16"/>
    <s v="UNITED STATES"/>
    <n v="24.05"/>
    <n v="4.5199999999999996"/>
    <n v="0"/>
    <n v="77.202147046358263"/>
  </r>
  <r>
    <s v="LIVE US Equity"/>
    <s v="LIVE VENTURES IN"/>
    <s v="Communications"/>
    <s v="Media"/>
    <x v="13"/>
    <s v="UNITED STATES"/>
    <n v="0.06"/>
    <n v="0"/>
    <n v="0"/>
    <n v="53.732016276063163"/>
  </r>
  <r>
    <s v="LIVN US Equity"/>
    <s v="LIVANOVA PLC"/>
    <s v="Health Care"/>
    <s v="Health Care"/>
    <x v="9"/>
    <s v="BRITAIN"/>
    <n v="3.45"/>
    <n v="4.45"/>
    <n v="0"/>
    <n v="59.602204862950892"/>
  </r>
  <r>
    <s v="LIXT US Equity"/>
    <s v="LIXTE BIOTECHNOL"/>
    <s v="Health Care"/>
    <s v="Health Care"/>
    <x v="9"/>
    <s v="UNITED STATES"/>
    <n v="0.03"/>
    <n v="0"/>
    <n v="0"/>
    <n v="42.249645528500167"/>
  </r>
  <r>
    <s v="LKFN US Equity"/>
    <s v="LAKELAND FINL"/>
    <s v="Financials"/>
    <s v="Banking"/>
    <x v="26"/>
    <s v="UNITED STATES"/>
    <n v="1.5"/>
    <n v="3.4"/>
    <n v="17414"/>
    <n v="52.973515034213492"/>
  </r>
  <r>
    <s v="LKQ US Equity"/>
    <s v="LKQ CORP"/>
    <s v="Consumer Discretionary"/>
    <s v="Retail &amp; Whsle - Discretionary"/>
    <x v="40"/>
    <s v="UNITED STATES"/>
    <n v="8.7100000000000009"/>
    <n v="4.45"/>
    <n v="873644"/>
    <n v="64.67245653137482"/>
  </r>
  <r>
    <s v="LLY US Equity"/>
    <s v="ELI LILLY &amp; CO"/>
    <s v="Health Care"/>
    <s v="Health Care"/>
    <x v="25"/>
    <s v="UNITED STATES"/>
    <n v="1006.16"/>
    <n v="4.45"/>
    <n v="7436194"/>
    <n v="45.288984294584459"/>
  </r>
  <r>
    <s v="LMAT US Equity"/>
    <s v="LEMAITRE VASCULA"/>
    <s v="Health Care"/>
    <s v="Health Care"/>
    <x v="9"/>
    <s v="UNITED STATES"/>
    <n v="1.91"/>
    <n v="4"/>
    <n v="0"/>
    <n v="57.938681666992117"/>
  </r>
  <r>
    <s v="LMB US Equity"/>
    <s v="LIMBACH HOLDINGS"/>
    <s v="Industrials"/>
    <s v="Industrial Services"/>
    <x v="27"/>
    <s v="UNITED STATES"/>
    <n v="0.95"/>
    <n v="4.75"/>
    <n v="113974"/>
    <n v="65.008322604021245"/>
  </r>
  <r>
    <s v="LMND US Equity"/>
    <s v="LEMONADE INC"/>
    <s v="Financials"/>
    <s v="Insurance"/>
    <x v="23"/>
    <s v="UNITED STATES"/>
    <n v="6.97"/>
    <n v="2.91"/>
    <n v="0"/>
    <n v="38.514259762563562"/>
  </r>
  <r>
    <s v="LMT US Equity"/>
    <s v="LOCKHEED MARTIN"/>
    <s v="Industrials"/>
    <s v="Industrial Products"/>
    <x v="32"/>
    <s v="UNITED STATES"/>
    <n v="136.71"/>
    <n v="3.63"/>
    <n v="0"/>
    <n v="66.429367961099828"/>
  </r>
  <r>
    <s v="LNC US Equity"/>
    <s v="LINCOLN NATL CRP"/>
    <s v="Financials"/>
    <s v="Insurance"/>
    <x v="23"/>
    <s v="UNITED STATES"/>
    <n v="7.66"/>
    <n v="3.14"/>
    <n v="80700"/>
    <n v="35.217253942074706"/>
  </r>
  <r>
    <s v="LNG US Equity"/>
    <s v="CHENIERE ENERGY"/>
    <s v="Energy"/>
    <s v="Oil &amp; Gas"/>
    <x v="20"/>
    <s v="UNITED STATES"/>
    <n v="44.63"/>
    <n v="4.92"/>
    <n v="1036750"/>
    <n v="69.164580059633082"/>
  </r>
  <r>
    <s v="LNKB US Equity"/>
    <s v="LINKBANCORP INC"/>
    <s v="Financials"/>
    <s v="Banking"/>
    <x v="26"/>
    <s v="UNITED STATES"/>
    <n v="0.32"/>
    <n v="3"/>
    <n v="0"/>
    <n v="67.231751315331564"/>
  </r>
  <r>
    <s v="LNN US Equity"/>
    <s v="LINDSAY CORP"/>
    <s v="Industrials"/>
    <s v="Industrial Products"/>
    <x v="3"/>
    <s v="UNITED STATES"/>
    <n v="1.3"/>
    <n v="3"/>
    <n v="0"/>
    <n v="69.69541676977795"/>
  </r>
  <r>
    <s v="LNT US Equity"/>
    <s v="ALLIANT ENERGY"/>
    <s v="Utilities"/>
    <s v="Utilities"/>
    <x v="38"/>
    <s v="UNITED STATES"/>
    <n v="17.18"/>
    <n v="4.2300000000000004"/>
    <n v="0"/>
    <n v="67.080679687876298"/>
  </r>
  <r>
    <s v="LNTH US Equity"/>
    <s v="LANTHEUS HOLDING"/>
    <s v="Health Care"/>
    <s v="Health Care"/>
    <x v="9"/>
    <s v="UNITED STATES"/>
    <n v="4.4800000000000004"/>
    <n v="4.54"/>
    <n v="0"/>
    <n v="56.964613644201393"/>
  </r>
  <r>
    <s v="LOAR US Equity"/>
    <s v="LOAR HOLDINGS IN"/>
    <s v="Industrials"/>
    <s v="Industrial Products"/>
    <x v="32"/>
    <s v="UNITED STATES"/>
    <n v="6.82"/>
    <n v="5"/>
    <n v="0"/>
    <n v="30.621795440149427"/>
  </r>
  <r>
    <s v="LOB US Equity"/>
    <s v="LIVE OAK BANCSHA"/>
    <s v="Financials"/>
    <s v="Banking"/>
    <x v="26"/>
    <s v="UNITED STATES"/>
    <n v="1.82"/>
    <n v="3.8"/>
    <n v="39370"/>
    <n v="59.077654317049934"/>
  </r>
  <r>
    <s v="LOCO US Equity"/>
    <s v="EL POLLO LOCO HO"/>
    <s v="Consumer Discretionary"/>
    <s v="Consumer Discretionary Services"/>
    <x v="6"/>
    <s v="UNITED STATES"/>
    <n v="0.32"/>
    <n v="3.8"/>
    <n v="0"/>
    <n v="50.133359514466136"/>
  </r>
  <r>
    <s v="LOGI US Equity"/>
    <s v="LOGITECH INTER-R"/>
    <s v="Technology"/>
    <s v="Tech Hardware &amp; Semiconductors"/>
    <x v="16"/>
    <s v="SWITZERLAND"/>
    <n v="15.02"/>
    <n v="3.65"/>
    <n v="48308"/>
    <n v="48.354072572292559"/>
  </r>
  <r>
    <s v="LOMA US Equity"/>
    <s v="LOMA NEGRA C-ADR"/>
    <s v="Materials"/>
    <s v="Materials"/>
    <x v="48"/>
    <s v="ARGENTINA"/>
    <n v="1.39"/>
    <n v="4.67"/>
    <n v="0"/>
    <n v="49.717715509077877"/>
  </r>
  <r>
    <s v="LONA US Equity"/>
    <s v="LEONABIO INC"/>
    <s v="Health Care"/>
    <s v="Health Care"/>
    <x v="25"/>
    <s v="UNITED STATES"/>
    <n v="0.05"/>
    <n v="3"/>
    <n v="0"/>
    <n v="43.647628430950498"/>
  </r>
  <r>
    <s v="LOPE US Equity"/>
    <s v="GRAND CANYON EDU"/>
    <s v="Consumer Discretionary"/>
    <s v="Consumer Discretionary Services"/>
    <x v="41"/>
    <s v="UNITED STATES"/>
    <n v="4.9800000000000004"/>
    <n v="5"/>
    <n v="0"/>
    <n v="35.171362510268381"/>
  </r>
  <r>
    <s v="LOT US Equity"/>
    <s v="LOTUS TECHNOLOGY"/>
    <s v="Consumer Discretionary"/>
    <s v="Consumer Discretionary Products"/>
    <x v="8"/>
    <s v="CHINA"/>
    <n v="0.97"/>
    <n v="3"/>
    <n v="0"/>
    <n v="40.470579130982173"/>
  </r>
  <r>
    <s v="LOT AU Equity"/>
    <s v="LOTUS RESOURCES"/>
    <s v="Materials"/>
    <s v="Materials"/>
    <x v="22"/>
    <s v="AUSTRALIA"/>
    <n v="0.53"/>
    <n v="3.57"/>
    <n v="0"/>
    <n v="43.104214269643293"/>
  </r>
  <r>
    <s v="LOW US Equity"/>
    <s v="LOWE'S COS INC"/>
    <s v="Consumer Discretionary"/>
    <s v="Retail &amp; Whsle - Discretionary"/>
    <x v="10"/>
    <s v="UNITED STATES"/>
    <n v="155.22999999999999"/>
    <n v="4.08"/>
    <n v="276730"/>
    <n v="70.677081868076712"/>
  </r>
  <r>
    <s v="LPCN US Equity"/>
    <s v="LIPOCINE INC"/>
    <s v="Health Care"/>
    <s v="Health Care"/>
    <x v="25"/>
    <s v="UNITED STATES"/>
    <n v="0.06"/>
    <n v="5"/>
    <n v="0"/>
    <n v="52.274626996463688"/>
  </r>
  <r>
    <s v="LPG US Equity"/>
    <s v="DORIAN LPG LTD"/>
    <s v="Industrials"/>
    <s v="Industrial Services"/>
    <x v="12"/>
    <s v="UNITED STATES"/>
    <n v="1.18"/>
    <n v="4.67"/>
    <n v="412800"/>
    <n v="76.562097653406568"/>
  </r>
  <r>
    <s v="LPL US Equity"/>
    <s v="LG DISPLAY-ADR"/>
    <s v="Technology"/>
    <s v="Tech Hardware &amp; Semiconductors"/>
    <x v="16"/>
    <s v="SOUTH KOREA"/>
    <n v="4.43"/>
    <n v="1"/>
    <n v="0"/>
    <n v="47.99678867217176"/>
  </r>
  <r>
    <s v="LPLA US Equity"/>
    <s v="LPL FINANCIAL HO"/>
    <s v="Financials"/>
    <s v="Financial Services"/>
    <x v="24"/>
    <s v="UNITED STATES"/>
    <n v="28.98"/>
    <n v="4.3499999999999996"/>
    <n v="0"/>
    <n v="38.04478222647689"/>
  </r>
  <r>
    <s v="LPTH US Equity"/>
    <s v="LIGHTPATH TECH-A"/>
    <s v="Technology"/>
    <s v="Tech Hardware &amp; Semiconductors"/>
    <x v="16"/>
    <s v="UNITED STATES"/>
    <n v="0.66"/>
    <n v="5"/>
    <n v="0"/>
    <n v="46.695931125243483"/>
  </r>
  <r>
    <s v="LPX US Equity"/>
    <s v="LOUISIANA-PACIFI"/>
    <s v="Materials"/>
    <s v="Materials"/>
    <x v="58"/>
    <s v="UNITED STATES"/>
    <n v="6.35"/>
    <n v="3.86"/>
    <n v="292000"/>
    <n v="63.370013181526133"/>
  </r>
  <r>
    <s v="LQDA US Equity"/>
    <s v="LIQUIDIA CORP"/>
    <s v="Health Care"/>
    <s v="Health Care"/>
    <x v="25"/>
    <s v="UNITED STATES"/>
    <n v="3.53"/>
    <n v="4.5599999999999996"/>
    <n v="0"/>
    <n v="50.395253602577206"/>
  </r>
  <r>
    <s v="LQDT US Equity"/>
    <s v="LIQUIDITY SERVIC"/>
    <s v="Consumer Discretionary"/>
    <s v="Retail &amp; Whsle - Discretionary"/>
    <x v="51"/>
    <s v="UNITED STATES"/>
    <n v="0.98"/>
    <n v="5"/>
    <n v="0"/>
    <n v="47.662022957897214"/>
  </r>
  <r>
    <s v="LRCX US Equity"/>
    <s v="LAM RESEARCH"/>
    <s v="Technology"/>
    <s v="Tech Hardware &amp; Semiconductors"/>
    <x v="17"/>
    <s v="UNITED STATES"/>
    <n v="273.74"/>
    <n v="4.32"/>
    <n v="0"/>
    <n v="59.218745684801924"/>
  </r>
  <r>
    <s v="LRE US Equity"/>
    <s v="LEAD REAL ESTATE"/>
    <s v="Consumer Discretionary"/>
    <s v="Consumer Discretionary Products"/>
    <x v="50"/>
    <s v="JAPAN"/>
    <n v="0.02"/>
    <n v="0"/>
    <n v="0"/>
    <n v="41.87500694968525"/>
  </r>
  <r>
    <s v="LRLCY US Equity"/>
    <s v="L'OREAL-ADR"/>
    <s v="Consumer Staples"/>
    <s v="Consumer Staple Products"/>
    <x v="62"/>
    <s v="FRANCE"/>
    <n v="243.7"/>
    <n v="3.5"/>
    <n v="0"/>
    <n v="59.620828022142511"/>
  </r>
  <r>
    <s v="LRN US Equity"/>
    <s v="STRIDE INC"/>
    <s v="Consumer Discretionary"/>
    <s v="Consumer Discretionary Services"/>
    <x v="41"/>
    <s v="UNITED STATES"/>
    <n v="3.21"/>
    <n v="4.33"/>
    <n v="0"/>
    <n v="70.108897261390126"/>
  </r>
  <r>
    <s v="LSAK US Equity"/>
    <s v="LESAKA TECHNOLOG"/>
    <s v="Financials"/>
    <s v="Financial Services"/>
    <x v="35"/>
    <s v="SOUTH AFRICA"/>
    <n v="0.4"/>
    <n v="5"/>
    <n v="17096250"/>
    <n v="54.727027311783814"/>
  </r>
  <r>
    <s v="LSBK US Equity"/>
    <s v="LAKE SHORE BANCO"/>
    <s v="Financials"/>
    <s v="Banking"/>
    <x v="26"/>
    <s v="UNITED STATES"/>
    <n v="0.12"/>
    <n v="0"/>
    <n v="0"/>
    <n v="57.967185124924555"/>
  </r>
  <r>
    <s v="LSCC US Equity"/>
    <s v="LATTICE SEMICOND"/>
    <s v="Technology"/>
    <s v="Tech Hardware &amp; Semiconductors"/>
    <x v="17"/>
    <s v="UNITED STATES"/>
    <n v="11.54"/>
    <n v="4.53"/>
    <n v="2529900"/>
    <n v="80.644466023760984"/>
  </r>
  <r>
    <s v="LSPD US Equity"/>
    <s v="LIGHTSPEED COMME"/>
    <s v="Technology"/>
    <s v="Software &amp; Tech Services"/>
    <x v="14"/>
    <s v="CANADA"/>
    <n v="1.6"/>
    <n v="3.67"/>
    <n v="0"/>
    <n v="23.362653812206958"/>
  </r>
  <r>
    <s v="LSTR US Equity"/>
    <s v="LANDSTAR SYSTEM"/>
    <s v="Industrials"/>
    <s v="Industrial Services"/>
    <x v="12"/>
    <s v="UNITED STATES"/>
    <n v="5.29"/>
    <n v="3.11"/>
    <n v="0"/>
    <n v="66.738334527952418"/>
  </r>
  <r>
    <s v="LTBR US Equity"/>
    <s v="LIGHTBRIDGE CORP"/>
    <s v="Industrials"/>
    <s v="Industrial Products"/>
    <x v="4"/>
    <s v="UNITED STATES"/>
    <n v="0.56999999999999995"/>
    <n v="0"/>
    <n v="0"/>
    <n v="40.529371671712141"/>
  </r>
  <r>
    <s v="LTC US Equity"/>
    <s v="LTC PROPERTIES"/>
    <s v="Real Estate"/>
    <s v="Real Estate"/>
    <x v="37"/>
    <s v="UNITED STATES"/>
    <n v="1.74"/>
    <n v="3.13"/>
    <n v="547800"/>
    <n v="73.125358164682339"/>
  </r>
  <r>
    <s v="LTH US Equity"/>
    <s v="LIFE TIME GROUP"/>
    <s v="Consumer Discretionary"/>
    <s v="Consumer Discretionary Services"/>
    <x v="6"/>
    <s v="UNITED STATES"/>
    <n v="6.55"/>
    <n v="4.6900000000000004"/>
    <n v="0"/>
    <n v="58.40813153731321"/>
  </r>
  <r>
    <s v="LTM US Equity"/>
    <s v="LATAM AIRLINES G"/>
    <s v="Industrials"/>
    <s v="Industrial Services"/>
    <x v="12"/>
    <s v="CHILE"/>
    <n v="18.27"/>
    <n v="4.78"/>
    <n v="0"/>
    <n v="49.362405756918719"/>
  </r>
  <r>
    <s v="LTRX US Equity"/>
    <s v="LANTRONIX INC"/>
    <s v="Technology"/>
    <s v="Tech Hardware &amp; Semiconductors"/>
    <x v="16"/>
    <s v="UNITED STATES"/>
    <n v="0.25"/>
    <n v="5"/>
    <n v="0"/>
    <n v="42.45730711978289"/>
  </r>
  <r>
    <s v="LU US Equity"/>
    <s v="LUFAX HOLDIN-ADR"/>
    <s v="Financials"/>
    <s v="Financial Services"/>
    <x v="35"/>
    <s v="CHINA"/>
    <n v="2.31"/>
    <n v="2.8"/>
    <n v="0"/>
    <n v="62.406889849223688"/>
  </r>
  <r>
    <s v="LUCK US Equity"/>
    <s v="LUCKY STRIKE ENT"/>
    <s v="Consumer Discretionary"/>
    <s v="Consumer Discretionary Services"/>
    <x v="6"/>
    <s v="UNITED STATES"/>
    <n v="1.22"/>
    <n v="4.45"/>
    <n v="632310"/>
    <n v="41.613683466272484"/>
  </r>
  <r>
    <s v="LULU US Equity"/>
    <s v="LULULEMON ATH"/>
    <s v="Consumer Discretionary"/>
    <s v="Retail &amp; Whsle - Discretionary"/>
    <x v="10"/>
    <s v="CANADA"/>
    <n v="22.41"/>
    <n v="3.08"/>
    <n v="0"/>
    <n v="41.716510330538433"/>
  </r>
  <r>
    <s v="LUMN US Equity"/>
    <s v="LUMEN TECHNOLOGI"/>
    <s v="Communications"/>
    <s v="Telecommunications"/>
    <x v="36"/>
    <s v="UNITED STATES"/>
    <n v="8.7899999999999991"/>
    <n v="3"/>
    <n v="1867146"/>
    <n v="47.596479421995255"/>
  </r>
  <r>
    <s v="LUNR US Equity"/>
    <s v="INTUITIVE MACHIN"/>
    <s v="Industrials"/>
    <s v="Industrial Products"/>
    <x v="32"/>
    <s v="UNITED STATES"/>
    <n v="4.07"/>
    <n v="4.4000000000000004"/>
    <n v="0"/>
    <n v="47.406535550589624"/>
  </r>
  <r>
    <s v="LUV US Equity"/>
    <s v="SOUTHWEST AIR"/>
    <s v="Industrials"/>
    <s v="Industrial Services"/>
    <x v="12"/>
    <s v="UNITED STATES"/>
    <n v="21.69"/>
    <n v="3.19"/>
    <n v="203248"/>
    <n v="64.753840241672833"/>
  </r>
  <r>
    <s v="LUXE US Equity"/>
    <s v="LUXEXPERIENCE BV"/>
    <s v="Consumer Discretionary"/>
    <s v="Retail &amp; Whsle - Discretionary"/>
    <x v="51"/>
    <s v="GERMANY"/>
    <n v="1.1200000000000001"/>
    <n v="4.1399999999999997"/>
    <n v="0"/>
    <n v="72.197118620907275"/>
  </r>
  <r>
    <s v="LVS US Equity"/>
    <s v="LAS VEGAS SANDS"/>
    <s v="Consumer Discretionary"/>
    <s v="Consumer Discretionary Services"/>
    <x v="6"/>
    <s v="UNITED STATES"/>
    <n v="40.53"/>
    <n v="4.41"/>
    <n v="0"/>
    <n v="45.81906972110334"/>
  </r>
  <r>
    <s v="LVWR US Equity"/>
    <s v="LIVEWIRE GROUP I"/>
    <s v="Consumer Discretionary"/>
    <s v="Consumer Discretionary Products"/>
    <x v="8"/>
    <s v="UNITED STATES"/>
    <n v="0.54"/>
    <n v="0"/>
    <n v="0"/>
    <n v="38.612165121458787"/>
  </r>
  <r>
    <s v="LW US Equity"/>
    <s v="LAMB WESTON"/>
    <s v="Consumer Staples"/>
    <s v="Consumer Staple Products"/>
    <x v="42"/>
    <s v="UNITED STATES"/>
    <n v="6.07"/>
    <n v="3.62"/>
    <n v="0"/>
    <n v="66.728996695673658"/>
  </r>
  <r>
    <s v="LWAY US Equity"/>
    <s v="LIFEWAY FOODS"/>
    <s v="Consumer Staples"/>
    <s v="Consumer Staple Products"/>
    <x v="42"/>
    <s v="UNITED STATES"/>
    <n v="0.34"/>
    <n v="5"/>
    <n v="0"/>
    <n v="40.446120104816742"/>
  </r>
  <r>
    <s v="LWLG US Equity"/>
    <s v="LIGHTWAVE LOGIC"/>
    <s v="Materials"/>
    <s v="Materials"/>
    <x v="21"/>
    <s v="UNITED STATES"/>
    <n v="0.56999999999999995"/>
    <n v="0"/>
    <n v="0"/>
    <n v="47.699000754001609"/>
  </r>
  <r>
    <s v="LX US Equity"/>
    <s v="LEXINFINTECH-ADR"/>
    <s v="Financials"/>
    <s v="Financial Services"/>
    <x v="35"/>
    <s v="CHINA"/>
    <n v="0.5"/>
    <n v="4.5"/>
    <n v="0"/>
    <n v="44.625548938320087"/>
  </r>
  <r>
    <s v="LXEO US Equity"/>
    <s v="LEXEO THERAPEUTI"/>
    <s v="Health Care"/>
    <s v="Health Care"/>
    <x v="25"/>
    <s v="UNITED STATES"/>
    <n v="0.55000000000000004"/>
    <n v="5"/>
    <n v="0"/>
    <n v="35.187611924012984"/>
  </r>
  <r>
    <s v="LXFR US Equity"/>
    <s v="LUXFER HOLDINGS"/>
    <s v="Industrials"/>
    <s v="Industrial Products"/>
    <x v="3"/>
    <s v="UNITED STATES"/>
    <n v="0.41"/>
    <n v="0"/>
    <n v="0"/>
    <n v="61.566327363397065"/>
  </r>
  <r>
    <s v="LXP US Equity"/>
    <s v="LXP INDUSTRIAL T"/>
    <s v="Real Estate"/>
    <s v="Real Estate"/>
    <x v="37"/>
    <s v="UNITED STATES"/>
    <n v="2.91"/>
    <n v="4"/>
    <n v="0"/>
    <n v="63.032312293064891"/>
  </r>
  <r>
    <s v="LXRX US Equity"/>
    <s v="LEXICON PHARMACE"/>
    <s v="Health Care"/>
    <s v="Health Care"/>
    <x v="25"/>
    <s v="UNITED STATES"/>
    <n v="0.62"/>
    <n v="4.2"/>
    <n v="0"/>
    <n v="52.31533179729356"/>
  </r>
  <r>
    <s v="LXS GR Equity"/>
    <s v="LANXESS AG"/>
    <s v="Materials"/>
    <s v="Materials"/>
    <x v="21"/>
    <s v="GERMANY"/>
    <n v="1.81"/>
    <n v="2.77"/>
    <n v="0"/>
    <n v="72.088208888840413"/>
  </r>
  <r>
    <s v="LXU US Equity"/>
    <s v="LSB INDUS INC"/>
    <s v="Materials"/>
    <s v="Materials"/>
    <x v="21"/>
    <s v="UNITED STATES"/>
    <n v="0.71"/>
    <n v="4"/>
    <n v="0"/>
    <n v="63.208224055620128"/>
  </r>
  <r>
    <s v="LYB US Equity"/>
    <s v="LYONDELLBASELL-A"/>
    <s v="Materials"/>
    <s v="Materials"/>
    <x v="21"/>
    <s v="UNITED STATES"/>
    <n v="16.41"/>
    <n v="2.74"/>
    <n v="288654"/>
    <n v="71.494597152947435"/>
  </r>
  <r>
    <s v="LYC AU Equity"/>
    <s v="LYNAS RARE EARTH"/>
    <s v="Materials"/>
    <s v="Materials"/>
    <x v="22"/>
    <s v="AUSTRALIA"/>
    <n v="11.68"/>
    <n v="3.29"/>
    <n v="20191"/>
    <n v="55.294834811608503"/>
  </r>
  <r>
    <s v="LYEL US Equity"/>
    <s v="LYELL IMMUNOPHAR"/>
    <s v="Health Care"/>
    <s v="Health Care"/>
    <x v="25"/>
    <s v="UNITED STATES"/>
    <n v="0.54"/>
    <n v="3.67"/>
    <n v="0"/>
    <n v="47.291845830634969"/>
  </r>
  <r>
    <s v="LYFT US Equity"/>
    <s v="LYFT INC-A"/>
    <s v="Communications"/>
    <s v="Media"/>
    <x v="13"/>
    <s v="UNITED STATES"/>
    <n v="7.3"/>
    <n v="3.52"/>
    <n v="196112"/>
    <n v="25.874338175814202"/>
  </r>
  <r>
    <s v="LYG US Equity"/>
    <s v="LLOYDS BANKING G"/>
    <s v="Financials"/>
    <s v="Banking"/>
    <x v="26"/>
    <s v="BRITAIN"/>
    <n v="82.29"/>
    <n v="2"/>
    <n v="0"/>
    <n v="54.287458189477569"/>
  </r>
  <r>
    <s v="LYSDY US Equity"/>
    <s v="LYNAS RARE-ADR"/>
    <s v="Materials"/>
    <s v="Materials"/>
    <x v="22"/>
    <s v="AUSTRALIA"/>
    <n v="11.86"/>
    <n v="5"/>
    <n v="0"/>
    <n v="58.407216564836581"/>
  </r>
  <r>
    <s v="LYTS US Equity"/>
    <s v="LSI INDUSTRIES"/>
    <s v="Industrials"/>
    <s v="Industrial Products"/>
    <x v="4"/>
    <s v="UNITED STATES"/>
    <n v="0.69"/>
    <n v="5"/>
    <n v="0"/>
    <n v="60.086315672011885"/>
  </r>
  <r>
    <s v="LYV US Equity"/>
    <s v="LIVE NATION ENTE"/>
    <s v="Consumer Discretionary"/>
    <s v="Consumer Discretionary Services"/>
    <x v="6"/>
    <s v="UNITED STATES"/>
    <n v="34.5"/>
    <n v="4.32"/>
    <n v="0"/>
    <n v="60.829462088974232"/>
  </r>
  <r>
    <s v="LZ US Equity"/>
    <s v="LEGALZOOMCOM INC"/>
    <s v="Industrials"/>
    <s v="Industrial Services"/>
    <x v="15"/>
    <s v="UNITED STATES"/>
    <n v="1.55"/>
    <n v="3.6"/>
    <n v="0"/>
    <n v="30.568234679376516"/>
  </r>
  <r>
    <s v="LZB US Equity"/>
    <s v="LA-Z-BOY INC"/>
    <s v="Consumer Discretionary"/>
    <s v="Retail &amp; Whsle - Discretionary"/>
    <x v="10"/>
    <s v="UNITED STATES"/>
    <n v="1.57"/>
    <n v="4.33"/>
    <n v="0"/>
    <n v="46.156314245293906"/>
  </r>
  <r>
    <s v="LZM US Equity"/>
    <s v="LIFEZONE METALS"/>
    <s v="Materials"/>
    <s v="Materials"/>
    <x v="22"/>
    <s v="ISLE OF MAN"/>
    <n v="0.5"/>
    <n v="5"/>
    <n v="0"/>
    <n v="43.04932783278376"/>
  </r>
  <r>
    <s v="M US Equity"/>
    <s v="MACY'S INC"/>
    <s v="Consumer Discretionary"/>
    <s v="Retail &amp; Whsle - Discretionary"/>
    <x v="10"/>
    <s v="UNITED STATES"/>
    <n v="5.4"/>
    <n v="2.86"/>
    <n v="0"/>
    <n v="52.235366978886411"/>
  </r>
  <r>
    <s v="MA US Equity"/>
    <s v="MASTERCARD INC-A"/>
    <s v="Financials"/>
    <s v="Financial Services"/>
    <x v="35"/>
    <s v="UNITED STATES"/>
    <n v="471.21"/>
    <n v="4.62"/>
    <n v="0"/>
    <n v="44.761201176812392"/>
  </r>
  <r>
    <s v="MAA US Equity"/>
    <s v="MID-AMERICA APAR"/>
    <s v="Real Estate"/>
    <s v="Real Estate"/>
    <x v="37"/>
    <s v="UNITED STATES"/>
    <n v="15.9"/>
    <n v="3.61"/>
    <n v="181415"/>
    <n v="54.654868355218056"/>
  </r>
  <r>
    <s v="MAAS US Equity"/>
    <s v="MAASE INC"/>
    <s v="Financials"/>
    <s v="Financial Services"/>
    <x v="24"/>
    <s v="CHINA"/>
    <n v="2.09"/>
    <n v="0"/>
    <n v="0"/>
    <n v="61.283997223661565"/>
  </r>
  <r>
    <s v="MACI US Equity"/>
    <s v="MELAR ACQUISITIO"/>
    <s v="Financials"/>
    <s v="Financial Services"/>
    <x v="24"/>
    <s v="UNITED STATES"/>
    <n v="0.23"/>
    <n v="0"/>
    <n v="0"/>
    <n v="56.12923316951786"/>
  </r>
  <r>
    <s v="MAGN US Equity"/>
    <s v="MAGNERA CORP"/>
    <s v="Materials"/>
    <s v="Materials"/>
    <x v="58"/>
    <s v="UNITED STATES"/>
    <n v="0.5"/>
    <n v="3.67"/>
    <n v="0"/>
    <n v="56.379149300152179"/>
  </r>
  <r>
    <s v="MAIN US Equity"/>
    <s v="MAIN STREET CAPI"/>
    <s v="Financials"/>
    <s v="Financial Services"/>
    <x v="24"/>
    <s v="UNITED STATES"/>
    <n v="5.74"/>
    <n v="3.38"/>
    <n v="0"/>
    <n v="49.056148772077925"/>
  </r>
  <r>
    <s v="MAMA US Equity"/>
    <s v="MAMA'S CREATIONS"/>
    <s v="Consumer Staples"/>
    <s v="Consumer Staple Products"/>
    <x v="42"/>
    <s v="UNITED STATES"/>
    <n v="0.6"/>
    <n v="5"/>
    <n v="0"/>
    <n v="60.516378580079987"/>
  </r>
  <r>
    <s v="MAMO US Equity"/>
    <s v="MASSIMO GROUP"/>
    <s v="Consumer Discretionary"/>
    <s v="Consumer Discretionary Products"/>
    <x v="55"/>
    <s v="UNITED STATES"/>
    <n v="0.14000000000000001"/>
    <n v="0"/>
    <n v="0"/>
    <n v="14.301293394698632"/>
  </r>
  <r>
    <s v="MAN US Equity"/>
    <s v="MANPOWERGROUP IN"/>
    <s v="Industrials"/>
    <s v="Industrial Services"/>
    <x v="15"/>
    <s v="UNITED STATES"/>
    <n v="1.42"/>
    <n v="3.33"/>
    <n v="0"/>
    <n v="45.106959005211593"/>
  </r>
  <r>
    <s v="MANH US Equity"/>
    <s v="MANHATTAN ASSOC"/>
    <s v="Technology"/>
    <s v="Software &amp; Tech Services"/>
    <x v="14"/>
    <s v="UNITED STATES"/>
    <n v="10.49"/>
    <n v="4.54"/>
    <n v="0"/>
    <n v="34.922629363346758"/>
  </r>
  <r>
    <s v="MANU US Equity"/>
    <s v="MANCHESTER UNI-A"/>
    <s v="Consumer Discretionary"/>
    <s v="Consumer Discretionary Services"/>
    <x v="6"/>
    <s v="BRITAIN"/>
    <n v="2.99"/>
    <n v="4.33"/>
    <n v="0"/>
    <n v="57.75927581639354"/>
  </r>
  <r>
    <s v="MAR US Equity"/>
    <s v="MARRIOTT INTL-A"/>
    <s v="Consumer Discretionary"/>
    <s v="Consumer Discretionary Services"/>
    <x v="6"/>
    <s v="UNITED STATES"/>
    <n v="85.79"/>
    <n v="3.73"/>
    <n v="0"/>
    <n v="75.226114873276174"/>
  </r>
  <r>
    <s v="MARA US Equity"/>
    <s v="MARA HOLDINGS IN"/>
    <s v="Financials"/>
    <s v="Financial Services"/>
    <x v="24"/>
    <s v="UNITED STATES"/>
    <n v="3.97"/>
    <n v="4"/>
    <n v="0"/>
    <n v="35.607765219211643"/>
  </r>
  <r>
    <s v="MAS US Equity"/>
    <s v="MASCO CORP"/>
    <s v="Consumer Discretionary"/>
    <s v="Consumer Discretionary Products"/>
    <x v="50"/>
    <s v="UNITED STATES"/>
    <n v="14.27"/>
    <n v="3.58"/>
    <n v="0"/>
    <n v="68.63844748656669"/>
  </r>
  <r>
    <s v="MASI US Equity"/>
    <s v="MASIMO CORP"/>
    <s v="Health Care"/>
    <s v="Health Care"/>
    <x v="9"/>
    <s v="UNITED STATES"/>
    <n v="7.6"/>
    <n v="4.33"/>
    <n v="452672"/>
    <n v="45.531830330607015"/>
  </r>
  <r>
    <s v="MAT US Equity"/>
    <s v="MATTEL INC"/>
    <s v="Consumer Discretionary"/>
    <s v="Consumer Discretionary Products"/>
    <x v="55"/>
    <s v="UNITED STATES"/>
    <n v="6.42"/>
    <n v="4.07"/>
    <n v="0"/>
    <n v="21.381233080813786"/>
  </r>
  <r>
    <s v="MATV US Equity"/>
    <s v="MATIV INC"/>
    <s v="Materials"/>
    <s v="Materials"/>
    <x v="21"/>
    <s v="UNITED STATES"/>
    <n v="0.7"/>
    <n v="5"/>
    <n v="0"/>
    <n v="72.728230218023413"/>
  </r>
  <r>
    <s v="MATW US Equity"/>
    <s v="MATTHEWS INTL-A"/>
    <s v="Consumer Discretionary"/>
    <s v="Consumer Discretionary Services"/>
    <x v="41"/>
    <s v="UNITED STATES"/>
    <n v="0.82"/>
    <n v="4.5"/>
    <n v="0"/>
    <n v="48.777077597932426"/>
  </r>
  <r>
    <s v="MATX US Equity"/>
    <s v="MATSON INC"/>
    <s v="Industrials"/>
    <s v="Industrial Services"/>
    <x v="12"/>
    <s v="UNITED STATES"/>
    <n v="4.96"/>
    <n v="4.33"/>
    <n v="0"/>
    <n v="70.573109668721301"/>
  </r>
  <r>
    <s v="MAX US Equity"/>
    <s v="MEDIAALPHA INC-A"/>
    <s v="Communications"/>
    <s v="Media"/>
    <x v="13"/>
    <s v="UNITED STATES"/>
    <n v="0.74"/>
    <n v="4.5"/>
    <n v="335110"/>
    <n v="17.998897419849825"/>
  </r>
  <r>
    <s v="MAZE US Equity"/>
    <s v="MAZE THERAPEUTIC"/>
    <s v="Health Care"/>
    <s v="Health Care"/>
    <x v="25"/>
    <s v="UNITED STATES"/>
    <n v="2.13"/>
    <n v="5"/>
    <n v="0"/>
    <n v="57.834380969424608"/>
  </r>
  <r>
    <s v="MB US Equity"/>
    <s v="MASTERBEEF GROUP"/>
    <s v="Consumer Discretionary"/>
    <s v="Consumer Discretionary Services"/>
    <x v="6"/>
    <s v="HONG KONG"/>
    <n v="0.12"/>
    <n v="0"/>
    <n v="0"/>
    <n v="42.410324221397396"/>
  </r>
  <r>
    <s v="MBAI US Equity"/>
    <s v="CHECK CAP LTD"/>
    <s v="Health Care"/>
    <s v="Health Care"/>
    <x v="9"/>
    <s v="ISRAEL"/>
    <n v="0.01"/>
    <n v="0"/>
    <n v="0"/>
    <n v="52.439247792252409"/>
  </r>
  <r>
    <s v="MBAV US Equity"/>
    <s v="M3-BRIGADE -A"/>
    <s v="Financials"/>
    <s v="Financial Services"/>
    <x v="24"/>
    <s v="UNITED STATES"/>
    <n v="0.38"/>
    <n v="0"/>
    <n v="0"/>
    <n v="50.600234849773038"/>
  </r>
  <r>
    <s v="MBBC US Equity"/>
    <s v="MARATHON BANCORP"/>
    <s v="Financials"/>
    <s v="Banking"/>
    <x v="26"/>
    <s v="UNITED STATES"/>
    <n v="0.04"/>
    <n v="0"/>
    <n v="30360"/>
    <n v="65.258189069357954"/>
  </r>
  <r>
    <s v="MBC US Equity"/>
    <s v="MASTERBRAND"/>
    <s v="Consumer Discretionary"/>
    <s v="Consumer Discretionary Products"/>
    <x v="50"/>
    <s v="UNITED STATES"/>
    <n v="1.59"/>
    <n v="3"/>
    <n v="0"/>
    <n v="45.304761777780342"/>
  </r>
  <r>
    <s v="MBI US Equity"/>
    <s v="MBIA INC"/>
    <s v="Financials"/>
    <s v="Insurance"/>
    <x v="23"/>
    <s v="UNITED STATES"/>
    <n v="0.33"/>
    <n v="4"/>
    <n v="0"/>
    <n v="37.70615309277062"/>
  </r>
  <r>
    <s v="MBIN US Equity"/>
    <s v="MERCHANTS BANCOR"/>
    <s v="Financials"/>
    <s v="Banking"/>
    <x v="26"/>
    <s v="UNITED STATES"/>
    <n v="1.6"/>
    <n v="4.33"/>
    <n v="1263675"/>
    <n v="78.617760569335488"/>
  </r>
  <r>
    <s v="MBLY US Equity"/>
    <s v="MOBILEYE GLOBA-A"/>
    <s v="Consumer Discretionary"/>
    <s v="Consumer Discretionary Products"/>
    <x v="8"/>
    <s v="ISRAEL"/>
    <n v="8.0500000000000007"/>
    <n v="4.1399999999999997"/>
    <n v="0"/>
    <n v="47.262905118477697"/>
  </r>
  <r>
    <s v="MBUU US Equity"/>
    <s v="MALIBU BOATS-A"/>
    <s v="Consumer Discretionary"/>
    <s v="Consumer Discretionary Products"/>
    <x v="55"/>
    <s v="UNITED STATES"/>
    <n v="0.63"/>
    <n v="4"/>
    <n v="0"/>
    <n v="47.676144986252631"/>
  </r>
  <r>
    <s v="MBWM US Equity"/>
    <s v="MERCANTILE BANK"/>
    <s v="Financials"/>
    <s v="Banking"/>
    <x v="26"/>
    <s v="UNITED STATES"/>
    <n v="0.88"/>
    <n v="4.2"/>
    <n v="138024"/>
    <n v="61.338229343165366"/>
  </r>
  <r>
    <s v="MBX US Equity"/>
    <s v="MBX BIOSCIENCES"/>
    <s v="Health Care"/>
    <s v="Health Care"/>
    <x v="25"/>
    <s v="UNITED STATES"/>
    <n v="1.7"/>
    <n v="4.5"/>
    <n v="1514000"/>
    <n v="46.610902410034214"/>
  </r>
  <r>
    <s v="MC FP Equity"/>
    <s v="LVMH MOET HENNE"/>
    <s v="Consumer Discretionary"/>
    <s v="Consumer Discretionary Products"/>
    <x v="5"/>
    <s v="FRANCE"/>
    <n v="347.14"/>
    <n v="3.94"/>
    <n v="0"/>
    <n v="27.558592814031101"/>
  </r>
  <r>
    <s v="MC US Equity"/>
    <s v="MOELIS &amp; CO-CL A"/>
    <s v="Financials"/>
    <s v="Financial Services"/>
    <x v="49"/>
    <s v="UNITED STATES"/>
    <n v="5.78"/>
    <n v="3.4"/>
    <n v="0"/>
    <n v="39.890702486135211"/>
  </r>
  <r>
    <s v="MCB US Equity"/>
    <s v="METROPOLITAN BAN"/>
    <s v="Financials"/>
    <s v="Banking"/>
    <x v="26"/>
    <s v="UNITED STATES"/>
    <n v="0.91"/>
    <n v="5"/>
    <n v="104820"/>
    <n v="62.717867259365654"/>
  </r>
  <r>
    <s v="MCBS US Equity"/>
    <s v="METROCITY BANKSH"/>
    <s v="Financials"/>
    <s v="Banking"/>
    <x v="26"/>
    <s v="UNITED STATES"/>
    <n v="0.79"/>
    <n v="3"/>
    <n v="0"/>
    <n v="58.066616819295"/>
  </r>
  <r>
    <s v="MCD US Equity"/>
    <s v="MCDONALDS CORP"/>
    <s v="Consumer Discretionary"/>
    <s v="Consumer Discretionary Services"/>
    <x v="6"/>
    <s v="UNITED STATES"/>
    <n v="220.23"/>
    <n v="3.88"/>
    <n v="0"/>
    <n v="63.076177785723857"/>
  </r>
  <r>
    <s v="MCFT US Equity"/>
    <s v="MASTERCRAFT BOAT"/>
    <s v="Consumer Discretionary"/>
    <s v="Consumer Discretionary Products"/>
    <x v="55"/>
    <s v="UNITED STATES"/>
    <n v="0.35"/>
    <n v="3.25"/>
    <n v="0"/>
    <n v="67.203916856431377"/>
  </r>
  <r>
    <s v="MCHB US Equity"/>
    <s v="MECHANICS BANCOR"/>
    <s v="Financials"/>
    <s v="Banking"/>
    <x v="26"/>
    <s v="UNITED STATES"/>
    <n v="3.25"/>
    <n v="3"/>
    <n v="0"/>
    <n v="54.999674940509294"/>
  </r>
  <r>
    <s v="MCHP US Equity"/>
    <s v="MICROCHIP TECH"/>
    <s v="Technology"/>
    <s v="Tech Hardware &amp; Semiconductors"/>
    <x v="17"/>
    <s v="UNITED STATES"/>
    <n v="40.380000000000003"/>
    <n v="4.3499999999999996"/>
    <n v="0"/>
    <n v="63.362070678351763"/>
  </r>
  <r>
    <s v="MCK US Equity"/>
    <s v="MCKESSON CORP"/>
    <s v="Health Care"/>
    <s v="Health Care"/>
    <x v="31"/>
    <s v="UNITED STATES"/>
    <n v="101.24"/>
    <n v="4.63"/>
    <n v="0"/>
    <n v="69.005149975574312"/>
  </r>
  <r>
    <s v="MCO US Equity"/>
    <s v="MOODY'S CORP"/>
    <s v="Financials"/>
    <s v="Financial Services"/>
    <x v="35"/>
    <s v="UNITED STATES"/>
    <n v="93.49"/>
    <n v="4.41"/>
    <n v="0"/>
    <n v="14.803087425226181"/>
  </r>
  <r>
    <s v="MCRI US Equity"/>
    <s v="MONARCH CASINO"/>
    <s v="Consumer Discretionary"/>
    <s v="Consumer Discretionary Services"/>
    <x v="6"/>
    <s v="UNITED STATES"/>
    <n v="1.65"/>
    <n v="3.67"/>
    <n v="0"/>
    <n v="56.111895100028725"/>
  </r>
  <r>
    <s v="MCS US Equity"/>
    <s v="MARCUS CORP"/>
    <s v="Consumer Discretionary"/>
    <s v="Consumer Discretionary Services"/>
    <x v="6"/>
    <s v="UNITED STATES"/>
    <n v="0.48"/>
    <n v="5"/>
    <n v="91198"/>
    <n v="62.009395312392776"/>
  </r>
  <r>
    <s v="MCW US Equity"/>
    <s v="MISTER CAR WASH"/>
    <s v="Consumer Discretionary"/>
    <s v="Retail &amp; Whsle - Discretionary"/>
    <x v="10"/>
    <s v="UNITED STATES"/>
    <n v="1.92"/>
    <n v="4.1100000000000003"/>
    <n v="0"/>
    <n v="57.80961353572571"/>
  </r>
  <r>
    <s v="MCY US Equity"/>
    <s v="MERCURY GEN CORP"/>
    <s v="Financials"/>
    <s v="Insurance"/>
    <x v="23"/>
    <s v="UNITED STATES"/>
    <n v="4.74"/>
    <n v="5"/>
    <n v="47190"/>
    <n v="59.744185428682023"/>
  </r>
  <r>
    <s v="MD US Equity"/>
    <s v="PEDIATRIX MEDICA"/>
    <s v="Health Care"/>
    <s v="Health Care"/>
    <x v="31"/>
    <s v="UNITED STATES"/>
    <n v="1.85"/>
    <n v="3.57"/>
    <n v="0"/>
    <n v="50.848905845461267"/>
  </r>
  <r>
    <s v="MDA CT Equity"/>
    <s v="MDA SPACE LTD"/>
    <s v="Industrials"/>
    <s v="Industrial Products"/>
    <x v="32"/>
    <s v="CANADA"/>
    <n v="3.38"/>
    <n v="5"/>
    <n v="153046"/>
    <n v="51.285027773801602"/>
  </r>
  <r>
    <s v="MDB US Equity"/>
    <s v="MONGODB INC"/>
    <s v="Technology"/>
    <s v="Software &amp; Tech Services"/>
    <x v="14"/>
    <s v="UNITED STATES"/>
    <n v="32.450000000000003"/>
    <n v="4.45"/>
    <n v="0"/>
    <n v="45.132871809253359"/>
  </r>
  <r>
    <s v="MDGL US Equity"/>
    <s v="MADRIGAL PHARMAC"/>
    <s v="Health Care"/>
    <s v="Health Care"/>
    <x v="25"/>
    <s v="UNITED STATES"/>
    <n v="10.91"/>
    <n v="4.71"/>
    <n v="0"/>
    <n v="40.310238133352463"/>
  </r>
  <r>
    <s v="MDLZ US Equity"/>
    <s v="MONDELEZ INTER-A"/>
    <s v="Consumer Staples"/>
    <s v="Consumer Staple Products"/>
    <x v="42"/>
    <s v="UNITED STATES"/>
    <n v="75.36"/>
    <n v="4.5199999999999996"/>
    <n v="0"/>
    <n v="72.227404876346114"/>
  </r>
  <r>
    <s v="MDT US Equity"/>
    <s v="MEDTRONIC PLC"/>
    <s v="Health Care"/>
    <s v="Health Care"/>
    <x v="9"/>
    <s v="IRELAND"/>
    <n v="129.33000000000001"/>
    <n v="4.07"/>
    <n v="504400"/>
    <n v="52.512554981514526"/>
  </r>
  <r>
    <s v="MDU US Equity"/>
    <s v="MDU RES GROUP"/>
    <s v="Utilities"/>
    <s v="Utilities"/>
    <x v="57"/>
    <s v="UNITED STATES"/>
    <n v="4.33"/>
    <n v="4.25"/>
    <n v="202000"/>
    <n v="53.240906313819806"/>
  </r>
  <r>
    <s v="MDXG US Equity"/>
    <s v="MIMEDX GROUP INC"/>
    <s v="Health Care"/>
    <s v="Health Care"/>
    <x v="9"/>
    <s v="UNITED STATES"/>
    <n v="0.78"/>
    <n v="5"/>
    <n v="0"/>
    <n v="35.984999277915804"/>
  </r>
  <r>
    <s v="MDXH US Equity"/>
    <s v="MDXHEALTH"/>
    <s v="Health Care"/>
    <s v="Health Care"/>
    <x v="31"/>
    <s v="BELGIUM"/>
    <n v="0.19"/>
    <n v="5"/>
    <n v="0"/>
    <n v="49.265096998909478"/>
  </r>
  <r>
    <s v="MDY US Equity"/>
    <s v="SPDR S&amp;P MidCap 400 ETF Trust"/>
    <s v="Financials"/>
    <s v="Financial Services"/>
    <x v="83"/>
    <s v="UNITED STATES"/>
    <n v="24.93"/>
    <n v="0"/>
    <n v="0"/>
    <n v="66.911589446465484"/>
  </r>
  <r>
    <s v="MEC US Equity"/>
    <s v="MAYVILLE ENGINEE"/>
    <s v="Industrials"/>
    <s v="Industrial Products"/>
    <x v="52"/>
    <s v="UNITED STATES"/>
    <n v="0.37"/>
    <n v="4.5999999999999996"/>
    <n v="172866"/>
    <n v="68.780152628387441"/>
  </r>
  <r>
    <s v="MEDP US Equity"/>
    <s v="MEDPACE HOLDINGS"/>
    <s v="Health Care"/>
    <s v="Health Care"/>
    <x v="31"/>
    <s v="UNITED STATES"/>
    <n v="16.559999999999999"/>
    <n v="2.54"/>
    <n v="0"/>
    <n v="15.673178567119905"/>
  </r>
  <r>
    <s v="MEG US Equity"/>
    <s v="MONTROSE ENVIRON"/>
    <s v="Industrials"/>
    <s v="Industrial Services"/>
    <x v="27"/>
    <s v="UNITED STATES"/>
    <n v="0.81"/>
    <n v="4.5"/>
    <n v="0"/>
    <n v="53.506832104380429"/>
  </r>
  <r>
    <s v="MELI US Equity"/>
    <s v="MERCADOLIBRE INC"/>
    <s v="Consumer Discretionary"/>
    <s v="Retail &amp; Whsle - Discretionary"/>
    <x v="51"/>
    <s v="URUGUAY"/>
    <n v="108.35"/>
    <n v="4.7699999999999996"/>
    <n v="0"/>
    <n v="42.796671068171591"/>
  </r>
  <r>
    <s v="MEOH US Equity"/>
    <s v="METHANEX CORP"/>
    <s v="Materials"/>
    <s v="Materials"/>
    <x v="21"/>
    <s v="CANADA"/>
    <n v="3.79"/>
    <n v="4.8"/>
    <n v="747642"/>
    <n v="59.756469930901716"/>
  </r>
  <r>
    <s v="MESO US Equity"/>
    <s v="MESOBLAST LT-ADR"/>
    <s v="Health Care"/>
    <s v="Health Care"/>
    <x v="25"/>
    <s v="AUSTRALIA"/>
    <n v="2.37"/>
    <n v="5"/>
    <n v="0"/>
    <n v="53.945838356093581"/>
  </r>
  <r>
    <s v="MET US Equity"/>
    <s v="METLIFE INC"/>
    <s v="Financials"/>
    <s v="Insurance"/>
    <x v="23"/>
    <s v="UNITED STATES"/>
    <n v="49.95"/>
    <n v="4.33"/>
    <n v="0"/>
    <n v="54.824409216792382"/>
  </r>
  <r>
    <s v="META US Equity"/>
    <s v="META PLATFORMS-A"/>
    <s v="Communications"/>
    <s v="Media"/>
    <x v="13"/>
    <s v="UNITED STATES"/>
    <n v="1660.78"/>
    <n v="4.74"/>
    <n v="0"/>
    <n v="50.767179508632154"/>
  </r>
  <r>
    <s v="METC US Equity"/>
    <s v="RAMACO RESOURC-A"/>
    <s v="Materials"/>
    <s v="Materials"/>
    <x v="22"/>
    <s v="UNITED STATES"/>
    <n v="1.68"/>
    <n v="4.33"/>
    <n v="0"/>
    <n v="42.166717903665678"/>
  </r>
  <r>
    <s v="METCB US Equity"/>
    <s v="RAMACO RES-B"/>
    <s v="Materials"/>
    <s v="Materials"/>
    <x v="22"/>
    <s v="UNITED STATES"/>
    <n v="1.68"/>
    <n v="0"/>
    <n v="0"/>
    <n v="51.303483010054158"/>
  </r>
  <r>
    <s v="MFC US Equity"/>
    <s v="MANULIFE FIN"/>
    <s v="Financials"/>
    <s v="Insurance"/>
    <x v="23"/>
    <s v="CANADA"/>
    <n v="62.12"/>
    <n v="4.1900000000000004"/>
    <n v="0"/>
    <n v="55.639752536711889"/>
  </r>
  <r>
    <s v="MFG US Equity"/>
    <s v="MIZUHO FINAN-ADR"/>
    <s v="Financials"/>
    <s v="Banking"/>
    <x v="26"/>
    <s v="JAPAN"/>
    <n v="105.45"/>
    <n v="3"/>
    <n v="0"/>
    <n v="82.931486766802081"/>
  </r>
  <r>
    <s v="MFIC US Equity"/>
    <s v="MIDCAP FINANCIAL"/>
    <s v="Financials"/>
    <s v="Financial Services"/>
    <x v="24"/>
    <s v="UNITED STATES"/>
    <n v="1.07"/>
    <n v="3.25"/>
    <n v="0"/>
    <n v="51.611453843955424"/>
  </r>
  <r>
    <s v="MG US Equity"/>
    <s v="MISTRAS GROUP IN"/>
    <s v="Industrials"/>
    <s v="Industrial Services"/>
    <x v="27"/>
    <s v="UNITED STATES"/>
    <n v="0.45"/>
    <n v="5"/>
    <n v="0"/>
    <n v="53.262248204456021"/>
  </r>
  <r>
    <s v="MGA US Equity"/>
    <s v="MAGNA INTL"/>
    <s v="Consumer Discretionary"/>
    <s v="Consumer Discretionary Products"/>
    <x v="8"/>
    <s v="CANADA"/>
    <n v="14.96"/>
    <n v="3.25"/>
    <n v="0"/>
    <n v="67.642618582413235"/>
  </r>
  <r>
    <s v="MGC US Equity"/>
    <s v="Mega Cap ETF "/>
    <s v="Financials"/>
    <s v="Financial Services"/>
    <x v="84"/>
    <s v="UNITED STATES"/>
    <n v="9.8800000000000008"/>
    <n v="0"/>
    <n v="0"/>
    <n v="49.753632170926558"/>
  </r>
  <r>
    <s v="MGEE US Equity"/>
    <s v="MGE ENERGY INC"/>
    <s v="Utilities"/>
    <s v="Utilities"/>
    <x v="38"/>
    <s v="UNITED STATES"/>
    <n v="2.87"/>
    <n v="2.33"/>
    <n v="80879"/>
    <n v="52.410737452956702"/>
  </r>
  <r>
    <s v="MGIC US Equity"/>
    <s v="MAGIC SOFTWARE"/>
    <s v="Technology"/>
    <s v="Software &amp; Tech Services"/>
    <x v="34"/>
    <s v="ISRAEL"/>
    <n v="1.32"/>
    <n v="4"/>
    <n v="0"/>
    <n v="30.747808040827579"/>
  </r>
  <r>
    <s v="MGK US Equity"/>
    <s v="Mega Cap Growth ETF "/>
    <s v="Financials"/>
    <s v="Financial Services"/>
    <x v="85"/>
    <s v="UNITED STATES"/>
    <n v="31.48"/>
    <n v="0"/>
    <n v="0"/>
    <n v="40.027316090256527"/>
  </r>
  <r>
    <s v="MGM US Equity"/>
    <s v="MGM RESORTS INTE"/>
    <s v="Consumer Discretionary"/>
    <s v="Consumer Discretionary Services"/>
    <x v="6"/>
    <s v="UNITED STATES"/>
    <n v="9.31"/>
    <n v="3.65"/>
    <n v="0"/>
    <n v="55.128724206217697"/>
  </r>
  <r>
    <s v="MGNI US Equity"/>
    <s v="MAGNITE INC"/>
    <s v="Communications"/>
    <s v="Media"/>
    <x v="53"/>
    <s v="UNITED STATES"/>
    <n v="2.21"/>
    <n v="4.8"/>
    <n v="0"/>
    <n v="31.452132117729946"/>
  </r>
  <r>
    <s v="MGPI US Equity"/>
    <s v="MGP INGREDIENTS"/>
    <s v="Consumer Staples"/>
    <s v="Consumer Staple Products"/>
    <x v="11"/>
    <s v="UNITED STATES"/>
    <n v="0.54"/>
    <n v="4.5999999999999996"/>
    <n v="0"/>
    <n v="59.100551890347376"/>
  </r>
  <r>
    <s v="MGRC US Equity"/>
    <s v="MCGRATH RENTCORP"/>
    <s v="Real Estate"/>
    <s v="Real Estate"/>
    <x v="39"/>
    <s v="UNITED STATES"/>
    <n v="2.8"/>
    <n v="4.5"/>
    <n v="0"/>
    <n v="54.765301344721159"/>
  </r>
  <r>
    <s v="MGRT US Equity"/>
    <s v="MEGA FORTUNE CO"/>
    <s v="Technology"/>
    <s v="Software &amp; Tech Services"/>
    <x v="34"/>
    <s v="HONG KONG"/>
    <n v="0.09"/>
    <n v="0"/>
    <n v="0"/>
    <n v="48.132857451268421"/>
  </r>
  <r>
    <s v="MGTX US Equity"/>
    <s v="MEIRAGTX HOLDING"/>
    <s v="Health Care"/>
    <s v="Health Care"/>
    <x v="25"/>
    <s v="UNITED STATES"/>
    <n v="0.65"/>
    <n v="5"/>
    <n v="0"/>
    <n v="45.353773459332608"/>
  </r>
  <r>
    <s v="MGV US Equity"/>
    <s v="Mega Cap Value ETF "/>
    <s v="Financials"/>
    <s v="Financial Services"/>
    <x v="86"/>
    <s v="UNITED STATES"/>
    <n v="11.15"/>
    <n v="0"/>
    <n v="0"/>
    <n v="74.805075571326526"/>
  </r>
  <r>
    <s v="MGY US Equity"/>
    <s v="MAGNOLIA OIL-A"/>
    <s v="Energy"/>
    <s v="Oil &amp; Gas"/>
    <x v="20"/>
    <s v="UNITED STATES"/>
    <n v="4.55"/>
    <n v="4.0999999999999996"/>
    <n v="108450"/>
    <n v="72.395169121950914"/>
  </r>
  <r>
    <s v="MGYR US Equity"/>
    <s v="MAGYAR BANCORP"/>
    <s v="Financials"/>
    <s v="Banking"/>
    <x v="26"/>
    <s v="UNITED STATES"/>
    <n v="0.12"/>
    <n v="0"/>
    <n v="9697"/>
    <n v="55.754488079275653"/>
  </r>
  <r>
    <s v="MH US Equity"/>
    <s v="MCGRAW HILL INC"/>
    <s v="Technology"/>
    <s v="Software &amp; Tech Services"/>
    <x v="14"/>
    <s v="UNITED STATES"/>
    <n v="2.89"/>
    <n v="4.8499999999999996"/>
    <n v="494575"/>
    <n v="31.905188734310244"/>
  </r>
  <r>
    <s v="MHH US Equity"/>
    <s v="MASTECH DIGITAL"/>
    <s v="Technology"/>
    <s v="Software &amp; Tech Services"/>
    <x v="34"/>
    <s v="UNITED STATES"/>
    <n v="0.08"/>
    <n v="0"/>
    <n v="0"/>
    <n v="48.537270391135323"/>
  </r>
  <r>
    <s v="MHK US Equity"/>
    <s v="MOHAWK INDS"/>
    <s v="Consumer Discretionary"/>
    <s v="Consumer Discretionary Products"/>
    <x v="50"/>
    <s v="UNITED STATES"/>
    <n v="7.46"/>
    <n v="3.67"/>
    <n v="0"/>
    <n v="71.0525355838286"/>
  </r>
  <r>
    <s v="MHO US Equity"/>
    <s v="M/I HOMES INC"/>
    <s v="Consumer Discretionary"/>
    <s v="Consumer Discretionary Products"/>
    <x v="50"/>
    <s v="UNITED STATES"/>
    <n v="3.49"/>
    <n v="4.75"/>
    <n v="0"/>
    <n v="65.838013268234903"/>
  </r>
  <r>
    <s v="MIAX US Equity"/>
    <s v="MIAMI INTERNATIO"/>
    <s v="Financials"/>
    <s v="Financial Services"/>
    <x v="49"/>
    <s v="UNITED STATES"/>
    <n v="3.46"/>
    <n v="4.33"/>
    <n v="1086634"/>
    <n v="43.571526274762057"/>
  </r>
  <r>
    <s v="MIDD US Equity"/>
    <s v="MIDDLEBY CORP"/>
    <s v="Industrials"/>
    <s v="Industrial Products"/>
    <x v="3"/>
    <s v="UNITED STATES"/>
    <n v="7.37"/>
    <n v="4.45"/>
    <n v="114169"/>
    <n v="69.756361212214387"/>
  </r>
  <r>
    <s v="MIND US Equity"/>
    <s v="MIND TECHNOLOGY"/>
    <s v="Energy"/>
    <s v="Oil &amp; Gas"/>
    <x v="30"/>
    <s v="UNITED STATES"/>
    <n v="0.09"/>
    <n v="5"/>
    <n v="0"/>
    <n v="44.274232436792751"/>
  </r>
  <r>
    <s v="MIR US Equity"/>
    <s v="MIRION TECHNOLOG"/>
    <s v="Industrials"/>
    <s v="Industrial Products"/>
    <x v="4"/>
    <s v="UNITED STATES"/>
    <n v="6.47"/>
    <n v="4.67"/>
    <n v="0"/>
    <n v="28.383516918855136"/>
  </r>
  <r>
    <s v="MIRA US Equity"/>
    <s v="MIRA PHARMACEUTI"/>
    <s v="Health Care"/>
    <s v="Health Care"/>
    <x v="25"/>
    <s v="UNITED STATES"/>
    <n v="0.06"/>
    <n v="5"/>
    <n v="0"/>
    <n v="33.671671462769041"/>
  </r>
  <r>
    <s v="MIRM US Equity"/>
    <s v="MIRUM PHARMACEUT"/>
    <s v="Health Care"/>
    <s v="Health Care"/>
    <x v="25"/>
    <s v="UNITED STATES"/>
    <n v="4.8499999999999996"/>
    <n v="4.9000000000000004"/>
    <n v="0"/>
    <n v="61.921622892672069"/>
  </r>
  <r>
    <s v="MITK US Equity"/>
    <s v="MITEK SYSTEMS"/>
    <s v="Technology"/>
    <s v="Software &amp; Tech Services"/>
    <x v="14"/>
    <s v="UNITED STATES"/>
    <n v="0.49"/>
    <n v="4.5999999999999996"/>
    <n v="0"/>
    <n v="58.027234215414381"/>
  </r>
  <r>
    <s v="MITT US Equity"/>
    <s v="TPG MORTGAGE INV"/>
    <s v="Financials"/>
    <s v="Financial Services"/>
    <x v="35"/>
    <s v="UNITED STATES"/>
    <n v="0.28000000000000003"/>
    <n v="4.17"/>
    <n v="336300"/>
    <n v="42.911624352792188"/>
  </r>
  <r>
    <s v="MKC US Equity"/>
    <s v="MCCORMICK-N/V"/>
    <s v="Consumer Staples"/>
    <s v="Consumer Staple Products"/>
    <x v="42"/>
    <s v="UNITED STATES"/>
    <n v="16.309999999999999"/>
    <n v="3.8"/>
    <n v="0"/>
    <n v="65.741464360457741"/>
  </r>
  <r>
    <s v="MKL US Equity"/>
    <s v="MARKEL GROUP INC"/>
    <s v="Financials"/>
    <s v="Insurance"/>
    <x v="23"/>
    <s v="UNITED STATES"/>
    <n v="25.59"/>
    <n v="2.71"/>
    <n v="0"/>
    <n v="55.674393502737303"/>
  </r>
  <r>
    <s v="MKSI US Equity"/>
    <s v="MKS INC"/>
    <s v="Technology"/>
    <s v="Tech Hardware &amp; Semiconductors"/>
    <x v="17"/>
    <s v="UNITED STATES"/>
    <n v="14.58"/>
    <n v="4.57"/>
    <n v="0"/>
    <n v="75.057117679162332"/>
  </r>
  <r>
    <s v="MKTX US Equity"/>
    <s v="MARKETAXESS"/>
    <s v="Financials"/>
    <s v="Financial Services"/>
    <x v="35"/>
    <s v="UNITED STATES"/>
    <n v="6.38"/>
    <n v="3.57"/>
    <n v="0"/>
    <n v="62.587725948040038"/>
  </r>
  <r>
    <s v="MLAB US Equity"/>
    <s v="MESA LABS"/>
    <s v="Industrials"/>
    <s v="Industrial Products"/>
    <x v="4"/>
    <s v="UNITED STATES"/>
    <n v="0.46"/>
    <n v="3.67"/>
    <n v="0"/>
    <n v="61.386733461363562"/>
  </r>
  <r>
    <s v="MLAC US Equity"/>
    <s v="MOUNTAIN LAKE-A"/>
    <s v="Financials"/>
    <s v="Financial Services"/>
    <x v="24"/>
    <s v="UNITED STATES"/>
    <n v="0.32"/>
    <n v="0"/>
    <n v="0"/>
    <n v="67.861517242484638"/>
  </r>
  <r>
    <s v="MLCO US Equity"/>
    <s v="MELCO RESO-ADR"/>
    <s v="Consumer Discretionary"/>
    <s v="Consumer Discretionary Services"/>
    <x v="6"/>
    <s v="HONG KONG"/>
    <n v="2.48"/>
    <n v="4.13"/>
    <n v="0"/>
    <n v="38.965338335057751"/>
  </r>
  <r>
    <s v="MLI US Equity"/>
    <s v="MUELLER INDS"/>
    <s v="Industrials"/>
    <s v="Industrial Products"/>
    <x v="52"/>
    <s v="UNITED STATES"/>
    <n v="14.73"/>
    <n v="5"/>
    <n v="0"/>
    <n v="45.186777907482686"/>
  </r>
  <r>
    <s v="MLKN US Equity"/>
    <s v="MILLERKNOLL INC"/>
    <s v="Consumer Discretionary"/>
    <s v="Consumer Discretionary Products"/>
    <x v="29"/>
    <s v="UNITED STATES"/>
    <n v="1.34"/>
    <n v="3"/>
    <n v="0"/>
    <n v="74.239930108798987"/>
  </r>
  <r>
    <s v="MLM US Equity"/>
    <s v="MARTIN MAR MTLS"/>
    <s v="Materials"/>
    <s v="Materials"/>
    <x v="48"/>
    <s v="UNITED STATES"/>
    <n v="39.17"/>
    <n v="4"/>
    <n v="0"/>
    <n v="50.963376060115586"/>
  </r>
  <r>
    <s v="MLR US Equity"/>
    <s v="MILLER INDS/TENN"/>
    <s v="Consumer Discretionary"/>
    <s v="Consumer Discretionary Products"/>
    <x v="8"/>
    <s v="UNITED STATES"/>
    <n v="0.46"/>
    <n v="4"/>
    <n v="0"/>
    <n v="71.824339833338158"/>
  </r>
  <r>
    <s v="MLTX US Equity"/>
    <s v="MOONLAKE IMMUNOT"/>
    <s v="Health Care"/>
    <s v="Health Care"/>
    <x v="25"/>
    <s v="SWITZERLAND"/>
    <n v="1.1399999999999999"/>
    <n v="3.89"/>
    <n v="172398"/>
    <n v="53.175564881636724"/>
  </r>
  <r>
    <s v="MLYS US Equity"/>
    <s v="MINERALYS THERAP"/>
    <s v="Health Care"/>
    <s v="Health Care"/>
    <x v="25"/>
    <s v="UNITED STATES"/>
    <n v="2.59"/>
    <n v="4.78"/>
    <n v="0"/>
    <n v="40.003557011903936"/>
  </r>
  <r>
    <s v="MMI US Equity"/>
    <s v="MARCUS &amp; MILLICH"/>
    <s v="Real Estate"/>
    <s v="Real Estate"/>
    <x v="7"/>
    <s v="UNITED STATES"/>
    <n v="1.03"/>
    <n v="2"/>
    <n v="45658"/>
    <n v="45.128283366658088"/>
  </r>
  <r>
    <s v="MMM US Equity"/>
    <s v="3M CO"/>
    <s v="Industrials"/>
    <s v="Industrial Products"/>
    <x v="18"/>
    <s v="UNITED STATES"/>
    <n v="86.42"/>
    <n v="3.8"/>
    <n v="0"/>
    <n v="62.737478517904229"/>
  </r>
  <r>
    <s v="MMS US Equity"/>
    <s v="MAXIMUS INC"/>
    <s v="Technology"/>
    <s v="Software &amp; Tech Services"/>
    <x v="34"/>
    <s v="UNITED STATES"/>
    <n v="5.38"/>
    <n v="4.5"/>
    <n v="10943"/>
    <n v="28.759181265370287"/>
  </r>
  <r>
    <s v="MMSI US Equity"/>
    <s v="MERIT MEDICAL"/>
    <s v="Health Care"/>
    <s v="Health Care"/>
    <x v="9"/>
    <s v="UNITED STATES"/>
    <n v="4.84"/>
    <n v="4.8"/>
    <n v="0"/>
    <n v="45.857914348915223"/>
  </r>
  <r>
    <s v="MMTX US Equity"/>
    <s v="MILUNA ACQUISITI"/>
    <s v="Financials"/>
    <s v="Financial Services"/>
    <x v="24"/>
    <s v="TAIWAN"/>
    <n v="0.09"/>
    <n v="0"/>
    <n v="0"/>
    <n v="68.784163572679859"/>
  </r>
  <r>
    <s v="MMYT US Equity"/>
    <s v="MAKEMYTRIP LTD"/>
    <s v="Communications"/>
    <s v="Media"/>
    <x v="13"/>
    <s v="INDIA"/>
    <n v="5.96"/>
    <n v="5"/>
    <n v="0"/>
    <n v="37.059307547948578"/>
  </r>
  <r>
    <s v="MNDY US Equity"/>
    <s v="MONDAY.COM LTD"/>
    <s v="Technology"/>
    <s v="Software &amp; Tech Services"/>
    <x v="14"/>
    <s v="ISRAEL"/>
    <n v="6.57"/>
    <n v="4.79"/>
    <n v="0"/>
    <n v="15.679234397698906"/>
  </r>
  <r>
    <s v="MNKD US Equity"/>
    <s v="MANNKIND CORP"/>
    <s v="Health Care"/>
    <s v="Health Care"/>
    <x v="25"/>
    <s v="UNITED STATES"/>
    <n v="1.68"/>
    <n v="5"/>
    <n v="0"/>
    <n v="49.914947774710221"/>
  </r>
  <r>
    <s v="MNO CT Equity"/>
    <s v="MERIDIAN MINING"/>
    <s v="Materials"/>
    <s v="Materials"/>
    <x v="22"/>
    <s v="NETHERLANDS"/>
    <n v="0.48"/>
    <n v="5"/>
    <n v="0"/>
    <n v="55.276436647613323"/>
  </r>
  <r>
    <s v="MNPR US Equity"/>
    <s v="MONOPAR THERAPEU"/>
    <s v="Health Care"/>
    <s v="Health Care"/>
    <x v="25"/>
    <s v="UNITED STATES"/>
    <n v="0.5"/>
    <n v="5"/>
    <n v="112538"/>
    <n v="40.721986718897398"/>
  </r>
  <r>
    <s v="MNRO US Equity"/>
    <s v="MONRO INC"/>
    <s v="Consumer Discretionary"/>
    <s v="Retail &amp; Whsle - Discretionary"/>
    <x v="10"/>
    <s v="UNITED STATES"/>
    <n v="0.62"/>
    <n v="3.4"/>
    <n v="0"/>
    <n v="72.040472494975944"/>
  </r>
  <r>
    <s v="MNSO US Equity"/>
    <s v="MINISO GROUP-ADR"/>
    <s v="Consumer Discretionary"/>
    <s v="Retail &amp; Whsle - Discretionary"/>
    <x v="10"/>
    <s v="CHINA"/>
    <n v="6.14"/>
    <n v="4.9000000000000004"/>
    <n v="0"/>
    <n v="55.45960211336115"/>
  </r>
  <r>
    <s v="MNST US Equity"/>
    <s v="MONSTER BEVERAGE"/>
    <s v="Consumer Staples"/>
    <s v="Consumer Staple Products"/>
    <x v="11"/>
    <s v="UNITED STATES"/>
    <n v="80.12"/>
    <n v="3.96"/>
    <n v="0"/>
    <n v="55.333635688672842"/>
  </r>
  <r>
    <s v="MNTN US Equity"/>
    <s v="MNTN INC-A"/>
    <s v="Communications"/>
    <s v="Media"/>
    <x v="53"/>
    <s v="UNITED STATES"/>
    <n v="0.74"/>
    <n v="4.5999999999999996"/>
    <n v="0"/>
    <n v="59.256242018966873"/>
  </r>
  <r>
    <s v="MO US Equity"/>
    <s v="ALTRIA GROUP INC"/>
    <s v="Consumer Staples"/>
    <s v="Consumer Staple Products"/>
    <x v="28"/>
    <s v="UNITED STATES"/>
    <n v="103.93"/>
    <n v="3.24"/>
    <n v="0"/>
    <n v="67.496690809109225"/>
  </r>
  <r>
    <s v="MOB US Equity"/>
    <s v="MOBILICOM LTD/AU"/>
    <s v="Technology"/>
    <s v="Tech Hardware &amp; Semiconductors"/>
    <x v="16"/>
    <s v="AUSTRALIA"/>
    <n v="0.04"/>
    <n v="5"/>
    <n v="0"/>
    <n v="42.299548840027754"/>
  </r>
  <r>
    <s v="MOD US Equity"/>
    <s v="MODINE MFG CO"/>
    <s v="Industrials"/>
    <s v="Industrial Products"/>
    <x v="4"/>
    <s v="UNITED STATES"/>
    <n v="7.69"/>
    <n v="4.8600000000000003"/>
    <n v="0"/>
    <n v="85.833469804241417"/>
  </r>
  <r>
    <s v="MOFG US Equity"/>
    <s v="MIDWESTONE FINAN"/>
    <s v="Financials"/>
    <s v="Banking"/>
    <x v="26"/>
    <s v="UNITED STATES"/>
    <n v="0.92"/>
    <n v="4"/>
    <n v="495156"/>
    <n v="71.30249680256928"/>
  </r>
  <r>
    <s v="MOG/A US Equity"/>
    <s v="MOOG INC-CLASS A"/>
    <s v="Industrials"/>
    <s v="Industrial Products"/>
    <x v="32"/>
    <s v="UNITED STATES"/>
    <n v="9.7799999999999994"/>
    <n v="4.25"/>
    <n v="0"/>
    <n v="73.769239459301929"/>
  </r>
  <r>
    <s v="MOH GA Equity"/>
    <s v="MOTOR OIL-HELLAS"/>
    <s v="Energy"/>
    <s v="Oil &amp; Gas"/>
    <x v="20"/>
    <s v="GREECE"/>
    <n v="4.3"/>
    <n v="4.17"/>
    <n v="0"/>
    <n v="77.637751617803843"/>
  </r>
  <r>
    <s v="MOH US Equity"/>
    <s v="MOLINA HEALTHCAR"/>
    <s v="Health Care"/>
    <s v="Health Care"/>
    <x v="31"/>
    <s v="UNITED STATES"/>
    <n v="10.38"/>
    <n v="3.2"/>
    <n v="2018900"/>
    <n v="19.427611141752465"/>
  </r>
  <r>
    <s v="MOLN US Equity"/>
    <s v="MOLECULAR PARTNE"/>
    <s v="Health Care"/>
    <s v="Health Care"/>
    <x v="25"/>
    <s v="SWITZERLAND"/>
    <n v="0.17"/>
    <n v="4.67"/>
    <n v="0"/>
    <n v="60.72909497063695"/>
  </r>
  <r>
    <s v="MOMO US Equity"/>
    <s v="HELLO -SPN ADR"/>
    <s v="Communications"/>
    <s v="Media"/>
    <x v="13"/>
    <s v="CHINA"/>
    <n v="1.1000000000000001"/>
    <n v="4.2"/>
    <n v="0"/>
    <n v="41.116157228017855"/>
  </r>
  <r>
    <s v="MORN US Equity"/>
    <s v="MORNINGSTAR INC"/>
    <s v="Financials"/>
    <s v="Financial Services"/>
    <x v="35"/>
    <s v="UNITED STATES"/>
    <n v="8.67"/>
    <n v="4.33"/>
    <n v="0"/>
    <n v="14.791347310017471"/>
  </r>
  <r>
    <s v="MOS US Equity"/>
    <s v="MOSAIC CO/THE"/>
    <s v="Materials"/>
    <s v="Materials"/>
    <x v="21"/>
    <s v="UNITED STATES"/>
    <n v="9.14"/>
    <n v="3.8"/>
    <n v="19721"/>
    <n v="70.906151334307026"/>
  </r>
  <r>
    <s v="MOV US Equity"/>
    <s v="MOVADO GROUP"/>
    <s v="Consumer Discretionary"/>
    <s v="Consumer Discretionary Products"/>
    <x v="5"/>
    <s v="UNITED STATES"/>
    <n v="0.5"/>
    <n v="5"/>
    <n v="0"/>
    <n v="65.849329965567264"/>
  </r>
  <r>
    <s v="MP US Equity"/>
    <s v="MP MATERIALS COR"/>
    <s v="Materials"/>
    <s v="Materials"/>
    <x v="22"/>
    <s v="UNITED STATES"/>
    <n v="12.33"/>
    <n v="4.8899999999999997"/>
    <n v="0"/>
    <n v="48.055310623183892"/>
  </r>
  <r>
    <s v="MPB US Equity"/>
    <s v="MID PENN BANCORP"/>
    <s v="Financials"/>
    <s v="Banking"/>
    <x v="26"/>
    <s v="UNITED STATES"/>
    <n v="0.75"/>
    <n v="5"/>
    <n v="251444"/>
    <n v="55.354664925866274"/>
  </r>
  <r>
    <s v="MPC US Equity"/>
    <s v="MARATHON PETROLE"/>
    <s v="Energy"/>
    <s v="Oil &amp; Gas"/>
    <x v="20"/>
    <s v="UNITED STATES"/>
    <n v="52.72"/>
    <n v="3.92"/>
    <n v="0"/>
    <n v="80.400156671580575"/>
  </r>
  <r>
    <s v="MPLT US Equity"/>
    <s v="MAPLIGHT THERAPE"/>
    <s v="Health Care"/>
    <s v="Health Care"/>
    <x v="25"/>
    <s v="UNITED STATES"/>
    <n v="0.82"/>
    <n v="5"/>
    <n v="0"/>
    <n v="50.73310456364942"/>
  </r>
  <r>
    <s v="MPLX US Equity"/>
    <s v="MPLX LP"/>
    <s v="Energy"/>
    <s v="Oil &amp; Gas"/>
    <x v="20"/>
    <s v="UNITED STATES"/>
    <n v="56.11"/>
    <n v="3.8"/>
    <n v="0"/>
    <n v="63.03550816720962"/>
  </r>
  <r>
    <s v="MPWR US Equity"/>
    <s v="MONOLITHIC POWER"/>
    <s v="Technology"/>
    <s v="Tech Hardware &amp; Semiconductors"/>
    <x v="17"/>
    <s v="UNITED STATES"/>
    <n v="50.96"/>
    <n v="4.5599999999999996"/>
    <n v="0"/>
    <n v="62.290256546001473"/>
  </r>
  <r>
    <s v="MQ US Equity"/>
    <s v="MARQETA INC-A"/>
    <s v="Financials"/>
    <s v="Financial Services"/>
    <x v="35"/>
    <s v="UNITED STATES"/>
    <n v="1.95"/>
    <n v="3.21"/>
    <n v="0"/>
    <n v="40.468262316550764"/>
  </r>
  <r>
    <s v="MRAM US Equity"/>
    <s v="EVERSPIN TECHNOL"/>
    <s v="Technology"/>
    <s v="Tech Hardware &amp; Semiconductors"/>
    <x v="16"/>
    <s v="UNITED STATES"/>
    <n v="0.32"/>
    <n v="5"/>
    <n v="0"/>
    <n v="46.113497631022142"/>
  </r>
  <r>
    <s v="MRCY US Equity"/>
    <s v="MERCURY SYSTEMS"/>
    <s v="Industrials"/>
    <s v="Industrial Products"/>
    <x v="32"/>
    <s v="UNITED STATES"/>
    <n v="5.95"/>
    <n v="4.2"/>
    <n v="0"/>
    <n v="40.755922254092802"/>
  </r>
  <r>
    <s v="MRK US Equity"/>
    <s v="MERCK &amp; CO"/>
    <s v="Health Care"/>
    <s v="Health Care"/>
    <x v="25"/>
    <s v="UNITED STATES"/>
    <n v="268.51"/>
    <n v="4.21"/>
    <n v="0"/>
    <n v="66.504295106512359"/>
  </r>
  <r>
    <s v="MRKR US Equity"/>
    <s v="MARKER THERAPEUT"/>
    <s v="Health Care"/>
    <s v="Health Care"/>
    <x v="25"/>
    <s v="UNITED STATES"/>
    <n v="0.04"/>
    <n v="5"/>
    <n v="0"/>
    <n v="41.353248953744426"/>
  </r>
  <r>
    <s v="MRM US Equity"/>
    <s v="MEDIROM HEALTHCA"/>
    <s v="Health Care"/>
    <s v="Health Care"/>
    <x v="31"/>
    <s v="JAPAN"/>
    <n v="0.01"/>
    <n v="5"/>
    <n v="0"/>
    <n v="16.304913123309433"/>
  </r>
  <r>
    <s v="MRNA US Equity"/>
    <s v="MODERNA INC"/>
    <s v="Health Care"/>
    <s v="Health Care"/>
    <x v="25"/>
    <s v="UNITED STATES"/>
    <n v="19.03"/>
    <n v="3"/>
    <n v="0"/>
    <n v="49.357487095931234"/>
  </r>
  <r>
    <s v="MRO LN Equity"/>
    <s v="MELROSE INDUSTRI"/>
    <s v="Industrials"/>
    <s v="Industrial Products"/>
    <x v="32"/>
    <s v="BRITAIN"/>
    <n v="10.85"/>
    <n v="4.22"/>
    <n v="233314"/>
    <n v="53.075601554394488"/>
  </r>
  <r>
    <s v="MRP US Equity"/>
    <s v="MILLROSE PROPERT"/>
    <s v="Real Estate"/>
    <s v="Real Estate"/>
    <x v="37"/>
    <s v="UNITED STATES"/>
    <n v="5.01"/>
    <n v="4.57"/>
    <n v="409361"/>
    <n v="64.835503635444041"/>
  </r>
  <r>
    <s v="MRSH US Equity"/>
    <s v="MARSH &amp; MCLENNAN"/>
    <s v="Financials"/>
    <s v="Insurance"/>
    <x v="23"/>
    <s v="UNITED STATES"/>
    <n v="89.73"/>
    <n v="3.62"/>
    <n v="183160"/>
    <n v="37.41461686397767"/>
  </r>
  <r>
    <s v="MRTN US Equity"/>
    <s v="MARTEN TRANSPORT"/>
    <s v="Industrials"/>
    <s v="Industrial Services"/>
    <x v="12"/>
    <s v="UNITED STATES"/>
    <n v="1.03"/>
    <n v="3"/>
    <n v="0"/>
    <n v="66.78651542339216"/>
  </r>
  <r>
    <s v="MRVI US Equity"/>
    <s v="MARAVAI LIFESC-A"/>
    <s v="Health Care"/>
    <s v="Health Care"/>
    <x v="25"/>
    <s v="UNITED STATES"/>
    <n v="0.95"/>
    <n v="3.91"/>
    <n v="2102720"/>
    <n v="34.96516245324807"/>
  </r>
  <r>
    <s v="MRVL US Equity"/>
    <s v="MARVELL TECHNOLO"/>
    <s v="Technology"/>
    <s v="Tech Hardware &amp; Semiconductors"/>
    <x v="17"/>
    <s v="UNITED STATES"/>
    <n v="68.040000000000006"/>
    <n v="4.38"/>
    <n v="2182256"/>
    <n v="50.002886258241411"/>
  </r>
  <r>
    <s v="MRX US Equity"/>
    <s v="MAREX GROUP PLC"/>
    <s v="Financials"/>
    <s v="Financial Services"/>
    <x v="49"/>
    <s v="BRITAIN"/>
    <n v="2.79"/>
    <n v="4.71"/>
    <n v="5572520"/>
    <n v="55.672823234060218"/>
  </r>
  <r>
    <s v="MS US Equity"/>
    <s v="MORGAN STANLEY"/>
    <s v="Financials"/>
    <s v="Financial Services"/>
    <x v="49"/>
    <s v="UNITED STATES"/>
    <n v="284.49"/>
    <n v="3.79"/>
    <n v="0"/>
    <n v="44.48297780008393"/>
  </r>
  <r>
    <s v="MSA US Equity"/>
    <s v="MSA SAFETY INC"/>
    <s v="Industrials"/>
    <s v="Industrial Products"/>
    <x v="3"/>
    <s v="UNITED STATES"/>
    <n v="7.1"/>
    <n v="4"/>
    <n v="0"/>
    <n v="76.963382072811726"/>
  </r>
  <r>
    <s v="MSB US Equity"/>
    <s v="MESABI TRUST"/>
    <s v="Materials"/>
    <s v="Materials"/>
    <x v="22"/>
    <s v="UNITED STATES"/>
    <n v="0.47"/>
    <n v="0"/>
    <n v="0"/>
    <n v="45.006921723725696"/>
  </r>
  <r>
    <s v="MSBI US Equity"/>
    <s v="MIDLAND STATES B"/>
    <s v="Financials"/>
    <s v="Banking"/>
    <x v="26"/>
    <s v="UNITED STATES"/>
    <n v="0.49"/>
    <n v="3"/>
    <n v="370254"/>
    <n v="58.144348215161713"/>
  </r>
  <r>
    <s v="MSCI US Equity"/>
    <s v="MSCI INC"/>
    <s v="Financials"/>
    <s v="Financial Services"/>
    <x v="35"/>
    <s v="UNITED STATES"/>
    <n v="44.31"/>
    <n v="4.5999999999999996"/>
    <n v="14685024"/>
    <n v="28.718798093855639"/>
  </r>
  <r>
    <s v="MSDL US Equity"/>
    <s v="MORGAN STANLEY D"/>
    <s v="Financials"/>
    <s v="Financial Services"/>
    <x v="24"/>
    <s v="UNITED STATES"/>
    <n v="1.42"/>
    <n v="3.57"/>
    <n v="1380460"/>
    <n v="49.009930850929273"/>
  </r>
  <r>
    <s v="MSEX US Equity"/>
    <s v="MIDDLESEX WATER"/>
    <s v="Utilities"/>
    <s v="Utilities"/>
    <x v="57"/>
    <s v="UNITED STATES"/>
    <n v="0.96"/>
    <n v="3.5"/>
    <n v="0"/>
    <n v="47.713178513717466"/>
  </r>
  <r>
    <s v="MSFT US Equity"/>
    <s v="MICROSOFT CORP"/>
    <s v="Technology"/>
    <s v="Software &amp; Tech Services"/>
    <x v="14"/>
    <s v="UNITED STATES"/>
    <n v="3463.12"/>
    <n v="4.93"/>
    <n v="0"/>
    <n v="33.295567885041152"/>
  </r>
  <r>
    <s v="MSGE US Equity"/>
    <s v="MADISON SQUARE G"/>
    <s v="Consumer Discretionary"/>
    <s v="Consumer Discretionary Services"/>
    <x v="6"/>
    <s v="UNITED STATES"/>
    <n v="2.89"/>
    <n v="4.13"/>
    <n v="0"/>
    <n v="51.668852920187035"/>
  </r>
  <r>
    <s v="MSGM US Equity"/>
    <s v="MOTORSPORT GAM-A"/>
    <s v="Communications"/>
    <s v="Media"/>
    <x v="47"/>
    <s v="UNITED STATES"/>
    <n v="0.02"/>
    <n v="0"/>
    <n v="50520"/>
    <n v="41.516764546624422"/>
  </r>
  <r>
    <s v="MSGS US Equity"/>
    <s v="MADISON SQUARE G"/>
    <s v="Consumer Discretionary"/>
    <s v="Consumer Discretionary Services"/>
    <x v="6"/>
    <s v="UNITED STATES"/>
    <n v="6.91"/>
    <n v="3.78"/>
    <n v="0"/>
    <n v="56.895707770443117"/>
  </r>
  <r>
    <s v="MSI US Equity"/>
    <s v="MOTOROLA SOLUTIO"/>
    <s v="Technology"/>
    <s v="Tech Hardware &amp; Semiconductors"/>
    <x v="16"/>
    <s v="UNITED STATES"/>
    <n v="66.900000000000006"/>
    <n v="4.87"/>
    <n v="0"/>
    <n v="72.812377625275161"/>
  </r>
  <r>
    <s v="MSIF US Equity"/>
    <s v="MSC INCOME FUND"/>
    <s v="Financials"/>
    <s v="Financial Services"/>
    <x v="24"/>
    <s v="UNITED STATES"/>
    <n v="0.62"/>
    <n v="4.29"/>
    <n v="327903"/>
    <n v="44.452141097630438"/>
  </r>
  <r>
    <s v="MSM US Equity"/>
    <s v="MSC INDL DIRECT"/>
    <s v="Industrials"/>
    <s v="Industrial Services"/>
    <x v="43"/>
    <s v="UNITED STATES"/>
    <n v="4.79"/>
    <n v="2.82"/>
    <n v="18126803"/>
    <n v="69.58604658772532"/>
  </r>
  <r>
    <s v="MSOS US Equity"/>
    <s v="A/S PUR US CANN"/>
    <s v="Financials"/>
    <s v="Financial Services"/>
    <x v="24"/>
    <s v="UNITED STATES"/>
    <n v="0.95"/>
    <n v="0"/>
    <n v="0"/>
    <n v="41.04445974339891"/>
  </r>
  <r>
    <s v="MSTR US Equity"/>
    <s v="STRATEGY INC"/>
    <s v="Technology"/>
    <s v="Software &amp; Tech Services"/>
    <x v="14"/>
    <s v="UNITED STATES"/>
    <n v="52.13"/>
    <n v="4.47"/>
    <n v="1239636"/>
    <n v="38.916480616040865"/>
  </r>
  <r>
    <s v="MSZZMOMO Index"/>
    <s v="US MOMENTUM"/>
    <s v="Financials"/>
    <s v="Financial Services"/>
    <x v="24"/>
    <s v="UNITED STATES"/>
    <n v="0"/>
    <n v="0"/>
    <n v="0"/>
    <n v="55.344014739014725"/>
  </r>
  <r>
    <s v="MT US Equity"/>
    <s v="ARCELORMITTAL-NY"/>
    <s v="Materials"/>
    <s v="Materials"/>
    <x v="56"/>
    <s v="LUXEMBOURG"/>
    <n v="42.08"/>
    <n v="3.86"/>
    <n v="0"/>
    <n v="85.589722797950515"/>
  </r>
  <r>
    <s v="MTA US Equity"/>
    <s v="METALLA ROYALTY"/>
    <s v="Materials"/>
    <s v="Materials"/>
    <x v="22"/>
    <s v="CANADA"/>
    <n v="0.78"/>
    <n v="4.5999999999999996"/>
    <n v="198787"/>
    <n v="50.629794443802133"/>
  </r>
  <r>
    <s v="MTB US Equity"/>
    <s v="M&amp;T BANK CORP"/>
    <s v="Financials"/>
    <s v="Banking"/>
    <x v="26"/>
    <s v="UNITED STATES"/>
    <n v="32.86"/>
    <n v="3.64"/>
    <n v="0"/>
    <n v="73.408507021502132"/>
  </r>
  <r>
    <s v="MTC US Equity"/>
    <s v="MMTEC INC"/>
    <s v="Financials"/>
    <s v="Financial Services"/>
    <x v="49"/>
    <s v="CHINA"/>
    <n v="7.0000000000000007E-2"/>
    <n v="0"/>
    <n v="0"/>
    <n v="63.906430573320172"/>
  </r>
  <r>
    <s v="MTCH US Equity"/>
    <s v="MATCH GROUP INC"/>
    <s v="Communications"/>
    <s v="Media"/>
    <x v="13"/>
    <s v="UNITED STATES"/>
    <n v="7.34"/>
    <n v="3.59"/>
    <n v="846930"/>
    <n v="48.684647793530431"/>
  </r>
  <r>
    <s v="MTD US Equity"/>
    <s v="METTLER-TOLEDO"/>
    <s v="Health Care"/>
    <s v="Health Care"/>
    <x v="9"/>
    <s v="UNITED STATES"/>
    <n v="28.73"/>
    <n v="3.63"/>
    <n v="0"/>
    <n v="45.891166327041411"/>
  </r>
  <r>
    <s v="MTDR US Equity"/>
    <s v="MATADOR RESOURCE"/>
    <s v="Energy"/>
    <s v="Oil &amp; Gas"/>
    <x v="20"/>
    <s v="UNITED STATES"/>
    <n v="5.34"/>
    <n v="4.76"/>
    <n v="2188909"/>
    <n v="65.884455366110473"/>
  </r>
  <r>
    <s v="MTG US Equity"/>
    <s v="MGIC INVT CORP"/>
    <s v="Financials"/>
    <s v="Financial Services"/>
    <x v="35"/>
    <s v="UNITED STATES"/>
    <n v="5.88"/>
    <n v="3"/>
    <n v="0"/>
    <n v="51.144269279403645"/>
  </r>
  <r>
    <s v="MTH US Equity"/>
    <s v="MERITAGE HOMES C"/>
    <s v="Consumer Discretionary"/>
    <s v="Consumer Discretionary Products"/>
    <x v="50"/>
    <s v="UNITED STATES"/>
    <n v="5.07"/>
    <n v="3.75"/>
    <n v="158400"/>
    <n v="64.416610092796589"/>
  </r>
  <r>
    <s v="MTLS US Equity"/>
    <s v="MATERIALISE-ADR"/>
    <s v="Industrials"/>
    <s v="Industrial Products"/>
    <x v="52"/>
    <s v="BELGIUM"/>
    <n v="0.33"/>
    <n v="4.67"/>
    <n v="0"/>
    <n v="47.751271958812055"/>
  </r>
  <r>
    <s v="MTN US Equity"/>
    <s v="VAIL RESORTS"/>
    <s v="Consumer Discretionary"/>
    <s v="Consumer Discretionary Services"/>
    <x v="6"/>
    <s v="UNITED STATES"/>
    <n v="4.9400000000000004"/>
    <n v="3.67"/>
    <n v="29024"/>
    <n v="53.437244891511256"/>
  </r>
  <r>
    <s v="MTRN US Equity"/>
    <s v="MATERION CORP"/>
    <s v="Materials"/>
    <s v="Materials"/>
    <x v="21"/>
    <s v="UNITED STATES"/>
    <n v="2.8"/>
    <n v="4.25"/>
    <n v="0"/>
    <n v="66.543692664210141"/>
  </r>
  <r>
    <s v="MTRX US Equity"/>
    <s v="MATRIX SERVICE"/>
    <s v="Energy"/>
    <s v="Oil &amp; Gas"/>
    <x v="30"/>
    <s v="UNITED STATES"/>
    <n v="0.4"/>
    <n v="5"/>
    <n v="32338"/>
    <n v="37.503517231858964"/>
  </r>
  <r>
    <s v="MTSI US Equity"/>
    <s v="MACOM TECHNOLOGY"/>
    <s v="Technology"/>
    <s v="Tech Hardware &amp; Semiconductors"/>
    <x v="17"/>
    <s v="UNITED STATES"/>
    <n v="16.45"/>
    <n v="4.41"/>
    <n v="0"/>
    <n v="65.493731435379345"/>
  </r>
  <r>
    <s v="MTUM US Equity"/>
    <s v="MSCI USA Momentum Factor ETF "/>
    <s v="Financials"/>
    <s v="Financial Services"/>
    <x v="87"/>
    <s v="UNITED STATES"/>
    <n v="21.19"/>
    <n v="0"/>
    <n v="0"/>
    <n v="50.582082332293389"/>
  </r>
  <r>
    <s v="MTUS US Equity"/>
    <s v="METALLUS INC"/>
    <s v="Materials"/>
    <s v="Materials"/>
    <x v="56"/>
    <s v="UNITED STATES"/>
    <n v="0.84"/>
    <n v="4"/>
    <n v="0"/>
    <n v="64.032370491105866"/>
  </r>
  <r>
    <s v="MTW US Equity"/>
    <s v="MANITOWOC CO"/>
    <s v="Industrials"/>
    <s v="Industrial Products"/>
    <x v="3"/>
    <s v="UNITED STATES"/>
    <n v="0.48"/>
    <n v="1"/>
    <n v="0"/>
    <n v="65.322583551727178"/>
  </r>
  <r>
    <s v="MTX EU Equity"/>
    <s v="MTU AERO ENGINES"/>
    <s v="Industrials"/>
    <s v="Industrial Products"/>
    <x v="32"/>
    <s v="GERMANY"/>
    <n v="24.04"/>
    <n v="3.96"/>
    <n v="441292"/>
    <n v="53.294089803571701"/>
  </r>
  <r>
    <s v="MTX US Equity"/>
    <s v="MINERALS TECH"/>
    <s v="Materials"/>
    <s v="Materials"/>
    <x v="21"/>
    <s v="UNITED STATES"/>
    <n v="2.15"/>
    <n v="4.75"/>
    <n v="0"/>
    <n v="74.221802146710814"/>
  </r>
  <r>
    <s v="MTZ US Equity"/>
    <s v="MASTEC INC"/>
    <s v="Industrials"/>
    <s v="Industrial Services"/>
    <x v="27"/>
    <s v="UNITED STATES"/>
    <n v="19.079999999999998"/>
    <n v="4.7300000000000004"/>
    <n v="0"/>
    <n v="67.288970587427599"/>
  </r>
  <r>
    <s v="MU US Equity"/>
    <s v="MICRON TECH"/>
    <s v="Technology"/>
    <s v="Tech Hardware &amp; Semiconductors"/>
    <x v="17"/>
    <s v="UNITED STATES"/>
    <n v="449.81"/>
    <n v="4.63"/>
    <n v="9271880"/>
    <n v="59.591014979625974"/>
  </r>
  <r>
    <s v="MUFG US Equity"/>
    <s v="MITSUBISHI U-ADR"/>
    <s v="Financials"/>
    <s v="Banking"/>
    <x v="26"/>
    <s v="JAPAN"/>
    <n v="212.19"/>
    <n v="3"/>
    <n v="0"/>
    <n v="74.287951901614633"/>
  </r>
  <r>
    <s v="MUR US Equity"/>
    <s v="MURPHY OIL CORP"/>
    <s v="Energy"/>
    <s v="Oil &amp; Gas"/>
    <x v="20"/>
    <s v="UNITED STATES"/>
    <n v="4.51"/>
    <n v="2.89"/>
    <n v="0"/>
    <n v="60.789216146506078"/>
  </r>
  <r>
    <s v="MUSA US Equity"/>
    <s v="MURPHY USA INC"/>
    <s v="Energy"/>
    <s v="Oil &amp; Gas"/>
    <x v="20"/>
    <s v="UNITED STATES"/>
    <n v="8.09"/>
    <n v="3.36"/>
    <n v="2159750"/>
    <n v="38.249327700396222"/>
  </r>
  <r>
    <s v="MUV2 GY Equity"/>
    <s v="MUENCHENER RUE-R"/>
    <s v="Financials"/>
    <s v="Insurance"/>
    <x v="23"/>
    <s v="GERMANY"/>
    <n v="78.209999999999994"/>
    <n v="3.38"/>
    <n v="3019748"/>
    <n v="57.219742185859964"/>
  </r>
  <r>
    <s v="MUX US Equity"/>
    <s v="MCEWEN INC"/>
    <s v="Materials"/>
    <s v="Materials"/>
    <x v="22"/>
    <s v="CANADA"/>
    <n v="1.59"/>
    <n v="5"/>
    <n v="0"/>
    <n v="60.532679596126314"/>
  </r>
  <r>
    <s v="MVBF US Equity"/>
    <s v="MVB FINANCIAL CO"/>
    <s v="Financials"/>
    <s v="Banking"/>
    <x v="26"/>
    <s v="UNITED STATES"/>
    <n v="0.35"/>
    <n v="5"/>
    <n v="70375"/>
    <n v="54.578822824275612"/>
  </r>
  <r>
    <s v="MVST US Equity"/>
    <s v="MICROVAST HOLDIN"/>
    <s v="Consumer Discretionary"/>
    <s v="Consumer Discretionary Products"/>
    <x v="8"/>
    <s v="UNITED STATES"/>
    <n v="0.99"/>
    <n v="5"/>
    <n v="0"/>
    <n v="34.150892428037892"/>
  </r>
  <r>
    <s v="MWA US Equity"/>
    <s v="MUELLER WATER-A"/>
    <s v="Industrials"/>
    <s v="Industrial Products"/>
    <x v="3"/>
    <s v="UNITED STATES"/>
    <n v="4.1500000000000004"/>
    <n v="3.67"/>
    <n v="58321"/>
    <n v="77.644013986238932"/>
  </r>
  <r>
    <s v="MXL US Equity"/>
    <s v="MAXLINEAR"/>
    <s v="Technology"/>
    <s v="Tech Hardware &amp; Semiconductors"/>
    <x v="17"/>
    <s v="UNITED STATES"/>
    <n v="1.61"/>
    <n v="3.73"/>
    <n v="0"/>
    <n v="57.845857744642878"/>
  </r>
  <r>
    <s v="MYCR SS Equity"/>
    <s v="MYCRONIC AB"/>
    <s v="Technology"/>
    <s v="Tech Hardware &amp; Semiconductors"/>
    <x v="17"/>
    <s v="SWEDEN"/>
    <n v="4.6100000000000003"/>
    <n v="4.33"/>
    <n v="0"/>
    <n v="37.424104329682464"/>
  </r>
  <r>
    <s v="MYE US Equity"/>
    <s v="MYERS INDS INC"/>
    <s v="Materials"/>
    <s v="Materials"/>
    <x v="46"/>
    <s v="UNITED STATES"/>
    <n v="0.76"/>
    <n v="5"/>
    <n v="183420"/>
    <n v="74.307577465728087"/>
  </r>
  <r>
    <s v="MYFW US Equity"/>
    <s v="FIRST WESTERN FI"/>
    <s v="Financials"/>
    <s v="Financial Services"/>
    <x v="24"/>
    <s v="UNITED STATES"/>
    <n v="0.24"/>
    <n v="4.33"/>
    <n v="0"/>
    <n v="47.48023077007953"/>
  </r>
  <r>
    <s v="MYGN US Equity"/>
    <s v="MYRIAD GENETICS"/>
    <s v="Health Care"/>
    <s v="Health Care"/>
    <x v="9"/>
    <s v="UNITED STATES"/>
    <n v="0.55000000000000004"/>
    <n v="3"/>
    <n v="0"/>
    <n v="24.024654426782433"/>
  </r>
  <r>
    <s v="MYO US Equity"/>
    <s v="MYOMO INC"/>
    <s v="Health Care"/>
    <s v="Health Care"/>
    <x v="9"/>
    <s v="UNITED STATES"/>
    <n v="0.04"/>
    <n v="5"/>
    <n v="147630"/>
    <n v="38.509226507411121"/>
  </r>
  <r>
    <s v="MYRG US Equity"/>
    <s v="MYR GROUP INC/DE"/>
    <s v="Industrials"/>
    <s v="Industrial Services"/>
    <x v="27"/>
    <s v="UNITED STATES"/>
    <n v="3.8"/>
    <n v="4.25"/>
    <n v="0"/>
    <n v="64.512376494015427"/>
  </r>
  <r>
    <s v="MZTI US Equity"/>
    <s v="MARZETTI COMPANY"/>
    <s v="Consumer Staples"/>
    <s v="Consumer Staple Products"/>
    <x v="42"/>
    <s v="UNITED STATES"/>
    <n v="4.63"/>
    <n v="3.57"/>
    <n v="0"/>
    <n v="36.059823162340656"/>
  </r>
  <r>
    <s v="NABL US Equity"/>
    <s v="N-ABLE INC"/>
    <s v="Technology"/>
    <s v="Software &amp; Tech Services"/>
    <x v="14"/>
    <s v="UNITED STATES"/>
    <n v="1.2"/>
    <n v="4.33"/>
    <n v="0"/>
    <n v="30.789044075600756"/>
  </r>
  <r>
    <s v="NAGE US Equity"/>
    <s v="NIAGEN BIOSCIENC"/>
    <s v="Health Care"/>
    <s v="Health Care"/>
    <x v="25"/>
    <s v="UNITED STATES"/>
    <n v="0.48"/>
    <n v="5"/>
    <n v="40171"/>
    <n v="26.074149942266502"/>
  </r>
  <r>
    <s v="NAK US Equity"/>
    <s v="NORTHERN DYN MNL"/>
    <s v="Materials"/>
    <s v="Materials"/>
    <x v="22"/>
    <s v="CANADA"/>
    <n v="1.18"/>
    <n v="5"/>
    <n v="0"/>
    <n v="53.003362699504052"/>
  </r>
  <r>
    <s v="NAMS US Equity"/>
    <s v="NEWAMSTERDAM PHA"/>
    <s v="Health Care"/>
    <s v="Health Care"/>
    <x v="25"/>
    <s v="NETHERLANDS"/>
    <n v="3.78"/>
    <n v="4.87"/>
    <n v="0"/>
    <n v="53.404677865758828"/>
  </r>
  <r>
    <s v="NAT US Equity"/>
    <s v="NORDIC AMERICAN"/>
    <s v="Industrials"/>
    <s v="Industrial Services"/>
    <x v="12"/>
    <s v="NORWAY"/>
    <n v="0.86"/>
    <n v="4.5"/>
    <n v="0"/>
    <n v="77.547472515835167"/>
  </r>
  <r>
    <s v="NATL US Equity"/>
    <s v="NCR ATLEOS CORP"/>
    <s v="Technology"/>
    <s v="Tech Hardware &amp; Semiconductors"/>
    <x v="16"/>
    <s v="UNITED STATES"/>
    <n v="2.78"/>
    <n v="4.33"/>
    <n v="0"/>
    <n v="63.600722534189494"/>
  </r>
  <r>
    <s v="NATR US Equity"/>
    <s v="NATURE'S SUNSHNE"/>
    <s v="Consumer Staples"/>
    <s v="Consumer Staple Products"/>
    <x v="42"/>
    <s v="UNITED STATES"/>
    <n v="0.43"/>
    <n v="5"/>
    <n v="0"/>
    <n v="65.618478852370259"/>
  </r>
  <r>
    <s v="NAUT US Equity"/>
    <s v="NAUTILUS BIOTECH"/>
    <s v="Health Care"/>
    <s v="Health Care"/>
    <x v="9"/>
    <s v="UNITED STATES"/>
    <n v="0.26"/>
    <n v="5"/>
    <n v="463680"/>
    <n v="55.195877200130951"/>
  </r>
  <r>
    <s v="NAVI US Equity"/>
    <s v="NAVIENT CORP"/>
    <s v="Financials"/>
    <s v="Financial Services"/>
    <x v="35"/>
    <s v="UNITED STATES"/>
    <n v="1.18"/>
    <n v="2.56"/>
    <n v="0"/>
    <n v="24.686551409213337"/>
  </r>
  <r>
    <s v="NAVN US Equity"/>
    <s v="NAVAN INC-CL A"/>
    <s v="Technology"/>
    <s v="Software &amp; Tech Services"/>
    <x v="14"/>
    <s v="UNITED STATES"/>
    <n v="3.72"/>
    <n v="4.92"/>
    <n v="1498000"/>
    <n v="33.88593016417741"/>
  </r>
  <r>
    <s v="NB US Equity"/>
    <s v="NIOCORP DEVELOPM"/>
    <s v="Materials"/>
    <s v="Materials"/>
    <x v="22"/>
    <s v="UNITED STATES"/>
    <n v="0.92"/>
    <n v="5"/>
    <n v="0"/>
    <n v="46.898425682469401"/>
  </r>
  <r>
    <s v="NBBK US Equity"/>
    <s v="NB BANCORP INC"/>
    <s v="Financials"/>
    <s v="Banking"/>
    <x v="26"/>
    <s v="UNITED STATES"/>
    <n v="0.93"/>
    <n v="4"/>
    <n v="350635"/>
    <n v="57.611387458528533"/>
  </r>
  <r>
    <s v="NBHC US Equity"/>
    <s v="NATIONAL-CL A"/>
    <s v="Financials"/>
    <s v="Banking"/>
    <x v="26"/>
    <s v="UNITED STATES"/>
    <n v="1.53"/>
    <n v="4.5"/>
    <n v="0"/>
    <n v="57.957109981676659"/>
  </r>
  <r>
    <s v="NBIS US Equity"/>
    <s v="NEBIUS GROUP NV"/>
    <s v="Technology"/>
    <s v="Software &amp; Tech Services"/>
    <x v="14"/>
    <s v="NETHERLANDS"/>
    <n v="23.8"/>
    <n v="3.82"/>
    <n v="0"/>
    <n v="47.390305051272236"/>
  </r>
  <r>
    <s v="NBIX US Equity"/>
    <s v="NEUROCRINE BIOSC"/>
    <s v="Health Care"/>
    <s v="Health Care"/>
    <x v="25"/>
    <s v="UNITED STATES"/>
    <n v="13.58"/>
    <n v="4.71"/>
    <n v="0"/>
    <n v="48.107204777844068"/>
  </r>
  <r>
    <s v="NBN US Equity"/>
    <s v="NORTHEAST BANK"/>
    <s v="Financials"/>
    <s v="Banking"/>
    <x v="26"/>
    <s v="UNITED STATES"/>
    <n v="0.98"/>
    <n v="4"/>
    <n v="0"/>
    <n v="59.735257674976921"/>
  </r>
  <r>
    <s v="NBP US Equity"/>
    <s v="NOVABRIDGE BIOSC"/>
    <s v="Health Care"/>
    <s v="Health Care"/>
    <x v="25"/>
    <s v="UNITED STATES"/>
    <n v="0.45"/>
    <n v="5"/>
    <n v="0"/>
    <n v="41.457332278673498"/>
  </r>
  <r>
    <s v="NBR US Equity"/>
    <s v="NABORS INDS LTD"/>
    <s v="Energy"/>
    <s v="Oil &amp; Gas"/>
    <x v="30"/>
    <s v="UNITED STATES"/>
    <n v="0.95"/>
    <n v="3"/>
    <n v="0"/>
    <n v="65.601583422003614"/>
  </r>
  <r>
    <s v="NBTB US Equity"/>
    <s v="NBT BANCORP INC"/>
    <s v="Financials"/>
    <s v="Banking"/>
    <x v="26"/>
    <s v="UNITED STATES"/>
    <n v="2.2799999999999998"/>
    <n v="4"/>
    <n v="523800"/>
    <n v="55.986065385885581"/>
  </r>
  <r>
    <s v="NBTX US Equity"/>
    <s v="NANOBIOTIX - ADR"/>
    <s v="Health Care"/>
    <s v="Health Care"/>
    <x v="25"/>
    <s v="FRANCE"/>
    <n v="1.01"/>
    <n v="5"/>
    <n v="0"/>
    <n v="58.165797493791388"/>
  </r>
  <r>
    <s v="NBY US Equity"/>
    <s v="NOVABAY PHARMACE"/>
    <s v="Health Care"/>
    <s v="Health Care"/>
    <x v="25"/>
    <s v="UNITED STATES"/>
    <n v="0.59"/>
    <n v="0"/>
    <n v="0"/>
    <n v="35.179858108524613"/>
  </r>
  <r>
    <s v="NC US Equity"/>
    <s v="NACCO INDS-CL A"/>
    <s v="Materials"/>
    <s v="Materials"/>
    <x v="22"/>
    <s v="UNITED STATES"/>
    <n v="0.37"/>
    <n v="0"/>
    <n v="0"/>
    <n v="63.655526386117323"/>
  </r>
  <r>
    <s v="NCDL US Equity"/>
    <s v="NUVEEN CHURCHILL"/>
    <s v="Financials"/>
    <s v="Financial Services"/>
    <x v="24"/>
    <s v="UNITED STATES"/>
    <n v="0.67"/>
    <n v="3.83"/>
    <n v="363690"/>
    <n v="61.947062859603186"/>
  </r>
  <r>
    <s v="NCLH US Equity"/>
    <s v="NORWEGIAN CRUISE"/>
    <s v="Consumer Discretionary"/>
    <s v="Consumer Discretionary Services"/>
    <x v="6"/>
    <s v="UNITED STATES"/>
    <n v="9.5299999999999994"/>
    <n v="4.2"/>
    <n v="2000468"/>
    <n v="53.492106229967838"/>
  </r>
  <r>
    <s v="NCMI US Equity"/>
    <s v="NATIONAL CINEMED"/>
    <s v="Communications"/>
    <s v="Media"/>
    <x v="53"/>
    <s v="UNITED STATES"/>
    <n v="0.35"/>
    <n v="4.5999999999999996"/>
    <n v="0"/>
    <n v="34.553369145440044"/>
  </r>
  <r>
    <s v="NCNO US Equity"/>
    <s v="NCINO INC"/>
    <s v="Technology"/>
    <s v="Software &amp; Tech Services"/>
    <x v="14"/>
    <s v="UNITED STATES"/>
    <n v="2.79"/>
    <n v="4"/>
    <n v="0"/>
    <n v="22.628289996179063"/>
  </r>
  <r>
    <s v="NCSM US Equity"/>
    <s v="NCS MULTISTAGE H"/>
    <s v="Energy"/>
    <s v="Oil &amp; Gas"/>
    <x v="30"/>
    <s v="UNITED STATES"/>
    <n v="0.1"/>
    <n v="5"/>
    <n v="0"/>
    <n v="49.63230988327912"/>
  </r>
  <r>
    <s v="NDAQ US Equity"/>
    <s v="NASDAQ INC"/>
    <s v="Financials"/>
    <s v="Financial Services"/>
    <x v="49"/>
    <s v="UNITED STATES"/>
    <n v="55.99"/>
    <n v="4.5199999999999996"/>
    <n v="0"/>
    <n v="21.984982583727557"/>
  </r>
  <r>
    <s v="NDSN US Equity"/>
    <s v="NORDSON CORP"/>
    <s v="Industrials"/>
    <s v="Industrial Products"/>
    <x v="3"/>
    <s v="UNITED STATES"/>
    <n v="15.11"/>
    <n v="4"/>
    <n v="0"/>
    <n v="78.038413944374938"/>
  </r>
  <r>
    <s v="NE US Equity"/>
    <s v="NOBLE CORP PLC"/>
    <s v="Energy"/>
    <s v="Oil &amp; Gas"/>
    <x v="30"/>
    <s v="UNITED STATES"/>
    <n v="5.36"/>
    <n v="3.59"/>
    <n v="0"/>
    <n v="82.120215694442763"/>
  </r>
  <r>
    <s v="NEE US Equity"/>
    <s v="NEXTERA ENERGY"/>
    <s v="Utilities"/>
    <s v="Utilities"/>
    <x v="38"/>
    <s v="UNITED STATES"/>
    <n v="176.63"/>
    <n v="4.3"/>
    <n v="0"/>
    <n v="74.160996092382362"/>
  </r>
  <r>
    <s v="NEGG US Equity"/>
    <s v="NEWEGG COMMERCE"/>
    <s v="Consumer Discretionary"/>
    <s v="Retail &amp; Whsle - Discretionary"/>
    <x v="51"/>
    <s v="UNITED STATES"/>
    <n v="1.03"/>
    <n v="0"/>
    <n v="0"/>
    <n v="48.922577250700108"/>
  </r>
  <r>
    <s v="NEM US Equity"/>
    <s v="NEWMONT CORP"/>
    <s v="Materials"/>
    <s v="Materials"/>
    <x v="22"/>
    <s v="UNITED STATES"/>
    <n v="135.65"/>
    <n v="4.4800000000000004"/>
    <n v="0"/>
    <n v="60.183420877517861"/>
  </r>
  <r>
    <s v="NEO US Equity"/>
    <s v="NEOGENOMICS INC"/>
    <s v="Health Care"/>
    <s v="Health Care"/>
    <x v="31"/>
    <s v="UNITED STATES"/>
    <n v="1.66"/>
    <n v="3.71"/>
    <n v="485499"/>
    <n v="39.470025857132313"/>
  </r>
  <r>
    <s v="NEOG US Equity"/>
    <s v="NEOGEN CORP"/>
    <s v="Health Care"/>
    <s v="Health Care"/>
    <x v="9"/>
    <s v="UNITED STATES"/>
    <n v="2.13"/>
    <n v="3.6"/>
    <n v="3077"/>
    <n v="75.436982816929614"/>
  </r>
  <r>
    <s v="NEPH US Equity"/>
    <s v="NEPHROS INC"/>
    <s v="Health Care"/>
    <s v="Health Care"/>
    <x v="9"/>
    <s v="UNITED STATES"/>
    <n v="0.05"/>
    <n v="4.5"/>
    <n v="0"/>
    <n v="41.651420866847893"/>
  </r>
  <r>
    <s v="NERV US Equity"/>
    <s v="MINERVA NEUROSCI"/>
    <s v="Health Care"/>
    <s v="Health Care"/>
    <x v="25"/>
    <s v="UNITED STATES"/>
    <n v="0.17"/>
    <n v="3"/>
    <n v="0"/>
    <n v="72.518203239927033"/>
  </r>
  <r>
    <s v="NESR US Equity"/>
    <s v="NATIONAL ENERGY"/>
    <s v="Energy"/>
    <s v="Oil &amp; Gas"/>
    <x v="30"/>
    <s v="UNITED STATES"/>
    <n v="1.97"/>
    <n v="5"/>
    <n v="0"/>
    <n v="71.513809226861923"/>
  </r>
  <r>
    <s v="NET US Equity"/>
    <s v="CLOUDFLARE INC-A"/>
    <s v="Technology"/>
    <s v="Software &amp; Tech Services"/>
    <x v="14"/>
    <s v="UNITED STATES"/>
    <n v="60.85"/>
    <n v="3.92"/>
    <n v="0"/>
    <n v="54.078432644924355"/>
  </r>
  <r>
    <s v="NEU US Equity"/>
    <s v="NEWMARKET CORP"/>
    <s v="Materials"/>
    <s v="Materials"/>
    <x v="21"/>
    <s v="UNITED STATES"/>
    <n v="6.1"/>
    <n v="0"/>
    <n v="0"/>
    <n v="51.312653912911081"/>
  </r>
  <r>
    <s v="NEWP US Equity"/>
    <s v="NEW PACIFIC META"/>
    <s v="Materials"/>
    <s v="Materials"/>
    <x v="22"/>
    <s v="CANADA"/>
    <n v="0.79"/>
    <n v="5"/>
    <n v="0"/>
    <n v="55.997676993405008"/>
  </r>
  <r>
    <s v="NEWT US Equity"/>
    <s v="NEWTEKONE INC"/>
    <s v="Financials"/>
    <s v="Banking"/>
    <x v="26"/>
    <s v="UNITED STATES"/>
    <n v="0.4"/>
    <n v="3.57"/>
    <n v="243969"/>
    <n v="50.52369842402306"/>
  </r>
  <r>
    <s v="NEXA US Equity"/>
    <s v="NEXA RESOURCES"/>
    <s v="Materials"/>
    <s v="Materials"/>
    <x v="22"/>
    <s v="BRAZIL"/>
    <n v="1.76"/>
    <n v="2.56"/>
    <n v="0"/>
    <n v="54.593319172579967"/>
  </r>
  <r>
    <s v="NEXI IM Equity"/>
    <s v="NEXI SPA"/>
    <s v="Financials"/>
    <s v="Financial Services"/>
    <x v="35"/>
    <s v="ITALY"/>
    <n v="5.13"/>
    <n v="3.85"/>
    <n v="0"/>
    <n v="27.500622876695601"/>
  </r>
  <r>
    <s v="NEXN US Equity"/>
    <s v="NEXXEN INTERNATI"/>
    <s v="Communications"/>
    <s v="Media"/>
    <x v="53"/>
    <s v="ISRAEL"/>
    <n v="0.36"/>
    <n v="4.67"/>
    <n v="0"/>
    <n v="48.534095930883311"/>
  </r>
  <r>
    <s v="NEXT US Equity"/>
    <s v="NEXTDECADE CORP"/>
    <s v="Energy"/>
    <s v="Oil &amp; Gas"/>
    <x v="20"/>
    <s v="UNITED STATES"/>
    <n v="1.4"/>
    <n v="4"/>
    <n v="4724555"/>
    <n v="55.253027605635609"/>
  </r>
  <r>
    <s v="NFBK US Equity"/>
    <s v="NORTHFIELD BANCO"/>
    <s v="Financials"/>
    <s v="Banking"/>
    <x v="26"/>
    <s v="UNITED STATES"/>
    <n v="0.5"/>
    <n v="3"/>
    <n v="0"/>
    <n v="67.747608581571114"/>
  </r>
  <r>
    <s v="NFE US Equity"/>
    <s v="NEW FORTRESS ENE"/>
    <s v="Energy"/>
    <s v="Oil &amp; Gas"/>
    <x v="20"/>
    <s v="UNITED STATES"/>
    <n v="0.5"/>
    <n v="3"/>
    <n v="0"/>
    <n v="42.077676432113009"/>
  </r>
  <r>
    <s v="NFG US Equity"/>
    <s v="NATL FUEL GAS CO"/>
    <s v="Utilities"/>
    <s v="Utilities"/>
    <x v="57"/>
    <s v="UNITED STATES"/>
    <n v="7.76"/>
    <n v="3.8"/>
    <n v="0"/>
    <n v="63.005867851094692"/>
  </r>
  <r>
    <s v="NFGC US Equity"/>
    <s v="NEW FOUND GOLD C"/>
    <s v="Materials"/>
    <s v="Materials"/>
    <x v="22"/>
    <s v="CANADA"/>
    <n v="1.18"/>
    <n v="4.8"/>
    <n v="91848"/>
    <n v="50.055375732170674"/>
  </r>
  <r>
    <s v="NFLX US Equity"/>
    <s v="NETFLIX INC"/>
    <s v="Communications"/>
    <s v="Media"/>
    <x v="47"/>
    <s v="UNITED STATES"/>
    <n v="363.61"/>
    <n v="4.21"/>
    <n v="0"/>
    <n v="29.309941818921217"/>
  </r>
  <r>
    <s v="NG US Equity"/>
    <s v="NOVAGOLD RES"/>
    <s v="Materials"/>
    <s v="Materials"/>
    <x v="22"/>
    <s v="CANADA"/>
    <n v="4.03"/>
    <n v="5"/>
    <n v="75792"/>
    <n v="62.245892757269161"/>
  </r>
  <r>
    <s v="NG/ LN Equity"/>
    <s v="NATIONAL GRID PL"/>
    <s v="Utilities"/>
    <s v="Utilities"/>
    <x v="38"/>
    <s v="BRITAIN"/>
    <n v="80.56"/>
    <n v="4.0599999999999996"/>
    <n v="72964"/>
    <n v="86.789808513366879"/>
  </r>
  <r>
    <s v="NGD US Equity"/>
    <s v="NEW GOLD INC"/>
    <s v="Materials"/>
    <s v="Materials"/>
    <x v="22"/>
    <s v="CANADA"/>
    <n v="10.17"/>
    <n v="4.5999999999999996"/>
    <n v="0"/>
    <n v="56.630523504312727"/>
  </r>
  <r>
    <s v="NGG US Equity"/>
    <s v="NATIONAL GRI-ADR"/>
    <s v="Utilities"/>
    <s v="Utilities"/>
    <x v="38"/>
    <s v="BRITAIN"/>
    <n v="80.989999999999995"/>
    <n v="3.86"/>
    <n v="0"/>
    <n v="79.87268729893286"/>
  </r>
  <r>
    <s v="NGL US Equity"/>
    <s v="NGL ENERGY PARTN"/>
    <s v="Energy"/>
    <s v="Oil &amp; Gas"/>
    <x v="20"/>
    <s v="UNITED STATES"/>
    <n v="1.27"/>
    <n v="4"/>
    <n v="1020000"/>
    <n v="56.774511080190663"/>
  </r>
  <r>
    <s v="NGLOY US Equity"/>
    <s v="ANGLO AM-SP ADR"/>
    <s v="Materials"/>
    <s v="Materials"/>
    <x v="22"/>
    <s v="BRITAIN"/>
    <n v="54.47"/>
    <n v="4"/>
    <n v="0"/>
    <n v="64.290931662201302"/>
  </r>
  <r>
    <s v="NGNE US Equity"/>
    <s v="NEUROGENE INC"/>
    <s v="Health Care"/>
    <s v="Health Care"/>
    <x v="25"/>
    <s v="UNITED STATES"/>
    <n v="0.36"/>
    <n v="5"/>
    <n v="0"/>
    <n v="41.894526848785567"/>
  </r>
  <r>
    <s v="NGS US Equity"/>
    <s v="NATURAL GAS SERV"/>
    <s v="Energy"/>
    <s v="Oil &amp; Gas"/>
    <x v="30"/>
    <s v="UNITED STATES"/>
    <n v="0.44"/>
    <n v="5"/>
    <n v="381283"/>
    <n v="66.54350104750884"/>
  </r>
  <r>
    <s v="NGVC US Equity"/>
    <s v="NATURAL GROCERS"/>
    <s v="Consumer Staples"/>
    <s v="Retail &amp; Wholesale - Staples"/>
    <x v="33"/>
    <s v="UNITED STATES"/>
    <n v="0.6"/>
    <n v="5"/>
    <n v="0"/>
    <n v="40.210033656471893"/>
  </r>
  <r>
    <s v="NGVT US Equity"/>
    <s v="INGEVITY CORP"/>
    <s v="Materials"/>
    <s v="Materials"/>
    <x v="21"/>
    <s v="UNITED STATES"/>
    <n v="2.5"/>
    <n v="4.25"/>
    <n v="0"/>
    <n v="74.712283406832313"/>
  </r>
  <r>
    <s v="NHC US Equity"/>
    <s v="NATL HEALTHCARE"/>
    <s v="Health Care"/>
    <s v="Health Care"/>
    <x v="31"/>
    <s v="UNITED STATES"/>
    <n v="2.2200000000000002"/>
    <n v="0"/>
    <n v="0"/>
    <n v="80.179708352858569"/>
  </r>
  <r>
    <s v="NHI US Equity"/>
    <s v="NATL HEALTH INV"/>
    <s v="Real Estate"/>
    <s v="Real Estate"/>
    <x v="37"/>
    <s v="UNITED STATES"/>
    <n v="3.78"/>
    <n v="4.25"/>
    <n v="0"/>
    <n v="74.958804300175487"/>
  </r>
  <r>
    <s v="NI US Equity"/>
    <s v="NISOURCE INC"/>
    <s v="Utilities"/>
    <s v="Utilities"/>
    <x v="57"/>
    <s v="UNITED STATES"/>
    <n v="20.72"/>
    <n v="4.63"/>
    <n v="0"/>
    <n v="66.905113803732135"/>
  </r>
  <r>
    <s v="NIC US Equity"/>
    <s v="NICOLET BANKSHAR"/>
    <s v="Financials"/>
    <s v="Banking"/>
    <x v="26"/>
    <s v="UNITED STATES"/>
    <n v="2.09"/>
    <n v="4.2"/>
    <n v="476114"/>
    <n v="70.167950125406676"/>
  </r>
  <r>
    <s v="NICE US Equity"/>
    <s v="NICE LTD -SP ADR"/>
    <s v="Technology"/>
    <s v="Software &amp; Tech Services"/>
    <x v="14"/>
    <s v="ISRAEL"/>
    <n v="7.07"/>
    <n v="4.1100000000000003"/>
    <n v="0"/>
    <n v="47.426111169548541"/>
  </r>
  <r>
    <s v="NICU CN Equity"/>
    <s v="MAGNA MINING INC"/>
    <s v="Materials"/>
    <s v="Materials"/>
    <x v="22"/>
    <s v="CANADA"/>
    <n v="0.67"/>
    <n v="4.75"/>
    <n v="0"/>
    <n v="49.135313377734029"/>
  </r>
  <r>
    <s v="NIO US Equity"/>
    <s v="NIO INC - ADR"/>
    <s v="Consumer Discretionary"/>
    <s v="Consumer Discretionary Products"/>
    <x v="8"/>
    <s v="CHINA"/>
    <n v="9.7200000000000006"/>
    <n v="4.0599999999999996"/>
    <n v="0"/>
    <n v="57.424137332087305"/>
  </r>
  <r>
    <s v="NIQ US Equity"/>
    <s v="NIQ GLOBAL INTEL"/>
    <s v="Consumer Discretionary"/>
    <s v="Consumer Discretionary Services"/>
    <x v="41"/>
    <s v="UNITED STATES"/>
    <n v="5.23"/>
    <n v="4.71"/>
    <n v="1108125"/>
    <n v="22.601450666567814"/>
  </r>
  <r>
    <s v="NJR US Equity"/>
    <s v="NEW JERSEY RES"/>
    <s v="Utilities"/>
    <s v="Utilities"/>
    <x v="57"/>
    <s v="UNITED STATES"/>
    <n v="4.83"/>
    <n v="4.75"/>
    <n v="0"/>
    <n v="76.220773462917862"/>
  </r>
  <r>
    <s v="NKE US Equity"/>
    <s v="NIKE INC -CL B"/>
    <s v="Consumer Discretionary"/>
    <s v="Consumer Discretionary Products"/>
    <x v="5"/>
    <s v="UNITED STATES"/>
    <n v="96.28"/>
    <n v="4.16"/>
    <n v="5933534"/>
    <n v="46.331385131825876"/>
  </r>
  <r>
    <s v="NKLR US Equity"/>
    <s v="TERRA INNOVATUM"/>
    <s v="Industrials"/>
    <s v="Industrial Products"/>
    <x v="4"/>
    <s v="ITALY"/>
    <n v="0.43"/>
    <n v="5"/>
    <n v="0"/>
    <n v="43.034168475663385"/>
  </r>
  <r>
    <s v="NKSH US Equity"/>
    <s v="NATL BKSHS INC"/>
    <s v="Financials"/>
    <s v="Banking"/>
    <x v="26"/>
    <s v="UNITED STATES"/>
    <n v="0.23"/>
    <n v="5"/>
    <n v="0"/>
    <n v="66.021440355841804"/>
  </r>
  <r>
    <s v="NKTR US Equity"/>
    <s v="NEKTAR THERAPEUT"/>
    <s v="Health Care"/>
    <s v="Health Care"/>
    <x v="25"/>
    <s v="UNITED STATES"/>
    <n v="0.75"/>
    <n v="4.75"/>
    <n v="0"/>
    <n v="79.642796290981991"/>
  </r>
  <r>
    <s v="NLY US Equity"/>
    <s v="ANNALY CAPITAL M"/>
    <s v="Financials"/>
    <s v="Financial Services"/>
    <x v="35"/>
    <s v="UNITED STATES"/>
    <n v="16.309999999999999"/>
    <n v="4.38"/>
    <n v="0"/>
    <n v="45.900881176207648"/>
  </r>
  <r>
    <s v="NMAX US Equity"/>
    <s v="NEWSMAX INC"/>
    <s v="Communications"/>
    <s v="Media"/>
    <x v="13"/>
    <s v="UNITED STATES"/>
    <n v="0.99"/>
    <n v="5"/>
    <n v="0"/>
    <n v="25.894971138675061"/>
  </r>
  <r>
    <s v="NMFC US Equity"/>
    <s v="NEW MOUNTAIN FIN"/>
    <s v="Financials"/>
    <s v="Financial Services"/>
    <x v="24"/>
    <s v="UNITED STATES"/>
    <n v="0.94"/>
    <n v="2.71"/>
    <n v="1665206"/>
    <n v="43.124573606165036"/>
  </r>
  <r>
    <s v="NMG US Equity"/>
    <s v="NOUVEAU MONDE GR"/>
    <s v="Materials"/>
    <s v="Materials"/>
    <x v="22"/>
    <s v="CANADA"/>
    <n v="0.49"/>
    <n v="5"/>
    <n v="0"/>
    <n v="42.49656728810686"/>
  </r>
  <r>
    <s v="NMIH US Equity"/>
    <s v="NMI HOLDINGS INC"/>
    <s v="Financials"/>
    <s v="Insurance"/>
    <x v="23"/>
    <s v="UNITED STATES"/>
    <n v="2.9"/>
    <n v="4.43"/>
    <n v="0"/>
    <n v="59.100451696226358"/>
  </r>
  <r>
    <s v="NMR US Equity"/>
    <s v="NOMURA HLDGS-ADR"/>
    <s v="Financials"/>
    <s v="Financial Services"/>
    <x v="49"/>
    <s v="JAPAN"/>
    <n v="28.35"/>
    <n v="3"/>
    <n v="0"/>
    <n v="63.884448791658393"/>
  </r>
  <r>
    <s v="NMRA US Equity"/>
    <s v="NEUMORA THERAPEU"/>
    <s v="Health Care"/>
    <s v="Health Care"/>
    <x v="25"/>
    <s v="UNITED STATES"/>
    <n v="0.34"/>
    <n v="4.1100000000000003"/>
    <n v="3946342"/>
    <n v="76.982455989805118"/>
  </r>
  <r>
    <s v="NMRK US Equity"/>
    <s v="NEWMARK GROUP-A"/>
    <s v="Real Estate"/>
    <s v="Real Estate"/>
    <x v="7"/>
    <s v="UNITED STATES"/>
    <n v="4.4400000000000004"/>
    <n v="4.57"/>
    <n v="0"/>
    <n v="32.737237219449923"/>
  </r>
  <r>
    <s v="NMTC US Equity"/>
    <s v="NEUROONE MEDICAL"/>
    <s v="Health Care"/>
    <s v="Health Care"/>
    <x v="9"/>
    <s v="UNITED STATES"/>
    <n v="0.04"/>
    <n v="5"/>
    <n v="0"/>
    <n v="48.877603893109715"/>
  </r>
  <r>
    <s v="NN US Equity"/>
    <s v="NEXTNAV INC"/>
    <s v="Technology"/>
    <s v="Tech Hardware &amp; Semiconductors"/>
    <x v="16"/>
    <s v="UNITED STATES"/>
    <n v="2.2999999999999998"/>
    <n v="4"/>
    <n v="0"/>
    <n v="57.812950674254445"/>
  </r>
  <r>
    <s v="NNDM US Equity"/>
    <s v="NANO DIMNSI-ADR"/>
    <s v="Technology"/>
    <s v="Tech Hardware &amp; Semiconductors"/>
    <x v="16"/>
    <s v="ISRAEL"/>
    <n v="0.39"/>
    <n v="0"/>
    <n v="0"/>
    <n v="59.055843473942048"/>
  </r>
  <r>
    <s v="NNE US Equity"/>
    <s v="NANO NUCLEAR ENE"/>
    <s v="Industrials"/>
    <s v="Industrial Products"/>
    <x v="4"/>
    <s v="UNITED STATES"/>
    <n v="1.75"/>
    <n v="4.5"/>
    <n v="0"/>
    <n v="39.905064523589161"/>
  </r>
  <r>
    <s v="NNI US Equity"/>
    <s v="NELNET INC-CL A"/>
    <s v="Financials"/>
    <s v="Financial Services"/>
    <x v="35"/>
    <s v="UNITED STATES"/>
    <n v="4.71"/>
    <n v="3"/>
    <n v="0"/>
    <n v="45.695045710186349"/>
  </r>
  <r>
    <s v="NOA US Equity"/>
    <s v="NORTH AMERICAN C"/>
    <s v="Energy"/>
    <s v="Oil &amp; Gas"/>
    <x v="30"/>
    <s v="CANADA"/>
    <n v="0.44"/>
    <n v="4"/>
    <n v="472837"/>
    <n v="62.018342392202747"/>
  </r>
  <r>
    <s v="NOAH US Equity"/>
    <s v="NOAH HOLDING-ADS"/>
    <s v="Financials"/>
    <s v="Financial Services"/>
    <x v="24"/>
    <s v="CHINA"/>
    <n v="0.78"/>
    <n v="4.5"/>
    <n v="0"/>
    <n v="63.977896686053192"/>
  </r>
  <r>
    <s v="NOC US Equity"/>
    <s v="NORTHROP GRUMMAN"/>
    <s v="Industrials"/>
    <s v="Industrial Products"/>
    <x v="32"/>
    <s v="UNITED STATES"/>
    <n v="96.04"/>
    <n v="4"/>
    <n v="0"/>
    <n v="55.991317679297616"/>
  </r>
  <r>
    <s v="NOEM US Equity"/>
    <s v="CO2 ENERGY TRANS"/>
    <s v="Financials"/>
    <s v="Financial Services"/>
    <x v="24"/>
    <s v="UNITED STATES"/>
    <n v="0.1"/>
    <n v="0"/>
    <n v="0"/>
    <n v="47.750550692411842"/>
  </r>
  <r>
    <s v="NOG US Equity"/>
    <s v="NORTHERN OIL AND"/>
    <s v="Energy"/>
    <s v="Oil &amp; Gas"/>
    <x v="20"/>
    <s v="UNITED STATES"/>
    <n v="2.29"/>
    <n v="3.92"/>
    <n v="41366"/>
    <n v="67.760941773263454"/>
  </r>
  <r>
    <s v="NOK US Equity"/>
    <s v="NOKIA CORP-ADR"/>
    <s v="Technology"/>
    <s v="Tech Hardware &amp; Semiconductors"/>
    <x v="16"/>
    <s v="FINLAND"/>
    <n v="38.869999999999997"/>
    <n v="3.8"/>
    <n v="5524"/>
    <n v="66.781504986484407"/>
  </r>
  <r>
    <s v="NOKIA FH Equity"/>
    <s v="NOKIA OYJ"/>
    <s v="Technology"/>
    <s v="Tech Hardware &amp; Semiconductors"/>
    <x v="16"/>
    <s v="FINLAND"/>
    <n v="38.619999999999997"/>
    <n v="3.7"/>
    <n v="841"/>
    <n v="63.984335123097978"/>
  </r>
  <r>
    <s v="NOMD US Equity"/>
    <s v="NOMAD FOODS"/>
    <s v="Consumer Staples"/>
    <s v="Consumer Staple Products"/>
    <x v="42"/>
    <s v="BRITAIN"/>
    <n v="1.83"/>
    <n v="4.83"/>
    <n v="0"/>
    <n v="67.362251662890046"/>
  </r>
  <r>
    <s v="NOTE US Equity"/>
    <s v="FISCALNOTE HOLDI"/>
    <s v="Industrials"/>
    <s v="Industrial Services"/>
    <x v="15"/>
    <s v="UNITED STATES"/>
    <n v="0.02"/>
    <n v="5"/>
    <n v="0"/>
    <n v="36.059518579109003"/>
  </r>
  <r>
    <s v="NOTV US Equity"/>
    <s v="INOTIV INC"/>
    <s v="Health Care"/>
    <s v="Health Care"/>
    <x v="9"/>
    <s v="UNITED STATES"/>
    <n v="0.02"/>
    <n v="4.33"/>
    <n v="0"/>
    <n v="22.162206172344924"/>
  </r>
  <r>
    <s v="NOV US Equity"/>
    <s v="NOV INC"/>
    <s v="Energy"/>
    <s v="Oil &amp; Gas"/>
    <x v="30"/>
    <s v="UNITED STATES"/>
    <n v="6.71"/>
    <n v="3.5"/>
    <n v="1287300"/>
    <n v="62.764374233708864"/>
  </r>
  <r>
    <s v="NOVT US Equity"/>
    <s v="NOVANTA INC"/>
    <s v="Industrials"/>
    <s v="Industrial Products"/>
    <x v="4"/>
    <s v="UNITED STATES"/>
    <n v="4.93"/>
    <n v="4"/>
    <n v="0"/>
    <n v="60.623970564941402"/>
  </r>
  <r>
    <s v="NOW US Equity"/>
    <s v="SERVICENOW INC"/>
    <s v="Technology"/>
    <s v="Software &amp; Tech Services"/>
    <x v="14"/>
    <s v="UNITED STATES"/>
    <n v="138.09"/>
    <n v="4.74"/>
    <n v="0"/>
    <n v="25.593135279396947"/>
  </r>
  <r>
    <s v="NP US Equity"/>
    <s v="NEPTUNE INSURA-A"/>
    <s v="Financials"/>
    <s v="Insurance"/>
    <x v="23"/>
    <s v="UNITED STATES"/>
    <n v="3.38"/>
    <n v="3.67"/>
    <n v="0"/>
    <n v="22.284136084168082"/>
  </r>
  <r>
    <s v="NPB US Equity"/>
    <s v="NORTHPOINTE BANC"/>
    <s v="Financials"/>
    <s v="Banking"/>
    <x v="26"/>
    <s v="UNITED STATES"/>
    <n v="0.62"/>
    <n v="4.33"/>
    <n v="9060"/>
    <n v="43.505244806331888"/>
  </r>
  <r>
    <s v="NPCE US Equity"/>
    <s v="NEUROPACE INC"/>
    <s v="Health Care"/>
    <s v="Health Care"/>
    <x v="9"/>
    <s v="UNITED STATES"/>
    <n v="0.56000000000000005"/>
    <n v="5"/>
    <n v="0"/>
    <n v="36.677170419241804"/>
  </r>
  <r>
    <s v="NPK US Equity"/>
    <s v="NATL PRESTO INDS"/>
    <s v="Industrials"/>
    <s v="Industrial Products"/>
    <x v="32"/>
    <s v="UNITED STATES"/>
    <n v="0.86"/>
    <n v="0"/>
    <n v="0"/>
    <n v="47.724719734041216"/>
  </r>
  <r>
    <s v="NPKI US Equity"/>
    <s v="NPK INTERNATIONA"/>
    <s v="Industrials"/>
    <s v="Industrial Services"/>
    <x v="43"/>
    <s v="UNITED STATES"/>
    <n v="1.1599999999999999"/>
    <n v="5"/>
    <n v="0"/>
    <n v="65.072814919565218"/>
  </r>
  <r>
    <s v="NPO US Equity"/>
    <s v="ENPRO INC"/>
    <s v="Industrials"/>
    <s v="Industrial Products"/>
    <x v="52"/>
    <s v="UNITED STATES"/>
    <n v="4.95"/>
    <n v="5"/>
    <n v="0"/>
    <n v="78.065166447733731"/>
  </r>
  <r>
    <s v="NPWR US Equity"/>
    <s v="NET POWER INC"/>
    <s v="Industrials"/>
    <s v="Industrial Products"/>
    <x v="4"/>
    <s v="UNITED STATES"/>
    <n v="0.55000000000000004"/>
    <n v="4.5999999999999996"/>
    <n v="0"/>
    <n v="33.152869844195408"/>
  </r>
  <r>
    <s v="NRC US Equity"/>
    <s v="NATL RESEARCH CO"/>
    <s v="Industrials"/>
    <s v="Industrial Services"/>
    <x v="15"/>
    <s v="UNITED STATES"/>
    <n v="0.48"/>
    <n v="0"/>
    <n v="16245"/>
    <n v="28.875996318294895"/>
  </r>
  <r>
    <s v="NRDS US Equity"/>
    <s v="NERDWALLET INC-A"/>
    <s v="Financials"/>
    <s v="Financial Services"/>
    <x v="35"/>
    <s v="UNITED STATES"/>
    <n v="0.93"/>
    <n v="4.43"/>
    <n v="0"/>
    <n v="23.464602965945105"/>
  </r>
  <r>
    <s v="NRG US Equity"/>
    <s v="NRG ENERGY"/>
    <s v="Utilities"/>
    <s v="Utilities"/>
    <x v="38"/>
    <s v="UNITED STATES"/>
    <n v="28.61"/>
    <n v="4.25"/>
    <n v="0"/>
    <n v="58.391905893380077"/>
  </r>
  <r>
    <s v="NRGV US Equity"/>
    <s v="ENERGY VAULT HOL"/>
    <s v="Energy"/>
    <s v="Renewable Energy"/>
    <x v="45"/>
    <s v="UNITED STATES"/>
    <n v="0.91"/>
    <n v="3"/>
    <n v="1771808"/>
    <n v="37.692792233946307"/>
  </r>
  <r>
    <s v="NRIM US Equity"/>
    <s v="NORTHRIM BANCORP"/>
    <s v="Financials"/>
    <s v="Banking"/>
    <x v="26"/>
    <s v="UNITED STATES"/>
    <n v="0.56000000000000005"/>
    <n v="5"/>
    <n v="79184"/>
    <n v="48.442830879214924"/>
  </r>
  <r>
    <s v="NRIX US Equity"/>
    <s v="NURIX THERAPEUTI"/>
    <s v="Health Care"/>
    <s v="Health Care"/>
    <x v="25"/>
    <s v="UNITED STATES"/>
    <n v="1.88"/>
    <n v="5"/>
    <n v="0"/>
    <n v="39.590201854521254"/>
  </r>
  <r>
    <s v="NRT US Equity"/>
    <s v="NORTH EURO OIL"/>
    <s v="Energy"/>
    <s v="Oil &amp; Gas"/>
    <x v="20"/>
    <s v="UNITED STATES"/>
    <n v="0.08"/>
    <n v="0"/>
    <n v="0"/>
    <n v="61.788296883935985"/>
  </r>
  <r>
    <s v="NSC US Equity"/>
    <s v="NORFOLK SOUTHERN"/>
    <s v="Industrials"/>
    <s v="Industrial Services"/>
    <x v="12"/>
    <s v="UNITED STATES"/>
    <n v="64.489999999999995"/>
    <n v="3.67"/>
    <n v="1280124"/>
    <n v="75.855452972143752"/>
  </r>
  <r>
    <s v="NSIT US Equity"/>
    <s v="INSIGHT ENTERPRI"/>
    <s v="Technology"/>
    <s v="Software &amp; Tech Services"/>
    <x v="34"/>
    <s v="UNITED STATES"/>
    <n v="2.56"/>
    <n v="3.4"/>
    <n v="0"/>
    <n v="58.167185625820153"/>
  </r>
  <r>
    <s v="NSP US Equity"/>
    <s v="INSPERITY INC"/>
    <s v="Industrials"/>
    <s v="Industrial Services"/>
    <x v="15"/>
    <s v="UNITED STATES"/>
    <n v="1.76"/>
    <n v="3.33"/>
    <n v="1174027"/>
    <n v="23.117867073274255"/>
  </r>
  <r>
    <s v="NSSC US Equity"/>
    <s v="NAPCO SECURITY"/>
    <s v="Industrials"/>
    <s v="Industrial Products"/>
    <x v="4"/>
    <s v="UNITED STATES"/>
    <n v="1.37"/>
    <n v="5"/>
    <n v="0"/>
    <n v="58.639421203231855"/>
  </r>
  <r>
    <s v="NST AU Equity"/>
    <s v="NORTHERN STAR RE"/>
    <s v="Materials"/>
    <s v="Materials"/>
    <x v="22"/>
    <s v="AUSTRALIA"/>
    <n v="27.18"/>
    <n v="3.94"/>
    <n v="33470"/>
    <n v="54.643092954158128"/>
  </r>
  <r>
    <s v="NSTS US Equity"/>
    <s v="NSTS BANCORP INC"/>
    <s v="Financials"/>
    <s v="Banking"/>
    <x v="26"/>
    <s v="UNITED STATES"/>
    <n v="7.0000000000000007E-2"/>
    <n v="0"/>
    <n v="0"/>
    <n v="45.121420519932727"/>
  </r>
  <r>
    <s v="NTAP US Equity"/>
    <s v="NETAPP INC"/>
    <s v="Technology"/>
    <s v="Tech Hardware &amp; Semiconductors"/>
    <x v="16"/>
    <s v="UNITED STATES"/>
    <n v="19.3"/>
    <n v="3.76"/>
    <n v="0"/>
    <n v="56.734616554222356"/>
  </r>
  <r>
    <s v="NTB US Equity"/>
    <s v="BANK NT BUTTERFI"/>
    <s v="Financials"/>
    <s v="Banking"/>
    <x v="26"/>
    <s v="BERMUDA"/>
    <n v="2.2000000000000002"/>
    <n v="3.67"/>
    <n v="0"/>
    <n v="64.866991645360685"/>
  </r>
  <r>
    <s v="NTCT US Equity"/>
    <s v="NETSCOUT SYSTEMS"/>
    <s v="Technology"/>
    <s v="Tech Hardware &amp; Semiconductors"/>
    <x v="16"/>
    <s v="UNITED STATES"/>
    <n v="1.97"/>
    <n v="3.67"/>
    <n v="0"/>
    <n v="53.762278113309264"/>
  </r>
  <r>
    <s v="NTES US Equity"/>
    <s v="NETEASE INC-ADR"/>
    <s v="Communications"/>
    <s v="Media"/>
    <x v="47"/>
    <s v="CHINA"/>
    <n v="83.73"/>
    <n v="4.8099999999999996"/>
    <n v="0"/>
    <n v="29.463787431672088"/>
  </r>
  <r>
    <s v="NTGR US Equity"/>
    <s v="NETGEAR INC"/>
    <s v="Technology"/>
    <s v="Tech Hardware &amp; Semiconductors"/>
    <x v="16"/>
    <s v="UNITED STATES"/>
    <n v="0.6"/>
    <n v="4.5"/>
    <n v="0"/>
    <n v="34.299443813017447"/>
  </r>
  <r>
    <s v="NTLA US Equity"/>
    <s v="INTELLIA THERAPE"/>
    <s v="Health Care"/>
    <s v="Health Care"/>
    <x v="25"/>
    <s v="UNITED STATES"/>
    <n v="1.69"/>
    <n v="3.73"/>
    <n v="3657500"/>
    <n v="48.485448003092209"/>
  </r>
  <r>
    <s v="NTNX US Equity"/>
    <s v="NUTANIX INC - A"/>
    <s v="Technology"/>
    <s v="Software &amp; Tech Services"/>
    <x v="14"/>
    <s v="UNITED STATES"/>
    <n v="11.58"/>
    <n v="4.1900000000000004"/>
    <n v="0"/>
    <n v="42.211431256587325"/>
  </r>
  <r>
    <s v="NTR US Equity"/>
    <s v="NUTRIEN LTD"/>
    <s v="Materials"/>
    <s v="Materials"/>
    <x v="21"/>
    <s v="CANADA"/>
    <n v="34.21"/>
    <n v="3.72"/>
    <n v="639550"/>
    <n v="65.432526743028831"/>
  </r>
  <r>
    <s v="NTRA US Equity"/>
    <s v="NATERA INC"/>
    <s v="Health Care"/>
    <s v="Health Care"/>
    <x v="9"/>
    <s v="UNITED STATES"/>
    <n v="33.69"/>
    <n v="4.82"/>
    <n v="0"/>
    <n v="39.243266394434151"/>
  </r>
  <r>
    <s v="NTRS US Equity"/>
    <s v="NORTHERN TRUST"/>
    <s v="Financials"/>
    <s v="Financial Services"/>
    <x v="49"/>
    <s v="UNITED STATES"/>
    <n v="27.7"/>
    <n v="2.78"/>
    <n v="656499"/>
    <n v="48.753700475077181"/>
  </r>
  <r>
    <s v="NTSK US Equity"/>
    <s v="NETSKOPE INC-A"/>
    <s v="Technology"/>
    <s v="Software &amp; Tech Services"/>
    <x v="14"/>
    <s v="UNITED STATES"/>
    <n v="6.01"/>
    <n v="4.93"/>
    <n v="0"/>
    <n v="27.700235224252424"/>
  </r>
  <r>
    <s v="NTST US Equity"/>
    <s v="NETSTREIT CORP"/>
    <s v="Real Estate"/>
    <s v="Real Estate"/>
    <x v="37"/>
    <s v="UNITED STATES"/>
    <n v="1.53"/>
    <n v="4.58"/>
    <n v="138928"/>
    <n v="62.757896847140472"/>
  </r>
  <r>
    <s v="NTWO US Equity"/>
    <s v="NEWBURY STR-CL A"/>
    <s v="Financials"/>
    <s v="Financial Services"/>
    <x v="24"/>
    <s v="UNITED STATES"/>
    <n v="0.25"/>
    <n v="0"/>
    <n v="0"/>
    <n v="62.475331090290609"/>
  </r>
  <r>
    <s v="NU US Equity"/>
    <s v="NU HOLDINGS LT-A"/>
    <s v="Financials"/>
    <s v="Banking"/>
    <x v="26"/>
    <s v="BRAZIL"/>
    <n v="87.18"/>
    <n v="4.4800000000000004"/>
    <n v="0"/>
    <n v="49.274092513127592"/>
  </r>
  <r>
    <s v="NUE US Equity"/>
    <s v="NUCOR CORP"/>
    <s v="Materials"/>
    <s v="Materials"/>
    <x v="56"/>
    <s v="UNITED STATES"/>
    <n v="41.57"/>
    <n v="4.5999999999999996"/>
    <n v="0"/>
    <n v="70.260416495812606"/>
  </r>
  <r>
    <s v="NUS US Equity"/>
    <s v="NU SKIN ENTERP-A"/>
    <s v="Consumer Staples"/>
    <s v="Consumer Staple Products"/>
    <x v="62"/>
    <s v="UNITED STATES"/>
    <n v="0.54"/>
    <n v="0"/>
    <n v="60830"/>
    <n v="45.542667520664935"/>
  </r>
  <r>
    <s v="NUTX US Equity"/>
    <s v="NUTEX HEALTH INC"/>
    <s v="Technology"/>
    <s v="Software &amp; Tech Services"/>
    <x v="14"/>
    <s v="UNITED STATES"/>
    <n v="1.1000000000000001"/>
    <n v="5"/>
    <n v="117158"/>
    <n v="31.30805304074434"/>
  </r>
  <r>
    <s v="NUVB US Equity"/>
    <s v="NUVATION BIO INC"/>
    <s v="Health Care"/>
    <s v="Health Care"/>
    <x v="25"/>
    <s v="UNITED STATES"/>
    <n v="1.92"/>
    <n v="4.7300000000000004"/>
    <n v="0"/>
    <n v="39.432793725548947"/>
  </r>
  <r>
    <s v="NUVL US Equity"/>
    <s v="NUVALENT INC-A"/>
    <s v="Health Care"/>
    <s v="Health Care"/>
    <x v="25"/>
    <s v="UNITED STATES"/>
    <n v="8.2200000000000006"/>
    <n v="5"/>
    <n v="0"/>
    <n v="48.752258299478335"/>
  </r>
  <r>
    <s v="NVA US Equity"/>
    <s v="NOVA MINERAL-ADR"/>
    <s v="Materials"/>
    <s v="Materials"/>
    <x v="22"/>
    <s v="AUSTRALIA"/>
    <n v="0.42"/>
    <n v="5"/>
    <n v="0"/>
    <n v="44.54325010720823"/>
  </r>
  <r>
    <s v="NVAX US Equity"/>
    <s v="NOVAVAX INC"/>
    <s v="Health Care"/>
    <s v="Health Care"/>
    <x v="25"/>
    <s v="UNITED STATES"/>
    <n v="1.49"/>
    <n v="3.44"/>
    <n v="0"/>
    <n v="56.781398345740307"/>
  </r>
  <r>
    <s v="NVCR US Equity"/>
    <s v="NOVOCURE LTD"/>
    <s v="Health Care"/>
    <s v="Health Care"/>
    <x v="9"/>
    <s v="JERSEY"/>
    <n v="1.51"/>
    <n v="4.43"/>
    <n v="1365848"/>
    <n v="31.552412913226064"/>
  </r>
  <r>
    <s v="NVDA US Equity"/>
    <s v="NVIDIA CORP"/>
    <s v="Technology"/>
    <s v="Tech Hardware &amp; Semiconductors"/>
    <x v="17"/>
    <s v="UNITED STATES"/>
    <n v="4560.38"/>
    <n v="4.8099999999999996"/>
    <n v="0"/>
    <n v="55.160368675978077"/>
  </r>
  <r>
    <s v="NVGS US Equity"/>
    <s v="NAVIGATOR HOLDIN"/>
    <s v="Industrials"/>
    <s v="Industrial Services"/>
    <x v="12"/>
    <s v="UNITED STATES"/>
    <n v="1.21"/>
    <n v="4.75"/>
    <n v="0"/>
    <n v="63.37832739928831"/>
  </r>
  <r>
    <s v="NVMI US Equity"/>
    <s v="NOVA LTD"/>
    <s v="Technology"/>
    <s v="Tech Hardware &amp; Semiconductors"/>
    <x v="17"/>
    <s v="ISRAEL"/>
    <n v="13.49"/>
    <n v="4.5599999999999996"/>
    <n v="0"/>
    <n v="63.489490881416167"/>
  </r>
  <r>
    <s v="NVO US Equity"/>
    <s v="NOVO-NORDISK-ADR"/>
    <s v="Health Care"/>
    <s v="Health Care"/>
    <x v="25"/>
    <s v="DENMARK"/>
    <n v="277.99"/>
    <n v="3.63"/>
    <n v="146311"/>
    <n v="39.688794906196094"/>
  </r>
  <r>
    <s v="NVR US Equity"/>
    <s v="NVR INC"/>
    <s v="Consumer Discretionary"/>
    <s v="Consumer Discretionary Products"/>
    <x v="50"/>
    <s v="UNITED STATES"/>
    <n v="21.71"/>
    <n v="3"/>
    <n v="107032"/>
    <n v="66.011175085859534"/>
  </r>
  <r>
    <s v="NVRI US Equity"/>
    <s v="ENVIRI CORP"/>
    <s v="Industrials"/>
    <s v="Industrial Services"/>
    <x v="15"/>
    <s v="UNITED STATES"/>
    <n v="1.52"/>
    <n v="3.67"/>
    <n v="0"/>
    <n v="63.31831309025425"/>
  </r>
  <r>
    <s v="NVS US Equity"/>
    <s v="NOVARTIS AG-ADR"/>
    <s v="Health Care"/>
    <s v="Health Care"/>
    <x v="25"/>
    <s v="SWITZERLAND"/>
    <n v="310.82"/>
    <n v="3.08"/>
    <n v="0"/>
    <n v="77.817486872692854"/>
  </r>
  <r>
    <s v="NVST US Equity"/>
    <s v="ENVISTA HOLDINGS"/>
    <s v="Health Care"/>
    <s v="Health Care"/>
    <x v="9"/>
    <s v="UNITED STATES"/>
    <n v="3.92"/>
    <n v="3.63"/>
    <n v="0"/>
    <n v="81.649840516751908"/>
  </r>
  <r>
    <s v="NVT US Equity"/>
    <s v="NVENT ELECTRIC"/>
    <s v="Industrials"/>
    <s v="Industrial Products"/>
    <x v="4"/>
    <s v="BRITAIN"/>
    <n v="17.8"/>
    <n v="4.71"/>
    <n v="220580"/>
    <n v="52.574949484047004"/>
  </r>
  <r>
    <s v="NVTS US Equity"/>
    <s v="NAVITAS SEMICOND"/>
    <s v="Technology"/>
    <s v="Tech Hardware &amp; Semiconductors"/>
    <x v="17"/>
    <s v="UNITED STATES"/>
    <n v="2.34"/>
    <n v="3.25"/>
    <n v="189625783"/>
    <n v="47.801705113888893"/>
  </r>
  <r>
    <s v="NWBI US Equity"/>
    <s v="NORTHWEST BANCSH"/>
    <s v="Financials"/>
    <s v="Banking"/>
    <x v="26"/>
    <s v="UNITED STATES"/>
    <n v="1.82"/>
    <n v="3.25"/>
    <n v="306030"/>
    <n v="59.178689005198557"/>
  </r>
  <r>
    <s v="NWE US Equity"/>
    <s v="NORTHWESTERN ENE"/>
    <s v="Utilities"/>
    <s v="Utilities"/>
    <x v="38"/>
    <s v="UNITED STATES"/>
    <n v="4.08"/>
    <n v="3.29"/>
    <n v="0"/>
    <n v="55.24160132722956"/>
  </r>
  <r>
    <s v="NWG US Equity"/>
    <s v="NATWEST GR-S ADR"/>
    <s v="Financials"/>
    <s v="Banking"/>
    <x v="26"/>
    <s v="BRITAIN"/>
    <n v="70.66"/>
    <n v="3.67"/>
    <n v="0"/>
    <n v="39.917185420187167"/>
  </r>
  <r>
    <s v="NWL US Equity"/>
    <s v="NEWELL BRANDS IN"/>
    <s v="Consumer Discretionary"/>
    <s v="Consumer Discretionary Products"/>
    <x v="29"/>
    <s v="UNITED STATES"/>
    <n v="1.81"/>
    <n v="3.6"/>
    <n v="0"/>
    <n v="62.122910657145283"/>
  </r>
  <r>
    <s v="NWN US Equity"/>
    <s v="NORTHWEST NATURA"/>
    <s v="Utilities"/>
    <s v="Utilities"/>
    <x v="57"/>
    <s v="UNITED STATES"/>
    <n v="1.85"/>
    <n v="4.5999999999999996"/>
    <n v="0"/>
    <n v="65.251222947582065"/>
  </r>
  <r>
    <s v="NWPX US Equity"/>
    <s v="NWPX INFRASTRUCT"/>
    <s v="Materials"/>
    <s v="Materials"/>
    <x v="48"/>
    <s v="UNITED STATES"/>
    <n v="0.65"/>
    <n v="4"/>
    <n v="0"/>
    <n v="75.027180728324922"/>
  </r>
  <r>
    <s v="NWS US Equity"/>
    <s v="NEWS CORP-CL B"/>
    <s v="Communications"/>
    <s v="Media"/>
    <x v="59"/>
    <s v="UNITED STATES"/>
    <n v="15.88"/>
    <n v="4"/>
    <n v="0"/>
    <n v="32.927221681765801"/>
  </r>
  <r>
    <s v="NWSA US Equity"/>
    <s v="NEWS CORP-CL A"/>
    <s v="Communications"/>
    <s v="Media"/>
    <x v="59"/>
    <s v="UNITED STATES"/>
    <n v="15.88"/>
    <n v="4.5999999999999996"/>
    <n v="191164"/>
    <n v="31.231365666683601"/>
  </r>
  <r>
    <s v="NX US Equity"/>
    <s v="QUANEX BUILDING"/>
    <s v="Consumer Staples"/>
    <s v="Consumer Staple Products"/>
    <x v="62"/>
    <s v="UNITED STATES"/>
    <n v="0.86"/>
    <n v="5"/>
    <n v="122265"/>
    <n v="85.058081732430068"/>
  </r>
  <r>
    <s v="NXDR US Equity"/>
    <s v="NEXTDOOR HOLDING"/>
    <s v="Communications"/>
    <s v="Media"/>
    <x v="13"/>
    <s v="UNITED STATES"/>
    <n v="0.8"/>
    <n v="3.4"/>
    <n v="0"/>
    <n v="30.591154584709301"/>
  </r>
  <r>
    <s v="NXE US Equity"/>
    <s v="NEXGEN ENERGY LT"/>
    <s v="Materials"/>
    <s v="Materials"/>
    <x v="22"/>
    <s v="CANADA"/>
    <n v="8.25"/>
    <n v="4.71"/>
    <n v="0"/>
    <n v="53.98741377715001"/>
  </r>
  <r>
    <s v="NXPI US Equity"/>
    <s v="NXP SEMICONDUCTO"/>
    <s v="Technology"/>
    <s v="Tech Hardware &amp; Semiconductors"/>
    <x v="17"/>
    <s v="NETHERLANDS"/>
    <n v="58.51"/>
    <n v="4.66"/>
    <n v="52307"/>
    <n v="63.156826031354264"/>
  </r>
  <r>
    <s v="NXST US Equity"/>
    <s v="NEXSTAR MEDIA"/>
    <s v="Communications"/>
    <s v="Media"/>
    <x v="59"/>
    <s v="UNITED STATES"/>
    <n v="6.46"/>
    <n v="4.5"/>
    <n v="0"/>
    <n v="70.46683085119426"/>
  </r>
  <r>
    <s v="NXT AU Equity"/>
    <s v="NEXTDC LTD"/>
    <s v="Communications"/>
    <s v="Telecommunications"/>
    <x v="36"/>
    <s v="AUSTRALIA"/>
    <n v="5.88"/>
    <n v="4.87"/>
    <n v="0"/>
    <n v="59.504581571409716"/>
  </r>
  <r>
    <s v="NXT US Equity"/>
    <s v="NEXTPOWER INC-A"/>
    <s v="Energy"/>
    <s v="Renewable Energy"/>
    <x v="45"/>
    <s v="UNITED STATES"/>
    <n v="15.58"/>
    <n v="4.43"/>
    <n v="0"/>
    <n v="63.506780120285299"/>
  </r>
  <r>
    <s v="NYAX US Equity"/>
    <s v="NAYAX LTD"/>
    <s v="Financials"/>
    <s v="Financial Services"/>
    <x v="35"/>
    <s v="ISRAEL"/>
    <n v="2.2200000000000002"/>
    <n v="4"/>
    <n v="0"/>
    <n v="56.947799901653198"/>
  </r>
  <r>
    <s v="NYT US Equity"/>
    <s v="NEW YORK TIMES-A"/>
    <s v="Communications"/>
    <s v="Media"/>
    <x v="59"/>
    <s v="UNITED STATES"/>
    <n v="11.73"/>
    <n v="4"/>
    <n v="0"/>
    <n v="53.613177968231561"/>
  </r>
  <r>
    <s v="OBA US Equity"/>
    <s v="OXLEY BRIDGE-A"/>
    <s v="Financials"/>
    <s v="Financial Services"/>
    <x v="24"/>
    <s v="CANADA"/>
    <n v="0.32"/>
    <n v="0"/>
    <n v="0"/>
    <n v="55.803981514796853"/>
  </r>
  <r>
    <s v="OBDC US Equity"/>
    <s v="BLUE OWL CAPITAL"/>
    <s v="Financials"/>
    <s v="Financial Services"/>
    <x v="24"/>
    <s v="UNITED STATES"/>
    <n v="6.38"/>
    <n v="4.62"/>
    <n v="1867545"/>
    <n v="48.807044407299273"/>
  </r>
  <r>
    <s v="OBE US Equity"/>
    <s v="OBSIDIAN ENERGY"/>
    <s v="Energy"/>
    <s v="Oil &amp; Gas"/>
    <x v="20"/>
    <s v="CANADA"/>
    <n v="0.45"/>
    <n v="3.5"/>
    <n v="6895064"/>
    <n v="68.350602051064214"/>
  </r>
  <r>
    <s v="OBIO US Equity"/>
    <s v="ORCHESTRA BIOMED"/>
    <s v="Health Care"/>
    <s v="Health Care"/>
    <x v="9"/>
    <s v="UNITED STATES"/>
    <n v="0.23"/>
    <n v="4.75"/>
    <n v="172750"/>
    <n v="49.568786890352797"/>
  </r>
  <r>
    <s v="OBK US Equity"/>
    <s v="ORIGIN BANCORP I"/>
    <s v="Financials"/>
    <s v="Banking"/>
    <x v="26"/>
    <s v="UNITED STATES"/>
    <n v="1.27"/>
    <n v="5"/>
    <n v="1212234"/>
    <n v="64.951927321127172"/>
  </r>
  <r>
    <s v="OC US Equity"/>
    <s v="OWENS CORNING"/>
    <s v="Materials"/>
    <s v="Materials"/>
    <x v="48"/>
    <s v="UNITED STATES"/>
    <n v="10.220000000000001"/>
    <n v="4.05"/>
    <n v="0"/>
    <n v="76.462185426280271"/>
  </r>
  <r>
    <s v="OCDO LN Equity"/>
    <s v="OCADO GROUP PLC"/>
    <s v="Industrials"/>
    <s v="Industrial Services"/>
    <x v="12"/>
    <s v="BRITAIN"/>
    <n v="2.82"/>
    <n v="3.29"/>
    <n v="0"/>
    <n v="38.18204379169088"/>
  </r>
  <r>
    <s v="OCFC US Equity"/>
    <s v="OCEANFIRST FINL"/>
    <s v="Financials"/>
    <s v="Banking"/>
    <x v="26"/>
    <s v="UNITED STATES"/>
    <n v="1.06"/>
    <n v="4"/>
    <n v="0"/>
    <n v="56.722457852008695"/>
  </r>
  <r>
    <s v="OCGN US Equity"/>
    <s v="OCUGEN INC"/>
    <s v="Health Care"/>
    <s v="Health Care"/>
    <x v="25"/>
    <s v="UNITED STATES"/>
    <n v="0.54"/>
    <n v="5"/>
    <n v="0"/>
    <n v="45.636373351298921"/>
  </r>
  <r>
    <s v="OCS US Equity"/>
    <s v="OCULIS HOLDING A"/>
    <s v="Health Care"/>
    <s v="Health Care"/>
    <x v="25"/>
    <s v="SWITZERLAND"/>
    <n v="1.55"/>
    <n v="5"/>
    <n v="407250"/>
    <n v="66.129441518234003"/>
  </r>
  <r>
    <s v="OCSL US Equity"/>
    <s v="OAKTREE SPECIALT"/>
    <s v="Financials"/>
    <s v="Financial Services"/>
    <x v="24"/>
    <s v="UNITED STATES"/>
    <n v="1.1299999999999999"/>
    <n v="3"/>
    <n v="38580"/>
    <n v="44.757575586301662"/>
  </r>
  <r>
    <s v="OCUL US Equity"/>
    <s v="OCULAR THERAPEUT"/>
    <s v="Health Care"/>
    <s v="Health Care"/>
    <x v="25"/>
    <s v="UNITED STATES"/>
    <n v="2.19"/>
    <n v="4.92"/>
    <n v="0"/>
    <n v="37.347159135983745"/>
  </r>
  <r>
    <s v="ODC US Equity"/>
    <s v="OIL DRI CORP"/>
    <s v="Materials"/>
    <s v="Materials"/>
    <x v="21"/>
    <s v="UNITED STATES"/>
    <n v="0.85"/>
    <n v="0"/>
    <n v="0"/>
    <n v="84.789579039623632"/>
  </r>
  <r>
    <s v="ODD US Equity"/>
    <s v="ODDITY TECH LTD"/>
    <s v="Consumer Staples"/>
    <s v="Consumer Staple Products"/>
    <x v="62"/>
    <s v="ISRAEL"/>
    <n v="1.98"/>
    <n v="4.25"/>
    <n v="0"/>
    <n v="29.842048414033172"/>
  </r>
  <r>
    <s v="ODFL US Equity"/>
    <s v="OLD DOMINION FRT"/>
    <s v="Industrials"/>
    <s v="Industrial Services"/>
    <x v="12"/>
    <s v="UNITED STATES"/>
    <n v="36.450000000000003"/>
    <n v="3.44"/>
    <n v="0"/>
    <n v="63.61366414551977"/>
  </r>
  <r>
    <s v="ODV US Equity"/>
    <s v="OSISKO DEVELOPME"/>
    <s v="Materials"/>
    <s v="Materials"/>
    <x v="22"/>
    <s v="CANADA"/>
    <n v="0.98"/>
    <n v="5"/>
    <n v="0"/>
    <n v="59.499708074479784"/>
  </r>
  <r>
    <s v="OFG US Equity"/>
    <s v="OFG BANCORP"/>
    <s v="Financials"/>
    <s v="Banking"/>
    <x v="26"/>
    <s v="PUERTO RICO"/>
    <n v="1.61"/>
    <n v="3.8"/>
    <n v="0"/>
    <n v="58.7056878303353"/>
  </r>
  <r>
    <s v="OFIX US Equity"/>
    <s v="ORTHOFIX MEDICAL"/>
    <s v="Health Care"/>
    <s v="Health Care"/>
    <x v="9"/>
    <s v="UNITED STATES"/>
    <n v="0.53"/>
    <n v="4.5999999999999996"/>
    <n v="0"/>
    <n v="45.28611826324714"/>
  </r>
  <r>
    <s v="OGE US Equity"/>
    <s v="OGE ENERGY CORP"/>
    <s v="Utilities"/>
    <s v="Utilities"/>
    <x v="38"/>
    <s v="UNITED STATES"/>
    <n v="9"/>
    <n v="3.31"/>
    <n v="0"/>
    <n v="68.859161632910826"/>
  </r>
  <r>
    <s v="OGN US Equity"/>
    <s v="ORGANON &amp; CO"/>
    <s v="Health Care"/>
    <s v="Health Care"/>
    <x v="25"/>
    <s v="UNITED STATES"/>
    <n v="2.54"/>
    <n v="2.33"/>
    <n v="638304"/>
    <n v="38.858473221642882"/>
  </r>
  <r>
    <s v="OGS US Equity"/>
    <s v="ONE GAS INC"/>
    <s v="Utilities"/>
    <s v="Utilities"/>
    <x v="57"/>
    <s v="UNITED STATES"/>
    <n v="4.63"/>
    <n v="3.86"/>
    <n v="0"/>
    <n v="69.636723765986019"/>
  </r>
  <r>
    <s v="OHI US Equity"/>
    <s v="OMEGA HEALTHCARE"/>
    <s v="Real Estate"/>
    <s v="Real Estate"/>
    <x v="37"/>
    <s v="UNITED STATES"/>
    <n v="12.91"/>
    <n v="3.89"/>
    <n v="1376550"/>
    <n v="69.682080493932418"/>
  </r>
  <r>
    <s v="OI US Equity"/>
    <s v="O-I GLASS INC"/>
    <s v="Materials"/>
    <s v="Materials"/>
    <x v="46"/>
    <s v="UNITED STATES"/>
    <n v="2.4"/>
    <n v="4.2699999999999996"/>
    <n v="220508"/>
    <n v="49.554915741341624"/>
  </r>
  <r>
    <s v="OIH US Equity"/>
    <s v="Oil Services ETF "/>
    <s v="Financials"/>
    <s v="Financial Services"/>
    <x v="88"/>
    <s v="UNITED STATES"/>
    <n v="1.89"/>
    <n v="0"/>
    <n v="0"/>
    <n v="73.339540027812461"/>
  </r>
  <r>
    <s v="OII US Equity"/>
    <s v="OCEANEERING INTL"/>
    <s v="Energy"/>
    <s v="Oil &amp; Gas"/>
    <x v="30"/>
    <s v="UNITED STATES"/>
    <n v="2.91"/>
    <n v="3.4"/>
    <n v="0"/>
    <n v="71.856531410728962"/>
  </r>
  <r>
    <s v="OIS US Equity"/>
    <s v="OIL STATES INTL"/>
    <s v="Energy"/>
    <s v="Oil &amp; Gas"/>
    <x v="30"/>
    <s v="UNITED STATES"/>
    <n v="0.51"/>
    <n v="4.5"/>
    <n v="0"/>
    <n v="70.960662502345372"/>
  </r>
  <r>
    <s v="OKE US Equity"/>
    <s v="ONEOK INC"/>
    <s v="Energy"/>
    <s v="Oil &amp; Gas"/>
    <x v="20"/>
    <s v="UNITED STATES"/>
    <n v="49.08"/>
    <n v="4.18"/>
    <n v="195000"/>
    <n v="73.926902158803586"/>
  </r>
  <r>
    <s v="OKLO US Equity"/>
    <s v="OKLO INC"/>
    <s v="Utilities"/>
    <s v="Utilities"/>
    <x v="38"/>
    <s v="UNITED STATES"/>
    <n v="13.69"/>
    <n v="4.05"/>
    <n v="0"/>
    <n v="38.958949553095771"/>
  </r>
  <r>
    <s v="OKTA US Equity"/>
    <s v="OKTA INC"/>
    <s v="Technology"/>
    <s v="Software &amp; Tech Services"/>
    <x v="14"/>
    <s v="UNITED STATES"/>
    <n v="16.100000000000001"/>
    <n v="4.29"/>
    <n v="0"/>
    <n v="50.511539448454947"/>
  </r>
  <r>
    <s v="OKYO US Equity"/>
    <s v="OKYO PHARMA"/>
    <s v="Health Care"/>
    <s v="Health Care"/>
    <x v="25"/>
    <s v="BRITAIN"/>
    <n v="0.08"/>
    <n v="5"/>
    <n v="0"/>
    <n v="43.766209239337421"/>
  </r>
  <r>
    <s v="OLED US Equity"/>
    <s v="UNIVERSAL DISPLA"/>
    <s v="Technology"/>
    <s v="Tech Hardware &amp; Semiconductors"/>
    <x v="17"/>
    <s v="UNITED STATES"/>
    <n v="5.71"/>
    <n v="4.33"/>
    <n v="0"/>
    <n v="66.945002401147093"/>
  </r>
  <r>
    <s v="OLLI US Equity"/>
    <s v="OLLIE'S BARGAIN"/>
    <s v="Consumer Staples"/>
    <s v="Retail &amp; Wholesale - Staples"/>
    <x v="33"/>
    <s v="UNITED STATES"/>
    <n v="6.94"/>
    <n v="4.25"/>
    <n v="0"/>
    <n v="53.10138637226369"/>
  </r>
  <r>
    <s v="OLMA US Equity"/>
    <s v="OLEMA PHARMACEUT"/>
    <s v="Health Care"/>
    <s v="Health Care"/>
    <x v="25"/>
    <s v="UNITED STATES"/>
    <n v="2.02"/>
    <n v="5"/>
    <n v="0"/>
    <n v="40.403423485372493"/>
  </r>
  <r>
    <s v="OLN US Equity"/>
    <s v="OLIN CORP"/>
    <s v="Materials"/>
    <s v="Materials"/>
    <x v="21"/>
    <s v="UNITED STATES"/>
    <n v="2.74"/>
    <n v="3.33"/>
    <n v="480000"/>
    <n v="62.802219151483534"/>
  </r>
  <r>
    <s v="OLPX US Equity"/>
    <s v="OLAPLEX HOLDINGS"/>
    <s v="Consumer Staples"/>
    <s v="Consumer Staple Products"/>
    <x v="62"/>
    <s v="UNITED STATES"/>
    <n v="1.04"/>
    <n v="3.2"/>
    <n v="0"/>
    <n v="45.741314744814581"/>
  </r>
  <r>
    <s v="OMAB US Equity"/>
    <s v="GRUPO AEROPO-ADR"/>
    <s v="Industrials"/>
    <s v="Industrial Services"/>
    <x v="12"/>
    <s v="MEXICO"/>
    <n v="5.64"/>
    <n v="3.6"/>
    <n v="0"/>
    <n v="76.419091569346108"/>
  </r>
  <r>
    <s v="OMC US Equity"/>
    <s v="OMNICOM GROUP"/>
    <s v="Communications"/>
    <s v="Media"/>
    <x v="53"/>
    <s v="UNITED STATES"/>
    <n v="25.1"/>
    <n v="4.07"/>
    <n v="0"/>
    <n v="36.682294041985678"/>
  </r>
  <r>
    <s v="OMCL US Equity"/>
    <s v="OMNICELL INC"/>
    <s v="Health Care"/>
    <s v="Health Care"/>
    <x v="9"/>
    <s v="UNITED STATES"/>
    <n v="2.2599999999999998"/>
    <n v="4.5"/>
    <n v="0"/>
    <n v="29.931732118103952"/>
  </r>
  <r>
    <s v="OMDA US Equity"/>
    <s v="OMADA HEALTH INC"/>
    <s v="Technology"/>
    <s v="Software &amp; Tech Services"/>
    <x v="14"/>
    <s v="UNITED STATES"/>
    <n v="0.96"/>
    <n v="4.6399999999999997"/>
    <n v="0"/>
    <n v="22.703973875022911"/>
  </r>
  <r>
    <s v="OMER US Equity"/>
    <s v="OMEROS CORP"/>
    <s v="Health Care"/>
    <s v="Health Care"/>
    <x v="25"/>
    <s v="UNITED STATES"/>
    <n v="0.85"/>
    <n v="4"/>
    <n v="0"/>
    <n v="44.598708193864567"/>
  </r>
  <r>
    <s v="OMEX US Equity"/>
    <s v="ODYSSEY MARINE"/>
    <s v="Materials"/>
    <s v="Materials"/>
    <x v="22"/>
    <s v="UNITED STATES"/>
    <n v="0.13"/>
    <n v="0"/>
    <n v="0"/>
    <n v="38.135440771297624"/>
  </r>
  <r>
    <s v="OMF US Equity"/>
    <s v="ONEMAIN HOLDINGS"/>
    <s v="Financials"/>
    <s v="Financial Services"/>
    <x v="35"/>
    <s v="UNITED STATES"/>
    <n v="7.68"/>
    <n v="4.0599999999999996"/>
    <n v="0"/>
    <n v="29.91507366255361"/>
  </r>
  <r>
    <s v="ON US Equity"/>
    <s v="ON SEMICONDUCTOR"/>
    <s v="Technology"/>
    <s v="Tech Hardware &amp; Semiconductors"/>
    <x v="17"/>
    <s v="UNITED STATES"/>
    <n v="24.94"/>
    <n v="3.79"/>
    <n v="0"/>
    <n v="71.31826851996928"/>
  </r>
  <r>
    <s v="ONB US Equity"/>
    <s v="OLD NATL BANCORP"/>
    <s v="Financials"/>
    <s v="Banking"/>
    <x v="26"/>
    <s v="UNITED STATES"/>
    <n v="9.17"/>
    <n v="4.38"/>
    <n v="0"/>
    <n v="58.01208345813334"/>
  </r>
  <r>
    <s v="ONC US Equity"/>
    <s v="BEONE MEDICINES"/>
    <s v="Health Care"/>
    <s v="Health Care"/>
    <x v="25"/>
    <s v="UNITED STATES"/>
    <n v="41.99"/>
    <n v="4.93"/>
    <n v="0"/>
    <n v="57.500443072485226"/>
  </r>
  <r>
    <s v="ONDS US Equity"/>
    <s v="ONDAS INC"/>
    <s v="Industrials"/>
    <s v="Industrial Products"/>
    <x v="32"/>
    <s v="UNITED STATES"/>
    <n v="4.93"/>
    <n v="5"/>
    <n v="0"/>
    <n v="42.502755697876268"/>
  </r>
  <r>
    <s v="ONIT US Equity"/>
    <s v="ONITY GROUP INC"/>
    <s v="Financials"/>
    <s v="Financial Services"/>
    <x v="35"/>
    <s v="UNITED STATES"/>
    <n v="0.42"/>
    <n v="5"/>
    <n v="0"/>
    <n v="30.932076725882496"/>
  </r>
  <r>
    <s v="ONMD US Equity"/>
    <s v="ONEMEDNET CORP"/>
    <s v="Technology"/>
    <s v="Software &amp; Tech Services"/>
    <x v="14"/>
    <s v="UNITED STATES"/>
    <n v="0.05"/>
    <n v="0"/>
    <n v="923137"/>
    <n v="28.456458731911368"/>
  </r>
  <r>
    <s v="ONON US Equity"/>
    <s v="ON HOLDING AG-A"/>
    <s v="Consumer Discretionary"/>
    <s v="Consumer Discretionary Products"/>
    <x v="5"/>
    <s v="SWITZERLAND"/>
    <n v="15.17"/>
    <n v="4.5999999999999996"/>
    <n v="0"/>
    <n v="49.227867368338956"/>
  </r>
  <r>
    <s v="ONTF US Equity"/>
    <s v="ON24 INC"/>
    <s v="Technology"/>
    <s v="Software &amp; Tech Services"/>
    <x v="14"/>
    <s v="UNITED STATES"/>
    <n v="0.34"/>
    <n v="3"/>
    <n v="0"/>
    <n v="69.514725756809085"/>
  </r>
  <r>
    <s v="ONTO US Equity"/>
    <s v="ONTO INNOVATION"/>
    <s v="Technology"/>
    <s v="Tech Hardware &amp; Semiconductors"/>
    <x v="17"/>
    <s v="UNITED STATES"/>
    <n v="10.53"/>
    <n v="4.5999999999999996"/>
    <n v="0"/>
    <n v="66.849517143090722"/>
  </r>
  <r>
    <s v="OOMA US Equity"/>
    <s v="OOMA INC"/>
    <s v="Communications"/>
    <s v="Telecommunications"/>
    <x v="36"/>
    <s v="UNITED STATES"/>
    <n v="0.33"/>
    <n v="4.71"/>
    <n v="0"/>
    <n v="43.381217006617703"/>
  </r>
  <r>
    <s v="OPAL US Equity"/>
    <s v="OPAL FUELS INC-A"/>
    <s v="Energy"/>
    <s v="Renewable Energy"/>
    <x v="45"/>
    <s v="UNITED STATES"/>
    <n v="0.46"/>
    <n v="3.57"/>
    <n v="106200"/>
    <n v="48.723606298906965"/>
  </r>
  <r>
    <s v="OPCH US Equity"/>
    <s v="OPTION CARE HEAL"/>
    <s v="Health Care"/>
    <s v="Health Care"/>
    <x v="31"/>
    <s v="UNITED STATES"/>
    <n v="5.76"/>
    <n v="4.75"/>
    <n v="3596569"/>
    <n v="55.268192022839173"/>
  </r>
  <r>
    <s v="OPEN US Equity"/>
    <s v="OPENDOOR TECHNOL"/>
    <s v="Communications"/>
    <s v="Media"/>
    <x v="13"/>
    <s v="UNITED STATES"/>
    <n v="5.73"/>
    <n v="2.56"/>
    <n v="5450343"/>
    <n v="35.540304394159151"/>
  </r>
  <r>
    <s v="OPFI US Equity"/>
    <s v="OPPFI INC"/>
    <s v="Financials"/>
    <s v="Financial Services"/>
    <x v="35"/>
    <s v="UNITED STATES"/>
    <n v="0.86"/>
    <n v="4"/>
    <n v="0"/>
    <n v="32.745160249379154"/>
  </r>
  <r>
    <s v="OPK US Equity"/>
    <s v="OPKO HEALTH"/>
    <s v="Health Care"/>
    <s v="Health Care"/>
    <x v="31"/>
    <s v="UNITED STATES"/>
    <n v="1.01"/>
    <n v="4.43"/>
    <n v="0"/>
    <n v="43.857809719132149"/>
  </r>
  <r>
    <s v="OPLN US Equity"/>
    <s v="OPENLANE INC"/>
    <s v="Consumer Discretionary"/>
    <s v="Retail &amp; Whsle - Discretionary"/>
    <x v="40"/>
    <s v="UNITED STATES"/>
    <n v="3.16"/>
    <n v="4"/>
    <n v="0"/>
    <n v="40.100999275927194"/>
  </r>
  <r>
    <s v="OPRA US Equity"/>
    <s v="OPERA LTD-ADR"/>
    <s v="Communications"/>
    <s v="Media"/>
    <x v="13"/>
    <s v="NORWAY"/>
    <n v="1.21"/>
    <n v="5"/>
    <n v="0"/>
    <n v="46.577440785009735"/>
  </r>
  <r>
    <s v="OPRX US Equity"/>
    <s v="OPTIMIZERX CORP"/>
    <s v="Communications"/>
    <s v="Media"/>
    <x v="13"/>
    <s v="UNITED STATES"/>
    <n v="0.22"/>
    <n v="4.57"/>
    <n v="0"/>
    <n v="29.489995872861257"/>
  </r>
  <r>
    <s v="OPTU US Equity"/>
    <s v="OPTIMUM COMMUNIC"/>
    <s v="Communications"/>
    <s v="Media"/>
    <x v="61"/>
    <s v="UNITED STATES"/>
    <n v="0.85"/>
    <n v="3"/>
    <n v="0"/>
    <n v="43.223128014966875"/>
  </r>
  <r>
    <s v="OPTX US Equity"/>
    <s v="SYNTEC OPTICS HO"/>
    <s v="Technology"/>
    <s v="Tech Hardware &amp; Semiconductors"/>
    <x v="17"/>
    <s v="UNITED STATES"/>
    <n v="0.17"/>
    <n v="0"/>
    <n v="0"/>
    <n v="53.131340992724333"/>
  </r>
  <r>
    <s v="OR US Equity"/>
    <s v="OR ROYALTIES INC"/>
    <s v="Materials"/>
    <s v="Materials"/>
    <x v="22"/>
    <s v="CANADA"/>
    <n v="8.5"/>
    <n v="4.17"/>
    <n v="0"/>
    <n v="58.784693542294782"/>
  </r>
  <r>
    <s v="ORA US Equity"/>
    <s v="ORMAT TECHNOLOGI"/>
    <s v="Utilities"/>
    <s v="Utilities"/>
    <x v="38"/>
    <s v="UNITED STATES"/>
    <n v="7.5"/>
    <n v="4.5999999999999996"/>
    <n v="0"/>
    <n v="53.188622897196211"/>
  </r>
  <r>
    <s v="ORBS US Equity"/>
    <s v="EIGHTCO HOLDINGS"/>
    <s v="Financials"/>
    <s v="Financial Services"/>
    <x v="35"/>
    <s v="UNITED STATES"/>
    <n v="0.28000000000000003"/>
    <n v="0"/>
    <n v="910959"/>
    <n v="36.429424355494675"/>
  </r>
  <r>
    <s v="ORCL US Equity"/>
    <s v="ORACLE CORP"/>
    <s v="Technology"/>
    <s v="Software &amp; Tech Services"/>
    <x v="14"/>
    <s v="UNITED STATES"/>
    <n v="509"/>
    <n v="4.41"/>
    <n v="0"/>
    <n v="40.220197739288828"/>
  </r>
  <r>
    <s v="ORGO US Equity"/>
    <s v="ORGANOGENESIS HO"/>
    <s v="Health Care"/>
    <s v="Health Care"/>
    <x v="25"/>
    <s v="UNITED STATES"/>
    <n v="0.5"/>
    <n v="5"/>
    <n v="0"/>
    <n v="38.368852433898745"/>
  </r>
  <r>
    <s v="ORI US Equity"/>
    <s v="OLD REPUB INTL"/>
    <s v="Financials"/>
    <s v="Insurance"/>
    <x v="23"/>
    <s v="UNITED STATES"/>
    <n v="9.39"/>
    <n v="3.67"/>
    <n v="94850"/>
    <n v="57.612589642176012"/>
  </r>
  <r>
    <s v="ORIC US Equity"/>
    <s v="ORIC PHARMACEUTI"/>
    <s v="Health Care"/>
    <s v="Health Care"/>
    <x v="25"/>
    <s v="UNITED STATES"/>
    <n v="1.17"/>
    <n v="4.87"/>
    <n v="0"/>
    <n v="46.49778180468963"/>
  </r>
  <r>
    <s v="ORKA US Equity"/>
    <s v="ORUKA THERAPEUTI"/>
    <s v="Health Care"/>
    <s v="Health Care"/>
    <x v="25"/>
    <s v="UNITED STATES"/>
    <n v="1.66"/>
    <n v="5"/>
    <n v="0"/>
    <n v="48.33809133295248"/>
  </r>
  <r>
    <s v="ORLA US Equity"/>
    <s v="ORLA MINING LTD"/>
    <s v="Materials"/>
    <s v="Materials"/>
    <x v="22"/>
    <s v="CANADA"/>
    <n v="6.27"/>
    <n v="4.6399999999999997"/>
    <n v="0"/>
    <n v="57.016990118227447"/>
  </r>
  <r>
    <s v="ORLY US Equity"/>
    <s v="O'REILLY AUTOMOT"/>
    <s v="Consumer Discretionary"/>
    <s v="Retail &amp; Whsle - Discretionary"/>
    <x v="10"/>
    <s v="UNITED STATES"/>
    <n v="83.76"/>
    <n v="4.6100000000000003"/>
    <n v="0"/>
    <n v="44.606488119614944"/>
  </r>
  <r>
    <s v="ORMP US Equity"/>
    <s v="ORAMED PHARMACEU"/>
    <s v="Health Care"/>
    <s v="Health Care"/>
    <x v="25"/>
    <s v="ISRAEL"/>
    <n v="0.13"/>
    <n v="0"/>
    <n v="0"/>
    <n v="49.064601386218712"/>
  </r>
  <r>
    <s v="ORN US Equity"/>
    <s v="ORION GROUP HOLD"/>
    <s v="Industrials"/>
    <s v="Industrial Services"/>
    <x v="27"/>
    <s v="UNITED STATES"/>
    <n v="0.49"/>
    <n v="5"/>
    <n v="0"/>
    <n v="73.850146266245616"/>
  </r>
  <r>
    <s v="ORR US Equity"/>
    <s v="MILTIA LNG/SH EQ"/>
    <s v="Financials"/>
    <s v="Financial Services"/>
    <x v="24"/>
    <s v="UNITED STATES"/>
    <n v="0.28999999999999998"/>
    <n v="0"/>
    <n v="0"/>
    <n v="84.339976298108198"/>
  </r>
  <r>
    <s v="ORRCF US Equity"/>
    <s v="OROCO RESOURCE"/>
    <s v="Materials"/>
    <s v="Materials"/>
    <x v="22"/>
    <s v="CANADA"/>
    <n v="0.12"/>
    <n v="4"/>
    <n v="0"/>
    <n v="53.211092943718072"/>
  </r>
  <r>
    <s v="ORRF US Equity"/>
    <s v="ORRSTOWN FINL SV"/>
    <s v="Financials"/>
    <s v="Banking"/>
    <x v="26"/>
    <s v="UNITED STATES"/>
    <n v="0.71"/>
    <n v="5"/>
    <n v="21358"/>
    <n v="51.37546533885979"/>
  </r>
  <r>
    <s v="OS US Equity"/>
    <s v="ONESTREAM INC"/>
    <s v="Technology"/>
    <s v="Software &amp; Tech Services"/>
    <x v="14"/>
    <s v="UNITED STATES"/>
    <n v="5.79"/>
    <n v="3.1"/>
    <n v="0"/>
    <n v="67.958741066940661"/>
  </r>
  <r>
    <s v="OSBC US Equity"/>
    <s v="OLD SECOND BNCRP"/>
    <s v="Financials"/>
    <s v="Banking"/>
    <x v="26"/>
    <s v="UNITED STATES"/>
    <n v="1.05"/>
    <n v="4.67"/>
    <n v="497"/>
    <n v="51.271432388455295"/>
  </r>
  <r>
    <s v="OSCR US Equity"/>
    <s v="OSCAR HEALTH -A"/>
    <s v="Health Care"/>
    <s v="Health Care"/>
    <x v="31"/>
    <s v="UNITED STATES"/>
    <n v="4.1500000000000004"/>
    <n v="2.82"/>
    <n v="0"/>
    <n v="41.182158563164094"/>
  </r>
  <r>
    <s v="OSG US Equity"/>
    <s v="OCTAVE SPECIALTY"/>
    <s v="Financials"/>
    <s v="Insurance"/>
    <x v="23"/>
    <s v="UNITED STATES"/>
    <n v="0.27"/>
    <n v="5"/>
    <n v="378322"/>
    <n v="38.148821530767641"/>
  </r>
  <r>
    <s v="OSIS US Equity"/>
    <s v="OSI SYSTEMS INC"/>
    <s v="Industrials"/>
    <s v="Industrial Products"/>
    <x v="4"/>
    <s v="UNITED STATES"/>
    <n v="4.67"/>
    <n v="4.5"/>
    <n v="0"/>
    <n v="48.352478506012524"/>
  </r>
  <r>
    <s v="OSK US Equity"/>
    <s v="OSHKOSH CORP"/>
    <s v="Industrials"/>
    <s v="Industrial Products"/>
    <x v="3"/>
    <s v="UNITED STATES"/>
    <n v="9.74"/>
    <n v="4.22"/>
    <n v="0"/>
    <n v="73.252670897238175"/>
  </r>
  <r>
    <s v="OSPN US Equity"/>
    <s v="ONESPAN INC"/>
    <s v="Technology"/>
    <s v="Software &amp; Tech Services"/>
    <x v="14"/>
    <s v="UNITED STATES"/>
    <n v="0.45"/>
    <n v="4.2"/>
    <n v="668218"/>
    <n v="38.249685563220716"/>
  </r>
  <r>
    <s v="OSS US Equity"/>
    <s v="ONE STOP SYSTEMS"/>
    <s v="Technology"/>
    <s v="Tech Hardware &amp; Semiconductors"/>
    <x v="16"/>
    <s v="UNITED STATES"/>
    <n v="0.26"/>
    <n v="5"/>
    <n v="0"/>
    <n v="50.944674008969884"/>
  </r>
  <r>
    <s v="OSW US Equity"/>
    <s v="ONESPAWORLD HOLD"/>
    <s v="Consumer Discretionary"/>
    <s v="Consumer Discretionary Services"/>
    <x v="6"/>
    <s v="BAHAMAS"/>
    <n v="2.04"/>
    <n v="5"/>
    <n v="0"/>
    <n v="69.064617108230294"/>
  </r>
  <r>
    <s v="OTEX US Equity"/>
    <s v="OPEN TEXT CORP"/>
    <s v="Technology"/>
    <s v="Software &amp; Tech Services"/>
    <x v="14"/>
    <s v="CANADA"/>
    <n v="7.27"/>
    <n v="3.46"/>
    <n v="0"/>
    <n v="33.104626575440946"/>
  </r>
  <r>
    <s v="OTF US Equity"/>
    <s v="BLUE OWL TECHNOL"/>
    <s v="Financials"/>
    <s v="Financial Services"/>
    <x v="24"/>
    <s v="UNITED STATES"/>
    <n v="6.47"/>
    <n v="3.9"/>
    <n v="172500"/>
    <n v="45.846288456116611"/>
  </r>
  <r>
    <s v="OTIS US Equity"/>
    <s v="OTIS WORLDWI"/>
    <s v="Industrials"/>
    <s v="Industrial Products"/>
    <x v="4"/>
    <s v="UNITED STATES"/>
    <n v="35.46"/>
    <n v="3.75"/>
    <n v="0"/>
    <n v="51.307419086230297"/>
  </r>
  <r>
    <s v="OTLK US Equity"/>
    <s v="OUTLOOK THERAPEU"/>
    <s v="Health Care"/>
    <s v="Health Care"/>
    <x v="25"/>
    <s v="UNITED STATES"/>
    <n v="0.03"/>
    <n v="4"/>
    <n v="0"/>
    <n v="34.136020547633407"/>
  </r>
  <r>
    <s v="OTLY US Equity"/>
    <s v="OATLY GROUP"/>
    <s v="Consumer Staples"/>
    <s v="Consumer Staple Products"/>
    <x v="42"/>
    <s v="SWEDEN"/>
    <n v="0.33"/>
    <n v="4.25"/>
    <n v="0"/>
    <n v="58.719040539857723"/>
  </r>
  <r>
    <s v="OTTR US Equity"/>
    <s v="OTTER TAIL CORP"/>
    <s v="Utilities"/>
    <s v="Utilities"/>
    <x v="38"/>
    <s v="UNITED STATES"/>
    <n v="3.63"/>
    <n v="3.67"/>
    <n v="0"/>
    <n v="47.863817441777059"/>
  </r>
  <r>
    <s v="OUST US Equity"/>
    <s v="OUSTER INC"/>
    <s v="Technology"/>
    <s v="Tech Hardware &amp; Semiconductors"/>
    <x v="17"/>
    <s v="UNITED STATES"/>
    <n v="1.49"/>
    <n v="5"/>
    <n v="0"/>
    <n v="38.039860166365763"/>
  </r>
  <r>
    <s v="OUT US Equity"/>
    <s v="OUTFRONT MEDIA I"/>
    <s v="Real Estate"/>
    <s v="Real Estate"/>
    <x v="37"/>
    <s v="UNITED STATES"/>
    <n v="4.1100000000000003"/>
    <n v="4.75"/>
    <n v="0"/>
    <n v="60.351466558430261"/>
  </r>
  <r>
    <s v="OVBC US Equity"/>
    <s v="OHIO VALLEY BANC"/>
    <s v="Financials"/>
    <s v="Banking"/>
    <x v="26"/>
    <s v="UNITED STATES"/>
    <n v="0.19"/>
    <n v="0"/>
    <n v="10118"/>
    <n v="69.136764638808728"/>
  </r>
  <r>
    <s v="OVID US Equity"/>
    <s v="OVID THERAPEUTIC"/>
    <s v="Health Care"/>
    <s v="Health Care"/>
    <x v="25"/>
    <s v="UNITED STATES"/>
    <n v="0.22"/>
    <n v="5"/>
    <n v="0"/>
    <n v="49.335412757137021"/>
  </r>
  <r>
    <s v="OVLY US Equity"/>
    <s v="OAK VALLEY BANCO"/>
    <s v="Financials"/>
    <s v="Banking"/>
    <x v="26"/>
    <s v="UNITED STATES"/>
    <n v="0.27"/>
    <n v="0"/>
    <n v="135460"/>
    <n v="67.733838668405568"/>
  </r>
  <r>
    <s v="OVV US Equity"/>
    <s v="OVINTIV INC"/>
    <s v="Energy"/>
    <s v="Oil &amp; Gas"/>
    <x v="20"/>
    <s v="UNITED STATES"/>
    <n v="10.39"/>
    <n v="4.5199999999999996"/>
    <n v="0"/>
    <n v="72.525327213059967"/>
  </r>
  <r>
    <s v="OWL US Equity"/>
    <s v="BLUE OWL CAPITAL"/>
    <s v="Financials"/>
    <s v="Financial Services"/>
    <x v="24"/>
    <s v="UNITED STATES"/>
    <n v="24.3"/>
    <n v="4.47"/>
    <n v="7186504"/>
    <n v="35.782173355434651"/>
  </r>
  <r>
    <s v="OWLS US Equity"/>
    <s v="OBOOK HOLDINGS I"/>
    <s v="Financials"/>
    <s v="Financial Services"/>
    <x v="35"/>
    <s v="TAIWAN"/>
    <n v="0.56000000000000005"/>
    <n v="0"/>
    <n v="0"/>
    <n v="32.602347098854068"/>
  </r>
  <r>
    <s v="OWLT US Equity"/>
    <s v="OWLET INC"/>
    <s v="Health Care"/>
    <s v="Health Care"/>
    <x v="9"/>
    <s v="UNITED STATES"/>
    <n v="0.36"/>
    <n v="5"/>
    <n v="0"/>
    <n v="36.792138144999257"/>
  </r>
  <r>
    <s v="OXLC US Equity"/>
    <s v="OXFORD LANE CAPI"/>
    <s v="Financials"/>
    <s v="Financial Services"/>
    <x v="24"/>
    <s v="UNITED STATES"/>
    <n v="1.43"/>
    <n v="5"/>
    <n v="0"/>
    <n v="25.730311286830343"/>
  </r>
  <r>
    <s v="OXM US Equity"/>
    <s v="OXFORD INDS INC"/>
    <s v="Consumer Discretionary"/>
    <s v="Consumer Discretionary Products"/>
    <x v="5"/>
    <s v="UNITED STATES"/>
    <n v="0.55000000000000004"/>
    <n v="3"/>
    <n v="196623"/>
    <n v="58.212420428530592"/>
  </r>
  <r>
    <s v="OXY US Equity"/>
    <s v="OCCIDENTAL PETE"/>
    <s v="Energy"/>
    <s v="Oil &amp; Gas"/>
    <x v="20"/>
    <s v="UNITED STATES"/>
    <n v="43.45"/>
    <n v="3.29"/>
    <n v="220500"/>
    <n v="63.484175574269393"/>
  </r>
  <r>
    <s v="OZK US Equity"/>
    <s v="BANK OZK"/>
    <s v="Financials"/>
    <s v="Banking"/>
    <x v="26"/>
    <s v="UNITED STATES"/>
    <n v="5.14"/>
    <n v="3.6"/>
    <n v="0"/>
    <n v="55.257752760344182"/>
  </r>
  <r>
    <s v="PAAS US Equity"/>
    <s v="PAN AMER SILVER"/>
    <s v="Materials"/>
    <s v="Materials"/>
    <x v="22"/>
    <s v="CANADA"/>
    <n v="27.22"/>
    <n v="4.33"/>
    <n v="0"/>
    <n v="55.74020255701128"/>
  </r>
  <r>
    <s v="PAC US Equity"/>
    <s v="GRUPO AEROPO-ADR"/>
    <s v="Industrials"/>
    <s v="Industrial Services"/>
    <x v="12"/>
    <s v="MEXICO"/>
    <n v="13.98"/>
    <n v="4.1100000000000003"/>
    <n v="0"/>
    <n v="66.114350750625746"/>
  </r>
  <r>
    <s v="PACB US Equity"/>
    <s v="PACIFIC BIOSCIEN"/>
    <s v="Health Care"/>
    <s v="Health Care"/>
    <x v="9"/>
    <s v="UNITED STATES"/>
    <n v="0.78"/>
    <n v="3.8"/>
    <n v="0"/>
    <n v="40.015820375300542"/>
  </r>
  <r>
    <s v="PACK US Equity"/>
    <s v="RANPAK HOLDINGS"/>
    <s v="Materials"/>
    <s v="Materials"/>
    <x v="46"/>
    <s v="UNITED STATES"/>
    <n v="0.48"/>
    <n v="4.33"/>
    <n v="0"/>
    <n v="57.342853171272878"/>
  </r>
  <r>
    <s v="PACS US Equity"/>
    <s v="PACS GROUP INC"/>
    <s v="Health Care"/>
    <s v="Health Care"/>
    <x v="31"/>
    <s v="UNITED STATES"/>
    <n v="5.48"/>
    <n v="5"/>
    <n v="584838"/>
    <n v="61.465933104941527"/>
  </r>
  <r>
    <s v="PAG US Equity"/>
    <s v="PENSKE AUTOMOTIV"/>
    <s v="Consumer Discretionary"/>
    <s v="Retail &amp; Whsle - Discretionary"/>
    <x v="10"/>
    <s v="UNITED STATES"/>
    <n v="10.5"/>
    <n v="3.83"/>
    <n v="0"/>
    <n v="65.171141917399396"/>
  </r>
  <r>
    <s v="PAGS US Equity"/>
    <s v="PAGSEGURO DIGI-A"/>
    <s v="Financials"/>
    <s v="Financial Services"/>
    <x v="35"/>
    <s v="BRAZIL"/>
    <n v="3.36"/>
    <n v="3.94"/>
    <n v="0"/>
    <n v="55.492848343326926"/>
  </r>
  <r>
    <s v="PAHC US Equity"/>
    <s v="PHIBRO ANIMAL-A"/>
    <s v="Health Care"/>
    <s v="Health Care"/>
    <x v="25"/>
    <s v="UNITED STATES"/>
    <n v="1.58"/>
    <n v="3"/>
    <n v="0"/>
    <n v="74.329201524414742"/>
  </r>
  <r>
    <s v="PAL US Equity"/>
    <s v="PROFICIENT AUTO"/>
    <s v="Industrials"/>
    <s v="Industrial Services"/>
    <x v="12"/>
    <s v="UNITED STATES"/>
    <n v="0.28000000000000003"/>
    <n v="4.5"/>
    <n v="0"/>
    <n v="33.658937585390603"/>
  </r>
  <r>
    <s v="PALI US Equity"/>
    <s v="PALISADE BIO INC"/>
    <s v="Health Care"/>
    <s v="Health Care"/>
    <x v="25"/>
    <s v="UNITED STATES"/>
    <n v="0.28000000000000003"/>
    <n v="5"/>
    <n v="19100"/>
    <n v="48.882249050026608"/>
  </r>
  <r>
    <s v="PAM US Equity"/>
    <s v="PAMPA-SPON ADR"/>
    <s v="Utilities"/>
    <s v="Utilities"/>
    <x v="38"/>
    <s v="ARGENTINA"/>
    <n v="4.57"/>
    <n v="4.54"/>
    <n v="0"/>
    <n v="53.110038554152894"/>
  </r>
  <r>
    <s v="PANL US Equity"/>
    <s v="PANGAEA LOGISTIC"/>
    <s v="Industrials"/>
    <s v="Industrial Services"/>
    <x v="12"/>
    <s v="UNITED STATES"/>
    <n v="0.53"/>
    <n v="5"/>
    <n v="0"/>
    <n v="67.863792958875095"/>
  </r>
  <r>
    <s v="PANW US Equity"/>
    <s v="PALO ALTO NETWOR"/>
    <s v="Technology"/>
    <s v="Software &amp; Tech Services"/>
    <x v="14"/>
    <s v="UNITED STATES"/>
    <n v="125.59"/>
    <n v="4.47"/>
    <n v="0"/>
    <n v="36.97062833238499"/>
  </r>
  <r>
    <s v="PAR US Equity"/>
    <s v="PAR TECHNOLOGY"/>
    <s v="Technology"/>
    <s v="Tech Hardware &amp; Semiconductors"/>
    <x v="16"/>
    <s v="UNITED STATES"/>
    <n v="1.28"/>
    <n v="4.8"/>
    <n v="0"/>
    <n v="25.607917377987434"/>
  </r>
  <r>
    <s v="PARR US Equity"/>
    <s v="PAR PACIFIC HOLD"/>
    <s v="Energy"/>
    <s v="Oil &amp; Gas"/>
    <x v="20"/>
    <s v="UNITED STATES"/>
    <n v="1.77"/>
    <n v="4.25"/>
    <n v="0"/>
    <n v="66.518717550299286"/>
  </r>
  <r>
    <s v="PATH US Equity"/>
    <s v="UIPATH INC -CL A"/>
    <s v="Technology"/>
    <s v="Software &amp; Tech Services"/>
    <x v="14"/>
    <s v="UNITED STATES"/>
    <n v="7.96"/>
    <n v="3.27"/>
    <n v="0"/>
    <n v="32.16204775972858"/>
  </r>
  <r>
    <s v="PATK US Equity"/>
    <s v="PATRICK INDS INC"/>
    <s v="Consumer Discretionary"/>
    <s v="Consumer Discretionary Products"/>
    <x v="55"/>
    <s v="UNITED STATES"/>
    <n v="4.2699999999999996"/>
    <n v="4.0999999999999996"/>
    <n v="0"/>
    <n v="81.204951965351682"/>
  </r>
  <r>
    <s v="PAX US Equity"/>
    <s v="PATRIA INVESTM-A"/>
    <s v="Financials"/>
    <s v="Financial Services"/>
    <x v="24"/>
    <s v="CAYMAN ISLANDS"/>
    <n v="2.73"/>
    <n v="3.86"/>
    <n v="0"/>
    <n v="34.744804690131105"/>
  </r>
  <r>
    <s v="PAY US Equity"/>
    <s v="PAYMENTUS HOLD-A"/>
    <s v="Financials"/>
    <s v="Financial Services"/>
    <x v="35"/>
    <s v="UNITED STATES"/>
    <n v="4.01"/>
    <n v="4.43"/>
    <n v="0"/>
    <n v="30.348686481485018"/>
  </r>
  <r>
    <s v="PAYC US Equity"/>
    <s v="PAYCOM SOFTWARE"/>
    <s v="Technology"/>
    <s v="Software &amp; Tech Services"/>
    <x v="14"/>
    <s v="UNITED STATES"/>
    <n v="8.57"/>
    <n v="3.73"/>
    <n v="0"/>
    <n v="22.40135905283158"/>
  </r>
  <r>
    <s v="PAYO US Equity"/>
    <s v="PAYONEER GLOBAL"/>
    <s v="Financials"/>
    <s v="Financial Services"/>
    <x v="35"/>
    <s v="UNITED STATES"/>
    <n v="2.2000000000000002"/>
    <n v="4.8"/>
    <n v="0"/>
    <n v="49.298937126614049"/>
  </r>
  <r>
    <s v="PAYS US Equity"/>
    <s v="PAYSIGN INC"/>
    <s v="Financials"/>
    <s v="Financial Services"/>
    <x v="35"/>
    <s v="UNITED STATES"/>
    <n v="0.25"/>
    <n v="5"/>
    <n v="0"/>
    <n v="21.077218054601673"/>
  </r>
  <r>
    <s v="PAYX US Equity"/>
    <s v="PAYCHEX INC"/>
    <s v="Industrials"/>
    <s v="Industrial Services"/>
    <x v="15"/>
    <s v="UNITED STATES"/>
    <n v="38.28"/>
    <n v="2.78"/>
    <n v="0"/>
    <n v="25.004754196245287"/>
  </r>
  <r>
    <s v="PB US Equity"/>
    <s v="PROSPERITY BNCSH"/>
    <s v="Financials"/>
    <s v="Banking"/>
    <x v="26"/>
    <s v="UNITED STATES"/>
    <n v="7.15"/>
    <n v="4.07"/>
    <n v="0"/>
    <n v="64.618819765713212"/>
  </r>
  <r>
    <s v="PBA US Equity"/>
    <s v="PEMBINA PIPELINE"/>
    <s v="Energy"/>
    <s v="Oil &amp; Gas"/>
    <x v="20"/>
    <s v="CANADA"/>
    <n v="23.54"/>
    <n v="4.26"/>
    <n v="1364511"/>
    <n v="78.123086653416919"/>
  </r>
  <r>
    <s v="PBF US Equity"/>
    <s v="PBF ENERGY INC-A"/>
    <s v="Energy"/>
    <s v="Oil &amp; Gas"/>
    <x v="20"/>
    <s v="UNITED STATES"/>
    <n v="3.87"/>
    <n v="2.4700000000000002"/>
    <n v="0"/>
    <n v="62.056682186909612"/>
  </r>
  <r>
    <s v="PBFS US Equity"/>
    <s v="PIONEER BANCORP"/>
    <s v="Financials"/>
    <s v="Banking"/>
    <x v="26"/>
    <s v="UNITED STATES"/>
    <n v="0.34"/>
    <n v="0"/>
    <n v="0"/>
    <n v="59.448702210770371"/>
  </r>
  <r>
    <s v="PBH US Equity"/>
    <s v="PRESTIGE CONSUME"/>
    <s v="Consumer Staples"/>
    <s v="Consumer Staple Products"/>
    <x v="62"/>
    <s v="UNITED STATES"/>
    <n v="3.16"/>
    <n v="4.5"/>
    <n v="0"/>
    <n v="55.06385103609999"/>
  </r>
  <r>
    <s v="PBI US Equity"/>
    <s v="PITNEY BOWES INC"/>
    <s v="Technology"/>
    <s v="Software &amp; Tech Services"/>
    <x v="34"/>
    <s v="UNITED STATES"/>
    <n v="1.64"/>
    <n v="3.25"/>
    <n v="178850"/>
    <n v="47.756765554358822"/>
  </r>
  <r>
    <s v="PBR US Equity"/>
    <s v="PETROBRAS SA-ADR"/>
    <s v="Energy"/>
    <s v="Oil &amp; Gas"/>
    <x v="20"/>
    <s v="BRAZIL"/>
    <n v="89.41"/>
    <n v="4.33"/>
    <n v="0"/>
    <n v="77.476010483135667"/>
  </r>
  <r>
    <s v="PBR/A US Equity"/>
    <s v="PETROBR-SP P ADR"/>
    <s v="Energy"/>
    <s v="Oil &amp; Gas"/>
    <x v="20"/>
    <s v="BRAZIL"/>
    <n v="89.41"/>
    <n v="4.8"/>
    <n v="0"/>
    <n v="76.33359591024599"/>
  </r>
  <r>
    <s v="PBYI US Equity"/>
    <s v="PUMA BIOTECHNOLO"/>
    <s v="Health Care"/>
    <s v="Health Care"/>
    <x v="25"/>
    <s v="UNITED STATES"/>
    <n v="0.32"/>
    <n v="2"/>
    <n v="0"/>
    <n v="53.504922515447653"/>
  </r>
  <r>
    <s v="PCAR US Equity"/>
    <s v="PACCAR INC"/>
    <s v="Industrials"/>
    <s v="Industrial Products"/>
    <x v="44"/>
    <s v="UNITED STATES"/>
    <n v="64.069999999999993"/>
    <n v="3.67"/>
    <n v="0"/>
    <n v="72.939279037101144"/>
  </r>
  <r>
    <s v="PCG US Equity"/>
    <s v="PG&amp;E CORP"/>
    <s v="Utilities"/>
    <s v="Utilities"/>
    <x v="38"/>
    <s v="UNITED STATES"/>
    <n v="32.86"/>
    <n v="4.33"/>
    <n v="112125"/>
    <n v="71.365966862219636"/>
  </r>
  <r>
    <s v="PCOR US Equity"/>
    <s v="PROCORE TECHNOLO"/>
    <s v="Technology"/>
    <s v="Software &amp; Tech Services"/>
    <x v="14"/>
    <s v="UNITED STATES"/>
    <n v="10.210000000000001"/>
    <n v="4.3899999999999997"/>
    <n v="0"/>
    <n v="23.654405665626911"/>
  </r>
  <r>
    <s v="PCRX US Equity"/>
    <s v="PACIRA BIOSCIENC"/>
    <s v="Health Care"/>
    <s v="Health Care"/>
    <x v="25"/>
    <s v="UNITED STATES"/>
    <n v="0.89"/>
    <n v="3.86"/>
    <n v="0"/>
    <n v="50.415125981918564"/>
  </r>
  <r>
    <s v="PCT US Equity"/>
    <s v="PURECYCLE TECHNO"/>
    <s v="Industrials"/>
    <s v="Industrial Services"/>
    <x v="15"/>
    <s v="UNITED STATES"/>
    <n v="2.11"/>
    <n v="4.1399999999999997"/>
    <n v="0"/>
    <n v="40.77133163914565"/>
  </r>
  <r>
    <s v="PCTY US Equity"/>
    <s v="PAYLOCITY HOLDIN"/>
    <s v="Technology"/>
    <s v="Software &amp; Tech Services"/>
    <x v="14"/>
    <s v="UNITED STATES"/>
    <n v="7.93"/>
    <n v="4.5"/>
    <n v="0"/>
    <n v="20.753563754529125"/>
  </r>
  <r>
    <s v="PCVX US Equity"/>
    <s v="VAXCYTE INC"/>
    <s v="Health Care"/>
    <s v="Health Care"/>
    <x v="25"/>
    <s v="UNITED STATES"/>
    <n v="6.9"/>
    <n v="4.82"/>
    <n v="0"/>
    <n v="60.123975835307192"/>
  </r>
  <r>
    <s v="PD US Equity"/>
    <s v="PAGERDUTY INC"/>
    <s v="Technology"/>
    <s v="Software &amp; Tech Services"/>
    <x v="14"/>
    <s v="UNITED STATES"/>
    <n v="1.03"/>
    <n v="3.67"/>
    <n v="0"/>
    <n v="14.797915559085467"/>
  </r>
  <r>
    <s v="PDD US Equity"/>
    <s v="PDD HOLDINGS INC"/>
    <s v="Consumer Discretionary"/>
    <s v="Retail &amp; Whsle - Discretionary"/>
    <x v="51"/>
    <s v="IRELAND"/>
    <n v="151.02000000000001"/>
    <n v="4.29"/>
    <n v="0"/>
    <n v="42.438561829519102"/>
  </r>
  <r>
    <s v="PDFS US Equity"/>
    <s v="PDF SOLUTIONS"/>
    <s v="Technology"/>
    <s v="Software &amp; Tech Services"/>
    <x v="14"/>
    <s v="UNITED STATES"/>
    <n v="1.34"/>
    <n v="5"/>
    <n v="0"/>
    <n v="54.765663331150776"/>
  </r>
  <r>
    <s v="PDI AU Equity"/>
    <s v="PREDICTIVE DISCO"/>
    <s v="Materials"/>
    <s v="Materials"/>
    <x v="22"/>
    <s v="AUSTRALIA"/>
    <n v="1.53"/>
    <n v="4.67"/>
    <n v="0"/>
    <n v="59.623053855913454"/>
  </r>
  <r>
    <s v="PDLB US Equity"/>
    <s v="PONCE FINANCIAL"/>
    <s v="Financials"/>
    <s v="Banking"/>
    <x v="26"/>
    <s v="UNITED STATES"/>
    <n v="0.39"/>
    <n v="5"/>
    <n v="0"/>
    <n v="52.689171683187979"/>
  </r>
  <r>
    <s v="PDN AU Equity"/>
    <s v="PALADIN ENERGY"/>
    <s v="Materials"/>
    <s v="Materials"/>
    <x v="22"/>
    <s v="AUSTRALIA"/>
    <n v="4.12"/>
    <n v="3.47"/>
    <n v="0"/>
    <n v="52.997302631590934"/>
  </r>
  <r>
    <s v="PDS US Equity"/>
    <s v="PRECISION DRILL"/>
    <s v="Energy"/>
    <s v="Oil &amp; Gas"/>
    <x v="30"/>
    <s v="CANADA"/>
    <n v="0.99"/>
    <n v="4.5999999999999996"/>
    <n v="224410"/>
    <n v="77.989252543559701"/>
  </r>
  <r>
    <s v="PDYN US Equity"/>
    <s v="PALLADYNE AI COR"/>
    <s v="Industrials"/>
    <s v="Industrial Products"/>
    <x v="3"/>
    <s v="UNITED STATES"/>
    <n v="0.3"/>
    <n v="4"/>
    <n v="173843"/>
    <n v="50.363489221729914"/>
  </r>
  <r>
    <s v="PEBK US Equity"/>
    <s v="PEOPLES BANC NC"/>
    <s v="Financials"/>
    <s v="Banking"/>
    <x v="26"/>
    <s v="UNITED STATES"/>
    <n v="0.2"/>
    <n v="0"/>
    <n v="0"/>
    <n v="69.824346695150567"/>
  </r>
  <r>
    <s v="PEBO US Equity"/>
    <s v="PEOPLES BANC INC"/>
    <s v="Financials"/>
    <s v="Banking"/>
    <x v="26"/>
    <s v="UNITED STATES"/>
    <n v="1.1200000000000001"/>
    <n v="3.57"/>
    <n v="190598"/>
    <n v="61.635859591843953"/>
  </r>
  <r>
    <s v="PEG US Equity"/>
    <s v="PUB SERV ENTERP"/>
    <s v="Utilities"/>
    <s v="Utilities"/>
    <x v="38"/>
    <s v="UNITED STATES"/>
    <n v="39.07"/>
    <n v="3.82"/>
    <n v="0"/>
    <n v="65.622941208121659"/>
  </r>
  <r>
    <s v="PEGA US Equity"/>
    <s v="PEGASYSTEMS INC"/>
    <s v="Technology"/>
    <s v="Software &amp; Tech Services"/>
    <x v="14"/>
    <s v="UNITED STATES"/>
    <n v="8.5500000000000007"/>
    <n v="4.62"/>
    <n v="0"/>
    <n v="28.344596127385557"/>
  </r>
  <r>
    <s v="PEN US Equity"/>
    <s v="PENUMBRA INC"/>
    <s v="Health Care"/>
    <s v="Health Care"/>
    <x v="9"/>
    <s v="UNITED STATES"/>
    <n v="14.07"/>
    <n v="3.21"/>
    <n v="0"/>
    <n v="49.262137371113788"/>
  </r>
  <r>
    <s v="PENG US Equity"/>
    <s v="PENGUIN SOLUTION"/>
    <s v="Technology"/>
    <s v="Tech Hardware &amp; Semiconductors"/>
    <x v="17"/>
    <s v="UNITED STATES"/>
    <n v="1.05"/>
    <n v="4.63"/>
    <n v="0"/>
    <n v="46.51322195586873"/>
  </r>
  <r>
    <s v="PENN US Equity"/>
    <s v="PENN ENTERTAINME"/>
    <s v="Consumer Discretionary"/>
    <s v="Consumer Discretionary Services"/>
    <x v="6"/>
    <s v="UNITED STATES"/>
    <n v="1.9"/>
    <n v="3.7"/>
    <n v="1170354"/>
    <n v="46.808376462543826"/>
  </r>
  <r>
    <s v="PEP US Equity"/>
    <s v="PEPSICO INC"/>
    <s v="Consumer Staples"/>
    <s v="Consumer Staple Products"/>
    <x v="11"/>
    <s v="UNITED STATES"/>
    <n v="197.69"/>
    <n v="3.71"/>
    <n v="0"/>
    <n v="76.38889849913852"/>
  </r>
  <r>
    <s v="PEPG US Equity"/>
    <s v="PEPGEN INC"/>
    <s v="Health Care"/>
    <s v="Health Care"/>
    <x v="25"/>
    <s v="UNITED STATES"/>
    <n v="0.37"/>
    <n v="4.33"/>
    <n v="0"/>
    <n v="54.630572942304269"/>
  </r>
  <r>
    <s v="PERI US Equity"/>
    <s v="PERION NETWORK L"/>
    <s v="Technology"/>
    <s v="Software &amp; Tech Services"/>
    <x v="14"/>
    <s v="ISRAEL"/>
    <n v="0.37"/>
    <n v="4"/>
    <n v="0"/>
    <n v="36.630823018196516"/>
  </r>
  <r>
    <s v="PFBC US Equity"/>
    <s v="PREFERRED BANK"/>
    <s v="Financials"/>
    <s v="Banking"/>
    <x v="26"/>
    <s v="UNITED STATES"/>
    <n v="1.02"/>
    <n v="3.8"/>
    <n v="0"/>
    <n v="46.065747148078771"/>
  </r>
  <r>
    <s v="PFE US Equity"/>
    <s v="PFIZER INC"/>
    <s v="Health Care"/>
    <s v="Health Care"/>
    <x v="25"/>
    <s v="UNITED STATES"/>
    <n v="145.84"/>
    <n v="3.87"/>
    <n v="0"/>
    <n v="67.128848808218919"/>
  </r>
  <r>
    <s v="PFG US Equity"/>
    <s v="PRINCIPAL FINL"/>
    <s v="Financials"/>
    <s v="Insurance"/>
    <x v="23"/>
    <s v="UNITED STATES"/>
    <n v="20.04"/>
    <n v="3"/>
    <n v="0"/>
    <n v="49.975946155157338"/>
  </r>
  <r>
    <s v="PFGC US Equity"/>
    <s v="PERFORMANCE FOOD"/>
    <s v="Consumer Staples"/>
    <s v="Retail &amp; Wholesale - Staples"/>
    <x v="19"/>
    <s v="UNITED STATES"/>
    <n v="14.72"/>
    <n v="4.87"/>
    <n v="0"/>
    <n v="43.674040139262232"/>
  </r>
  <r>
    <s v="PFLT US Equity"/>
    <s v="PENNANTPARK FLOA"/>
    <s v="Financials"/>
    <s v="Financial Services"/>
    <x v="24"/>
    <s v="UNITED STATES"/>
    <n v="0.94"/>
    <n v="4.13"/>
    <n v="52250"/>
    <n v="39.547892116238963"/>
  </r>
  <r>
    <s v="PFS US Equity"/>
    <s v="PROVIDENT FINANC"/>
    <s v="Financials"/>
    <s v="Banking"/>
    <x v="26"/>
    <s v="UNITED STATES"/>
    <n v="2.69"/>
    <n v="5"/>
    <n v="0"/>
    <n v="68.122206319811255"/>
  </r>
  <r>
    <s v="PFSI US Equity"/>
    <s v="PENNYMAC FINANCI"/>
    <s v="Financials"/>
    <s v="Financial Services"/>
    <x v="35"/>
    <s v="UNITED STATES"/>
    <n v="7.84"/>
    <n v="4.33"/>
    <n v="0"/>
    <n v="22.545418905167111"/>
  </r>
  <r>
    <s v="PG US Equity"/>
    <s v="PROCTER &amp; GAMBLE"/>
    <s v="Consumer Staples"/>
    <s v="Consumer Staple Products"/>
    <x v="62"/>
    <s v="UNITED STATES"/>
    <n v="348.95"/>
    <n v="4.26"/>
    <n v="0"/>
    <n v="73.186056963492604"/>
  </r>
  <r>
    <s v="PGC US Equity"/>
    <s v="PEAPACK GLADSTON"/>
    <s v="Financials"/>
    <s v="Banking"/>
    <x v="26"/>
    <s v="UNITED STATES"/>
    <n v="0.52"/>
    <n v="5"/>
    <n v="109926"/>
    <n v="68.34112929440866"/>
  </r>
  <r>
    <s v="PGEN US Equity"/>
    <s v="PRECIGEN INC"/>
    <s v="Health Care"/>
    <s v="Health Care"/>
    <x v="25"/>
    <s v="UNITED STATES"/>
    <n v="1.68"/>
    <n v="4"/>
    <n v="286652"/>
    <n v="59.375834122288623"/>
  </r>
  <r>
    <s v="PGNY US Equity"/>
    <s v="PROGYNY INC"/>
    <s v="Health Care"/>
    <s v="Health Care"/>
    <x v="31"/>
    <s v="UNITED STATES"/>
    <n v="2.17"/>
    <n v="4.55"/>
    <n v="2004990"/>
    <n v="30.81198829416887"/>
  </r>
  <r>
    <s v="PGR US Equity"/>
    <s v="PROGRESSIVE CORP"/>
    <s v="Financials"/>
    <s v="Insurance"/>
    <x v="23"/>
    <s v="UNITED STATES"/>
    <n v="120.82"/>
    <n v="3.74"/>
    <n v="0"/>
    <n v="51.917712888756768"/>
  </r>
  <r>
    <s v="PGY US Equity"/>
    <s v="PAGAYA TECHNOL-A"/>
    <s v="Technology"/>
    <s v="Software &amp; Tech Services"/>
    <x v="14"/>
    <s v="UNITED STATES"/>
    <n v="1.75"/>
    <n v="4.7"/>
    <n v="0"/>
    <n v="25.353719326675531"/>
  </r>
  <r>
    <s v="PH US Equity"/>
    <s v="PARKER HANNIFIN"/>
    <s v="Industrials"/>
    <s v="Industrial Products"/>
    <x v="18"/>
    <s v="UNITED STATES"/>
    <n v="117.1"/>
    <n v="4.3499999999999996"/>
    <n v="0"/>
    <n v="72.426567900623624"/>
  </r>
  <r>
    <s v="PHAR US Equity"/>
    <s v="PHARMING GROUP N"/>
    <s v="Health Care"/>
    <s v="Health Care"/>
    <x v="25"/>
    <s v="NETHERLANDS"/>
    <n v="1.38"/>
    <n v="5"/>
    <n v="0"/>
    <n v="36.389055459190693"/>
  </r>
  <r>
    <s v="PHAT US Equity"/>
    <s v="PHATHOM PHARMACE"/>
    <s v="Health Care"/>
    <s v="Health Care"/>
    <x v="25"/>
    <s v="UNITED STATES"/>
    <n v="1.05"/>
    <n v="4.6399999999999997"/>
    <n v="0"/>
    <n v="34.822950794732932"/>
  </r>
  <r>
    <s v="PHG US Equity"/>
    <s v="KONINKLIJKE P-NY"/>
    <s v="Health Care"/>
    <s v="Health Care"/>
    <x v="9"/>
    <s v="NETHERLANDS"/>
    <n v="28.31"/>
    <n v="3.8"/>
    <n v="0"/>
    <n v="66.937082125588034"/>
  </r>
  <r>
    <s v="PHI US Equity"/>
    <s v="PLDT INC-ADR"/>
    <s v="Communications"/>
    <s v="Telecommunications"/>
    <x v="36"/>
    <s v="PHILIPPINES"/>
    <n v="4.97"/>
    <n v="5"/>
    <n v="0"/>
    <n v="72.289984718941596"/>
  </r>
  <r>
    <s v="PHIA NA Equity"/>
    <s v="KONINKLIJKE PHIL"/>
    <s v="Health Care"/>
    <s v="Health Care"/>
    <x v="9"/>
    <s v="NETHERLANDS"/>
    <n v="28.21"/>
    <n v="3.87"/>
    <n v="0"/>
    <n v="64.820344882238572"/>
  </r>
  <r>
    <s v="PHIN US Equity"/>
    <s v="PHINIA INC"/>
    <s v="Consumer Discretionary"/>
    <s v="Consumer Discretionary Products"/>
    <x v="8"/>
    <s v="UNITED STATES"/>
    <n v="2.65"/>
    <n v="4.2"/>
    <n v="0"/>
    <n v="79.927032532425045"/>
  </r>
  <r>
    <s v="PHM US Equity"/>
    <s v="PULTEGROUP INC"/>
    <s v="Consumer Discretionary"/>
    <s v="Consumer Discretionary Products"/>
    <x v="50"/>
    <s v="UNITED STATES"/>
    <n v="24.4"/>
    <n v="3.88"/>
    <n v="0"/>
    <n v="66.173997566895849"/>
  </r>
  <r>
    <s v="PHOE US Equity"/>
    <s v="PHOENIX ASIA HOL"/>
    <s v="Industrials"/>
    <s v="Industrial Services"/>
    <x v="27"/>
    <s v="HONG KONG"/>
    <n v="0.31"/>
    <n v="0"/>
    <n v="0"/>
    <n v="46.614008734358855"/>
  </r>
  <r>
    <s v="PHR US Equity"/>
    <s v="PHREESIA INC"/>
    <s v="Technology"/>
    <s v="Software &amp; Tech Services"/>
    <x v="14"/>
    <s v="UNITED STATES"/>
    <n v="0.95"/>
    <n v="4.95"/>
    <n v="0"/>
    <n v="23.055802754258821"/>
  </r>
  <r>
    <s v="PHVS US Equity"/>
    <s v="PHARVARIS NV"/>
    <s v="Health Care"/>
    <s v="Health Care"/>
    <x v="25"/>
    <s v="NETHERLANDS"/>
    <n v="1.79"/>
    <n v="4.75"/>
    <n v="0"/>
    <n v="53.895391285973481"/>
  </r>
  <r>
    <s v="PI US Equity"/>
    <s v="IMPINJ INC"/>
    <s v="Technology"/>
    <s v="Tech Hardware &amp; Semiconductors"/>
    <x v="17"/>
    <s v="UNITED STATES"/>
    <n v="4.8099999999999996"/>
    <n v="4.5"/>
    <n v="0"/>
    <n v="27.971711483964896"/>
  </r>
  <r>
    <s v="PII US Equity"/>
    <s v="POLARIS INC"/>
    <s v="Consumer Discretionary"/>
    <s v="Consumer Discretionary Products"/>
    <x v="55"/>
    <s v="UNITED STATES"/>
    <n v="3.89"/>
    <n v="3.11"/>
    <n v="0"/>
    <n v="47.130087781313748"/>
  </r>
  <r>
    <s v="PINE US Equity"/>
    <s v="ALPINE INCOME"/>
    <s v="Real Estate"/>
    <s v="Real Estate"/>
    <x v="37"/>
    <s v="UNITED STATES"/>
    <n v="0.26"/>
    <n v="4.67"/>
    <n v="203554"/>
    <n v="70.781159624172986"/>
  </r>
  <r>
    <s v="PINS US Equity"/>
    <s v="PINTEREST INC -A"/>
    <s v="Communications"/>
    <s v="Media"/>
    <x v="13"/>
    <s v="UNITED STATES"/>
    <n v="17.5"/>
    <n v="4.42"/>
    <n v="0"/>
    <n v="23.913615237588019"/>
  </r>
  <r>
    <s v="PIPR US Equity"/>
    <s v="PIPER SANDLER CO"/>
    <s v="Financials"/>
    <s v="Financial Services"/>
    <x v="49"/>
    <s v="UNITED STATES"/>
    <n v="6.37"/>
    <n v="4"/>
    <n v="0"/>
    <n v="44.752310346145364"/>
  </r>
  <r>
    <s v="PJT US Equity"/>
    <s v="PJT PARTNERS - A"/>
    <s v="Financials"/>
    <s v="Financial Services"/>
    <x v="49"/>
    <s v="UNITED STATES"/>
    <n v="7.84"/>
    <n v="3"/>
    <n v="0"/>
    <n v="35.233435772846491"/>
  </r>
  <r>
    <s v="PKE US Equity"/>
    <s v="PARK AEROSPACE C"/>
    <s v="Materials"/>
    <s v="Materials"/>
    <x v="21"/>
    <s v="UNITED STATES"/>
    <n v="0.49"/>
    <n v="0"/>
    <n v="0"/>
    <n v="52.558083148618202"/>
  </r>
  <r>
    <s v="PKG US Equity"/>
    <s v="PACKAGING CORP"/>
    <s v="Materials"/>
    <s v="Materials"/>
    <x v="46"/>
    <s v="UNITED STATES"/>
    <n v="20.28"/>
    <n v="3.67"/>
    <n v="0"/>
    <n v="76.500913106708055"/>
  </r>
  <r>
    <s v="PKX US Equity"/>
    <s v="POSCO-SPON ADR"/>
    <s v="Materials"/>
    <s v="Materials"/>
    <x v="56"/>
    <s v="SOUTH KOREA"/>
    <n v="20.53"/>
    <n v="4"/>
    <n v="0"/>
    <n v="65.457575959727365"/>
  </r>
  <r>
    <s v="PL US Equity"/>
    <s v="PLANET LABS PBC"/>
    <s v="Technology"/>
    <s v="Software &amp; Tech Services"/>
    <x v="14"/>
    <s v="UNITED STATES"/>
    <n v="8.85"/>
    <n v="4.45"/>
    <n v="0"/>
    <n v="45.005784068718292"/>
  </r>
  <r>
    <s v="PLAB US Equity"/>
    <s v="PHOTRONICS INC"/>
    <s v="Technology"/>
    <s v="Tech Hardware &amp; Semiconductors"/>
    <x v="17"/>
    <s v="UNITED STATES"/>
    <n v="2.0499999999999998"/>
    <n v="5"/>
    <n v="0"/>
    <n v="63.027635850344261"/>
  </r>
  <r>
    <s v="PLAY US Equity"/>
    <s v="DAVE &amp; BUSTER'S"/>
    <s v="Consumer Discretionary"/>
    <s v="Consumer Discretionary Services"/>
    <x v="6"/>
    <s v="UNITED STATES"/>
    <n v="0.71"/>
    <n v="3.83"/>
    <n v="180547"/>
    <n v="42.156037527514407"/>
  </r>
  <r>
    <s v="PLBC US Equity"/>
    <s v="PLUMAS BANCORP"/>
    <s v="Financials"/>
    <s v="Banking"/>
    <x v="26"/>
    <s v="UNITED STATES"/>
    <n v="0.35"/>
    <n v="5"/>
    <n v="97149"/>
    <n v="70.794552496465585"/>
  </r>
  <r>
    <s v="PLBY US Equity"/>
    <s v="PLAYBOY INC"/>
    <s v="Consumer Discretionary"/>
    <s v="Consumer Discretionary Products"/>
    <x v="5"/>
    <s v="UNITED STATES"/>
    <n v="0.2"/>
    <n v="4.33"/>
    <n v="0"/>
    <n v="79.506040492811366"/>
  </r>
  <r>
    <s v="PLD US Equity"/>
    <s v="PROLOGIS INC"/>
    <s v="Real Estate"/>
    <s v="Real Estate"/>
    <x v="37"/>
    <s v="UNITED STATES"/>
    <n v="120.73"/>
    <n v="4.2300000000000004"/>
    <n v="0"/>
    <n v="71.065088596010597"/>
  </r>
  <r>
    <s v="PLMR US Equity"/>
    <s v="PALOMAR HOLDINGS"/>
    <s v="Financials"/>
    <s v="Insurance"/>
    <x v="23"/>
    <s v="UNITED STATES"/>
    <n v="3.31"/>
    <n v="4.71"/>
    <n v="137445"/>
    <n v="57.814812488704071"/>
  </r>
  <r>
    <s v="PLNT US Equity"/>
    <s v="PLANET FITNESS-A"/>
    <s v="Consumer Discretionary"/>
    <s v="Consumer Discretionary Services"/>
    <x v="6"/>
    <s v="UNITED STATES"/>
    <n v="7.87"/>
    <n v="4.79"/>
    <n v="0"/>
    <n v="35.893410415775719"/>
  </r>
  <r>
    <s v="PLOW US Equity"/>
    <s v="DOUGLAS DYNAMICS"/>
    <s v="Industrials"/>
    <s v="Industrial Products"/>
    <x v="3"/>
    <s v="UNITED STATES"/>
    <n v="0.85"/>
    <n v="4.33"/>
    <n v="0"/>
    <n v="82.105073173779829"/>
  </r>
  <r>
    <s v="PLPC US Equity"/>
    <s v="PREFORMED LINE"/>
    <s v="Industrials"/>
    <s v="Industrial Products"/>
    <x v="4"/>
    <s v="UNITED STATES"/>
    <n v="1.1599999999999999"/>
    <n v="3"/>
    <n v="0"/>
    <n v="66.250807882344958"/>
  </r>
  <r>
    <s v="PLS AU Equity"/>
    <s v="PLS GROUP LTD"/>
    <s v="Materials"/>
    <s v="Materials"/>
    <x v="22"/>
    <s v="AUSTRALIA"/>
    <n v="11.26"/>
    <n v="3.3"/>
    <n v="0"/>
    <n v="43.796510568104857"/>
  </r>
  <r>
    <s v="PLSE US Equity"/>
    <s v="PULSE BIOSCIENCE"/>
    <s v="Health Care"/>
    <s v="Health Care"/>
    <x v="9"/>
    <s v="UNITED STATES"/>
    <n v="1.02"/>
    <n v="5"/>
    <n v="523004"/>
    <n v="80.984505943071994"/>
  </r>
  <r>
    <s v="PLTK US Equity"/>
    <s v="PLAYTIKA HOLDING"/>
    <s v="Communications"/>
    <s v="Media"/>
    <x v="47"/>
    <s v="ISRAEL"/>
    <n v="1.34"/>
    <n v="3.67"/>
    <n v="0"/>
    <n v="39.05587001800604"/>
  </r>
  <r>
    <s v="PLTR US Equity"/>
    <s v="PALANTIR TECHN-A"/>
    <s v="Technology"/>
    <s v="Software &amp; Tech Services"/>
    <x v="14"/>
    <s v="UNITED STATES"/>
    <n v="404.06"/>
    <n v="3.48"/>
    <n v="0"/>
    <n v="34.369075204478065"/>
  </r>
  <r>
    <s v="PLUG US Equity"/>
    <s v="PLUG POWER INC"/>
    <s v="Energy"/>
    <s v="Renewable Energy"/>
    <x v="45"/>
    <s v="UNITED STATES"/>
    <n v="3.48"/>
    <n v="3"/>
    <n v="93250"/>
    <n v="41.891006705423152"/>
  </r>
  <r>
    <s v="PLUS US Equity"/>
    <s v="EPLUS INC"/>
    <s v="Consumer Discretionary"/>
    <s v="Retail &amp; Whsle - Discretionary"/>
    <x v="40"/>
    <s v="UNITED STATES"/>
    <n v="2.31"/>
    <n v="5"/>
    <n v="0"/>
    <n v="42.479715846723998"/>
  </r>
  <r>
    <s v="PLUT US Equity"/>
    <s v="PLUTUS FINANCIAL"/>
    <s v="Financials"/>
    <s v="Financial Services"/>
    <x v="24"/>
    <s v="HONG KONG"/>
    <n v="0.05"/>
    <n v="0"/>
    <n v="0"/>
    <n v="41.11887379153459"/>
  </r>
  <r>
    <s v="PLXS US Equity"/>
    <s v="PLEXUS CORP"/>
    <s v="Technology"/>
    <s v="Tech Hardware &amp; Semiconductors"/>
    <x v="16"/>
    <s v="UNITED STATES"/>
    <n v="4.66"/>
    <n v="4"/>
    <n v="0"/>
    <n v="68.029609052785659"/>
  </r>
  <r>
    <s v="NA9 GY Equity"/>
    <s v="NAGARRO SE"/>
    <s v="Technology"/>
    <s v="Software &amp; Tech Services"/>
    <x v="34"/>
    <s v="GERMANY"/>
    <n v="1.1299999999999999"/>
    <n v="4.2"/>
    <n v="0"/>
    <n v="38.57046722959381"/>
  </r>
  <r>
    <s v="PM US Equity"/>
    <s v="PHILIP MORRIS IN"/>
    <s v="Consumer Staples"/>
    <s v="Consumer Staple Products"/>
    <x v="28"/>
    <s v="UNITED STATES"/>
    <n v="269.33"/>
    <n v="4.3499999999999996"/>
    <n v="0"/>
    <n v="74.083008507675075"/>
  </r>
  <r>
    <s v="PMTR US Equity"/>
    <s v="PERIMETER ACQUIS"/>
    <s v="Financials"/>
    <s v="Financial Services"/>
    <x v="24"/>
    <s v="UNITED STATES"/>
    <n v="0.32"/>
    <n v="0"/>
    <n v="0"/>
    <n v="48.255574318198718"/>
  </r>
  <r>
    <s v="PNBK US Equity"/>
    <s v="PATRIOT NATL BNC"/>
    <s v="Financials"/>
    <s v="Banking"/>
    <x v="26"/>
    <s v="UNITED STATES"/>
    <n v="0.18"/>
    <n v="0"/>
    <n v="0"/>
    <n v="44.798901887500776"/>
  </r>
  <r>
    <s v="PNC US Equity"/>
    <s v="PNC FINANCIAL SE"/>
    <s v="Financials"/>
    <s v="Banking"/>
    <x v="26"/>
    <s v="UNITED STATES"/>
    <n v="86.04"/>
    <n v="4.2300000000000004"/>
    <n v="0"/>
    <n v="64.132868929380578"/>
  </r>
  <r>
    <s v="PNDORA DC Equity"/>
    <s v="PANDORA A/S"/>
    <s v="Consumer Discretionary"/>
    <s v="Retail &amp; Whsle - Discretionary"/>
    <x v="10"/>
    <s v="DENMARK"/>
    <n v="6.3"/>
    <n v="3.27"/>
    <n v="33896"/>
    <n v="44.922395712871655"/>
  </r>
  <r>
    <s v="PNNT US Equity"/>
    <s v="PENNANTPARK INVE"/>
    <s v="Financials"/>
    <s v="Financial Services"/>
    <x v="24"/>
    <s v="UNITED STATES"/>
    <n v="0.39"/>
    <n v="3"/>
    <n v="25071"/>
    <n v="28.589210669155435"/>
  </r>
  <r>
    <s v="PNR US Equity"/>
    <s v="PENTAIR PLC"/>
    <s v="Industrials"/>
    <s v="Industrial Products"/>
    <x v="3"/>
    <s v="BRITAIN"/>
    <n v="17.600000000000001"/>
    <n v="4.05"/>
    <n v="0"/>
    <n v="46.29094898079326"/>
  </r>
  <r>
    <s v="PNTG US Equity"/>
    <s v="PENNANT GROUP"/>
    <s v="Health Care"/>
    <s v="Health Care"/>
    <x v="31"/>
    <s v="UNITED STATES"/>
    <n v="1.06"/>
    <n v="5"/>
    <n v="0"/>
    <n v="65.559825115844632"/>
  </r>
  <r>
    <s v="PNW US Equity"/>
    <s v="PINNACLE WEST"/>
    <s v="Utilities"/>
    <s v="Utilities"/>
    <x v="38"/>
    <s v="UNITED STATES"/>
    <n v="11.03"/>
    <n v="3.33"/>
    <n v="0"/>
    <n v="66.596331182357403"/>
  </r>
  <r>
    <s v="PODC US Equity"/>
    <s v="PODCASTONE INC"/>
    <s v="Communications"/>
    <s v="Media"/>
    <x v="53"/>
    <s v="UNITED STATES"/>
    <n v="7.0000000000000007E-2"/>
    <n v="5"/>
    <n v="184071"/>
    <n v="59.692824057651684"/>
  </r>
  <r>
    <s v="PODD US Equity"/>
    <s v="INSULET CORP"/>
    <s v="Health Care"/>
    <s v="Health Care"/>
    <x v="9"/>
    <s v="UNITED STATES"/>
    <n v="19.11"/>
    <n v="4.71"/>
    <n v="261279"/>
    <n v="34.340325427193633"/>
  </r>
  <r>
    <s v="POET US Equity"/>
    <s v="POET TECHNOLOGIE"/>
    <s v="Technology"/>
    <s v="Tech Hardware &amp; Semiconductors"/>
    <x v="17"/>
    <s v="CANADA"/>
    <n v="0.91"/>
    <n v="5"/>
    <n v="0"/>
    <n v="43.189985626209243"/>
  </r>
  <r>
    <s v="POLE US Equity"/>
    <s v="ANDRETTI ACQUISI"/>
    <s v="Financials"/>
    <s v="Financial Services"/>
    <x v="24"/>
    <s v="UNITED STATES"/>
    <n v="0.31"/>
    <n v="0"/>
    <n v="0"/>
    <n v="58.587078599277966"/>
  </r>
  <r>
    <s v="PONY US Equity"/>
    <s v="PONY AI INC"/>
    <s v="Consumer Discretionary"/>
    <s v="Consumer Discretionary Products"/>
    <x v="8"/>
    <s v="CHINA"/>
    <n v="7.13"/>
    <n v="4.79"/>
    <n v="0"/>
    <n v="48.164145622788951"/>
  </r>
  <r>
    <s v="POOL US Equity"/>
    <s v="POOL CORP"/>
    <s v="Consumer Discretionary"/>
    <s v="Retail &amp; Whsle - Discretionary"/>
    <x v="40"/>
    <s v="UNITED STATES"/>
    <n v="9.8699999999999992"/>
    <n v="3.67"/>
    <n v="0"/>
    <n v="64.609142122127992"/>
  </r>
  <r>
    <s v="POR US Equity"/>
    <s v="PORTLAND GENERAL"/>
    <s v="Utilities"/>
    <s v="Utilities"/>
    <x v="38"/>
    <s v="UNITED STATES"/>
    <n v="5.55"/>
    <n v="3.14"/>
    <n v="0"/>
    <n v="68.892709732408889"/>
  </r>
  <r>
    <s v="POST US Equity"/>
    <s v="POST HOLDINGS IN"/>
    <s v="Consumer Staples"/>
    <s v="Consumer Staple Products"/>
    <x v="42"/>
    <s v="UNITED STATES"/>
    <n v="5.07"/>
    <n v="4.5599999999999996"/>
    <n v="3715362"/>
    <n v="66.170399081883687"/>
  </r>
  <r>
    <s v="POU CT Equity"/>
    <s v="PARAMOUNT RES -A"/>
    <s v="Energy"/>
    <s v="Oil &amp; Gas"/>
    <x v="20"/>
    <s v="CANADA"/>
    <n v="2.62"/>
    <n v="4.4000000000000004"/>
    <n v="231762"/>
    <n v="63.513948231287117"/>
  </r>
  <r>
    <s v="POWI US Equity"/>
    <s v="POWER INTEGRATIO"/>
    <s v="Technology"/>
    <s v="Tech Hardware &amp; Semiconductors"/>
    <x v="17"/>
    <s v="UNITED STATES"/>
    <n v="2.46"/>
    <n v="4.4000000000000004"/>
    <n v="0"/>
    <n v="66.769564222264592"/>
  </r>
  <r>
    <s v="POWL US Equity"/>
    <s v="POWELL INDS INC"/>
    <s v="Industrials"/>
    <s v="Industrial Products"/>
    <x v="4"/>
    <s v="UNITED STATES"/>
    <n v="5.07"/>
    <n v="4"/>
    <n v="0"/>
    <n v="81.036792889860038"/>
  </r>
  <r>
    <s v="POWW US Equity"/>
    <s v="OUTDOOR HOLDING"/>
    <s v="Industrials"/>
    <s v="Industrial Products"/>
    <x v="32"/>
    <s v="UNITED STATES"/>
    <n v="0.2"/>
    <n v="5"/>
    <n v="0"/>
    <n v="64.543371980843077"/>
  </r>
  <r>
    <s v="PPC US Equity"/>
    <s v="PILGRIM'S PRIDE"/>
    <s v="Consumer Staples"/>
    <s v="Consumer Staple Products"/>
    <x v="42"/>
    <s v="UNITED STATES"/>
    <n v="9.98"/>
    <n v="3.4"/>
    <n v="0"/>
    <n v="62.167570242213792"/>
  </r>
  <r>
    <s v="PPG US Equity"/>
    <s v="PPG INDS INC"/>
    <s v="Materials"/>
    <s v="Materials"/>
    <x v="21"/>
    <s v="UNITED STATES"/>
    <n v="25.2"/>
    <n v="3.92"/>
    <n v="0"/>
    <n v="81.234219775807802"/>
  </r>
  <r>
    <s v="PPH US Equity"/>
    <s v="Pharmaceutical ETF "/>
    <s v="Financials"/>
    <s v="Financial Services"/>
    <x v="89"/>
    <s v="UNITED STATES"/>
    <n v="1.18"/>
    <n v="0"/>
    <n v="0"/>
    <n v="64.125779304453999"/>
  </r>
  <r>
    <s v="PPL CT Equity"/>
    <s v="PEMBINA PIPELINE"/>
    <s v="Energy"/>
    <s v="Oil &amp; Gas"/>
    <x v="20"/>
    <s v="CANADA"/>
    <n v="23.51"/>
    <n v="4.26"/>
    <n v="1362322"/>
    <n v="80.186725365819257"/>
  </r>
  <r>
    <s v="PPL US Equity"/>
    <s v="PPL CORP"/>
    <s v="Utilities"/>
    <s v="Utilities"/>
    <x v="38"/>
    <s v="UNITED STATES"/>
    <n v="26.79"/>
    <n v="4.18"/>
    <n v="0"/>
    <n v="52.788422760556379"/>
  </r>
  <r>
    <s v="PPSI US Equity"/>
    <s v="PIONEER POWER SO"/>
    <s v="Industrials"/>
    <s v="Industrial Products"/>
    <x v="4"/>
    <s v="UNITED STATES"/>
    <n v="0.05"/>
    <n v="5"/>
    <n v="46800"/>
    <n v="42.851016460373195"/>
  </r>
  <r>
    <s v="PPTA US Equity"/>
    <s v="PERPETUA RESOURC"/>
    <s v="Materials"/>
    <s v="Materials"/>
    <x v="22"/>
    <s v="UNITED STATES"/>
    <n v="4.28"/>
    <n v="5"/>
    <n v="1035000"/>
    <n v="52.343960758686819"/>
  </r>
  <r>
    <s v="PR US Equity"/>
    <s v="PERMIAN RESOUR-A"/>
    <s v="Energy"/>
    <s v="Oil &amp; Gas"/>
    <x v="20"/>
    <s v="UNITED STATES"/>
    <n v="11.73"/>
    <n v="4.72"/>
    <n v="0"/>
    <n v="72.09818006777445"/>
  </r>
  <r>
    <s v="PRA US Equity"/>
    <s v="PROASSURANCE COR"/>
    <s v="Financials"/>
    <s v="Insurance"/>
    <x v="23"/>
    <s v="UNITED STATES"/>
    <n v="1.24"/>
    <n v="2.6"/>
    <n v="0"/>
    <n v="56.185710840199704"/>
  </r>
  <r>
    <s v="PRAA US Equity"/>
    <s v="PRA GROUP INC"/>
    <s v="Financials"/>
    <s v="Financial Services"/>
    <x v="35"/>
    <s v="UNITED STATES"/>
    <n v="0.62"/>
    <n v="3.6"/>
    <n v="238650"/>
    <n v="21.034048975491686"/>
  </r>
  <r>
    <s v="PRAX US Equity"/>
    <s v="PRAXIS PRECISION"/>
    <s v="Health Care"/>
    <s v="Health Care"/>
    <x v="25"/>
    <s v="UNITED STATES"/>
    <n v="8.65"/>
    <n v="4.7300000000000004"/>
    <n v="0"/>
    <n v="61.898254481777087"/>
  </r>
  <r>
    <s v="PRCH US Equity"/>
    <s v="PORCH GROUP INC"/>
    <s v="Technology"/>
    <s v="Software &amp; Tech Services"/>
    <x v="14"/>
    <s v="UNITED STATES"/>
    <n v="1.01"/>
    <n v="4.75"/>
    <n v="0"/>
    <n v="43.091969729845658"/>
  </r>
  <r>
    <s v="PRCT US Equity"/>
    <s v="PROCEPT BIOROBOT"/>
    <s v="Health Care"/>
    <s v="Health Care"/>
    <x v="9"/>
    <s v="UNITED STATES"/>
    <n v="1.63"/>
    <n v="4.57"/>
    <n v="582600"/>
    <n v="42.089100211301968"/>
  </r>
  <r>
    <s v="PRDO US Equity"/>
    <s v="PERDOCEO EDUCATI"/>
    <s v="Consumer Discretionary"/>
    <s v="Consumer Discretionary Services"/>
    <x v="41"/>
    <s v="UNITED STATES"/>
    <n v="2.06"/>
    <n v="5"/>
    <n v="0"/>
    <n v="41.317483923930745"/>
  </r>
  <r>
    <s v="PRG US Equity"/>
    <s v="PROG HOLDINGS IN"/>
    <s v="Consumer Discretionary"/>
    <s v="Consumer Discretionary Services"/>
    <x v="41"/>
    <s v="UNITED STATES"/>
    <n v="1.31"/>
    <n v="4.5"/>
    <n v="0"/>
    <n v="58.999681530509022"/>
  </r>
  <r>
    <s v="PRGO US Equity"/>
    <s v="PERRIGO CO PLC"/>
    <s v="Consumer Staples"/>
    <s v="Consumer Staple Products"/>
    <x v="62"/>
    <s v="IRELAND"/>
    <n v="2.0299999999999998"/>
    <n v="3.67"/>
    <n v="339708"/>
    <n v="52.798585912997623"/>
  </r>
  <r>
    <s v="PRGS US Equity"/>
    <s v="PROGRESS SOFTWAR"/>
    <s v="Technology"/>
    <s v="Software &amp; Tech Services"/>
    <x v="14"/>
    <s v="UNITED STATES"/>
    <n v="1.79"/>
    <n v="4.67"/>
    <n v="379112"/>
    <n v="46.485642409499398"/>
  </r>
  <r>
    <s v="PRI US Equity"/>
    <s v="PRIMERICA INC"/>
    <s v="Financials"/>
    <s v="Insurance"/>
    <x v="23"/>
    <s v="UNITED STATES"/>
    <n v="8.1300000000000008"/>
    <n v="3.75"/>
    <n v="0"/>
    <n v="39.299233564876964"/>
  </r>
  <r>
    <s v="PRIM US Equity"/>
    <s v="PRIMORIS SERVICE"/>
    <s v="Industrials"/>
    <s v="Industrial Services"/>
    <x v="27"/>
    <s v="UNITED STATES"/>
    <n v="8"/>
    <n v="4.13"/>
    <n v="3258"/>
    <n v="67.670355032851717"/>
  </r>
  <r>
    <s v="PRK US Equity"/>
    <s v="PARK NATL CORP"/>
    <s v="Financials"/>
    <s v="Banking"/>
    <x v="26"/>
    <s v="UNITED STATES"/>
    <n v="2.57"/>
    <n v="3"/>
    <n v="0"/>
    <n v="60.779503043707976"/>
  </r>
  <r>
    <s v="PRKS US Equity"/>
    <s v="UNITED PARKS &amp; R"/>
    <s v="Consumer Discretionary"/>
    <s v="Consumer Discretionary Services"/>
    <x v="6"/>
    <s v="UNITED STATES"/>
    <n v="2.0499999999999998"/>
    <n v="3.62"/>
    <n v="0"/>
    <n v="45.029330570716922"/>
  </r>
  <r>
    <s v="PRLB US Equity"/>
    <s v="PROTO LABS INC"/>
    <s v="Industrials"/>
    <s v="Industrial Products"/>
    <x v="52"/>
    <s v="UNITED STATES"/>
    <n v="1.27"/>
    <n v="4.2"/>
    <n v="184900"/>
    <n v="75.93229884696629"/>
  </r>
  <r>
    <s v="PRLD US Equity"/>
    <s v="PRELUDE THERAPEU"/>
    <s v="Health Care"/>
    <s v="Health Care"/>
    <x v="25"/>
    <s v="UNITED STATES"/>
    <n v="0.15"/>
    <n v="4.67"/>
    <n v="0"/>
    <n v="49.094459828627897"/>
  </r>
  <r>
    <s v="PRM US Equity"/>
    <s v="PERIMETER SOLUTI"/>
    <s v="Materials"/>
    <s v="Materials"/>
    <x v="21"/>
    <s v="UNITED STATES"/>
    <n v="4.17"/>
    <n v="4"/>
    <n v="0"/>
    <n v="50.626582604098715"/>
  </r>
  <r>
    <s v="PRMB US Equity"/>
    <s v="PRIMO BRANDS COR"/>
    <s v="Consumer Staples"/>
    <s v="Consumer Staple Products"/>
    <x v="11"/>
    <s v="UNITED STATES"/>
    <n v="7.13"/>
    <n v="4.5"/>
    <n v="4394246"/>
    <n v="59.008604800484136"/>
  </r>
  <r>
    <s v="PRME US Equity"/>
    <s v="PRIME MEDICINE I"/>
    <s v="Health Care"/>
    <s v="Health Care"/>
    <x v="25"/>
    <s v="UNITED STATES"/>
    <n v="0.8"/>
    <n v="4.25"/>
    <n v="13424229"/>
    <n v="42.076839350770634"/>
  </r>
  <r>
    <s v="PROF US Equity"/>
    <s v="PROFOUND MEDICAL"/>
    <s v="Health Care"/>
    <s v="Health Care"/>
    <x v="9"/>
    <s v="CANADA"/>
    <n v="0.28000000000000003"/>
    <n v="5"/>
    <n v="327984"/>
    <n v="36.064432302811483"/>
  </r>
  <r>
    <s v="PROK US Equity"/>
    <s v="PROKIDNEY CORP"/>
    <s v="Health Care"/>
    <s v="Health Care"/>
    <x v="25"/>
    <s v="UNITED STATES"/>
    <n v="0.65"/>
    <n v="3.75"/>
    <n v="0"/>
    <n v="44.924426902067374"/>
  </r>
  <r>
    <s v="PROV US Equity"/>
    <s v="PROVIDENT FNL HL"/>
    <s v="Financials"/>
    <s v="Banking"/>
    <x v="26"/>
    <s v="UNITED STATES"/>
    <n v="0.11"/>
    <n v="3"/>
    <n v="0"/>
    <n v="57.648303762222262"/>
  </r>
  <r>
    <s v="PRPO US Equity"/>
    <s v="PRECIPIO INC"/>
    <s v="Health Care"/>
    <s v="Health Care"/>
    <x v="31"/>
    <s v="UNITED STATES"/>
    <n v="0.04"/>
    <n v="0"/>
    <n v="1105"/>
    <n v="41.273386239479372"/>
  </r>
  <r>
    <s v="PRSU US Equity"/>
    <s v="PURSUIT ATTRACTI"/>
    <s v="Consumer Discretionary"/>
    <s v="Consumer Discretionary Services"/>
    <x v="6"/>
    <s v="UNITED STATES"/>
    <n v="1"/>
    <n v="5"/>
    <n v="176250"/>
    <n v="61.082962918522867"/>
  </r>
  <r>
    <s v="PRTA US Equity"/>
    <s v="PROTHENA CORP PL"/>
    <s v="Health Care"/>
    <s v="Health Care"/>
    <x v="25"/>
    <s v="IRELAND"/>
    <n v="0.54"/>
    <n v="3.71"/>
    <n v="0"/>
    <n v="45.455402616572698"/>
  </r>
  <r>
    <s v="PRTH US Equity"/>
    <s v="PRIORITY TECHNOL"/>
    <s v="Financials"/>
    <s v="Financial Services"/>
    <x v="35"/>
    <s v="UNITED STATES"/>
    <n v="0.49"/>
    <n v="4.5999999999999996"/>
    <n v="0"/>
    <n v="39.386450511092747"/>
  </r>
  <r>
    <s v="PRU US Equity"/>
    <s v="PRUDENTL FINL"/>
    <s v="Financials"/>
    <s v="Insurance"/>
    <x v="23"/>
    <s v="UNITED STATES"/>
    <n v="37.69"/>
    <n v="3.11"/>
    <n v="0"/>
    <n v="43.210888253690904"/>
  </r>
  <r>
    <s v="PRVA US Equity"/>
    <s v="PRIVIA HEALTH GR"/>
    <s v="Health Care"/>
    <s v="Health Care"/>
    <x v="31"/>
    <s v="UNITED STATES"/>
    <n v="2.94"/>
    <n v="4.7"/>
    <n v="0"/>
    <n v="37.267462788831239"/>
  </r>
  <r>
    <s v="PRY IM Equity"/>
    <s v="PRYSMIAN SPA"/>
    <s v="Industrials"/>
    <s v="Industrial Products"/>
    <x v="4"/>
    <s v="ITALY"/>
    <n v="34.03"/>
    <n v="4.1399999999999997"/>
    <n v="0"/>
    <n v="63.271192389426012"/>
  </r>
  <r>
    <s v="PSBD US Equity"/>
    <s v="PALMER SQUARE CA"/>
    <s v="Financials"/>
    <s v="Financial Services"/>
    <x v="24"/>
    <s v="UNITED STATES"/>
    <n v="0.37"/>
    <n v="3"/>
    <n v="0"/>
    <n v="38.611176693279759"/>
  </r>
  <r>
    <s v="PSEC US Equity"/>
    <s v="PROSPECT CAPITAL"/>
    <s v="Financials"/>
    <s v="Financial Services"/>
    <x v="24"/>
    <s v="UNITED STATES"/>
    <n v="1.36"/>
    <n v="1"/>
    <n v="8083787"/>
    <n v="61.75913437571694"/>
  </r>
  <r>
    <s v="PSFE US Equity"/>
    <s v="PAYSAFE LTD"/>
    <s v="Financials"/>
    <s v="Financial Services"/>
    <x v="35"/>
    <s v="BRITAIN"/>
    <n v="0.44"/>
    <n v="3"/>
    <n v="0"/>
    <n v="43.858404899129731"/>
  </r>
  <r>
    <s v="PSHG US Equity"/>
    <s v="PERFORMANCE SHIP"/>
    <s v="Industrials"/>
    <s v="Industrial Services"/>
    <x v="12"/>
    <s v="GREECE"/>
    <n v="0.03"/>
    <n v="5"/>
    <n v="0"/>
    <n v="51.729609346231854"/>
  </r>
  <r>
    <s v="PSIG US Equity"/>
    <s v="PS INTERNATIONAL"/>
    <s v="Industrials"/>
    <s v="Industrial Services"/>
    <x v="12"/>
    <s v="HONG KONG"/>
    <n v="0.04"/>
    <n v="0"/>
    <n v="0"/>
    <n v="58.323159407683455"/>
  </r>
  <r>
    <s v="PSIX US Equity"/>
    <s v="POWER SOLUTIONS"/>
    <s v="Industrials"/>
    <s v="Industrial Products"/>
    <x v="3"/>
    <s v="UNITED STATES"/>
    <n v="1.78"/>
    <n v="5"/>
    <n v="23175"/>
    <n v="61.963359991147712"/>
  </r>
  <r>
    <s v="PSKY US Equity"/>
    <s v="PARAMOUNT SKYDAN"/>
    <s v="Communications"/>
    <s v="Media"/>
    <x v="47"/>
    <s v="UNITED STATES"/>
    <n v="12.91"/>
    <n v="2.64"/>
    <n v="0"/>
    <n v="35.779574360800652"/>
  </r>
  <r>
    <s v="PSMT US Equity"/>
    <s v="PRICESMART INC"/>
    <s v="Consumer Staples"/>
    <s v="Retail &amp; Wholesale - Staples"/>
    <x v="33"/>
    <s v="UNITED STATES"/>
    <n v="4.34"/>
    <n v="4.33"/>
    <n v="0"/>
    <n v="73.114185907708745"/>
  </r>
  <r>
    <s v="PSN US Equity"/>
    <s v="PARSONS CORP"/>
    <s v="Technology"/>
    <s v="Software &amp; Tech Services"/>
    <x v="34"/>
    <s v="UNITED STATES"/>
    <n v="7.74"/>
    <n v="4.54"/>
    <n v="0"/>
    <n v="29.164273151582336"/>
  </r>
  <r>
    <s v="PSNL US Equity"/>
    <s v="PERSONALIS INC"/>
    <s v="Health Care"/>
    <s v="Health Care"/>
    <x v="31"/>
    <s v="UNITED STATES"/>
    <n v="0.9"/>
    <n v="4.71"/>
    <n v="0"/>
    <n v="49.453235687063561"/>
  </r>
  <r>
    <s v="PSNY US Equity"/>
    <s v="POLESTAR A-A ADS"/>
    <s v="Consumer Discretionary"/>
    <s v="Consumer Discretionary Products"/>
    <x v="8"/>
    <s v="SWEDEN"/>
    <n v="1.54"/>
    <n v="2"/>
    <n v="0"/>
    <n v="55.040846510783553"/>
  </r>
  <r>
    <s v="PSO US Equity"/>
    <s v="PEARSON PLC-ADR"/>
    <s v="Communications"/>
    <s v="Media"/>
    <x v="59"/>
    <s v="BRITAIN"/>
    <n v="8.3699999999999992"/>
    <n v="3"/>
    <n v="162710"/>
    <n v="34.287157469771913"/>
  </r>
  <r>
    <s v="PSTG US Equity"/>
    <s v="PURE STORAGE-A"/>
    <s v="Technology"/>
    <s v="Tech Hardware &amp; Semiconductors"/>
    <x v="16"/>
    <s v="UNITED STATES"/>
    <n v="23.03"/>
    <n v="4.2300000000000004"/>
    <n v="0"/>
    <n v="57.793567426085197"/>
  </r>
  <r>
    <s v="PSTL US Equity"/>
    <s v="POSTAL REALTY-A"/>
    <s v="Real Estate"/>
    <s v="Real Estate"/>
    <x v="37"/>
    <s v="UNITED STATES"/>
    <n v="0.54"/>
    <n v="4.5"/>
    <n v="0"/>
    <n v="71.49733751736261"/>
  </r>
  <r>
    <s v="PSX US Equity"/>
    <s v="PHILLIPS 66"/>
    <s v="Energy"/>
    <s v="Oil &amp; Gas"/>
    <x v="20"/>
    <s v="UNITED STATES"/>
    <n v="57.03"/>
    <n v="3.75"/>
    <n v="1394169"/>
    <n v="77.52426271746738"/>
  </r>
  <r>
    <s v="PTC US Equity"/>
    <s v="PTC INC"/>
    <s v="Technology"/>
    <s v="Software &amp; Tech Services"/>
    <x v="14"/>
    <s v="UNITED STATES"/>
    <n v="19.28"/>
    <n v="4.16"/>
    <n v="0"/>
    <n v="41.586109983477428"/>
  </r>
  <r>
    <s v="PTCT US Equity"/>
    <s v="PTC THERAPEUTICS"/>
    <s v="Health Care"/>
    <s v="Health Care"/>
    <x v="25"/>
    <s v="UNITED STATES"/>
    <n v="6.04"/>
    <n v="4.07"/>
    <n v="0"/>
    <n v="36.761324663087031"/>
  </r>
  <r>
    <s v="PTEN US Equity"/>
    <s v="PATTERSON-UTI"/>
    <s v="Energy"/>
    <s v="Oil &amp; Gas"/>
    <x v="30"/>
    <s v="UNITED STATES"/>
    <n v="2.77"/>
    <n v="3.47"/>
    <n v="0"/>
    <n v="72.430980307077604"/>
  </r>
  <r>
    <s v="PTGX US Equity"/>
    <s v="PROTAGONIST THER"/>
    <s v="Health Care"/>
    <s v="Health Care"/>
    <x v="25"/>
    <s v="UNITED STATES"/>
    <n v="5.2"/>
    <n v="4.7699999999999996"/>
    <n v="0"/>
    <n v="49.813330143377158"/>
  </r>
  <r>
    <s v="PTLO US Equity"/>
    <s v="PORTILLO'S-CL A"/>
    <s v="Consumer Discretionary"/>
    <s v="Consumer Discretionary Services"/>
    <x v="6"/>
    <s v="UNITED STATES"/>
    <n v="0.45"/>
    <n v="3.67"/>
    <n v="1265526"/>
    <n v="57.273195959655617"/>
  </r>
  <r>
    <s v="PTN US Equity"/>
    <s v="PALATIN TECH INC"/>
    <s v="Health Care"/>
    <s v="Health Care"/>
    <x v="25"/>
    <s v="UNITED STATES"/>
    <n v="0.03"/>
    <n v="5"/>
    <n v="0"/>
    <n v="49.444765290997097"/>
  </r>
  <r>
    <s v="PTON US Equity"/>
    <s v="PELOTON INTERA-A"/>
    <s v="Consumer Discretionary"/>
    <s v="Consumer Discretionary Products"/>
    <x v="55"/>
    <s v="UNITED STATES"/>
    <n v="2.42"/>
    <n v="3.86"/>
    <n v="0"/>
    <n v="27.287617412352702"/>
  </r>
  <r>
    <s v="PTRN US Equity"/>
    <s v="PATTERN GROUP-A"/>
    <s v="Technology"/>
    <s v="Software &amp; Tech Services"/>
    <x v="14"/>
    <s v="UNITED STATES"/>
    <n v="2.5099999999999998"/>
    <n v="5"/>
    <n v="0"/>
    <n v="34.232675032714624"/>
  </r>
  <r>
    <s v="PUBM US Equity"/>
    <s v="PUBMATIC INC-A"/>
    <s v="Technology"/>
    <s v="Software &amp; Tech Services"/>
    <x v="14"/>
    <s v="UNITED STATES"/>
    <n v="0.36"/>
    <n v="3.75"/>
    <n v="0"/>
    <n v="29.996796478594561"/>
  </r>
  <r>
    <s v="PUK US Equity"/>
    <s v="PRUDENTIAL-ADR"/>
    <s v="Financials"/>
    <s v="Insurance"/>
    <x v="23"/>
    <s v="HONG KONG"/>
    <n v="40.21"/>
    <n v="4"/>
    <n v="0"/>
    <n v="49.046228776097287"/>
  </r>
  <r>
    <s v="PUMP US Equity"/>
    <s v="PROPETRO HOLDING"/>
    <s v="Energy"/>
    <s v="Oil &amp; Gas"/>
    <x v="30"/>
    <s v="UNITED STATES"/>
    <n v="1.1399999999999999"/>
    <n v="3.9"/>
    <n v="75486"/>
    <n v="59.814953889310608"/>
  </r>
  <r>
    <s v="PURR US Equity"/>
    <s v="HYPERLIQUID STRA"/>
    <s v="Financials"/>
    <s v="Financial Services"/>
    <x v="35"/>
    <s v="UNITED STATES"/>
    <n v="0.45"/>
    <n v="5"/>
    <n v="0"/>
    <n v="54.383140048874459"/>
  </r>
  <r>
    <s v="PVH US Equity"/>
    <s v="PVH CORP"/>
    <s v="Consumer Discretionary"/>
    <s v="Consumer Discretionary Products"/>
    <x v="5"/>
    <s v="UNITED STATES"/>
    <n v="2.81"/>
    <n v="4.07"/>
    <n v="0"/>
    <n v="58.746157979184439"/>
  </r>
  <r>
    <s v="PVLA US Equity"/>
    <s v="PALVELLA THERAPE"/>
    <s v="Health Care"/>
    <s v="Health Care"/>
    <x v="25"/>
    <s v="UNITED STATES"/>
    <n v="1.01"/>
    <n v="5"/>
    <n v="0"/>
    <n v="42.502190698126753"/>
  </r>
  <r>
    <s v="PWP US Equity"/>
    <s v="PERELLA WEINBERG"/>
    <s v="Financials"/>
    <s v="Financial Services"/>
    <x v="49"/>
    <s v="UNITED STATES"/>
    <n v="1.94"/>
    <n v="3.25"/>
    <n v="0"/>
    <n v="65.263805443991615"/>
  </r>
  <r>
    <s v="PWR US Equity"/>
    <s v="QUANTA SERVICES"/>
    <s v="Industrials"/>
    <s v="Industrial Services"/>
    <x v="27"/>
    <s v="UNITED STATES"/>
    <n v="69.900000000000006"/>
    <n v="4.24"/>
    <n v="0"/>
    <n v="69.571945637806607"/>
  </r>
  <r>
    <s v="PX US Equity"/>
    <s v="P10 INC-A"/>
    <s v="Financials"/>
    <s v="Financial Services"/>
    <x v="24"/>
    <s v="UNITED STATES"/>
    <n v="1.18"/>
    <n v="4.5"/>
    <n v="0"/>
    <s v="#N/A N/A"/>
  </r>
  <r>
    <s v="PXED US Equity"/>
    <s v="PHOENIX EDUCATIO"/>
    <s v="Communications"/>
    <s v="Media"/>
    <x v="13"/>
    <s v="UNITED STATES"/>
    <n v="1.17"/>
    <n v="4.5"/>
    <n v="0"/>
    <n v="39.838621000139618"/>
  </r>
  <r>
    <s v="PYPD US Equity"/>
    <s v="POLYPID LTD"/>
    <s v="Health Care"/>
    <s v="Health Care"/>
    <x v="25"/>
    <s v="ISRAEL"/>
    <n v="0.08"/>
    <n v="4.75"/>
    <n v="0"/>
    <n v="53.207855205818362"/>
  </r>
  <r>
    <s v="PYPL US Equity"/>
    <s v="PAYPAL HOLDINGS"/>
    <s v="Financials"/>
    <s v="Financial Services"/>
    <x v="35"/>
    <s v="UNITED STATES"/>
    <n v="52.98"/>
    <n v="3.36"/>
    <n v="0"/>
    <n v="18.154031466838106"/>
  </r>
  <r>
    <s v="PZZA US Equity"/>
    <s v="PAPA JOHN'S INTL"/>
    <s v="Consumer Discretionary"/>
    <s v="Consumer Discretionary Services"/>
    <x v="6"/>
    <s v="UNITED STATES"/>
    <n v="1.21"/>
    <n v="3.78"/>
    <n v="0"/>
    <n v="36.21755003026783"/>
  </r>
  <r>
    <s v="Q US Equity"/>
    <s v="QNITY ELECTRONIC"/>
    <s v="Materials"/>
    <s v="Materials"/>
    <x v="21"/>
    <s v="UNITED STATES"/>
    <n v="20.13"/>
    <n v="4.82"/>
    <n v="0"/>
    <n v="69.765910677423193"/>
  </r>
  <r>
    <s v="QBTS US Equity"/>
    <s v="D-WAVE QUANTUM I"/>
    <s v="Technology"/>
    <s v="Tech Hardware &amp; Semiconductors"/>
    <x v="16"/>
    <s v="UNITED STATES"/>
    <n v="9.48"/>
    <n v="5"/>
    <n v="2102"/>
    <n v="38.578310340690429"/>
  </r>
  <r>
    <s v="QCOM US Equity"/>
    <s v="QUALCOMM INC"/>
    <s v="Technology"/>
    <s v="Tech Hardware &amp; Semiconductors"/>
    <x v="17"/>
    <s v="UNITED STATES"/>
    <n v="166.42"/>
    <n v="3.91"/>
    <n v="0"/>
    <n v="30.543303781938775"/>
  </r>
  <r>
    <s v="QCRH US Equity"/>
    <s v="QCR HOLDINGS INC"/>
    <s v="Financials"/>
    <s v="Banking"/>
    <x v="26"/>
    <s v="UNITED STATES"/>
    <n v="1.47"/>
    <n v="4.5999999999999996"/>
    <n v="0"/>
    <n v="57.62480008458585"/>
  </r>
  <r>
    <s v="QDEL US Equity"/>
    <s v="QUIDELORTHO CORP"/>
    <s v="Health Care"/>
    <s v="Health Care"/>
    <x v="9"/>
    <s v="UNITED STATES"/>
    <n v="1.91"/>
    <n v="3.5"/>
    <n v="853655"/>
    <n v="47.373926570086198"/>
  </r>
  <r>
    <s v="QFIN US Equity"/>
    <s v="QFIN HOLDINGS IN"/>
    <s v="Financials"/>
    <s v="Financial Services"/>
    <x v="35"/>
    <s v="CHINA"/>
    <n v="2.21"/>
    <n v="4.8"/>
    <n v="0"/>
    <n v="39.556555372571879"/>
  </r>
  <r>
    <s v="QGEN US Equity"/>
    <s v="QIAGEN NV"/>
    <s v="Health Care"/>
    <s v="Health Care"/>
    <x v="9"/>
    <s v="NETHERLANDS"/>
    <n v="11.5"/>
    <n v="3.63"/>
    <n v="0"/>
    <n v="51.424701673940632"/>
  </r>
  <r>
    <s v="QIPT US Equity"/>
    <s v="QUIPT HOME MEDIC"/>
    <s v="Health Care"/>
    <s v="Health Care"/>
    <x v="31"/>
    <s v="UNITED STATES"/>
    <n v="0.16"/>
    <n v="3.5"/>
    <n v="0"/>
    <n v="67.959241516343042"/>
  </r>
  <r>
    <s v="QLYS US Equity"/>
    <s v="QUALYS INC"/>
    <s v="Technology"/>
    <s v="Software &amp; Tech Services"/>
    <x v="14"/>
    <s v="UNITED STATES"/>
    <n v="4.62"/>
    <n v="3.26"/>
    <n v="0"/>
    <n v="27.578659477494739"/>
  </r>
  <r>
    <s v="QNCX US Equity"/>
    <s v="QUINCE THERAPEUT"/>
    <s v="Health Care"/>
    <s v="Health Care"/>
    <x v="25"/>
    <s v="UNITED STATES"/>
    <n v="0.17"/>
    <n v="4.83"/>
    <n v="0"/>
    <n v="32.325913028751287"/>
  </r>
  <r>
    <s v="QNST US Equity"/>
    <s v="QUINSTREET INC"/>
    <s v="Communications"/>
    <s v="Media"/>
    <x v="53"/>
    <s v="UNITED STATES"/>
    <n v="0.82"/>
    <n v="4.5999999999999996"/>
    <n v="0"/>
    <n v="27.831910884797381"/>
  </r>
  <r>
    <s v="QQQ US Equity"/>
    <s v="INVESCO QQQ TRUS"/>
    <s v="Financials"/>
    <s v="Financial Services"/>
    <x v="24"/>
    <s v="UNITED STATES"/>
    <n v="407.48"/>
    <n v="0"/>
    <n v="0"/>
    <n v="47.056277934244576"/>
  </r>
  <r>
    <s v="QRVO US Equity"/>
    <s v="QORVO INC"/>
    <s v="Technology"/>
    <s v="Tech Hardware &amp; Semiconductors"/>
    <x v="17"/>
    <s v="UNITED STATES"/>
    <n v="7.5"/>
    <n v="3.33"/>
    <n v="0"/>
    <n v="60.129077261509941"/>
  </r>
  <r>
    <s v="QS US Equity"/>
    <s v="QUANTUMSCAPE COR"/>
    <s v="Consumer Discretionary"/>
    <s v="Consumer Discretionary Products"/>
    <x v="8"/>
    <s v="UNITED STATES"/>
    <n v="6.27"/>
    <n v="2.2999999999999998"/>
    <n v="0"/>
    <n v="40.343517251449363"/>
  </r>
  <r>
    <s v="QSR US Equity"/>
    <s v="RESTAURANT BRAND"/>
    <s v="Consumer Discretionary"/>
    <s v="Consumer Discretionary Services"/>
    <x v="6"/>
    <s v="UNITED STATES"/>
    <n v="31.13"/>
    <n v="4.24"/>
    <n v="0"/>
    <n v="61.521537307036567"/>
  </r>
  <r>
    <s v="QTRX US Equity"/>
    <s v="QUANTERIX CORP"/>
    <s v="Health Care"/>
    <s v="Health Care"/>
    <x v="9"/>
    <s v="UNITED STATES"/>
    <n v="0.3"/>
    <n v="3"/>
    <n v="26892"/>
    <n v="40.170811319493488"/>
  </r>
  <r>
    <s v="QTTB US Equity"/>
    <s v="Q32 BIO INC"/>
    <s v="Health Care"/>
    <s v="Health Care"/>
    <x v="25"/>
    <s v="UNITED STATES"/>
    <n v="0.05"/>
    <n v="4"/>
    <n v="0"/>
    <n v="43.955473971058204"/>
  </r>
  <r>
    <s v="QTUM US Equity"/>
    <s v="DEFIANCE QUANTUM"/>
    <s v="Financials"/>
    <s v="Financial Services"/>
    <x v="24"/>
    <s v="UNITED STATES"/>
    <n v="3.63"/>
    <n v="0"/>
    <n v="0"/>
    <n v="57.120810991416015"/>
  </r>
  <r>
    <s v="QTWO US Equity"/>
    <s v="Q2 HOLDINGS INC"/>
    <s v="Technology"/>
    <s v="Software &amp; Tech Services"/>
    <x v="14"/>
    <s v="UNITED STATES"/>
    <n v="4.28"/>
    <n v="4.33"/>
    <n v="0"/>
    <n v="30.885542840941412"/>
  </r>
  <r>
    <s v="QUAD US Equity"/>
    <s v="QUAD GRAPHICS IN"/>
    <s v="Industrials"/>
    <s v="Industrial Services"/>
    <x v="15"/>
    <s v="UNITED STATES"/>
    <n v="0.31"/>
    <n v="5"/>
    <n v="0"/>
    <n v="48.654310189920302"/>
  </r>
  <r>
    <s v="QUAL US Equity"/>
    <s v="MSCI USA Quality Factor ETF "/>
    <s v="Financials"/>
    <s v="Financial Services"/>
    <x v="90"/>
    <s v="UNITED STATES"/>
    <n v="48.81"/>
    <n v="0"/>
    <n v="0"/>
    <n v="54.891691408668329"/>
  </r>
  <r>
    <s v="QUBT US Equity"/>
    <s v="QUANTUM COMPUTIN"/>
    <s v="Technology"/>
    <s v="Software &amp; Tech Services"/>
    <x v="14"/>
    <s v="UNITED STATES"/>
    <n v="2.57"/>
    <n v="4.2"/>
    <n v="0"/>
    <n v="37.906200560827685"/>
  </r>
  <r>
    <s v="QURE US Equity"/>
    <s v="UNIQURE NV"/>
    <s v="Health Care"/>
    <s v="Health Care"/>
    <x v="25"/>
    <s v="NETHERLANDS"/>
    <n v="1.56"/>
    <n v="4.6900000000000004"/>
    <n v="0"/>
    <n v="48.59310476265648"/>
  </r>
  <r>
    <s v="QXO US Equity"/>
    <s v="QXO INC"/>
    <s v="Consumer Discretionary"/>
    <s v="Retail &amp; Whsle - Discretionary"/>
    <x v="10"/>
    <s v="UNITED STATES"/>
    <n v="16.89"/>
    <n v="5"/>
    <n v="0"/>
    <n v="67.563363319887543"/>
  </r>
  <r>
    <s v="R US Equity"/>
    <s v="RYDER SYSTEM INC"/>
    <s v="Industrials"/>
    <s v="Industrial Services"/>
    <x v="12"/>
    <s v="UNITED STATES"/>
    <n v="7.69"/>
    <n v="4.18"/>
    <n v="0"/>
    <n v="70.283557588798942"/>
  </r>
  <r>
    <s v="RACE US Equity"/>
    <s v="FERRARI NV"/>
    <s v="Consumer Discretionary"/>
    <s v="Consumer Discretionary Products"/>
    <x v="8"/>
    <s v="ITALY"/>
    <n v="60.23"/>
    <n v="4.2"/>
    <n v="0"/>
    <n v="67.169306367744085"/>
  </r>
  <r>
    <s v="RAL US Equity"/>
    <s v="RALLIANT CORP"/>
    <s v="Industrials"/>
    <s v="Industrial Products"/>
    <x v="4"/>
    <s v="UNITED STATES"/>
    <n v="6.06"/>
    <n v="3.92"/>
    <n v="107460"/>
    <n v="35.971212786650639"/>
  </r>
  <r>
    <s v="RAMP US Equity"/>
    <s v="LIVERAMP HOLDING"/>
    <s v="Technology"/>
    <s v="Software &amp; Tech Services"/>
    <x v="14"/>
    <s v="UNITED STATES"/>
    <n v="1.64"/>
    <n v="4"/>
    <n v="199125"/>
    <n v="36.675890972635784"/>
  </r>
  <r>
    <s v="RANI US Equity"/>
    <s v="RANI THERAPEUTIC"/>
    <s v="Health Care"/>
    <s v="Health Care"/>
    <x v="25"/>
    <s v="UNITED STATES"/>
    <n v="0.17"/>
    <n v="5"/>
    <n v="2895834"/>
    <n v="47.371970895673037"/>
  </r>
  <r>
    <s v="RAPP US Equity"/>
    <s v="RAPPORT THERAPEU"/>
    <s v="Health Care"/>
    <s v="Health Care"/>
    <x v="25"/>
    <s v="UNITED STATES"/>
    <n v="1.28"/>
    <n v="4.8899999999999997"/>
    <n v="1765692"/>
    <n v="50.963951233517072"/>
  </r>
  <r>
    <s v="RAPT US Equity"/>
    <s v="RAPT THERAPEUTIC"/>
    <s v="Health Care"/>
    <s v="Health Care"/>
    <x v="25"/>
    <s v="UNITED STATES"/>
    <n v="1.6"/>
    <n v="3"/>
    <n v="0"/>
    <n v="79.506450618673"/>
  </r>
  <r>
    <s v="RARE US Equity"/>
    <s v="ULTRAGENYX PHARM"/>
    <s v="Health Care"/>
    <s v="Health Care"/>
    <x v="25"/>
    <s v="UNITED STATES"/>
    <n v="2.34"/>
    <n v="4.9000000000000004"/>
    <n v="0"/>
    <n v="43.189427155266202"/>
  </r>
  <r>
    <s v="RAVE US Equity"/>
    <s v="RAVE RESTAURANT"/>
    <s v="Consumer Discretionary"/>
    <s v="Consumer Discretionary Services"/>
    <x v="6"/>
    <s v="UNITED STATES"/>
    <n v="0.05"/>
    <n v="0"/>
    <n v="0"/>
    <n v="64.597343752093082"/>
  </r>
  <r>
    <s v="RBA US Equity"/>
    <s v="RB GLOBAL INC"/>
    <s v="Industrials"/>
    <s v="Industrial Services"/>
    <x v="43"/>
    <s v="UNITED STATES"/>
    <n v="21.48"/>
    <n v="4.6399999999999997"/>
    <n v="231160"/>
    <n v="52.448283702919404"/>
  </r>
  <r>
    <s v="RBB US Equity"/>
    <s v="RBB BANCORP"/>
    <s v="Financials"/>
    <s v="Banking"/>
    <x v="26"/>
    <s v="UNITED STATES"/>
    <n v="0.37"/>
    <n v="3"/>
    <n v="0"/>
    <n v="58.8446161411131"/>
  </r>
  <r>
    <s v="RBBN US Equity"/>
    <s v="RIBBON COMMUNICA"/>
    <s v="Technology"/>
    <s v="Tech Hardware &amp; Semiconductors"/>
    <x v="16"/>
    <s v="UNITED STATES"/>
    <n v="0.48"/>
    <n v="4.8600000000000003"/>
    <n v="0"/>
    <n v="24.30827987913483"/>
  </r>
  <r>
    <s v="RBC US Equity"/>
    <s v="RBC BEARINGS INC"/>
    <s v="Industrials"/>
    <s v="Industrial Products"/>
    <x v="52"/>
    <s v="UNITED STATES"/>
    <n v="15.93"/>
    <n v="4.5599999999999996"/>
    <n v="0"/>
    <n v="81.236951416859341"/>
  </r>
  <r>
    <s v="RBI AV Equity"/>
    <s v="RAIFFEISEN BANK"/>
    <s v="Financials"/>
    <s v="Banking"/>
    <x v="26"/>
    <s v="AUSTRIA"/>
    <n v="15.1"/>
    <n v="3.89"/>
    <n v="0"/>
    <n v="66.469046319989047"/>
  </r>
  <r>
    <s v="RBKB US Equity"/>
    <s v="RHINEBECK BANCOR"/>
    <s v="Financials"/>
    <s v="Banking"/>
    <x v="26"/>
    <s v="UNITED STATES"/>
    <n v="0.14000000000000001"/>
    <n v="0"/>
    <n v="12280"/>
    <n v="76.315205441375795"/>
  </r>
  <r>
    <s v="RBLX US Equity"/>
    <s v="ROBLOX CORP - A"/>
    <s v="Communications"/>
    <s v="Media"/>
    <x v="47"/>
    <s v="UNITED STATES"/>
    <n v="52.11"/>
    <n v="4.1500000000000004"/>
    <n v="0"/>
    <n v="43.543907137143435"/>
  </r>
  <r>
    <s v="RBRK US Equity"/>
    <s v="RUBRIK INC-A"/>
    <s v="Technology"/>
    <s v="Software &amp; Tech Services"/>
    <x v="14"/>
    <s v="UNITED STATES"/>
    <n v="14.57"/>
    <n v="4.8499999999999996"/>
    <n v="0"/>
    <n v="38.000902332435025"/>
  </r>
  <r>
    <s v="RCAT US Equity"/>
    <s v="RED CAT HOLDINGS"/>
    <s v="Industrials"/>
    <s v="Industrial Products"/>
    <x v="32"/>
    <s v="UNITED STATES"/>
    <n v="1.92"/>
    <n v="5"/>
    <n v="0"/>
    <n v="46.821779279816134"/>
  </r>
  <r>
    <s v="RCI US Equity"/>
    <s v="ROGERS COMMUNI-B"/>
    <s v="Communications"/>
    <s v="Telecommunications"/>
    <x v="36"/>
    <s v="CANADA"/>
    <n v="19.98"/>
    <n v="4"/>
    <n v="0"/>
    <n v="56.572449298666335"/>
  </r>
  <r>
    <s v="RCI/B CT Equity"/>
    <s v="ROGERS COMMUNI-B"/>
    <s v="Communications"/>
    <s v="Telecommunications"/>
    <x v="36"/>
    <s v="CANADA"/>
    <n v="19.96"/>
    <n v="3.94"/>
    <n v="0"/>
    <n v="54.784278737263499"/>
  </r>
  <r>
    <s v="RCKT US Equity"/>
    <s v="ROCKET PHARMACEU"/>
    <s v="Health Care"/>
    <s v="Health Care"/>
    <x v="25"/>
    <s v="UNITED STATES"/>
    <n v="0.4"/>
    <n v="3.67"/>
    <n v="74400"/>
    <n v="41.168221211542622"/>
  </r>
  <r>
    <s v="RCL US Equity"/>
    <s v="ROYAL CARIBBEAN"/>
    <s v="Consumer Discretionary"/>
    <s v="Consumer Discretionary Services"/>
    <x v="6"/>
    <s v="UNITED STATES"/>
    <n v="78.03"/>
    <n v="4.32"/>
    <n v="0"/>
    <n v="59.506572729964368"/>
  </r>
  <r>
    <s v="RCUS US Equity"/>
    <s v="ARCUS BIOSCIENCE"/>
    <s v="Health Care"/>
    <s v="Health Care"/>
    <x v="25"/>
    <s v="UNITED STATES"/>
    <n v="2.72"/>
    <n v="4.67"/>
    <n v="0"/>
    <n v="47.584042654419228"/>
  </r>
  <r>
    <s v="RDAG US Equity"/>
    <s v="REPUBLIC DI-CL A"/>
    <s v="Financials"/>
    <s v="Financial Services"/>
    <x v="24"/>
    <s v="UNITED STATES"/>
    <n v="0.38"/>
    <n v="0"/>
    <n v="0"/>
    <n v="45.324343322389566"/>
  </r>
  <r>
    <s v="RDDT US Equity"/>
    <s v="REDDIT INC-A"/>
    <s v="Communications"/>
    <s v="Media"/>
    <x v="13"/>
    <s v="UNITED STATES"/>
    <n v="41.48"/>
    <n v="4.1500000000000004"/>
    <n v="0"/>
    <n v="24.122622510643978"/>
  </r>
  <r>
    <s v="RDGT US Equity"/>
    <s v="RIDGETECH INC"/>
    <s v="Consumer Staples"/>
    <s v="Retail &amp; Wholesale - Staples"/>
    <x v="33"/>
    <s v="CHINA"/>
    <n v="0.02"/>
    <n v="0"/>
    <n v="0"/>
    <n v="37.142619697179626"/>
  </r>
  <r>
    <s v="RDIB US Equity"/>
    <s v="READING INTL-B"/>
    <s v="Consumer Discretionary"/>
    <s v="Consumer Discretionary Services"/>
    <x v="6"/>
    <s v="UNITED STATES"/>
    <n v="0.04"/>
    <n v="0"/>
    <n v="0"/>
    <n v="62.593324001556759"/>
  </r>
  <r>
    <s v="RDN US Equity"/>
    <s v="RADIAN GROUP INC"/>
    <s v="Financials"/>
    <s v="Financial Services"/>
    <x v="35"/>
    <s v="UNITED STATES"/>
    <n v="4.4400000000000004"/>
    <n v="3"/>
    <n v="0"/>
    <n v="54.36295754414396"/>
  </r>
  <r>
    <s v="RDNT US Equity"/>
    <s v="RADNET INC"/>
    <s v="Health Care"/>
    <s v="Health Care"/>
    <x v="31"/>
    <s v="UNITED STATES"/>
    <n v="5.64"/>
    <n v="4.8899999999999997"/>
    <n v="0"/>
    <n v="44.611831442970704"/>
  </r>
  <r>
    <s v="RDNW US Equity"/>
    <s v="RIDENOW GROUP IN"/>
    <s v="Communications"/>
    <s v="Media"/>
    <x v="13"/>
    <s v="UNITED STATES"/>
    <n v="0.21"/>
    <n v="3.67"/>
    <n v="0"/>
    <n v="56.150468996046754"/>
  </r>
  <r>
    <s v="RDVT US Equity"/>
    <s v="RED VIOLET INC"/>
    <s v="Technology"/>
    <s v="Software &amp; Tech Services"/>
    <x v="14"/>
    <s v="UNITED STATES"/>
    <n v="0.68"/>
    <n v="5"/>
    <n v="0"/>
    <n v="29.84038710730232"/>
  </r>
  <r>
    <s v="RDW US Equity"/>
    <s v="REDWIRE CORP"/>
    <s v="Industrials"/>
    <s v="Industrial Products"/>
    <x v="32"/>
    <s v="UNITED STATES"/>
    <n v="2.0699999999999998"/>
    <n v="4.2"/>
    <n v="912558"/>
    <n v="44.186942452659366"/>
  </r>
  <r>
    <s v="RDWR US Equity"/>
    <s v="RADWARE LTD"/>
    <s v="Technology"/>
    <s v="Software &amp; Tech Services"/>
    <x v="14"/>
    <s v="ISRAEL"/>
    <n v="1.05"/>
    <n v="4"/>
    <n v="0"/>
    <n v="74.472733949754627"/>
  </r>
  <r>
    <s v="RDY US Equity"/>
    <s v="DR. REDDY'S LABO"/>
    <s v="Health Care"/>
    <s v="Health Care"/>
    <x v="25"/>
    <s v="INDIA"/>
    <n v="11.42"/>
    <n v="3.4"/>
    <n v="0"/>
    <n v="61.756623712715296"/>
  </r>
  <r>
    <s v="RDZN US Equity"/>
    <s v="ROADZEN INC"/>
    <s v="Financials"/>
    <s v="Insurance"/>
    <x v="23"/>
    <s v="UNITED STATES"/>
    <n v="0.15"/>
    <n v="5"/>
    <n v="41360"/>
    <n v="35.481020006886766"/>
  </r>
  <r>
    <s v="REAL US Equity"/>
    <s v="REALREAL INC/THE"/>
    <s v="Consumer Discretionary"/>
    <s v="Retail &amp; Whsle - Discretionary"/>
    <x v="51"/>
    <s v="UNITED STATES"/>
    <n v="1.78"/>
    <n v="4.5999999999999996"/>
    <n v="0"/>
    <n v="27.363928693596151"/>
  </r>
  <r>
    <s v="REAX US Equity"/>
    <s v="REAL BROKERAGE I"/>
    <s v="Real Estate"/>
    <s v="Real Estate"/>
    <x v="7"/>
    <s v="UNITED STATES"/>
    <n v="0.78"/>
    <n v="5"/>
    <n v="18400"/>
    <n v="28.442858862404236"/>
  </r>
  <r>
    <s v="REE US Equity"/>
    <s v="REE AUTOMOTIVE-A"/>
    <s v="Industrials"/>
    <s v="Industrial Products"/>
    <x v="44"/>
    <s v="ISRAEL"/>
    <n v="0.02"/>
    <n v="3.67"/>
    <n v="0"/>
    <n v="29.754027731036047"/>
  </r>
  <r>
    <s v="REG US Equity"/>
    <s v="REGENCY CENTERS"/>
    <s v="Real Estate"/>
    <s v="Real Estate"/>
    <x v="37"/>
    <s v="UNITED STATES"/>
    <n v="13.41"/>
    <n v="4.22"/>
    <n v="0"/>
    <n v="71.273597225421483"/>
  </r>
  <r>
    <s v="REGN US Equity"/>
    <s v="REGENERON PHARM"/>
    <s v="Health Care"/>
    <s v="Health Care"/>
    <x v="25"/>
    <s v="UNITED STATES"/>
    <n v="79.2"/>
    <n v="4.53"/>
    <n v="0"/>
    <n v="55.405209293592186"/>
  </r>
  <r>
    <s v="REL LN Equity"/>
    <s v="RELX PLC"/>
    <s v="Industrials"/>
    <s v="Industrial Services"/>
    <x v="15"/>
    <s v="BRITAIN"/>
    <n v="72.3"/>
    <n v="4.88"/>
    <n v="0"/>
    <n v="13.387218226774962"/>
  </r>
  <r>
    <s v="RELX US Equity"/>
    <s v="RELX PLC - ADR"/>
    <s v="Industrials"/>
    <s v="Industrial Services"/>
    <x v="15"/>
    <s v="BRITAIN"/>
    <n v="72.58"/>
    <n v="5"/>
    <n v="0"/>
    <n v="11.015613534301309"/>
  </r>
  <r>
    <s v="RELY US Equity"/>
    <s v="REMIT GLOBAL INC"/>
    <s v="Financials"/>
    <s v="Financial Services"/>
    <x v="35"/>
    <s v="UNITED STATES"/>
    <n v="2.96"/>
    <n v="4.88"/>
    <n v="0"/>
    <n v="46.640735100022326"/>
  </r>
  <r>
    <s v="REMX US Equity"/>
    <s v="VANECK RAR EAR-U"/>
    <s v="Financials"/>
    <s v="Financial Services"/>
    <x v="24"/>
    <s v="UNITED STATES"/>
    <n v="2.64"/>
    <n v="0"/>
    <n v="0"/>
    <n v="56.848445159510256"/>
  </r>
  <r>
    <s v="RENT US Equity"/>
    <s v="RENT THE RUNWA-A"/>
    <s v="Consumer Discretionary"/>
    <s v="Consumer Discretionary Services"/>
    <x v="41"/>
    <s v="UNITED STATES"/>
    <n v="0.26"/>
    <n v="0"/>
    <n v="0"/>
    <n v="39.032331248172774"/>
  </r>
  <r>
    <s v="REPL US Equity"/>
    <s v="REPLIMUNE GROUP"/>
    <s v="Health Care"/>
    <s v="Health Care"/>
    <x v="25"/>
    <s v="UNITED STATES"/>
    <n v="0.6"/>
    <n v="4.5"/>
    <n v="0"/>
    <n v="49.117203607210364"/>
  </r>
  <r>
    <s v="REPX US Equity"/>
    <s v="RILEY EXPLORATIO"/>
    <s v="Energy"/>
    <s v="Oil &amp; Gas"/>
    <x v="20"/>
    <s v="UNITED STATES"/>
    <n v="0.6"/>
    <n v="5"/>
    <n v="0"/>
    <n v="52.921673347191764"/>
  </r>
  <r>
    <s v="RERE US Equity"/>
    <s v="ATRENEW INC"/>
    <s v="Consumer Discretionary"/>
    <s v="Retail &amp; Whsle - Discretionary"/>
    <x v="10"/>
    <s v="CHINA"/>
    <n v="1.26"/>
    <n v="5"/>
    <n v="0"/>
    <n v="50.879937232228528"/>
  </r>
  <r>
    <s v="RES US Equity"/>
    <s v="RPC INC"/>
    <s v="Energy"/>
    <s v="Oil &amp; Gas"/>
    <x v="30"/>
    <s v="UNITED STATES"/>
    <n v="1.42"/>
    <n v="2.83"/>
    <n v="0"/>
    <n v="46.86615417754723"/>
  </r>
  <r>
    <s v="GYM LN Equity"/>
    <s v="GYM GROUP PLC"/>
    <s v="Consumer Discretionary"/>
    <s v="Consumer Discretionary Services"/>
    <x v="6"/>
    <s v="BRITAIN"/>
    <n v="0.41"/>
    <n v="4.8"/>
    <n v="0"/>
    <n v="74.561976597045998"/>
  </r>
  <r>
    <s v="REX US Equity"/>
    <s v="REX AMERICAN RES"/>
    <s v="Energy"/>
    <s v="Renewable Energy"/>
    <x v="45"/>
    <s v="UNITED STATES"/>
    <n v="1.1200000000000001"/>
    <n v="0"/>
    <n v="0"/>
    <n v="63.891368990987104"/>
  </r>
  <r>
    <s v="REXR US Equity"/>
    <s v="REXFORD INDUSTRI"/>
    <s v="Real Estate"/>
    <s v="Real Estate"/>
    <x v="37"/>
    <s v="UNITED STATES"/>
    <n v="9.3000000000000007"/>
    <n v="3.56"/>
    <n v="0"/>
    <n v="36.523084190174295"/>
  </r>
  <r>
    <s v="REYN US Equity"/>
    <s v="REYNOLDS CONSUME"/>
    <s v="Consumer Staples"/>
    <s v="Consumer Staple Products"/>
    <x v="62"/>
    <s v="UNITED STATES"/>
    <n v="5.0599999999999996"/>
    <n v="3.57"/>
    <n v="5557763"/>
    <n v="49.638691872405708"/>
  </r>
  <r>
    <s v="REZI US Equity"/>
    <s v="RESIDEO TECHN"/>
    <s v="Industrials"/>
    <s v="Industrial Services"/>
    <x v="43"/>
    <s v="UNITED STATES"/>
    <n v="5.41"/>
    <n v="4.33"/>
    <n v="1358025"/>
    <n v="53.905897595348506"/>
  </r>
  <r>
    <s v="RF US Equity"/>
    <s v="REGIONS FINANCIA"/>
    <s v="Financials"/>
    <s v="Banking"/>
    <x v="26"/>
    <s v="UNITED STATES"/>
    <n v="24.1"/>
    <n v="3.57"/>
    <n v="109920"/>
    <n v="72.465088358307412"/>
  </r>
  <r>
    <s v="RFIL US Equity"/>
    <s v="RF INDS"/>
    <s v="Industrials"/>
    <s v="Industrial Products"/>
    <x v="4"/>
    <s v="UNITED STATES"/>
    <n v="0.12"/>
    <n v="5"/>
    <n v="0"/>
    <n v="64.2078260246859"/>
  </r>
  <r>
    <s v="RGA US Equity"/>
    <s v="REINSURANCE GROU"/>
    <s v="Financials"/>
    <s v="Insurance"/>
    <x v="23"/>
    <s v="UNITED STATES"/>
    <n v="12.82"/>
    <n v="4"/>
    <n v="0"/>
    <n v="68.76518977571979"/>
  </r>
  <r>
    <s v="RGC US Equity"/>
    <s v="REGENCELL BIOSCI"/>
    <s v="Health Care"/>
    <s v="Health Care"/>
    <x v="25"/>
    <s v="HONG KONG"/>
    <n v="15.53"/>
    <n v="0"/>
    <n v="0"/>
    <n v="48.399920675286111"/>
  </r>
  <r>
    <s v="RGEN US Equity"/>
    <s v="REPLIGEN CORP"/>
    <s v="Health Care"/>
    <s v="Health Care"/>
    <x v="9"/>
    <s v="UNITED STATES"/>
    <n v="9.14"/>
    <n v="4.55"/>
    <n v="292194"/>
    <n v="29.205016819443486"/>
  </r>
  <r>
    <s v="RGLD US Equity"/>
    <s v="ROYAL GOLD INC"/>
    <s v="Materials"/>
    <s v="Materials"/>
    <x v="22"/>
    <s v="UNITED STATES"/>
    <n v="24.74"/>
    <n v="4.5"/>
    <n v="0"/>
    <n v="61.893656454981738"/>
  </r>
  <r>
    <s v="RGNX US Equity"/>
    <s v="REGENXBIO INC"/>
    <s v="Health Care"/>
    <s v="Health Care"/>
    <x v="25"/>
    <s v="UNITED STATES"/>
    <n v="0.7"/>
    <n v="4.83"/>
    <n v="0"/>
    <n v="26.166284186459549"/>
  </r>
  <r>
    <s v="RGR US Equity"/>
    <s v="STURM RUGER &amp; CO"/>
    <s v="Consumer Discretionary"/>
    <s v="Consumer Discretionary Products"/>
    <x v="55"/>
    <s v="UNITED STATES"/>
    <n v="0.6"/>
    <n v="4"/>
    <n v="18720"/>
    <n v="60.782421026175513"/>
  </r>
  <r>
    <s v="RGS US Equity"/>
    <s v="REGIS CORP"/>
    <s v="Consumer Discretionary"/>
    <s v="Consumer Discretionary Services"/>
    <x v="41"/>
    <s v="UNITED STATES"/>
    <n v="0.06"/>
    <n v="0"/>
    <n v="0"/>
    <n v="36.692317820306279"/>
  </r>
  <r>
    <s v="RGTI US Equity"/>
    <s v="RIGETTI COMPUTIN"/>
    <s v="Technology"/>
    <s v="Tech Hardware &amp; Semiconductors"/>
    <x v="16"/>
    <s v="UNITED STATES"/>
    <n v="7.74"/>
    <n v="4.82"/>
    <n v="0"/>
    <n v="34.851062207232061"/>
  </r>
  <r>
    <s v="RH US Equity"/>
    <s v="RH"/>
    <s v="Consumer Discretionary"/>
    <s v="Retail &amp; Whsle - Discretionary"/>
    <x v="10"/>
    <s v="UNITED STATES"/>
    <n v="4.29"/>
    <n v="3.52"/>
    <n v="0"/>
    <n v="47.338549268832622"/>
  </r>
  <r>
    <s v="RHI US Equity"/>
    <s v="ROBERT HALF INC"/>
    <s v="Industrials"/>
    <s v="Industrial Services"/>
    <x v="15"/>
    <s v="UNITED STATES"/>
    <n v="2.89"/>
    <n v="2.5"/>
    <n v="0"/>
    <n v="42.816926108330343"/>
  </r>
  <r>
    <s v="RHLD US Equity"/>
    <s v="RESOLUTE"/>
    <s v="Financials"/>
    <s v="Financial Services"/>
    <x v="24"/>
    <s v="UNITED STATES"/>
    <n v="1.63"/>
    <n v="0"/>
    <n v="2120660"/>
    <n v="45.510418214556083"/>
  </r>
  <r>
    <s v="RHM GY Equity"/>
    <s v="RHEINMETALL AG"/>
    <s v="Industrials"/>
    <s v="Industrial Products"/>
    <x v="32"/>
    <s v="GERMANY"/>
    <n v="99.29"/>
    <n v="4.68"/>
    <n v="1610142"/>
    <n v="37.738110774774569"/>
  </r>
  <r>
    <s v="RHP US Equity"/>
    <s v="RYMAN HOSPITALIT"/>
    <s v="Real Estate"/>
    <s v="Real Estate"/>
    <x v="37"/>
    <s v="UNITED STATES"/>
    <n v="6.02"/>
    <n v="4.75"/>
    <n v="1872770"/>
    <n v="73.750971071313643"/>
  </r>
  <r>
    <s v="RIG US Equity"/>
    <s v="TRANSOCEAN LTD"/>
    <s v="Energy"/>
    <s v="Oil &amp; Gas"/>
    <x v="30"/>
    <s v="SWITZERLAND"/>
    <n v="5.32"/>
    <n v="3.28"/>
    <n v="0"/>
    <n v="71.378792760521634"/>
  </r>
  <r>
    <s v="RIGL US Equity"/>
    <s v="RIGEL PHARMACEUT"/>
    <s v="Health Care"/>
    <s v="Health Care"/>
    <x v="25"/>
    <s v="UNITED STATES"/>
    <n v="0.67"/>
    <n v="4.2"/>
    <n v="0"/>
    <n v="40.876899234790265"/>
  </r>
  <r>
    <s v="RILY US Equity"/>
    <s v="BRC GROUP HOLDIN"/>
    <s v="Financials"/>
    <s v="Financial Services"/>
    <x v="49"/>
    <s v="UNITED STATES"/>
    <n v="0.3"/>
    <n v="0"/>
    <n v="0"/>
    <n v="44.00487110876152"/>
  </r>
  <r>
    <s v="RIO US Equity"/>
    <s v="RIO TINTO-ADR"/>
    <s v="Materials"/>
    <s v="Materials"/>
    <x v="22"/>
    <s v="BRITAIN"/>
    <n v="151.5"/>
    <n v="4.1100000000000003"/>
    <n v="9676"/>
    <n v="68.696482471230823"/>
  </r>
  <r>
    <s v="RIOT US Equity"/>
    <s v="RIOT PLATFORMS I"/>
    <s v="Financials"/>
    <s v="Financial Services"/>
    <x v="24"/>
    <s v="UNITED STATES"/>
    <n v="7.07"/>
    <n v="4.75"/>
    <n v="0"/>
    <n v="46.785240286049337"/>
  </r>
  <r>
    <s v="RIVN US Equity"/>
    <s v="RIVIAN AUTOMOT-A"/>
    <s v="Consumer Discretionary"/>
    <s v="Consumer Discretionary Products"/>
    <x v="8"/>
    <s v="UNITED STATES"/>
    <n v="19.55"/>
    <n v="3.3"/>
    <n v="0"/>
    <n v="37.446289183807401"/>
  </r>
  <r>
    <s v="RJF US Equity"/>
    <s v="RAYMOND JAMES"/>
    <s v="Financials"/>
    <s v="Financial Services"/>
    <x v="24"/>
    <s v="UNITED STATES"/>
    <n v="33.380000000000003"/>
    <n v="3.56"/>
    <n v="0"/>
    <n v="38.726349910442934"/>
  </r>
  <r>
    <s v="RKLB US Equity"/>
    <s v="ROCKET LAB CORP"/>
    <s v="Industrials"/>
    <s v="Industrial Products"/>
    <x v="32"/>
    <s v="UNITED STATES"/>
    <n v="51.57"/>
    <n v="4.33"/>
    <n v="0"/>
    <n v="43.174184144360005"/>
  </r>
  <r>
    <s v="RKT US Equity"/>
    <s v="ROCKET COS INC-A"/>
    <s v="Financials"/>
    <s v="Financial Services"/>
    <x v="35"/>
    <s v="UNITED STATES"/>
    <n v="59.33"/>
    <n v="3.63"/>
    <n v="0"/>
    <n v="41.503841419056016"/>
  </r>
  <r>
    <s v="RL US Equity"/>
    <s v="RALPH LAUREN COR"/>
    <s v="Consumer Discretionary"/>
    <s v="Consumer Discretionary Products"/>
    <x v="5"/>
    <s v="UNITED STATES"/>
    <n v="22.28"/>
    <n v="4.24"/>
    <n v="0"/>
    <n v="52.608441742078298"/>
  </r>
  <r>
    <s v="RLAY US Equity"/>
    <s v="RELAY THERAPEUTI"/>
    <s v="Health Care"/>
    <s v="Health Care"/>
    <x v="25"/>
    <s v="UNITED STATES"/>
    <n v="1.29"/>
    <n v="4.75"/>
    <n v="0"/>
    <n v="62.03136114286243"/>
  </r>
  <r>
    <s v="RLI US Equity"/>
    <s v="RLI CORP"/>
    <s v="Financials"/>
    <s v="Insurance"/>
    <x v="23"/>
    <s v="UNITED STATES"/>
    <n v="5.23"/>
    <n v="3.25"/>
    <n v="170910"/>
    <n v="60.933012507733316"/>
  </r>
  <r>
    <s v="RLMD US Equity"/>
    <s v="RELMADA THERAPEU"/>
    <s v="Health Care"/>
    <s v="Health Care"/>
    <x v="25"/>
    <s v="UNITED STATES"/>
    <n v="0.28999999999999998"/>
    <n v="5"/>
    <n v="5084200"/>
    <n v="51.004273941074878"/>
  </r>
  <r>
    <s v="RLX US Equity"/>
    <s v="RLX TECHNOLO-ADR"/>
    <s v="Consumer Staples"/>
    <s v="Consumer Staple Products"/>
    <x v="28"/>
    <s v="CHINA"/>
    <n v="2.91"/>
    <n v="4.5999999999999996"/>
    <n v="0"/>
    <n v="66.257824891986786"/>
  </r>
  <r>
    <s v="RLYB US Equity"/>
    <s v="RALLYBIO CORP"/>
    <s v="Health Care"/>
    <s v="Health Care"/>
    <x v="25"/>
    <s v="UNITED STATES"/>
    <n v="0.03"/>
    <n v="3.5"/>
    <n v="0"/>
    <n v="40.212579635002221"/>
  </r>
  <r>
    <s v="RM US Equity"/>
    <s v="REGIONAL MANAGEM"/>
    <s v="Financials"/>
    <s v="Financial Services"/>
    <x v="35"/>
    <s v="UNITED STATES"/>
    <n v="0.36"/>
    <n v="3.8"/>
    <n v="0"/>
    <n v="38.630435205919447"/>
  </r>
  <r>
    <s v="RMBS US Equity"/>
    <s v="RAMBUS INC"/>
    <s v="Technology"/>
    <s v="Tech Hardware &amp; Semiconductors"/>
    <x v="17"/>
    <s v="UNITED STATES"/>
    <n v="12.41"/>
    <n v="4.4000000000000004"/>
    <n v="0"/>
    <n v="44.60462972132116"/>
  </r>
  <r>
    <s v="RMCO US Equity"/>
    <s v="ROYALTY MANAGEME"/>
    <s v="Financials"/>
    <s v="Financial Services"/>
    <x v="24"/>
    <s v="UNITED STATES"/>
    <n v="7.0000000000000007E-2"/>
    <n v="5"/>
    <n v="0"/>
    <n v="51.020217398767777"/>
  </r>
  <r>
    <s v="RMD US Equity"/>
    <s v="RESMED INC"/>
    <s v="Health Care"/>
    <s v="Health Care"/>
    <x v="9"/>
    <s v="UNITED STATES"/>
    <n v="36.840000000000003"/>
    <n v="4.05"/>
    <n v="0"/>
    <n v="51.267109669047379"/>
  </r>
  <r>
    <s v="RMNI US Equity"/>
    <s v="RIMINI STREET IN"/>
    <s v="Technology"/>
    <s v="Software &amp; Tech Services"/>
    <x v="34"/>
    <s v="UNITED STATES"/>
    <n v="0.33"/>
    <n v="4.5999999999999996"/>
    <n v="0"/>
    <n v="26.522283219612035"/>
  </r>
  <r>
    <s v="RMR US Equity"/>
    <s v="RMR GROUP-A"/>
    <s v="Real Estate"/>
    <s v="Real Estate"/>
    <x v="7"/>
    <s v="UNITED STATES"/>
    <n v="0.51"/>
    <n v="4"/>
    <n v="0"/>
    <n v="71.78202781509836"/>
  </r>
  <r>
    <s v="RMS FP Equity"/>
    <s v="HERMES INTL"/>
    <s v="Consumer Discretionary"/>
    <s v="Consumer Discretionary Products"/>
    <x v="5"/>
    <s v="FRANCE"/>
    <n v="265.2"/>
    <n v="3.77"/>
    <n v="2564953"/>
    <n v="53.920930883784742"/>
  </r>
  <r>
    <s v="RNA US Equity"/>
    <s v="AVIDITY BIOSCIEN"/>
    <s v="Health Care"/>
    <s v="Health Care"/>
    <x v="25"/>
    <s v="UNITED STATES"/>
    <n v="10.94"/>
    <n v="3.29"/>
    <n v="0"/>
    <n v="67.620607570892005"/>
  </r>
  <r>
    <s v="RNG US Equity"/>
    <s v="RINGCENTRAL IN-A"/>
    <s v="Technology"/>
    <s v="Software &amp; Tech Services"/>
    <x v="14"/>
    <s v="UNITED STATES"/>
    <n v="2.2999999999999998"/>
    <n v="3.82"/>
    <n v="0"/>
    <n v="53.593712054981573"/>
  </r>
  <r>
    <s v="RNGR US Equity"/>
    <s v="RANGER ENERGY A"/>
    <s v="Energy"/>
    <s v="Oil &amp; Gas"/>
    <x v="30"/>
    <s v="UNITED STATES"/>
    <n v="0.36"/>
    <n v="4.33"/>
    <n v="0"/>
    <n v="65.984776759644404"/>
  </r>
  <r>
    <s v="RNMBY US Equity"/>
    <s v="RHEINMETALL-ADR"/>
    <s v="Industrials"/>
    <s v="Industrial Products"/>
    <x v="32"/>
    <s v="GERMANY"/>
    <n v="99.7"/>
    <n v="5"/>
    <n v="0"/>
    <n v="39.564509501890662"/>
  </r>
  <r>
    <s v="RNR US Equity"/>
    <s v="RENAISSANCERE"/>
    <s v="Financials"/>
    <s v="Insurance"/>
    <x v="23"/>
    <s v="BERMUDA"/>
    <n v="12.6"/>
    <n v="3.53"/>
    <n v="0"/>
    <n v="66.300127813462211"/>
  </r>
  <r>
    <s v="RNST US Equity"/>
    <s v="RENASANT CORP"/>
    <s v="Financials"/>
    <s v="Banking"/>
    <x v="26"/>
    <s v="UNITED STATES"/>
    <n v="3.54"/>
    <n v="4.71"/>
    <n v="149040"/>
    <n v="66.152581416999027"/>
  </r>
  <r>
    <s v="RNW US Equity"/>
    <s v="RENEW ENERGY GLO"/>
    <s v="Utilities"/>
    <s v="Utilities"/>
    <x v="38"/>
    <s v="INDIA"/>
    <n v="2.13"/>
    <n v="4"/>
    <n v="0"/>
    <n v="38.811914387303766"/>
  </r>
  <r>
    <s v="ROAD US Equity"/>
    <s v="CONSTRUCTION P-A"/>
    <s v="Industrials"/>
    <s v="Industrial Services"/>
    <x v="27"/>
    <s v="UNITED STATES"/>
    <n v="6.27"/>
    <n v="4.33"/>
    <n v="0"/>
    <n v="71.596110915418038"/>
  </r>
  <r>
    <s v="ROCK US Equity"/>
    <s v="GIBRALTAR INDUST"/>
    <s v="Industrials"/>
    <s v="Industrial Products"/>
    <x v="52"/>
    <s v="UNITED STATES"/>
    <n v="1.53"/>
    <n v="4.5"/>
    <n v="0"/>
    <n v="55.124314432150754"/>
  </r>
  <r>
    <s v="ROG US Equity"/>
    <s v="ROGERS CORP"/>
    <s v="Materials"/>
    <s v="Materials"/>
    <x v="21"/>
    <s v="UNITED STATES"/>
    <n v="1.71"/>
    <n v="4.67"/>
    <n v="0"/>
    <n v="73.474909025188666"/>
  </r>
  <r>
    <s v="ROIV US Equity"/>
    <s v="ROIVANT SCIENCES"/>
    <s v="Health Care"/>
    <s v="Health Care"/>
    <x v="25"/>
    <s v="UNITED STATES"/>
    <n v="15.7"/>
    <n v="4.83"/>
    <n v="74853"/>
    <n v="69.837622922801245"/>
  </r>
  <r>
    <s v="ROK US Equity"/>
    <s v="ROCKWELL AUTOMAT"/>
    <s v="Industrials"/>
    <s v="Industrial Products"/>
    <x v="4"/>
    <s v="UNITED STATES"/>
    <n v="46.98"/>
    <n v="3.94"/>
    <n v="0"/>
    <n v="45.58567441243158"/>
  </r>
  <r>
    <s v="ROKU US Equity"/>
    <s v="ROKU INC"/>
    <s v="Communications"/>
    <s v="Media"/>
    <x v="47"/>
    <s v="UNITED STATES"/>
    <n v="15.71"/>
    <n v="4.3899999999999997"/>
    <n v="0"/>
    <n v="31.970981641426491"/>
  </r>
  <r>
    <s v="ROL US Equity"/>
    <s v="ROLLINS INC"/>
    <s v="Industrials"/>
    <s v="Industrial Services"/>
    <x v="15"/>
    <s v="UNITED STATES"/>
    <n v="30.49"/>
    <n v="4.18"/>
    <n v="0"/>
    <n v="71.691416372062434"/>
  </r>
  <r>
    <s v="ROOT US Equity"/>
    <s v="ROOT INC/OH-A"/>
    <s v="Financials"/>
    <s v="Insurance"/>
    <x v="23"/>
    <s v="UNITED STATES"/>
    <n v="1.07"/>
    <n v="3.67"/>
    <n v="0"/>
    <n v="33.417007033234867"/>
  </r>
  <r>
    <s v="ROP US Equity"/>
    <s v="ROPER TECHNOLOGI"/>
    <s v="Technology"/>
    <s v="Software &amp; Tech Services"/>
    <x v="14"/>
    <s v="UNITED STATES"/>
    <n v="43.87"/>
    <n v="3.76"/>
    <n v="4565232"/>
    <n v="25.443259048066182"/>
  </r>
  <r>
    <s v="ROSE LN Equity"/>
    <s v="ROSEBANK INDUSTR"/>
    <s v="Financials"/>
    <s v="Financial Services"/>
    <x v="24"/>
    <s v="JERSEY"/>
    <n v="1.91"/>
    <n v="5"/>
    <n v="0"/>
    <n v="53.222453751146695"/>
  </r>
  <r>
    <s v="ROST US Equity"/>
    <s v="ROSS STORES INC"/>
    <s v="Consumer Discretionary"/>
    <s v="Retail &amp; Whsle - Discretionary"/>
    <x v="10"/>
    <s v="UNITED STATES"/>
    <n v="60.99"/>
    <n v="4.3"/>
    <n v="0"/>
    <n v="59.814902441192224"/>
  </r>
  <r>
    <s v="RPAY US Equity"/>
    <s v="REPAY HOLDINGS C"/>
    <s v="Financials"/>
    <s v="Financial Services"/>
    <x v="35"/>
    <s v="UNITED STATES"/>
    <n v="0.33"/>
    <n v="4.43"/>
    <n v="0"/>
    <n v="39.422045335260378"/>
  </r>
  <r>
    <s v="RPD US Equity"/>
    <s v="RAPID7 INC"/>
    <s v="Technology"/>
    <s v="Software &amp; Tech Services"/>
    <x v="14"/>
    <s v="UNITED STATES"/>
    <n v="0.83"/>
    <n v="3.32"/>
    <n v="327918"/>
    <n v="15.737156030469734"/>
  </r>
  <r>
    <s v="RPID US Equity"/>
    <s v="RAPID MICRO BI-A"/>
    <s v="Health Care"/>
    <s v="Health Care"/>
    <x v="25"/>
    <s v="UNITED STATES"/>
    <n v="0.18"/>
    <n v="5"/>
    <n v="0"/>
    <n v="54.83613745444724"/>
  </r>
  <r>
    <s v="RPM US Equity"/>
    <s v="RPM INTL INC"/>
    <s v="Materials"/>
    <s v="Materials"/>
    <x v="21"/>
    <s v="UNITED STATES"/>
    <n v="14.02"/>
    <n v="4.41"/>
    <n v="0"/>
    <n v="70.594597645622684"/>
  </r>
  <r>
    <s v="RPRX US Equity"/>
    <s v="ROYALTY PHARMA-A"/>
    <s v="Health Care"/>
    <s v="Health Care"/>
    <x v="25"/>
    <s v="UNITED STATES"/>
    <n v="23.36"/>
    <n v="4.75"/>
    <n v="0"/>
    <n v="73.512375364033716"/>
  </r>
  <r>
    <s v="RPT US Equity"/>
    <s v="RITHM PROPERTY T"/>
    <s v="Financials"/>
    <s v="Financial Services"/>
    <x v="35"/>
    <s v="UNITED STATES"/>
    <n v="0.13"/>
    <n v="4.5"/>
    <n v="0"/>
    <n v="37.0731099055957"/>
  </r>
  <r>
    <s v="RR US Equity"/>
    <s v="RICHTECH ROBOT-B"/>
    <s v="Industrials"/>
    <s v="Industrial Products"/>
    <x v="3"/>
    <s v="UNITED STATES"/>
    <n v="0.89"/>
    <n v="3"/>
    <n v="0"/>
    <n v="42.431095590446418"/>
  </r>
  <r>
    <s v="RR/ LN Equity"/>
    <s v="ROLLS-ROYCE HOLD"/>
    <s v="Industrials"/>
    <s v="Industrial Products"/>
    <x v="32"/>
    <s v="BRITAIN"/>
    <n v="143.13999999999999"/>
    <n v="4.3600000000000003"/>
    <n v="802361"/>
    <n v="54.453921731215111"/>
  </r>
  <r>
    <s v="RRC US Equity"/>
    <s v="RANGE RESOURCES"/>
    <s v="Energy"/>
    <s v="Oil &amp; Gas"/>
    <x v="20"/>
    <s v="UNITED STATES"/>
    <n v="8.61"/>
    <n v="3.41"/>
    <n v="0"/>
    <n v="52.732700167926374"/>
  </r>
  <r>
    <s v="RRR US Equity"/>
    <s v="RED ROCK RESOR-A"/>
    <s v="Consumer Discretionary"/>
    <s v="Consumer Discretionary Services"/>
    <x v="6"/>
    <s v="UNITED STATES"/>
    <n v="6.49"/>
    <n v="4.41"/>
    <n v="0"/>
    <n v="57.352155877784661"/>
  </r>
  <r>
    <s v="RRX US Equity"/>
    <s v="REGAL REXNORD CO"/>
    <s v="Industrials"/>
    <s v="Industrial Products"/>
    <x v="3"/>
    <s v="UNITED STATES"/>
    <n v="10.36"/>
    <n v="4.67"/>
    <n v="0"/>
    <n v="87.465647951547822"/>
  </r>
  <r>
    <s v="RS US Equity"/>
    <s v="RELIANCE INC"/>
    <s v="Materials"/>
    <s v="Materials"/>
    <x v="56"/>
    <s v="UNITED STATES"/>
    <n v="17.25"/>
    <n v="3.89"/>
    <n v="0"/>
    <n v="79.591480638751833"/>
  </r>
  <r>
    <s v="RSG US Equity"/>
    <s v="REPUBLIC SVCS"/>
    <s v="Industrials"/>
    <s v="Industrial Services"/>
    <x v="15"/>
    <s v="UNITED STATES"/>
    <n v="67.36"/>
    <n v="4.1900000000000004"/>
    <n v="104018"/>
    <n v="70.309868289809089"/>
  </r>
  <r>
    <s v="RSI US Equity"/>
    <s v="RUSH STREET INTE"/>
    <s v="Consumer Discretionary"/>
    <s v="Consumer Discretionary Services"/>
    <x v="6"/>
    <s v="UNITED STATES"/>
    <n v="4.01"/>
    <n v="4.3"/>
    <n v="0"/>
    <n v="42.249116813232128"/>
  </r>
  <r>
    <s v="RSKD US Equity"/>
    <s v="RISKIFIED LTD-A"/>
    <s v="Technology"/>
    <s v="Software &amp; Tech Services"/>
    <x v="14"/>
    <s v="ISRAEL"/>
    <n v="0.69"/>
    <n v="3.57"/>
    <n v="0"/>
    <n v="44.840419600804253"/>
  </r>
  <r>
    <s v="RSP US Equity"/>
    <s v="INVESCO S&amp;P 500"/>
    <s v="Financials"/>
    <s v="Financial Services"/>
    <x v="24"/>
    <s v="UNITED STATES"/>
    <n v="83.12"/>
    <n v="0"/>
    <n v="0"/>
    <n v="67.301020603175431"/>
  </r>
  <r>
    <s v="RSVR US Equity"/>
    <s v="RESERVOIR MEDIA"/>
    <s v="Communications"/>
    <s v="Media"/>
    <x v="47"/>
    <s v="UNITED STATES"/>
    <n v="0.49"/>
    <n v="5"/>
    <n v="0"/>
    <n v="59.713025178525278"/>
  </r>
  <r>
    <s v="RSW LN Equity"/>
    <s v="RENISHAW PLC"/>
    <s v="Industrials"/>
    <s v="Industrial Products"/>
    <x v="4"/>
    <s v="BRITAIN"/>
    <n v="3.8"/>
    <n v="3.5"/>
    <n v="0"/>
    <n v="69.391924415157618"/>
  </r>
  <r>
    <s v="RTAC US Equity"/>
    <s v="RENATUS TACTICAL"/>
    <s v="Financials"/>
    <s v="Financial Services"/>
    <x v="24"/>
    <s v="UNITED STATES"/>
    <n v="0.34"/>
    <n v="0"/>
    <n v="0"/>
    <n v="44.87209236430494"/>
  </r>
  <r>
    <s v="RTO US Equity"/>
    <s v="RENTOKIL-SP ADR"/>
    <s v="Industrials"/>
    <s v="Industrial Services"/>
    <x v="15"/>
    <s v="BRITAIN"/>
    <n v="16.64"/>
    <n v="4.5"/>
    <n v="0"/>
    <n v="59.99544525043914"/>
  </r>
  <r>
    <s v="RTX US Equity"/>
    <s v="RTX CORP"/>
    <s v="Industrials"/>
    <s v="Industrial Products"/>
    <x v="32"/>
    <s v="UNITED STATES"/>
    <n v="262.7"/>
    <n v="4.08"/>
    <n v="0"/>
    <n v="53.031638580257201"/>
  </r>
  <r>
    <s v="RUM US Equity"/>
    <s v="RUMBLE INC"/>
    <s v="Communications"/>
    <s v="Media"/>
    <x v="13"/>
    <s v="UNITED STATES"/>
    <n v="2.09"/>
    <n v="4"/>
    <n v="0"/>
    <n v="50.949300528476307"/>
  </r>
  <r>
    <s v="RUN US Equity"/>
    <s v="SUNRUN INC"/>
    <s v="Energy"/>
    <s v="Renewable Energy"/>
    <x v="45"/>
    <s v="UNITED STATES"/>
    <n v="4.5199999999999996"/>
    <n v="4.12"/>
    <n v="0"/>
    <n v="49.433760806716158"/>
  </r>
  <r>
    <s v="RUSHA US Equity"/>
    <s v="RUSH ENTER-CL A"/>
    <s v="Industrials"/>
    <s v="Industrial Services"/>
    <x v="43"/>
    <s v="UNITED STATES"/>
    <n v="4.8099999999999996"/>
    <n v="5"/>
    <n v="0"/>
    <n v="78.552293598480517"/>
  </r>
  <r>
    <s v="RVLV US Equity"/>
    <s v="REVOLVE GROUP IN"/>
    <s v="Consumer Discretionary"/>
    <s v="Retail &amp; Whsle - Discretionary"/>
    <x v="51"/>
    <s v="UNITED STATES"/>
    <n v="2.09"/>
    <n v="3.89"/>
    <n v="0"/>
    <n v="33.886950800837084"/>
  </r>
  <r>
    <s v="RVMD US Equity"/>
    <s v="REVOLUTION MEDIC"/>
    <s v="Health Care"/>
    <s v="Health Care"/>
    <x v="25"/>
    <s v="UNITED STATES"/>
    <n v="22.74"/>
    <n v="5"/>
    <n v="0"/>
    <n v="49.102931518068708"/>
  </r>
  <r>
    <s v="RVTY US Equity"/>
    <s v="REVVITY INC"/>
    <s v="Health Care"/>
    <s v="Health Care"/>
    <x v="9"/>
    <s v="UNITED STATES"/>
    <n v="13.23"/>
    <n v="3.9"/>
    <n v="0"/>
    <n v="42.706562114523066"/>
  </r>
  <r>
    <s v="RWAY US Equity"/>
    <s v="RUNWAY GROWTH FI"/>
    <s v="Financials"/>
    <s v="Financial Services"/>
    <x v="24"/>
    <s v="UNITED STATES"/>
    <n v="0.34"/>
    <n v="3.73"/>
    <n v="0"/>
    <n v="39.375242877879316"/>
  </r>
  <r>
    <s v="RWE GY Equity"/>
    <s v="RWE AG"/>
    <s v="Utilities"/>
    <s v="Utilities"/>
    <x v="38"/>
    <s v="GERMANY"/>
    <n v="45.23"/>
    <n v="4.46"/>
    <n v="124117"/>
    <n v="70.79630791861922"/>
  </r>
  <r>
    <s v="RXO US Equity"/>
    <s v="RXO INC"/>
    <s v="Industrials"/>
    <s v="Industrial Services"/>
    <x v="12"/>
    <s v="UNITED STATES"/>
    <n v="2.5499999999999998"/>
    <n v="3.33"/>
    <n v="771280"/>
    <n v="58.351090385157761"/>
  </r>
  <r>
    <s v="RXRX US Equity"/>
    <s v="RECURSION PHAR-A"/>
    <s v="Health Care"/>
    <s v="Health Care"/>
    <x v="25"/>
    <s v="UNITED STATES"/>
    <n v="2.46"/>
    <n v="3.75"/>
    <n v="0"/>
    <n v="37.085091640339655"/>
  </r>
  <r>
    <s v="RXST US Equity"/>
    <s v="RXSIGHT INC"/>
    <s v="Health Care"/>
    <s v="Health Care"/>
    <x v="9"/>
    <s v="UNITED STATES"/>
    <n v="0.39"/>
    <n v="2.8"/>
    <n v="0"/>
    <n v="33.251759530684382"/>
  </r>
  <r>
    <s v="RY US Equity"/>
    <s v="ROYAL BANK OF CA"/>
    <s v="Financials"/>
    <s v="Banking"/>
    <x v="26"/>
    <s v="CANADA"/>
    <n v="237.69"/>
    <n v="4.37"/>
    <n v="0"/>
    <n v="59.95292427580911"/>
  </r>
  <r>
    <s v="RYA ID Equity"/>
    <s v="RYANAIR HLDGS"/>
    <s v="Industrials"/>
    <s v="Industrial Services"/>
    <x v="12"/>
    <s v="IRELAND"/>
    <n v="35.520000000000003"/>
    <n v="4.3899999999999997"/>
    <n v="0"/>
    <n v="32.230414200023844"/>
  </r>
  <r>
    <s v="RYAAY US Equity"/>
    <s v="RYANAIR HLDG-ADR"/>
    <s v="Industrials"/>
    <s v="Industrial Services"/>
    <x v="12"/>
    <s v="IRELAND"/>
    <n v="37.270000000000003"/>
    <n v="4.2"/>
    <n v="0"/>
    <n v="36.979163957131462"/>
  </r>
  <r>
    <s v="RYAM US Equity"/>
    <s v="RAYONIER ADV"/>
    <s v="Materials"/>
    <s v="Materials"/>
    <x v="21"/>
    <s v="UNITED STATES"/>
    <n v="0.56999999999999995"/>
    <n v="5"/>
    <n v="457172"/>
    <n v="62.205242842673997"/>
  </r>
  <r>
    <s v="RYAN US Equity"/>
    <s v="RYAN SPECIALTY H"/>
    <s v="Financials"/>
    <s v="Insurance"/>
    <x v="23"/>
    <s v="UNITED STATES"/>
    <n v="13.19"/>
    <n v="4.05"/>
    <n v="13836700"/>
    <n v="30.501284212212425"/>
  </r>
  <r>
    <s v="RYCEY US Equity"/>
    <s v="ROLLS-ROYCE-ADR"/>
    <s v="Industrials"/>
    <s v="Industrial Products"/>
    <x v="32"/>
    <s v="BRITAIN"/>
    <n v="144.69"/>
    <n v="3"/>
    <n v="0"/>
    <n v="54.921552221127783"/>
  </r>
  <r>
    <s v="RYI US Equity"/>
    <s v="RYERSON HOLDING"/>
    <s v="Materials"/>
    <s v="Materials"/>
    <x v="56"/>
    <s v="UNITED STATES"/>
    <n v="0.94"/>
    <n v="3"/>
    <n v="0"/>
    <n v="58.073085847028224"/>
  </r>
  <r>
    <s v="RYOJ US Equity"/>
    <s v="RYOJBABA CO LTD"/>
    <s v="Health Care"/>
    <s v="Health Care"/>
    <x v="31"/>
    <s v="JAPAN"/>
    <n v="0.04"/>
    <n v="0"/>
    <n v="0"/>
    <n v="35.355608017269347"/>
  </r>
  <r>
    <s v="RYTM US Equity"/>
    <s v="RHYTHM PHARMACEU"/>
    <s v="Health Care"/>
    <s v="Health Care"/>
    <x v="25"/>
    <s v="UNITED STATES"/>
    <n v="6.87"/>
    <n v="4.8"/>
    <n v="0"/>
    <n v="40.203616774586742"/>
  </r>
  <r>
    <s v="RZLV US Equity"/>
    <s v="REZOLVE AI PLC"/>
    <s v="Technology"/>
    <s v="Software &amp; Tech Services"/>
    <x v="14"/>
    <s v="BRITAIN"/>
    <n v="1.25"/>
    <n v="5"/>
    <n v="0"/>
    <n v="40.753540960086745"/>
  </r>
  <r>
    <s v="S US Equity"/>
    <s v="SENTINELONE IN-A"/>
    <s v="Technology"/>
    <s v="Software &amp; Tech Services"/>
    <x v="14"/>
    <s v="UNITED STATES"/>
    <n v="4.8600000000000003"/>
    <n v="4.26"/>
    <n v="571600"/>
    <n v="44.752957055760376"/>
  </r>
  <r>
    <s v="SA US Equity"/>
    <s v="SEABRIDGE GOLD"/>
    <s v="Materials"/>
    <s v="Materials"/>
    <x v="22"/>
    <s v="CANADA"/>
    <n v="3.81"/>
    <n v="5"/>
    <n v="668081"/>
    <n v="58.998223629152122"/>
  </r>
  <r>
    <s v="SABR US Equity"/>
    <s v="SABRE CORP"/>
    <s v="Consumer Discretionary"/>
    <s v="Consumer Discretionary Services"/>
    <x v="6"/>
    <s v="UNITED STATES"/>
    <n v="0.53"/>
    <n v="4"/>
    <n v="0"/>
    <n v="34.243131617794091"/>
  </r>
  <r>
    <s v="SABS US Equity"/>
    <s v="SAB BIOTHERAPEUT"/>
    <s v="Health Care"/>
    <s v="Health Care"/>
    <x v="25"/>
    <s v="UNITED STATES"/>
    <n v="0.19"/>
    <n v="5"/>
    <n v="0"/>
    <n v="53.405481552779328"/>
  </r>
  <r>
    <s v="SAF FP Equity"/>
    <s v="SAFRAN SA"/>
    <s v="Industrials"/>
    <s v="Industrial Products"/>
    <x v="32"/>
    <s v="FRANCE"/>
    <n v="153.15"/>
    <n v="4.1900000000000004"/>
    <n v="0"/>
    <n v="47.705530089827533"/>
  </r>
  <r>
    <s v="SAFT US Equity"/>
    <s v="SAFETY INSURANCE"/>
    <s v="Financials"/>
    <s v="Insurance"/>
    <x v="23"/>
    <s v="UNITED STATES"/>
    <n v="1.1299999999999999"/>
    <n v="0"/>
    <n v="307653"/>
    <n v="58.941822176758556"/>
  </r>
  <r>
    <s v="SAH US Equity"/>
    <s v="SONIC AUTOMOTI-A"/>
    <s v="Consumer Discretionary"/>
    <s v="Retail &amp; Whsle - Discretionary"/>
    <x v="10"/>
    <s v="UNITED STATES"/>
    <n v="2.09"/>
    <n v="3.67"/>
    <n v="0"/>
    <n v="46.008116629102979"/>
  </r>
  <r>
    <s v="SAIA US Equity"/>
    <s v="SAIA INC"/>
    <s v="Industrials"/>
    <s v="Industrial Services"/>
    <x v="12"/>
    <s v="UNITED STATES"/>
    <n v="9.36"/>
    <n v="3.77"/>
    <n v="148253"/>
    <n v="58.43488796118335"/>
  </r>
  <r>
    <s v="SAIC US Equity"/>
    <s v="SCIENCE APPLICAT"/>
    <s v="Technology"/>
    <s v="Software &amp; Tech Services"/>
    <x v="34"/>
    <s v="UNITED STATES"/>
    <n v="4.97"/>
    <n v="3"/>
    <n v="363462"/>
    <n v="20.624552830433927"/>
  </r>
  <r>
    <s v="SAIL US Equity"/>
    <s v="SAILPOINT INC"/>
    <s v="Technology"/>
    <s v="Software &amp; Tech Services"/>
    <x v="14"/>
    <s v="UNITED STATES"/>
    <n v="10"/>
    <n v="4.6399999999999997"/>
    <n v="0"/>
    <n v="34.867678234417156"/>
  </r>
  <r>
    <s v="SAM US Equity"/>
    <s v="BOSTON BEER-A"/>
    <s v="Consumer Staples"/>
    <s v="Consumer Staple Products"/>
    <x v="11"/>
    <s v="UNITED STATES"/>
    <n v="2.35"/>
    <n v="3"/>
    <n v="0"/>
    <n v="77.560893075116368"/>
  </r>
  <r>
    <s v="SAMT US Equity"/>
    <s v="STRAT MAC THEM O"/>
    <s v="Financials"/>
    <s v="Financial Services"/>
    <x v="24"/>
    <s v="UNITED STATES"/>
    <n v="0.42"/>
    <n v="0"/>
    <n v="0"/>
    <n v="43.918394324523874"/>
  </r>
  <r>
    <s v="SAN US Equity"/>
    <s v="BANCO SANTAN-ADR"/>
    <s v="Financials"/>
    <s v="Banking"/>
    <x v="26"/>
    <s v="SPAIN"/>
    <n v="182.15"/>
    <n v="2"/>
    <n v="0"/>
    <n v="50.348530311438502"/>
  </r>
  <r>
    <s v="SANA US Equity"/>
    <s v="SANA BIOTECHNOLO"/>
    <s v="Health Care"/>
    <s v="Health Care"/>
    <x v="25"/>
    <s v="UNITED STATES"/>
    <n v="1.29"/>
    <n v="4.67"/>
    <n v="0"/>
    <n v="40.277640309160731"/>
  </r>
  <r>
    <s v="SANM US Equity"/>
    <s v="SANMINA CORP"/>
    <s v="Technology"/>
    <s v="Tech Hardware &amp; Semiconductors"/>
    <x v="16"/>
    <s v="UNITED STATES"/>
    <n v="9.6999999999999993"/>
    <n v="4"/>
    <n v="0"/>
    <n v="45.687708599072408"/>
  </r>
  <r>
    <s v="SAP GR Equity"/>
    <s v="SAP SE"/>
    <s v="Technology"/>
    <s v="Software &amp; Tech Services"/>
    <x v="14"/>
    <s v="GERMANY"/>
    <n v="282.85000000000002"/>
    <n v="4.4400000000000004"/>
    <n v="172687"/>
    <n v="36.985305388464525"/>
  </r>
  <r>
    <s v="SAP US Equity"/>
    <s v="SAP SE-SPONS ADR"/>
    <s v="Technology"/>
    <s v="Software &amp; Tech Services"/>
    <x v="14"/>
    <s v="GERMANY"/>
    <n v="283.87"/>
    <n v="4.6100000000000003"/>
    <n v="0"/>
    <n v="37.797728656711648"/>
  </r>
  <r>
    <s v="SAR US Equity"/>
    <s v="SARATOGA INVESTM"/>
    <s v="Financials"/>
    <s v="Financial Services"/>
    <x v="24"/>
    <s v="UNITED STATES"/>
    <n v="0.38"/>
    <n v="3.22"/>
    <n v="0"/>
    <n v="53.8506684360786"/>
  </r>
  <r>
    <s v="SARO US Equity"/>
    <s v="STANDARDAERO INC"/>
    <s v="Industrials"/>
    <s v="Industrial Products"/>
    <x v="32"/>
    <s v="UNITED STATES"/>
    <n v="11.03"/>
    <n v="4.25"/>
    <n v="0"/>
    <n v="43.581262149451995"/>
  </r>
  <r>
    <s v="SATL US Equity"/>
    <s v="SATELLOGIC INC-A"/>
    <s v="Communications"/>
    <s v="Telecommunications"/>
    <x v="36"/>
    <s v="UNITED STATES"/>
    <n v="0.71"/>
    <n v="5"/>
    <n v="0"/>
    <n v="45.327030055137264"/>
  </r>
  <r>
    <s v="SATS US Equity"/>
    <s v="ECHOSTAR CORP-A"/>
    <s v="Communications"/>
    <s v="Telecommunications"/>
    <x v="36"/>
    <s v="UNITED STATES"/>
    <n v="36.42"/>
    <n v="3.67"/>
    <n v="126500"/>
    <n v="45.68500149176235"/>
  </r>
  <r>
    <s v="SB US Equity"/>
    <s v="SAFE BULKERS INC"/>
    <s v="Industrials"/>
    <s v="Industrial Services"/>
    <x v="12"/>
    <s v="MONACO"/>
    <n v="0.55000000000000004"/>
    <n v="3"/>
    <n v="0"/>
    <n v="72.059011893886364"/>
  </r>
  <r>
    <s v="SBC US Equity"/>
    <s v="SBC MEDICAL GROU"/>
    <s v="Health Care"/>
    <s v="Health Care"/>
    <x v="31"/>
    <s v="UNITED STATES"/>
    <n v="0.45"/>
    <n v="5"/>
    <n v="0"/>
    <n v="56.405307442401785"/>
  </r>
  <r>
    <s v="SBCF US Equity"/>
    <s v="SEACOAST BANK/FL"/>
    <s v="Financials"/>
    <s v="Banking"/>
    <x v="26"/>
    <s v="UNITED STATES"/>
    <n v="3.26"/>
    <n v="3.67"/>
    <n v="0"/>
    <n v="52.703895538592889"/>
  </r>
  <r>
    <s v="SBET US Equity"/>
    <s v="SHARPLINK GAMING"/>
    <s v="Technology"/>
    <s v="Software &amp; Tech Services"/>
    <x v="14"/>
    <s v="UNITED STATES"/>
    <n v="1.92"/>
    <n v="4.8"/>
    <n v="0"/>
    <n v="32.345534383546621"/>
  </r>
  <r>
    <s v="SBFG US Equity"/>
    <s v="SB FINANCIAL GRO"/>
    <s v="Financials"/>
    <s v="Banking"/>
    <x v="26"/>
    <s v="UNITED STATES"/>
    <n v="0.14000000000000001"/>
    <n v="5"/>
    <n v="0"/>
    <n v="41.449987503571144"/>
  </r>
  <r>
    <s v="SBGI US Equity"/>
    <s v="SINCLAIR INC"/>
    <s v="Communications"/>
    <s v="Media"/>
    <x v="59"/>
    <s v="UNITED STATES"/>
    <n v="1.05"/>
    <n v="3"/>
    <n v="0"/>
    <n v="54.757927422643299"/>
  </r>
  <r>
    <s v="SBH US Equity"/>
    <s v="SALLY BEAUTY HOL"/>
    <s v="Consumer Discretionary"/>
    <s v="Retail &amp; Whsle - Discretionary"/>
    <x v="10"/>
    <s v="UNITED STATES"/>
    <n v="1.51"/>
    <n v="3.33"/>
    <n v="197248"/>
    <n v="45.247892736647508"/>
  </r>
  <r>
    <s v="SBLK US Equity"/>
    <s v="STAR BULK CARRIE"/>
    <s v="Industrials"/>
    <s v="Industrial Services"/>
    <x v="12"/>
    <s v="GREECE"/>
    <n v="2.5"/>
    <n v="4.5"/>
    <n v="0"/>
    <n v="74.716434763651307"/>
  </r>
  <r>
    <s v="SBRA US Equity"/>
    <s v="SABRA HEALTH CAR"/>
    <s v="Real Estate"/>
    <s v="Real Estate"/>
    <x v="37"/>
    <s v="UNITED STATES"/>
    <n v="4.6900000000000004"/>
    <n v="3.79"/>
    <n v="0"/>
    <n v="62.369529364147688"/>
  </r>
  <r>
    <s v="SBS US Equity"/>
    <s v="SABESP-ADR"/>
    <s v="Utilities"/>
    <s v="Utilities"/>
    <x v="57"/>
    <s v="BRAZIL"/>
    <n v="18.64"/>
    <n v="5"/>
    <n v="0"/>
    <n v="77.698591994972659"/>
  </r>
  <r>
    <s v="SBSI US Equity"/>
    <s v="SOUTHSIDE BAN IN"/>
    <s v="Financials"/>
    <s v="Banking"/>
    <x v="26"/>
    <s v="UNITED STATES"/>
    <n v="0.97"/>
    <n v="3"/>
    <n v="0"/>
    <n v="55.749161634731131"/>
  </r>
  <r>
    <s v="SBSW US Equity"/>
    <s v="SIBANYE-STI-ADR"/>
    <s v="Materials"/>
    <s v="Materials"/>
    <x v="22"/>
    <s v="SOUTH AFRICA"/>
    <n v="13.76"/>
    <n v="4"/>
    <n v="0"/>
    <n v="53.338523632713475"/>
  </r>
  <r>
    <s v="SBUX US Equity"/>
    <s v="STARBUCKS CORP"/>
    <s v="Consumer Discretionary"/>
    <s v="Consumer Discretionary Services"/>
    <x v="6"/>
    <s v="UNITED STATES"/>
    <n v="111"/>
    <n v="3.72"/>
    <n v="1142154"/>
    <n v="64.143245799872602"/>
  </r>
  <r>
    <s v="SCCO US Equity"/>
    <s v="SOUTHERN COPPER"/>
    <s v="Materials"/>
    <s v="Materials"/>
    <x v="22"/>
    <s v="UNITED STATES"/>
    <n v="150.96"/>
    <n v="2.1800000000000002"/>
    <n v="0"/>
    <n v="61.59940051589016"/>
  </r>
  <r>
    <s v="SCHG US Equity"/>
    <s v="U.S. Large-Cap Growth ETF "/>
    <s v="Financials"/>
    <s v="Financial Services"/>
    <x v="91"/>
    <s v="UNITED STATES"/>
    <n v="52.87"/>
    <n v="0"/>
    <n v="0"/>
    <n v="39.072608001007062"/>
  </r>
  <r>
    <s v="SCHL US Equity"/>
    <s v="SCHOLASTIC CORP"/>
    <s v="Communications"/>
    <s v="Media"/>
    <x v="59"/>
    <s v="UNITED STATES"/>
    <n v="0.88"/>
    <n v="5"/>
    <n v="0"/>
    <n v="63.2876850614348"/>
  </r>
  <r>
    <s v="SCHV US Equity"/>
    <s v="U.S. Large-Cap Value ETF "/>
    <s v="Financials"/>
    <s v="Financial Services"/>
    <x v="92"/>
    <s v="UNITED STATES"/>
    <n v="14.75"/>
    <n v="0"/>
    <n v="0"/>
    <n v="75.919710484868602"/>
  </r>
  <r>
    <s v="SCHW US Equity"/>
    <s v="SCHWAB (CHARLES)"/>
    <s v="Financials"/>
    <s v="Financial Services"/>
    <x v="24"/>
    <s v="UNITED STATES"/>
    <n v="186.77"/>
    <n v="4.42"/>
    <n v="0"/>
    <n v="36.749721571659798"/>
  </r>
  <r>
    <s v="SCI US Equity"/>
    <s v="SERVICE CORP INT"/>
    <s v="Consumer Discretionary"/>
    <s v="Consumer Discretionary Services"/>
    <x v="41"/>
    <s v="UNITED STATES"/>
    <n v="11.39"/>
    <n v="5"/>
    <n v="0"/>
    <n v="63.943029036254352"/>
  </r>
  <r>
    <s v="SCL US Equity"/>
    <s v="STEPAN CO"/>
    <s v="Materials"/>
    <s v="Materials"/>
    <x v="21"/>
    <s v="UNITED STATES"/>
    <n v="1.27"/>
    <n v="5"/>
    <n v="0"/>
    <n v="84.173635345181808"/>
  </r>
  <r>
    <s v="SCM US Equity"/>
    <s v="STELLUS CAPITAL"/>
    <s v="Financials"/>
    <s v="Financial Services"/>
    <x v="24"/>
    <s v="UNITED STATES"/>
    <n v="0.37"/>
    <n v="3.33"/>
    <n v="0"/>
    <n v="31.214649799638366"/>
  </r>
  <r>
    <s v="SCSC US Equity"/>
    <s v="SCANSOURCE INC"/>
    <s v="Consumer Discretionary"/>
    <s v="Retail &amp; Whsle - Discretionary"/>
    <x v="40"/>
    <s v="UNITED STATES"/>
    <n v="0.89"/>
    <n v="3.67"/>
    <n v="0"/>
    <n v="32.405462105323821"/>
  </r>
  <r>
    <s v="SCVL US Equity"/>
    <s v="SHOE CARNIVAL"/>
    <s v="Consumer Discretionary"/>
    <s v="Retail &amp; Whsle - Discretionary"/>
    <x v="10"/>
    <s v="UNITED STATES"/>
    <n v="0.52"/>
    <n v="3"/>
    <n v="0"/>
    <n v="60.235379423578848"/>
  </r>
  <r>
    <s v="SD US Equity"/>
    <s v="SANDRIDGE ENERGY"/>
    <s v="Energy"/>
    <s v="Oil &amp; Gas"/>
    <x v="20"/>
    <s v="UNITED STATES"/>
    <n v="0.56999999999999995"/>
    <n v="5"/>
    <n v="385000"/>
    <n v="70.988583292893111"/>
  </r>
  <r>
    <s v="SDGR US Equity"/>
    <s v="SCHRODINGER INC"/>
    <s v="Technology"/>
    <s v="Software &amp; Tech Services"/>
    <x v="14"/>
    <s v="UNITED STATES"/>
    <n v="1.21"/>
    <n v="4.4000000000000004"/>
    <n v="0"/>
    <n v="23.273563652239631"/>
  </r>
  <r>
    <s v="SDHC US Equity"/>
    <s v="SMITH DOUG HOMES"/>
    <s v="Consumer Discretionary"/>
    <s v="Consumer Discretionary Products"/>
    <x v="50"/>
    <s v="UNITED STATES"/>
    <n v="0.99"/>
    <n v="2.71"/>
    <n v="0"/>
    <n v="46.371290192284015"/>
  </r>
  <r>
    <s v="SDHI US Equity"/>
    <s v="SIDDHI ACQUISI-A"/>
    <s v="Financials"/>
    <s v="Financial Services"/>
    <x v="24"/>
    <s v="UNITED STATES"/>
    <n v="0.36"/>
    <n v="0"/>
    <n v="0"/>
    <n v="50.685874686897499"/>
  </r>
  <r>
    <s v="SDRL US Equity"/>
    <s v="SEADRILL LIMITED"/>
    <s v="Energy"/>
    <s v="Oil &amp; Gas"/>
    <x v="30"/>
    <s v="BERMUDA"/>
    <n v="2.41"/>
    <n v="4.2300000000000004"/>
    <n v="0"/>
    <n v="69.37705240968458"/>
  </r>
  <r>
    <s v="SDZ SW Equity"/>
    <s v="SANDOZ GROUP AG"/>
    <s v="Health Care"/>
    <s v="Health Care"/>
    <x v="25"/>
    <s v="SWITZERLAND"/>
    <n v="35.659999999999997"/>
    <n v="3.79"/>
    <n v="0"/>
    <n v="58.528755392585879"/>
  </r>
  <r>
    <s v="SE US Equity"/>
    <s v="SEA LTD-ADR"/>
    <s v="Consumer Discretionary"/>
    <s v="Retail &amp; Whsle - Discretionary"/>
    <x v="51"/>
    <s v="SINGAPORE"/>
    <n v="73.87"/>
    <n v="4.8099999999999996"/>
    <n v="0"/>
    <n v="41.707046360738396"/>
  </r>
  <r>
    <s v="SEDG US Equity"/>
    <s v="SOLAREDGE TECHNO"/>
    <s v="Energy"/>
    <s v="Renewable Energy"/>
    <x v="45"/>
    <s v="ISRAEL"/>
    <n v="2.0699999999999998"/>
    <n v="2.68"/>
    <n v="0"/>
    <n v="58.372444184409446"/>
  </r>
  <r>
    <s v="SEE US Equity"/>
    <s v="SEALED AIR CORP"/>
    <s v="Materials"/>
    <s v="Materials"/>
    <x v="46"/>
    <s v="UNITED STATES"/>
    <n v="6.15"/>
    <n v="3.2"/>
    <n v="0"/>
    <n v="59.847885945771154"/>
  </r>
  <r>
    <s v="SEER US Equity"/>
    <s v="SEER INC"/>
    <s v="Health Care"/>
    <s v="Health Care"/>
    <x v="25"/>
    <s v="UNITED STATES"/>
    <n v="0.11"/>
    <n v="5"/>
    <n v="0"/>
    <n v="56.049793756177309"/>
  </r>
  <r>
    <s v="SEI US Equity"/>
    <s v="SOLARIS ENERGY I"/>
    <s v="Energy"/>
    <s v="Oil &amp; Gas"/>
    <x v="30"/>
    <s v="UNITED STATES"/>
    <n v="3.85"/>
    <n v="5"/>
    <n v="1089519"/>
    <n v="52.667093135918705"/>
  </r>
  <r>
    <s v="SEIC US Equity"/>
    <s v="SEI INVESTMENTS"/>
    <s v="Financials"/>
    <s v="Financial Services"/>
    <x v="49"/>
    <s v="UNITED STATES"/>
    <n v="10.43"/>
    <n v="4.33"/>
    <n v="0"/>
    <n v="37.087494219158259"/>
  </r>
  <r>
    <s v="SEM US Equity"/>
    <s v="SELECT MEDICAL"/>
    <s v="Health Care"/>
    <s v="Health Care"/>
    <x v="31"/>
    <s v="UNITED STATES"/>
    <n v="1.88"/>
    <n v="4.67"/>
    <n v="0"/>
    <n v="72.802974323463516"/>
  </r>
  <r>
    <s v="SEMR US Equity"/>
    <s v="SEMRUSH HOLDIN-A"/>
    <s v="Technology"/>
    <s v="Software &amp; Tech Services"/>
    <x v="14"/>
    <s v="UNITED STATES"/>
    <n v="1.8"/>
    <n v="3"/>
    <n v="0"/>
    <n v="54.578428291474708"/>
  </r>
  <r>
    <s v="SENEA US Equity"/>
    <s v="SENECA FOODS-A"/>
    <s v="Consumer Staples"/>
    <s v="Consumer Staple Products"/>
    <x v="42"/>
    <s v="UNITED STATES"/>
    <n v="0.79"/>
    <n v="0"/>
    <n v="0"/>
    <n v="63.881871391414599"/>
  </r>
  <r>
    <s v="SEPN US Equity"/>
    <s v="SEPTERNA INC"/>
    <s v="Health Care"/>
    <s v="Health Care"/>
    <x v="25"/>
    <s v="UNITED STATES"/>
    <n v="1.1499999999999999"/>
    <n v="5"/>
    <n v="0"/>
    <n v="53.060377126692956"/>
  </r>
  <r>
    <s v="SERA US Equity"/>
    <s v="SERA PROGNOSTI-A"/>
    <s v="Health Care"/>
    <s v="Health Care"/>
    <x v="9"/>
    <s v="UNITED STATES"/>
    <n v="0.13"/>
    <n v="5"/>
    <n v="0"/>
    <n v="37.843012768233848"/>
  </r>
  <r>
    <s v="SERV US Equity"/>
    <s v="SERVE ROBOTICS I"/>
    <s v="Communications"/>
    <s v="Media"/>
    <x v="13"/>
    <s v="UNITED STATES"/>
    <n v="0.95"/>
    <n v="5"/>
    <n v="0"/>
    <n v="39.226399300398931"/>
  </r>
  <r>
    <s v="SES US Equity"/>
    <s v="SES AI CORP"/>
    <s v="Consumer Discretionary"/>
    <s v="Consumer Discretionary Products"/>
    <x v="8"/>
    <s v="UNITED STATES"/>
    <n v="0.88"/>
    <n v="3"/>
    <n v="0"/>
    <n v="43.947197483418854"/>
  </r>
  <r>
    <s v="SEZL US Equity"/>
    <s v="SEZZLE INC"/>
    <s v="Financials"/>
    <s v="Financial Services"/>
    <x v="35"/>
    <s v="UNITED STATES"/>
    <n v="2.31"/>
    <n v="4.5"/>
    <n v="82269"/>
    <n v="43.189424895874168"/>
  </r>
  <r>
    <s v="SF US Equity"/>
    <s v="STIFEL FINANCIAL"/>
    <s v="Financials"/>
    <s v="Financial Services"/>
    <x v="24"/>
    <s v="UNITED STATES"/>
    <n v="13.06"/>
    <n v="3.56"/>
    <n v="1155"/>
    <n v="42.733276009785186"/>
  </r>
  <r>
    <s v="SFBS US Equity"/>
    <s v="SERVISFIRST BANC"/>
    <s v="Financials"/>
    <s v="Banking"/>
    <x v="26"/>
    <s v="UNITED STATES"/>
    <n v="4.4800000000000004"/>
    <n v="5"/>
    <n v="0"/>
    <n v="64.621720400538237"/>
  </r>
  <r>
    <s v="SFD US Equity"/>
    <s v="SMITHFIELD FOODS"/>
    <s v="Consumer Staples"/>
    <s v="Consumer Staple Products"/>
    <x v="42"/>
    <s v="UNITED STATES"/>
    <n v="8.94"/>
    <n v="4.5599999999999996"/>
    <n v="41729256"/>
    <n v="70.213244075661152"/>
  </r>
  <r>
    <s v="SFIX US Equity"/>
    <s v="STITCH FIX INC-A"/>
    <s v="Consumer Discretionary"/>
    <s v="Retail &amp; Whsle - Discretionary"/>
    <x v="51"/>
    <s v="UNITED STATES"/>
    <n v="0.67"/>
    <n v="3"/>
    <n v="0"/>
    <n v="31.223350765203875"/>
  </r>
  <r>
    <s v="SFL US Equity"/>
    <s v="SFL CORP LTD"/>
    <s v="Industrials"/>
    <s v="Industrial Services"/>
    <x v="12"/>
    <s v="NORWAY"/>
    <n v="1.21"/>
    <n v="4.2"/>
    <n v="0"/>
    <n v="79.818725562965625"/>
  </r>
  <r>
    <s v="SFM US Equity"/>
    <s v="SPROUTS FARMERS"/>
    <s v="Consumer Staples"/>
    <s v="Retail &amp; Wholesale - Staples"/>
    <x v="33"/>
    <s v="UNITED STATES"/>
    <n v="6.96"/>
    <n v="3.84"/>
    <n v="0"/>
    <n v="30.774706821981027"/>
  </r>
  <r>
    <s v="SFNC US Equity"/>
    <s v="SIMMONS FIRST -A"/>
    <s v="Financials"/>
    <s v="Banking"/>
    <x v="26"/>
    <s v="UNITED STATES"/>
    <n v="2.91"/>
    <n v="3.86"/>
    <n v="2321208"/>
    <n v="69.601813028065521"/>
  </r>
  <r>
    <s v="SFST US Equity"/>
    <s v="SOUTHERN FIRST"/>
    <s v="Financials"/>
    <s v="Banking"/>
    <x v="26"/>
    <s v="UNITED STATES"/>
    <n v="0.44"/>
    <n v="4"/>
    <n v="28355"/>
    <n v="61.216855297828282"/>
  </r>
  <r>
    <s v="SFWL US Equity"/>
    <s v="SHENGFENG DEV-A"/>
    <s v="Industrials"/>
    <s v="Industrial Services"/>
    <x v="12"/>
    <s v="CHINA"/>
    <n v="0.08"/>
    <n v="0"/>
    <n v="0"/>
    <n v="39.895248671141879"/>
  </r>
  <r>
    <s v="SG US Equity"/>
    <s v="SWEETGREEN INC-A"/>
    <s v="Consumer Discretionary"/>
    <s v="Consumer Discretionary Services"/>
    <x v="6"/>
    <s v="UNITED STATES"/>
    <n v="0.85"/>
    <n v="3.13"/>
    <n v="1417071"/>
    <n v="30.617445646894168"/>
  </r>
  <r>
    <s v="SGHC US Equity"/>
    <s v="SUPER GROUP SGHC"/>
    <s v="Consumer Discretionary"/>
    <s v="Consumer Discretionary Services"/>
    <x v="6"/>
    <s v="GUERNSEY"/>
    <n v="4.91"/>
    <n v="4.88"/>
    <n v="0"/>
    <n v="30.747335861802554"/>
  </r>
  <r>
    <s v="SGHT US Equity"/>
    <s v="SIGHT SCIENCES I"/>
    <s v="Technology"/>
    <s v="Tech Hardware &amp; Semiconductors"/>
    <x v="16"/>
    <s v="UNITED STATES"/>
    <n v="0.32"/>
    <n v="4.1399999999999997"/>
    <n v="84027"/>
    <n v="31.668298085073289"/>
  </r>
  <r>
    <s v="SGI US Equity"/>
    <s v="SOMNIGROUP INTER"/>
    <s v="Consumer Discretionary"/>
    <s v="Consumer Discretionary Products"/>
    <x v="29"/>
    <s v="UNITED STATES"/>
    <n v="19.45"/>
    <n v="4.5599999999999996"/>
    <n v="2965760"/>
    <n v="61.747548393857919"/>
  </r>
  <r>
    <s v="SGML US Equity"/>
    <s v="SIGMA LITHIUM CO"/>
    <s v="Materials"/>
    <s v="Materials"/>
    <x v="22"/>
    <s v="BRAZIL"/>
    <n v="1.64"/>
    <n v="4"/>
    <n v="2456274"/>
    <n v="54.317049683509985"/>
  </r>
  <r>
    <s v="SGMT US Equity"/>
    <s v="SAGIMET BIOSCI-A"/>
    <s v="Health Care"/>
    <s v="Health Care"/>
    <x v="25"/>
    <s v="UNITED STATES"/>
    <n v="0.2"/>
    <n v="4.8899999999999997"/>
    <n v="0"/>
    <n v="39.777548999290211"/>
  </r>
  <r>
    <s v="SGRY US Equity"/>
    <s v="SURGERY PARTNERS"/>
    <s v="Health Care"/>
    <s v="Health Care"/>
    <x v="31"/>
    <s v="UNITED STATES"/>
    <n v="2.09"/>
    <n v="4.2300000000000004"/>
    <n v="0"/>
    <n v="50.360786571310292"/>
  </r>
  <r>
    <s v="SHA0 GY Equity"/>
    <s v="SCHAEFFLER AG"/>
    <s v="Consumer Discretionary"/>
    <s v="Consumer Discretionary Products"/>
    <x v="8"/>
    <s v="GERMANY"/>
    <n v="13.25"/>
    <n v="4.17"/>
    <n v="1543678"/>
    <n v="59.326986125173079"/>
  </r>
  <r>
    <s v="SHAK US Equity"/>
    <s v="SHAKE SHACK IN-A"/>
    <s v="Consumer Discretionary"/>
    <s v="Consumer Discretionary Services"/>
    <x v="6"/>
    <s v="UNITED STATES"/>
    <n v="3.94"/>
    <n v="3.93"/>
    <n v="0"/>
    <n v="59.78772207886167"/>
  </r>
  <r>
    <s v="SHBI US Equity"/>
    <s v="SHORE BANCSHARES"/>
    <s v="Financials"/>
    <s v="Banking"/>
    <x v="26"/>
    <s v="UNITED STATES"/>
    <n v="0.61"/>
    <n v="4.5"/>
    <n v="219960"/>
    <n v="61.302888741258315"/>
  </r>
  <r>
    <s v="SHC US Equity"/>
    <s v="SOTERA HEALTH CO"/>
    <s v="Health Care"/>
    <s v="Health Care"/>
    <x v="31"/>
    <s v="UNITED STATES"/>
    <n v="5.26"/>
    <n v="4.5999999999999996"/>
    <n v="0"/>
    <n v="38.055951510349345"/>
  </r>
  <r>
    <s v="SHEL US Equity"/>
    <s v="SHELL PLC-ADR"/>
    <s v="Energy"/>
    <s v="Oil &amp; Gas"/>
    <x v="20"/>
    <s v="BRITAIN"/>
    <n v="209.94"/>
    <n v="4.0999999999999996"/>
    <n v="0"/>
    <n v="63.815715505155822"/>
  </r>
  <r>
    <s v="SHELL NA Equity"/>
    <s v="SHELL PLC"/>
    <s v="Energy"/>
    <s v="Oil &amp; Gas"/>
    <x v="20"/>
    <s v="BRITAIN"/>
    <n v="209.36"/>
    <n v="4.08"/>
    <n v="0"/>
    <n v="65.068435923526749"/>
  </r>
  <r>
    <s v="SHEN US Equity"/>
    <s v="SHENANDOAH TELEC"/>
    <s v="Communications"/>
    <s v="Telecommunications"/>
    <x v="36"/>
    <s v="UNITED STATES"/>
    <n v="0.61"/>
    <n v="4"/>
    <n v="186816"/>
    <n v="68.758602610336169"/>
  </r>
  <r>
    <s v="SHG US Equity"/>
    <s v="SHINHAN FINA-ADR"/>
    <s v="Financials"/>
    <s v="Banking"/>
    <x v="26"/>
    <s v="SOUTH KOREA"/>
    <n v="28.28"/>
    <n v="5"/>
    <n v="0"/>
    <n v="78.470263506983571"/>
  </r>
  <r>
    <s v="SHIM US Equity"/>
    <s v="SHIMMICK CORP"/>
    <s v="Industrials"/>
    <s v="Industrial Services"/>
    <x v="27"/>
    <s v="UNITED STATES"/>
    <n v="0.13"/>
    <n v="4"/>
    <n v="7120"/>
    <n v="62.647603267912991"/>
  </r>
  <r>
    <s v="SHIP US Equity"/>
    <s v="SEANERGY MARITIM"/>
    <s v="Industrials"/>
    <s v="Industrial Services"/>
    <x v="12"/>
    <s v="GREECE"/>
    <n v="0.2"/>
    <n v="4.5999999999999996"/>
    <n v="0"/>
    <n v="73.891757928944642"/>
  </r>
  <r>
    <s v="SHLD US Equity"/>
    <s v="GLOBAL X DT ETF"/>
    <s v="Financials"/>
    <s v="Financial Services"/>
    <x v="24"/>
    <s v="UNITED STATES"/>
    <n v="7.06"/>
    <n v="0"/>
    <n v="0"/>
    <n v="44.503528601154628"/>
  </r>
  <r>
    <s v="SHLS US Equity"/>
    <s v="SHOALS TECHNOL-A"/>
    <s v="Energy"/>
    <s v="Renewable Energy"/>
    <x v="45"/>
    <s v="UNITED STATES"/>
    <n v="1.54"/>
    <n v="4.1399999999999997"/>
    <n v="0"/>
    <n v="52.328904247943633"/>
  </r>
  <r>
    <s v="SHMD US Equity"/>
    <s v="SCHMID GROUP NV"/>
    <s v="Industrials"/>
    <s v="Industrial Products"/>
    <x v="3"/>
    <s v="GERMANY"/>
    <n v="0.46"/>
    <n v="0"/>
    <n v="0"/>
    <n v="60.011216537488934"/>
  </r>
  <r>
    <s v="SHOO US Equity"/>
    <s v="STEVEN MADDEN"/>
    <s v="Consumer Discretionary"/>
    <s v="Consumer Discretionary Products"/>
    <x v="5"/>
    <s v="UNITED STATES"/>
    <n v="3.31"/>
    <n v="4.5999999999999996"/>
    <n v="0"/>
    <n v="40.898950228138723"/>
  </r>
  <r>
    <s v="SHOP US Equity"/>
    <s v="SHOPIFY INC - A"/>
    <s v="Technology"/>
    <s v="Software &amp; Tech Services"/>
    <x v="14"/>
    <s v="CANADA"/>
    <n v="179.8"/>
    <n v="4.13"/>
    <n v="0"/>
    <n v="35.570071318860954"/>
  </r>
  <r>
    <s v="SHW US Equity"/>
    <s v="SHERWIN-WILLIAMS"/>
    <s v="Materials"/>
    <s v="Materials"/>
    <x v="21"/>
    <s v="UNITED STATES"/>
    <n v="86.4"/>
    <n v="4.0999999999999996"/>
    <n v="0"/>
    <n v="64.236497251786446"/>
  </r>
  <r>
    <s v="SIBN US Equity"/>
    <s v="SI-BONE INC"/>
    <s v="Health Care"/>
    <s v="Health Care"/>
    <x v="9"/>
    <s v="UNITED STATES"/>
    <n v="0.73"/>
    <n v="4.8899999999999997"/>
    <n v="0"/>
    <n v="23.280086291605571"/>
  </r>
  <r>
    <s v="SID US Equity"/>
    <s v="SID NACIONAL-ADR"/>
    <s v="Materials"/>
    <s v="Materials"/>
    <x v="56"/>
    <s v="BRAZIL"/>
    <n v="2.59"/>
    <n v="2"/>
    <n v="0"/>
    <n v="50.798760445628879"/>
  </r>
  <r>
    <s v="SIDU US Equity"/>
    <s v="SIDUS SPACE INC"/>
    <s v="Communications"/>
    <s v="Telecommunications"/>
    <x v="36"/>
    <s v="UNITED STATES"/>
    <n v="0.28999999999999998"/>
    <n v="5"/>
    <n v="0"/>
    <n v="42.498313338936981"/>
  </r>
  <r>
    <s v="SIFY US Equity"/>
    <s v="SIFY TECHNOL-ADR"/>
    <s v="Technology"/>
    <s v="Software &amp; Tech Services"/>
    <x v="34"/>
    <s v="INDIA"/>
    <n v="1.07"/>
    <n v="0"/>
    <n v="0"/>
    <n v="54.771996259717973"/>
  </r>
  <r>
    <s v="SIG US Equity"/>
    <s v="SIGNET JEWELERS"/>
    <s v="Consumer Discretionary"/>
    <s v="Retail &amp; Whsle - Discretionary"/>
    <x v="10"/>
    <s v="UNITED STATES"/>
    <n v="3.65"/>
    <n v="3.91"/>
    <n v="0"/>
    <n v="50.991981139551257"/>
  </r>
  <r>
    <s v="SIGA US Equity"/>
    <s v="SIGA TECH INC"/>
    <s v="Health Care"/>
    <s v="Health Care"/>
    <x v="25"/>
    <s v="UNITED STATES"/>
    <n v="0.48"/>
    <n v="0"/>
    <n v="0"/>
    <n v="49.8232333660116"/>
  </r>
  <r>
    <s v="SIGI US Equity"/>
    <s v="SELECT INS GRP"/>
    <s v="Financials"/>
    <s v="Insurance"/>
    <x v="23"/>
    <s v="UNITED STATES"/>
    <n v="4.84"/>
    <n v="3.25"/>
    <n v="1065091"/>
    <n v="62.871302560008786"/>
  </r>
  <r>
    <s v="SII US Equity"/>
    <s v="SPROTT INC"/>
    <s v="Financials"/>
    <s v="Financial Services"/>
    <x v="24"/>
    <s v="CANADA"/>
    <n v="3.4"/>
    <n v="4.2"/>
    <n v="2018376"/>
    <n v="54.468946084926181"/>
  </r>
  <r>
    <s v="SIMO US Equity"/>
    <s v="SILICON MOTI-ADR"/>
    <s v="Technology"/>
    <s v="Tech Hardware &amp; Semiconductors"/>
    <x v="17"/>
    <s v="TAIWAN"/>
    <n v="3.84"/>
    <n v="4.7300000000000004"/>
    <n v="0"/>
    <n v="73.420972626951212"/>
  </r>
  <r>
    <s v="SINCH SS Equity"/>
    <s v="SINCH AB"/>
    <s v="Technology"/>
    <s v="Software &amp; Tech Services"/>
    <x v="14"/>
    <s v="UNITED STATES"/>
    <n v="2.5499999999999998"/>
    <n v="4.08"/>
    <n v="407269"/>
    <n v="35.918397301836421"/>
  </r>
  <r>
    <s v="SINT US Equity"/>
    <s v="SINTX TECHNOLOGI"/>
    <s v="Materials"/>
    <s v="Materials"/>
    <x v="21"/>
    <s v="UNITED STATES"/>
    <n v="0.01"/>
    <n v="5"/>
    <n v="535187"/>
    <n v="29.019046133036255"/>
  </r>
  <r>
    <s v="SION US Equity"/>
    <s v="SIONNA THERAPEUT"/>
    <s v="Health Care"/>
    <s v="Health Care"/>
    <x v="25"/>
    <s v="UNITED STATES"/>
    <n v="1.89"/>
    <n v="4.5599999999999996"/>
    <n v="0"/>
    <n v="41.647617631509448"/>
  </r>
  <r>
    <s v="SIRI US Equity"/>
    <s v="SIRIUS XM HOLDIN"/>
    <s v="Communications"/>
    <s v="Media"/>
    <x v="61"/>
    <s v="UNITED STATES"/>
    <n v="6.9"/>
    <n v="2.87"/>
    <n v="0"/>
    <n v="59.813341342092826"/>
  </r>
  <r>
    <s v="SITE US Equity"/>
    <s v="SITEONE LANDSCAP"/>
    <s v="Industrials"/>
    <s v="Industrial Services"/>
    <x v="43"/>
    <s v="UNITED STATES"/>
    <n v="6.57"/>
    <n v="4.09"/>
    <n v="0"/>
    <n v="73.591426770537097"/>
  </r>
  <r>
    <s v="SITM US Equity"/>
    <s v="SITIME CORP"/>
    <s v="Technology"/>
    <s v="Tech Hardware &amp; Semiconductors"/>
    <x v="17"/>
    <s v="UNITED STATES"/>
    <n v="8.9499999999999993"/>
    <n v="4.8"/>
    <n v="0"/>
    <n v="69.164162121855512"/>
  </r>
  <r>
    <s v="SJM US Equity"/>
    <s v="JM SMUCKER CO"/>
    <s v="Consumer Staples"/>
    <s v="Consumer Staple Products"/>
    <x v="42"/>
    <s v="UNITED STATES"/>
    <n v="10.94"/>
    <n v="3.57"/>
    <n v="0"/>
    <n v="68.925154799796118"/>
  </r>
  <r>
    <s v="SKE CT Equity"/>
    <s v="SKEENA RESOURCES"/>
    <s v="Materials"/>
    <s v="Materials"/>
    <x v="22"/>
    <s v="CANADA"/>
    <n v="3.8"/>
    <n v="4.7"/>
    <n v="3605804"/>
    <n v="64.09020577542509"/>
  </r>
  <r>
    <s v="SKE US Equity"/>
    <s v="SKEENA RESOURCES"/>
    <s v="Materials"/>
    <s v="Materials"/>
    <x v="22"/>
    <s v="CANADA"/>
    <n v="3.8"/>
    <n v="4.7"/>
    <n v="3609850"/>
    <n v="64.455870268262004"/>
  </r>
  <r>
    <s v="SKM US Equity"/>
    <s v="SK TELEC-SPN ADR"/>
    <s v="Communications"/>
    <s v="Telecommunications"/>
    <x v="36"/>
    <s v="SOUTH KOREA"/>
    <n v="9.34"/>
    <n v="3.75"/>
    <n v="0"/>
    <n v="76.423832639553396"/>
  </r>
  <r>
    <s v="SKT US Equity"/>
    <s v="TANGER INC"/>
    <s v="Real Estate"/>
    <s v="Real Estate"/>
    <x v="37"/>
    <s v="UNITED STATES"/>
    <n v="3.75"/>
    <n v="3.83"/>
    <n v="0"/>
    <n v="58.351415448851391"/>
  </r>
  <r>
    <s v="SKWD US Equity"/>
    <s v="SKYWARD SPECIALT"/>
    <s v="Financials"/>
    <s v="Insurance"/>
    <x v="23"/>
    <s v="UNITED STATES"/>
    <n v="1.98"/>
    <n v="4.3099999999999996"/>
    <n v="0"/>
    <n v="54.235216104486298"/>
  </r>
  <r>
    <s v="SKY US Equity"/>
    <s v="CHAMPION HOMES I"/>
    <s v="Consumer Discretionary"/>
    <s v="Consumer Discretionary Products"/>
    <x v="50"/>
    <s v="UNITED STATES"/>
    <n v="5.12"/>
    <n v="4.5"/>
    <n v="0"/>
    <n v="58.701595710930874"/>
  </r>
  <r>
    <s v="SKYH US Equity"/>
    <s v="SKY HARBOUR GROU"/>
    <s v="Real Estate"/>
    <s v="Real Estate"/>
    <x v="39"/>
    <s v="UNITED STATES"/>
    <n v="0.71"/>
    <n v="5"/>
    <n v="0"/>
    <n v="40.832348817555946"/>
  </r>
  <r>
    <s v="SKYT US Equity"/>
    <s v="SKYWATER TECHNOL"/>
    <s v="Technology"/>
    <s v="Tech Hardware &amp; Semiconductors"/>
    <x v="17"/>
    <s v="UNITED STATES"/>
    <n v="1.52"/>
    <n v="4.67"/>
    <n v="0"/>
    <n v="50.979375746987031"/>
  </r>
  <r>
    <s v="SKYW US Equity"/>
    <s v="SKYWEST INC"/>
    <s v="Industrials"/>
    <s v="Industrial Services"/>
    <x v="12"/>
    <s v="UNITED STATES"/>
    <n v="4.08"/>
    <n v="4.67"/>
    <n v="0"/>
    <n v="55.514378347248645"/>
  </r>
  <r>
    <s v="SKYX US Equity"/>
    <s v="SKYX PLATFORMS C"/>
    <s v="Industrials"/>
    <s v="Industrial Products"/>
    <x v="4"/>
    <s v="UNITED STATES"/>
    <n v="0.36"/>
    <n v="5"/>
    <n v="0"/>
    <n v="46.489251156899023"/>
  </r>
  <r>
    <s v="SLAB US Equity"/>
    <s v="SILICON LABS"/>
    <s v="Technology"/>
    <s v="Tech Hardware &amp; Semiconductors"/>
    <x v="17"/>
    <s v="UNITED STATES"/>
    <n v="4.78"/>
    <n v="3.67"/>
    <n v="0"/>
    <n v="78.535995166310428"/>
  </r>
  <r>
    <s v="SLB US Equity"/>
    <s v="SLB LTD"/>
    <s v="Energy"/>
    <s v="Oil &amp; Gas"/>
    <x v="30"/>
    <s v="UNITED STATES"/>
    <n v="73.5"/>
    <n v="4.68"/>
    <n v="0"/>
    <n v="68.728010737451115"/>
  </r>
  <r>
    <s v="SLDB US Equity"/>
    <s v="SOLID BIOSCIENCE"/>
    <s v="Health Care"/>
    <s v="Health Care"/>
    <x v="25"/>
    <s v="UNITED STATES"/>
    <n v="0.51"/>
    <n v="4.93"/>
    <n v="0"/>
    <n v="53.004137223099171"/>
  </r>
  <r>
    <s v="SLDE US Equity"/>
    <s v="SLIDE INSURANCE"/>
    <s v="Financials"/>
    <s v="Insurance"/>
    <x v="23"/>
    <s v="UNITED STATES"/>
    <n v="1.97"/>
    <n v="4.8"/>
    <n v="0"/>
    <n v="49.400327478943403"/>
  </r>
  <r>
    <s v="SLDP US Equity"/>
    <s v="SOLID POWER INC"/>
    <s v="Consumer Discretionary"/>
    <s v="Consumer Discretionary Products"/>
    <x v="8"/>
    <s v="UNITED STATES"/>
    <n v="1.04"/>
    <n v="3"/>
    <n v="0"/>
    <n v="35.032752270292761"/>
  </r>
  <r>
    <s v="SLF US Equity"/>
    <s v="SUN LIFE FINANCI"/>
    <s v="Financials"/>
    <s v="Insurance"/>
    <x v="23"/>
    <s v="CANADA"/>
    <n v="35.39"/>
    <n v="3.63"/>
    <n v="1030441"/>
    <n v="59.725207256834707"/>
  </r>
  <r>
    <s v="SLGL US Equity"/>
    <s v="SOL-GEL TECHNOLO"/>
    <s v="Health Care"/>
    <s v="Health Care"/>
    <x v="25"/>
    <s v="ISRAEL"/>
    <n v="0.16"/>
    <n v="5"/>
    <n v="0"/>
    <n v="62.101898384315447"/>
  </r>
  <r>
    <s v="SLGN US Equity"/>
    <s v="SILGAN HOLDINGS"/>
    <s v="Materials"/>
    <s v="Materials"/>
    <x v="46"/>
    <s v="UNITED STATES"/>
    <n v="4.58"/>
    <n v="4.6900000000000004"/>
    <n v="346960"/>
    <n v="76.91254992199454"/>
  </r>
  <r>
    <s v="SLI US Equity"/>
    <s v="STANDARD LITHIUM"/>
    <s v="Materials"/>
    <s v="Materials"/>
    <x v="22"/>
    <s v="CANADA"/>
    <n v="1.35"/>
    <n v="4.8"/>
    <n v="1675225"/>
    <n v="41.949927720445316"/>
  </r>
  <r>
    <s v="SLM US Equity"/>
    <s v="SLM CORP"/>
    <s v="Financials"/>
    <s v="Financial Services"/>
    <x v="35"/>
    <s v="UNITED STATES"/>
    <n v="5.61"/>
    <n v="3.91"/>
    <n v="0"/>
    <n v="39.090670295273405"/>
  </r>
  <r>
    <s v="SLN US Equity"/>
    <s v="SILENCE THER-ADR"/>
    <s v="Health Care"/>
    <s v="Health Care"/>
    <x v="25"/>
    <s v="BRITAIN"/>
    <n v="0.27"/>
    <n v="4.33"/>
    <n v="0"/>
    <n v="33.255806877523156"/>
  </r>
  <r>
    <s v="SLNO US Equity"/>
    <s v="SOLENO THERAPEUT"/>
    <s v="Health Care"/>
    <s v="Health Care"/>
    <x v="25"/>
    <s v="UNITED STATES"/>
    <n v="2.2799999999999998"/>
    <n v="5"/>
    <n v="0"/>
    <n v="41.510764086242276"/>
  </r>
  <r>
    <s v="SLP US Equity"/>
    <s v="SIMULATIONS PLUS"/>
    <s v="Technology"/>
    <s v="Software &amp; Tech Services"/>
    <x v="14"/>
    <s v="UNITED STATES"/>
    <n v="0.42"/>
    <n v="3.86"/>
    <n v="0"/>
    <n v="20.760645499136359"/>
  </r>
  <r>
    <s v="SLRC US Equity"/>
    <s v="SLR INVESTMENT C"/>
    <s v="Financials"/>
    <s v="Financial Services"/>
    <x v="24"/>
    <s v="UNITED STATES"/>
    <n v="0.83"/>
    <n v="3.44"/>
    <n v="108785"/>
    <n v="47.242808677642074"/>
  </r>
  <r>
    <s v="SLS US Equity"/>
    <s v="SELLAS LIFE SCIE"/>
    <s v="Health Care"/>
    <s v="Health Care"/>
    <x v="25"/>
    <s v="UNITED STATES"/>
    <n v="0.61"/>
    <n v="5"/>
    <n v="270084"/>
    <n v="48.217003162573739"/>
  </r>
  <r>
    <s v="SLSR US Equity"/>
    <s v="SOLARIS RESOURCE"/>
    <s v="Materials"/>
    <s v="Materials"/>
    <x v="22"/>
    <s v="CANADA"/>
    <n v="1.63"/>
    <n v="4.43"/>
    <n v="0"/>
    <n v="58.66697392038305"/>
  </r>
  <r>
    <s v="SLV US Equity"/>
    <s v="ISHARES SILVER T"/>
    <s v="Financials"/>
    <s v="Financial Services"/>
    <x v="24"/>
    <s v="UNITED STATES"/>
    <n v="53.06"/>
    <n v="0"/>
    <n v="0"/>
    <n v="49.140420195566527"/>
  </r>
  <r>
    <s v="SLVM US Equity"/>
    <s v="SYLVAMO CORP"/>
    <s v="Materials"/>
    <s v="Materials"/>
    <x v="58"/>
    <s v="UNITED STATES"/>
    <n v="2.0099999999999998"/>
    <n v="4"/>
    <n v="0"/>
    <n v="60.37520189127067"/>
  </r>
  <r>
    <s v="SM US Equity"/>
    <s v="SM ENERGY CO"/>
    <s v="Energy"/>
    <s v="Oil &amp; Gas"/>
    <x v="20"/>
    <s v="UNITED STATES"/>
    <n v="2.14"/>
    <n v="3.8"/>
    <n v="0"/>
    <n v="70.676945729416587"/>
  </r>
  <r>
    <s v="SMBC US Equity"/>
    <s v="SOUTHERN MISSOUR"/>
    <s v="Financials"/>
    <s v="Banking"/>
    <x v="26"/>
    <s v="UNITED STATES"/>
    <n v="0.68"/>
    <n v="3.67"/>
    <n v="0"/>
    <n v="57.212280014576159"/>
  </r>
  <r>
    <s v="SMBK US Equity"/>
    <s v="SMARTFINANCIAL I"/>
    <s v="Financials"/>
    <s v="Banking"/>
    <x v="26"/>
    <s v="UNITED STATES"/>
    <n v="0.67"/>
    <n v="3.67"/>
    <n v="0"/>
    <n v="60.989396101654393"/>
  </r>
  <r>
    <s v="SMC US Equity"/>
    <s v="SUMMIT MIDSTREAM"/>
    <s v="Energy"/>
    <s v="Oil &amp; Gas"/>
    <x v="20"/>
    <s v="UNITED STATES"/>
    <n v="0.53"/>
    <n v="5"/>
    <n v="0"/>
    <n v="64.258766249721504"/>
  </r>
  <r>
    <s v="SMCI US Equity"/>
    <s v="SUPER MICRO COMP"/>
    <s v="Technology"/>
    <s v="Tech Hardware &amp; Semiconductors"/>
    <x v="16"/>
    <s v="UNITED STATES"/>
    <n v="18.920000000000002"/>
    <n v="3.57"/>
    <n v="0"/>
    <n v="51.176820638902441"/>
  </r>
  <r>
    <s v="SMCRT NO Equity"/>
    <s v="SMARTCRAFT ASA"/>
    <s v="Technology"/>
    <s v="Software &amp; Tech Services"/>
    <x v="14"/>
    <s v="NORWAY"/>
    <n v="0.44"/>
    <n v="4.25"/>
    <n v="8893"/>
    <n v="12.465282450816261"/>
  </r>
  <r>
    <s v="SMFG US Equity"/>
    <s v="SUMITOMO MIT-ADR"/>
    <s v="Financials"/>
    <s v="Banking"/>
    <x v="26"/>
    <s v="JAPAN"/>
    <n v="134.49"/>
    <n v="5"/>
    <n v="0"/>
    <n v="78.640693861928654"/>
  </r>
  <r>
    <s v="SMG US Equity"/>
    <s v="SCOTTS MIRACLE"/>
    <s v="Consumer Discretionary"/>
    <s v="Consumer Discretionary Products"/>
    <x v="29"/>
    <s v="UNITED STATES"/>
    <n v="3.64"/>
    <n v="4.4000000000000004"/>
    <n v="112287"/>
    <n v="67.507324916291466"/>
  </r>
  <r>
    <s v="SMH US Equity"/>
    <s v="Semiconductor ETF "/>
    <s v="Financials"/>
    <s v="Financial Services"/>
    <x v="93"/>
    <s v="UNITED STATES"/>
    <n v="43.29"/>
    <n v="0"/>
    <n v="0"/>
    <n v="61.144857923343899"/>
  </r>
  <r>
    <s v="SMIN US Equity"/>
    <s v="ISHARES MSCI IND"/>
    <s v="Financials"/>
    <s v="Financial Services"/>
    <x v="24"/>
    <s v="UNITED STATES"/>
    <n v="0.65"/>
    <n v="0"/>
    <n v="0"/>
    <n v="57.068686764571616"/>
  </r>
  <r>
    <s v="SMMT US Equity"/>
    <s v="SUMMIT THERAPEUT"/>
    <s v="Health Care"/>
    <s v="Health Care"/>
    <x v="25"/>
    <s v="UNITED STATES"/>
    <n v="12.28"/>
    <n v="4.3499999999999996"/>
    <n v="15259368"/>
    <n v="44.290222395451067"/>
  </r>
  <r>
    <s v="SMP US Equity"/>
    <s v="STANDARD MOTOR"/>
    <s v="Consumer Discretionary"/>
    <s v="Consumer Discretionary Products"/>
    <x v="8"/>
    <s v="UNITED STATES"/>
    <n v="0.86"/>
    <n v="5"/>
    <n v="0"/>
    <n v="73.823882694303279"/>
  </r>
  <r>
    <s v="SMPL US Equity"/>
    <s v="SIMPLY GOOD FOOD"/>
    <s v="Consumer Staples"/>
    <s v="Consumer Staple Products"/>
    <x v="42"/>
    <s v="UNITED STATES"/>
    <n v="1.88"/>
    <n v="3.86"/>
    <n v="425589"/>
    <n v="26.836898776629354"/>
  </r>
  <r>
    <s v="SMR US Equity"/>
    <s v="NUSCALE POWER CO"/>
    <s v="Industrials"/>
    <s v="Industrial Products"/>
    <x v="4"/>
    <s v="UNITED STATES"/>
    <n v="5.98"/>
    <n v="3.53"/>
    <n v="0"/>
    <n v="41.695686279909459"/>
  </r>
  <r>
    <s v="SMRT US Equity"/>
    <s v="SMARTRENT INC"/>
    <s v="Industrials"/>
    <s v="Industrial Products"/>
    <x v="4"/>
    <s v="UNITED STATES"/>
    <n v="0.34"/>
    <n v="3"/>
    <n v="3377124"/>
    <n v="48.42327624074381"/>
  </r>
  <r>
    <s v="SMTC US Equity"/>
    <s v="SEMTECH CORP"/>
    <s v="Technology"/>
    <s v="Tech Hardware &amp; Semiconductors"/>
    <x v="17"/>
    <s v="UNITED STATES"/>
    <n v="7.45"/>
    <n v="4.8099999999999996"/>
    <n v="0"/>
    <n v="63.208359666394287"/>
  </r>
  <r>
    <s v="SMWB US Equity"/>
    <s v="SIMILARWEB LTD"/>
    <s v="Technology"/>
    <s v="Software &amp; Tech Services"/>
    <x v="14"/>
    <s v="ISRAEL"/>
    <n v="0.48"/>
    <n v="4.67"/>
    <n v="0"/>
    <n v="21.587574738430177"/>
  </r>
  <r>
    <s v="SN US Equity"/>
    <s v="SHARKNINJA INC"/>
    <s v="Consumer Discretionary"/>
    <s v="Consumer Discretionary Products"/>
    <x v="29"/>
    <s v="UNITED STATES"/>
    <n v="17.420000000000002"/>
    <n v="4.8600000000000003"/>
    <n v="0"/>
    <n v="61.337816689096627"/>
  </r>
  <r>
    <s v="SNA US Equity"/>
    <s v="SNAP-ON INC"/>
    <s v="Industrials"/>
    <s v="Industrial Products"/>
    <x v="3"/>
    <s v="UNITED STATES"/>
    <n v="19.2"/>
    <n v="3.33"/>
    <n v="0"/>
    <n v="64.635587053979179"/>
  </r>
  <r>
    <s v="SNAP US Equity"/>
    <s v="SNAP INC - A"/>
    <s v="Communications"/>
    <s v="Media"/>
    <x v="13"/>
    <s v="UNITED STATES"/>
    <n v="13.1"/>
    <n v="3.16"/>
    <n v="0"/>
    <n v="18.88921728824765"/>
  </r>
  <r>
    <s v="SNCR US Equity"/>
    <s v="SYNCHRONOSS TECH"/>
    <s v="Technology"/>
    <s v="Software &amp; Tech Services"/>
    <x v="14"/>
    <s v="UNITED STATES"/>
    <n v="0.1"/>
    <n v="3"/>
    <n v="0"/>
    <n v="75.064415703545507"/>
  </r>
  <r>
    <s v="SNCY US Equity"/>
    <s v="SUN COUNTRY HOLD"/>
    <s v="Industrials"/>
    <s v="Industrial Services"/>
    <x v="12"/>
    <s v="UNITED STATES"/>
    <n v="0.92"/>
    <n v="4.13"/>
    <n v="0"/>
    <n v="71.923132723581503"/>
  </r>
  <r>
    <s v="SND US Equity"/>
    <s v="SMART SAND INC"/>
    <s v="Energy"/>
    <s v="Oil &amp; Gas"/>
    <x v="30"/>
    <s v="UNITED STATES"/>
    <n v="0.2"/>
    <n v="0"/>
    <n v="356604"/>
    <n v="65.734947470861272"/>
  </r>
  <r>
    <s v="SNDK US Equity"/>
    <s v="SANDISK CORP"/>
    <s v="Technology"/>
    <s v="Tech Hardware &amp; Semiconductors"/>
    <x v="16"/>
    <s v="UNITED STATES"/>
    <n v="69.44"/>
    <n v="4"/>
    <n v="0"/>
    <n v="63.387823211915709"/>
  </r>
  <r>
    <s v="SNDL US Equity"/>
    <s v="SNDL INC"/>
    <s v="Consumer Staples"/>
    <s v="Retail &amp; Wholesale - Staples"/>
    <x v="33"/>
    <s v="CANADA"/>
    <n v="0.42"/>
    <n v="5"/>
    <n v="65600"/>
    <n v="39.493787232256373"/>
  </r>
  <r>
    <s v="SNDR US Equity"/>
    <s v="SCHNEIDER NATL-B"/>
    <s v="Industrials"/>
    <s v="Industrial Services"/>
    <x v="12"/>
    <s v="UNITED STATES"/>
    <n v="5.25"/>
    <n v="4"/>
    <n v="0"/>
    <n v="55.149559233303876"/>
  </r>
  <r>
    <s v="SNDX US Equity"/>
    <s v="SYNDAX PHARMACEU"/>
    <s v="Health Care"/>
    <s v="Health Care"/>
    <x v="25"/>
    <s v="UNITED STATES"/>
    <n v="1.76"/>
    <n v="5"/>
    <n v="0"/>
    <n v="57.6868363386805"/>
  </r>
  <r>
    <s v="SNEX US Equity"/>
    <s v="STONEX GROUP INC"/>
    <s v="Financials"/>
    <s v="Financial Services"/>
    <x v="49"/>
    <s v="UNITED STATES"/>
    <n v="5.58"/>
    <n v="5"/>
    <n v="106880"/>
    <n v="76.076845296573879"/>
  </r>
  <r>
    <s v="SNN US Equity"/>
    <s v="SMITH &amp; NEPH-ADR"/>
    <s v="Health Care"/>
    <s v="Health Care"/>
    <x v="9"/>
    <s v="BRITAIN"/>
    <n v="14.15"/>
    <n v="3.67"/>
    <n v="725059"/>
    <n v="63.817875980517364"/>
  </r>
  <r>
    <s v="SNOA US Equity"/>
    <s v="SONOMA PHARMACEU"/>
    <s v="Health Care"/>
    <s v="Health Care"/>
    <x v="9"/>
    <s v="UNITED STATES"/>
    <n v="0.01"/>
    <n v="5"/>
    <n v="0"/>
    <n v="25.431997273232724"/>
  </r>
  <r>
    <s v="SNOW US Equity"/>
    <s v="SNOWFLAKE INC"/>
    <s v="Technology"/>
    <s v="Software &amp; Tech Services"/>
    <x v="14"/>
    <s v="UNITED STATES"/>
    <n v="71.760000000000005"/>
    <n v="4.6100000000000003"/>
    <n v="0"/>
    <n v="38.839836298751244"/>
  </r>
  <r>
    <s v="SNPS US Equity"/>
    <s v="SYNOPSYS INC"/>
    <s v="Technology"/>
    <s v="Software &amp; Tech Services"/>
    <x v="14"/>
    <s v="UNITED STATES"/>
    <n v="95.93"/>
    <n v="4.5599999999999996"/>
    <n v="175487"/>
    <n v="39.272901695098163"/>
  </r>
  <r>
    <s v="SNSE US Equity"/>
    <s v="SENSEI BIOTHERAP"/>
    <s v="Health Care"/>
    <s v="Health Care"/>
    <x v="25"/>
    <s v="UNITED STATES"/>
    <n v="0.01"/>
    <n v="4"/>
    <n v="0"/>
    <n v="41.671104763565658"/>
  </r>
  <r>
    <s v="SNT US Equity"/>
    <s v="SENSTAR TECHNOLO"/>
    <s v="Industrials"/>
    <s v="Industrial Products"/>
    <x v="4"/>
    <s v="CANADA"/>
    <n v="0.1"/>
    <n v="0"/>
    <n v="0"/>
    <n v="53.6183412341584"/>
  </r>
  <r>
    <s v="SNX US Equity"/>
    <s v="TD SYNNEX CORP"/>
    <s v="Technology"/>
    <s v="Tech Hardware &amp; Semiconductors"/>
    <x v="16"/>
    <s v="UNITED STATES"/>
    <n v="12.27"/>
    <n v="4.67"/>
    <n v="0"/>
    <n v="68.58714291397861"/>
  </r>
  <r>
    <s v="SNY US Equity"/>
    <s v="SANOFI-ADR"/>
    <s v="Health Care"/>
    <s v="Health Care"/>
    <x v="25"/>
    <s v="FRANCE"/>
    <n v="115.12"/>
    <n v="4.6399999999999997"/>
    <n v="0"/>
    <n v="61.184530394313185"/>
  </r>
  <r>
    <s v="SO US Equity"/>
    <s v="SOUTHERN CO"/>
    <s v="Utilities"/>
    <s v="Utilities"/>
    <x v="38"/>
    <s v="UNITED STATES"/>
    <n v="96.31"/>
    <n v="3.31"/>
    <n v="0"/>
    <n v="60.26995821135165"/>
  </r>
  <r>
    <s v="SOBO US Equity"/>
    <s v="SOUTH BOW CORP"/>
    <s v="Energy"/>
    <s v="Oil &amp; Gas"/>
    <x v="20"/>
    <s v="CANADA"/>
    <n v="5.76"/>
    <n v="2.89"/>
    <n v="172135"/>
    <n v="70.257069754530349"/>
  </r>
  <r>
    <s v="SOC US Equity"/>
    <s v="SABLE OFFSHORE C"/>
    <s v="Energy"/>
    <s v="Oil &amp; Gas"/>
    <x v="20"/>
    <s v="UNITED STATES"/>
    <n v="1.51"/>
    <n v="5"/>
    <n v="0"/>
    <n v="45.656353431440586"/>
  </r>
  <r>
    <s v="SOFI US Equity"/>
    <s v="SOFI TECHNOLOGIE"/>
    <s v="Financials"/>
    <s v="Financial Services"/>
    <x v="35"/>
    <s v="UNITED STATES"/>
    <n v="32.549999999999997"/>
    <n v="3.08"/>
    <n v="0"/>
    <n v="31.3952748641357"/>
  </r>
  <r>
    <s v="SOHO US Equity"/>
    <s v="SOTHERLY HOTELS"/>
    <s v="Real Estate"/>
    <s v="Real Estate"/>
    <x v="37"/>
    <s v="UNITED STATES"/>
    <n v="0.05"/>
    <n v="0"/>
    <n v="0"/>
    <n v="64.76815533637415"/>
  </r>
  <r>
    <s v="SOLG LN Equity"/>
    <s v="SOLGOLD PLC"/>
    <s v="Materials"/>
    <s v="Materials"/>
    <x v="22"/>
    <s v="ECUADOR"/>
    <n v="1.1399999999999999"/>
    <n v="4"/>
    <n v="189836"/>
    <n v="51.851721525265866"/>
  </r>
  <r>
    <s v="SOLS US Equity"/>
    <s v="SOLSTICE ADV MAT"/>
    <s v="Materials"/>
    <s v="Materials"/>
    <x v="21"/>
    <s v="UNITED STATES"/>
    <n v="9.9700000000000006"/>
    <n v="4.25"/>
    <n v="0"/>
    <n v="76.238908674080974"/>
  </r>
  <r>
    <s v="SOLV US Equity"/>
    <s v="SOLVENTUM"/>
    <s v="Health Care"/>
    <s v="Health Care"/>
    <x v="9"/>
    <s v="UNITED STATES"/>
    <n v="13.69"/>
    <n v="3.5"/>
    <n v="0"/>
    <n v="59.990031661845528"/>
  </r>
  <r>
    <s v="SON US Equity"/>
    <s v="SONOCO PRODUCTS"/>
    <s v="Materials"/>
    <s v="Materials"/>
    <x v="46"/>
    <s v="UNITED STATES"/>
    <n v="4.79"/>
    <n v="4"/>
    <n v="1118092"/>
    <n v="68.958149710424067"/>
  </r>
  <r>
    <s v="SONO US Equity"/>
    <s v="SONOS INC"/>
    <s v="Technology"/>
    <s v="Tech Hardware &amp; Semiconductors"/>
    <x v="16"/>
    <s v="UNITED STATES"/>
    <n v="1.8"/>
    <n v="4.33"/>
    <n v="3319175"/>
    <n v="52.984669587484916"/>
  </r>
  <r>
    <s v="SONY US Equity"/>
    <s v="SONY GROUP-ADR"/>
    <s v="Technology"/>
    <s v="Tech Hardware &amp; Semiconductors"/>
    <x v="16"/>
    <s v="JAPAN"/>
    <n v="142"/>
    <n v="5"/>
    <n v="0"/>
    <n v="44.462813500522522"/>
  </r>
  <r>
    <s v="SOPA US Equity"/>
    <s v="SOCIETY PASS INC"/>
    <s v="Communications"/>
    <s v="Media"/>
    <x v="53"/>
    <s v="UNITED STATES"/>
    <n v="0.02"/>
    <n v="5"/>
    <n v="0"/>
    <n v="29.615200944645252"/>
  </r>
  <r>
    <s v="SOPH US Equity"/>
    <s v="SOPHIA GENETICS"/>
    <s v="Technology"/>
    <s v="Software &amp; Tech Services"/>
    <x v="14"/>
    <s v="SWITZERLAND"/>
    <n v="0.36"/>
    <n v="5"/>
    <n v="0"/>
    <n v="43.258538577885702"/>
  </r>
  <r>
    <s v="SOTK US Equity"/>
    <s v="SONO-TEK CORP"/>
    <s v="Industrials"/>
    <s v="Industrial Products"/>
    <x v="3"/>
    <s v="UNITED STATES"/>
    <n v="0.06"/>
    <n v="4"/>
    <n v="0"/>
    <n v="50.760164386954891"/>
  </r>
  <r>
    <s v="SOUL US Equity"/>
    <s v="SOULPOWER ACQU-A"/>
    <s v="Financials"/>
    <s v="Financial Services"/>
    <x v="24"/>
    <s v="UNITED STATES"/>
    <n v="0.35"/>
    <n v="0"/>
    <n v="0"/>
    <n v="61.243940690854039"/>
  </r>
  <r>
    <s v="SOUN US Equity"/>
    <s v="SOUNDHOUND AI-A"/>
    <s v="Technology"/>
    <s v="Software &amp; Tech Services"/>
    <x v="14"/>
    <s v="UNITED STATES"/>
    <n v="4.34"/>
    <n v="4.5"/>
    <n v="0"/>
    <n v="34.973796008173878"/>
  </r>
  <r>
    <s v="SPB US Equity"/>
    <s v="SPECTRUM BRANDS"/>
    <s v="Consumer Staples"/>
    <s v="Consumer Staple Products"/>
    <x v="62"/>
    <s v="UNITED STATES"/>
    <n v="1.51"/>
    <n v="4.13"/>
    <n v="0"/>
    <n v="75.230594663036527"/>
  </r>
  <r>
    <s v="SPCB US Equity"/>
    <s v="SUPERCOM LTD"/>
    <s v="Technology"/>
    <s v="Tech Hardware &amp; Semiconductors"/>
    <x v="16"/>
    <s v="ISRAEL"/>
    <n v="0.04"/>
    <n v="5"/>
    <n v="0"/>
    <n v="40.093783224489236"/>
  </r>
  <r>
    <s v="SPFI US Equity"/>
    <s v="SOUTH PLAINS FIN"/>
    <s v="Financials"/>
    <s v="Banking"/>
    <x v="26"/>
    <s v="UNITED STATES"/>
    <n v="0.67"/>
    <n v="4.5"/>
    <n v="0"/>
    <n v="58.616616179972347"/>
  </r>
  <r>
    <s v="SPG US Equity"/>
    <s v="SIMON PROPERTY"/>
    <s v="Real Estate"/>
    <s v="Real Estate"/>
    <x v="37"/>
    <s v="UNITED STATES"/>
    <n v="60.31"/>
    <n v="3.92"/>
    <n v="1013798"/>
    <n v="61.255270595857354"/>
  </r>
  <r>
    <s v="SPGI US Equity"/>
    <s v="S&amp;P GLOBAL INC"/>
    <s v="Financials"/>
    <s v="Financial Services"/>
    <x v="35"/>
    <s v="UNITED STATES"/>
    <n v="165.42"/>
    <n v="4.87"/>
    <n v="11739"/>
    <n v="15.365801925889869"/>
  </r>
  <r>
    <s v="SPHB US Equity"/>
    <s v="S&amp;P 500 High Beta ETF "/>
    <s v="Financials"/>
    <s v="Financial Services"/>
    <x v="94"/>
    <s v="UNITED STATES"/>
    <n v="0.67"/>
    <n v="0"/>
    <n v="0"/>
    <n v="58.616075230767784"/>
  </r>
  <r>
    <s v="SPHR US Equity"/>
    <s v="SPHERE ENTERTAIN"/>
    <s v="Communications"/>
    <s v="Media"/>
    <x v="47"/>
    <s v="UNITED STATES"/>
    <n v="3.4"/>
    <n v="4.46"/>
    <n v="0"/>
    <n v="51.906657363845689"/>
  </r>
  <r>
    <s v="SPIR US Equity"/>
    <s v="SPIRE GLOBAL INC"/>
    <s v="Industrials"/>
    <s v="Industrial Services"/>
    <x v="15"/>
    <s v="UNITED STATES"/>
    <n v="0.45"/>
    <n v="4.5999999999999996"/>
    <n v="0"/>
    <n v="41.041110721963086"/>
  </r>
  <r>
    <s v="SPNT US Equity"/>
    <s v="SIRIUSPOINT LTD"/>
    <s v="Financials"/>
    <s v="Insurance"/>
    <x v="23"/>
    <s v="BERMUDA"/>
    <n v="2.2599999999999998"/>
    <n v="4"/>
    <n v="0"/>
    <n v="49.599307895700939"/>
  </r>
  <r>
    <s v="SPOT US Equity"/>
    <s v="SPOTIFY TECHNOLO"/>
    <s v="Communications"/>
    <s v="Media"/>
    <x v="13"/>
    <s v="SWEDEN"/>
    <n v="107"/>
    <n v="4.5199999999999996"/>
    <n v="0"/>
    <n v="46.9961169610377"/>
  </r>
  <r>
    <s v="SPRO US Equity"/>
    <s v="SPERO THERAPEUTI"/>
    <s v="Health Care"/>
    <s v="Health Care"/>
    <x v="25"/>
    <s v="UNITED STATES"/>
    <n v="0.14000000000000001"/>
    <n v="4"/>
    <n v="0"/>
    <n v="51.582653034953118"/>
  </r>
  <r>
    <s v="SPRU US Equity"/>
    <s v="SPRUCE POWER HOL"/>
    <s v="Energy"/>
    <s v="Renewable Energy"/>
    <x v="45"/>
    <s v="UNITED STATES"/>
    <n v="0.1"/>
    <n v="0"/>
    <n v="0"/>
    <n v="33.108367420903392"/>
  </r>
  <r>
    <s v="SPRY US Equity"/>
    <s v="ARS PHARMACEUTIC"/>
    <s v="Health Care"/>
    <s v="Health Care"/>
    <x v="25"/>
    <s v="UNITED STATES"/>
    <n v="1.01"/>
    <n v="5"/>
    <n v="0"/>
    <n v="40.349372959926249"/>
  </r>
  <r>
    <s v="SPSC US Equity"/>
    <s v="SPS COMMERCE INC"/>
    <s v="Technology"/>
    <s v="Software &amp; Tech Services"/>
    <x v="14"/>
    <s v="UNITED STATES"/>
    <n v="3.42"/>
    <n v="3.83"/>
    <n v="0"/>
    <n v="17.73413393081789"/>
  </r>
  <r>
    <s v="SPT US Equity"/>
    <s v="SPROUT SOCIAL-A"/>
    <s v="Technology"/>
    <s v="Software &amp; Tech Services"/>
    <x v="14"/>
    <s v="UNITED STATES"/>
    <n v="0.57999999999999996"/>
    <n v="3.73"/>
    <n v="1809521"/>
    <n v="27.02027789682468"/>
  </r>
  <r>
    <s v="SPWR US Equity"/>
    <s v="SUNPOWER INC"/>
    <s v="Energy"/>
    <s v="Renewable Energy"/>
    <x v="45"/>
    <s v="UNITED STATES"/>
    <n v="0.23"/>
    <n v="5"/>
    <n v="0"/>
    <n v="43.160314676209673"/>
  </r>
  <r>
    <s v="SPX LN Equity"/>
    <s v="SPIRAX GROUP PLC"/>
    <s v="Industrials"/>
    <s v="Industrial Services"/>
    <x v="27"/>
    <s v="BRITAIN"/>
    <n v="7.18"/>
    <n v="3.95"/>
    <n v="0"/>
    <n v="73.7322798021506"/>
  </r>
  <r>
    <s v="SPXC US Equity"/>
    <s v="SPX TECHNOLOGIES"/>
    <s v="Industrials"/>
    <s v="Industrial Products"/>
    <x v="4"/>
    <s v="UNITED STATES"/>
    <n v="10.52"/>
    <n v="4.4000000000000004"/>
    <n v="0"/>
    <n v="70.208800863838718"/>
  </r>
  <r>
    <s v="SPY US Equity"/>
    <s v="SPDR S&amp;P 500 ETF"/>
    <s v="Financials"/>
    <s v="Financial Services"/>
    <x v="24"/>
    <s v="UNITED STATES"/>
    <n v="705.1"/>
    <n v="0"/>
    <n v="0"/>
    <n v="52.819390934343282"/>
  </r>
  <r>
    <s v="SQM US Equity"/>
    <s v="QUIMICA Y-SP ADR"/>
    <s v="Materials"/>
    <s v="Materials"/>
    <x v="21"/>
    <s v="CHILE"/>
    <n v="23.66"/>
    <n v="3.74"/>
    <n v="0"/>
    <n v="50.134863031676311"/>
  </r>
  <r>
    <s v="SR US Equity"/>
    <s v="SPIRE INC"/>
    <s v="Utilities"/>
    <s v="Utilities"/>
    <x v="57"/>
    <s v="UNITED STATES"/>
    <n v="4.8899999999999997"/>
    <n v="4.33"/>
    <n v="0"/>
    <n v="67.198629351472206"/>
  </r>
  <r>
    <s v="SRAD US Equity"/>
    <s v="SPORTRADAR GROUP"/>
    <s v="Consumer Discretionary"/>
    <s v="Consumer Discretionary Services"/>
    <x v="6"/>
    <s v="SWITZERLAND"/>
    <n v="5.66"/>
    <n v="4.76"/>
    <n v="0"/>
    <n v="26.033351926887107"/>
  </r>
  <r>
    <s v="SRCE US Equity"/>
    <s v="1ST SOURCE CORP"/>
    <s v="Financials"/>
    <s v="Banking"/>
    <x v="26"/>
    <s v="UNITED STATES"/>
    <n v="1.62"/>
    <n v="3.67"/>
    <n v="0"/>
    <n v="60.305264567798517"/>
  </r>
  <r>
    <s v="SRE US Equity"/>
    <s v="SEMPRA"/>
    <s v="Utilities"/>
    <s v="Utilities"/>
    <x v="38"/>
    <s v="UNITED STATES"/>
    <n v="56.09"/>
    <n v="4.4000000000000004"/>
    <n v="0"/>
    <n v="64.118338466598686"/>
  </r>
  <r>
    <s v="SRL US Equity"/>
    <s v="SCULLY ROYALTY L"/>
    <s v="Materials"/>
    <s v="Materials"/>
    <x v="22"/>
    <s v="CHINA"/>
    <n v="0.14000000000000001"/>
    <n v="0"/>
    <n v="0"/>
    <n v="59.129486656983843"/>
  </r>
  <r>
    <s v="SRPT US Equity"/>
    <s v="SAREPTA THERAPEU"/>
    <s v="Health Care"/>
    <s v="Health Care"/>
    <x v="25"/>
    <s v="UNITED STATES"/>
    <n v="2.21"/>
    <n v="3.15"/>
    <n v="0"/>
    <n v="37.576488722743768"/>
  </r>
  <r>
    <s v="SRRK US Equity"/>
    <s v="SCHOLAR ROCK HOL"/>
    <s v="Health Care"/>
    <s v="Health Care"/>
    <x v="25"/>
    <s v="UNITED STATES"/>
    <n v="4.5199999999999996"/>
    <n v="5"/>
    <n v="0"/>
    <n v="55.288970516106176"/>
  </r>
  <r>
    <s v="SRT3 GY Equity"/>
    <s v="SARTORIUS AG-PFD"/>
    <s v="Health Care"/>
    <s v="Health Care"/>
    <x v="9"/>
    <s v="GERMANY"/>
    <n v="20.21"/>
    <n v="4.5199999999999996"/>
    <n v="0"/>
    <n v="32.898327786239278"/>
  </r>
  <r>
    <s v="SRTA US Equity"/>
    <s v="STRATA CRITICAL"/>
    <s v="Health Care"/>
    <s v="Health Care"/>
    <x v="31"/>
    <s v="UNITED STATES"/>
    <n v="0.47"/>
    <n v="5"/>
    <n v="120340"/>
    <n v="37.644217761024599"/>
  </r>
  <r>
    <s v="SSB US Equity"/>
    <s v="SOUTHSTATE BANK"/>
    <s v="Financials"/>
    <s v="Banking"/>
    <x v="26"/>
    <s v="UNITED STATES"/>
    <n v="10.07"/>
    <n v="4.71"/>
    <n v="584909"/>
    <n v="59.33153031493265"/>
  </r>
  <r>
    <s v="SSBI US Equity"/>
    <s v="SUMMIT STATE BAN"/>
    <s v="Financials"/>
    <s v="Banking"/>
    <x v="26"/>
    <s v="UNITED STATES"/>
    <n v="0.09"/>
    <n v="0"/>
    <n v="54479"/>
    <n v="64.372758279089751"/>
  </r>
  <r>
    <s v="SSD US Equity"/>
    <s v="SIMPSON MFG"/>
    <s v="Materials"/>
    <s v="Materials"/>
    <x v="48"/>
    <s v="UNITED STATES"/>
    <n v="7.56"/>
    <n v="3.75"/>
    <n v="0"/>
    <n v="75.922568425672694"/>
  </r>
  <r>
    <s v="SSII US Equity"/>
    <s v="SS INNOVATIONS I"/>
    <s v="Health Care"/>
    <s v="Health Care"/>
    <x v="9"/>
    <s v="UNITED STATES"/>
    <n v="1.04"/>
    <n v="0"/>
    <n v="0"/>
    <n v="35.48771024629994"/>
  </r>
  <r>
    <s v="SSL US Equity"/>
    <s v="SASOL LTD-SP ADR"/>
    <s v="Materials"/>
    <s v="Materials"/>
    <x v="21"/>
    <s v="SOUTH AFRICA"/>
    <n v="4.84"/>
    <n v="3"/>
    <n v="0"/>
    <n v="58.998002773701188"/>
  </r>
  <r>
    <s v="SSNC US Equity"/>
    <s v="SS&amp;C TECHNOLOGIE"/>
    <s v="Technology"/>
    <s v="Software &amp; Tech Services"/>
    <x v="14"/>
    <s v="UNITED STATES"/>
    <n v="20.82"/>
    <n v="4.4000000000000004"/>
    <n v="0"/>
    <n v="27.299500931013384"/>
  </r>
  <r>
    <s v="SSP US Equity"/>
    <s v="EW SCRIPPS-A"/>
    <s v="Communications"/>
    <s v="Media"/>
    <x v="59"/>
    <s v="UNITED STATES"/>
    <n v="0.31"/>
    <n v="3.4"/>
    <n v="0"/>
    <n v="51.325046085340169"/>
  </r>
  <r>
    <s v="SSRM US Equity"/>
    <s v="SSR MINING INC"/>
    <s v="Materials"/>
    <s v="Materials"/>
    <x v="22"/>
    <s v="UNITED STATES"/>
    <n v="5.33"/>
    <n v="3.8"/>
    <n v="0"/>
    <n v="61.209496821746839"/>
  </r>
  <r>
    <s v="SSTK US Equity"/>
    <s v="SHUTTERSTOCK INC"/>
    <s v="Communications"/>
    <s v="Media"/>
    <x v="13"/>
    <s v="UNITED STATES"/>
    <n v="0.69"/>
    <n v="3.5"/>
    <n v="0"/>
    <n v="41.857246702458362"/>
  </r>
  <r>
    <s v="SSYS US Equity"/>
    <s v="STRATASYS LTD"/>
    <s v="Technology"/>
    <s v="Tech Hardware &amp; Semiconductors"/>
    <x v="16"/>
    <s v="UNITED STATES"/>
    <n v="0.94"/>
    <n v="4.5999999999999996"/>
    <n v="0"/>
    <n v="57.256389226810064"/>
  </r>
  <r>
    <s v="ST SP Equity"/>
    <s v="SINGAPORE TELECO"/>
    <s v="Communications"/>
    <s v="Telecommunications"/>
    <x v="36"/>
    <s v="SINGAPORE"/>
    <n v="57.46"/>
    <n v="4.6100000000000003"/>
    <n v="418766"/>
    <n v="69.766337036166021"/>
  </r>
  <r>
    <s v="ST US Equity"/>
    <s v="SENSATA TECHNOLO"/>
    <s v="Industrials"/>
    <s v="Industrial Products"/>
    <x v="4"/>
    <s v="UNITED STATES"/>
    <n v="5.0199999999999996"/>
    <n v="3.82"/>
    <n v="0"/>
    <n v="64.348285082036597"/>
  </r>
  <r>
    <s v="STAA US Equity"/>
    <s v="STAAR SURGICAL"/>
    <s v="Health Care"/>
    <s v="Health Care"/>
    <x v="9"/>
    <s v="UNITED STATES"/>
    <n v="0.95"/>
    <n v="3"/>
    <n v="0"/>
    <n v="25.723827116732522"/>
  </r>
  <r>
    <s v="STAG US Equity"/>
    <s v="STAG INDUSTRIAL"/>
    <s v="Real Estate"/>
    <s v="Real Estate"/>
    <x v="37"/>
    <s v="UNITED STATES"/>
    <n v="6.98"/>
    <n v="3.36"/>
    <n v="0"/>
    <n v="64.636808630007749"/>
  </r>
  <r>
    <s v="STBA US Equity"/>
    <s v="S &amp; T BANCORP"/>
    <s v="Financials"/>
    <s v="Banking"/>
    <x v="26"/>
    <s v="UNITED STATES"/>
    <n v="1.54"/>
    <n v="3"/>
    <n v="102700"/>
    <n v="63.823791147929697"/>
  </r>
  <r>
    <s v="STC US Equity"/>
    <s v="STEWART INFO SVC"/>
    <s v="Financials"/>
    <s v="Financial Services"/>
    <x v="35"/>
    <s v="UNITED STATES"/>
    <n v="1.98"/>
    <n v="3"/>
    <n v="0"/>
    <n v="55.961677949678915"/>
  </r>
  <r>
    <s v="STE US Equity"/>
    <s v="STERIS PLC"/>
    <s v="Health Care"/>
    <s v="Health Care"/>
    <x v="9"/>
    <s v="UNITED STATES"/>
    <n v="25.47"/>
    <n v="4"/>
    <n v="0"/>
    <n v="36.849781735524836"/>
  </r>
  <r>
    <s v="STEL US Equity"/>
    <s v="STELLAR BANCORP"/>
    <s v="Financials"/>
    <s v="Banking"/>
    <x v="26"/>
    <s v="UNITED STATES"/>
    <n v="1.67"/>
    <n v="3.4"/>
    <n v="0"/>
    <n v="83.818852291527421"/>
  </r>
  <r>
    <s v="STEP US Equity"/>
    <s v="STEPSTONE GROU-A"/>
    <s v="Financials"/>
    <s v="Financial Services"/>
    <x v="24"/>
    <s v="UNITED STATES"/>
    <n v="8.67"/>
    <n v="4.43"/>
    <n v="0"/>
    <n v="31.970662498893631"/>
  </r>
  <r>
    <s v="STGW US Equity"/>
    <s v="STAGWELL INC"/>
    <s v="Communications"/>
    <s v="Media"/>
    <x v="53"/>
    <s v="UNITED STATES"/>
    <n v="1.67"/>
    <n v="4.5"/>
    <n v="0"/>
    <n v="44.190323152008922"/>
  </r>
  <r>
    <s v="STIM US Equity"/>
    <s v="NEURONETICS INC"/>
    <s v="Health Care"/>
    <s v="Health Care"/>
    <x v="31"/>
    <s v="UNITED STATES"/>
    <n v="0.15"/>
    <n v="4.67"/>
    <n v="0"/>
    <n v="50.615461773632951"/>
  </r>
  <r>
    <s v="STKL US Equity"/>
    <s v="SUNOPTA INC"/>
    <s v="Consumer Staples"/>
    <s v="Consumer Staple Products"/>
    <x v="42"/>
    <s v="UNITED STATES"/>
    <n v="0.57999999999999996"/>
    <n v="5"/>
    <n v="72600"/>
    <n v="84.48540855477745"/>
  </r>
  <r>
    <s v="STLA US Equity"/>
    <s v="STELLANTIS NV"/>
    <s v="Consumer Discretionary"/>
    <s v="Consumer Discretionary Products"/>
    <x v="8"/>
    <s v="NETHERLANDS"/>
    <n v="28.28"/>
    <n v="3.46"/>
    <n v="0"/>
    <n v="26.62505469269577"/>
  </r>
  <r>
    <s v="STLD US Equity"/>
    <s v="STEEL DYNAMICS"/>
    <s v="Materials"/>
    <s v="Materials"/>
    <x v="56"/>
    <s v="UNITED STATES"/>
    <n v="26.48"/>
    <n v="4.17"/>
    <n v="0"/>
    <n v="70.598436521455668"/>
  </r>
  <r>
    <s v="STM US Equity"/>
    <s v="STMICROELECTR-NY"/>
    <s v="Technology"/>
    <s v="Tech Hardware &amp; Semiconductors"/>
    <x v="17"/>
    <s v="SWITZERLAND"/>
    <n v="26.47"/>
    <n v="3.6"/>
    <n v="0"/>
    <n v="74.066290392848416"/>
  </r>
  <r>
    <s v="STN US Equity"/>
    <s v="STANTEC INC"/>
    <s v="Industrials"/>
    <s v="Industrial Services"/>
    <x v="27"/>
    <s v="CANADA"/>
    <n v="11.46"/>
    <n v="4.82"/>
    <n v="1548946"/>
    <n v="47.653006544882636"/>
  </r>
  <r>
    <s v="STNE US Equity"/>
    <s v="STONECO LTD-A"/>
    <s v="Financials"/>
    <s v="Financial Services"/>
    <x v="35"/>
    <s v="BRAZIL"/>
    <n v="4.34"/>
    <n v="4.07"/>
    <n v="0"/>
    <n v="63.581471541064005"/>
  </r>
  <r>
    <s v="STNG US Equity"/>
    <s v="SCORPIO TANKERS"/>
    <s v="Industrials"/>
    <s v="Industrial Services"/>
    <x v="12"/>
    <s v="MONACO"/>
    <n v="3.03"/>
    <n v="4.67"/>
    <n v="0"/>
    <n v="76.352762019393296"/>
  </r>
  <r>
    <s v="STOK US Equity"/>
    <s v="STOKE THERAPEUTI"/>
    <s v="Health Care"/>
    <s v="Health Care"/>
    <x v="25"/>
    <s v="UNITED STATES"/>
    <n v="1.68"/>
    <n v="5"/>
    <n v="0"/>
    <n v="53.841368433529681"/>
  </r>
  <r>
    <s v="STRA US Equity"/>
    <s v="STRATEGIC EDUCAT"/>
    <s v="Consumer Discretionary"/>
    <s v="Consumer Discretionary Services"/>
    <x v="41"/>
    <s v="UNITED STATES"/>
    <n v="2.0099999999999998"/>
    <n v="5"/>
    <n v="162678"/>
    <n v="36.274913490784165"/>
  </r>
  <r>
    <s v="STRL US Equity"/>
    <s v="STERLING INFRAST"/>
    <s v="Industrials"/>
    <s v="Industrial Services"/>
    <x v="27"/>
    <s v="UNITED STATES"/>
    <n v="10.79"/>
    <n v="5"/>
    <n v="0"/>
    <n v="70.352988766616278"/>
  </r>
  <r>
    <s v="STRR US Equity"/>
    <s v="STAR EQUITY HOLD"/>
    <s v="Industrials"/>
    <s v="Industrial Services"/>
    <x v="15"/>
    <s v="UNITED STATES"/>
    <n v="0.03"/>
    <n v="5"/>
    <n v="4018896"/>
    <n v="40.298836915837533"/>
  </r>
  <r>
    <s v="STRS US Equity"/>
    <s v="STRATUS PROP"/>
    <s v="Real Estate"/>
    <s v="Real Estate"/>
    <x v="39"/>
    <s v="UNITED STATES"/>
    <n v="0.21"/>
    <n v="0"/>
    <n v="0"/>
    <n v="66.809205349262584"/>
  </r>
  <r>
    <s v="STRT US Equity"/>
    <s v="STRATTEC SEC"/>
    <s v="Consumer Discretionary"/>
    <s v="Consumer Discretionary Products"/>
    <x v="8"/>
    <s v="UNITED STATES"/>
    <n v="0.33"/>
    <n v="5"/>
    <n v="0"/>
    <n v="63.321958284613416"/>
  </r>
  <r>
    <s v="STT US Equity"/>
    <s v="STATE ST CORP"/>
    <s v="Financials"/>
    <s v="Financial Services"/>
    <x v="49"/>
    <s v="UNITED STATES"/>
    <n v="35.22"/>
    <n v="3.95"/>
    <n v="0"/>
    <n v="52.93499335646095"/>
  </r>
  <r>
    <s v="STTK US Equity"/>
    <s v="SHATTUCK LABS IN"/>
    <s v="Health Care"/>
    <s v="Health Care"/>
    <x v="25"/>
    <s v="UNITED STATES"/>
    <n v="0.26"/>
    <n v="4.33"/>
    <n v="0"/>
    <n v="54.398678944600235"/>
  </r>
  <r>
    <s v="STUB US Equity"/>
    <s v="STUBHUB HOLDIN-A"/>
    <s v="Communications"/>
    <s v="Media"/>
    <x v="13"/>
    <s v="UNITED STATES"/>
    <n v="5.08"/>
    <n v="4.08"/>
    <n v="0"/>
    <n v="31.562991130729728"/>
  </r>
  <r>
    <s v="STVN US Equity"/>
    <s v="STEVANATO GROUP"/>
    <s v="Health Care"/>
    <s v="Health Care"/>
    <x v="9"/>
    <s v="ITALY"/>
    <n v="5.23"/>
    <n v="4.3600000000000003"/>
    <n v="0"/>
    <n v="37.294674193003452"/>
  </r>
  <r>
    <s v="STX US Equity"/>
    <s v="SEAGATE TECHNOLO"/>
    <s v="Technology"/>
    <s v="Tech Hardware &amp; Semiconductors"/>
    <x v="16"/>
    <s v="UNITED STATES"/>
    <n v="73.91"/>
    <n v="4.4800000000000004"/>
    <n v="0"/>
    <n v="57.77973477531139"/>
  </r>
  <r>
    <s v="STZ US Equity"/>
    <s v="CONSTELLATION-A"/>
    <s v="Consumer Staples"/>
    <s v="Consumer Staple Products"/>
    <x v="11"/>
    <s v="UNITED STATES"/>
    <n v="27.53"/>
    <n v="3.89"/>
    <n v="0"/>
    <n v="60.417417731375323"/>
  </r>
  <r>
    <s v="SU CT Equity"/>
    <s v="SUNCOR ENERGY"/>
    <s v="Energy"/>
    <s v="Oil &amp; Gas"/>
    <x v="20"/>
    <s v="CANADA"/>
    <n v="60.82"/>
    <n v="4.26"/>
    <n v="649504"/>
    <n v="78.587700335181395"/>
  </r>
  <r>
    <s v="SU FP Equity"/>
    <s v="SCHNEIDER ELECTR"/>
    <s v="Industrials"/>
    <s v="Industrial Products"/>
    <x v="4"/>
    <s v="FRANCE"/>
    <n v="157.81"/>
    <n v="4.45"/>
    <n v="136726"/>
    <n v="78.456199567256689"/>
  </r>
  <r>
    <s v="SU US Equity"/>
    <s v="SUNCOR ENERGY"/>
    <s v="Energy"/>
    <s v="Oil &amp; Gas"/>
    <x v="20"/>
    <s v="CANADA"/>
    <n v="60.96"/>
    <n v="4.26"/>
    <n v="650933"/>
    <n v="79.628872975920203"/>
  </r>
  <r>
    <s v="SUBC NO Equity"/>
    <s v="SUBSEA 7 SA"/>
    <s v="Energy"/>
    <s v="Oil &amp; Gas"/>
    <x v="30"/>
    <s v="BRITAIN"/>
    <n v="7.23"/>
    <n v="4.3"/>
    <n v="0"/>
    <n v="74.261877740731038"/>
  </r>
  <r>
    <s v="SUN US Equity"/>
    <s v="SUNOCO LP"/>
    <s v="Energy"/>
    <s v="Oil &amp; Gas"/>
    <x v="20"/>
    <s v="UNITED STATES"/>
    <n v="11.66"/>
    <n v="5"/>
    <n v="228000"/>
    <n v="72.302447368534445"/>
  </r>
  <r>
    <s v="SUNC US Equity"/>
    <s v="SUNOCOCORP LLC"/>
    <s v="Energy"/>
    <s v="Oil &amp; Gas"/>
    <x v="20"/>
    <s v="UNITED STATES"/>
    <n v="2.78"/>
    <n v="5"/>
    <n v="323940"/>
    <n v="70.185167615884865"/>
  </r>
  <r>
    <s v="SUPN US Equity"/>
    <s v="SUPERNUS PHARMAC"/>
    <s v="Health Care"/>
    <s v="Health Care"/>
    <x v="25"/>
    <s v="UNITED STATES"/>
    <n v="2.77"/>
    <n v="4.67"/>
    <n v="0"/>
    <n v="60.400883543024747"/>
  </r>
  <r>
    <s v="SUPV US Equity"/>
    <s v="GRUPO SV-SP ADR"/>
    <s v="Financials"/>
    <s v="Banking"/>
    <x v="26"/>
    <s v="ARGENTINA"/>
    <n v="1.04"/>
    <n v="4"/>
    <n v="0"/>
    <n v="51.604707218294458"/>
  </r>
  <r>
    <s v="SUPX US Equity"/>
    <s v="SUPERX AI TECHNO"/>
    <s v="Financials"/>
    <s v="Financial Services"/>
    <x v="24"/>
    <s v="SINGAPORE"/>
    <n v="0.28999999999999998"/>
    <n v="0"/>
    <n v="0"/>
    <n v="49.985370048368132"/>
  </r>
  <r>
    <s v="SUZ US Equity"/>
    <s v="SUZANO SA-SP ADR"/>
    <s v="Materials"/>
    <s v="Materials"/>
    <x v="58"/>
    <s v="BRAZIL"/>
    <n v="12.45"/>
    <n v="5"/>
    <n v="0"/>
    <n v="80.977160234622943"/>
  </r>
  <r>
    <s v="SVFFX US Equity"/>
    <s v="SMEAD-VALUE-INS"/>
    <s v="Financials"/>
    <s v="Financial Services"/>
    <x v="24"/>
    <s v="UNITED STATES"/>
    <n v="0"/>
    <n v="0"/>
    <n v="0"/>
    <n v="67.372220107037052"/>
  </r>
  <r>
    <s v="SVM US Equity"/>
    <s v="SILVERCORP METAL"/>
    <s v="Materials"/>
    <s v="Materials"/>
    <x v="22"/>
    <s v="CANADA"/>
    <n v="2.85"/>
    <n v="4.67"/>
    <n v="0"/>
    <n v="57.415477863467096"/>
  </r>
  <r>
    <s v="SVRA US Equity"/>
    <s v="SAVARA INC"/>
    <s v="Health Care"/>
    <s v="Health Care"/>
    <x v="25"/>
    <s v="UNITED STATES"/>
    <n v="1.22"/>
    <n v="4.88"/>
    <n v="0"/>
    <n v="42.927645800027257"/>
  </r>
  <r>
    <s v="SVV US Equity"/>
    <s v="SAVERS VALUE VIL"/>
    <s v="Consumer Discretionary"/>
    <s v="Retail &amp; Whsle - Discretionary"/>
    <x v="10"/>
    <s v="UNITED STATES"/>
    <n v="1.64"/>
    <n v="4.4000000000000004"/>
    <n v="0"/>
    <n v="59.960880353076526"/>
  </r>
  <r>
    <s v="SVXFX US Equity"/>
    <s v="SMEAD-INT VA-I1"/>
    <s v="Financials"/>
    <s v="Financial Services"/>
    <x v="24"/>
    <s v="UNITED STATES"/>
    <n v="0"/>
    <n v="0"/>
    <n v="0"/>
    <n v="67.780793757180334"/>
  </r>
  <r>
    <s v="SW US Equity"/>
    <s v="SMURFIT WESTROCK"/>
    <s v="Materials"/>
    <s v="Materials"/>
    <x v="46"/>
    <s v="IRELAND"/>
    <n v="22.88"/>
    <n v="4.8899999999999997"/>
    <n v="0"/>
    <n v="74.946101628440076"/>
  </r>
  <r>
    <s v="SWAG US Equity"/>
    <s v="STRAN &amp; CO INC"/>
    <s v="Communications"/>
    <s v="Media"/>
    <x v="53"/>
    <s v="UNITED STATES"/>
    <n v="0.04"/>
    <n v="0"/>
    <n v="0"/>
    <n v="44.613810798229622"/>
  </r>
  <r>
    <s v="SWBI US Equity"/>
    <s v="SMITH &amp; WESSON B"/>
    <s v="Consumer Discretionary"/>
    <s v="Consumer Discretionary Products"/>
    <x v="55"/>
    <s v="UNITED STATES"/>
    <n v="0.47"/>
    <n v="5"/>
    <n v="0"/>
    <n v="70.038009126712268"/>
  </r>
  <r>
    <s v="SWIM US Equity"/>
    <s v="LATHAM GROUP INC"/>
    <s v="Industrials"/>
    <s v="Industrial Services"/>
    <x v="27"/>
    <s v="UNITED STATES"/>
    <n v="0.79"/>
    <n v="3.75"/>
    <n v="33950"/>
    <n v="53.226586348026736"/>
  </r>
  <r>
    <s v="SWK US Equity"/>
    <s v="STANLEY BLACK &amp;"/>
    <s v="Industrials"/>
    <s v="Industrial Products"/>
    <x v="3"/>
    <s v="UNITED STATES"/>
    <n v="12.77"/>
    <n v="3.63"/>
    <n v="0"/>
    <n v="70.982406372043869"/>
  </r>
  <r>
    <s v="SWKH US Equity"/>
    <s v="SWK HOLDINGS"/>
    <s v="Financials"/>
    <s v="Financial Services"/>
    <x v="35"/>
    <s v="UNITED STATES"/>
    <n v="0.21"/>
    <n v="3"/>
    <n v="0"/>
    <n v="44.124917117809382"/>
  </r>
  <r>
    <s v="SWKS US Equity"/>
    <s v="SKYWORKS SOLUTIO"/>
    <s v="Technology"/>
    <s v="Tech Hardware &amp; Semiconductors"/>
    <x v="17"/>
    <s v="UNITED STATES"/>
    <n v="8.77"/>
    <n v="3.29"/>
    <n v="0"/>
    <n v="60.240333360692247"/>
  </r>
  <r>
    <s v="SWX US Equity"/>
    <s v="SOUTHWEST GAS HO"/>
    <s v="Utilities"/>
    <s v="Utilities"/>
    <x v="57"/>
    <s v="UNITED STATES"/>
    <n v="5.98"/>
    <n v="4.75"/>
    <n v="1992"/>
    <n v="65.481706210148261"/>
  </r>
  <r>
    <s v="SXC US Equity"/>
    <s v="SUNCOKE ENERGY I"/>
    <s v="Materials"/>
    <s v="Materials"/>
    <x v="22"/>
    <s v="UNITED STATES"/>
    <n v="0.69"/>
    <n v="4"/>
    <n v="157776"/>
    <n v="59.579791799717931"/>
  </r>
  <r>
    <s v="SXI US Equity"/>
    <s v="STANDEX INTL CO"/>
    <s v="Industrials"/>
    <s v="Industrial Products"/>
    <x v="52"/>
    <s v="UNITED STATES"/>
    <n v="2.93"/>
    <n v="4.8"/>
    <n v="847175"/>
    <n v="64.872977156205934"/>
  </r>
  <r>
    <s v="SXT US Equity"/>
    <s v="SENSIENT TECHNOL"/>
    <s v="Materials"/>
    <s v="Materials"/>
    <x v="21"/>
    <s v="UNITED STATES"/>
    <n v="4.08"/>
    <n v="4"/>
    <n v="304383"/>
    <n v="67.723004096043823"/>
  </r>
  <r>
    <s v="SY US Equity"/>
    <s v="SO-YOUNG INT-ADR"/>
    <s v="Communications"/>
    <s v="Media"/>
    <x v="13"/>
    <s v="CHINA"/>
    <n v="0.39"/>
    <n v="4.67"/>
    <n v="0"/>
    <n v="74.739540928648267"/>
  </r>
  <r>
    <s v="SYBT US Equity"/>
    <s v="STOCK YARDS BANC"/>
    <s v="Financials"/>
    <s v="Banking"/>
    <x v="26"/>
    <s v="UNITED STATES"/>
    <n v="2"/>
    <n v="3"/>
    <n v="142464"/>
    <n v="49.507431678759133"/>
  </r>
  <r>
    <s v="SYF US Equity"/>
    <s v="SYNCHRONY FINANC"/>
    <s v="Financials"/>
    <s v="Financial Services"/>
    <x v="35"/>
    <s v="UNITED STATES"/>
    <n v="27.59"/>
    <n v="4.1900000000000004"/>
    <n v="0"/>
    <n v="38.815611687333899"/>
  </r>
  <r>
    <s v="SYK US Equity"/>
    <s v="STRYKER CORP"/>
    <s v="Health Care"/>
    <s v="Health Care"/>
    <x v="9"/>
    <s v="UNITED STATES"/>
    <n v="135.78"/>
    <n v="4.5199999999999996"/>
    <n v="0"/>
    <n v="53.884164589212325"/>
  </r>
  <r>
    <s v="SYM US Equity"/>
    <s v="SYMBOTIC INC"/>
    <s v="Industrials"/>
    <s v="Industrial Products"/>
    <x v="3"/>
    <s v="UNITED STATES"/>
    <n v="37.229999999999997"/>
    <n v="3.42"/>
    <n v="0"/>
    <n v="46.454364627235719"/>
  </r>
  <r>
    <s v="SYNA US Equity"/>
    <s v="SYNAPTICS INC"/>
    <s v="Technology"/>
    <s v="Tech Hardware &amp; Semiconductors"/>
    <x v="17"/>
    <s v="UNITED STATES"/>
    <n v="3.34"/>
    <n v="4.2699999999999996"/>
    <n v="0"/>
    <n v="60.447962467981952"/>
  </r>
  <r>
    <s v="SYRE US Equity"/>
    <s v="SPYRE THERAPEUTI"/>
    <s v="Health Care"/>
    <s v="Health Care"/>
    <x v="25"/>
    <s v="UNITED STATES"/>
    <n v="2.4900000000000002"/>
    <n v="5"/>
    <n v="0"/>
    <n v="54.905190395914104"/>
  </r>
  <r>
    <s v="SYY US Equity"/>
    <s v="SYSCO CORP"/>
    <s v="Consumer Staples"/>
    <s v="Retail &amp; Wholesale - Staples"/>
    <x v="19"/>
    <s v="UNITED STATES"/>
    <n v="36.49"/>
    <n v="4"/>
    <n v="0"/>
    <n v="77.283997196566162"/>
  </r>
  <r>
    <s v="T US Equity"/>
    <s v="AT&amp;T INC"/>
    <s v="Communications"/>
    <s v="Telecommunications"/>
    <x v="36"/>
    <s v="UNITED STATES"/>
    <n v="167.24"/>
    <n v="4.13"/>
    <n v="0"/>
    <n v="81.397337240478436"/>
  </r>
  <r>
    <s v="TA CT Equity"/>
    <s v="TRANSALTA CORP"/>
    <s v="Utilities"/>
    <s v="Utilities"/>
    <x v="38"/>
    <s v="CANADA"/>
    <n v="3.77"/>
    <n v="4.3600000000000003"/>
    <n v="0"/>
    <n v="54.398166441414098"/>
  </r>
  <r>
    <s v="TAC US Equity"/>
    <s v="TRANSALTA CORP"/>
    <s v="Utilities"/>
    <s v="Utilities"/>
    <x v="38"/>
    <s v="CANADA"/>
    <n v="3.77"/>
    <n v="4.3600000000000003"/>
    <n v="0"/>
    <n v="55.688269861531928"/>
  </r>
  <r>
    <s v="TACH US Equity"/>
    <s v="TITAN ACQUISIT-A"/>
    <s v="Financials"/>
    <s v="Financial Services"/>
    <x v="24"/>
    <s v="UNITED STATES"/>
    <n v="0.36"/>
    <n v="0"/>
    <n v="0"/>
    <n v="53.070845168068885"/>
  </r>
  <r>
    <s v="TAK US Equity"/>
    <s v="TAKEDA PHARM-ADR"/>
    <s v="Health Care"/>
    <s v="Health Care"/>
    <x v="25"/>
    <s v="JAPAN"/>
    <n v="51.83"/>
    <n v="5"/>
    <n v="0"/>
    <n v="78.320737607520897"/>
  </r>
  <r>
    <s v="TAL US Equity"/>
    <s v="TAL EDUCATIO-ADR"/>
    <s v="Consumer Discretionary"/>
    <s v="Consumer Discretionary Services"/>
    <x v="41"/>
    <s v="CHINA"/>
    <n v="6.83"/>
    <n v="4.5599999999999996"/>
    <n v="0"/>
    <n v="52.318915195947717"/>
  </r>
  <r>
    <s v="TALK US Equity"/>
    <s v="TALKSPACE INC"/>
    <s v="Technology"/>
    <s v="Software &amp; Tech Services"/>
    <x v="14"/>
    <s v="UNITED STATES"/>
    <n v="0.67"/>
    <n v="4.75"/>
    <n v="0"/>
    <n v="54.013462728005777"/>
  </r>
  <r>
    <s v="TALO US Equity"/>
    <s v="TALOS ENERGY INC"/>
    <s v="Energy"/>
    <s v="Oil &amp; Gas"/>
    <x v="20"/>
    <s v="UNITED STATES"/>
    <n v="1.95"/>
    <n v="4.43"/>
    <n v="0"/>
    <n v="69.488688257697177"/>
  </r>
  <r>
    <s v="TAP US Equity"/>
    <s v="MOLSON COORS-B"/>
    <s v="Consumer Staples"/>
    <s v="Consumer Staple Products"/>
    <x v="11"/>
    <s v="UNITED STATES"/>
    <n v="9.77"/>
    <n v="3.21"/>
    <n v="480916"/>
    <n v="69.398181040621537"/>
  </r>
  <r>
    <s v="TARA US Equity"/>
    <s v="PROTARA THERAPEU"/>
    <s v="Health Care"/>
    <s v="Health Care"/>
    <x v="25"/>
    <s v="UNITED STATES"/>
    <n v="0.32"/>
    <n v="5"/>
    <n v="0"/>
    <n v="54.478764283711357"/>
  </r>
  <r>
    <s v="TARS US Equity"/>
    <s v="TARSUS PHARMACEU"/>
    <s v="Health Care"/>
    <s v="Health Care"/>
    <x v="25"/>
    <s v="UNITED STATES"/>
    <n v="2.9"/>
    <n v="4.8"/>
    <n v="0"/>
    <n v="38.080111465374266"/>
  </r>
  <r>
    <s v="TASK US Equity"/>
    <s v="TASKUS INC-A"/>
    <s v="Technology"/>
    <s v="Software &amp; Tech Services"/>
    <x v="34"/>
    <s v="UNITED STATES"/>
    <n v="1.02"/>
    <n v="3"/>
    <n v="0"/>
    <n v="32.300952039758499"/>
  </r>
  <r>
    <s v="TATT US Equity"/>
    <s v="TAT TECHNOLOGIES"/>
    <s v="Industrials"/>
    <s v="Industrial Products"/>
    <x v="32"/>
    <s v="ISRAEL"/>
    <n v="0.68"/>
    <n v="5"/>
    <n v="0"/>
    <n v="52.145399120322885"/>
  </r>
  <r>
    <s v="TAVHL TI Equity"/>
    <s v="TAV"/>
    <s v="Industrials"/>
    <s v="Industrial Services"/>
    <x v="12"/>
    <s v="TURKEY"/>
    <n v="2.76"/>
    <n v="5"/>
    <n v="0"/>
    <n v="62.864691230998439"/>
  </r>
  <r>
    <s v="TAYD US Equity"/>
    <s v="TAYLOR DEVICES"/>
    <s v="Industrials"/>
    <s v="Industrial Products"/>
    <x v="3"/>
    <s v="UNITED STATES"/>
    <n v="0.23"/>
    <n v="3"/>
    <n v="0"/>
    <n v="72.20495524272836"/>
  </r>
  <r>
    <s v="TBBB US Equity"/>
    <s v="BBB FOODS INC-A"/>
    <s v="Consumer Staples"/>
    <s v="Retail &amp; Wholesale - Staples"/>
    <x v="33"/>
    <s v="MEXICO"/>
    <n v="3.93"/>
    <n v="4.17"/>
    <n v="0"/>
    <n v="68.423084942576025"/>
  </r>
  <r>
    <s v="TBBK US Equity"/>
    <s v="BANCORP INC/THE"/>
    <s v="Financials"/>
    <s v="Banking"/>
    <x v="26"/>
    <s v="UNITED STATES"/>
    <n v="2.95"/>
    <n v="4"/>
    <n v="645494"/>
    <n v="35.687795313802027"/>
  </r>
  <r>
    <s v="TBLA US Equity"/>
    <s v="TABOOLA.COM LTD"/>
    <s v="Communications"/>
    <s v="Media"/>
    <x v="53"/>
    <s v="ISRAEL"/>
    <n v="1.2"/>
    <n v="4.43"/>
    <n v="0"/>
    <n v="19.730791365675771"/>
  </r>
  <r>
    <s v="TBMC US Equity"/>
    <s v="TRAILBLAZER MERG"/>
    <s v="Financials"/>
    <s v="Financial Services"/>
    <x v="24"/>
    <s v="UNITED STATES"/>
    <n v="0.03"/>
    <n v="0"/>
    <n v="0"/>
    <n v="36.84175483255212"/>
  </r>
  <r>
    <s v="TBPH US Equity"/>
    <s v="THERAVANCE B"/>
    <s v="Health Care"/>
    <s v="Health Care"/>
    <x v="25"/>
    <s v="CAYMAN ISLANDS"/>
    <n v="1.03"/>
    <n v="4.43"/>
    <n v="0"/>
    <n v="49.961950077974024"/>
  </r>
  <r>
    <s v="TBRG US Equity"/>
    <s v="TRUBRIDGE INC"/>
    <s v="Technology"/>
    <s v="Software &amp; Tech Services"/>
    <x v="14"/>
    <s v="UNITED STATES"/>
    <n v="0.31"/>
    <n v="3.67"/>
    <n v="1031000"/>
    <n v="36.111186652966673"/>
  </r>
  <r>
    <s v="TCBI US Equity"/>
    <s v="TEXAS CAPITAL BA"/>
    <s v="Financials"/>
    <s v="Banking"/>
    <x v="26"/>
    <s v="UNITED STATES"/>
    <n v="4.29"/>
    <n v="3.13"/>
    <n v="0"/>
    <n v="59.197988366097746"/>
  </r>
  <r>
    <s v="TCBK US Equity"/>
    <s v="TRICO BANCSHARES"/>
    <s v="Financials"/>
    <s v="Banking"/>
    <x v="26"/>
    <s v="UNITED STATES"/>
    <n v="1.62"/>
    <n v="4"/>
    <n v="0"/>
    <n v="53.098265637552181"/>
  </r>
  <r>
    <s v="TCBS US Equity"/>
    <s v="TEXAS COMMUNITY"/>
    <s v="Financials"/>
    <s v="Banking"/>
    <x v="26"/>
    <s v="UNITED STATES"/>
    <n v="0.05"/>
    <n v="0"/>
    <n v="0"/>
    <n v="51.563099576571211"/>
  </r>
  <r>
    <s v="TCBX US Equity"/>
    <s v="THIRD COAST BANC"/>
    <s v="Financials"/>
    <s v="Banking"/>
    <x v="26"/>
    <s v="UNITED STATES"/>
    <n v="0.56000000000000005"/>
    <n v="3.5"/>
    <n v="58074"/>
    <n v="55.040320299668323"/>
  </r>
  <r>
    <s v="TCI US Equity"/>
    <s v="TRANSCONTL REALT"/>
    <s v="Real Estate"/>
    <s v="Real Estate"/>
    <x v="39"/>
    <s v="UNITED STATES"/>
    <n v="0.46"/>
    <n v="0"/>
    <n v="0"/>
    <n v="49.750586496652609"/>
  </r>
  <r>
    <s v="TCMD US Equity"/>
    <s v="TACTILE SYSTEMS"/>
    <s v="Health Care"/>
    <s v="Health Care"/>
    <x v="9"/>
    <s v="UNITED STATES"/>
    <n v="0.65"/>
    <n v="4.5999999999999996"/>
    <n v="0"/>
    <n v="42.133008700733541"/>
  </r>
  <r>
    <s v="TCNNF US Equity"/>
    <s v="TRULIEVE CANNABI"/>
    <s v="Consumer Staples"/>
    <s v="Consumer Staple Products"/>
    <x v="28"/>
    <s v="UNITED STATES"/>
    <n v="1.64"/>
    <n v="4.78"/>
    <n v="0"/>
    <n v="37.582350617830443"/>
  </r>
  <r>
    <s v="TCOM US Equity"/>
    <s v="TRIP.COM GRO-ADR"/>
    <s v="Communications"/>
    <s v="Media"/>
    <x v="13"/>
    <s v="SINGAPORE"/>
    <n v="43.35"/>
    <n v="4.75"/>
    <n v="0"/>
    <n v="33.68420070584213"/>
  </r>
  <r>
    <s v="TCPC US Equity"/>
    <s v="BLACKROCK TCP CA"/>
    <s v="Financials"/>
    <s v="Financial Services"/>
    <x v="24"/>
    <s v="UNITED STATES"/>
    <n v="0.5"/>
    <n v="2.5"/>
    <n v="0"/>
    <n v="36.303909796914184"/>
  </r>
  <r>
    <s v="TCRT US Equity"/>
    <s v="ALAUNOS THERAPEU"/>
    <s v="Health Care"/>
    <s v="Health Care"/>
    <x v="25"/>
    <s v="UNITED STATES"/>
    <n v="0.01"/>
    <n v="0"/>
    <n v="0"/>
    <n v="43.385330909442423"/>
  </r>
  <r>
    <s v="TD US Equity"/>
    <s v="TORONTO-DOM BANK"/>
    <s v="Financials"/>
    <s v="Banking"/>
    <x v="26"/>
    <s v="CANADA"/>
    <n v="160.69"/>
    <n v="3.71"/>
    <n v="4261784"/>
    <n v="61.221418936222129"/>
  </r>
  <r>
    <s v="TDAY US Equity"/>
    <s v="USA TODAY CO INC"/>
    <s v="Communications"/>
    <s v="Media"/>
    <x v="59"/>
    <s v="UNITED STATES"/>
    <n v="0.86"/>
    <n v="3.6"/>
    <n v="0"/>
    <n v="63.147003843313534"/>
  </r>
  <r>
    <s v="TDC US Equity"/>
    <s v="TERADATA CORP"/>
    <s v="Technology"/>
    <s v="Software &amp; Tech Services"/>
    <x v="14"/>
    <s v="UNITED STATES"/>
    <n v="2.74"/>
    <n v="3.25"/>
    <n v="0"/>
    <n v="76.605655019173113"/>
  </r>
  <r>
    <s v="TDG US Equity"/>
    <s v="TRANSDIGM GROUP"/>
    <s v="Industrials"/>
    <s v="Industrial Products"/>
    <x v="32"/>
    <s v="UNITED STATES"/>
    <n v="80.12"/>
    <n v="4.3600000000000003"/>
    <n v="2773097"/>
    <n v="43.907589893469719"/>
  </r>
  <r>
    <s v="TDOC US Equity"/>
    <s v="TELADOC HEALTH I"/>
    <s v="Health Care"/>
    <s v="Health Care"/>
    <x v="31"/>
    <s v="UNITED STATES"/>
    <n v="1.1200000000000001"/>
    <n v="3.36"/>
    <n v="63300"/>
    <n v="23.639391060774756"/>
  </r>
  <r>
    <s v="TDS US Equity"/>
    <s v="TELEPHONE &amp; DATA"/>
    <s v="Communications"/>
    <s v="Telecommunications"/>
    <x v="36"/>
    <s v="UNITED STATES"/>
    <n v="5.0999999999999996"/>
    <n v="4"/>
    <n v="0"/>
    <n v="66.049139134372624"/>
  </r>
  <r>
    <s v="TDUP US Equity"/>
    <s v="THREDUP- CLASS A"/>
    <s v="Consumer Discretionary"/>
    <s v="Retail &amp; Whsle - Discretionary"/>
    <x v="40"/>
    <s v="UNITED STATES"/>
    <n v="0.65"/>
    <n v="4.67"/>
    <n v="337350"/>
    <n v="34.402867072748123"/>
  </r>
  <r>
    <s v="TDW US Equity"/>
    <s v="TIDEWATER INC"/>
    <s v="Energy"/>
    <s v="Oil &amp; Gas"/>
    <x v="30"/>
    <s v="UNITED STATES"/>
    <n v="2.99"/>
    <n v="3.3"/>
    <n v="0"/>
    <n v="72.080629450494428"/>
  </r>
  <r>
    <s v="TDY US Equity"/>
    <s v="TELEDYNE TECH"/>
    <s v="Technology"/>
    <s v="Tech Hardware &amp; Semiconductors"/>
    <x v="16"/>
    <s v="UNITED STATES"/>
    <n v="28.67"/>
    <n v="4.54"/>
    <n v="0"/>
    <n v="75.105919753621762"/>
  </r>
  <r>
    <s v="TE FP Equity"/>
    <s v="TECHNIP ENERGIES"/>
    <s v="Industrials"/>
    <s v="Industrial Services"/>
    <x v="27"/>
    <s v="FRANCE"/>
    <n v="6.84"/>
    <n v="4.13"/>
    <n v="0"/>
    <n v="54.494874739921059"/>
  </r>
  <r>
    <s v="TE US Equity"/>
    <s v="T1 ENERGY INC"/>
    <s v="Energy"/>
    <s v="Renewable Energy"/>
    <x v="45"/>
    <s v="UNITED STATES"/>
    <n v="2.0499999999999998"/>
    <n v="5"/>
    <n v="0"/>
    <n v="43.63560596679082"/>
  </r>
  <r>
    <s v="TEAM US Equity"/>
    <s v="ATLASSIAN CORP-A"/>
    <s v="Technology"/>
    <s v="Software &amp; Tech Services"/>
    <x v="14"/>
    <s v="AUSTRALIA"/>
    <n v="34.659999999999997"/>
    <n v="4.63"/>
    <n v="812766"/>
    <n v="20.657640612239717"/>
  </r>
  <r>
    <s v="TECH US Equity"/>
    <s v="BIO-TECHNE CORP"/>
    <s v="Health Care"/>
    <s v="Health Care"/>
    <x v="9"/>
    <s v="UNITED STATES"/>
    <n v="10.62"/>
    <n v="4.29"/>
    <n v="0"/>
    <n v="44.500032129331814"/>
  </r>
  <r>
    <s v="TECK US Equity"/>
    <s v="TECK RESOURCES-B"/>
    <s v="Materials"/>
    <s v="Materials"/>
    <x v="22"/>
    <s v="CANADA"/>
    <n v="25.9"/>
    <n v="3.53"/>
    <n v="0"/>
    <n v="64.418652492640973"/>
  </r>
  <r>
    <s v="TECX US Equity"/>
    <s v="TECTONIC THERAPE"/>
    <s v="Health Care"/>
    <s v="Health Care"/>
    <x v="25"/>
    <s v="UNITED STATES"/>
    <n v="0.38"/>
    <n v="5"/>
    <n v="0"/>
    <n v="53.041887392152432"/>
  </r>
  <r>
    <s v="TEL US Equity"/>
    <s v="TE CONNECTIVITY"/>
    <s v="Industrials"/>
    <s v="Industrial Products"/>
    <x v="4"/>
    <s v="IRELAND"/>
    <n v="65.680000000000007"/>
    <n v="4.3"/>
    <n v="0"/>
    <n v="51.665137691867017"/>
  </r>
  <r>
    <s v="TELFY US Equity"/>
    <s v="TELEFONICA-ADR"/>
    <s v="Communications"/>
    <s v="Telecommunications"/>
    <x v="36"/>
    <s v="SPAIN"/>
    <n v="22.4"/>
    <n v="2"/>
    <n v="0"/>
    <n v="69.361271685457766"/>
  </r>
  <r>
    <s v="TEM US Equity"/>
    <s v="TEMPUS AI INC"/>
    <s v="Health Care"/>
    <s v="Health Care"/>
    <x v="9"/>
    <s v="UNITED STATES"/>
    <n v="11.62"/>
    <n v="4"/>
    <n v="0"/>
    <n v="34.912028751728442"/>
  </r>
  <r>
    <s v="TEN US Equity"/>
    <s v="TSAKOS ENERGY NA"/>
    <s v="Industrials"/>
    <s v="Industrial Services"/>
    <x v="12"/>
    <s v="GREECE"/>
    <n v="0.78"/>
    <n v="5"/>
    <n v="0"/>
    <n v="71.031496158804657"/>
  </r>
  <r>
    <s v="TENB US Equity"/>
    <s v="TENABLE HOLDINGS"/>
    <s v="Technology"/>
    <s v="Software &amp; Tech Services"/>
    <x v="14"/>
    <s v="UNITED STATES"/>
    <n v="2.68"/>
    <n v="4.09"/>
    <n v="0"/>
    <n v="51.151173792913482"/>
  </r>
  <r>
    <s v="TEO US Equity"/>
    <s v="TELECOM ARGE-ADR"/>
    <s v="Communications"/>
    <s v="Telecommunications"/>
    <x v="36"/>
    <s v="ARGENTINA"/>
    <n v="5.5"/>
    <n v="4"/>
    <n v="0"/>
    <n v="43.264190259414612"/>
  </r>
  <r>
    <s v="TER US Equity"/>
    <s v="TERADYNE INC"/>
    <s v="Technology"/>
    <s v="Tech Hardware &amp; Semiconductors"/>
    <x v="17"/>
    <s v="UNITED STATES"/>
    <n v="35.89"/>
    <n v="4.1500000000000004"/>
    <n v="0"/>
    <n v="78.205051158786887"/>
  </r>
  <r>
    <s v="TERN US Equity"/>
    <s v="TERNS PHARMACEUT"/>
    <s v="Health Care"/>
    <s v="Health Care"/>
    <x v="25"/>
    <s v="UNITED STATES"/>
    <n v="3.73"/>
    <n v="4.9000000000000004"/>
    <n v="0"/>
    <n v="57.751606638392396"/>
  </r>
  <r>
    <s v="TEVA US Equity"/>
    <s v="TEVA PHARM-ADR"/>
    <s v="Health Care"/>
    <s v="Health Care"/>
    <x v="25"/>
    <s v="ISRAEL"/>
    <n v="36.479999999999997"/>
    <n v="4.54"/>
    <n v="0"/>
    <n v="61.49757210431293"/>
  </r>
  <r>
    <s v="TEX US Equity"/>
    <s v="TEREX CORP"/>
    <s v="Industrials"/>
    <s v="Industrial Products"/>
    <x v="3"/>
    <s v="UNITED STATES"/>
    <n v="3.91"/>
    <n v="3.91"/>
    <n v="126331"/>
    <n v="67.324383359014917"/>
  </r>
  <r>
    <s v="TFC US Equity"/>
    <s v="TRUIST FINANCIAL"/>
    <s v="Financials"/>
    <s v="Banking"/>
    <x v="26"/>
    <s v="UNITED STATES"/>
    <n v="63.41"/>
    <n v="3.72"/>
    <n v="0"/>
    <n v="61.689820229940409"/>
  </r>
  <r>
    <s v="TFII US Equity"/>
    <s v="TFI INTERNATIONA"/>
    <s v="Industrials"/>
    <s v="Industrial Services"/>
    <x v="12"/>
    <s v="CANADA"/>
    <n v="8.9700000000000006"/>
    <n v="4.25"/>
    <n v="872441"/>
    <n v="74.101238756763422"/>
  </r>
  <r>
    <s v="TFIN US Equity"/>
    <s v="TRIUMPH FINANCIA"/>
    <s v="Financials"/>
    <s v="Banking"/>
    <x v="26"/>
    <s v="UNITED STATES"/>
    <n v="1.65"/>
    <n v="3"/>
    <n v="0"/>
    <n v="56.395454431785019"/>
  </r>
  <r>
    <s v="TFPM US Equity"/>
    <s v="TRIPLE FLAG"/>
    <s v="Materials"/>
    <s v="Materials"/>
    <x v="22"/>
    <s v="CANADA"/>
    <n v="7.94"/>
    <n v="4.2699999999999996"/>
    <n v="0"/>
    <n v="56.559063137993149"/>
  </r>
  <r>
    <s v="TFSL US Equity"/>
    <s v="TFS FINANCIAL CO"/>
    <s v="Financials"/>
    <s v="Banking"/>
    <x v="26"/>
    <s v="UNITED STATES"/>
    <n v="3.96"/>
    <n v="3"/>
    <n v="551899"/>
    <n v="60.64264881092916"/>
  </r>
  <r>
    <s v="TFX US Equity"/>
    <s v="TELEFLEX INC"/>
    <s v="Health Care"/>
    <s v="Health Care"/>
    <x v="9"/>
    <s v="UNITED STATES"/>
    <n v="4.57"/>
    <n v="3.14"/>
    <n v="568700"/>
    <n v="47.141025812234275"/>
  </r>
  <r>
    <s v="TGB US Equity"/>
    <s v="TASEKO MINES"/>
    <s v="Materials"/>
    <s v="Materials"/>
    <x v="22"/>
    <s v="CANADA"/>
    <n v="2.75"/>
    <n v="4.75"/>
    <n v="2250850"/>
    <n v="61.35401502245621"/>
  </r>
  <r>
    <s v="TGLS US Equity"/>
    <s v="TECNOGLASS INC"/>
    <s v="Materials"/>
    <s v="Materials"/>
    <x v="48"/>
    <s v="UNITED STATES"/>
    <n v="2.36"/>
    <n v="4.5"/>
    <n v="0"/>
    <n v="55.946837237574201"/>
  </r>
  <r>
    <s v="TGNA US Equity"/>
    <s v="TEGNA INC"/>
    <s v="Communications"/>
    <s v="Media"/>
    <x v="47"/>
    <s v="UNITED STATES"/>
    <n v="3.05"/>
    <n v="3"/>
    <n v="0"/>
    <n v="76.250713538860765"/>
  </r>
  <r>
    <s v="TGS US Equity"/>
    <s v="TRANSPORT GA-ADR"/>
    <s v="Energy"/>
    <s v="Oil &amp; Gas"/>
    <x v="20"/>
    <s v="ARGENTINA"/>
    <n v="4.67"/>
    <n v="4.25"/>
    <n v="0"/>
    <n v="52.098224934694493"/>
  </r>
  <r>
    <s v="TGT US Equity"/>
    <s v="TARGET CORP"/>
    <s v="Consumer Staples"/>
    <s v="Retail &amp; Wholesale - Staples"/>
    <x v="33"/>
    <s v="UNITED STATES"/>
    <n v="48.95"/>
    <n v="3.29"/>
    <n v="0"/>
    <n v="64.606612721182302"/>
  </r>
  <r>
    <s v="TGTX US Equity"/>
    <s v="TG THERAPEUTICS"/>
    <s v="Health Care"/>
    <s v="Health Care"/>
    <x v="25"/>
    <s v="UNITED STATES"/>
    <n v="4.95"/>
    <n v="4.33"/>
    <n v="0"/>
    <n v="43.778234757458854"/>
  </r>
  <r>
    <s v="TH US Equity"/>
    <s v="TARGET HOSPITALI"/>
    <s v="Industrials"/>
    <s v="Industrial Services"/>
    <x v="15"/>
    <s v="UNITED STATES"/>
    <n v="0.74"/>
    <n v="4"/>
    <n v="1995300"/>
    <n v="47.300002144272881"/>
  </r>
  <r>
    <s v="THAR US Equity"/>
    <s v="THARIMMUNE INC"/>
    <s v="Health Care"/>
    <s v="Health Care"/>
    <x v="25"/>
    <s v="UNITED STATES"/>
    <n v="0.12"/>
    <n v="0"/>
    <n v="0"/>
    <n v="56.884946532972407"/>
  </r>
  <r>
    <s v="THC US Equity"/>
    <s v="TENET HEALTHCARE"/>
    <s v="Health Care"/>
    <s v="Health Care"/>
    <x v="31"/>
    <s v="UNITED STATES"/>
    <n v="16.59"/>
    <n v="4.5999999999999996"/>
    <n v="0"/>
    <n v="72.742290980845951"/>
  </r>
  <r>
    <s v="THFF US Equity"/>
    <s v="FIRST FINANCIAL"/>
    <s v="Financials"/>
    <s v="Banking"/>
    <x v="26"/>
    <s v="UNITED STATES"/>
    <n v="0.74"/>
    <n v="3.67"/>
    <n v="145466"/>
    <n v="56.5535511903771"/>
  </r>
  <r>
    <s v="THG US Equity"/>
    <s v="HANOVER INSURANC"/>
    <s v="Financials"/>
    <s v="Insurance"/>
    <x v="23"/>
    <s v="UNITED STATES"/>
    <n v="6.03"/>
    <n v="4.13"/>
    <n v="0"/>
    <n v="45.742793415743392"/>
  </r>
  <r>
    <s v="THH US Equity"/>
    <s v="TRYHARD HOLDINGS"/>
    <s v="Consumer Discretionary"/>
    <s v="Consumer Discretionary Services"/>
    <x v="6"/>
    <s v="JAPAN"/>
    <n v="0.06"/>
    <n v="0"/>
    <n v="0"/>
    <n v="40.379933292191403"/>
  </r>
  <r>
    <s v="THM US Equity"/>
    <s v="INTL TOWER HILL"/>
    <s v="Materials"/>
    <s v="Materials"/>
    <x v="22"/>
    <s v="CANADA"/>
    <n v="0.53"/>
    <n v="0"/>
    <n v="0"/>
    <n v="58.581581519079378"/>
  </r>
  <r>
    <s v="THO US Equity"/>
    <s v="THOR INDUSTRIES"/>
    <s v="Consumer Discretionary"/>
    <s v="Consumer Discretionary Products"/>
    <x v="55"/>
    <s v="UNITED STATES"/>
    <n v="6.04"/>
    <n v="3.33"/>
    <n v="0"/>
    <n v="61.928051646788241"/>
  </r>
  <r>
    <s v="THR US Equity"/>
    <s v="THERMON GROUP HO"/>
    <s v="Industrials"/>
    <s v="Industrial Products"/>
    <x v="3"/>
    <s v="UNITED STATES"/>
    <n v="1.4"/>
    <n v="4.25"/>
    <n v="0"/>
    <n v="81.66676695109183"/>
  </r>
  <r>
    <s v="THRM US Equity"/>
    <s v="GENTHERM INC"/>
    <s v="Consumer Discretionary"/>
    <s v="Consumer Discretionary Products"/>
    <x v="8"/>
    <s v="UNITED STATES"/>
    <n v="1.1200000000000001"/>
    <n v="4"/>
    <n v="0"/>
    <n v="35.824897524269289"/>
  </r>
  <r>
    <s v="THS US Equity"/>
    <s v="TREEHOUSE FOODS"/>
    <s v="Consumer Staples"/>
    <s v="Consumer Staple Products"/>
    <x v="42"/>
    <s v="UNITED STATES"/>
    <n v="1.24"/>
    <n v="3"/>
    <n v="0"/>
    <n v="56.653139545331143"/>
  </r>
  <r>
    <s v="TIC US Equity"/>
    <s v="TIC SOLUTIONS IN"/>
    <s v="Industrials"/>
    <s v="Industrial Services"/>
    <x v="43"/>
    <s v="UNITED STATES"/>
    <n v="2.39"/>
    <n v="4.17"/>
    <n v="0"/>
    <n v="43.796049817073843"/>
  </r>
  <r>
    <s v="TIGO US Equity"/>
    <s v="MILLICOM INTL"/>
    <s v="Communications"/>
    <s v="Telecommunications"/>
    <x v="36"/>
    <s v="LUXEMBOURG"/>
    <n v="10.25"/>
    <n v="3.67"/>
    <n v="0"/>
    <n v="62.564424222617319"/>
  </r>
  <r>
    <s v="TIGR US Equity"/>
    <s v="Up Fintech Holding Ltd "/>
    <s v="Financials"/>
    <s v="Financial Services"/>
    <x v="95"/>
    <s v="CHINA"/>
    <n v="1.61"/>
    <n v="4.62"/>
    <n v="0"/>
    <n v="43.210681415689038"/>
  </r>
  <r>
    <s v="TILE US Equity"/>
    <s v="INTERFACE INC"/>
    <s v="Consumer Discretionary"/>
    <s v="Consumer Discretionary Products"/>
    <x v="50"/>
    <s v="UNITED STATES"/>
    <n v="1.82"/>
    <n v="5"/>
    <n v="0"/>
    <n v="68.525890937559097"/>
  </r>
  <r>
    <s v="TIMB US Equity"/>
    <s v="TIM SA-ADR"/>
    <s v="Communications"/>
    <s v="Telecommunications"/>
    <x v="36"/>
    <s v="BRAZIL"/>
    <n v="11.29"/>
    <n v="3.25"/>
    <n v="0"/>
    <n v="81.271479036966895"/>
  </r>
  <r>
    <s v="TIPT US Equity"/>
    <s v="TIPTREE INC"/>
    <s v="Financials"/>
    <s v="Insurance"/>
    <x v="23"/>
    <s v="UNITED STATES"/>
    <n v="0.66"/>
    <n v="0"/>
    <n v="95260"/>
    <n v="48.960357227494214"/>
  </r>
  <r>
    <s v="TITN US Equity"/>
    <s v="TITAN MACHINERY"/>
    <s v="Industrials"/>
    <s v="Industrial Services"/>
    <x v="43"/>
    <s v="UNITED STATES"/>
    <n v="0.39"/>
    <n v="4"/>
    <n v="0"/>
    <n v="73.358719476510558"/>
  </r>
  <r>
    <s v="TITR IM Equity"/>
    <s v="TELECOM ITAL-RSP"/>
    <s v="Communications"/>
    <s v="Telecommunications"/>
    <x v="36"/>
    <s v="ITALY"/>
    <n v="15.08"/>
    <n v="4.43"/>
    <n v="0"/>
    <n v="73.82710575166756"/>
  </r>
  <r>
    <s v="TJX US Equity"/>
    <s v="TJX COS INC"/>
    <s v="Consumer Discretionary"/>
    <s v="Retail &amp; Whsle - Discretionary"/>
    <x v="10"/>
    <s v="UNITED STATES"/>
    <n v="170.17"/>
    <n v="4.58"/>
    <n v="0"/>
    <n v="43.268885697302281"/>
  </r>
  <r>
    <s v="TK US Equity"/>
    <s v="TEEKAY CORP LTD"/>
    <s v="Industrials"/>
    <s v="Industrial Services"/>
    <x v="12"/>
    <s v="BERMUDA"/>
    <n v="0.82"/>
    <n v="0"/>
    <n v="0"/>
    <n v="76.06410892373367"/>
  </r>
  <r>
    <s v="TKA GY Equity"/>
    <s v="THYSSENKRUPP AG"/>
    <s v="Materials"/>
    <s v="Materials"/>
    <x v="56"/>
    <s v="GERMANY"/>
    <n v="8.3000000000000007"/>
    <n v="3.46"/>
    <n v="0"/>
    <n v="68.06959033966308"/>
  </r>
  <r>
    <s v="TKC US Equity"/>
    <s v="TURKCELL ILE-ADR"/>
    <s v="Communications"/>
    <s v="Telecommunications"/>
    <x v="36"/>
    <s v="TURKEY"/>
    <n v="5.76"/>
    <n v="5"/>
    <n v="0"/>
    <n v="74.780267738169854"/>
  </r>
  <r>
    <s v="TKNO US Equity"/>
    <s v="ALPHA TEKNOVA IN"/>
    <s v="Health Care"/>
    <s v="Health Care"/>
    <x v="25"/>
    <s v="UNITED STATES"/>
    <n v="0.18"/>
    <n v="4.33"/>
    <n v="0"/>
    <n v="17.011587757457036"/>
  </r>
  <r>
    <s v="TKO US Equity"/>
    <s v="TKO GROUP HOLDIN"/>
    <s v="Consumer Discretionary"/>
    <s v="Consumer Discretionary Services"/>
    <x v="6"/>
    <s v="UNITED STATES"/>
    <n v="39.97"/>
    <n v="4.54"/>
    <n v="151633"/>
    <n v="56.189686417617835"/>
  </r>
  <r>
    <s v="TKR US Equity"/>
    <s v="TIMKEN CO"/>
    <s v="Industrials"/>
    <s v="Industrial Products"/>
    <x v="52"/>
    <s v="UNITED STATES"/>
    <n v="6.54"/>
    <n v="3.57"/>
    <n v="0"/>
    <n v="81.253039345458973"/>
  </r>
  <r>
    <s v="TLK US Equity"/>
    <s v="TELEKOMUNIKA-ADR"/>
    <s v="Communications"/>
    <s v="Telecommunications"/>
    <x v="36"/>
    <s v="INDONESIA"/>
    <n v="22.24"/>
    <n v="5"/>
    <n v="0"/>
    <n v="49.958272083568623"/>
  </r>
  <r>
    <s v="TLN US Equity"/>
    <s v="TALEN ENERGY COR"/>
    <s v="Utilities"/>
    <s v="Utilities"/>
    <x v="38"/>
    <s v="UNITED STATES"/>
    <n v="16.739999999999998"/>
    <n v="4.88"/>
    <n v="0"/>
    <n v="48.715094961640254"/>
  </r>
  <r>
    <s v="TLPH US Equity"/>
    <s v="TALPHERA INC"/>
    <s v="Health Care"/>
    <s v="Health Care"/>
    <x v="25"/>
    <s v="UNITED STATES"/>
    <n v="0.05"/>
    <n v="5"/>
    <n v="0"/>
    <n v="29.101954764520414"/>
  </r>
  <r>
    <s v="TLRY US Equity"/>
    <s v="TILRAY BRANDS IN"/>
    <s v="Consumer Staples"/>
    <s v="Consumer Staple Products"/>
    <x v="28"/>
    <s v="CANADA"/>
    <n v="1.05"/>
    <n v="3.55"/>
    <n v="185073"/>
    <n v="40.706338997948222"/>
  </r>
  <r>
    <s v="TLS US Equity"/>
    <s v="TELOS CORP"/>
    <s v="Technology"/>
    <s v="Software &amp; Tech Services"/>
    <x v="34"/>
    <s v="UNITED STATES"/>
    <n v="0.42"/>
    <n v="4"/>
    <n v="0"/>
    <n v="32.014418802695445"/>
  </r>
  <r>
    <s v="TLSI US Equity"/>
    <s v="TRISALUS LIFE SC"/>
    <s v="Health Care"/>
    <s v="Health Care"/>
    <x v="25"/>
    <s v="UNITED STATES"/>
    <n v="0.27"/>
    <n v="5"/>
    <n v="0"/>
    <n v="37.94555208172924"/>
  </r>
  <r>
    <s v="TLT US Equity"/>
    <s v="ISHARES 20+YR TR"/>
    <s v="Financials"/>
    <s v="Financial Services"/>
    <x v="24"/>
    <s v="UNITED STATES"/>
    <n v="45.41"/>
    <n v="0"/>
    <n v="0"/>
    <n v="56.124064801157374"/>
  </r>
  <r>
    <s v="TLX US Equity"/>
    <s v="TELIX PHARMACEUT"/>
    <s v="Health Care"/>
    <s v="Health Care"/>
    <x v="25"/>
    <s v="AUSTRALIA"/>
    <n v="2.58"/>
    <n v="5"/>
    <n v="0"/>
    <n v="38.185983079954596"/>
  </r>
  <r>
    <s v="TM US Equity"/>
    <s v="TOYOTA MOTOR-ADR"/>
    <s v="Consumer Discretionary"/>
    <s v="Consumer Discretionary Products"/>
    <x v="8"/>
    <s v="JAPAN"/>
    <n v="357.41"/>
    <n v="3.8"/>
    <n v="0"/>
    <n v="63.952364250644678"/>
  </r>
  <r>
    <s v="TMC US Equity"/>
    <s v="TMC THE METALS C"/>
    <s v="Materials"/>
    <s v="Materials"/>
    <x v="22"/>
    <s v="CANADA"/>
    <n v="3.9"/>
    <n v="4.8"/>
    <n v="0"/>
    <n v="45.626844965830159"/>
  </r>
  <r>
    <s v="TMDX US Equity"/>
    <s v="TRANSMEDICS GROU"/>
    <s v="Health Care"/>
    <s v="Health Care"/>
    <x v="9"/>
    <s v="UNITED STATES"/>
    <n v="4.62"/>
    <n v="4.54"/>
    <n v="3470445"/>
    <n v="47.895540351404051"/>
  </r>
  <r>
    <s v="TME US Equity"/>
    <s v="TENCENT MUSI-ADR"/>
    <s v="Communications"/>
    <s v="Media"/>
    <x v="13"/>
    <s v="CHINA"/>
    <n v="26.02"/>
    <n v="4.7300000000000004"/>
    <n v="0"/>
    <n v="50.664319104010893"/>
  </r>
  <r>
    <s v="TMHC US Equity"/>
    <s v="TAYLOR MORRISON"/>
    <s v="Consumer Discretionary"/>
    <s v="Consumer Discretionary Products"/>
    <x v="50"/>
    <s v="UNITED STATES"/>
    <n v="6.08"/>
    <n v="4.3"/>
    <n v="0"/>
    <n v="61.312153731469941"/>
  </r>
  <r>
    <s v="TMO US Equity"/>
    <s v="THERMO FISHER"/>
    <s v="Health Care"/>
    <s v="Health Care"/>
    <x v="9"/>
    <s v="UNITED STATES"/>
    <n v="235.19"/>
    <n v="4.72"/>
    <n v="0"/>
    <n v="25.521471839058094"/>
  </r>
  <r>
    <s v="TMP US Equity"/>
    <s v="TOMPKINS FINANCI"/>
    <s v="Financials"/>
    <s v="Banking"/>
    <x v="26"/>
    <s v="UNITED STATES"/>
    <n v="1.0900000000000001"/>
    <n v="4"/>
    <n v="110191"/>
    <n v="69.506422614993085"/>
  </r>
  <r>
    <s v="TMQ US Equity"/>
    <s v="TRILOGY METALS I"/>
    <s v="Materials"/>
    <s v="Materials"/>
    <x v="22"/>
    <s v="CANADA"/>
    <n v="1.06"/>
    <n v="3.86"/>
    <n v="0"/>
    <n v="42.182919830717005"/>
  </r>
  <r>
    <s v="TMUS US Equity"/>
    <s v="T-MOBILE US INC"/>
    <s v="Communications"/>
    <s v="Telecommunications"/>
    <x v="36"/>
    <s v="UNITED STATES"/>
    <n v="208.08"/>
    <n v="4.32"/>
    <n v="1823094"/>
    <n v="66.846598157718077"/>
  </r>
  <r>
    <s v="TNC US Equity"/>
    <s v="TENNANT CO"/>
    <s v="Industrials"/>
    <s v="Industrial Products"/>
    <x v="3"/>
    <s v="UNITED STATES"/>
    <n v="1.41"/>
    <n v="5"/>
    <n v="0"/>
    <n v="62.741132623400865"/>
  </r>
  <r>
    <s v="TNDM US Equity"/>
    <s v="TANDEM DIABETES"/>
    <s v="Health Care"/>
    <s v="Health Care"/>
    <x v="9"/>
    <s v="UNITED STATES"/>
    <n v="1.35"/>
    <n v="3.62"/>
    <n v="472028"/>
    <n v="45.734810586375019"/>
  </r>
  <r>
    <s v="TNET US Equity"/>
    <s v="TRINET GROUP INC"/>
    <s v="Industrials"/>
    <s v="Industrial Services"/>
    <x v="15"/>
    <s v="UNITED STATES"/>
    <n v="3.01"/>
    <n v="3.5"/>
    <n v="0"/>
    <n v="23.789307325736132"/>
  </r>
  <r>
    <s v="TNGX US Equity"/>
    <s v="TANGO THERAPEUTI"/>
    <s v="Health Care"/>
    <s v="Health Care"/>
    <x v="25"/>
    <s v="UNITED STATES"/>
    <n v="1.58"/>
    <n v="4.8"/>
    <n v="0"/>
    <n v="59.218153927115459"/>
  </r>
  <r>
    <s v="TNK US Equity"/>
    <s v="TEEKAY TANK-CL A"/>
    <s v="Industrials"/>
    <s v="Industrial Services"/>
    <x v="12"/>
    <s v="CANADA"/>
    <n v="2.13"/>
    <n v="4.33"/>
    <n v="0"/>
    <n v="78.616379944045107"/>
  </r>
  <r>
    <s v="TNL US Equity"/>
    <s v="TRAVEL + LEISURE"/>
    <s v="Consumer Discretionary"/>
    <s v="Consumer Discretionary Services"/>
    <x v="6"/>
    <s v="UNITED STATES"/>
    <n v="4.49"/>
    <n v="4.5"/>
    <n v="104745"/>
    <n v="52.533680672287232"/>
  </r>
  <r>
    <s v="TOI US Equity"/>
    <s v="ONCOLOGY INSTITU"/>
    <s v="Health Care"/>
    <s v="Health Care"/>
    <x v="31"/>
    <s v="UNITED STATES"/>
    <n v="0.33"/>
    <n v="5"/>
    <n v="0"/>
    <n v="35.276184984187068"/>
  </r>
  <r>
    <s v="TOL US Equity"/>
    <s v="TOLL BROTHERS"/>
    <s v="Consumer Discretionary"/>
    <s v="Consumer Discretionary Products"/>
    <x v="50"/>
    <s v="UNITED STATES"/>
    <n v="13.77"/>
    <n v="3.95"/>
    <n v="9855"/>
    <n v="73.278318425282009"/>
  </r>
  <r>
    <s v="TORO US Equity"/>
    <s v="TORO CORP"/>
    <s v="Industrials"/>
    <s v="Industrial Services"/>
    <x v="12"/>
    <s v="CYPRUS"/>
    <n v="0.08"/>
    <n v="0"/>
    <n v="0"/>
    <n v="47.139855134125398"/>
  </r>
  <r>
    <s v="TOST US Equity"/>
    <s v="TOAST INC-A"/>
    <s v="Financials"/>
    <s v="Financial Services"/>
    <x v="35"/>
    <s v="UNITED STATES"/>
    <n v="19.87"/>
    <n v="4.2699999999999996"/>
    <n v="0"/>
    <n v="34.269236848146576"/>
  </r>
  <r>
    <s v="TOU CT Equity"/>
    <s v="TOURMALINE OIL C"/>
    <s v="Energy"/>
    <s v="Oil &amp; Gas"/>
    <x v="20"/>
    <s v="CANADA"/>
    <n v="17.64"/>
    <n v="4.3899999999999997"/>
    <n v="14782198"/>
    <n v="49.856499782872667"/>
  </r>
  <r>
    <s v="TOWN US Equity"/>
    <s v="TOWNE BANK"/>
    <s v="Financials"/>
    <s v="Banking"/>
    <x v="26"/>
    <s v="UNITED STATES"/>
    <n v="3.29"/>
    <n v="4.5"/>
    <n v="816676"/>
    <n v="49.607913237377574"/>
  </r>
  <r>
    <s v="TPB US Equity"/>
    <s v="TURNING POINT BR"/>
    <s v="Consumer Staples"/>
    <s v="Consumer Staple Products"/>
    <x v="28"/>
    <s v="UNITED STATES"/>
    <n v="2.2400000000000002"/>
    <n v="4.67"/>
    <n v="0"/>
    <n v="66.627629974258085"/>
  </r>
  <r>
    <s v="TPC US Equity"/>
    <s v="TUTOR PERINI COR"/>
    <s v="Industrials"/>
    <s v="Industrial Services"/>
    <x v="27"/>
    <s v="UNITED STATES"/>
    <n v="4.01"/>
    <n v="5"/>
    <n v="3420450"/>
    <n v="69.601569301207164"/>
  </r>
  <r>
    <s v="TPCS US Equity"/>
    <s v="TECHPRECISION CO"/>
    <s v="Industrials"/>
    <s v="Industrial Products"/>
    <x v="52"/>
    <s v="UNITED STATES"/>
    <n v="0.05"/>
    <n v="0"/>
    <n v="0"/>
    <n v="46.87920191719887"/>
  </r>
  <r>
    <s v="TPG US Equity"/>
    <s v="TPG INC"/>
    <s v="Financials"/>
    <s v="Financial Services"/>
    <x v="24"/>
    <s v="UNITED STATES"/>
    <n v="23.9"/>
    <n v="4.2300000000000004"/>
    <n v="0"/>
    <n v="26.499579856702226"/>
  </r>
  <r>
    <s v="TPH US Equity"/>
    <s v="TRI POINTE HOMES"/>
    <s v="Consumer Discretionary"/>
    <s v="Consumer Discretionary Products"/>
    <x v="50"/>
    <s v="UNITED STATES"/>
    <n v="2.91"/>
    <n v="3.71"/>
    <n v="0"/>
    <n v="67.920098650383977"/>
  </r>
  <r>
    <s v="TPL US Equity"/>
    <s v="TEXAS PACIFIC LA"/>
    <s v="Energy"/>
    <s v="Oil &amp; Gas"/>
    <x v="20"/>
    <s v="UNITED STATES"/>
    <n v="23.92"/>
    <n v="3.67"/>
    <n v="0"/>
    <n v="79.465181278890213"/>
  </r>
  <r>
    <s v="TPR US Equity"/>
    <s v="TAPESTRY INC"/>
    <s v="Consumer Discretionary"/>
    <s v="Consumer Discretionary Products"/>
    <x v="5"/>
    <s v="UNITED STATES"/>
    <n v="26.61"/>
    <n v="4.18"/>
    <n v="0"/>
    <n v="75.993331606599256"/>
  </r>
  <r>
    <s v="TR US Equity"/>
    <s v="TOOTSIE ROLL IND"/>
    <s v="Consumer Staples"/>
    <s v="Consumer Staple Products"/>
    <x v="42"/>
    <s v="UNITED STATES"/>
    <n v="2.74"/>
    <n v="0"/>
    <n v="0"/>
    <n v="69.427589964184676"/>
  </r>
  <r>
    <s v="TRC US Equity"/>
    <s v="TEJON RANCH CO"/>
    <s v="Consumer Staples"/>
    <s v="Consumer Staple Products"/>
    <x v="42"/>
    <s v="UNITED STATES"/>
    <n v="0.44"/>
    <n v="0"/>
    <n v="0"/>
    <n v="58.887418246038671"/>
  </r>
  <r>
    <s v="TRDA US Equity"/>
    <s v="ENTRADA THERAPEU"/>
    <s v="Health Care"/>
    <s v="Health Care"/>
    <x v="25"/>
    <s v="UNITED STATES"/>
    <n v="0.44"/>
    <n v="5"/>
    <n v="0"/>
    <n v="52.574318612218427"/>
  </r>
  <r>
    <s v="TREE US Equity"/>
    <s v="LENDINGTREE INC"/>
    <s v="Financials"/>
    <s v="Financial Services"/>
    <x v="35"/>
    <s v="UNITED STATES"/>
    <n v="0.85"/>
    <n v="5"/>
    <n v="0"/>
    <n v="31.462886297594821"/>
  </r>
  <r>
    <s v="TREX US Equity"/>
    <s v="TREX CO INC"/>
    <s v="Materials"/>
    <s v="Materials"/>
    <x v="48"/>
    <s v="UNITED STATES"/>
    <n v="4.5599999999999996"/>
    <n v="3.73"/>
    <n v="640760"/>
    <n v="64.379863928562457"/>
  </r>
  <r>
    <s v="TRGP US Equity"/>
    <s v="TARGA RESOURCES"/>
    <s v="Energy"/>
    <s v="Oil &amp; Gas"/>
    <x v="20"/>
    <s v="UNITED STATES"/>
    <n v="41.11"/>
    <n v="4.75"/>
    <n v="0"/>
    <n v="84.00420689251014"/>
  </r>
  <r>
    <s v="TRI US Equity"/>
    <s v="THOMSON REUTERS"/>
    <s v="Industrials"/>
    <s v="Industrial Services"/>
    <x v="15"/>
    <s v="CANADA"/>
    <n v="54.89"/>
    <n v="4.53"/>
    <n v="22829"/>
    <n v="18.594734713649643"/>
  </r>
  <r>
    <s v="TRIN US Equity"/>
    <s v="TRINITY CAPITAL"/>
    <s v="Financials"/>
    <s v="Financial Services"/>
    <x v="24"/>
    <s v="UNITED STATES"/>
    <n v="1.25"/>
    <n v="4.3"/>
    <n v="468458"/>
    <n v="46.3717807033348"/>
  </r>
  <r>
    <s v="TRIP US Equity"/>
    <s v="TRIPADVISOR INC"/>
    <s v="Communications"/>
    <s v="Media"/>
    <x v="13"/>
    <s v="UNITED STATES"/>
    <n v="1.72"/>
    <n v="3.11"/>
    <n v="0"/>
    <n v="32.241252281564968"/>
  </r>
  <r>
    <s v="TRMB US Equity"/>
    <s v="TRIMBLE INC"/>
    <s v="Industrials"/>
    <s v="Industrial Products"/>
    <x v="4"/>
    <s v="UNITED STATES"/>
    <n v="16.940000000000001"/>
    <n v="5"/>
    <n v="0"/>
    <n v="34.304056818366107"/>
  </r>
  <r>
    <s v="TRMD US Equity"/>
    <s v="TORM PLC-A"/>
    <s v="Industrials"/>
    <s v="Industrial Services"/>
    <x v="12"/>
    <s v="BRITAIN"/>
    <n v="2.33"/>
    <n v="4.13"/>
    <n v="0"/>
    <n v="72.412170957325287"/>
  </r>
  <r>
    <s v="TRMK US Equity"/>
    <s v="TRUSTMARK CORP"/>
    <s v="Financials"/>
    <s v="Banking"/>
    <x v="26"/>
    <s v="UNITED STATES"/>
    <n v="2.4500000000000002"/>
    <n v="3.67"/>
    <n v="0"/>
    <n v="60.424044668657274"/>
  </r>
  <r>
    <s v="TRN US Equity"/>
    <s v="TRINITY INDUSTRI"/>
    <s v="Industrials"/>
    <s v="Industrial Products"/>
    <x v="44"/>
    <s v="UNITED STATES"/>
    <n v="2.17"/>
    <n v="3"/>
    <n v="0"/>
    <n v="77.682951936830108"/>
  </r>
  <r>
    <s v="TRNO US Equity"/>
    <s v="TERRENO REALTY C"/>
    <s v="Real Estate"/>
    <s v="Real Estate"/>
    <x v="37"/>
    <s v="UNITED STATES"/>
    <n v="6.46"/>
    <n v="4.0599999999999996"/>
    <n v="0"/>
    <n v="66.812088777425714"/>
  </r>
  <r>
    <s v="TRNS US Equity"/>
    <s v="TRANSCAT INC"/>
    <s v="Industrials"/>
    <s v="Industrial Services"/>
    <x v="43"/>
    <s v="UNITED STATES"/>
    <n v="0.59"/>
    <n v="4.5"/>
    <n v="0"/>
    <n v="73.93358933387033"/>
  </r>
  <r>
    <s v="TRON US Equity"/>
    <s v="TRON INC"/>
    <s v="Consumer Discretionary"/>
    <s v="Consumer Discretionary Products"/>
    <x v="55"/>
    <s v="UNITED STATES"/>
    <n v="0.43"/>
    <n v="0"/>
    <n v="0"/>
    <n v="41.063697165460077"/>
  </r>
  <r>
    <s v="TROO US Equity"/>
    <s v="TROOPS INC"/>
    <s v="Financials"/>
    <s v="Financial Services"/>
    <x v="35"/>
    <s v="HONG KONG"/>
    <n v="0.42"/>
    <n v="0"/>
    <n v="0"/>
    <n v="56.557814569231098"/>
  </r>
  <r>
    <s v="TROW US Equity"/>
    <s v="T ROWE PRICE GRP"/>
    <s v="Financials"/>
    <s v="Financial Services"/>
    <x v="24"/>
    <s v="UNITED STATES"/>
    <n v="23.05"/>
    <n v="2.33"/>
    <n v="0"/>
    <n v="34.563549833355509"/>
  </r>
  <r>
    <s v="TROX US Equity"/>
    <s v="TRONOX HOLDING"/>
    <s v="Materials"/>
    <s v="Materials"/>
    <x v="21"/>
    <s v="UNITED STATES"/>
    <n v="1"/>
    <n v="3.8"/>
    <n v="1394808"/>
    <n v="75.502330101439412"/>
  </r>
  <r>
    <s v="TRP US Equity"/>
    <s v="TC ENERGY CORP"/>
    <s v="Energy"/>
    <s v="Oil &amp; Gas"/>
    <x v="20"/>
    <s v="CANADA"/>
    <n v="58.55"/>
    <n v="3.8"/>
    <n v="2986675"/>
    <n v="72.715148243701464"/>
  </r>
  <r>
    <s v="TRS US Equity"/>
    <s v="TRIMAS CORP"/>
    <s v="Materials"/>
    <s v="Materials"/>
    <x v="46"/>
    <s v="UNITED STATES"/>
    <n v="1.4"/>
    <n v="5"/>
    <n v="73796"/>
    <n v="60.773896658297971"/>
  </r>
  <r>
    <s v="TRST US Equity"/>
    <s v="TRUSTCO BANK NY"/>
    <s v="Financials"/>
    <s v="Banking"/>
    <x v="26"/>
    <s v="UNITED STATES"/>
    <n v="0.77"/>
    <n v="0"/>
    <n v="8578"/>
    <n v="57.27950492512398"/>
  </r>
  <r>
    <s v="TRU US Equity"/>
    <s v="TRANSUNION"/>
    <s v="Financials"/>
    <s v="Financial Services"/>
    <x v="35"/>
    <s v="UNITED STATES"/>
    <n v="16.3"/>
    <n v="4.58"/>
    <n v="0"/>
    <n v="36.914585509532614"/>
  </r>
  <r>
    <s v="TRUP US Equity"/>
    <s v="TRUPANION INC"/>
    <s v="Financials"/>
    <s v="Insurance"/>
    <x v="23"/>
    <s v="UNITED STATES"/>
    <n v="1.42"/>
    <n v="3.57"/>
    <n v="0"/>
    <n v="42.006860802248966"/>
  </r>
  <r>
    <s v="TRV US Equity"/>
    <s v="TRAVELERS COS IN"/>
    <s v="Financials"/>
    <s v="Insurance"/>
    <x v="23"/>
    <s v="UNITED STATES"/>
    <n v="60.4"/>
    <n v="3.41"/>
    <n v="0"/>
    <n v="64.800888626436119"/>
  </r>
  <r>
    <s v="TRVI US Equity"/>
    <s v="TREVI THERAPEUTI"/>
    <s v="Health Care"/>
    <s v="Health Care"/>
    <x v="25"/>
    <s v="UNITED STATES"/>
    <n v="1.28"/>
    <n v="5"/>
    <n v="0"/>
    <n v="48.585205857790918"/>
  </r>
  <r>
    <s v="TS US Equity"/>
    <s v="TENARIS-ADR"/>
    <s v="Materials"/>
    <s v="Materials"/>
    <x v="56"/>
    <s v="LUXEMBOURG"/>
    <n v="23.09"/>
    <n v="4.1399999999999997"/>
    <n v="0"/>
    <n v="75.597486527115819"/>
  </r>
  <r>
    <s v="TSAT US Equity"/>
    <s v="TELESAT CORP"/>
    <s v="Communications"/>
    <s v="Telecommunications"/>
    <x v="36"/>
    <s v="CANADA"/>
    <n v="1.55"/>
    <n v="4.33"/>
    <n v="0"/>
    <n v="43.889351066199339"/>
  </r>
  <r>
    <s v="TSBK US Equity"/>
    <s v="TIMBERLAND BANCP"/>
    <s v="Financials"/>
    <s v="Banking"/>
    <x v="26"/>
    <s v="UNITED STATES"/>
    <n v="0.28999999999999998"/>
    <n v="0"/>
    <n v="0"/>
    <n v="60.401641920523922"/>
  </r>
  <r>
    <s v="TSCO US Equity"/>
    <s v="TRACTOR SUPPLY"/>
    <s v="Consumer Discretionary"/>
    <s v="Retail &amp; Whsle - Discretionary"/>
    <x v="10"/>
    <s v="UNITED STATES"/>
    <n v="28.9"/>
    <n v="4"/>
    <n v="0"/>
    <n v="55.121576790265443"/>
  </r>
  <r>
    <s v="TSEM US Equity"/>
    <s v="TOWER SEMICONDCT"/>
    <s v="Technology"/>
    <s v="Tech Hardware &amp; Semiconductors"/>
    <x v="17"/>
    <s v="ISRAEL"/>
    <n v="14.47"/>
    <n v="3.71"/>
    <n v="0"/>
    <n v="53.540102293721617"/>
  </r>
  <r>
    <s v="TSHA US Equity"/>
    <s v="TAYSHA GENE THER"/>
    <s v="Health Care"/>
    <s v="Health Care"/>
    <x v="25"/>
    <s v="UNITED STATES"/>
    <n v="1.28"/>
    <n v="4.93"/>
    <n v="0"/>
    <n v="47.455607228567281"/>
  </r>
  <r>
    <s v="TSLA US Equity"/>
    <s v="TESLA INC"/>
    <s v="Consumer Discretionary"/>
    <s v="Consumer Discretionary Products"/>
    <x v="8"/>
    <s v="UNITED STATES"/>
    <n v="1493.49"/>
    <n v="3.38"/>
    <n v="1153514792"/>
    <n v="49.331092415335455"/>
  </r>
  <r>
    <s v="TSLX US Equity"/>
    <s v="SIXTH STREET SPE"/>
    <s v="Financials"/>
    <s v="Financial Services"/>
    <x v="24"/>
    <s v="UNITED STATES"/>
    <n v="2.1"/>
    <n v="4.55"/>
    <n v="222000"/>
    <n v="32.688751253550734"/>
  </r>
  <r>
    <s v="TSM US Equity"/>
    <s v="TAIWAN SEMIC-ADR"/>
    <s v="Technology"/>
    <s v="Tech Hardware &amp; Semiconductors"/>
    <x v="17"/>
    <s v="TAIWAN"/>
    <n v="1736.8"/>
    <n v="4.91"/>
    <n v="0"/>
    <n v="71.254820253301986"/>
  </r>
  <r>
    <s v="TSN US Equity"/>
    <s v="TYSON FOODS-A"/>
    <s v="Consumer Staples"/>
    <s v="Consumer Staple Products"/>
    <x v="42"/>
    <s v="UNITED STATES"/>
    <n v="21.77"/>
    <n v="3.63"/>
    <n v="0"/>
    <n v="60.276568741733399"/>
  </r>
  <r>
    <s v="TSNDF US Equity"/>
    <s v="TERRASCEND CORP"/>
    <s v="Consumer Staples"/>
    <s v="Consumer Staple Products"/>
    <x v="28"/>
    <s v="CANADA"/>
    <n v="0.3"/>
    <n v="5"/>
    <n v="0"/>
    <n v="41.342567960971593"/>
  </r>
  <r>
    <s v="TSSI US Equity"/>
    <s v="TSS INC"/>
    <s v="Industrials"/>
    <s v="Industrial Services"/>
    <x v="27"/>
    <s v="UNITED STATES"/>
    <n v="0.32"/>
    <n v="5"/>
    <n v="56000"/>
    <n v="42.708745726030429"/>
  </r>
  <r>
    <s v="TT US Equity"/>
    <s v="TRANE TECHNOLOGI"/>
    <s v="Industrials"/>
    <s v="Industrial Products"/>
    <x v="4"/>
    <s v="IRELAND"/>
    <n v="85.64"/>
    <n v="3.92"/>
    <n v="0"/>
    <n v="79.186987576751932"/>
  </r>
  <r>
    <s v="TTAM US Equity"/>
    <s v="TITAN AMERICA SA"/>
    <s v="Materials"/>
    <s v="Materials"/>
    <x v="48"/>
    <s v="BELGIUM"/>
    <n v="3.27"/>
    <n v="3.57"/>
    <n v="0"/>
    <n v="59.576409780635416"/>
  </r>
  <r>
    <s v="TTAN US Equity"/>
    <s v="SERVICETITAN INC"/>
    <s v="Technology"/>
    <s v="Software &amp; Tech Services"/>
    <x v="14"/>
    <s v="UNITED STATES"/>
    <n v="8.66"/>
    <n v="4.67"/>
    <n v="0"/>
    <n v="23.21991803639699"/>
  </r>
  <r>
    <s v="TTC US Equity"/>
    <s v="TORO CO"/>
    <s v="Industrials"/>
    <s v="Industrial Products"/>
    <x v="3"/>
    <s v="UNITED STATES"/>
    <n v="8.7899999999999991"/>
    <n v="4.2"/>
    <n v="0"/>
    <n v="85.270841854035723"/>
  </r>
  <r>
    <s v="TTD US Equity"/>
    <s v="TRADE DESK INC-A"/>
    <s v="Communications"/>
    <s v="Media"/>
    <x v="53"/>
    <s v="UNITED STATES"/>
    <n v="17.68"/>
    <n v="3.83"/>
    <n v="0"/>
    <n v="28.336588271792593"/>
  </r>
  <r>
    <s v="TTE US Equity"/>
    <s v="TOTALENERGIES SE"/>
    <s v="Energy"/>
    <s v="Oil &amp; Gas"/>
    <x v="20"/>
    <s v="FRANCE"/>
    <n v="152.72"/>
    <n v="4.18"/>
    <n v="69210"/>
    <n v="76.84119298167073"/>
  </r>
  <r>
    <s v="TTEK US Equity"/>
    <s v="TETRA TECH INC"/>
    <s v="Industrials"/>
    <s v="Industrial Services"/>
    <x v="27"/>
    <s v="UNITED STATES"/>
    <n v="9.66"/>
    <n v="4.25"/>
    <n v="0"/>
    <n v="61.904817934856922"/>
  </r>
  <r>
    <s v="TTGT US Equity"/>
    <s v="TECHTARGET INC"/>
    <s v="Communications"/>
    <s v="Media"/>
    <x v="53"/>
    <s v="UNITED STATES"/>
    <n v="0.39"/>
    <n v="5"/>
    <n v="132374"/>
    <n v="46.669955393900196"/>
  </r>
  <r>
    <s v="TTI US Equity"/>
    <s v="TETRA TECHNOLOGI"/>
    <s v="Energy"/>
    <s v="Oil &amp; Gas"/>
    <x v="30"/>
    <s v="UNITED STATES"/>
    <n v="1.51"/>
    <n v="4.4000000000000004"/>
    <n v="0"/>
    <n v="51.833957287274764"/>
  </r>
  <r>
    <s v="TTMI US Equity"/>
    <s v="TTM TECHNOLOGIES"/>
    <s v="Technology"/>
    <s v="Tech Hardware &amp; Semiconductors"/>
    <x v="16"/>
    <s v="UNITED STATES"/>
    <n v="9.82"/>
    <n v="5"/>
    <n v="950200"/>
    <n v="50.499745040795773"/>
  </r>
  <r>
    <s v="TTWO US Equity"/>
    <s v="TAKE-TWO INTERAC"/>
    <s v="Communications"/>
    <s v="Media"/>
    <x v="47"/>
    <s v="UNITED STATES"/>
    <n v="45.41"/>
    <n v="4.7699999999999996"/>
    <n v="0"/>
    <n v="32.57334721843354"/>
  </r>
  <r>
    <s v="TU US Equity"/>
    <s v="TELUS CORP"/>
    <s v="Communications"/>
    <s v="Telecommunications"/>
    <x v="36"/>
    <s v="CANADA"/>
    <n v="21.51"/>
    <n v="3.59"/>
    <n v="4853668"/>
    <n v="65.521352464309103"/>
  </r>
  <r>
    <s v="TUNG CN Equity"/>
    <s v="AMERICAN TUNGSTE"/>
    <s v="Materials"/>
    <s v="Materials"/>
    <x v="22"/>
    <s v="CANADA"/>
    <n v="0.09"/>
    <n v="0"/>
    <n v="0"/>
    <n v="60.80997709384102"/>
  </r>
  <r>
    <s v="TUYA US Equity"/>
    <s v="TUYA INC"/>
    <s v="Technology"/>
    <s v="Software &amp; Tech Services"/>
    <x v="14"/>
    <s v="CHINA"/>
    <n v="1.32"/>
    <n v="5"/>
    <n v="0"/>
    <n v="49.939597042103131"/>
  </r>
  <r>
    <s v="TV US Equity"/>
    <s v="GRUPO TELEV-ADR"/>
    <s v="Communications"/>
    <s v="Media"/>
    <x v="61"/>
    <s v="MEXICO"/>
    <n v="1.68"/>
    <n v="3.73"/>
    <n v="0"/>
    <n v="61.549610556282516"/>
  </r>
  <r>
    <s v="TVA US Equity"/>
    <s v="TEXAS VENTURES-A"/>
    <s v="Financials"/>
    <s v="Financial Services"/>
    <x v="24"/>
    <s v="UNITED STATES"/>
    <n v="0.32"/>
    <n v="0"/>
    <n v="0"/>
    <n v="61.311696030424628"/>
  </r>
  <r>
    <s v="TVAI US Equity"/>
    <s v="THAYER VENTURES"/>
    <s v="Financials"/>
    <s v="Financial Services"/>
    <x v="24"/>
    <s v="UNITED STATES"/>
    <n v="0.21"/>
    <n v="0"/>
    <n v="0"/>
    <n v="57.516904625614394"/>
  </r>
  <r>
    <s v="TVTX US Equity"/>
    <s v="TRAVERE THERAPEU"/>
    <s v="Health Care"/>
    <s v="Health Care"/>
    <x v="25"/>
    <s v="UNITED STATES"/>
    <n v="2.63"/>
    <n v="4.7300000000000004"/>
    <n v="0"/>
    <n v="44.076987192580205"/>
  </r>
  <r>
    <s v="TW US Equity"/>
    <s v="TRADEWEB MARKE-A"/>
    <s v="Financials"/>
    <s v="Financial Services"/>
    <x v="49"/>
    <s v="UNITED STATES"/>
    <n v="22.46"/>
    <n v="3.93"/>
    <n v="0"/>
    <n v="65.429020654687008"/>
  </r>
  <r>
    <s v="TWFG US Equity"/>
    <s v="TWFG INC"/>
    <s v="Financials"/>
    <s v="Insurance"/>
    <x v="23"/>
    <s v="UNITED STATES"/>
    <n v="1.45"/>
    <n v="4.25"/>
    <n v="0"/>
    <n v="21.253500642848849"/>
  </r>
  <r>
    <s v="TWI US Equity"/>
    <s v="TITAN INTL INC"/>
    <s v="Industrials"/>
    <s v="Industrial Products"/>
    <x v="3"/>
    <s v="UNITED STATES"/>
    <n v="0.56999999999999995"/>
    <n v="5"/>
    <n v="31080"/>
    <n v="74.339790267858319"/>
  </r>
  <r>
    <s v="TWLO US Equity"/>
    <s v="TWILIO INC - A"/>
    <s v="Technology"/>
    <s v="Software &amp; Tech Services"/>
    <x v="14"/>
    <s v="UNITED STATES"/>
    <n v="19.45"/>
    <n v="4.13"/>
    <n v="0"/>
    <n v="37.410816578379446"/>
  </r>
  <r>
    <s v="TWST US Equity"/>
    <s v="TWIST BIOSCIENCE"/>
    <s v="Health Care"/>
    <s v="Health Care"/>
    <x v="9"/>
    <s v="UNITED STATES"/>
    <n v="2.63"/>
    <n v="4.8"/>
    <n v="0"/>
    <n v="69.633398556871924"/>
  </r>
  <r>
    <s v="TX US Equity"/>
    <s v="TERNIUM SA-ADR"/>
    <s v="Materials"/>
    <s v="Materials"/>
    <x v="56"/>
    <s v="LUXEMBOURG"/>
    <n v="8.7799999999999994"/>
    <n v="3.77"/>
    <n v="0"/>
    <n v="67.7046194354036"/>
  </r>
  <r>
    <s v="TXG US Equity"/>
    <s v="10X GENOMICS I-A"/>
    <s v="Health Care"/>
    <s v="Health Care"/>
    <x v="9"/>
    <s v="UNITED STATES"/>
    <n v="2.83"/>
    <n v="3.6"/>
    <n v="0"/>
    <n v="47.490912054666673"/>
  </r>
  <r>
    <s v="TXMD US Equity"/>
    <s v="THERAPEUTICSMD"/>
    <s v="Health Care"/>
    <s v="Health Care"/>
    <x v="25"/>
    <s v="UNITED STATES"/>
    <n v="0.03"/>
    <n v="0"/>
    <n v="21924"/>
    <n v="57.236706582159421"/>
  </r>
  <r>
    <s v="TXN US Equity"/>
    <s v="TEXAS INSTRUMENT"/>
    <s v="Technology"/>
    <s v="Tech Hardware &amp; Semiconductors"/>
    <x v="17"/>
    <s v="UNITED STATES"/>
    <n v="175.65"/>
    <n v="3.34"/>
    <n v="0"/>
    <n v="73.765273394151279"/>
  </r>
  <r>
    <s v="TXNM US Equity"/>
    <s v="TXNM ENERGY INC"/>
    <s v="Utilities"/>
    <s v="Utilities"/>
    <x v="38"/>
    <s v="UNITED STATES"/>
    <n v="6.45"/>
    <n v="3.33"/>
    <n v="0"/>
    <n v="72.039005542003309"/>
  </r>
  <r>
    <s v="TXRH US Equity"/>
    <s v="TEXAS ROADHOUS"/>
    <s v="Consumer Discretionary"/>
    <s v="Consumer Discretionary Services"/>
    <x v="6"/>
    <s v="UNITED STATES"/>
    <n v="12.61"/>
    <n v="3.88"/>
    <n v="0"/>
    <n v="49.59674911270502"/>
  </r>
  <r>
    <s v="TXT US Equity"/>
    <s v="TEXTRON INC"/>
    <s v="Industrials"/>
    <s v="Industrial Products"/>
    <x v="32"/>
    <s v="UNITED STATES"/>
    <n v="16.739999999999998"/>
    <n v="3.72"/>
    <n v="0"/>
    <n v="65.62491811699536"/>
  </r>
  <r>
    <s v="TYGO US Equity"/>
    <s v="TIGO ENERGY INC"/>
    <s v="Energy"/>
    <s v="Renewable Energy"/>
    <x v="45"/>
    <s v="UNITED STATES"/>
    <n v="0.25"/>
    <n v="5"/>
    <n v="0"/>
    <n v="56.169289717630157"/>
  </r>
  <r>
    <s v="TYL US Equity"/>
    <s v="TYLER TECHNOLOG"/>
    <s v="Technology"/>
    <s v="Software &amp; Tech Services"/>
    <x v="14"/>
    <s v="UNITED STATES"/>
    <n v="18.71"/>
    <n v="4.43"/>
    <n v="0"/>
    <n v="27.946423479111047"/>
  </r>
  <r>
    <s v="TYRA US Equity"/>
    <s v="TYRA BIOSCIENCES"/>
    <s v="Health Care"/>
    <s v="Health Care"/>
    <x v="25"/>
    <s v="UNITED STATES"/>
    <n v="1.62"/>
    <n v="5"/>
    <n v="0"/>
    <n v="52.899636940409131"/>
  </r>
  <r>
    <s v="U US Equity"/>
    <s v="UNITY SOFTWARE I"/>
    <s v="Technology"/>
    <s v="Software &amp; Tech Services"/>
    <x v="14"/>
    <s v="UNITED STATES"/>
    <n v="18.12"/>
    <n v="4.1900000000000004"/>
    <n v="0"/>
    <n v="26.183103537995208"/>
  </r>
  <r>
    <s v="UA US Equity"/>
    <s v="UNDER ARMO-C"/>
    <s v="Consumer Discretionary"/>
    <s v="Consumer Discretionary Products"/>
    <x v="5"/>
    <s v="UNITED STATES"/>
    <n v="2.69"/>
    <n v="5"/>
    <n v="1254699"/>
    <n v="60.271516260599391"/>
  </r>
  <r>
    <s v="UAA US Equity"/>
    <s v="UNDER ARMOUR-A"/>
    <s v="Consumer Discretionary"/>
    <s v="Consumer Discretionary Products"/>
    <x v="5"/>
    <s v="UNITED STATES"/>
    <n v="2.69"/>
    <n v="3.21"/>
    <n v="635000"/>
    <n v="61.311674353993652"/>
  </r>
  <r>
    <s v="UAL US Equity"/>
    <s v="UNITED AIRLINES"/>
    <s v="Industrials"/>
    <s v="Industrial Services"/>
    <x v="12"/>
    <s v="UNITED STATES"/>
    <n v="35.31"/>
    <n v="4.74"/>
    <n v="0"/>
    <n v="55.156005824796594"/>
  </r>
  <r>
    <s v="UAMY US Equity"/>
    <s v="US ANTIMONY CORP"/>
    <s v="Materials"/>
    <s v="Materials"/>
    <x v="22"/>
    <s v="UNITED STATES"/>
    <n v="1.52"/>
    <n v="5"/>
    <n v="1085000"/>
    <n v="49.652313045921979"/>
  </r>
  <r>
    <s v="UAN US Equity"/>
    <s v="CVR PARTNERS LP"/>
    <s v="Materials"/>
    <s v="Materials"/>
    <x v="21"/>
    <s v="UNITED STATES"/>
    <n v="1.25"/>
    <n v="0"/>
    <n v="0"/>
    <n v="57.0561186457129"/>
  </r>
  <r>
    <s v="UBCP US Equity"/>
    <s v="UNITED BANCRP/OH"/>
    <s v="Financials"/>
    <s v="Banking"/>
    <x v="26"/>
    <s v="UNITED STATES"/>
    <n v="0.08"/>
    <n v="5"/>
    <n v="0"/>
    <n v="53.322552659250803"/>
  </r>
  <r>
    <s v="UBER US Equity"/>
    <s v="UBER TECHNOLOGIE"/>
    <s v="Communications"/>
    <s v="Media"/>
    <x v="13"/>
    <s v="UNITED STATES"/>
    <n v="171.03"/>
    <n v="4.57"/>
    <n v="412"/>
    <n v="26.094521584926014"/>
  </r>
  <r>
    <s v="UBS US Equity"/>
    <s v="UBS GROUP AG"/>
    <s v="Financials"/>
    <s v="Financial Services"/>
    <x v="24"/>
    <s v="SWITZERLAND"/>
    <n v="158.88999999999999"/>
    <n v="3.6"/>
    <n v="95"/>
    <n v="31.810797944183406"/>
  </r>
  <r>
    <s v="UBSI US Equity"/>
    <s v="UNITED BANKSHS"/>
    <s v="Financials"/>
    <s v="Banking"/>
    <x v="26"/>
    <s v="UNITED STATES"/>
    <n v="5.82"/>
    <n v="3.8"/>
    <n v="0"/>
    <n v="64.859331114602568"/>
  </r>
  <r>
    <s v="UCB US Equity"/>
    <s v="UNITED COMMUNITY"/>
    <s v="Financials"/>
    <s v="Banking"/>
    <x v="26"/>
    <s v="UNITED STATES"/>
    <n v="4.12"/>
    <n v="3.86"/>
    <n v="0"/>
    <n v="55.610966838037761"/>
  </r>
  <r>
    <s v="UCTT US Equity"/>
    <s v="ULTRA CLEAN HOLD"/>
    <s v="Technology"/>
    <s v="Tech Hardware &amp; Semiconductors"/>
    <x v="17"/>
    <s v="UNITED STATES"/>
    <n v="1.97"/>
    <n v="5"/>
    <n v="0"/>
    <n v="76.014897720103676"/>
  </r>
  <r>
    <s v="UDMY US Equity"/>
    <s v="UDEMY INC"/>
    <s v="Consumer Discretionary"/>
    <s v="Consumer Discretionary Services"/>
    <x v="41"/>
    <s v="UNITED STATES"/>
    <n v="0.75"/>
    <n v="4"/>
    <n v="0"/>
    <n v="34.317815758369775"/>
  </r>
  <r>
    <s v="UEC US Equity"/>
    <s v="URANIUM ENERGY"/>
    <s v="Materials"/>
    <s v="Materials"/>
    <x v="22"/>
    <s v="CANADA"/>
    <n v="9"/>
    <n v="4.78"/>
    <n v="0"/>
    <n v="47.820118174169011"/>
  </r>
  <r>
    <s v="UFCS US Equity"/>
    <s v="UNITED FIRE GROU"/>
    <s v="Financials"/>
    <s v="Insurance"/>
    <x v="23"/>
    <s v="UNITED STATES"/>
    <n v="0.88"/>
    <n v="4"/>
    <n v="17175"/>
    <n v="66.568391398422676"/>
  </r>
  <r>
    <s v="UFPI US Equity"/>
    <s v="UFP INDUSTRIES I"/>
    <s v="Materials"/>
    <s v="Materials"/>
    <x v="58"/>
    <s v="UNITED STATES"/>
    <n v="6.14"/>
    <n v="3.8"/>
    <n v="0"/>
    <n v="75.846480451893086"/>
  </r>
  <r>
    <s v="UFPT US Equity"/>
    <s v="UFP TECHNOLOGIES"/>
    <s v="Health Care"/>
    <s v="Health Care"/>
    <x v="9"/>
    <s v="UNITED STATES"/>
    <n v="2"/>
    <n v="3.75"/>
    <n v="0"/>
    <n v="59.184503851656054"/>
  </r>
  <r>
    <s v="UGI US Equity"/>
    <s v="UGI CORP"/>
    <s v="Utilities"/>
    <s v="Utilities"/>
    <x v="57"/>
    <s v="UNITED STATES"/>
    <n v="8.35"/>
    <n v="5"/>
    <n v="0"/>
    <n v="47.701688689306764"/>
  </r>
  <r>
    <s v="UGP US Equity"/>
    <s v="ULTRAPAR PA-ADR"/>
    <s v="Energy"/>
    <s v="Oil &amp; Gas"/>
    <x v="20"/>
    <s v="BRAZIL"/>
    <n v="5.16"/>
    <n v="4.1399999999999997"/>
    <n v="0"/>
    <n v="82.478020723613241"/>
  </r>
  <r>
    <s v="UHAL US Equity"/>
    <s v="U-HAUL HOLDING C"/>
    <s v="Industrials"/>
    <s v="Industrial Services"/>
    <x v="43"/>
    <s v="UNITED STATES"/>
    <n v="10.53"/>
    <n v="4"/>
    <n v="0"/>
    <n v="35.885174569671321"/>
  </r>
  <r>
    <s v="UHAL/B US Equity"/>
    <s v="U-HAUL HOLDING C"/>
    <s v="Industrials"/>
    <s v="Industrial Services"/>
    <x v="43"/>
    <s v="UNITED STATES"/>
    <n v="10.53"/>
    <n v="0"/>
    <n v="0"/>
    <n v="36.529788084840902"/>
  </r>
  <r>
    <s v="UHR SW Equity"/>
    <s v="SWATCH GROUP-BR"/>
    <s v="Consumer Discretionary"/>
    <s v="Consumer Discretionary Products"/>
    <x v="5"/>
    <s v="SWITZERLAND"/>
    <n v="11.12"/>
    <n v="2.16"/>
    <n v="0"/>
    <n v="71.921856767245373"/>
  </r>
  <r>
    <s v="UHS US Equity"/>
    <s v="UNIVERSAL HLTH-B"/>
    <s v="Health Care"/>
    <s v="Health Care"/>
    <x v="31"/>
    <s v="UNITED STATES"/>
    <n v="12.81"/>
    <n v="3.73"/>
    <n v="0"/>
    <n v="68.909810620527907"/>
  </r>
  <r>
    <s v="UI US Equity"/>
    <s v="UBIQUITI INC"/>
    <s v="Technology"/>
    <s v="Tech Hardware &amp; Semiconductors"/>
    <x v="16"/>
    <s v="UNITED STATES"/>
    <n v="33.159999999999997"/>
    <n v="3"/>
    <n v="0"/>
    <n v="74.430577331216426"/>
  </r>
  <r>
    <s v="UL US Equity"/>
    <s v="UNILEVER PLC-ADR"/>
    <s v="Consumer Staples"/>
    <s v="Consumer Staple Products"/>
    <x v="62"/>
    <s v="BRITAIN"/>
    <n v="146.11000000000001"/>
    <n v="4.8"/>
    <n v="0"/>
    <n v="76.676919677192714"/>
  </r>
  <r>
    <s v="ULCC US Equity"/>
    <s v="FRONTIER GROUP H"/>
    <s v="Industrials"/>
    <s v="Industrial Services"/>
    <x v="12"/>
    <s v="UNITED STATES"/>
    <n v="1.2"/>
    <n v="3"/>
    <n v="0"/>
    <n v="51.986028745496647"/>
  </r>
  <r>
    <s v="ULH US Equity"/>
    <s v="UNIVERSAL LOGIST"/>
    <s v="Industrials"/>
    <s v="Industrial Services"/>
    <x v="12"/>
    <s v="UNITED STATES"/>
    <n v="0.45"/>
    <n v="3"/>
    <n v="0"/>
    <n v="52.993571988576441"/>
  </r>
  <r>
    <s v="ULS US Equity"/>
    <s v="UL SOLUTIONS I-A"/>
    <s v="Industrials"/>
    <s v="Industrial Services"/>
    <x v="15"/>
    <s v="UNITED STATES"/>
    <n v="14.45"/>
    <n v="4.17"/>
    <n v="0"/>
    <n v="44.834931784981094"/>
  </r>
  <r>
    <s v="ULTA US Equity"/>
    <s v="ULTA BEAUTY INC"/>
    <s v="Consumer Discretionary"/>
    <s v="Retail &amp; Whsle - Discretionary"/>
    <x v="10"/>
    <s v="UNITED STATES"/>
    <n v="30.44"/>
    <n v="4.2"/>
    <n v="0"/>
    <n v="60.663889639669669"/>
  </r>
  <r>
    <s v="UMAC US Equity"/>
    <s v="UNUSUAL MACHINES"/>
    <s v="Industrials"/>
    <s v="Industrial Products"/>
    <x v="32"/>
    <s v="UNITED STATES"/>
    <n v="0.62"/>
    <n v="5"/>
    <n v="0"/>
    <n v="43.385629018840518"/>
  </r>
  <r>
    <s v="UMBF US Equity"/>
    <s v="UMB FINANCIAL"/>
    <s v="Financials"/>
    <s v="Banking"/>
    <x v="26"/>
    <s v="UNITED STATES"/>
    <n v="9.35"/>
    <n v="4.6900000000000004"/>
    <n v="158753"/>
    <n v="66.251237934970845"/>
  </r>
  <r>
    <s v="UMC US Equity"/>
    <s v="UNITED MICRO-ADR"/>
    <s v="Technology"/>
    <s v="Tech Hardware &amp; Semiconductors"/>
    <x v="17"/>
    <s v="TAIWAN"/>
    <n v="26.54"/>
    <n v="2.33"/>
    <n v="0"/>
    <n v="56.122445020350661"/>
  </r>
  <r>
    <s v="UMG NA Equity"/>
    <s v="UNIVERSAL MUSIC"/>
    <s v="Communications"/>
    <s v="Media"/>
    <x v="47"/>
    <s v="NETHERLANDS"/>
    <n v="45.6"/>
    <n v="3.91"/>
    <n v="4600"/>
    <n v="40.364887205489147"/>
  </r>
  <r>
    <s v="UNB US Equity"/>
    <s v="UNION BANKSHARES"/>
    <s v="Financials"/>
    <s v="Banking"/>
    <x v="26"/>
    <s v="UNITED STATES"/>
    <n v="0.11"/>
    <n v="0"/>
    <n v="383"/>
    <n v="47.404692692837585"/>
  </r>
  <r>
    <s v="UNF US Equity"/>
    <s v="UNIFIRST CORP/MA"/>
    <s v="Industrials"/>
    <s v="Industrial Services"/>
    <x v="15"/>
    <s v="UNITED STATES"/>
    <n v="3.76"/>
    <n v="2.6"/>
    <n v="0"/>
    <n v="73.558856071118214"/>
  </r>
  <r>
    <s v="UNFI US Equity"/>
    <s v="UNITED NATURAL"/>
    <s v="Consumer Staples"/>
    <s v="Retail &amp; Wholesale - Staples"/>
    <x v="19"/>
    <s v="UNITED STATES"/>
    <n v="2.15"/>
    <n v="3.5"/>
    <n v="598570"/>
    <n v="63.589066490029211"/>
  </r>
  <r>
    <s v="UNH US Equity"/>
    <s v="UNITEDHEALTH GRP"/>
    <s v="Health Care"/>
    <s v="Health Care"/>
    <x v="31"/>
    <s v="UNITED STATES"/>
    <n v="322.70999999999998"/>
    <n v="4.34"/>
    <n v="0"/>
    <n v="35.654275441293791"/>
  </r>
  <r>
    <s v="UNIT US Equity"/>
    <s v="UNITI GROUP INC"/>
    <s v="Communications"/>
    <s v="Telecommunications"/>
    <x v="36"/>
    <s v="UNITED STATES"/>
    <n v="1.8"/>
    <n v="3"/>
    <n v="0"/>
    <n v="62.284893267288489"/>
  </r>
  <r>
    <s v="UNM US Equity"/>
    <s v="UNUM GROUP"/>
    <s v="Financials"/>
    <s v="Insurance"/>
    <x v="23"/>
    <s v="UNITED STATES"/>
    <n v="12.73"/>
    <n v="4.38"/>
    <n v="0"/>
    <n v="27.988590539728548"/>
  </r>
  <r>
    <s v="UNP US Equity"/>
    <s v="UNION PAC CORP"/>
    <s v="Industrials"/>
    <s v="Industrial Services"/>
    <x v="12"/>
    <s v="UNITED STATES"/>
    <n v="136.22"/>
    <n v="4.25"/>
    <n v="0"/>
    <n v="77.947330760547146"/>
  </r>
  <r>
    <s v="UPB US Equity"/>
    <s v="UPSTREAM BIO INC"/>
    <s v="Health Care"/>
    <s v="Health Care"/>
    <x v="25"/>
    <s v="UNITED STATES"/>
    <n v="1.62"/>
    <n v="5"/>
    <n v="0"/>
    <n v="23.093484139032185"/>
  </r>
  <r>
    <s v="UPBD US Equity"/>
    <s v="UPBOUND GROUP IN"/>
    <s v="Consumer Discretionary"/>
    <s v="Consumer Discretionary Services"/>
    <x v="41"/>
    <s v="UNITED STATES"/>
    <n v="1.1200000000000001"/>
    <n v="4.75"/>
    <n v="85898"/>
    <n v="53.494132032471093"/>
  </r>
  <r>
    <s v="UPS US Equity"/>
    <s v="UNITED PARCEL-B"/>
    <s v="Industrials"/>
    <s v="Industrial Services"/>
    <x v="12"/>
    <s v="UNITED STATES"/>
    <n v="91.61"/>
    <n v="3.56"/>
    <n v="1855312"/>
    <n v="77.682105440447458"/>
  </r>
  <r>
    <s v="UPST US Equity"/>
    <s v="UPSTART HOLDINGS"/>
    <s v="Financials"/>
    <s v="Financial Services"/>
    <x v="35"/>
    <s v="UNITED STATES"/>
    <n v="4.41"/>
    <n v="3.56"/>
    <n v="4529000"/>
    <n v="30.606500967214458"/>
  </r>
  <r>
    <s v="UPWK US Equity"/>
    <s v="UPWORK INC"/>
    <s v="Communications"/>
    <s v="Media"/>
    <x v="13"/>
    <s v="UNITED STATES"/>
    <n v="2.89"/>
    <n v="4.18"/>
    <n v="0"/>
    <n v="29.012999987594654"/>
  </r>
  <r>
    <s v="URA US Equity"/>
    <s v="GLOBAL X URANIUM"/>
    <s v="Financials"/>
    <s v="Financial Services"/>
    <x v="24"/>
    <s v="UNITED STATES"/>
    <n v="7.45"/>
    <n v="0"/>
    <n v="0"/>
    <n v="51.899983587664721"/>
  </r>
  <r>
    <s v="URBN US Equity"/>
    <s v="URBAN OUTFITTER"/>
    <s v="Consumer Discretionary"/>
    <s v="Retail &amp; Whsle - Discretionary"/>
    <x v="10"/>
    <s v="UNITED STATES"/>
    <n v="6.04"/>
    <n v="3.86"/>
    <n v="0"/>
    <n v="45.14754816848739"/>
  </r>
  <r>
    <s v="URG US Equity"/>
    <s v="UR-ENERGY INC"/>
    <s v="Materials"/>
    <s v="Materials"/>
    <x v="22"/>
    <s v="UNITED STATES"/>
    <n v="0.71"/>
    <n v="5"/>
    <n v="1118260"/>
    <n v="48.692323653516688"/>
  </r>
  <r>
    <s v="URGN US Equity"/>
    <s v="UROGEN PHARMA LT"/>
    <s v="Health Care"/>
    <s v="Health Care"/>
    <x v="25"/>
    <s v="UNITED STATES"/>
    <n v="0.94"/>
    <n v="4.75"/>
    <n v="0"/>
    <n v="50.290941944666677"/>
  </r>
  <r>
    <s v="URI US Equity"/>
    <s v="UNITED RENTALS"/>
    <s v="Industrials"/>
    <s v="Industrial Services"/>
    <x v="43"/>
    <s v="UNITED STATES"/>
    <n v="58.48"/>
    <n v="4.25"/>
    <n v="0"/>
    <n v="51.734393383807387"/>
  </r>
  <r>
    <s v="UROY US Equity"/>
    <s v="URANIUM ROYALTY"/>
    <s v="Materials"/>
    <s v="Materials"/>
    <x v="22"/>
    <s v="CANADA"/>
    <n v="0.64"/>
    <n v="3.75"/>
    <n v="0"/>
    <n v="51.193860373378755"/>
  </r>
  <r>
    <s v="USAR US Equity"/>
    <s v="USA RARE EARTH I"/>
    <s v="Materials"/>
    <s v="Materials"/>
    <x v="22"/>
    <s v="UNITED STATES"/>
    <n v="3.49"/>
    <n v="5"/>
    <n v="0"/>
    <n v="52.293518670625403"/>
  </r>
  <r>
    <s v="USAS US Equity"/>
    <s v="AMERICAS GOLD AN"/>
    <s v="Materials"/>
    <s v="Materials"/>
    <x v="22"/>
    <s v="CANADA"/>
    <n v="2.96"/>
    <n v="5"/>
    <n v="0"/>
    <n v="57.434561807946217"/>
  </r>
  <r>
    <s v="USAU US Equity"/>
    <s v="US GOLD CORP"/>
    <s v="Materials"/>
    <s v="Materials"/>
    <x v="22"/>
    <s v="UNITED STATES"/>
    <n v="0.37"/>
    <n v="4.83"/>
    <n v="0"/>
    <n v="42.317642738234667"/>
  </r>
  <r>
    <s v="USB US Equity"/>
    <s v="US BANCORP"/>
    <s v="Financials"/>
    <s v="Banking"/>
    <x v="26"/>
    <s v="UNITED STATES"/>
    <n v="86.22"/>
    <n v="3.96"/>
    <n v="0"/>
    <n v="61.782366514280817"/>
  </r>
  <r>
    <s v="USFD US Equity"/>
    <s v="US FOODS HOLDING"/>
    <s v="Consumer Staples"/>
    <s v="Retail &amp; Wholesale - Staples"/>
    <x v="19"/>
    <s v="UNITED STATES"/>
    <n v="18.12"/>
    <n v="4.6500000000000004"/>
    <n v="0"/>
    <n v="70.897294594464682"/>
  </r>
  <r>
    <s v="USLM US Equity"/>
    <s v="US LIME &amp; MINERA"/>
    <s v="Materials"/>
    <s v="Materials"/>
    <x v="48"/>
    <s v="UNITED STATES"/>
    <n v="3.66"/>
    <n v="5"/>
    <n v="0"/>
    <n v="30.420685451280605"/>
  </r>
  <r>
    <s v="USMV US Equity"/>
    <s v="MSCI USA Min Vol Factor ETF "/>
    <s v="Financials"/>
    <s v="Financial Services"/>
    <x v="96"/>
    <s v="UNITED STATES"/>
    <n v="23.08"/>
    <n v="0"/>
    <n v="0"/>
    <n v="61.211224474693076"/>
  </r>
  <r>
    <s v="USNA US Equity"/>
    <s v="USANA HEALTH SCI"/>
    <s v="Consumer Staples"/>
    <s v="Consumer Staple Products"/>
    <x v="42"/>
    <s v="UNITED STATES"/>
    <n v="0.41"/>
    <n v="0"/>
    <n v="0"/>
    <n v="50.360723903224546"/>
  </r>
  <r>
    <s v="USPH US Equity"/>
    <s v="US PHYSICAL THER"/>
    <s v="Health Care"/>
    <s v="Health Care"/>
    <x v="31"/>
    <s v="UNITED STATES"/>
    <n v="1.3"/>
    <n v="4.25"/>
    <n v="342800"/>
    <n v="62.805078925911104"/>
  </r>
  <r>
    <s v="UTHR US Equity"/>
    <s v="UNITED THERAPEUT"/>
    <s v="Health Care"/>
    <s v="Health Care"/>
    <x v="25"/>
    <s v="UNITED STATES"/>
    <n v="20.190000000000001"/>
    <n v="4.38"/>
    <n v="0"/>
    <n v="48.042530638897418"/>
  </r>
  <r>
    <s v="UTI US Equity"/>
    <s v="UNIVERSAL TECHNI"/>
    <s v="Consumer Discretionary"/>
    <s v="Consumer Discretionary Services"/>
    <x v="41"/>
    <s v="UNITED STATES"/>
    <n v="1.56"/>
    <n v="5"/>
    <n v="283400"/>
    <n v="49.818429944718865"/>
  </r>
  <r>
    <s v="UTL US Equity"/>
    <s v="UNITIL CORP"/>
    <s v="Utilities"/>
    <s v="Utilities"/>
    <x v="38"/>
    <s v="UNITED STATES"/>
    <n v="0.88"/>
    <n v="5"/>
    <n v="0"/>
    <n v="57.626843970469977"/>
  </r>
  <r>
    <s v="UTZ US Equity"/>
    <s v="UTZ BRANDS INC"/>
    <s v="Consumer Staples"/>
    <s v="Consumer Staple Products"/>
    <x v="42"/>
    <s v="UNITED STATES"/>
    <n v="1.49"/>
    <n v="4.2300000000000004"/>
    <n v="583332"/>
    <n v="63.749955001172815"/>
  </r>
  <r>
    <s v="U-U CT Equity"/>
    <s v="SPROTT-PHYS URAN"/>
    <s v="Financials"/>
    <s v="Financial Services"/>
    <x v="24"/>
    <s v="CANADA"/>
    <n v="7.28"/>
    <n v="5"/>
    <n v="0"/>
    <n v="48.761889315024987"/>
  </r>
  <r>
    <s v="UUUU US Equity"/>
    <s v="ENERGY FUELS INC"/>
    <s v="Materials"/>
    <s v="Materials"/>
    <x v="22"/>
    <s v="UNITED STATES"/>
    <n v="6.05"/>
    <n v="4.4400000000000004"/>
    <n v="0"/>
    <n v="52.811025951607114"/>
  </r>
  <r>
    <s v="UVE US Equity"/>
    <s v="UNIVERSAL INSURA"/>
    <s v="Financials"/>
    <s v="Insurance"/>
    <x v="23"/>
    <s v="UNITED STATES"/>
    <n v="0.81"/>
    <n v="5"/>
    <n v="0"/>
    <n v="55.344579484674426"/>
  </r>
  <r>
    <s v="UVIX US Equity"/>
    <s v="2X LG VIX FUTURE"/>
    <s v="Financials"/>
    <s v="Financial Services"/>
    <x v="24"/>
    <s v="UNITED STATES"/>
    <n v="0.33"/>
    <n v="0"/>
    <n v="0"/>
    <n v="46.42142115665547"/>
  </r>
  <r>
    <s v="UVSP US Equity"/>
    <s v="UNIVEST FINANCIA"/>
    <s v="Financials"/>
    <s v="Banking"/>
    <x v="26"/>
    <s v="UNITED STATES"/>
    <n v="0.95"/>
    <n v="3"/>
    <n v="44723"/>
    <n v="57.221049136383996"/>
  </r>
  <r>
    <s v="UVV US Equity"/>
    <s v="UNIVERSAL CORP"/>
    <s v="Consumer Staples"/>
    <s v="Consumer Staple Products"/>
    <x v="28"/>
    <s v="UNITED STATES"/>
    <n v="1.36"/>
    <n v="0"/>
    <n v="0"/>
    <n v="41.331830532070697"/>
  </r>
  <r>
    <s v="UWMC US Equity"/>
    <s v="UWM HOLDINGS COR"/>
    <s v="Financials"/>
    <s v="Financial Services"/>
    <x v="35"/>
    <s v="UNITED STATES"/>
    <n v="9.3800000000000008"/>
    <n v="3.4"/>
    <n v="0"/>
    <n v="38.278987929621138"/>
  </r>
  <r>
    <s v="UXIN US Equity"/>
    <s v="UXIN LTD - ADR"/>
    <s v="Communications"/>
    <s v="Media"/>
    <x v="13"/>
    <s v="CHINA"/>
    <n v="0.72"/>
    <n v="4.5"/>
    <n v="0"/>
    <n v="54.984967424699406"/>
  </r>
  <r>
    <s v="UYSC US Equity"/>
    <s v="UY SCUTI ACQUISI"/>
    <s v="Financials"/>
    <s v="Financial Services"/>
    <x v="24"/>
    <s v="UNITED STATES"/>
    <n v="0.08"/>
    <n v="0"/>
    <n v="0"/>
    <n v="69.63360436490521"/>
  </r>
  <r>
    <s v="V US Equity"/>
    <s v="VISA INC-CLASS A"/>
    <s v="Financials"/>
    <s v="Financial Services"/>
    <x v="35"/>
    <s v="UNITED STATES"/>
    <n v="638.22"/>
    <n v="4.63"/>
    <n v="0"/>
    <n v="47.400298568252303"/>
  </r>
  <r>
    <s v="VABK US Equity"/>
    <s v="VIRGINIA NATIONA"/>
    <s v="Financials"/>
    <s v="Banking"/>
    <x v="26"/>
    <s v="UNITED STATES"/>
    <n v="0.21"/>
    <n v="0"/>
    <n v="0"/>
    <n v="47.273959711589569"/>
  </r>
  <r>
    <s v="VAC US Equity"/>
    <s v="MARRIOTT VACATIO"/>
    <s v="Consumer Discretionary"/>
    <s v="Consumer Discretionary Services"/>
    <x v="6"/>
    <s v="UNITED STATES"/>
    <n v="1.99"/>
    <n v="3.09"/>
    <n v="2827000"/>
    <n v="45.622661924525815"/>
  </r>
  <r>
    <s v="VACH US Equity"/>
    <s v="VOYAGER ACQUISIT"/>
    <s v="Financials"/>
    <s v="Financial Services"/>
    <x v="24"/>
    <s v="UNITED STATES"/>
    <n v="0.34"/>
    <n v="0"/>
    <n v="0"/>
    <n v="75.01211918859461"/>
  </r>
  <r>
    <s v="VAL US Equity"/>
    <s v="VALARIS LTD"/>
    <s v="Energy"/>
    <s v="Oil &amp; Gas"/>
    <x v="30"/>
    <s v="UNITED STATES"/>
    <n v="3.78"/>
    <n v="2.88"/>
    <n v="0"/>
    <n v="79.861135968812903"/>
  </r>
  <r>
    <s v="VALE US Equity"/>
    <s v="VALE SA-SP ADR"/>
    <s v="Materials"/>
    <s v="Materials"/>
    <x v="22"/>
    <s v="BRAZIL"/>
    <n v="73.44"/>
    <n v="4.21"/>
    <n v="0"/>
    <n v="69.475002497762006"/>
  </r>
  <r>
    <s v="VALN US Equity"/>
    <s v="VALNEVA SE - ADR"/>
    <s v="Health Care"/>
    <s v="Health Care"/>
    <x v="25"/>
    <s v="FRANCE"/>
    <n v="0.85"/>
    <n v="4.5999999999999996"/>
    <n v="0"/>
    <n v="53.66638831757983"/>
  </r>
  <r>
    <s v="VC US Equity"/>
    <s v="VISTEON CORP"/>
    <s v="Consumer Discretionary"/>
    <s v="Consumer Discretionary Products"/>
    <x v="8"/>
    <s v="UNITED STATES"/>
    <n v="2.4900000000000002"/>
    <n v="4.1399999999999997"/>
    <n v="0"/>
    <n v="58.424193652058285"/>
  </r>
  <r>
    <s v="VCEL US Equity"/>
    <s v="VERICEL CORP"/>
    <s v="Health Care"/>
    <s v="Health Care"/>
    <x v="9"/>
    <s v="UNITED STATES"/>
    <n v="1.91"/>
    <n v="4.75"/>
    <n v="0"/>
    <n v="39.858436118262041"/>
  </r>
  <r>
    <s v="VCIC US Equity"/>
    <s v="VINE HILL-A"/>
    <s v="Financials"/>
    <s v="Financial Services"/>
    <x v="24"/>
    <s v="UNITED STATES"/>
    <n v="0.31"/>
    <n v="0"/>
    <n v="0"/>
    <n v="45.069917005780425"/>
  </r>
  <r>
    <s v="VCTR US Equity"/>
    <s v="VICTORY CAPITA-A"/>
    <s v="Financials"/>
    <s v="Financial Services"/>
    <x v="24"/>
    <s v="UNITED STATES"/>
    <n v="4.41"/>
    <n v="3.86"/>
    <n v="0"/>
    <n v="69.650636765544732"/>
  </r>
  <r>
    <s v="VCYT US Equity"/>
    <s v="VERACYTE INC"/>
    <s v="Health Care"/>
    <s v="Health Care"/>
    <x v="9"/>
    <s v="UNITED STATES"/>
    <n v="3.34"/>
    <n v="4.38"/>
    <n v="0"/>
    <n v="35.121276344358137"/>
  </r>
  <r>
    <s v="VECO US Equity"/>
    <s v="VEECO INSTRUMENT"/>
    <s v="Technology"/>
    <s v="Tech Hardware &amp; Semiconductors"/>
    <x v="17"/>
    <s v="UNITED STATES"/>
    <n v="1.95"/>
    <n v="3.8"/>
    <n v="0"/>
    <n v="55.668905245669677"/>
  </r>
  <r>
    <s v="VEEV US Equity"/>
    <s v="VEEVA SYSTEMS-A"/>
    <s v="Technology"/>
    <s v="Software &amp; Tech Services"/>
    <x v="14"/>
    <s v="UNITED STATES"/>
    <n v="36.49"/>
    <n v="4.3099999999999996"/>
    <n v="0"/>
    <n v="21.98785891679934"/>
  </r>
  <r>
    <s v="VEL US Equity"/>
    <s v="VELOCITY FINANCI"/>
    <s v="Financials"/>
    <s v="Financial Services"/>
    <x v="35"/>
    <s v="UNITED STATES"/>
    <n v="0.75"/>
    <n v="3.33"/>
    <n v="0"/>
    <n v="46.593302440450685"/>
  </r>
  <r>
    <s v="VELO US Equity"/>
    <s v="VELO3D INC"/>
    <s v="Technology"/>
    <s v="Tech Hardware &amp; Semiconductors"/>
    <x v="16"/>
    <s v="UNITED STATES"/>
    <n v="0.37"/>
    <n v="5"/>
    <n v="0"/>
    <n v="45.287632129473714"/>
  </r>
  <r>
    <s v="VENU US Equity"/>
    <s v="VENU HOLDING COR"/>
    <s v="Consumer Discretionary"/>
    <s v="Consumer Discretionary Services"/>
    <x v="6"/>
    <s v="UNITED STATES"/>
    <n v="0.39"/>
    <n v="5"/>
    <n v="2605"/>
    <n v="36.831588161569229"/>
  </r>
  <r>
    <s v="VEON US Equity"/>
    <s v="VEON LTD"/>
    <s v="Communications"/>
    <s v="Telecommunications"/>
    <x v="36"/>
    <s v="UAE"/>
    <n v="3.74"/>
    <n v="5"/>
    <n v="0"/>
    <n v="61.176088301713982"/>
  </r>
  <r>
    <s v="VERA US Equity"/>
    <s v="VERA THERAPEUTIC"/>
    <s v="Health Care"/>
    <s v="Health Care"/>
    <x v="25"/>
    <s v="UNITED STATES"/>
    <n v="3.37"/>
    <n v="4.71"/>
    <n v="279336"/>
    <n v="43.85412133017153"/>
  </r>
  <r>
    <s v="VERI US Equity"/>
    <s v="VERITONE INC"/>
    <s v="Technology"/>
    <s v="Software &amp; Tech Services"/>
    <x v="14"/>
    <s v="UNITED STATES"/>
    <n v="0.37"/>
    <n v="4.5"/>
    <n v="0"/>
    <n v="33.90356514491495"/>
  </r>
  <r>
    <s v="VERO US Equity"/>
    <s v="VENUS CONCEPT IN"/>
    <s v="Health Care"/>
    <s v="Health Care"/>
    <x v="9"/>
    <s v="UNITED STATES"/>
    <n v="0"/>
    <n v="0"/>
    <n v="0"/>
    <n v="40.167728713079903"/>
  </r>
  <r>
    <s v="VERX US Equity"/>
    <s v="VERTEX INC - A"/>
    <s v="Technology"/>
    <s v="Software &amp; Tech Services"/>
    <x v="14"/>
    <s v="UNITED STATES"/>
    <n v="3.14"/>
    <n v="4.1900000000000004"/>
    <n v="0"/>
    <n v="20.565179368022783"/>
  </r>
  <r>
    <s v="VET US Equity"/>
    <s v="VERMILION ENERGY"/>
    <s v="Energy"/>
    <s v="Oil &amp; Gas"/>
    <x v="20"/>
    <s v="CANADA"/>
    <n v="1.42"/>
    <n v="3.73"/>
    <n v="508544"/>
    <n v="66.765044063247785"/>
  </r>
  <r>
    <s v="VFC US Equity"/>
    <s v="VF CORP"/>
    <s v="Consumer Discretionary"/>
    <s v="Consumer Discretionary Products"/>
    <x v="5"/>
    <s v="UNITED STATES"/>
    <n v="7.71"/>
    <n v="3.16"/>
    <n v="0"/>
    <n v="57.8421762714785"/>
  </r>
  <r>
    <s v="VFF US Equity"/>
    <s v="VILLAGE FARMS IN"/>
    <s v="Consumer Staples"/>
    <s v="Consumer Staple Products"/>
    <x v="42"/>
    <s v="CANADA"/>
    <n v="0.39"/>
    <n v="5"/>
    <n v="0"/>
    <n v="38.913408004353968"/>
  </r>
  <r>
    <s v="VFS US Equity"/>
    <s v="VINFAST AUTO LTD"/>
    <s v="Consumer Discretionary"/>
    <s v="Consumer Discretionary Products"/>
    <x v="8"/>
    <s v="VIETNAM"/>
    <n v="7.86"/>
    <n v="4.5"/>
    <n v="0"/>
    <n v="48.61211141238887"/>
  </r>
  <r>
    <s v="VG US Equity"/>
    <s v="VENTURE GLOBAL-A"/>
    <s v="Energy"/>
    <s v="Oil &amp; Gas"/>
    <x v="20"/>
    <s v="UNITED STATES"/>
    <n v="24.19"/>
    <n v="3.84"/>
    <n v="0"/>
    <n v="59.52027850944188"/>
  </r>
  <r>
    <s v="VIA US Equity"/>
    <s v="VIA TRANSPOR-A"/>
    <s v="Technology"/>
    <s v="Software &amp; Tech Services"/>
    <x v="14"/>
    <s v="UNITED STATES"/>
    <n v="2.11"/>
    <n v="4.91"/>
    <n v="0"/>
    <n v="27.506281341342557"/>
  </r>
  <r>
    <s v="VIAV US Equity"/>
    <s v="VIAVI SOLUTIONS"/>
    <s v="Technology"/>
    <s v="Tech Hardware &amp; Semiconductors"/>
    <x v="16"/>
    <s v="UNITED STATES"/>
    <n v="4.1900000000000004"/>
    <n v="4.63"/>
    <n v="0"/>
    <n v="73.365867919404891"/>
  </r>
  <r>
    <s v="VICR US Equity"/>
    <s v="VICOR CORP"/>
    <s v="Technology"/>
    <s v="Tech Hardware &amp; Semiconductors"/>
    <x v="16"/>
    <s v="UNITED STATES"/>
    <n v="6.85"/>
    <n v="4.75"/>
    <n v="0"/>
    <n v="58.283471862951259"/>
  </r>
  <r>
    <s v="VIK US Equity"/>
    <s v="VIKING HOLDINGS"/>
    <s v="Consumer Discretionary"/>
    <s v="Consumer Discretionary Services"/>
    <x v="6"/>
    <s v="BERMUDA"/>
    <n v="30.39"/>
    <n v="4.33"/>
    <n v="0"/>
    <n v="60.062567282748063"/>
  </r>
  <r>
    <s v="VIPS US Equity"/>
    <s v="VIPSHOP HOLD-ADR"/>
    <s v="Consumer Discretionary"/>
    <s v="Retail &amp; Whsle - Discretionary"/>
    <x v="51"/>
    <s v="CHINA"/>
    <n v="8.99"/>
    <n v="4.08"/>
    <n v="0"/>
    <n v="47.188586502245947"/>
  </r>
  <r>
    <s v="VIR US Equity"/>
    <s v="VIR BIOTECHNOLOG"/>
    <s v="Health Care"/>
    <s v="Health Care"/>
    <x v="25"/>
    <s v="UNITED STATES"/>
    <n v="1.05"/>
    <n v="5"/>
    <n v="0"/>
    <n v="56.537008084186155"/>
  </r>
  <r>
    <s v="VIRT US Equity"/>
    <s v="VIRTU FINANCIA-A"/>
    <s v="Financials"/>
    <s v="Financial Services"/>
    <x v="49"/>
    <s v="UNITED STATES"/>
    <n v="5.69"/>
    <n v="3.57"/>
    <n v="0"/>
    <n v="53.464209828759266"/>
  </r>
  <r>
    <s v="VIS US Equity"/>
    <s v="Industrials ETF "/>
    <s v="Financials"/>
    <s v="Financial Services"/>
    <x v="97"/>
    <s v="UNITED STATES"/>
    <n v="6.91"/>
    <n v="0"/>
    <n v="0"/>
    <n v="74.430727686356292"/>
  </r>
  <r>
    <s v="VISN US Equity"/>
    <s v="VISTANCE NETWORK"/>
    <s v="Technology"/>
    <s v="Tech Hardware &amp; Semiconductors"/>
    <x v="16"/>
    <s v="UNITED STATES"/>
    <n v="3.97"/>
    <n v="4.33"/>
    <n v="0"/>
    <n v="56.030000114352383"/>
  </r>
  <r>
    <s v="VIST US Equity"/>
    <s v="VISTA ENERGY SAB"/>
    <s v="Energy"/>
    <s v="Oil &amp; Gas"/>
    <x v="20"/>
    <s v="MEXICO"/>
    <n v="5.52"/>
    <n v="5"/>
    <n v="0"/>
    <n v="57.267590722909958"/>
  </r>
  <r>
    <s v="VITL US Equity"/>
    <s v="VITAL FARMS INC"/>
    <s v="Consumer Staples"/>
    <s v="Consumer Staple Products"/>
    <x v="42"/>
    <s v="UNITED STATES"/>
    <n v="1.27"/>
    <n v="4.8499999999999996"/>
    <n v="0"/>
    <n v="35.410508183973732"/>
  </r>
  <r>
    <s v="VIV FP Equity"/>
    <s v="VIVENDI SE"/>
    <s v="Communications"/>
    <s v="Media"/>
    <x v="47"/>
    <s v="FRANCE"/>
    <n v="2.92"/>
    <n v="3.5"/>
    <n v="2839"/>
    <n v="33.582064117088407"/>
  </r>
  <r>
    <s v="VIV US Equity"/>
    <s v="TELEFON-ADR"/>
    <s v="Communications"/>
    <s v="Telecommunications"/>
    <x v="36"/>
    <s v="BRAZIL"/>
    <n v="22.75"/>
    <n v="3.5"/>
    <n v="0"/>
    <n v="80.165141715884616"/>
  </r>
  <r>
    <s v="VKTX US Equity"/>
    <s v="VIKING THERAPEUT"/>
    <s v="Health Care"/>
    <s v="Health Care"/>
    <x v="25"/>
    <s v="UNITED STATES"/>
    <n v="3.64"/>
    <n v="4.8899999999999997"/>
    <n v="0"/>
    <n v="40.448485522087516"/>
  </r>
  <r>
    <s v="VLO US Equity"/>
    <s v="VALERO ENERGY"/>
    <s v="Energy"/>
    <s v="Oil &amp; Gas"/>
    <x v="20"/>
    <s v="UNITED STATES"/>
    <n v="57.06"/>
    <n v="4"/>
    <n v="0"/>
    <n v="69.611839418901965"/>
  </r>
  <r>
    <s v="VLRS US Equity"/>
    <s v="CONTROLADORA-ADR"/>
    <s v="Industrials"/>
    <s v="Industrial Services"/>
    <x v="12"/>
    <s v="MEXICO"/>
    <n v="1.1200000000000001"/>
    <n v="4.5"/>
    <n v="0"/>
    <n v="60.879663835888373"/>
  </r>
  <r>
    <s v="VLTO US Equity"/>
    <s v="VERALTO CORP"/>
    <s v="Industrials"/>
    <s v="Industrial Products"/>
    <x v="3"/>
    <s v="UNITED STATES"/>
    <n v="25.16"/>
    <n v="3.95"/>
    <n v="0"/>
    <n v="42.544820684900763"/>
  </r>
  <r>
    <s v="VLUE US Equity"/>
    <s v="MSCI USA Value Factor ETF "/>
    <s v="Financials"/>
    <s v="Financial Services"/>
    <x v="98"/>
    <s v="UNITED STATES"/>
    <n v="9.32"/>
    <n v="0"/>
    <n v="0"/>
    <n v="70.141121789061714"/>
  </r>
  <r>
    <s v="VLY US Equity"/>
    <s v="VALLEY NATL BANC"/>
    <s v="Financials"/>
    <s v="Banking"/>
    <x v="26"/>
    <s v="UNITED STATES"/>
    <n v="6.64"/>
    <n v="4.5999999999999996"/>
    <n v="0"/>
    <n v="65.212640599674472"/>
  </r>
  <r>
    <s v="VMC US Equity"/>
    <s v="VULCAN MATERIALS"/>
    <s v="Materials"/>
    <s v="Materials"/>
    <x v="48"/>
    <s v="UNITED STATES"/>
    <n v="39.65"/>
    <n v="4.26"/>
    <n v="0"/>
    <n v="60.787478886363651"/>
  </r>
  <r>
    <s v="VMD US Equity"/>
    <s v="VIEMED HEALTHCAR"/>
    <s v="Health Care"/>
    <s v="Health Care"/>
    <x v="31"/>
    <s v="UNITED STATES"/>
    <n v="0.28000000000000003"/>
    <n v="5"/>
    <n v="0"/>
    <n v="68.044966352829732"/>
  </r>
  <r>
    <s v="VMI US Equity"/>
    <s v="VALMONT INDS"/>
    <s v="Industrials"/>
    <s v="Industrial Products"/>
    <x v="52"/>
    <s v="UNITED STATES"/>
    <n v="8.67"/>
    <n v="4.17"/>
    <n v="0"/>
    <n v="76.535683401944752"/>
  </r>
  <r>
    <s v="VNCE US Equity"/>
    <s v="VINCE HOLDING CO"/>
    <s v="Consumer Discretionary"/>
    <s v="Consumer Discretionary Products"/>
    <x v="5"/>
    <s v="UNITED STATES"/>
    <n v="0.04"/>
    <n v="5"/>
    <n v="0"/>
    <n v="38.574772549530685"/>
  </r>
  <r>
    <s v="VNDA US Equity"/>
    <s v="VANDA PHARMACEUT"/>
    <s v="Health Care"/>
    <s v="Health Care"/>
    <x v="25"/>
    <s v="UNITED STATES"/>
    <n v="0.47"/>
    <n v="4.5"/>
    <n v="80100"/>
    <n v="48.877774813957267"/>
  </r>
  <r>
    <s v="VNET US Equity"/>
    <s v="VNET GROUP-ADR"/>
    <s v="Communications"/>
    <s v="Telecommunications"/>
    <x v="36"/>
    <s v="CHINA"/>
    <n v="2.85"/>
    <n v="4.7300000000000004"/>
    <n v="0"/>
    <n v="71.653443063505648"/>
  </r>
  <r>
    <s v="VNOM US Equity"/>
    <s v="VIPER ENERGY I-A"/>
    <s v="Energy"/>
    <s v="Oil &amp; Gas"/>
    <x v="20"/>
    <s v="UNITED STATES"/>
    <n v="14.25"/>
    <n v="4.8899999999999997"/>
    <n v="0"/>
    <n v="70.425841192956383"/>
  </r>
  <r>
    <s v="VNT US Equity"/>
    <s v="VONTIER CORP"/>
    <s v="Industrials"/>
    <s v="Industrial Products"/>
    <x v="4"/>
    <s v="UNITED STATES"/>
    <n v="5.35"/>
    <n v="4.17"/>
    <n v="0"/>
    <n v="60.178328701226135"/>
  </r>
  <r>
    <s v="VOD US Equity"/>
    <s v="VODAFONE GRP-ADR"/>
    <s v="Communications"/>
    <s v="Telecommunications"/>
    <x v="36"/>
    <s v="BRITAIN"/>
    <n v="33.200000000000003"/>
    <n v="2.2000000000000002"/>
    <n v="0"/>
    <n v="67.499862600403077"/>
  </r>
  <r>
    <s v="VOR US Equity"/>
    <s v="VOR BIOPHARMA IN"/>
    <s v="Health Care"/>
    <s v="Health Care"/>
    <x v="25"/>
    <s v="UNITED STATES"/>
    <n v="0.64"/>
    <n v="4.71"/>
    <n v="0"/>
    <n v="47.956350411781614"/>
  </r>
  <r>
    <s v="VOW3 GY Equity"/>
    <s v="VOLKSWAGEN-PREF"/>
    <s v="Consumer Discretionary"/>
    <s v="Consumer Discretionary Products"/>
    <x v="8"/>
    <s v="GERMANY"/>
    <n v="62.24"/>
    <n v="3.89"/>
    <n v="0"/>
    <n v="52.099897110357198"/>
  </r>
  <r>
    <s v="VOXR US Equity"/>
    <s v="VOX ROYALTY CORP"/>
    <s v="Materials"/>
    <s v="Materials"/>
    <x v="22"/>
    <s v="UNITED STATES"/>
    <n v="0.38"/>
    <n v="5"/>
    <n v="0"/>
    <n v="58.588677912811747"/>
  </r>
  <r>
    <s v="VOYA US Equity"/>
    <s v="VOYA FINANCIAL I"/>
    <s v="Financials"/>
    <s v="Financial Services"/>
    <x v="24"/>
    <s v="UNITED STATES"/>
    <n v="7.24"/>
    <n v="3.91"/>
    <n v="0"/>
    <n v="48.946664779033583"/>
  </r>
  <r>
    <s v="VOYG US Equity"/>
    <s v="VOYAGER TECH-A"/>
    <s v="Industrials"/>
    <s v="Industrial Products"/>
    <x v="32"/>
    <s v="UNITED STATES"/>
    <n v="2.21"/>
    <n v="4.71"/>
    <n v="0"/>
    <n v="42.809124604427687"/>
  </r>
  <r>
    <s v="VPG US Equity"/>
    <s v="VISHAY PRECI"/>
    <s v="Technology"/>
    <s v="Tech Hardware &amp; Semiconductors"/>
    <x v="17"/>
    <s v="UNITED STATES"/>
    <n v="0.59"/>
    <n v="5"/>
    <n v="0"/>
    <n v="48.402521533078186"/>
  </r>
  <r>
    <s v="VRCA US Equity"/>
    <s v="VERRICA PHARMACE"/>
    <s v="Health Care"/>
    <s v="Health Care"/>
    <x v="25"/>
    <s v="UNITED STATES"/>
    <n v="0.12"/>
    <n v="4.5999999999999996"/>
    <n v="31433687"/>
    <n v="29.808657607259974"/>
  </r>
  <r>
    <s v="VRDN US Equity"/>
    <s v="VIRIDIAN THERAPE"/>
    <s v="Health Care"/>
    <s v="Health Care"/>
    <x v="25"/>
    <s v="UNITED STATES"/>
    <n v="3.14"/>
    <n v="4.83"/>
    <n v="0"/>
    <n v="40.21902114109421"/>
  </r>
  <r>
    <s v="VREX US Equity"/>
    <s v="VAREX IMAGIN"/>
    <s v="Health Care"/>
    <s v="Health Care"/>
    <x v="9"/>
    <s v="UNITED STATES"/>
    <n v="0.57999999999999996"/>
    <n v="4.4000000000000004"/>
    <n v="0"/>
    <n v="50.77338114049013"/>
  </r>
  <r>
    <s v="VRNS US Equity"/>
    <s v="VARONIS SYSTEMS"/>
    <s v="Technology"/>
    <s v="Software &amp; Tech Services"/>
    <x v="14"/>
    <s v="UNITED STATES"/>
    <n v="4.12"/>
    <n v="4.5"/>
    <n v="0"/>
    <n v="37.418712642502754"/>
  </r>
  <r>
    <s v="VRRM US Equity"/>
    <s v="VERRA MOBILITY C"/>
    <s v="Industrials"/>
    <s v="Industrial Services"/>
    <x v="15"/>
    <s v="UNITED STATES"/>
    <n v="3.4"/>
    <n v="4.57"/>
    <n v="0"/>
    <n v="29.145455759532013"/>
  </r>
  <r>
    <s v="VRSK US Equity"/>
    <s v="VERISK ANALYTI"/>
    <s v="Financials"/>
    <s v="Financial Services"/>
    <x v="35"/>
    <s v="UNITED STATES"/>
    <n v="30.39"/>
    <n v="3.86"/>
    <n v="534198"/>
    <n v="20.114264328097875"/>
  </r>
  <r>
    <s v="VRSN US Equity"/>
    <s v="VERISIGN INC"/>
    <s v="Communications"/>
    <s v="Media"/>
    <x v="13"/>
    <s v="UNITED STATES"/>
    <n v="23.23"/>
    <n v="3.8"/>
    <n v="0"/>
    <n v="25.278546059585807"/>
  </r>
  <r>
    <s v="VRT US Equity"/>
    <s v="VERTIV HOLDING-A"/>
    <s v="Industrials"/>
    <s v="Industrial Products"/>
    <x v="4"/>
    <s v="UNITED STATES"/>
    <n v="69.77"/>
    <n v="4.37"/>
    <n v="0"/>
    <n v="78.69167138804788"/>
  </r>
  <r>
    <s v="VRTS US Equity"/>
    <s v="VIRTUS INVEST"/>
    <s v="Financials"/>
    <s v="Financial Services"/>
    <x v="24"/>
    <s v="UNITED STATES"/>
    <n v="1.1299999999999999"/>
    <n v="2.5"/>
    <n v="0"/>
    <n v="30.110345057415714"/>
  </r>
  <r>
    <s v="VRTX US Equity"/>
    <s v="VERTEX PHARM"/>
    <s v="Health Care"/>
    <s v="Health Care"/>
    <x v="25"/>
    <s v="UNITED STATES"/>
    <n v="118.84"/>
    <n v="4.3499999999999996"/>
    <n v="7026150"/>
    <n v="48.599657895923677"/>
  </r>
  <r>
    <s v="VSAT US Equity"/>
    <s v="VIASAT INC"/>
    <s v="Communications"/>
    <s v="Telecommunications"/>
    <x v="36"/>
    <s v="UNITED STATES"/>
    <n v="5.85"/>
    <n v="3.89"/>
    <n v="0"/>
    <n v="56.176785583952565"/>
  </r>
  <r>
    <s v="VSCO US Equity"/>
    <s v="VICTORIA'S SECRE"/>
    <s v="Consumer Discretionary"/>
    <s v="Retail &amp; Whsle - Discretionary"/>
    <x v="10"/>
    <s v="UNITED STATES"/>
    <n v="4.8"/>
    <n v="4.09"/>
    <n v="0"/>
    <n v="46.195240345319014"/>
  </r>
  <r>
    <s v="VSEC US Equity"/>
    <s v="VSE CORP"/>
    <s v="Industrials"/>
    <s v="Industrial Services"/>
    <x v="43"/>
    <s v="UNITED STATES"/>
    <n v="4.82"/>
    <n v="5"/>
    <n v="0"/>
    <n v="53.697242451577488"/>
  </r>
  <r>
    <s v="VSH US Equity"/>
    <s v="VISHAY INTERTECH"/>
    <s v="Technology"/>
    <s v="Tech Hardware &amp; Semiconductors"/>
    <x v="17"/>
    <s v="UNITED STATES"/>
    <n v="2.5"/>
    <n v="3.5"/>
    <n v="0"/>
    <n v="64.596780675524627"/>
  </r>
  <r>
    <s v="VST US Equity"/>
    <s v="VISTRA CORP"/>
    <s v="Utilities"/>
    <s v="Utilities"/>
    <x v="38"/>
    <s v="UNITED STATES"/>
    <n v="54.25"/>
    <n v="4.6500000000000004"/>
    <n v="0"/>
    <n v="50.971790212864811"/>
  </r>
  <r>
    <s v="SIL US Equity"/>
    <s v="GLOBAL X SILVER"/>
    <s v="Financials"/>
    <s v="Financial Services"/>
    <x v="24"/>
    <s v="UNITED STATES"/>
    <n v="6.11"/>
    <n v="0"/>
    <n v="0"/>
    <n v="58.060219417963353"/>
  </r>
  <r>
    <s v="VSTM US Equity"/>
    <s v="VERASTEM INC"/>
    <s v="Health Care"/>
    <s v="Health Care"/>
    <x v="25"/>
    <s v="UNITED STATES"/>
    <n v="0.49"/>
    <n v="5"/>
    <n v="0"/>
    <n v="43.012458322096691"/>
  </r>
  <r>
    <s v="VSTS US Equity"/>
    <s v="VESTIS CORP"/>
    <s v="Industrials"/>
    <s v="Industrial Services"/>
    <x v="15"/>
    <s v="UNITED STATES"/>
    <n v="0.9"/>
    <n v="2.5"/>
    <n v="1340860"/>
    <n v="76.896815801300818"/>
  </r>
  <r>
    <s v="VTEX US Equity"/>
    <s v="VTEX -CLASS A"/>
    <s v="Technology"/>
    <s v="Software &amp; Tech Services"/>
    <x v="14"/>
    <s v="BRITAIN"/>
    <n v="0.6"/>
    <n v="4.2699999999999996"/>
    <n v="0"/>
    <n v="41.621696423042088"/>
  </r>
  <r>
    <s v="VTMX US Equity"/>
    <s v="CORP INMOBIL-ADR"/>
    <s v="Real Estate"/>
    <s v="Real Estate"/>
    <x v="39"/>
    <s v="MEXICO"/>
    <n v="2.7"/>
    <n v="3.8"/>
    <n v="0"/>
    <n v="62.153113037553588"/>
  </r>
  <r>
    <s v="VTOL US Equity"/>
    <s v="BRISTOW GROUP IN"/>
    <s v="Energy"/>
    <s v="Oil &amp; Gas"/>
    <x v="30"/>
    <s v="UNITED STATES"/>
    <n v="1.27"/>
    <n v="5"/>
    <n v="0"/>
    <n v="66.569085451073647"/>
  </r>
  <r>
    <s v="VTR US Equity"/>
    <s v="VENTAS INC"/>
    <s v="Real Estate"/>
    <s v="Real Estate"/>
    <x v="37"/>
    <s v="UNITED STATES"/>
    <n v="36.159999999999997"/>
    <n v="4.6399999999999997"/>
    <n v="0"/>
    <n v="81.047919334032031"/>
  </r>
  <r>
    <s v="VTRS US Equity"/>
    <s v="VIATRIS INC"/>
    <s v="Health Care"/>
    <s v="Health Care"/>
    <x v="25"/>
    <s v="UNITED STATES"/>
    <n v="15.21"/>
    <n v="3.5"/>
    <n v="290620"/>
    <n v="88.098522992526071"/>
  </r>
  <r>
    <s v="VTS US Equity"/>
    <s v="VITESSE ENERGY"/>
    <s v="Energy"/>
    <s v="Oil &amp; Gas"/>
    <x v="20"/>
    <s v="UNITED STATES"/>
    <n v="0.76"/>
    <n v="3.8"/>
    <n v="0"/>
    <n v="66.156931112105241"/>
  </r>
  <r>
    <s v="VTVT US Equity"/>
    <s v="VTV THERAPEUTI-A"/>
    <s v="Health Care"/>
    <s v="Health Care"/>
    <x v="25"/>
    <s v="UNITED STATES"/>
    <n v="0.27"/>
    <n v="5"/>
    <n v="0"/>
    <n v="49.219044610123561"/>
  </r>
  <r>
    <s v="VTYX US Equity"/>
    <s v="VENTYX BIOSCIENC"/>
    <s v="Health Care"/>
    <s v="Health Care"/>
    <x v="25"/>
    <s v="UNITED STATES"/>
    <n v="1"/>
    <n v="3"/>
    <n v="0"/>
    <n v="72.551466101295347"/>
  </r>
  <r>
    <s v="VUZI US Equity"/>
    <s v="VUZIX CORP"/>
    <s v="Technology"/>
    <s v="Tech Hardware &amp; Semiconductors"/>
    <x v="16"/>
    <s v="UNITED STATES"/>
    <n v="0.24"/>
    <n v="5"/>
    <n v="0"/>
    <n v="41.618444316690841"/>
  </r>
  <r>
    <s v="VVV US Equity"/>
    <s v="VALVOLINE INC"/>
    <s v="Consumer Discretionary"/>
    <s v="Retail &amp; Whsle - Discretionary"/>
    <x v="10"/>
    <s v="UNITED STATES"/>
    <n v="4.2"/>
    <n v="4.41"/>
    <n v="897608"/>
    <n v="80.368460992717161"/>
  </r>
  <r>
    <s v="VVX US Equity"/>
    <s v="V2X INC"/>
    <s v="Technology"/>
    <s v="Software &amp; Tech Services"/>
    <x v="34"/>
    <s v="UNITED STATES"/>
    <n v="2.2000000000000002"/>
    <n v="3.75"/>
    <n v="0"/>
    <n v="50.431563771513005"/>
  </r>
  <r>
    <s v="VWS DC Equity"/>
    <s v="VESTAS WIND SYST"/>
    <s v="Energy"/>
    <s v="Renewable Energy"/>
    <x v="45"/>
    <s v="DENMARK"/>
    <n v="28.6"/>
    <n v="3.69"/>
    <n v="1762711"/>
    <n v="32.198041194257883"/>
  </r>
  <r>
    <s v="VXX US Equity"/>
    <s v="IPATH SERIES B"/>
    <s v="Financials"/>
    <s v="Financial Services"/>
    <x v="24"/>
    <s v="UNITED STATES"/>
    <n v="0.6"/>
    <n v="0"/>
    <n v="0"/>
    <n v="48.585168072816522"/>
  </r>
  <r>
    <s v="VYX US Equity"/>
    <s v="NCR VOYIX CORP"/>
    <s v="Technology"/>
    <s v="Tech Hardware &amp; Semiconductors"/>
    <x v="16"/>
    <s v="UNITED STATES"/>
    <n v="1.45"/>
    <n v="4.5599999999999996"/>
    <n v="0"/>
    <n v="41.387034085507686"/>
  </r>
  <r>
    <s v="VZ US Equity"/>
    <s v="VERIZON COMMUNIC"/>
    <s v="Communications"/>
    <s v="Telecommunications"/>
    <x v="36"/>
    <s v="UNITED STATES"/>
    <n v="166.63"/>
    <n v="3.63"/>
    <n v="0"/>
    <n v="83.515000425364917"/>
  </r>
  <r>
    <s v="VZLA US Equity"/>
    <s v="VIZSLA SILVER CO"/>
    <s v="Materials"/>
    <s v="Materials"/>
    <x v="22"/>
    <s v="CANADA"/>
    <n v="2.2999999999999998"/>
    <n v="4.88"/>
    <n v="1425095"/>
    <n v="31.215040625556099"/>
  </r>
  <r>
    <s v="W US Equity"/>
    <s v="WAYFAIR INC- A"/>
    <s v="Consumer Discretionary"/>
    <s v="Retail &amp; Whsle - Discretionary"/>
    <x v="51"/>
    <s v="UNITED STATES"/>
    <n v="14.31"/>
    <n v="4.0599999999999996"/>
    <n v="17565"/>
    <n v="31.357198123868514"/>
  </r>
  <r>
    <s v="WAB US Equity"/>
    <s v="WABTEC CORP"/>
    <s v="Industrials"/>
    <s v="Industrial Products"/>
    <x v="44"/>
    <s v="UNITED STATES"/>
    <n v="39.340000000000003"/>
    <n v="4.3600000000000003"/>
    <n v="0"/>
    <n v="77.393034581434463"/>
  </r>
  <r>
    <s v="WABC US Equity"/>
    <s v="WESTAMERICA BANC"/>
    <s v="Financials"/>
    <s v="Banking"/>
    <x v="26"/>
    <s v="UNITED STATES"/>
    <n v="1.23"/>
    <n v="3"/>
    <n v="0"/>
    <n v="63.012711470337315"/>
  </r>
  <r>
    <s v="WAFD US Equity"/>
    <s v="WAFD INC"/>
    <s v="Financials"/>
    <s v="Banking"/>
    <x v="26"/>
    <s v="UNITED STATES"/>
    <n v="2.42"/>
    <n v="3"/>
    <n v="0"/>
    <n v="51.542301133373599"/>
  </r>
  <r>
    <s v="WAL US Equity"/>
    <s v="WESTERN ALLIANCE"/>
    <s v="Financials"/>
    <s v="Banking"/>
    <x v="26"/>
    <s v="UNITED STATES"/>
    <n v="9.57"/>
    <n v="4.67"/>
    <n v="348000"/>
    <n v="62.891853433979904"/>
  </r>
  <r>
    <s v="WASH US Equity"/>
    <s v="WASH TRUST BANC"/>
    <s v="Financials"/>
    <s v="Banking"/>
    <x v="26"/>
    <s v="UNITED STATES"/>
    <n v="0.56999999999999995"/>
    <n v="3"/>
    <n v="202139"/>
    <n v="69.45571139531225"/>
  </r>
  <r>
    <s v="WAT US Equity"/>
    <s v="WATERS CORP"/>
    <s v="Health Care"/>
    <s v="Health Care"/>
    <x v="9"/>
    <s v="UNITED STATES"/>
    <n v="23.36"/>
    <n v="3.84"/>
    <n v="0"/>
    <n v="26.093171896622039"/>
  </r>
  <r>
    <s v="WAY US Equity"/>
    <s v="WAYSTAR HOLDING"/>
    <s v="Technology"/>
    <s v="Software &amp; Tech Services"/>
    <x v="14"/>
    <s v="UNITED STATES"/>
    <n v="5.74"/>
    <n v="4.87"/>
    <n v="0"/>
    <n v="22.602053967341504"/>
  </r>
  <r>
    <s v="WB US Equity"/>
    <s v="WEIBO CORP-ADR"/>
    <s v="Communications"/>
    <s v="Media"/>
    <x v="13"/>
    <s v="CHINA"/>
    <n v="2.64"/>
    <n v="3.81"/>
    <n v="0"/>
    <n v="42.190151420446604"/>
  </r>
  <r>
    <s v="WBD US Equity"/>
    <s v="WARNER BROS DISC"/>
    <s v="Communications"/>
    <s v="Media"/>
    <x v="47"/>
    <s v="UNITED STATES"/>
    <n v="70.83"/>
    <n v="3.75"/>
    <n v="9288500"/>
    <n v="53.46307643968909"/>
  </r>
  <r>
    <s v="WBI US Equity"/>
    <s v="WATERBRIDGE IN-A"/>
    <s v="Energy"/>
    <s v="Oil &amp; Gas"/>
    <x v="30"/>
    <s v="UNITED STATES"/>
    <n v="2.85"/>
    <n v="4.08"/>
    <n v="8969985"/>
    <n v="73.307133585222175"/>
  </r>
  <r>
    <s v="WBS US Equity"/>
    <s v="WEBSTER FINL"/>
    <s v="Financials"/>
    <s v="Banking"/>
    <x v="26"/>
    <s v="UNITED STATES"/>
    <n v="10.34"/>
    <n v="4.7"/>
    <n v="0"/>
    <n v="71.022347669195213"/>
  </r>
  <r>
    <s v="WBTN US Equity"/>
    <s v="WEBTOON ENTERTAI"/>
    <s v="Communications"/>
    <s v="Media"/>
    <x v="47"/>
    <s v="UNITED STATES"/>
    <n v="1.71"/>
    <n v="4"/>
    <n v="0"/>
    <n v="43.240716704678896"/>
  </r>
  <r>
    <s v="WCC US Equity"/>
    <s v="WESCO INTL"/>
    <s v="Industrials"/>
    <s v="Industrial Services"/>
    <x v="43"/>
    <s v="UNITED STATES"/>
    <n v="13.93"/>
    <n v="4.5"/>
    <n v="0"/>
    <n v="58.667832581196066"/>
  </r>
  <r>
    <s v="WCN US Equity"/>
    <s v="WASTE CONNECTION"/>
    <s v="Industrials"/>
    <s v="Industrial Services"/>
    <x v="15"/>
    <s v="CANADA"/>
    <n v="43.53"/>
    <n v="4.6399999999999997"/>
    <n v="0"/>
    <n v="55.272550165251772"/>
  </r>
  <r>
    <s v="WCP CT Equity"/>
    <s v="WHITECAP RESOURC"/>
    <s v="Energy"/>
    <s v="Oil &amp; Gas"/>
    <x v="20"/>
    <s v="CANADA"/>
    <n v="10.62"/>
    <n v="5"/>
    <n v="1008371"/>
    <n v="72.005624348314313"/>
  </r>
  <r>
    <s v="WD US Equity"/>
    <s v="WALKER &amp; DUNLOP"/>
    <s v="Financials"/>
    <s v="Financial Services"/>
    <x v="35"/>
    <s v="UNITED STATES"/>
    <n v="2.1800000000000002"/>
    <n v="4.25"/>
    <n v="0"/>
    <n v="44.361339937655416"/>
  </r>
  <r>
    <s v="WDAY US Equity"/>
    <s v="WORKDAY INC-A"/>
    <s v="Technology"/>
    <s v="Software &amp; Tech Services"/>
    <x v="14"/>
    <s v="UNITED STATES"/>
    <n v="49.78"/>
    <n v="4.43"/>
    <n v="0"/>
    <n v="22.847821669634158"/>
  </r>
  <r>
    <s v="WDC US Equity"/>
    <s v="WESTERN DIGITAL"/>
    <s v="Technology"/>
    <s v="Tech Hardware &amp; Semiconductors"/>
    <x v="16"/>
    <s v="UNITED STATES"/>
    <n v="80.819999999999993"/>
    <n v="4.53"/>
    <n v="0"/>
    <n v="58.986321743304799"/>
  </r>
  <r>
    <s v="WDFC US Equity"/>
    <s v="WD-40 CO"/>
    <s v="Materials"/>
    <s v="Materials"/>
    <x v="21"/>
    <s v="UNITED STATES"/>
    <n v="2.9"/>
    <n v="4"/>
    <n v="568102"/>
    <n v="63.197374350404992"/>
  </r>
  <r>
    <s v="WDH US Equity"/>
    <s v="WATERDROP INC"/>
    <s v="Financials"/>
    <s v="Insurance"/>
    <x v="23"/>
    <s v="CHINA"/>
    <n v="0.62"/>
    <n v="4.8"/>
    <n v="0"/>
    <n v="51.043356834405593"/>
  </r>
  <r>
    <s v="WDS US Equity"/>
    <s v="WOODSIDE ENE-ADR"/>
    <s v="Energy"/>
    <s v="Oil &amp; Gas"/>
    <x v="20"/>
    <s v="AUSTRALIA"/>
    <n v="31.79"/>
    <n v="0"/>
    <n v="0"/>
    <n v="71.92412611551724"/>
  </r>
  <r>
    <s v="WEAV US Equity"/>
    <s v="WEAVE COMMUNICAT"/>
    <s v="Technology"/>
    <s v="Software &amp; Tech Services"/>
    <x v="14"/>
    <s v="UNITED STATES"/>
    <n v="0.53"/>
    <n v="4.5999999999999996"/>
    <n v="0"/>
    <n v="38.300929934529975"/>
  </r>
  <r>
    <s v="WEC US Equity"/>
    <s v="WEC ENERGY GROUP"/>
    <s v="Utilities"/>
    <s v="Utilities"/>
    <x v="38"/>
    <s v="UNITED STATES"/>
    <n v="35.49"/>
    <n v="3.76"/>
    <n v="0"/>
    <n v="66.998468936905255"/>
  </r>
  <r>
    <s v="WELL US Equity"/>
    <s v="WELLTOWER INC"/>
    <s v="Real Estate"/>
    <s v="Real Estate"/>
    <x v="37"/>
    <s v="UNITED STATES"/>
    <n v="126.06"/>
    <n v="4.6399999999999997"/>
    <n v="0"/>
    <n v="77.470831482250233"/>
  </r>
  <r>
    <s v="WEN US Equity"/>
    <s v="WENDY'S CO/THE"/>
    <s v="Consumer Discretionary"/>
    <s v="Consumer Discretionary Services"/>
    <x v="6"/>
    <s v="UNITED STATES"/>
    <n v="1.6"/>
    <n v="3"/>
    <n v="18524"/>
    <n v="43.721901637315653"/>
  </r>
  <r>
    <s v="WENN US Equity"/>
    <s v="WEN ACQUISITIO-A"/>
    <s v="Financials"/>
    <s v="Financial Services"/>
    <x v="24"/>
    <s v="UNITED STATES"/>
    <n v="0.38"/>
    <n v="0"/>
    <n v="0"/>
    <n v="62.042364812780768"/>
  </r>
  <r>
    <s v="WERN US Equity"/>
    <s v="WERNER ENT"/>
    <s v="Industrials"/>
    <s v="Industrial Services"/>
    <x v="12"/>
    <s v="UNITED STATES"/>
    <n v="2.02"/>
    <n v="2.75"/>
    <n v="72012"/>
    <n v="51.996973199885957"/>
  </r>
  <r>
    <s v="WES US Equity"/>
    <s v="WESTERN MIDSTREA"/>
    <s v="Energy"/>
    <s v="Oil &amp; Gas"/>
    <x v="20"/>
    <s v="UNITED STATES"/>
    <n v="16.62"/>
    <n v="3.14"/>
    <n v="0"/>
    <n v="71.991607934534244"/>
  </r>
  <r>
    <s v="WEST US Equity"/>
    <s v="WESTROCK COFFEE"/>
    <s v="Consumer Staples"/>
    <s v="Consumer Staple Products"/>
    <x v="11"/>
    <s v="UNITED STATES"/>
    <n v="0.45"/>
    <n v="5"/>
    <n v="2131557"/>
    <n v="67.674363513649737"/>
  </r>
  <r>
    <s v="WEX US Equity"/>
    <s v="WEX INC"/>
    <s v="Financials"/>
    <s v="Financial Services"/>
    <x v="35"/>
    <s v="UNITED STATES"/>
    <n v="5.49"/>
    <n v="3.43"/>
    <n v="159970"/>
    <n v="61.345012719536726"/>
  </r>
  <r>
    <s v="WF US Equity"/>
    <s v="WOORI FI-ADR"/>
    <s v="Financials"/>
    <s v="Banking"/>
    <x v="26"/>
    <s v="SOUTH KOREA"/>
    <n v="15.08"/>
    <n v="5"/>
    <n v="0"/>
    <n v="84.238159935381148"/>
  </r>
  <r>
    <s v="WFC US Equity"/>
    <s v="WELLS FARGO &amp; CO"/>
    <s v="Financials"/>
    <s v="Banking"/>
    <x v="26"/>
    <s v="UNITED STATES"/>
    <n v="272.97000000000003"/>
    <n v="4.03"/>
    <n v="0"/>
    <n v="44.50119793602606"/>
  </r>
  <r>
    <s v="WFCF US Equity"/>
    <s v="WHERE FOOD COMES"/>
    <s v="Industrials"/>
    <s v="Industrial Services"/>
    <x v="15"/>
    <s v="UNITED STATES"/>
    <n v="0.06"/>
    <n v="0"/>
    <n v="0"/>
    <n v="52.815205593663613"/>
  </r>
  <r>
    <s v="WFG US Equity"/>
    <s v="WEST FRASER TIMB"/>
    <s v="Materials"/>
    <s v="Materials"/>
    <x v="58"/>
    <s v="CANADA"/>
    <n v="5.65"/>
    <n v="4.71"/>
    <n v="109106"/>
    <n v="63.613521468581062"/>
  </r>
  <r>
    <s v="WFRD US Equity"/>
    <s v="WEATHERFORD INTE"/>
    <s v="Energy"/>
    <s v="Oil &amp; Gas"/>
    <x v="30"/>
    <s v="UNITED STATES"/>
    <n v="6.45"/>
    <n v="4.45"/>
    <n v="0"/>
    <n v="70.139232639960397"/>
  </r>
  <r>
    <s v="WGO US Equity"/>
    <s v="WINNEBAGO INDS"/>
    <s v="Consumer Discretionary"/>
    <s v="Consumer Discretionary Products"/>
    <x v="55"/>
    <s v="UNITED STATES"/>
    <n v="1.31"/>
    <n v="4.07"/>
    <n v="125766"/>
    <n v="56.116290062617843"/>
  </r>
  <r>
    <s v="WGS US Equity"/>
    <s v="GENEDX HOLDINGS"/>
    <s v="Health Care"/>
    <s v="Health Care"/>
    <x v="31"/>
    <s v="UNITED STATES"/>
    <n v="2.93"/>
    <n v="4.5999999999999996"/>
    <n v="0"/>
    <n v="36.940524994360452"/>
  </r>
  <r>
    <s v="WH US Equity"/>
    <s v="WYNDHAM HOTELS &amp;"/>
    <s v="Consumer Discretionary"/>
    <s v="Consumer Discretionary Services"/>
    <x v="6"/>
    <s v="UNITED STATES"/>
    <n v="5.85"/>
    <n v="4.5599999999999996"/>
    <n v="0"/>
    <n v="58.99139870192986"/>
  </r>
  <r>
    <s v="WHD US Equity"/>
    <s v="CACTUS INC- A"/>
    <s v="Industrials"/>
    <s v="Industrial Products"/>
    <x v="3"/>
    <s v="UNITED STATES"/>
    <n v="4.2699999999999996"/>
    <n v="4"/>
    <n v="0"/>
    <n v="62.239037612523568"/>
  </r>
  <r>
    <s v="WHG US Equity"/>
    <s v="WESTWOOD HOLDING"/>
    <s v="Financials"/>
    <s v="Financial Services"/>
    <x v="24"/>
    <s v="UNITED STATES"/>
    <n v="0.17"/>
    <n v="0"/>
    <n v="0"/>
    <n v="46.809208114391517"/>
  </r>
  <r>
    <s v="WHR US Equity"/>
    <s v="WHIRLPOOL CORP"/>
    <s v="Consumer Discretionary"/>
    <s v="Consumer Discretionary Products"/>
    <x v="29"/>
    <s v="UNITED STATES"/>
    <n v="4.8"/>
    <n v="2.8"/>
    <n v="0"/>
    <n v="66.676349576054108"/>
  </r>
  <r>
    <s v="WHWK US Equity"/>
    <s v="WHITEHAWK THERAP"/>
    <s v="Health Care"/>
    <s v="Health Care"/>
    <x v="25"/>
    <s v="UNITED STATES"/>
    <n v="0.13"/>
    <n v="3.5"/>
    <n v="0"/>
    <n v="55.592840596336274"/>
  </r>
  <r>
    <s v="WIIT IM Equity"/>
    <s v="WIIT SPA"/>
    <s v="Technology"/>
    <s v="Software &amp; Tech Services"/>
    <x v="14"/>
    <s v="ITALY"/>
    <n v="0.81"/>
    <n v="4.67"/>
    <n v="74849"/>
    <n v="62.28958323573022"/>
  </r>
  <r>
    <s v="WILC US Equity"/>
    <s v="G. WILLI-FOOD"/>
    <s v="Consumer Staples"/>
    <s v="Retail &amp; Wholesale - Staples"/>
    <x v="33"/>
    <s v="ISRAEL"/>
    <n v="0.41"/>
    <n v="0"/>
    <n v="0"/>
    <n v="50.872210963799304"/>
  </r>
  <r>
    <s v="WINA US Equity"/>
    <s v="WINMARK CORP"/>
    <s v="Consumer Discretionary"/>
    <s v="Retail &amp; Whsle - Discretionary"/>
    <x v="10"/>
    <s v="UNITED STATES"/>
    <n v="1.61"/>
    <n v="5"/>
    <n v="113235"/>
    <n v="47.359782423302242"/>
  </r>
  <r>
    <s v="WING US Equity"/>
    <s v="WINGSTOP INC"/>
    <s v="Consumer Discretionary"/>
    <s v="Consumer Discretionary Services"/>
    <x v="6"/>
    <s v="UNITED STATES"/>
    <n v="7.54"/>
    <n v="4.4800000000000004"/>
    <n v="0"/>
    <n v="39.645326951450556"/>
  </r>
  <r>
    <s v="WISE LN Equity"/>
    <s v="WISE PLC - A"/>
    <s v="Financials"/>
    <s v="Financial Services"/>
    <x v="35"/>
    <s v="BRITAIN"/>
    <n v="13.61"/>
    <n v="4.09"/>
    <n v="0"/>
    <n v="46.103541668642286"/>
  </r>
  <r>
    <s v="WIT US Equity"/>
    <s v="WIPRO LTD-ADR"/>
    <s v="Technology"/>
    <s v="Software &amp; Tech Services"/>
    <x v="34"/>
    <s v="INDIA"/>
    <n v="27.06"/>
    <n v="1.67"/>
    <n v="0"/>
    <n v="36.194822043377449"/>
  </r>
  <r>
    <s v="WIX US Equity"/>
    <s v="WIX.COM LTD"/>
    <s v="Technology"/>
    <s v="Software &amp; Tech Services"/>
    <x v="14"/>
    <s v="ISRAEL"/>
    <n v="4.93"/>
    <n v="4.78"/>
    <n v="0"/>
    <n v="29.915881817645186"/>
  </r>
  <r>
    <s v="WK US Equity"/>
    <s v="WORKIVA INC"/>
    <s v="Technology"/>
    <s v="Software &amp; Tech Services"/>
    <x v="14"/>
    <s v="UNITED STATES"/>
    <n v="4.58"/>
    <n v="5"/>
    <n v="0"/>
    <n v="22.753346815352515"/>
  </r>
  <r>
    <s v="WKC US Equity"/>
    <s v="WORLD KINECT COR"/>
    <s v="Industrials"/>
    <s v="Industrial Services"/>
    <x v="12"/>
    <s v="UNITED STATES"/>
    <n v="1.47"/>
    <n v="2.33"/>
    <n v="0"/>
    <n v="57.654435529447014"/>
  </r>
  <r>
    <s v="WKEY US Equity"/>
    <s v="WISEKEY INTL-ADR"/>
    <s v="Technology"/>
    <s v="Tech Hardware &amp; Semiconductors"/>
    <x v="17"/>
    <s v="SWITZERLAND"/>
    <n v="0.2"/>
    <n v="5"/>
    <n v="0"/>
    <n v="41.2454962493686"/>
  </r>
  <r>
    <s v="WLAC US Equity"/>
    <s v="WILLOW LANE ACQU"/>
    <s v="Financials"/>
    <s v="Financial Services"/>
    <x v="24"/>
    <s v="UNITED STATES"/>
    <n v="0.21"/>
    <n v="5"/>
    <n v="0"/>
    <n v="37.134614580486797"/>
  </r>
  <r>
    <s v="WLDN US Equity"/>
    <s v="WILLDAN GROUP IN"/>
    <s v="Industrials"/>
    <s v="Industrial Services"/>
    <x v="15"/>
    <s v="UNITED STATES"/>
    <n v="1.88"/>
    <n v="5"/>
    <n v="0"/>
    <n v="43.198465203631564"/>
  </r>
  <r>
    <s v="WLK US Equity"/>
    <s v="WESTLAKE CORP"/>
    <s v="Materials"/>
    <s v="Materials"/>
    <x v="21"/>
    <s v="UNITED STATES"/>
    <n v="10.93"/>
    <n v="4"/>
    <n v="0"/>
    <n v="71.666693015588365"/>
  </r>
  <r>
    <s v="WLY US Equity"/>
    <s v="WILEY JOHN&amp;SON-A"/>
    <s v="Industrials"/>
    <s v="Industrial Services"/>
    <x v="15"/>
    <s v="UNITED STATES"/>
    <n v="1.64"/>
    <n v="4"/>
    <n v="0"/>
    <n v="41.531851361415157"/>
  </r>
  <r>
    <s v="WM US Equity"/>
    <s v="WASTE MANAGEMENT"/>
    <s v="Industrials"/>
    <s v="Industrial Services"/>
    <x v="15"/>
    <s v="UNITED STATES"/>
    <n v="92.35"/>
    <n v="4.4000000000000004"/>
    <n v="458460"/>
    <n v="69.662106020861501"/>
  </r>
  <r>
    <s v="WMB US Equity"/>
    <s v="WILLIAMS COS INC"/>
    <s v="Energy"/>
    <s v="Oil &amp; Gas"/>
    <x v="20"/>
    <s v="UNITED STATES"/>
    <n v="79.33"/>
    <n v="4.28"/>
    <n v="0"/>
    <n v="73.048110106305558"/>
  </r>
  <r>
    <s v="WMG US Equity"/>
    <s v="WARNER MUSIC-A"/>
    <s v="Communications"/>
    <s v="Media"/>
    <x v="47"/>
    <s v="UNITED STATES"/>
    <n v="15.84"/>
    <n v="4.4000000000000004"/>
    <n v="2170548"/>
    <n v="50.179956211452009"/>
  </r>
  <r>
    <s v="WMK US Equity"/>
    <s v="WEIS MARKETS INC"/>
    <s v="Consumer Staples"/>
    <s v="Retail &amp; Wholesale - Staples"/>
    <x v="33"/>
    <s v="UNITED STATES"/>
    <n v="1.7"/>
    <n v="0"/>
    <n v="34370"/>
    <n v="54.20497268314999"/>
  </r>
  <r>
    <s v="WMS US Equity"/>
    <s v="ADVANCED DRAINAG"/>
    <s v="Materials"/>
    <s v="Materials"/>
    <x v="48"/>
    <s v="UNITED STATES"/>
    <n v="11.9"/>
    <n v="4.6399999999999997"/>
    <n v="0"/>
    <n v="69.925689102038106"/>
  </r>
  <r>
    <s v="WMT US Equity"/>
    <s v="WALMART INC"/>
    <s v="Consumer Staples"/>
    <s v="Retail &amp; Wholesale - Staples"/>
    <x v="33"/>
    <s v="UNITED STATES"/>
    <n v="938.33"/>
    <n v="4.78"/>
    <n v="0"/>
    <n v="67.003644369069264"/>
  </r>
  <r>
    <s v="WNC US Equity"/>
    <s v="WABASH NATIONAL"/>
    <s v="Industrials"/>
    <s v="Industrial Products"/>
    <x v="44"/>
    <s v="UNITED STATES"/>
    <n v="0.41"/>
    <n v="4"/>
    <n v="0"/>
    <n v="73.84881828684783"/>
  </r>
  <r>
    <s v="WOLF US Equity"/>
    <s v="WOLFSPEED INC"/>
    <s v="Technology"/>
    <s v="Tech Hardware &amp; Semiconductors"/>
    <x v="17"/>
    <s v="UNITED STATES"/>
    <n v="0.47"/>
    <n v="2.67"/>
    <n v="0"/>
    <n v="52.17451357160985"/>
  </r>
  <r>
    <s v="WOOF US Equity"/>
    <s v="PETCO HEALTH AND"/>
    <s v="Consumer Discretionary"/>
    <s v="Retail &amp; Whsle - Discretionary"/>
    <x v="10"/>
    <s v="UNITED STATES"/>
    <n v="0.83"/>
    <n v="2.85"/>
    <n v="0"/>
    <n v="33.766607686599329"/>
  </r>
  <r>
    <s v="WOR US Equity"/>
    <s v="WORTHINGTON ENTE"/>
    <s v="Industrials"/>
    <s v="Industrial Products"/>
    <x v="52"/>
    <s v="UNITED STATES"/>
    <n v="2.63"/>
    <n v="3.75"/>
    <n v="532485"/>
    <n v="67.170829531935723"/>
  </r>
  <r>
    <s v="WPC US Equity"/>
    <s v="WP CAREY INC"/>
    <s v="Real Estate"/>
    <s v="Real Estate"/>
    <x v="37"/>
    <s v="UNITED STATES"/>
    <n v="15.2"/>
    <n v="3.14"/>
    <n v="0"/>
    <n v="66.702920763156328"/>
  </r>
  <r>
    <s v="WPM US Equity"/>
    <s v="WHEATON PRECIOUS"/>
    <s v="Materials"/>
    <s v="Materials"/>
    <x v="22"/>
    <s v="CANADA"/>
    <n v="66.36"/>
    <n v="4.88"/>
    <n v="173930"/>
    <n v="61.215772981316292"/>
  </r>
  <r>
    <s v="WPP US Equity"/>
    <s v="WPP PLC-ADR"/>
    <s v="Communications"/>
    <s v="Media"/>
    <x v="53"/>
    <s v="BRITAIN"/>
    <n v="4.76"/>
    <n v="3"/>
    <n v="0"/>
    <n v="36.281012329956994"/>
  </r>
  <r>
    <s v="WRB US Equity"/>
    <s v="WR BERKLEY CORP"/>
    <s v="Financials"/>
    <s v="Insurance"/>
    <x v="23"/>
    <s v="UNITED STATES"/>
    <n v="25.51"/>
    <n v="2.8"/>
    <n v="0"/>
    <n v="60.641713365656358"/>
  </r>
  <r>
    <s v="WRBY US Equity"/>
    <s v="WARBY PARKER-A"/>
    <s v="Consumer Discretionary"/>
    <s v="Retail &amp; Whsle - Discretionary"/>
    <x v="10"/>
    <s v="UNITED STATES"/>
    <n v="3.26"/>
    <n v="4.2699999999999996"/>
    <n v="0"/>
    <n v="37.850391032496255"/>
  </r>
  <r>
    <s v="WRD US Equity"/>
    <s v="WERIDE INC-ADR"/>
    <s v="Consumer Discretionary"/>
    <s v="Consumer Discretionary Products"/>
    <x v="8"/>
    <s v="CHINA"/>
    <n v="3.02"/>
    <n v="4.93"/>
    <n v="0"/>
    <n v="39.257741109273759"/>
  </r>
  <r>
    <s v="WRLD US Equity"/>
    <s v="WORLD ACCEPTANCE"/>
    <s v="Financials"/>
    <s v="Financial Services"/>
    <x v="35"/>
    <s v="UNITED STATES"/>
    <n v="0.7"/>
    <n v="3"/>
    <n v="0"/>
    <n v="47.245723825323509"/>
  </r>
  <r>
    <s v="WRN US Equity"/>
    <s v="WESTERN COPPER"/>
    <s v="Materials"/>
    <s v="Materials"/>
    <x v="22"/>
    <s v="CANADA"/>
    <n v="0.76"/>
    <n v="4.8600000000000003"/>
    <n v="18900"/>
    <n v="49.19506486055419"/>
  </r>
  <r>
    <s v="WS US Equity"/>
    <s v="WORTHINGTON STEE"/>
    <s v="Materials"/>
    <s v="Materials"/>
    <x v="56"/>
    <s v="UNITED STATES"/>
    <n v="2.0499999999999998"/>
    <n v="4"/>
    <n v="0"/>
    <n v="77.458180929479653"/>
  </r>
  <r>
    <s v="WSBC US Equity"/>
    <s v="WESBANCO INC"/>
    <s v="Financials"/>
    <s v="Banking"/>
    <x v="26"/>
    <s v="UNITED STATES"/>
    <n v="3.33"/>
    <n v="4.1399999999999997"/>
    <n v="115139"/>
    <n v="59.651363874536152"/>
  </r>
  <r>
    <s v="WSBK US Equity"/>
    <s v="WINCHESTER BANCO"/>
    <s v="Financials"/>
    <s v="Banking"/>
    <x v="26"/>
    <s v="UNITED STATES"/>
    <n v="0.1"/>
    <n v="0"/>
    <n v="0"/>
    <n v="76.763201811788321"/>
  </r>
  <r>
    <s v="WSC US Equity"/>
    <s v="WILLSCOT HOLDING"/>
    <s v="Industrials"/>
    <s v="Industrial Services"/>
    <x v="43"/>
    <s v="UNITED STATES"/>
    <n v="3.84"/>
    <n v="3.8"/>
    <n v="105600"/>
    <n v="57.941303192762135"/>
  </r>
  <r>
    <s v="WSFS US Equity"/>
    <s v="WSFS FINANCIAL"/>
    <s v="Financials"/>
    <s v="Banking"/>
    <x v="26"/>
    <s v="UNITED STATES"/>
    <n v="3.16"/>
    <n v="3.8"/>
    <n v="0"/>
    <n v="66.885494932069605"/>
  </r>
  <r>
    <s v="WSM US Equity"/>
    <s v="WILLIAMS-SONOMA"/>
    <s v="Consumer Discretionary"/>
    <s v="Retail &amp; Whsle - Discretionary"/>
    <x v="10"/>
    <s v="UNITED STATES"/>
    <n v="24.41"/>
    <n v="3.4"/>
    <n v="0"/>
    <n v="56.512493798210308"/>
  </r>
  <r>
    <s v="WSO US Equity"/>
    <s v="WATSCO INC"/>
    <s v="Industrials"/>
    <s v="Industrial Services"/>
    <x v="43"/>
    <s v="UNITED STATES"/>
    <n v="15.53"/>
    <n v="3.13"/>
    <n v="0"/>
    <n v="76.250955205208484"/>
  </r>
  <r>
    <s v="WSR US Equity"/>
    <s v="WHITESTONE REI"/>
    <s v="Real Estate"/>
    <s v="Real Estate"/>
    <x v="37"/>
    <s v="UNITED STATES"/>
    <n v="0.72"/>
    <n v="4.63"/>
    <n v="0"/>
    <n v="69.874684706382638"/>
  </r>
  <r>
    <s v="WST US Equity"/>
    <s v="WEST PHARMACEUT"/>
    <s v="Health Care"/>
    <s v="Health Care"/>
    <x v="9"/>
    <s v="UNITED STATES"/>
    <n v="17.03"/>
    <n v="4.53"/>
    <n v="0"/>
    <n v="47.043578819813746"/>
  </r>
  <r>
    <s v="WT US Equity"/>
    <s v="WISDOMTREE INC"/>
    <s v="Financials"/>
    <s v="Financial Services"/>
    <x v="24"/>
    <s v="UNITED STATES"/>
    <n v="2.29"/>
    <n v="4.33"/>
    <n v="0"/>
    <n v="61.24574943015088"/>
  </r>
  <r>
    <s v="WTFC US Equity"/>
    <s v="WINTRUST FINL"/>
    <s v="Financials"/>
    <s v="Banking"/>
    <x v="26"/>
    <s v="UNITED STATES"/>
    <n v="9.7799999999999994"/>
    <n v="4.75"/>
    <n v="0"/>
    <n v="58.018338373752002"/>
  </r>
  <r>
    <s v="WTRG US Equity"/>
    <s v="ESSENTIAL UTILIT"/>
    <s v="Utilities"/>
    <s v="Utilities"/>
    <x v="57"/>
    <s v="UNITED STATES"/>
    <n v="11.09"/>
    <n v="3.44"/>
    <n v="0"/>
    <n v="44.253488732270725"/>
  </r>
  <r>
    <s v="WTS US Equity"/>
    <s v="WATTS WATER TE-A"/>
    <s v="Industrials"/>
    <s v="Industrial Products"/>
    <x v="3"/>
    <s v="UNITED STATES"/>
    <n v="9.99"/>
    <n v="3.33"/>
    <n v="0"/>
    <n v="66.922148801780935"/>
  </r>
  <r>
    <s v="WTTR US Equity"/>
    <s v="SELECT WATER SOL"/>
    <s v="Energy"/>
    <s v="Oil &amp; Gas"/>
    <x v="30"/>
    <s v="UNITED STATES"/>
    <n v="1.45"/>
    <n v="4.71"/>
    <n v="0"/>
    <n v="66.956462882108752"/>
  </r>
  <r>
    <s v="WTW US Equity"/>
    <s v="WILLIS TOWERS WA"/>
    <s v="Financials"/>
    <s v="Insurance"/>
    <x v="23"/>
    <s v="BRITAIN"/>
    <n v="30.91"/>
    <n v="4.22"/>
    <n v="0"/>
    <n v="27.263511205262247"/>
  </r>
  <r>
    <s v="WU US Equity"/>
    <s v="WESTERN UNION"/>
    <s v="Financials"/>
    <s v="Financial Services"/>
    <x v="35"/>
    <s v="UNITED STATES"/>
    <n v="3.02"/>
    <n v="2.33"/>
    <n v="1935675"/>
    <n v="57.492897755321728"/>
  </r>
  <r>
    <s v="WULF US Equity"/>
    <s v="TERAWULF INC"/>
    <s v="Financials"/>
    <s v="Financial Services"/>
    <x v="24"/>
    <s v="UNITED STATES"/>
    <n v="5.91"/>
    <n v="4.92"/>
    <n v="58993"/>
    <n v="58.233793554228235"/>
  </r>
  <r>
    <s v="WVE US Equity"/>
    <s v="WAVE LIFE SCIENC"/>
    <s v="Health Care"/>
    <s v="Health Care"/>
    <x v="25"/>
    <s v="SINGAPORE"/>
    <n v="2.37"/>
    <n v="5"/>
    <n v="0"/>
    <n v="46.073426564494653"/>
  </r>
  <r>
    <s v="WW US Equity"/>
    <s v="WW INTERNATIONAL"/>
    <s v="Consumer Discretionary"/>
    <s v="Consumer Discretionary Services"/>
    <x v="41"/>
    <s v="UNITED STATES"/>
    <n v="0.22"/>
    <n v="3.5"/>
    <n v="638963"/>
    <n v="50.284275336723219"/>
  </r>
  <r>
    <s v="WWD US Equity"/>
    <s v="WOODWARD INC"/>
    <s v="Industrials"/>
    <s v="Industrial Products"/>
    <x v="32"/>
    <s v="UNITED STATES"/>
    <n v="19.62"/>
    <n v="4.45"/>
    <n v="0"/>
    <n v="77.011820584109941"/>
  </r>
  <r>
    <s v="WWW US Equity"/>
    <s v="WOLVERINE WORLD"/>
    <s v="Consumer Discretionary"/>
    <s v="Consumer Discretionary Products"/>
    <x v="5"/>
    <s v="UNITED STATES"/>
    <n v="1.48"/>
    <n v="3.91"/>
    <n v="869465"/>
    <n v="46.760694034266415"/>
  </r>
  <r>
    <s v="WY US Equity"/>
    <s v="WEYERHAEUSER CO"/>
    <s v="Real Estate"/>
    <s v="Real Estate"/>
    <x v="37"/>
    <s v="UNITED STATES"/>
    <n v="19.23"/>
    <n v="4.43"/>
    <n v="226695"/>
    <n v="68.31366572789436"/>
  </r>
  <r>
    <s v="WYFI US Equity"/>
    <s v="WHITEFIBER INC"/>
    <s v="Technology"/>
    <s v="Software &amp; Tech Services"/>
    <x v="14"/>
    <s v="UNITED STATES"/>
    <n v="0.77"/>
    <n v="4.9000000000000004"/>
    <n v="0"/>
    <n v="49.609274039863642"/>
  </r>
  <r>
    <s v="WYNN US Equity"/>
    <s v="WYNN RESORTS LTD"/>
    <s v="Consumer Discretionary"/>
    <s v="Consumer Discretionary Services"/>
    <x v="6"/>
    <s v="UNITED STATES"/>
    <n v="11.81"/>
    <n v="4.7699999999999996"/>
    <n v="0"/>
    <n v="49.83131399198642"/>
  </r>
  <r>
    <s v="XBI US Equity"/>
    <s v="SPDR S&amp;P Biotech ETF "/>
    <s v="Financials"/>
    <s v="Financial Services"/>
    <x v="99"/>
    <s v="UNITED STATES"/>
    <n v="8.82"/>
    <n v="0"/>
    <n v="0"/>
    <n v="49.157725785771127"/>
  </r>
  <r>
    <s v="XEL US Equity"/>
    <s v="XCEL ENERGY INC"/>
    <s v="Utilities"/>
    <s v="Utilities"/>
    <x v="38"/>
    <s v="UNITED STATES"/>
    <n v="44.37"/>
    <n v="4.58"/>
    <n v="0"/>
    <n v="63.138372526797447"/>
  </r>
  <r>
    <s v="XENE US Equity"/>
    <s v="XENON PHARMACEUT"/>
    <s v="Health Care"/>
    <s v="Health Care"/>
    <x v="25"/>
    <s v="CANADA"/>
    <n v="3.23"/>
    <n v="5"/>
    <n v="0"/>
    <n v="54.450273376248589"/>
  </r>
  <r>
    <s v="XERS US Equity"/>
    <s v="XERIS BIOPHARMA"/>
    <s v="Health Care"/>
    <s v="Health Care"/>
    <x v="25"/>
    <s v="UNITED STATES"/>
    <n v="1.23"/>
    <n v="4.71"/>
    <n v="0"/>
    <n v="41.173395790946721"/>
  </r>
  <r>
    <s v="XFLT US Equity"/>
    <s v="XAI-OCT F/R &amp; AL"/>
    <s v="Financials"/>
    <s v="Financial Services"/>
    <x v="24"/>
    <s v="UNITED STATES"/>
    <n v="0.35"/>
    <n v="0"/>
    <n v="0"/>
    <n v="23.989139337167856"/>
  </r>
  <r>
    <s v="XFOR US Equity"/>
    <s v="X4 PHARMACEUTICA"/>
    <s v="Health Care"/>
    <s v="Health Care"/>
    <x v="25"/>
    <s v="UNITED STATES"/>
    <n v="0.32"/>
    <n v="5"/>
    <n v="318962"/>
    <n v="39.559295549812717"/>
  </r>
  <r>
    <s v="XHB US Equity"/>
    <s v="SPDR S&amp;P Homebuilders ETF "/>
    <s v="Financials"/>
    <s v="Financial Services"/>
    <x v="100"/>
    <s v="UNITED STATES"/>
    <n v="1.85"/>
    <n v="0"/>
    <n v="0"/>
    <n v="70.535072000873299"/>
  </r>
  <r>
    <s v="XHR US Equity"/>
    <s v="XENIA HOTELS &amp; R"/>
    <s v="Real Estate"/>
    <s v="Real Estate"/>
    <x v="37"/>
    <s v="UNITED STATES"/>
    <n v="1.44"/>
    <n v="4.1399999999999997"/>
    <n v="0"/>
    <n v="67.738237385157319"/>
  </r>
  <r>
    <s v="XIACY US Equity"/>
    <s v="XIAOMI CORP - UN"/>
    <s v="Technology"/>
    <s v="Tech Hardware &amp; Semiconductors"/>
    <x v="16"/>
    <s v="CHINA"/>
    <n v="121.22"/>
    <n v="5"/>
    <n v="0"/>
    <n v="52.791078663207941"/>
  </r>
  <r>
    <s v="XIFR US Equity"/>
    <s v="XPLR INFRASTRUCT"/>
    <s v="Utilities"/>
    <s v="Utilities"/>
    <x v="38"/>
    <s v="UNITED STATES"/>
    <n v="1.86"/>
    <n v="3"/>
    <n v="0"/>
    <n v="70.771052463765187"/>
  </r>
  <r>
    <s v="XLB US Equity"/>
    <s v="Materials Select Sector SPDR Fund "/>
    <s v="Financials"/>
    <s v="Financial Services"/>
    <x v="101"/>
    <s v="UNITED STATES"/>
    <n v="6.03"/>
    <n v="0"/>
    <n v="0"/>
    <n v="75.243602301937244"/>
  </r>
  <r>
    <s v="XLE US Equity"/>
    <s v="Energy Select SPDR Fund "/>
    <s v="Financials"/>
    <s v="Financial Services"/>
    <x v="102"/>
    <s v="UNITED STATES"/>
    <n v="30.48"/>
    <n v="0"/>
    <n v="0"/>
    <n v="78.807730718220711"/>
  </r>
  <r>
    <s v="XLF US Equity"/>
    <s v="Financial Select SPDR Fund "/>
    <s v="Financials"/>
    <s v="Financial Services"/>
    <x v="103"/>
    <s v="UNITED STATES"/>
    <n v="54.87"/>
    <n v="0"/>
    <n v="0"/>
    <n v="41.053884480676373"/>
  </r>
  <r>
    <s v="XLI US Equity"/>
    <s v="Industrial Select SPDR Fund "/>
    <s v="Financials"/>
    <s v="Financial Services"/>
    <x v="104"/>
    <s v="UNITED STATES"/>
    <n v="27.49"/>
    <n v="0"/>
    <n v="0"/>
    <n v="74.871540905449862"/>
  </r>
  <r>
    <s v="XLP US Equity"/>
    <s v="Consumer Staples Select SPDR Fund "/>
    <s v="Financials"/>
    <s v="Financial Services"/>
    <x v="105"/>
    <s v="UNITED STATES"/>
    <n v="16.13"/>
    <n v="0"/>
    <n v="0"/>
    <n v="78.345819692238081"/>
  </r>
  <r>
    <s v="XLU US Equity"/>
    <s v="Utilities Select SPDR Fund "/>
    <s v="Financials"/>
    <s v="Financial Services"/>
    <x v="106"/>
    <s v="UNITED STATES"/>
    <n v="21.76"/>
    <n v="0"/>
    <n v="0"/>
    <n v="66.794519436584693"/>
  </r>
  <r>
    <s v="XLV US Equity"/>
    <s v="Health Care Select SPDR Fund "/>
    <s v="Financials"/>
    <s v="Financial Services"/>
    <x v="107"/>
    <s v="UNITED STATES"/>
    <n v="41.85"/>
    <n v="0"/>
    <n v="0"/>
    <n v="51.467150952145317"/>
  </r>
  <r>
    <s v="XLY US Equity"/>
    <s v="Consumer Discretionary SPDR Fund "/>
    <s v="Financials"/>
    <s v="Financial Services"/>
    <x v="108"/>
    <s v="UNITED STATES"/>
    <n v="24.17"/>
    <n v="0"/>
    <n v="0"/>
    <n v="39.377753570371993"/>
  </r>
  <r>
    <s v="XME US Equity"/>
    <s v="SPDR S&amp;P Metals &amp; Mining ETF "/>
    <s v="Financials"/>
    <s v="Financial Services"/>
    <x v="109"/>
    <s v="UNITED STATES"/>
    <n v="5.13"/>
    <n v="0"/>
    <n v="0"/>
    <n v="54.796907517321202"/>
  </r>
  <r>
    <s v="XMTR US Equity"/>
    <s v="XOMETRY INC-A"/>
    <s v="Industrials"/>
    <s v="Industrial Products"/>
    <x v="52"/>
    <s v="UNITED STATES"/>
    <n v="3.15"/>
    <n v="4.0999999999999996"/>
    <n v="0"/>
    <n v="50.562265271101445"/>
  </r>
  <r>
    <s v="XNCR US Equity"/>
    <s v="XENCOR INC"/>
    <s v="Health Care"/>
    <s v="Health Care"/>
    <x v="25"/>
    <s v="UNITED STATES"/>
    <n v="0.91"/>
    <n v="4.8600000000000003"/>
    <n v="0"/>
    <n v="43.106409900111466"/>
  </r>
  <r>
    <s v="XNET US Equity"/>
    <s v="XUNLEI LTD-ADR"/>
    <s v="Technology"/>
    <s v="Software &amp; Tech Services"/>
    <x v="14"/>
    <s v="CHINA"/>
    <n v="0.45"/>
    <n v="5"/>
    <n v="0"/>
    <n v="35.402981037528335"/>
  </r>
  <r>
    <s v="XOM US Equity"/>
    <s v="EXXON MOBIL CORP"/>
    <s v="Energy"/>
    <s v="Oil &amp; Gas"/>
    <x v="20"/>
    <s v="UNITED STATES"/>
    <n v="569.19000000000005"/>
    <n v="4.09"/>
    <n v="0"/>
    <n v="82.30503397539556"/>
  </r>
  <r>
    <s v="XOMA US Equity"/>
    <s v="XOMA ROYALTY COR"/>
    <s v="Health Care"/>
    <s v="Health Care"/>
    <x v="25"/>
    <s v="UNITED STATES"/>
    <n v="0.33"/>
    <n v="5"/>
    <n v="2670000"/>
    <n v="37.048731288883651"/>
  </r>
  <r>
    <s v="XOP US Equity"/>
    <s v="SPDR S&amp;P Oil &amp; Gas Exploration &amp; Production ETF "/>
    <s v="Financials"/>
    <s v="Financial Services"/>
    <x v="110"/>
    <s v="UNITED STATES"/>
    <n v="2.16"/>
    <n v="0"/>
    <n v="0"/>
    <n v="71.116427611527598"/>
  </r>
  <r>
    <s v="XP US Equity"/>
    <s v="XP INC - CLASS A"/>
    <s v="Financials"/>
    <s v="Financial Services"/>
    <x v="24"/>
    <s v="BRAZIL"/>
    <n v="10.85"/>
    <n v="4.43"/>
    <n v="0"/>
    <n v="61.228967736988501"/>
  </r>
  <r>
    <s v="XPEL US Equity"/>
    <s v="XPEL INC"/>
    <s v="Consumer Discretionary"/>
    <s v="Consumer Discretionary Products"/>
    <x v="8"/>
    <s v="UNITED STATES"/>
    <n v="1.49"/>
    <n v="5"/>
    <n v="0"/>
    <n v="60.311978186598225"/>
  </r>
  <r>
    <s v="XPEV US Equity"/>
    <s v="XPENG INC-ADR"/>
    <s v="Consumer Discretionary"/>
    <s v="Consumer Discretionary Products"/>
    <x v="8"/>
    <s v="CHINA"/>
    <n v="18.399999999999999"/>
    <n v="4.47"/>
    <n v="0"/>
    <n v="45.256682927935323"/>
  </r>
  <r>
    <s v="XPO US Equity"/>
    <s v="XPO INC"/>
    <s v="Industrials"/>
    <s v="Industrial Services"/>
    <x v="12"/>
    <s v="UNITED STATES"/>
    <n v="17.29"/>
    <n v="4.3499999999999996"/>
    <n v="0"/>
    <n v="77.871064688463676"/>
  </r>
  <r>
    <s v="XPOF US Equity"/>
    <s v="XPONENTIAL FIT-A"/>
    <s v="Consumer Discretionary"/>
    <s v="Consumer Discretionary Services"/>
    <x v="6"/>
    <s v="UNITED STATES"/>
    <n v="0.39"/>
    <n v="4"/>
    <n v="555100"/>
    <n v="53.314284893538492"/>
  </r>
  <r>
    <s v="XPRO US Equity"/>
    <s v="EXPRO GROUP HOLD"/>
    <s v="Energy"/>
    <s v="Oil &amp; Gas"/>
    <x v="30"/>
    <s v="UNITED STATES"/>
    <n v="1.81"/>
    <n v="3.67"/>
    <n v="0"/>
    <n v="62.180037880789939"/>
  </r>
  <r>
    <s v="XRAY US Equity"/>
    <s v="DENTSPLY SIRONA"/>
    <s v="Health Care"/>
    <s v="Health Care"/>
    <x v="9"/>
    <s v="UNITED STATES"/>
    <n v="2.54"/>
    <n v="3.21"/>
    <n v="118860"/>
    <n v="65.09067477962256"/>
  </r>
  <r>
    <s v="XRPN US Equity"/>
    <s v="ARMADA ACQUISI-A"/>
    <s v="Financials"/>
    <s v="Financial Services"/>
    <x v="24"/>
    <s v="UNITED STATES"/>
    <n v="0.32"/>
    <n v="0"/>
    <n v="0"/>
    <n v="50.911666682224258"/>
  </r>
  <r>
    <s v="XRT US Equity"/>
    <s v="SPDR S&amp;P Retail ETF "/>
    <s v="Financials"/>
    <s v="Financial Services"/>
    <x v="111"/>
    <s v="UNITED STATES"/>
    <n v="0.67"/>
    <n v="0"/>
    <n v="0"/>
    <n v="46.770300804015626"/>
  </r>
  <r>
    <s v="XRX US Equity"/>
    <s v="XEROX HOLDINGS C"/>
    <s v="Technology"/>
    <s v="Tech Hardware &amp; Semiconductors"/>
    <x v="16"/>
    <s v="UNITED STATES"/>
    <n v="0.28999999999999998"/>
    <n v="2"/>
    <n v="80339"/>
    <n v="41.922206167162315"/>
  </r>
  <r>
    <s v="XWIN US Equity"/>
    <s v="XMAX INC"/>
    <s v="Consumer Discretionary"/>
    <s v="Consumer Discretionary Products"/>
    <x v="29"/>
    <s v="UNITED STATES"/>
    <n v="0.25"/>
    <n v="0"/>
    <n v="0"/>
    <n v="57.78468420856565"/>
  </r>
  <r>
    <s v="XXI US Equity"/>
    <s v="TWENTY ONE CAP-A"/>
    <s v="Financials"/>
    <s v="Financial Services"/>
    <x v="35"/>
    <s v="UNITED STATES"/>
    <n v="2.92"/>
    <n v="0"/>
    <n v="0"/>
    <n v="27.683471701092273"/>
  </r>
  <r>
    <s v="XYF US Equity"/>
    <s v="X FINANCIAL-ADR"/>
    <s v="Financials"/>
    <s v="Financial Services"/>
    <x v="35"/>
    <s v="CHINA"/>
    <n v="0.33"/>
    <n v="0"/>
    <n v="0"/>
    <n v="37.27532347496004"/>
  </r>
  <r>
    <s v="XYL US Equity"/>
    <s v="XYLEM INC"/>
    <s v="Industrials"/>
    <s v="Industrial Products"/>
    <x v="3"/>
    <s v="UNITED STATES"/>
    <n v="34.39"/>
    <n v="4.25"/>
    <n v="0"/>
    <n v="32.206352132113452"/>
  </r>
  <r>
    <s v="XYZ US Equity"/>
    <s v="BLOCK INC"/>
    <s v="Financials"/>
    <s v="Financial Services"/>
    <x v="35"/>
    <s v="UNITED STATES"/>
    <n v="40.61"/>
    <n v="4.2300000000000004"/>
    <n v="0"/>
    <n v="32.454218014091097"/>
  </r>
  <r>
    <s v="XZO US Equity"/>
    <s v="EXZEO GROUP INC"/>
    <s v="Financials"/>
    <s v="Insurance"/>
    <x v="23"/>
    <s v="UNITED STATES"/>
    <n v="1.93"/>
    <n v="4.75"/>
    <n v="2104175"/>
    <n v="24.548335167518189"/>
  </r>
  <r>
    <s v="YALA US Equity"/>
    <s v="YALLA GROUP LTD"/>
    <s v="Technology"/>
    <s v="Software &amp; Tech Services"/>
    <x v="14"/>
    <s v="UAE"/>
    <n v="1.1299999999999999"/>
    <n v="4.33"/>
    <n v="0"/>
    <n v="58.098557899571716"/>
  </r>
  <r>
    <s v="YB US Equity"/>
    <s v="YUANBAO INC -ADR"/>
    <s v="Financials"/>
    <s v="Insurance"/>
    <x v="23"/>
    <s v="CHINA"/>
    <n v="0.93"/>
    <n v="5"/>
    <n v="0"/>
    <n v="48.245706422039156"/>
  </r>
  <r>
    <s v="YCA LN Equity"/>
    <s v="YELLOW CAKE PLC"/>
    <s v="Materials"/>
    <s v="Materials"/>
    <x v="22"/>
    <s v="BRITAIN"/>
    <n v="2.2200000000000002"/>
    <n v="5"/>
    <n v="0"/>
    <n v="51.018349240665273"/>
  </r>
  <r>
    <s v="YDDL US Equity"/>
    <s v="ONE AND ONE GR-A"/>
    <s v="Industrials"/>
    <s v="Industrial Services"/>
    <x v="15"/>
    <s v="PHILIPPINES"/>
    <n v="0.4"/>
    <n v="0"/>
    <n v="0"/>
    <n v="61.28505258407904"/>
  </r>
  <r>
    <s v="YDES US Equity"/>
    <s v="YD BIO LTD"/>
    <s v="Health Care"/>
    <s v="Health Care"/>
    <x v="25"/>
    <s v="TAIWAN"/>
    <n v="0.87"/>
    <n v="0"/>
    <n v="0"/>
    <n v="44.135577173724862"/>
  </r>
  <r>
    <s v="YELP US Equity"/>
    <s v="YELP INC"/>
    <s v="Communications"/>
    <s v="Media"/>
    <x v="13"/>
    <s v="UNITED STATES"/>
    <n v="1.74"/>
    <n v="3"/>
    <n v="0"/>
    <n v="21.210254090381895"/>
  </r>
  <r>
    <s v="YETI US Equity"/>
    <s v="YETI HOLDINGS IN"/>
    <s v="Consumer Discretionary"/>
    <s v="Consumer Discretionary Products"/>
    <x v="55"/>
    <s v="UNITED STATES"/>
    <n v="3.69"/>
    <n v="3.78"/>
    <n v="0"/>
    <n v="54.068168230730642"/>
  </r>
  <r>
    <s v="YEXT US Equity"/>
    <s v="YEXT INC"/>
    <s v="Technology"/>
    <s v="Software &amp; Tech Services"/>
    <x v="14"/>
    <s v="UNITED STATES"/>
    <n v="0.93"/>
    <n v="4.5"/>
    <n v="0"/>
    <n v="30.241658792106236"/>
  </r>
  <r>
    <s v="YMM US Equity"/>
    <s v="FULL TRUCK A-ADR"/>
    <s v="Industrials"/>
    <s v="Industrial Services"/>
    <x v="12"/>
    <s v="CHINA"/>
    <n v="10.26"/>
    <n v="4.6500000000000004"/>
    <n v="0"/>
    <n v="41.992127029922656"/>
  </r>
  <r>
    <s v="YMT US Equity"/>
    <s v="YIMUTIAN INC"/>
    <s v="Technology"/>
    <s v="Software &amp; Tech Services"/>
    <x v="14"/>
    <s v="CHINA"/>
    <n v="16.559999999999999"/>
    <n v="0"/>
    <n v="0"/>
    <n v="28.750905481923439"/>
  </r>
  <r>
    <s v="YORW US Equity"/>
    <s v="YORK WATER CO"/>
    <s v="Utilities"/>
    <s v="Utilities"/>
    <x v="57"/>
    <s v="UNITED STATES"/>
    <n v="0.48"/>
    <n v="5"/>
    <n v="41541"/>
    <n v="44.407896596548952"/>
  </r>
  <r>
    <s v="YOU US Equity"/>
    <s v="CLEAR SECURE I-A"/>
    <s v="Technology"/>
    <s v="Software &amp; Tech Services"/>
    <x v="14"/>
    <s v="UNITED STATES"/>
    <n v="4.7699999999999996"/>
    <n v="4"/>
    <n v="0"/>
    <n v="41.220762987170303"/>
  </r>
  <r>
    <s v="YPF US Equity"/>
    <s v="YPF SA-ADR"/>
    <s v="Energy"/>
    <s v="Oil &amp; Gas"/>
    <x v="20"/>
    <s v="ARGENTINA"/>
    <n v="14.29"/>
    <n v="4.5599999999999996"/>
    <n v="0"/>
    <n v="60.063877634244847"/>
  </r>
  <r>
    <s v="YRD US Equity"/>
    <s v="YIREN DIGITAL LT"/>
    <s v="Financials"/>
    <s v="Financial Services"/>
    <x v="35"/>
    <s v="CHINA"/>
    <n v="0.33"/>
    <n v="0"/>
    <n v="0"/>
    <n v="38.252618939801252"/>
  </r>
  <r>
    <s v="YSG US Equity"/>
    <s v="YATSEN HOLD-ADR"/>
    <s v="Consumer Discretionary"/>
    <s v="Retail &amp; Whsle - Discretionary"/>
    <x v="51"/>
    <s v="CHINA"/>
    <n v="0.4"/>
    <n v="5"/>
    <n v="0"/>
    <n v="45.89552477463269"/>
  </r>
  <r>
    <s v="YTRA US Equity"/>
    <s v="YATRA ONLINE INC"/>
    <s v="Communications"/>
    <s v="Media"/>
    <x v="13"/>
    <s v="INDIA"/>
    <n v="0.11"/>
    <n v="5"/>
    <n v="0"/>
    <n v="42.517254482153113"/>
  </r>
  <r>
    <s v="YUM US Equity"/>
    <s v="YUM! BRANDS INC"/>
    <s v="Consumer Discretionary"/>
    <s v="Consumer Discretionary Services"/>
    <x v="6"/>
    <s v="UNITED STATES"/>
    <n v="42.47"/>
    <n v="3.81"/>
    <n v="0"/>
    <n v="57.577297323824325"/>
  </r>
  <r>
    <s v="YUMC US Equity"/>
    <s v="YUM CHINA HO"/>
    <s v="Consumer Discretionary"/>
    <s v="Consumer Discretionary Services"/>
    <x v="6"/>
    <s v="CHINA"/>
    <n v="17.41"/>
    <n v="4.74"/>
    <n v="0"/>
    <n v="68.981346349943436"/>
  </r>
  <r>
    <s v="Z US Equity"/>
    <s v="ZILLOW GRO-C"/>
    <s v="Communications"/>
    <s v="Media"/>
    <x v="13"/>
    <s v="UNITED STATES"/>
    <n v="16.41"/>
    <n v="3.73"/>
    <n v="0"/>
    <n v="18.509782579628762"/>
  </r>
  <r>
    <s v="ZBH US Equity"/>
    <s v="ZIMMER BIOMET HO"/>
    <s v="Health Care"/>
    <s v="Health Care"/>
    <x v="9"/>
    <s v="UNITED STATES"/>
    <n v="17.16"/>
    <n v="3.38"/>
    <n v="0"/>
    <n v="70.008204525317254"/>
  </r>
  <r>
    <s v="ZBIO US Equity"/>
    <s v="ZENAS BIOPHARMA"/>
    <s v="Health Care"/>
    <s v="Health Care"/>
    <x v="25"/>
    <s v="UNITED STATES"/>
    <n v="1.08"/>
    <n v="4.75"/>
    <n v="4260607"/>
    <n v="51.373508236440102"/>
  </r>
  <r>
    <s v="ZBRA US Equity"/>
    <s v="ZEBRA TECH CORP"/>
    <s v="Technology"/>
    <s v="Tech Hardware &amp; Semiconductors"/>
    <x v="16"/>
    <s v="UNITED STATES"/>
    <n v="12.19"/>
    <n v="4.33"/>
    <n v="240540"/>
    <n v="53.202202940780523"/>
  </r>
  <r>
    <s v="ZD US Equity"/>
    <s v="ZIFF DAVIS INC"/>
    <s v="Communications"/>
    <s v="Media"/>
    <x v="13"/>
    <s v="UNITED STATES"/>
    <n v="1.51"/>
    <n v="3.71"/>
    <n v="0"/>
    <n v="34.738506351939435"/>
  </r>
  <r>
    <s v="ZEPP US Equity"/>
    <s v="ZEPP HEALTH-ADR"/>
    <s v="Technology"/>
    <s v="Tech Hardware &amp; Semiconductors"/>
    <x v="16"/>
    <s v="NETHERLANDS"/>
    <n v="0.32"/>
    <n v="5"/>
    <n v="0"/>
    <n v="54.907906584588623"/>
  </r>
  <r>
    <s v="ZETA US Equity"/>
    <s v="ZETA GLOBAL HO-A"/>
    <s v="Technology"/>
    <s v="Software &amp; Tech Services"/>
    <x v="14"/>
    <s v="UNITED STATES"/>
    <n v="5.35"/>
    <n v="4.57"/>
    <n v="0"/>
    <n v="33.093905408854113"/>
  </r>
  <r>
    <s v="ZEUS US Equity"/>
    <s v="OLYMPIC STEEL"/>
    <s v="Materials"/>
    <s v="Materials"/>
    <x v="56"/>
    <s v="UNITED STATES"/>
    <n v="0.56000000000000005"/>
    <n v="0"/>
    <n v="251450"/>
    <n v="58.657686791094861"/>
  </r>
  <r>
    <s v="ZG US Equity"/>
    <s v="ZILLOW GROUP I-A"/>
    <s v="Communications"/>
    <s v="Media"/>
    <x v="13"/>
    <s v="UNITED STATES"/>
    <n v="16.41"/>
    <n v="3.88"/>
    <n v="0"/>
    <n v="17.250953900818018"/>
  </r>
  <r>
    <s v="ZGM US Equity"/>
    <s v="ZENTA GROUP CO L"/>
    <s v="Industrials"/>
    <s v="Industrial Services"/>
    <x v="15"/>
    <s v="MACAU"/>
    <n v="0.03"/>
    <n v="0"/>
    <n v="0"/>
    <n v="41.922694799376757"/>
  </r>
  <r>
    <s v="ZGN US Equity"/>
    <s v="ERMENEGILDO ZEGN"/>
    <s v="Consumer Discretionary"/>
    <s v="Consumer Discretionary Products"/>
    <x v="5"/>
    <s v="ITALY"/>
    <n v="2.58"/>
    <n v="4.09"/>
    <n v="0"/>
    <n v="62.54767073118321"/>
  </r>
  <r>
    <s v="ZIM US Equity"/>
    <s v="ZIM INTEGRATED S"/>
    <s v="Industrials"/>
    <s v="Industrial Services"/>
    <x v="12"/>
    <s v="ISRAEL"/>
    <n v="2.66"/>
    <n v="2"/>
    <n v="0"/>
    <n v="47.532979507724392"/>
  </r>
  <r>
    <s v="ZION US Equity"/>
    <s v="ZIONS BANCORP NA"/>
    <s v="Financials"/>
    <s v="Banking"/>
    <x v="26"/>
    <s v="UNITED STATES"/>
    <n v="8.7200000000000006"/>
    <n v="3.37"/>
    <n v="0"/>
    <n v="58.313649264051435"/>
  </r>
  <r>
    <s v="ZIP US Equity"/>
    <s v="ZIPRECRUITER INC"/>
    <s v="Communications"/>
    <s v="Media"/>
    <x v="13"/>
    <s v="UNITED STATES"/>
    <n v="0.23"/>
    <n v="3.29"/>
    <n v="0"/>
    <n v="22.647584460492723"/>
  </r>
  <r>
    <s v="ZKH US Equity"/>
    <s v="ZKH GROUP LTD"/>
    <s v="Industrials"/>
    <s v="Industrial Services"/>
    <x v="15"/>
    <s v="CHINA"/>
    <n v="0.55000000000000004"/>
    <n v="4.75"/>
    <n v="0"/>
    <n v="52.316948681316561"/>
  </r>
  <r>
    <s v="ZLAB US Equity"/>
    <s v="ZAI LAB LTD-ADR"/>
    <s v="Health Care"/>
    <s v="Health Care"/>
    <x v="25"/>
    <s v="CHINA"/>
    <n v="2.0499999999999998"/>
    <n v="4.8499999999999996"/>
    <n v="183300"/>
    <n v="57.933603113548038"/>
  </r>
  <r>
    <s v="ZM US Equity"/>
    <s v="ZOOM COMMUNICATI"/>
    <s v="Technology"/>
    <s v="Software &amp; Tech Services"/>
    <x v="14"/>
    <s v="UNITED STATES"/>
    <n v="26.41"/>
    <n v="3.94"/>
    <n v="0"/>
    <n v="54.657584469746801"/>
  </r>
  <r>
    <s v="ZS US Equity"/>
    <s v="ZSCALER INC"/>
    <s v="Technology"/>
    <s v="Software &amp; Tech Services"/>
    <x v="14"/>
    <s v="UNITED STATES"/>
    <n v="33.43"/>
    <n v="4.5599999999999996"/>
    <n v="0"/>
    <n v="25.654009655200767"/>
  </r>
  <r>
    <s v="ZTO US Equity"/>
    <s v="ZTO EXPRESS -ADR"/>
    <s v="Industrials"/>
    <s v="Industrial Services"/>
    <x v="12"/>
    <s v="CHINA"/>
    <n v="17.440000000000001"/>
    <n v="4.63"/>
    <n v="0"/>
    <n v="79.388329156443319"/>
  </r>
  <r>
    <s v="ZTS US Equity"/>
    <s v="ZOETIS INC"/>
    <s v="Health Care"/>
    <s v="Health Care"/>
    <x v="25"/>
    <s v="UNITED STATES"/>
    <n v="54.67"/>
    <n v="4.33"/>
    <n v="0"/>
    <n v="60.795122294023081"/>
  </r>
  <r>
    <s v="ZUMZ US Equity"/>
    <s v="ZUMIEZ INC"/>
    <s v="Consumer Discretionary"/>
    <s v="Retail &amp; Whsle - Discretionary"/>
    <x v="10"/>
    <s v="UNITED STATES"/>
    <n v="0.42"/>
    <n v="3"/>
    <n v="0"/>
    <n v="39.957046685215651"/>
  </r>
  <r>
    <s v="ZURA US Equity"/>
    <s v="ZURA BIO LTD"/>
    <s v="Health Care"/>
    <s v="Health Care"/>
    <x v="25"/>
    <s v="UNITED STATES"/>
    <n v="0.48"/>
    <n v="5"/>
    <n v="0"/>
    <n v="58.357099562974916"/>
  </r>
  <r>
    <s v="ZVRA US Equity"/>
    <s v="ZEVRA THERAPEUTI"/>
    <s v="Health Care"/>
    <s v="Health Care"/>
    <x v="25"/>
    <s v="UNITED STATES"/>
    <n v="0.5"/>
    <n v="4.88"/>
    <n v="252730"/>
    <n v="43.718856928253381"/>
  </r>
  <r>
    <s v="ZWS US Equity"/>
    <s v="ZURN ELKAY WATER"/>
    <s v="Industrials"/>
    <s v="Industrial Products"/>
    <x v="3"/>
    <s v="UNITED STATES"/>
    <n v="7.83"/>
    <n v="3.8"/>
    <n v="0"/>
    <n v="65.601729449427125"/>
  </r>
  <r>
    <s v="ZYME US Equity"/>
    <s v="ZYMEWORKS INC"/>
    <s v="Health Care"/>
    <s v="Health Care"/>
    <x v="25"/>
    <s v="UNITED STATES"/>
    <n v="1.74"/>
    <n v="4.93"/>
    <n v="0"/>
    <n v="45.299004336122827"/>
  </r>
  <r>
    <m/>
    <m/>
    <m/>
    <m/>
    <x v="112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EA106E-998C-41F1-B651-134BC11476E4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62" firstHeaderRow="0" firstDataRow="1" firstDataCol="1"/>
  <pivotFields count="10">
    <pivotField showAll="0"/>
    <pivotField showAll="0"/>
    <pivotField showAll="0"/>
    <pivotField showAll="0"/>
    <pivotField axis="axisRow" showAll="0">
      <items count="117">
        <item x="53"/>
        <item x="32"/>
        <item x="5"/>
        <item x="24"/>
        <item x="8"/>
        <item x="26"/>
        <item x="11"/>
        <item x="25"/>
        <item x="61"/>
        <item x="21"/>
        <item x="15"/>
        <item x="48"/>
        <item x="41"/>
        <item x="46"/>
        <item x="18"/>
        <item x="51"/>
        <item x="38"/>
        <item x="4"/>
        <item x="27"/>
        <item x="47"/>
        <item x="42"/>
        <item x="58"/>
        <item x="57"/>
        <item x="31"/>
        <item x="29"/>
        <item x="50"/>
        <item x="62"/>
        <item m="1" x="114"/>
        <item x="52"/>
        <item x="43"/>
        <item x="49"/>
        <item x="23"/>
        <item x="13"/>
        <item x="34"/>
        <item x="6"/>
        <item x="55"/>
        <item x="3"/>
        <item x="9"/>
        <item x="22"/>
        <item x="30"/>
        <item x="20"/>
        <item x="59"/>
        <item x="39"/>
        <item x="7"/>
        <item x="37"/>
        <item x="45"/>
        <item x="33"/>
        <item x="10"/>
        <item x="17"/>
        <item x="14"/>
        <item x="35"/>
        <item x="56"/>
        <item x="16"/>
        <item x="36"/>
        <item x="28"/>
        <item x="12"/>
        <item x="44"/>
        <item x="19"/>
        <item x="40"/>
        <item h="1" x="112"/>
        <item h="1" m="1" x="115"/>
        <item h="1" x="66"/>
        <item h="1" x="0"/>
        <item h="1" x="1"/>
        <item h="1" x="2"/>
        <item h="1" x="54"/>
        <item h="1" x="60"/>
        <item h="1" x="63"/>
        <item h="1" x="64"/>
        <item h="1" x="65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m="1" x="113"/>
        <item t="default"/>
      </items>
    </pivotField>
    <pivotField showAll="0"/>
    <pivotField showAll="0"/>
    <pivotField dataField="1" showAll="0"/>
    <pivotField showAll="0"/>
    <pivotField dataField="1" showAll="0"/>
  </pivotFields>
  <rowFields count="1">
    <field x="4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RSI" fld="9" subtotal="average" baseField="4" baseItem="0"/>
    <dataField name="Average of ANALYST RATING" fld="7" subtotal="average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E43CC-D2D7-4610-AEF5-271952266BE6}">
  <sheetPr codeName="Sheet1"/>
  <dimension ref="A1:BQ101"/>
  <sheetViews>
    <sheetView tabSelected="1" zoomScale="90" zoomScaleNormal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J101" sqref="C5:J101"/>
    </sheetView>
  </sheetViews>
  <sheetFormatPr defaultRowHeight="15" x14ac:dyDescent="0.25"/>
  <cols>
    <col min="2" max="2" width="16.7109375" bestFit="1" customWidth="1"/>
    <col min="3" max="3" width="23.28515625" customWidth="1"/>
    <col min="4" max="6" width="19.140625" customWidth="1"/>
    <col min="7" max="7" width="16.28515625" bestFit="1" customWidth="1"/>
    <col min="8" max="8" width="10.42578125" customWidth="1"/>
    <col min="9" max="9" width="11.85546875" customWidth="1"/>
    <col min="10" max="10" width="18" style="25" bestFit="1" customWidth="1"/>
    <col min="11" max="12" width="9.140625" style="15"/>
    <col min="28" max="28" width="13.42578125" customWidth="1"/>
    <col min="29" max="29" width="10.5703125" customWidth="1"/>
    <col min="37" max="37" width="11.140625" customWidth="1"/>
    <col min="46" max="46" width="13" customWidth="1"/>
    <col min="55" max="55" width="12.7109375" customWidth="1"/>
    <col min="63" max="66" width="10.42578125" style="33" bestFit="1" customWidth="1"/>
    <col min="67" max="67" width="12" customWidth="1"/>
    <col min="68" max="68" width="14" customWidth="1"/>
    <col min="69" max="69" width="12.85546875" customWidth="1"/>
  </cols>
  <sheetData>
    <row r="1" spans="1:69" s="2" customFormat="1" ht="64.5" customHeight="1" x14ac:dyDescent="0.25">
      <c r="A1" s="2" t="s">
        <v>181</v>
      </c>
      <c r="B1" s="2" t="s">
        <v>1003</v>
      </c>
      <c r="C1" s="2" t="s">
        <v>182</v>
      </c>
      <c r="D1" s="2" t="s">
        <v>183</v>
      </c>
      <c r="E1" s="2" t="s">
        <v>184</v>
      </c>
      <c r="F1" s="2" t="s">
        <v>185</v>
      </c>
      <c r="G1" s="2" t="s">
        <v>186</v>
      </c>
      <c r="H1" s="2" t="s">
        <v>187</v>
      </c>
      <c r="I1" s="2" t="s">
        <v>188</v>
      </c>
      <c r="J1" s="23" t="s">
        <v>954</v>
      </c>
      <c r="K1" s="16" t="s">
        <v>255</v>
      </c>
      <c r="L1" s="16" t="s">
        <v>298</v>
      </c>
      <c r="M1" s="7" t="s">
        <v>256</v>
      </c>
      <c r="N1" s="7" t="s">
        <v>257</v>
      </c>
      <c r="O1" s="7" t="s">
        <v>258</v>
      </c>
      <c r="P1" s="7" t="s">
        <v>259</v>
      </c>
      <c r="Q1" s="7" t="s">
        <v>260</v>
      </c>
      <c r="R1" s="8" t="s">
        <v>261</v>
      </c>
      <c r="S1" s="4" t="s">
        <v>262</v>
      </c>
      <c r="T1" s="7" t="s">
        <v>263</v>
      </c>
      <c r="U1" s="7" t="s">
        <v>264</v>
      </c>
      <c r="V1" s="7" t="s">
        <v>265</v>
      </c>
      <c r="W1" s="7" t="s">
        <v>266</v>
      </c>
      <c r="X1" s="8" t="s">
        <v>267</v>
      </c>
      <c r="Y1" s="4" t="s">
        <v>268</v>
      </c>
      <c r="Z1" s="5" t="s">
        <v>269</v>
      </c>
      <c r="AA1" s="5" t="s">
        <v>299</v>
      </c>
      <c r="AB1" s="5" t="s">
        <v>300</v>
      </c>
      <c r="AC1" s="3" t="s">
        <v>270</v>
      </c>
      <c r="AD1" s="7" t="s">
        <v>271</v>
      </c>
      <c r="AE1" s="7" t="s">
        <v>272</v>
      </c>
      <c r="AF1" s="7" t="s">
        <v>273</v>
      </c>
      <c r="AG1" s="7" t="s">
        <v>274</v>
      </c>
      <c r="AH1" s="7" t="s">
        <v>275</v>
      </c>
      <c r="AI1" s="7" t="s">
        <v>276</v>
      </c>
      <c r="AJ1" s="5" t="s">
        <v>301</v>
      </c>
      <c r="AK1" s="5" t="s">
        <v>302</v>
      </c>
      <c r="AL1" s="3" t="s">
        <v>277</v>
      </c>
      <c r="AM1" s="7" t="s">
        <v>278</v>
      </c>
      <c r="AN1" s="7" t="s">
        <v>279</v>
      </c>
      <c r="AO1" s="7" t="s">
        <v>280</v>
      </c>
      <c r="AP1" s="7" t="s">
        <v>281</v>
      </c>
      <c r="AQ1" s="8" t="s">
        <v>282</v>
      </c>
      <c r="AR1" s="4" t="s">
        <v>283</v>
      </c>
      <c r="AS1" s="5" t="s">
        <v>303</v>
      </c>
      <c r="AT1" s="5" t="s">
        <v>304</v>
      </c>
      <c r="AU1" s="3" t="s">
        <v>284</v>
      </c>
      <c r="AV1" s="9" t="s">
        <v>285</v>
      </c>
      <c r="AW1" s="7" t="s">
        <v>286</v>
      </c>
      <c r="AX1" s="9" t="s">
        <v>287</v>
      </c>
      <c r="AY1" s="7" t="s">
        <v>288</v>
      </c>
      <c r="AZ1" s="9" t="s">
        <v>289</v>
      </c>
      <c r="BA1" s="9" t="s">
        <v>290</v>
      </c>
      <c r="BB1" s="5" t="s">
        <v>305</v>
      </c>
      <c r="BC1" s="5" t="s">
        <v>306</v>
      </c>
      <c r="BD1" s="3" t="s">
        <v>291</v>
      </c>
      <c r="BE1" s="3" t="s">
        <v>292</v>
      </c>
      <c r="BF1" s="9" t="s">
        <v>293</v>
      </c>
      <c r="BG1" s="9" t="s">
        <v>294</v>
      </c>
      <c r="BH1" s="3" t="s">
        <v>295</v>
      </c>
      <c r="BI1" s="3" t="s">
        <v>296</v>
      </c>
      <c r="BJ1" s="3" t="s">
        <v>297</v>
      </c>
      <c r="BK1" s="31" t="s">
        <v>309</v>
      </c>
      <c r="BL1" s="31" t="s">
        <v>310</v>
      </c>
      <c r="BM1" s="31" t="s">
        <v>311</v>
      </c>
      <c r="BN1" s="31" t="s">
        <v>312</v>
      </c>
      <c r="BO1" s="2" t="s">
        <v>949</v>
      </c>
      <c r="BP1" s="2" t="s">
        <v>950</v>
      </c>
      <c r="BQ1" s="2" t="s">
        <v>951</v>
      </c>
    </row>
    <row r="2" spans="1:69" x14ac:dyDescent="0.25">
      <c r="A2">
        <v>1</v>
      </c>
      <c r="B2" t="s">
        <v>0</v>
      </c>
      <c r="C2" t="s">
        <v>189</v>
      </c>
      <c r="D2" t="s">
        <v>201</v>
      </c>
      <c r="E2" t="s">
        <v>202</v>
      </c>
      <c r="F2" t="s">
        <v>189</v>
      </c>
      <c r="G2" t="s">
        <v>190</v>
      </c>
      <c r="H2">
        <v>0</v>
      </c>
      <c r="I2">
        <v>0</v>
      </c>
      <c r="J2">
        <v>0</v>
      </c>
      <c r="K2" s="15">
        <f>_xll.BDP($B2,"interval_rsi","tech_studies_param1_override",14)</f>
        <v>52.525531939815814</v>
      </c>
      <c r="L2" s="15">
        <f>$K$2</f>
        <v>52.525531939815814</v>
      </c>
      <c r="M2">
        <f>IF(AND(K2-L2&gt;10,L2&lt;65),1,0)</f>
        <v>0</v>
      </c>
      <c r="N2" cm="1">
        <f t="array" ref="N2">IFERROR(VALUE(_xll.BDP($B2,"px_last")),"")</f>
        <v>6941.47</v>
      </c>
      <c r="O2">
        <f>$N$2</f>
        <v>6941.47</v>
      </c>
      <c r="P2" cm="1">
        <f t="array" ref="P2">IFERROR(VALUE(_xll.BDP($B2,"PX_YEST_CLOSE")),"")</f>
        <v>6941.81</v>
      </c>
      <c r="Q2">
        <f>$P$2</f>
        <v>6941.81</v>
      </c>
      <c r="R2">
        <f>N2/O2</f>
        <v>1</v>
      </c>
      <c r="S2">
        <f>P2/Q2</f>
        <v>1</v>
      </c>
      <c r="T2" cm="1">
        <f t="array" ref="T2">IFERROR(VALUE(_xll.BDP($B2,"INTERVAL_MAE_MOV_AVG","CALC_INTERVAL","520D","TECH_STUDIES_PARAM1_OVERRIDE",50,"USE_PREVIOUS_BUSINESS_DAY","N")),"")</f>
        <v>6894.0953999999992</v>
      </c>
      <c r="U2">
        <f>$T$2</f>
        <v>6894.0953999999992</v>
      </c>
      <c r="V2" cm="1">
        <f t="array" ref="V2">IFERROR(VALUE(_xll.BDP($B2,"INTERVAL_MAE_MOV_AVG","CALC_INTERVAL","520D","TECH_STUDIES_PARAM1_OVERRIDE",50,"USE_PREVIOUS_BUSINESS_DAY","Y")),"")</f>
        <v>6892.2477999999992</v>
      </c>
      <c r="W2">
        <f>$V$2</f>
        <v>6892.2477999999992</v>
      </c>
      <c r="X2">
        <f>T2/U2</f>
        <v>1</v>
      </c>
      <c r="Y2">
        <f>V2/W2</f>
        <v>1</v>
      </c>
      <c r="Z2" s="11" t="str">
        <f>IF(M2=1,"POSITIVE","NEGATIVE")</f>
        <v>NEGATIVE</v>
      </c>
      <c r="AA2" s="11" t="str">
        <f>IF(AND(P2&lt;V2,N2&gt;T2),"UP","")</f>
        <v/>
      </c>
      <c r="AB2" s="11" t="str">
        <f>IF(X2&gt;Y2,"UP",IF(X2&lt;Y2,"DOWN",""))</f>
        <v/>
      </c>
      <c r="AC2" s="6" t="str">
        <f>IF(AND(S2&lt;Y2,R2&gt;X2),"BUY",IF(AND(S2&gt;Y2,R2&lt;X2),"SELL",IF(R2&gt;X2,"POSITIVE","NEGATIVE")))</f>
        <v>NEGATIVE</v>
      </c>
      <c r="AD2" cm="1">
        <f t="array" ref="AD2">IFERROR(VALUE(_xll.BDP($B2,"INTERVAL_MAE_MOV_AVG","CALC_INTERVAL","520D","TECH_STUDIES_PARAM1_OVERRIDE",65,"USE_PREVIOUS_BUSINESS_DAY","N")),"")</f>
        <v>6856.0226153846133</v>
      </c>
      <c r="AE2">
        <f>$AD$2</f>
        <v>6856.0226153846133</v>
      </c>
      <c r="AF2" cm="1">
        <f t="array" ref="AF2">IFERROR(VALUE(_xll.BDP($B2,"INTERVAL_MAE_MOV_AVG","CALC_INTERVAL","520D","TECH_STUDIES_PARAM1_OVERRIDE",65,"USE_PREVIOUS_BUSINESS_DAY","Y")),"")</f>
        <v>6852.6203076923057</v>
      </c>
      <c r="AG2">
        <f>$AF$2</f>
        <v>6852.6203076923057</v>
      </c>
      <c r="AH2">
        <f>AD2/AE2</f>
        <v>1</v>
      </c>
      <c r="AI2">
        <f>AF2/AG2</f>
        <v>1</v>
      </c>
      <c r="AJ2" s="10" t="str">
        <f>IF(AD2&gt;AF2,"UP",IF(AD2&lt;AF2,"DOWN",""))</f>
        <v>UP</v>
      </c>
      <c r="AK2" s="10" t="str">
        <f>IF(AH2&gt;AI2,"UP",IF(AH2&lt;AI2,"DOWN",""))</f>
        <v/>
      </c>
      <c r="AL2" s="6" t="str">
        <f>IF(AND(S2&lt;AI2,R2&gt;AH2),"BUY",IF(AND(S2&gt;AI2,R2&lt;AH2),"SELL",IF(R2&gt;AH2,"POSITIVE","NEGATIVE")))</f>
        <v>NEGATIVE</v>
      </c>
      <c r="AM2" cm="1">
        <f t="array" ref="AM2">IFERROR(VALUE(_xll.BDP($B2,"INTERVAL_MAE_MOV_AVG","CALC_INTERVAL","65W","PERIODICITY_OVERRIDE","W","TECH_STUDIES_PARAM1_OVERRIDE",39,"USE_PREVIOUS_BUSINESS_DAY","N")),"")</f>
        <v>6560.7735897435905</v>
      </c>
      <c r="AN2">
        <f>$AM$2</f>
        <v>6560.7735897435905</v>
      </c>
      <c r="AO2" cm="1">
        <f t="array" ref="AO2">IFERROR(VALUE(_xll.BDP($B2,"INTERVAL_MAE_MOV_AVG","CALC_INTERVAL","65W","PERIODICITY_OVERRIDE","W","TECH_STUDIES_PARAM1_OVERRIDE",39,"USE_PREVIOUS_BUSINESS_DAY","Y")),"")</f>
        <v>6560.7823076923087</v>
      </c>
      <c r="AP2">
        <f>$AO$2</f>
        <v>6560.7823076923087</v>
      </c>
      <c r="AQ2">
        <f>AM2/AN2</f>
        <v>1</v>
      </c>
      <c r="AR2">
        <f>AO2/AP2</f>
        <v>1</v>
      </c>
      <c r="AS2" s="10" t="str">
        <f>IF(AM2&gt;AO2,"UP",IF(AM2&lt;AO2,"DOWN",""))</f>
        <v>DOWN</v>
      </c>
      <c r="AT2" s="10" t="str">
        <f>IF(AQ2&gt;AR2,"UP",IF(AQ2&lt;AR2,"DOWN",""))</f>
        <v/>
      </c>
      <c r="AU2" s="6" t="str">
        <f>IF(AND(S2&lt;AR2,R2&gt;AQ2),"BUY",IF(AND(S2&gt;AR2,R2&lt;AQ2),"SELL",IF(R2&gt;AQ2,"POSITIVE","NEGATIVE")))</f>
        <v>NEGATIVE</v>
      </c>
      <c r="AV2" cm="1">
        <f t="array" ref="AV2">IFERROR(VALUE(_xll.BDP($B2,"INTERVAL_exp_MOV_AVG","CALC_INTERVAL","520D","TECH_STUDIES_PARAM1_OVERRIDE",100,"USE_PREVIOUS_BUSINESS_DAY","N")),"")</f>
        <v>6773.0064518682802</v>
      </c>
      <c r="AW2">
        <f>$AV$2</f>
        <v>6773.0064518682802</v>
      </c>
      <c r="AX2" cm="1">
        <f t="array" ref="AX2">IFERROR(VALUE(_xll.BDP($B2,"INTERVAL_exp_MOV_AVG","CALC_INTERVAL","520D","TECH_STUDIES_PARAM1_OVERRIDE",100,"USE_PREVIOUS_BUSINESS_DAY","Y")),"")</f>
        <v>6769.6039787132295</v>
      </c>
      <c r="AY2">
        <f>$AX$2</f>
        <v>6769.6039787132295</v>
      </c>
      <c r="AZ2">
        <f>AV2/AW2</f>
        <v>1</v>
      </c>
      <c r="BA2">
        <f>AX2/AY2</f>
        <v>1</v>
      </c>
      <c r="BB2" s="11" t="str">
        <f>IF(AV2&gt;AX2,"UP",IF(AV2&lt;AX2,"DOWN",""))</f>
        <v>UP</v>
      </c>
      <c r="BC2" s="11" t="str">
        <f>IF(AZ2&gt;BA2,"UP",IF(AZ2&lt;BA2,"DOWN",""))</f>
        <v/>
      </c>
      <c r="BD2" s="6" t="str">
        <f>IF(AND(S2&lt;BA2,R2&gt;AZ2),"BUY",IF(AND(S2&gt;BA2,R2&lt;AZ2),"SELL",IF(R2&gt;AZ2,"POSITIVE","NEGATIVE")))</f>
        <v>NEGATIVE</v>
      </c>
      <c r="BE2" s="12" cm="1">
        <f t="array" ref="BE2">_xll.BDP($B2, "INTERVAL_RSI", "TECH_STUDIES_PARAM1_OVERRIDE", "5", "PERIODICITY_OVERRIDE", "W")</f>
        <v>62.156288099015335</v>
      </c>
      <c r="BF2" cm="1">
        <f t="array" ref="BF2">IFERROR(VALUE(_xll.BDP($B2,"INTERVAL_MAE_MOV_AVG","CALC_INTERVAL","520D","TECH_STUDIES_PARAM1_OVERRIDE",31,"USE_PREVIOUS_BUSINESS_DAY","N")),"")</f>
        <v>6922.1190322580624</v>
      </c>
      <c r="BG2" cm="1">
        <f t="array" ref="BG2">IFERROR(VALUE(_xll.BDP($B2,"INTERVAL_MAE_MOV_AVG","CALC_INTERVAL","760D","TECH_STUDIES_PARAM1_OVERRIDE",200,"USE_PREVIOUS_BUSINESS_DAY","N")),"")</f>
        <v>6491.8238499999979</v>
      </c>
      <c r="BH2" s="13">
        <f>(N2/BF2)-1</f>
        <v>2.7955265796151263E-3</v>
      </c>
      <c r="BI2" s="13">
        <f>-1+(N2/T2)</f>
        <v>6.8717644957452251E-3</v>
      </c>
      <c r="BJ2" s="13">
        <f>-1+(N2/BG2)</f>
        <v>6.9263455138266261E-2</v>
      </c>
      <c r="BK2" s="32" cm="1">
        <f t="array" ref="BK2">VALUE(_xll.BDP($B2,"INTERVAL_DATE_OF_CALC_HI","CALC_INTERVAL","3M"))</f>
        <v>46049</v>
      </c>
      <c r="BL2" s="32" cm="1">
        <f t="array" ref="BL2">VALUE(_xll.BDP($B2,"INTERVAL_DATE_OF_CALC_LO","CALC_INTERVAL","3M"))</f>
        <v>45981</v>
      </c>
      <c r="BM2" s="32" cm="1">
        <f t="array" ref="BM2">VALUE(_xll.BDP($B2,"INTERVAL_DATE_OF_CALC_HI","CALC_INTERVAL","1M"))</f>
        <v>46049</v>
      </c>
      <c r="BN2" s="32" cm="1">
        <f t="array" ref="BN2">VALUE(_xll.BDP($B2,"INTERVAL_DATE_OF_CALC_LO","CALC_INTERVAL","1M"))</f>
        <v>46042</v>
      </c>
      <c r="BO2" s="15">
        <f>IFERROR(VLOOKUP($F2,PIVOT!$A:$C,2,FALSE),0)</f>
        <v>0</v>
      </c>
      <c r="BP2" s="15">
        <f>IFERROR(VLOOKUP($F2,PIVOT!$A:$C,3,FALSE),0)</f>
        <v>0</v>
      </c>
      <c r="BQ2" s="15">
        <f>K2-BO2</f>
        <v>52.525531939815814</v>
      </c>
    </row>
    <row r="3" spans="1:69" x14ac:dyDescent="0.25">
      <c r="A3">
        <v>2</v>
      </c>
      <c r="B3" t="s">
        <v>1</v>
      </c>
      <c r="C3" t="s">
        <v>955</v>
      </c>
      <c r="D3" t="s">
        <v>201</v>
      </c>
      <c r="E3" t="s">
        <v>202</v>
      </c>
      <c r="F3" t="s">
        <v>1006</v>
      </c>
      <c r="G3" t="s">
        <v>190</v>
      </c>
      <c r="H3">
        <v>0</v>
      </c>
      <c r="I3">
        <v>0</v>
      </c>
      <c r="J3">
        <v>0</v>
      </c>
      <c r="K3" s="15">
        <f>_xll.BDP($B3,"interval_rsi","tech_studies_param1_override",14)</f>
        <v>69.695086912633911</v>
      </c>
      <c r="L3" s="15">
        <f t="shared" ref="L3:L101" si="0">$K$2</f>
        <v>52.525531939815814</v>
      </c>
      <c r="M3">
        <f>IF(AND(K3-L3&gt;10,L3&lt;65),1,0)</f>
        <v>1</v>
      </c>
      <c r="N3" cm="1">
        <f t="array" ref="N3">IFERROR(VALUE(_xll.BDP($B3,"px_last")),"")</f>
        <v>23479.72</v>
      </c>
      <c r="O3">
        <f t="shared" ref="O3:O101" si="1">$N$2</f>
        <v>6941.47</v>
      </c>
      <c r="P3" cm="1">
        <f t="array" ref="P3">IFERROR(VALUE(_xll.BDP($B3,"PX_YEST_CLOSE")),"")</f>
        <v>23398.11</v>
      </c>
      <c r="Q3">
        <f t="shared" ref="Q3:Q101" si="2">$P$2</f>
        <v>6941.81</v>
      </c>
      <c r="R3">
        <f>N3/O3</f>
        <v>3.3825284846005244</v>
      </c>
      <c r="S3">
        <f>P3/Q3</f>
        <v>3.3706065132868805</v>
      </c>
      <c r="T3" cm="1">
        <f t="array" ref="T3">IFERROR(VALUE(_xll.BDP($B3,"INTERVAL_MAE_MOV_AVG","CALC_INTERVAL","520D","TECH_STUDIES_PARAM1_OVERRIDE",50,"USE_PREVIOUS_BUSINESS_DAY","N")),"")</f>
        <v>22414.7994</v>
      </c>
      <c r="U3">
        <f t="shared" ref="U3:U101" si="3">$T$2</f>
        <v>6894.0953999999992</v>
      </c>
      <c r="V3" cm="1">
        <f t="array" ref="V3">IFERROR(VALUE(_xll.BDP($B3,"INTERVAL_MAE_MOV_AVG","CALC_INTERVAL","520D","TECH_STUDIES_PARAM1_OVERRIDE",50,"USE_PREVIOUS_BUSINESS_DAY","Y")),"")</f>
        <v>22381.698399999997</v>
      </c>
      <c r="W3">
        <f t="shared" ref="W3:W101" si="4">$V$2</f>
        <v>6892.2477999999992</v>
      </c>
      <c r="X3">
        <f>T3/U3</f>
        <v>3.2513039201633331</v>
      </c>
      <c r="Y3">
        <f>V3/W3</f>
        <v>3.2473728527288297</v>
      </c>
      <c r="Z3" s="11" t="str">
        <f>IF(M3=1,"POSITIVE","NEGATIVE")</f>
        <v>POSITIVE</v>
      </c>
      <c r="AA3" s="11" t="str">
        <f>IF(AND(P3&lt;V3,N3&gt;T3),"UP","")</f>
        <v/>
      </c>
      <c r="AB3" s="11" t="str">
        <f>IF(X3&gt;Y3,"UP",IF(X3&lt;Y3,"DOWN",""))</f>
        <v>UP</v>
      </c>
      <c r="AC3" s="6" t="str">
        <f>IF(AND(S3&lt;Y3,R3&gt;X3),"BUY",IF(AND(S3&gt;Y3,R3&lt;X3),"SELL",IF(R3&gt;X3,"POSITIVE","NEGATIVE")))</f>
        <v>POSITIVE</v>
      </c>
      <c r="AD3" cm="1">
        <f t="array" ref="AD3">IFERROR(VALUE(_xll.BDP($B3,"INTERVAL_MAE_MOV_AVG","CALC_INTERVAL","520D","TECH_STUDIES_PARAM1_OVERRIDE",65,"USE_PREVIOUS_BUSINESS_DAY","N")),"")</f>
        <v>22188.445076923075</v>
      </c>
      <c r="AE3">
        <f t="shared" ref="AE3:AE101" si="5">$AD$2</f>
        <v>6856.0226153846133</v>
      </c>
      <c r="AF3" cm="1">
        <f t="array" ref="AF3">IFERROR(VALUE(_xll.BDP($B3,"INTERVAL_MAE_MOV_AVG","CALC_INTERVAL","520D","TECH_STUDIES_PARAM1_OVERRIDE",65,"USE_PREVIOUS_BUSINESS_DAY","Y")),"")</f>
        <v>22154.733076923072</v>
      </c>
      <c r="AG3">
        <f t="shared" ref="AG3:AG101" si="6">$AF$2</f>
        <v>6852.6203076923057</v>
      </c>
      <c r="AH3">
        <f>AD3/AE3</f>
        <v>3.2363436239450523</v>
      </c>
      <c r="AI3">
        <f>AF3/AG3</f>
        <v>3.2330308819319247</v>
      </c>
      <c r="AJ3" s="10" t="str">
        <f>IF(AD3&gt;AF3,"UP",IF(AD3&lt;AF3,"DOWN",""))</f>
        <v>UP</v>
      </c>
      <c r="AK3" s="10" t="str">
        <f>IF(AH3&gt;AI3,"UP",IF(AH3&lt;AI3,"DOWN",""))</f>
        <v>UP</v>
      </c>
      <c r="AL3" s="6" t="str">
        <f>IF(AND(S3&lt;AI3,R3&gt;AH3),"BUY",IF(AND(S3&gt;AI3,R3&lt;AH3),"SELL",IF(R3&gt;AH3,"POSITIVE","NEGATIVE")))</f>
        <v>POSITIVE</v>
      </c>
      <c r="AM3" cm="1">
        <f t="array" ref="AM3">IFERROR(VALUE(_xll.BDP($B3,"INTERVAL_MAE_MOV_AVG","CALC_INTERVAL","65W","PERIODICITY_OVERRIDE","W","TECH_STUDIES_PARAM1_OVERRIDE",39,"USE_PREVIOUS_BUSINESS_DAY","N")),"")</f>
        <v>21353.685641025641</v>
      </c>
      <c r="AN3">
        <f t="shared" ref="AN3:AN101" si="7">$AM$2</f>
        <v>6560.7735897435905</v>
      </c>
      <c r="AO3" cm="1">
        <f t="array" ref="AO3">IFERROR(VALUE(_xll.BDP($B3,"INTERVAL_MAE_MOV_AVG","CALC_INTERVAL","65W","PERIODICITY_OVERRIDE","W","TECH_STUDIES_PARAM1_OVERRIDE",39,"USE_PREVIOUS_BUSINESS_DAY","Y")),"")</f>
        <v>21351.593076923076</v>
      </c>
      <c r="AP3">
        <f t="shared" ref="AP3:AP101" si="8">$AO$2</f>
        <v>6560.7823076923087</v>
      </c>
      <c r="AQ3">
        <f>AM3/AN3</f>
        <v>3.2547511888548786</v>
      </c>
      <c r="AR3">
        <f>AO3/AP3</f>
        <v>3.2544279135567433</v>
      </c>
      <c r="AS3" s="10" t="str">
        <f>IF(AM3&gt;AO3,"UP",IF(AM3&lt;AO3,"DOWN",""))</f>
        <v>UP</v>
      </c>
      <c r="AT3" s="10" t="str">
        <f>IF(AQ3&gt;AR3,"UP",IF(AQ3&lt;AR3,"DOWN",""))</f>
        <v>UP</v>
      </c>
      <c r="AU3" s="6" t="str">
        <f>IF(AND(S3&lt;AR3,R3&gt;AQ3),"BUY",IF(AND(S3&gt;AR3,R3&lt;AQ3),"SELL",IF(R3&gt;AQ3,"POSITIVE","NEGATIVE")))</f>
        <v>POSITIVE</v>
      </c>
      <c r="AV3" cm="1">
        <f t="array" ref="AV3">IFERROR(VALUE(_xll.BDP($B3,"INTERVAL_exp_MOV_AVG","CALC_INTERVAL","520D","TECH_STUDIES_PARAM1_OVERRIDE",100,"USE_PREVIOUS_BUSINESS_DAY","N")),"")</f>
        <v>22022.245929740944</v>
      </c>
      <c r="AW3">
        <f t="shared" ref="AW3:AW101" si="9">$AV$2</f>
        <v>6773.0064518682802</v>
      </c>
      <c r="AX3" cm="1">
        <f t="array" ref="AX3">IFERROR(VALUE(_xll.BDP($B3,"INTERVAL_exp_MOV_AVG","CALC_INTERVAL","520D","TECH_STUDIES_PARAM1_OVERRIDE",100,"USE_PREVIOUS_BUSINESS_DAY","Y")),"")</f>
        <v>21992.805626435922</v>
      </c>
      <c r="AY3">
        <f t="shared" ref="AY3:AY101" si="10">$AX$2</f>
        <v>6769.6039787132295</v>
      </c>
      <c r="AZ3">
        <f>AV3/AW3</f>
        <v>3.2514727523500708</v>
      </c>
      <c r="BA3">
        <f>AX3/AY3</f>
        <v>3.2487580803236775</v>
      </c>
      <c r="BB3" s="11" t="str">
        <f>IF(AV3&gt;AX3,"UP",IF(AV3&lt;AX3,"DOWN",""))</f>
        <v>UP</v>
      </c>
      <c r="BC3" s="11" t="str">
        <f>IF(AZ3&gt;BA3,"UP",IF(AZ3&lt;BA3,"DOWN",""))</f>
        <v>UP</v>
      </c>
      <c r="BD3" s="6" t="str">
        <f>IF(AND(S3&lt;BA3,R3&gt;AZ3),"BUY",IF(AND(S3&gt;BA3,R3&lt;AZ3),"SELL",IF(R3&gt;AZ3,"POSITIVE","NEGATIVE")))</f>
        <v>POSITIVE</v>
      </c>
      <c r="BE3" s="12" cm="1">
        <f t="array" ref="BE3">_xll.BDP($B3, "INTERVAL_RSI", "TECH_STUDIES_PARAM1_OVERRIDE", "5", "PERIODICITY_OVERRIDE", "W")</f>
        <v>90.23367993622557</v>
      </c>
      <c r="BF3" cm="1">
        <f t="array" ref="BF3">IFERROR(VALUE(_xll.BDP($B3,"INTERVAL_MAE_MOV_AVG","CALC_INTERVAL","520D","TECH_STUDIES_PARAM1_OVERRIDE",31,"USE_PREVIOUS_BUSINESS_DAY","N")),"")</f>
        <v>22724.617096774189</v>
      </c>
      <c r="BG3" cm="1">
        <f t="array" ref="BG3">IFERROR(VALUE(_xll.BDP($B3,"INTERVAL_MAE_MOV_AVG","CALC_INTERVAL","760D","TECH_STUDIES_PARAM1_OVERRIDE",200,"USE_PREVIOUS_BUSINESS_DAY","N")),"")</f>
        <v>21159.833650000004</v>
      </c>
      <c r="BH3" s="13">
        <f>-1+(N3/BF3)</f>
        <v>3.3228410406659803E-2</v>
      </c>
      <c r="BI3" s="13">
        <f>-1+(N3/T3)</f>
        <v>4.7509709143326084E-2</v>
      </c>
      <c r="BJ3" s="13">
        <f>-1+(N3/BG3)</f>
        <v>0.10963632268441748</v>
      </c>
      <c r="BK3" s="32" cm="1">
        <f t="array" ref="BK3">VALUE(_xll.BDP($B3,"INTERVAL_DATE_OF_CALC_HI","CALC_INTERVAL","3M"))</f>
        <v>46064</v>
      </c>
      <c r="BL3" s="32" cm="1">
        <f t="array" ref="BL3">VALUE(_xll.BDP($B3,"INTERVAL_DATE_OF_CALC_LO","CALC_INTERVAL","3M"))</f>
        <v>45981</v>
      </c>
      <c r="BM3" s="32" cm="1">
        <f t="array" ref="BM3">VALUE(_xll.BDP($B3,"INTERVAL_DATE_OF_CALC_HI","CALC_INTERVAL","1M"))</f>
        <v>46064</v>
      </c>
      <c r="BN3" s="32" cm="1">
        <f t="array" ref="BN3">VALUE(_xll.BDP($B3,"INTERVAL_DATE_OF_CALC_LO","CALC_INTERVAL","1M"))</f>
        <v>46042</v>
      </c>
      <c r="BO3" s="15">
        <f>IFERROR(VLOOKUP($F3,PIVOT!$A:$C,2,FALSE),0)</f>
        <v>0</v>
      </c>
      <c r="BP3" s="15">
        <f>IFERROR(VLOOKUP($F3,PIVOT!$A:$C,3,FALSE),0)</f>
        <v>0</v>
      </c>
      <c r="BQ3" s="15">
        <f t="shared" ref="BQ3:BQ66" si="11">K3-BO3</f>
        <v>69.695086912633911</v>
      </c>
    </row>
    <row r="4" spans="1:69" x14ac:dyDescent="0.25">
      <c r="A4">
        <v>3</v>
      </c>
      <c r="B4" t="s">
        <v>2</v>
      </c>
      <c r="C4" t="s">
        <v>1007</v>
      </c>
      <c r="D4" t="s">
        <v>201</v>
      </c>
      <c r="E4" t="s">
        <v>202</v>
      </c>
      <c r="F4" t="s">
        <v>1008</v>
      </c>
      <c r="G4" t="s">
        <v>190</v>
      </c>
      <c r="H4">
        <v>83.12</v>
      </c>
      <c r="I4">
        <v>0</v>
      </c>
      <c r="J4" s="24">
        <v>0</v>
      </c>
      <c r="K4" s="15">
        <f>_xll.BDP($B4,"interval_rsi","tech_studies_param1_override",14)</f>
        <v>67.301020603175431</v>
      </c>
      <c r="L4" s="15">
        <f t="shared" si="0"/>
        <v>52.525531939815814</v>
      </c>
      <c r="M4">
        <f>IF(AND(K4-L4&gt;10,L4&lt;65),1,0)</f>
        <v>1</v>
      </c>
      <c r="N4" cm="1">
        <f t="array" ref="N4">IFERROR(VALUE(_xll.BDP($B4,"px_last")),"")</f>
        <v>203.46</v>
      </c>
      <c r="O4">
        <f t="shared" si="1"/>
        <v>6941.47</v>
      </c>
      <c r="P4" cm="1">
        <f t="array" ref="P4">IFERROR(VALUE(_xll.BDP($B4,"PX_YEST_CLOSE")),"")</f>
        <v>203.1</v>
      </c>
      <c r="Q4">
        <f t="shared" si="2"/>
        <v>6941.81</v>
      </c>
      <c r="R4">
        <f>N4/O4</f>
        <v>2.9310794399457177E-2</v>
      </c>
      <c r="S4">
        <f>P4/Q4</f>
        <v>2.9257499124868008E-2</v>
      </c>
      <c r="T4" cm="1">
        <f t="array" ref="T4">IFERROR(VALUE(_xll.BDP($B4,"INTERVAL_MAE_MOV_AVG","CALC_INTERVAL","520D","TECH_STUDIES_PARAM1_OVERRIDE",50,"USE_PREVIOUS_BUSINESS_DAY","N")),"")</f>
        <v>195.65490472467732</v>
      </c>
      <c r="U4">
        <f t="shared" si="3"/>
        <v>6894.0953999999992</v>
      </c>
      <c r="V4" cm="1">
        <f t="array" ref="V4">IFERROR(VALUE(_xll.BDP($B4,"INTERVAL_MAE_MOV_AVG","CALC_INTERVAL","520D","TECH_STUDIES_PARAM1_OVERRIDE",50,"USE_PREVIOUS_BUSINESS_DAY","Y")),"")</f>
        <v>195.40113924500005</v>
      </c>
      <c r="W4">
        <f t="shared" si="4"/>
        <v>6892.2477999999992</v>
      </c>
      <c r="X4">
        <f>T4/U4</f>
        <v>2.8380069229195368E-2</v>
      </c>
      <c r="Y4">
        <f>V4/W4</f>
        <v>2.8350858082177497E-2</v>
      </c>
      <c r="Z4" s="11" t="str">
        <f>IF(M4=1,"POSITIVE","NEGATIVE")</f>
        <v>POSITIVE</v>
      </c>
      <c r="AA4" s="11" t="str">
        <f>IF(AND(P4&lt;V4,N4&gt;T4),"UP","")</f>
        <v/>
      </c>
      <c r="AB4" s="11" t="str">
        <f>IF(X4&gt;Y4,"UP",IF(X4&lt;Y4,"DOWN",""))</f>
        <v>UP</v>
      </c>
      <c r="AC4" s="6" t="str">
        <f>IF(AND(S4&lt;Y4,R4&gt;X4),"BUY",IF(AND(S4&gt;Y4,R4&lt;X4),"SELL",IF(R4&gt;X4,"POSITIVE","NEGATIVE")))</f>
        <v>POSITIVE</v>
      </c>
      <c r="AD4" cm="1">
        <f t="array" ref="AD4">IFERROR(VALUE(_xll.BDP($B4,"INTERVAL_MAE_MOV_AVG","CALC_INTERVAL","520D","TECH_STUDIES_PARAM1_OVERRIDE",65,"USE_PREVIOUS_BUSINESS_DAY","N")),"")</f>
        <v>193.58576409375181</v>
      </c>
      <c r="AE4">
        <f t="shared" si="5"/>
        <v>6856.0226153846133</v>
      </c>
      <c r="AF4" cm="1">
        <f t="array" ref="AF4">IFERROR(VALUE(_xll.BDP($B4,"INTERVAL_MAE_MOV_AVG","CALC_INTERVAL","520D","TECH_STUDIES_PARAM1_OVERRIDE",65,"USE_PREVIOUS_BUSINESS_DAY","Y")),"")</f>
        <v>193.305819775077</v>
      </c>
      <c r="AG4">
        <f t="shared" si="6"/>
        <v>6852.6203076923057</v>
      </c>
      <c r="AH4">
        <f>AD4/AE4</f>
        <v>2.8235870117953501E-2</v>
      </c>
      <c r="AI4">
        <f>AF4/AG4</f>
        <v>2.8209036995393493E-2</v>
      </c>
      <c r="AJ4" s="10" t="str">
        <f>IF(AD4&gt;AF4,"UP",IF(AD4&lt;AF4,"DOWN",""))</f>
        <v>UP</v>
      </c>
      <c r="AK4" s="10" t="str">
        <f>IF(AH4&gt;AI4,"UP",IF(AH4&lt;AI4,"DOWN",""))</f>
        <v>UP</v>
      </c>
      <c r="AL4" s="6" t="str">
        <f>IF(AND(S4&lt;AI4,R4&gt;AH4),"BUY",IF(AND(S4&gt;AI4,R4&lt;AH4),"SELL",IF(R4&gt;AH4,"POSITIVE","NEGATIVE")))</f>
        <v>POSITIVE</v>
      </c>
      <c r="AM4" cm="1">
        <f t="array" ref="AM4">IFERROR(VALUE(_xll.BDP($B4,"INTERVAL_MAE_MOV_AVG","CALC_INTERVAL","65W","PERIODICITY_OVERRIDE","W","TECH_STUDIES_PARAM1_OVERRIDE",39,"USE_PREVIOUS_BUSINESS_DAY","N")),"")</f>
        <v>187.43513286505981</v>
      </c>
      <c r="AN4">
        <f t="shared" si="7"/>
        <v>6560.7735897435905</v>
      </c>
      <c r="AO4" cm="1">
        <f t="array" ref="AO4">IFERROR(VALUE(_xll.BDP($B4,"INTERVAL_MAE_MOV_AVG","CALC_INTERVAL","65W","PERIODICITY_OVERRIDE","W","TECH_STUDIES_PARAM1_OVERRIDE",39,"USE_PREVIOUS_BUSINESS_DAY","Y")),"")</f>
        <v>187.42590192367862</v>
      </c>
      <c r="AP4">
        <f t="shared" si="8"/>
        <v>6560.7823076923087</v>
      </c>
      <c r="AQ4">
        <f>AM4/AN4</f>
        <v>2.8569059776437918E-2</v>
      </c>
      <c r="AR4">
        <f>AO4/AP4</f>
        <v>2.8567614826044099E-2</v>
      </c>
      <c r="AS4" s="10" t="str">
        <f>IF(AM4&gt;AO4,"UP",IF(AM4&lt;AO4,"DOWN",""))</f>
        <v>UP</v>
      </c>
      <c r="AT4" s="10" t="str">
        <f>IF(AQ4&gt;AR4,"UP",IF(AQ4&lt;AR4,"DOWN",""))</f>
        <v>UP</v>
      </c>
      <c r="AU4" s="6" t="str">
        <f>IF(AND(S4&lt;AR4,R4&gt;AQ4),"BUY",IF(AND(S4&gt;AR4,R4&lt;AQ4),"SELL",IF(R4&gt;AQ4,"POSITIVE","NEGATIVE")))</f>
        <v>POSITIVE</v>
      </c>
      <c r="AV4" cm="1">
        <f t="array" ref="AV4">IFERROR(VALUE(_xll.BDP($B4,"INTERVAL_exp_MOV_AVG","CALC_INTERVAL","520D","TECH_STUDIES_PARAM1_OVERRIDE",100,"USE_PREVIOUS_BUSINESS_DAY","N")),"")</f>
        <v>192.45835765349295</v>
      </c>
      <c r="AW4">
        <f t="shared" si="9"/>
        <v>6773.0064518682802</v>
      </c>
      <c r="AX4" cm="1">
        <f t="array" ref="AX4">IFERROR(VALUE(_xll.BDP($B4,"INTERVAL_exp_MOV_AVG","CALC_INTERVAL","520D","TECH_STUDIES_PARAM1_OVERRIDE",100,"USE_PREVIOUS_BUSINESS_DAY","Y")),"")</f>
        <v>192.23613876081728</v>
      </c>
      <c r="AY4">
        <f t="shared" si="10"/>
        <v>6769.6039787132295</v>
      </c>
      <c r="AZ4">
        <f>AV4/AW4</f>
        <v>2.8415498939972934E-2</v>
      </c>
      <c r="BA4">
        <f>AX4/AY4</f>
        <v>2.8396954883224593E-2</v>
      </c>
      <c r="BB4" s="11" t="str">
        <f>IF(AV4&gt;AX4,"UP",IF(AV4&lt;AX4,"DOWN",""))</f>
        <v>UP</v>
      </c>
      <c r="BC4" s="11" t="str">
        <f>IF(AZ4&gt;BA4,"UP",IF(AZ4&lt;BA4,"DOWN",""))</f>
        <v>UP</v>
      </c>
      <c r="BD4" s="6" t="str">
        <f>IF(AND(S4&lt;BA4,R4&gt;AZ4),"BUY",IF(AND(S4&gt;BA4,R4&lt;AZ4),"SELL",IF(R4&gt;AZ4,"POSITIVE","NEGATIVE")))</f>
        <v>POSITIVE</v>
      </c>
      <c r="BE4" s="12" cm="1">
        <f t="array" ref="BE4">_xll.BDP($B4, "INTERVAL_RSI", "TECH_STUDIES_PARAM1_OVERRIDE", "5", "PERIODICITY_OVERRIDE", "W")</f>
        <v>85.934289843039707</v>
      </c>
      <c r="BF4" cm="1">
        <f t="array" ref="BF4">IFERROR(VALUE(_xll.BDP($B4,"INTERVAL_MAE_MOV_AVG","CALC_INTERVAL","520D","TECH_STUDIES_PARAM1_OVERRIDE",31,"USE_PREVIOUS_BUSINESS_DAY","N")),"")</f>
        <v>198.03774215206019</v>
      </c>
      <c r="BG4" cm="1">
        <f t="array" ref="BG4">IFERROR(VALUE(_xll.BDP($B4,"INTERVAL_MAE_MOV_AVG","CALC_INTERVAL","760D","TECH_STUDIES_PARAM1_OVERRIDE",200,"USE_PREVIOUS_BUSINESS_DAY","N")),"")</f>
        <v>185.84092767391778</v>
      </c>
      <c r="BH4" s="13">
        <f>-1+(N4/BF4)</f>
        <v>2.7379921569578469E-2</v>
      </c>
      <c r="BI4" s="13">
        <f>-1+(N4/T4)</f>
        <v>3.9892152390996305E-2</v>
      </c>
      <c r="BJ4" s="13">
        <f>-1+(N4/BG4)</f>
        <v>9.4807277097740172E-2</v>
      </c>
      <c r="BK4" s="32" cm="1">
        <f t="array" ref="BK4">VALUE(_xll.BDP($B4,"INTERVAL_DATE_OF_CALC_HI","CALC_INTERVAL","3M"))</f>
        <v>46064</v>
      </c>
      <c r="BL4" s="32" cm="1">
        <f t="array" ref="BL4">VALUE(_xll.BDP($B4,"INTERVAL_DATE_OF_CALC_LO","CALC_INTERVAL","3M"))</f>
        <v>45981</v>
      </c>
      <c r="BM4" s="32" cm="1">
        <f t="array" ref="BM4">VALUE(_xll.BDP($B4,"INTERVAL_DATE_OF_CALC_HI","CALC_INTERVAL","1M"))</f>
        <v>46064</v>
      </c>
      <c r="BN4" s="32" cm="1">
        <f t="array" ref="BN4">VALUE(_xll.BDP($B4,"INTERVAL_DATE_OF_CALC_LO","CALC_INTERVAL","1M"))</f>
        <v>46042</v>
      </c>
      <c r="BO4" s="15">
        <f>IFERROR(VLOOKUP($F4,PIVOT!$A:$C,2,FALSE),0)</f>
        <v>0</v>
      </c>
      <c r="BP4" s="15">
        <f>IFERROR(VLOOKUP($F4,PIVOT!$A:$C,3,FALSE),0)</f>
        <v>0</v>
      </c>
      <c r="BQ4" s="15">
        <f t="shared" si="11"/>
        <v>67.301020603175431</v>
      </c>
    </row>
    <row r="5" spans="1:69" x14ac:dyDescent="0.25">
      <c r="A5">
        <v>4</v>
      </c>
      <c r="B5" t="s">
        <v>3</v>
      </c>
      <c r="J5" s="24"/>
      <c r="K5" s="15">
        <f>_xll.BDP($B5,"interval_rsi","tech_studies_param1_override",14)</f>
        <v>63.546377804928134</v>
      </c>
      <c r="L5" s="15">
        <f t="shared" si="0"/>
        <v>52.525531939815814</v>
      </c>
      <c r="M5">
        <f t="shared" ref="M5:M68" si="12">IF(AND(K5-L5&gt;10,L5&lt;65),1,0)</f>
        <v>1</v>
      </c>
      <c r="N5" cm="1">
        <f t="array" ref="N5">IFERROR(VALUE(_xll.BDP($B5,"px_last")),"")</f>
        <v>275.5</v>
      </c>
      <c r="O5">
        <f t="shared" si="1"/>
        <v>6941.47</v>
      </c>
      <c r="P5" cm="1">
        <f t="array" ref="P5">IFERROR(VALUE(_xll.BDP($B5,"PX_YEST_CLOSE")),"")</f>
        <v>273.68</v>
      </c>
      <c r="Q5">
        <f t="shared" si="2"/>
        <v>6941.81</v>
      </c>
      <c r="R5">
        <f t="shared" ref="R5:R68" si="13">N5/O5</f>
        <v>3.9688999592305374E-2</v>
      </c>
      <c r="S5">
        <f t="shared" ref="S5:S68" si="14">P5/Q5</f>
        <v>3.9424876221043216E-2</v>
      </c>
      <c r="T5" cm="1">
        <f t="array" ref="T5">IFERROR(VALUE(_xll.BDP($B5,"INTERVAL_MAE_MOV_AVG","CALC_INTERVAL","520D","TECH_STUDIES_PARAM1_OVERRIDE",50,"USE_PREVIOUS_BUSINESS_DAY","N")),"")</f>
        <v>268.27514746200001</v>
      </c>
      <c r="U5">
        <f t="shared" si="3"/>
        <v>6894.0953999999992</v>
      </c>
      <c r="V5" cm="1">
        <f t="array" ref="V5">IFERROR(VALUE(_xll.BDP($B5,"INTERVAL_MAE_MOV_AVG","CALC_INTERVAL","520D","TECH_STUDIES_PARAM1_OVERRIDE",50,"USE_PREVIOUS_BUSINESS_DAY","Y")),"")</f>
        <v>268.336932967</v>
      </c>
      <c r="W5">
        <f t="shared" si="4"/>
        <v>6892.2477999999992</v>
      </c>
      <c r="X5">
        <f t="shared" ref="X5:X68" si="15">T5/U5</f>
        <v>3.8913756177786578E-2</v>
      </c>
      <c r="Y5">
        <f t="shared" ref="Y5:Y68" si="16">V5/W5</f>
        <v>3.8933152253608765E-2</v>
      </c>
      <c r="Z5" s="11" t="str">
        <f t="shared" ref="Z5:Z68" si="17">IF(M5=1,"POSITIVE","NEGATIVE")</f>
        <v>POSITIVE</v>
      </c>
      <c r="AA5" s="11" t="str">
        <f t="shared" ref="AA5:AA68" si="18">IF(AND(P5&lt;V5,N5&gt;T5),"UP","")</f>
        <v/>
      </c>
      <c r="AB5" s="11" t="str">
        <f t="shared" ref="AB5:AB68" si="19">IF(X5&gt;Y5,"UP",IF(X5&lt;Y5,"DOWN",""))</f>
        <v>DOWN</v>
      </c>
      <c r="AC5" s="6" t="str">
        <f t="shared" ref="AC5:AC68" si="20">IF(AND(S5&lt;Y5,R5&gt;X5),"BUY",IF(AND(S5&gt;Y5,R5&lt;X5),"SELL",IF(R5&gt;X5,"POSITIVE","NEGATIVE")))</f>
        <v>POSITIVE</v>
      </c>
      <c r="AD5" cm="1">
        <f t="array" ref="AD5">IFERROR(VALUE(_xll.BDP($B5,"INTERVAL_MAE_MOV_AVG","CALC_INTERVAL","520D","TECH_STUDIES_PARAM1_OVERRIDE",65,"USE_PREVIOUS_BUSINESS_DAY","N")),"")</f>
        <v>269.11000965656649</v>
      </c>
      <c r="AE5">
        <f t="shared" si="5"/>
        <v>6856.0226153846133</v>
      </c>
      <c r="AF5" cm="1">
        <f t="array" ref="AF5">IFERROR(VALUE(_xll.BDP($B5,"INTERVAL_MAE_MOV_AVG","CALC_INTERVAL","520D","TECH_STUDIES_PARAM1_OVERRIDE",65,"USE_PREVIOUS_BUSINESS_DAY","Y")),"")</f>
        <v>269.01396153123471</v>
      </c>
      <c r="AG5">
        <f t="shared" si="6"/>
        <v>6852.6203076923057</v>
      </c>
      <c r="AH5">
        <f t="shared" ref="AH5:AH68" si="21">AD5/AE5</f>
        <v>3.9251622223750469E-2</v>
      </c>
      <c r="AI5">
        <f t="shared" ref="AI5:AI68" si="22">AF5/AG5</f>
        <v>3.9257094286875509E-2</v>
      </c>
      <c r="AJ5" s="10" t="str">
        <f t="shared" ref="AJ5:AJ68" si="23">IF(AD5&gt;AF5,"UP",IF(AD5&lt;AF5,"DOWN",""))</f>
        <v>UP</v>
      </c>
      <c r="AK5" s="10" t="str">
        <f t="shared" ref="AK5:AK68" si="24">IF(AH5&gt;AI5,"UP",IF(AH5&lt;AI5,"DOWN",""))</f>
        <v>DOWN</v>
      </c>
      <c r="AL5" s="6" t="str">
        <f t="shared" ref="AL5:AL68" si="25">IF(AND(S5&lt;AI5,R5&gt;AH5),"BUY",IF(AND(S5&gt;AI5,R5&lt;AH5),"SELL",IF(R5&gt;AH5,"POSITIVE","NEGATIVE")))</f>
        <v>POSITIVE</v>
      </c>
      <c r="AM5" cm="1">
        <f t="array" ref="AM5">IFERROR(VALUE(_xll.BDP($B5,"INTERVAL_MAE_MOV_AVG","CALC_INTERVAL","65W","PERIODICITY_OVERRIDE","W","TECH_STUDIES_PARAM1_OVERRIDE",39,"USE_PREVIOUS_BUSINESS_DAY","N")),"")</f>
        <v>242.57752004108866</v>
      </c>
      <c r="AN5">
        <f t="shared" si="7"/>
        <v>6560.7735897435905</v>
      </c>
      <c r="AO5" cm="1">
        <f t="array" ref="AO5">IFERROR(VALUE(_xll.BDP($B5,"INTERVAL_MAE_MOV_AVG","CALC_INTERVAL","65W","PERIODICITY_OVERRIDE","W","TECH_STUDIES_PARAM1_OVERRIDE",39,"USE_PREVIOUS_BUSINESS_DAY","Y")),"")</f>
        <v>242.53085337442195</v>
      </c>
      <c r="AP5">
        <f t="shared" si="8"/>
        <v>6560.7823076923087</v>
      </c>
      <c r="AQ5">
        <f t="shared" ref="AQ5:AQ68" si="26">AM5/AN5</f>
        <v>3.6973920334685585E-2</v>
      </c>
      <c r="AR5">
        <f t="shared" ref="AR5:AR68" si="27">AO5/AP5</f>
        <v>3.6966758230960087E-2</v>
      </c>
      <c r="AS5" s="10" t="str">
        <f t="shared" ref="AS5:AS68" si="28">IF(AM5&gt;AO5,"UP",IF(AM5&lt;AO5,"DOWN",""))</f>
        <v>UP</v>
      </c>
      <c r="AT5" s="10" t="str">
        <f t="shared" ref="AT5:AT68" si="29">IF(AQ5&gt;AR5,"UP",IF(AQ5&lt;AR5,"DOWN",""))</f>
        <v>UP</v>
      </c>
      <c r="AU5" s="6" t="str">
        <f t="shared" ref="AU5:AU68" si="30">IF(AND(S5&lt;AR5,R5&gt;AQ5),"BUY",IF(AND(S5&gt;AR5,R5&lt;AQ5),"SELL",IF(R5&gt;AQ5,"POSITIVE","NEGATIVE")))</f>
        <v>POSITIVE</v>
      </c>
      <c r="AV5" cm="1">
        <f t="array" ref="AV5">IFERROR(VALUE(_xll.BDP($B5,"INTERVAL_exp_MOV_AVG","CALC_INTERVAL","520D","TECH_STUDIES_PARAM1_OVERRIDE",100,"USE_PREVIOUS_BUSINESS_DAY","N")),"")</f>
        <v>260.00713617428084</v>
      </c>
      <c r="AW5">
        <f t="shared" si="9"/>
        <v>6773.0064518682802</v>
      </c>
      <c r="AX5" cm="1">
        <f t="array" ref="AX5">IFERROR(VALUE(_xll.BDP($B5,"INTERVAL_exp_MOV_AVG","CALC_INTERVAL","520D","TECH_STUDIES_PARAM1_OVERRIDE",100,"USE_PREVIOUS_BUSINESS_DAY","Y")),"")</f>
        <v>259.69417820785316</v>
      </c>
      <c r="AY5">
        <f t="shared" si="10"/>
        <v>6769.6039787132295</v>
      </c>
      <c r="AZ5">
        <f t="shared" ref="AZ5:AZ68" si="31">AV5/AW5</f>
        <v>3.8388732983202743E-2</v>
      </c>
      <c r="BA5">
        <f t="shared" ref="BA5:BA68" si="32">AX5/AY5</f>
        <v>3.836179768040375E-2</v>
      </c>
      <c r="BB5" s="11" t="str">
        <f t="shared" ref="BB5:BB68" si="33">IF(AV5&gt;AX5,"UP",IF(AV5&lt;AX5,"DOWN",""))</f>
        <v>UP</v>
      </c>
      <c r="BC5" s="11" t="str">
        <f t="shared" ref="BC5:BC68" si="34">IF(AZ5&gt;BA5,"UP",IF(AZ5&lt;BA5,"DOWN",""))</f>
        <v>UP</v>
      </c>
      <c r="BD5" s="6" t="str">
        <f t="shared" ref="BD5:BD68" si="35">IF(AND(S5&lt;BA5,R5&gt;AZ5),"BUY",IF(AND(S5&gt;BA5,R5&lt;AZ5),"SELL",IF(R5&gt;AZ5,"POSITIVE","NEGATIVE")))</f>
        <v>POSITIVE</v>
      </c>
      <c r="BE5" s="12" cm="1">
        <f t="array" ref="BE5">_xll.BDP($B5, "INTERVAL_RSI", "TECH_STUDIES_PARAM1_OVERRIDE", "5", "PERIODICITY_OVERRIDE", "W")</f>
        <v>64.084167034793765</v>
      </c>
      <c r="BF5" cm="1">
        <f t="array" ref="BF5">IFERROR(VALUE(_xll.BDP($B5,"INTERVAL_MAE_MOV_AVG","CALC_INTERVAL","520D","TECH_STUDIES_PARAM1_OVERRIDE",31,"USE_PREVIOUS_BUSINESS_DAY","N")),"")</f>
        <v>263.18179066129028</v>
      </c>
      <c r="BG5" cm="1">
        <f t="array" ref="BG5">IFERROR(VALUE(_xll.BDP($B5,"INTERVAL_MAE_MOV_AVG","CALC_INTERVAL","760D","TECH_STUDIES_PARAM1_OVERRIDE",200,"USE_PREVIOUS_BUSINESS_DAY","N")),"")</f>
        <v>239.11244058443569</v>
      </c>
      <c r="BH5" s="13">
        <f t="shared" ref="BH5:BH68" si="36">-1+(N5/BF5)</f>
        <v>4.6804945386829555E-2</v>
      </c>
      <c r="BI5" s="13">
        <f t="shared" ref="BI5:BI68" si="37">-1+(N5/T5)</f>
        <v>2.6930756003119338E-2</v>
      </c>
      <c r="BJ5" s="13">
        <f t="shared" ref="BJ5:BJ68" si="38">-1+(N5/BG5)</f>
        <v>0.15217760868747066</v>
      </c>
      <c r="BK5" s="32" cm="1">
        <f t="array" ref="BK5">VALUE(_xll.BDP($B5,"INTERVAL_DATE_OF_CALC_HI","CALC_INTERVAL","3M"))</f>
        <v>45993</v>
      </c>
      <c r="BL5" s="32" cm="1">
        <f t="array" ref="BL5">VALUE(_xll.BDP($B5,"INTERVAL_DATE_OF_CALC_LO","CALC_INTERVAL","3M"))</f>
        <v>46042</v>
      </c>
      <c r="BM5" s="32" cm="1">
        <f t="array" ref="BM5">VALUE(_xll.BDP($B5,"INTERVAL_DATE_OF_CALC_HI","CALC_INTERVAL","1M"))</f>
        <v>46059</v>
      </c>
      <c r="BN5" s="32" cm="1">
        <f t="array" ref="BN5">VALUE(_xll.BDP($B5,"INTERVAL_DATE_OF_CALC_LO","CALC_INTERVAL","1M"))</f>
        <v>46042</v>
      </c>
      <c r="BO5" s="15">
        <f>IFERROR(VLOOKUP($F5,PIVOT!$A:$C,2,FALSE),0)</f>
        <v>0</v>
      </c>
      <c r="BP5" s="15">
        <f>IFERROR(VLOOKUP($F5,PIVOT!$A:$C,3,FALSE),0)</f>
        <v>0</v>
      </c>
      <c r="BQ5" s="15">
        <f t="shared" si="11"/>
        <v>63.546377804928134</v>
      </c>
    </row>
    <row r="6" spans="1:69" x14ac:dyDescent="0.25">
      <c r="A6">
        <v>5</v>
      </c>
      <c r="B6" t="s">
        <v>4</v>
      </c>
      <c r="J6" s="24"/>
      <c r="K6" s="15">
        <f>_xll.BDP($B6,"interval_rsi","tech_studies_param1_override",14)</f>
        <v>32.127659640928698</v>
      </c>
      <c r="L6" s="15">
        <f t="shared" si="0"/>
        <v>52.525531939815814</v>
      </c>
      <c r="M6">
        <f t="shared" si="12"/>
        <v>0</v>
      </c>
      <c r="N6" cm="1">
        <f t="array" ref="N6">IFERROR(VALUE(_xll.BDP($B6,"px_last")),"")</f>
        <v>119.55</v>
      </c>
      <c r="O6">
        <f t="shared" si="1"/>
        <v>6941.47</v>
      </c>
      <c r="P6" cm="1">
        <f t="array" ref="P6">IFERROR(VALUE(_xll.BDP($B6,"PX_YEST_CLOSE")),"")</f>
        <v>120.32</v>
      </c>
      <c r="Q6">
        <f t="shared" si="2"/>
        <v>6941.81</v>
      </c>
      <c r="R6">
        <f t="shared" si="13"/>
        <v>1.7222576774083873E-2</v>
      </c>
      <c r="S6">
        <f t="shared" si="14"/>
        <v>1.7332655316120722E-2</v>
      </c>
      <c r="T6" cm="1">
        <f t="array" ref="T6">IFERROR(VALUE(_xll.BDP($B6,"INTERVAL_MAE_MOV_AVG","CALC_INTERVAL","520D","TECH_STUDIES_PARAM1_OVERRIDE",50,"USE_PREVIOUS_BUSINESS_DAY","N")),"")</f>
        <v>130.49570006103514</v>
      </c>
      <c r="U6">
        <f t="shared" si="3"/>
        <v>6894.0953999999992</v>
      </c>
      <c r="V6" cm="1">
        <f t="array" ref="V6">IFERROR(VALUE(_xll.BDP($B6,"INTERVAL_MAE_MOV_AVG","CALC_INTERVAL","520D","TECH_STUDIES_PARAM1_OVERRIDE",50,"USE_PREVIOUS_BUSINESS_DAY","Y")),"")</f>
        <v>130.44449999999998</v>
      </c>
      <c r="W6">
        <f t="shared" si="4"/>
        <v>6892.2477999999992</v>
      </c>
      <c r="X6">
        <f t="shared" si="15"/>
        <v>1.8928618258029203E-2</v>
      </c>
      <c r="Y6">
        <f t="shared" si="16"/>
        <v>1.892626379451998E-2</v>
      </c>
      <c r="Z6" s="11" t="str">
        <f t="shared" si="17"/>
        <v>NEGATIVE</v>
      </c>
      <c r="AA6" s="11" t="str">
        <f t="shared" si="18"/>
        <v/>
      </c>
      <c r="AB6" s="11" t="str">
        <f t="shared" si="19"/>
        <v>UP</v>
      </c>
      <c r="AC6" s="6" t="str">
        <f t="shared" si="20"/>
        <v>NEGATIVE</v>
      </c>
      <c r="AD6" cm="1">
        <f t="array" ref="AD6">IFERROR(VALUE(_xll.BDP($B6,"INTERVAL_MAE_MOV_AVG","CALC_INTERVAL","520D","TECH_STUDIES_PARAM1_OVERRIDE",65,"USE_PREVIOUS_BUSINESS_DAY","N")),"")</f>
        <v>127.58853850848855</v>
      </c>
      <c r="AE6">
        <f t="shared" si="5"/>
        <v>6856.0226153846133</v>
      </c>
      <c r="AF6" cm="1">
        <f t="array" ref="AF6">IFERROR(VALUE(_xll.BDP($B6,"INTERVAL_MAE_MOV_AVG","CALC_INTERVAL","520D","TECH_STUDIES_PARAM1_OVERRIDE",65,"USE_PREVIOUS_BUSINESS_DAY","Y")),"")</f>
        <v>127.60361538461537</v>
      </c>
      <c r="AG6">
        <f t="shared" si="6"/>
        <v>6852.6203076923057</v>
      </c>
      <c r="AH6">
        <f t="shared" si="21"/>
        <v>1.8609702106609959E-2</v>
      </c>
      <c r="AI6">
        <f t="shared" si="22"/>
        <v>1.8621141936227787E-2</v>
      </c>
      <c r="AJ6" s="10" t="str">
        <f t="shared" si="23"/>
        <v>DOWN</v>
      </c>
      <c r="AK6" s="10" t="str">
        <f t="shared" si="24"/>
        <v>DOWN</v>
      </c>
      <c r="AL6" s="6" t="str">
        <f t="shared" si="25"/>
        <v>NEGATIVE</v>
      </c>
      <c r="AM6" cm="1">
        <f t="array" ref="AM6">IFERROR(VALUE(_xll.BDP($B6,"INTERVAL_MAE_MOV_AVG","CALC_INTERVAL","65W","PERIODICITY_OVERRIDE","W","TECH_STUDIES_PARAM1_OVERRIDE",39,"USE_PREVIOUS_BUSINESS_DAY","N")),"")</f>
        <v>128.36743597568608</v>
      </c>
      <c r="AN6">
        <f t="shared" si="7"/>
        <v>6560.7735897435905</v>
      </c>
      <c r="AO6" cm="1">
        <f t="array" ref="AO6">IFERROR(VALUE(_xll.BDP($B6,"INTERVAL_MAE_MOV_AVG","CALC_INTERVAL","65W","PERIODICITY_OVERRIDE","W","TECH_STUDIES_PARAM1_OVERRIDE",39,"USE_PREVIOUS_BUSINESS_DAY","Y")),"")</f>
        <v>128.38717948717948</v>
      </c>
      <c r="AP6">
        <f t="shared" si="8"/>
        <v>6560.7823076923087</v>
      </c>
      <c r="AQ6">
        <f t="shared" si="26"/>
        <v>1.9565899389724705E-2</v>
      </c>
      <c r="AR6">
        <f t="shared" si="27"/>
        <v>1.9568882713369349E-2</v>
      </c>
      <c r="AS6" s="10" t="str">
        <f t="shared" si="28"/>
        <v>DOWN</v>
      </c>
      <c r="AT6" s="10" t="str">
        <f t="shared" si="29"/>
        <v>DOWN</v>
      </c>
      <c r="AU6" s="6" t="str">
        <f t="shared" si="30"/>
        <v>NEGATIVE</v>
      </c>
      <c r="AV6" cm="1">
        <f t="array" ref="AV6">IFERROR(VALUE(_xll.BDP($B6,"INTERVAL_exp_MOV_AVG","CALC_INTERVAL","520D","TECH_STUDIES_PARAM1_OVERRIDE",100,"USE_PREVIOUS_BUSINESS_DAY","N")),"")</f>
        <v>128.07547941737192</v>
      </c>
      <c r="AW6">
        <f t="shared" si="9"/>
        <v>6773.0064518682802</v>
      </c>
      <c r="AX6" cm="1">
        <f t="array" ref="AX6">IFERROR(VALUE(_xll.BDP($B6,"INTERVAL_exp_MOV_AVG","CALC_INTERVAL","520D","TECH_STUDIES_PARAM1_OVERRIDE",100,"USE_PREVIOUS_BUSINESS_DAY","Y")),"")</f>
        <v>128.24771250460256</v>
      </c>
      <c r="AY6">
        <f t="shared" si="10"/>
        <v>6769.6039787132295</v>
      </c>
      <c r="AZ6">
        <f t="shared" si="31"/>
        <v>1.890969399298938E-2</v>
      </c>
      <c r="BA6">
        <f t="shared" si="32"/>
        <v>1.8944640322812498E-2</v>
      </c>
      <c r="BB6" s="11" t="str">
        <f t="shared" si="33"/>
        <v>DOWN</v>
      </c>
      <c r="BC6" s="11" t="str">
        <f t="shared" si="34"/>
        <v>DOWN</v>
      </c>
      <c r="BD6" s="6" t="str">
        <f t="shared" si="35"/>
        <v>NEGATIVE</v>
      </c>
      <c r="BE6" s="12" cm="1">
        <f t="array" ref="BE6">_xll.BDP($B6, "INTERVAL_RSI", "TECH_STUDIES_PARAM1_OVERRIDE", "5", "PERIODICITY_OVERRIDE", "W")</f>
        <v>28.416366403991645</v>
      </c>
      <c r="BF6" cm="1">
        <f t="array" ref="BF6">IFERROR(VALUE(_xll.BDP($B6,"INTERVAL_MAE_MOV_AVG","CALC_INTERVAL","520D","TECH_STUDIES_PARAM1_OVERRIDE",31,"USE_PREVIOUS_BUSINESS_DAY","N")),"")</f>
        <v>131.51435493715346</v>
      </c>
      <c r="BG6" cm="1">
        <f t="array" ref="BG6">IFERROR(VALUE(_xll.BDP($B6,"INTERVAL_MAE_MOV_AVG","CALC_INTERVAL","760D","TECH_STUDIES_PARAM1_OVERRIDE",200,"USE_PREVIOUS_BUSINESS_DAY","N")),"")</f>
        <v>128.51117501525874</v>
      </c>
      <c r="BH6" s="13">
        <f t="shared" si="36"/>
        <v>-9.0973756764961888E-2</v>
      </c>
      <c r="BI6" s="13">
        <f t="shared" si="37"/>
        <v>-8.3877860005468707E-2</v>
      </c>
      <c r="BJ6" s="13">
        <f t="shared" si="38"/>
        <v>-6.9730706408954291E-2</v>
      </c>
      <c r="BK6" s="32" cm="1">
        <f t="array" ref="BK6">VALUE(_xll.BDP($B6,"INTERVAL_DATE_OF_CALC_HI","CALC_INTERVAL","3M"))</f>
        <v>46035</v>
      </c>
      <c r="BL6" s="32" cm="1">
        <f t="array" ref="BL6">VALUE(_xll.BDP($B6,"INTERVAL_DATE_OF_CALC_LO","CALC_INTERVAL","3M"))</f>
        <v>45981</v>
      </c>
      <c r="BM6" s="32" cm="1">
        <f t="array" ref="BM6">VALUE(_xll.BDP($B6,"INTERVAL_DATE_OF_CALC_HI","CALC_INTERVAL","1M"))</f>
        <v>46035</v>
      </c>
      <c r="BN6" s="32" cm="1">
        <f t="array" ref="BN6">VALUE(_xll.BDP($B6,"INTERVAL_DATE_OF_CALC_LO","CALC_INTERVAL","1M"))</f>
        <v>46064</v>
      </c>
      <c r="BO6" s="15">
        <f>IFERROR(VLOOKUP($F6,PIVOT!$A:$C,2,FALSE),0)</f>
        <v>0</v>
      </c>
      <c r="BP6" s="15">
        <f>IFERROR(VLOOKUP($F6,PIVOT!$A:$C,3,FALSE),0)</f>
        <v>0</v>
      </c>
      <c r="BQ6" s="15">
        <f t="shared" si="11"/>
        <v>32.127659640928698</v>
      </c>
    </row>
    <row r="7" spans="1:69" x14ac:dyDescent="0.25">
      <c r="A7">
        <v>6</v>
      </c>
      <c r="B7" t="s">
        <v>5</v>
      </c>
      <c r="J7" s="24"/>
      <c r="K7" s="15">
        <f>_xll.BDP($B7,"interval_rsi","tech_studies_param1_override",14)</f>
        <v>22.832954032255657</v>
      </c>
      <c r="L7" s="15">
        <f t="shared" si="0"/>
        <v>52.525531939815814</v>
      </c>
      <c r="M7">
        <f t="shared" si="12"/>
        <v>0</v>
      </c>
      <c r="N7" cm="1">
        <f t="array" ref="N7">IFERROR(VALUE(_xll.BDP($B7,"px_last")),"")</f>
        <v>257.16000000000003</v>
      </c>
      <c r="O7">
        <f t="shared" si="1"/>
        <v>6941.47</v>
      </c>
      <c r="P7" cm="1">
        <f t="array" ref="P7">IFERROR(VALUE(_xll.BDP($B7,"PX_YEST_CLOSE")),"")</f>
        <v>264.67</v>
      </c>
      <c r="Q7">
        <f t="shared" si="2"/>
        <v>6941.81</v>
      </c>
      <c r="R7">
        <f t="shared" si="13"/>
        <v>3.7046907931605269E-2</v>
      </c>
      <c r="S7">
        <f t="shared" si="14"/>
        <v>3.8126943837414162E-2</v>
      </c>
      <c r="T7" cm="1">
        <f t="array" ref="T7">IFERROR(VALUE(_xll.BDP($B7,"INTERVAL_MAE_MOV_AVG","CALC_INTERVAL","520D","TECH_STUDIES_PARAM1_OVERRIDE",50,"USE_PREVIOUS_BUSINESS_DAY","N")),"")</f>
        <v>320.32660007324216</v>
      </c>
      <c r="U7">
        <f t="shared" si="3"/>
        <v>6894.0953999999992</v>
      </c>
      <c r="V7" cm="1">
        <f t="array" ref="V7">IFERROR(VALUE(_xll.BDP($B7,"INTERVAL_MAE_MOV_AVG","CALC_INTERVAL","520D","TECH_STUDIES_PARAM1_OVERRIDE",50,"USE_PREVIOUS_BUSINESS_DAY","Y")),"")</f>
        <v>321.58600000000001</v>
      </c>
      <c r="W7">
        <f t="shared" si="4"/>
        <v>6892.2477999999992</v>
      </c>
      <c r="X7">
        <f t="shared" si="15"/>
        <v>4.6463905920600138E-2</v>
      </c>
      <c r="Y7">
        <f t="shared" si="16"/>
        <v>4.6659088490695305E-2</v>
      </c>
      <c r="Z7" s="11" t="str">
        <f t="shared" si="17"/>
        <v>NEGATIVE</v>
      </c>
      <c r="AA7" s="11" t="str">
        <f t="shared" si="18"/>
        <v/>
      </c>
      <c r="AB7" s="11" t="str">
        <f t="shared" si="19"/>
        <v>DOWN</v>
      </c>
      <c r="AC7" s="6" t="str">
        <f t="shared" si="20"/>
        <v>NEGATIVE</v>
      </c>
      <c r="AD7" cm="1">
        <f t="array" ref="AD7">IFERROR(VALUE(_xll.BDP($B7,"INTERVAL_MAE_MOV_AVG","CALC_INTERVAL","520D","TECH_STUDIES_PARAM1_OVERRIDE",65,"USE_PREVIOUS_BUSINESS_DAY","N")),"")</f>
        <v>321.34276928710932</v>
      </c>
      <c r="AE7">
        <f t="shared" si="5"/>
        <v>6856.0226153846133</v>
      </c>
      <c r="AF7" cm="1">
        <f t="array" ref="AF7">IFERROR(VALUE(_xll.BDP($B7,"INTERVAL_MAE_MOV_AVG","CALC_INTERVAL","520D","TECH_STUDIES_PARAM1_OVERRIDE",65,"USE_PREVIOUS_BUSINESS_DAY","Y")),"")</f>
        <v>322.42261538461537</v>
      </c>
      <c r="AG7">
        <f t="shared" si="6"/>
        <v>6852.6203076923057</v>
      </c>
      <c r="AH7">
        <f t="shared" si="21"/>
        <v>4.6870144297078351E-2</v>
      </c>
      <c r="AI7">
        <f t="shared" si="22"/>
        <v>4.7050996685557601E-2</v>
      </c>
      <c r="AJ7" s="10" t="str">
        <f t="shared" si="23"/>
        <v>DOWN</v>
      </c>
      <c r="AK7" s="10" t="str">
        <f t="shared" si="24"/>
        <v>DOWN</v>
      </c>
      <c r="AL7" s="6" t="str">
        <f t="shared" si="25"/>
        <v>NEGATIVE</v>
      </c>
      <c r="AM7" cm="1">
        <f t="array" ref="AM7">IFERROR(VALUE(_xll.BDP($B7,"INTERVAL_MAE_MOV_AVG","CALC_INTERVAL","65W","PERIODICITY_OVERRIDE","W","TECH_STUDIES_PARAM1_OVERRIDE",39,"USE_PREVIOUS_BUSINESS_DAY","N")),"")</f>
        <v>347.94128214518224</v>
      </c>
      <c r="AN7">
        <f t="shared" si="7"/>
        <v>6560.7735897435905</v>
      </c>
      <c r="AO7" cm="1">
        <f t="array" ref="AO7">IFERROR(VALUE(_xll.BDP($B7,"INTERVAL_MAE_MOV_AVG","CALC_INTERVAL","65W","PERIODICITY_OVERRIDE","W","TECH_STUDIES_PARAM1_OVERRIDE",39,"USE_PREVIOUS_BUSINESS_DAY","Y")),"")</f>
        <v>348.13384615384615</v>
      </c>
      <c r="AP7">
        <f t="shared" si="8"/>
        <v>6560.7823076923087</v>
      </c>
      <c r="AQ7">
        <f t="shared" si="26"/>
        <v>5.3033575596804057E-2</v>
      </c>
      <c r="AR7">
        <f t="shared" si="27"/>
        <v>5.3062855895351119E-2</v>
      </c>
      <c r="AS7" s="10" t="str">
        <f t="shared" si="28"/>
        <v>DOWN</v>
      </c>
      <c r="AT7" s="10" t="str">
        <f t="shared" si="29"/>
        <v>DOWN</v>
      </c>
      <c r="AU7" s="6" t="str">
        <f t="shared" si="30"/>
        <v>NEGATIVE</v>
      </c>
      <c r="AV7" cm="1">
        <f t="array" ref="AV7">IFERROR(VALUE(_xll.BDP($B7,"INTERVAL_exp_MOV_AVG","CALC_INTERVAL","520D","TECH_STUDIES_PARAM1_OVERRIDE",100,"USE_PREVIOUS_BUSINESS_DAY","N")),"")</f>
        <v>326.54016159139132</v>
      </c>
      <c r="AW7">
        <f t="shared" si="9"/>
        <v>6773.0064518682802</v>
      </c>
      <c r="AX7" cm="1">
        <f t="array" ref="AX7">IFERROR(VALUE(_xll.BDP($B7,"INTERVAL_exp_MOV_AVG","CALC_INTERVAL","520D","TECH_STUDIES_PARAM1_OVERRIDE",100,"USE_PREVIOUS_BUSINESS_DAY","Y")),"")</f>
        <v>327.94182998119771</v>
      </c>
      <c r="AY7">
        <f t="shared" si="10"/>
        <v>6769.6039787132295</v>
      </c>
      <c r="AZ7">
        <f t="shared" si="31"/>
        <v>4.8211996240062317E-2</v>
      </c>
      <c r="BA7">
        <f t="shared" si="32"/>
        <v>4.8443281322275086E-2</v>
      </c>
      <c r="BB7" s="11" t="str">
        <f t="shared" si="33"/>
        <v>DOWN</v>
      </c>
      <c r="BC7" s="11" t="str">
        <f t="shared" si="34"/>
        <v>DOWN</v>
      </c>
      <c r="BD7" s="6" t="str">
        <f t="shared" si="35"/>
        <v>NEGATIVE</v>
      </c>
      <c r="BE7" s="12" cm="1">
        <f t="array" ref="BE7">_xll.BDP($B7, "INTERVAL_RSI", "TECH_STUDIES_PARAM1_OVERRIDE", "5", "PERIODICITY_OVERRIDE", "W")</f>
        <v>11.709970330674992</v>
      </c>
      <c r="BF7" cm="1">
        <f t="array" ref="BF7">IFERROR(VALUE(_xll.BDP($B7,"INTERVAL_MAE_MOV_AVG","CALC_INTERVAL","520D","TECH_STUDIES_PARAM1_OVERRIDE",31,"USE_PREVIOUS_BUSINESS_DAY","N")),"")</f>
        <v>304.94741947297121</v>
      </c>
      <c r="BG7" cm="1">
        <f t="array" ref="BG7">IFERROR(VALUE(_xll.BDP($B7,"INTERVAL_MAE_MOV_AVG","CALC_INTERVAL","760D","TECH_STUDIES_PARAM1_OVERRIDE",200,"USE_PREVIOUS_BUSINESS_DAY","N")),"")</f>
        <v>353.06062501831042</v>
      </c>
      <c r="BH7" s="13">
        <f t="shared" si="36"/>
        <v>-0.15670707938949058</v>
      </c>
      <c r="BI7" s="13">
        <f t="shared" si="37"/>
        <v>-0.19719436368631016</v>
      </c>
      <c r="BJ7" s="13">
        <f t="shared" si="38"/>
        <v>-0.2716265089411678</v>
      </c>
      <c r="BK7" s="32" cm="1">
        <f t="array" ref="BK7">VALUE(_xll.BDP($B7,"INTERVAL_DATE_OF_CALC_HI","CALC_INTERVAL","3M"))</f>
        <v>46013</v>
      </c>
      <c r="BL7" s="32" cm="1">
        <f t="array" ref="BL7">VALUE(_xll.BDP($B7,"INTERVAL_DATE_OF_CALC_LO","CALC_INTERVAL","3M"))</f>
        <v>46064</v>
      </c>
      <c r="BM7" s="32" cm="1">
        <f t="array" ref="BM7">VALUE(_xll.BDP($B7,"INTERVAL_DATE_OF_CALC_HI","CALC_INTERVAL","1M"))</f>
        <v>46034</v>
      </c>
      <c r="BN7" s="32" cm="1">
        <f t="array" ref="BN7">VALUE(_xll.BDP($B7,"INTERVAL_DATE_OF_CALC_LO","CALC_INTERVAL","1M"))</f>
        <v>46064</v>
      </c>
      <c r="BO7" s="15">
        <f>IFERROR(VLOOKUP($F7,PIVOT!$A:$C,2,FALSE),0)</f>
        <v>0</v>
      </c>
      <c r="BP7" s="15">
        <f>IFERROR(VLOOKUP($F7,PIVOT!$A:$C,3,FALSE),0)</f>
        <v>0</v>
      </c>
      <c r="BQ7" s="15">
        <f t="shared" si="11"/>
        <v>22.832954032255657</v>
      </c>
    </row>
    <row r="8" spans="1:69" x14ac:dyDescent="0.25">
      <c r="A8">
        <v>7</v>
      </c>
      <c r="B8" t="s">
        <v>6</v>
      </c>
      <c r="J8" s="24"/>
      <c r="K8" s="15">
        <f>_xll.BDP($B8,"interval_rsi","tech_studies_param1_override",14)</f>
        <v>74.105228583304708</v>
      </c>
      <c r="L8" s="15">
        <f t="shared" si="0"/>
        <v>52.525531939815814</v>
      </c>
      <c r="M8">
        <f t="shared" si="12"/>
        <v>1</v>
      </c>
      <c r="N8" cm="1">
        <f t="array" ref="N8">IFERROR(VALUE(_xll.BDP($B8,"px_last")),"")</f>
        <v>337</v>
      </c>
      <c r="O8">
        <f t="shared" si="1"/>
        <v>6941.47</v>
      </c>
      <c r="P8" cm="1">
        <f t="array" ref="P8">IFERROR(VALUE(_xll.BDP($B8,"PX_YEST_CLOSE")),"")</f>
        <v>325.16000000000003</v>
      </c>
      <c r="Q8">
        <f t="shared" si="2"/>
        <v>6941.81</v>
      </c>
      <c r="R8">
        <f t="shared" si="13"/>
        <v>4.8548794419625813E-2</v>
      </c>
      <c r="S8">
        <f t="shared" si="14"/>
        <v>4.6840809529503112E-2</v>
      </c>
      <c r="T8" cm="1">
        <f t="array" ref="T8">IFERROR(VALUE(_xll.BDP($B8,"INTERVAL_MAE_MOV_AVG","CALC_INTERVAL","520D","TECH_STUDIES_PARAM1_OVERRIDE",50,"USE_PREVIOUS_BUSINESS_DAY","N")),"")</f>
        <v>293.04743811739996</v>
      </c>
      <c r="U8">
        <f t="shared" si="3"/>
        <v>6894.0953999999992</v>
      </c>
      <c r="V8" cm="1">
        <f t="array" ref="V8">IFERROR(VALUE(_xll.BDP($B8,"INTERVAL_MAE_MOV_AVG","CALC_INTERVAL","520D","TECH_STUDIES_PARAM1_OVERRIDE",50,"USE_PREVIOUS_BUSINESS_DAY","Y")),"")</f>
        <v>291.59556348820001</v>
      </c>
      <c r="W8">
        <f t="shared" si="4"/>
        <v>6892.2477999999992</v>
      </c>
      <c r="X8">
        <f t="shared" si="15"/>
        <v>4.2507018124147221E-2</v>
      </c>
      <c r="Y8">
        <f t="shared" si="16"/>
        <v>4.2307759667056667E-2</v>
      </c>
      <c r="Z8" s="11" t="str">
        <f t="shared" si="17"/>
        <v>POSITIVE</v>
      </c>
      <c r="AA8" s="11" t="str">
        <f t="shared" si="18"/>
        <v/>
      </c>
      <c r="AB8" s="11" t="str">
        <f t="shared" si="19"/>
        <v>UP</v>
      </c>
      <c r="AC8" s="6" t="str">
        <f t="shared" si="20"/>
        <v>POSITIVE</v>
      </c>
      <c r="AD8" cm="1">
        <f t="array" ref="AD8">IFERROR(VALUE(_xll.BDP($B8,"INTERVAL_MAE_MOV_AVG","CALC_INTERVAL","520D","TECH_STUDIES_PARAM1_OVERRIDE",65,"USE_PREVIOUS_BUSINESS_DAY","N")),"")</f>
        <v>280.18494251830765</v>
      </c>
      <c r="AE8">
        <f t="shared" si="5"/>
        <v>6856.0226153846133</v>
      </c>
      <c r="AF8" cm="1">
        <f t="array" ref="AF8">IFERROR(VALUE(_xll.BDP($B8,"INTERVAL_MAE_MOV_AVG","CALC_INTERVAL","520D","TECH_STUDIES_PARAM1_OVERRIDE",65,"USE_PREVIOUS_BUSINESS_DAY","Y")),"")</f>
        <v>278.57048859953846</v>
      </c>
      <c r="AG8">
        <f t="shared" si="6"/>
        <v>6852.6203076923057</v>
      </c>
      <c r="AH8">
        <f t="shared" si="21"/>
        <v>4.0866980498224285E-2</v>
      </c>
      <c r="AI8">
        <f t="shared" si="22"/>
        <v>4.0651674263468732E-2</v>
      </c>
      <c r="AJ8" s="10" t="str">
        <f t="shared" si="23"/>
        <v>UP</v>
      </c>
      <c r="AK8" s="10" t="str">
        <f t="shared" si="24"/>
        <v>UP</v>
      </c>
      <c r="AL8" s="6" t="str">
        <f t="shared" si="25"/>
        <v>POSITIVE</v>
      </c>
      <c r="AM8" cm="1">
        <f t="array" ref="AM8">IFERROR(VALUE(_xll.BDP($B8,"INTERVAL_MAE_MOV_AVG","CALC_INTERVAL","65W","PERIODICITY_OVERRIDE","W","TECH_STUDIES_PARAM1_OVERRIDE",39,"USE_PREVIOUS_BUSINESS_DAY","N")),"")</f>
        <v>251.98299505311647</v>
      </c>
      <c r="AN8">
        <f t="shared" si="7"/>
        <v>6560.7735897435905</v>
      </c>
      <c r="AO8" cm="1">
        <f t="array" ref="AO8">IFERROR(VALUE(_xll.BDP($B8,"INTERVAL_MAE_MOV_AVG","CALC_INTERVAL","65W","PERIODICITY_OVERRIDE","W","TECH_STUDIES_PARAM1_OVERRIDE",39,"USE_PREVIOUS_BUSINESS_DAY","Y")),"")</f>
        <v>251.67940530952671</v>
      </c>
      <c r="AP8">
        <f t="shared" si="8"/>
        <v>6560.7823076923087</v>
      </c>
      <c r="AQ8">
        <f t="shared" si="26"/>
        <v>3.8407512712683708E-2</v>
      </c>
      <c r="AR8">
        <f t="shared" si="27"/>
        <v>3.8361188270862247E-2</v>
      </c>
      <c r="AS8" s="10" t="str">
        <f t="shared" si="28"/>
        <v>UP</v>
      </c>
      <c r="AT8" s="10" t="str">
        <f t="shared" si="29"/>
        <v>UP</v>
      </c>
      <c r="AU8" s="6" t="str">
        <f t="shared" si="30"/>
        <v>POSITIVE</v>
      </c>
      <c r="AV8" cm="1">
        <f t="array" ref="AV8">IFERROR(VALUE(_xll.BDP($B8,"INTERVAL_exp_MOV_AVG","CALC_INTERVAL","520D","TECH_STUDIES_PARAM1_OVERRIDE",100,"USE_PREVIOUS_BUSINESS_DAY","N")),"")</f>
        <v>274.98964161972697</v>
      </c>
      <c r="AW8">
        <f t="shared" si="9"/>
        <v>6773.0064518682802</v>
      </c>
      <c r="AX8" cm="1">
        <f t="array" ref="AX8">IFERROR(VALUE(_xll.BDP($B8,"INTERVAL_exp_MOV_AVG","CALC_INTERVAL","520D","TECH_STUDIES_PARAM1_OVERRIDE",100,"USE_PREVIOUS_BUSINESS_DAY","Y")),"")</f>
        <v>273.73697796294476</v>
      </c>
      <c r="AY8">
        <f t="shared" si="10"/>
        <v>6769.6039787132295</v>
      </c>
      <c r="AZ8">
        <f t="shared" si="31"/>
        <v>4.0600823810506372E-2</v>
      </c>
      <c r="BA8">
        <f t="shared" si="32"/>
        <v>4.0436187821872686E-2</v>
      </c>
      <c r="BB8" s="11" t="str">
        <f t="shared" si="33"/>
        <v>UP</v>
      </c>
      <c r="BC8" s="11" t="str">
        <f t="shared" si="34"/>
        <v>UP</v>
      </c>
      <c r="BD8" s="6" t="str">
        <f t="shared" si="35"/>
        <v>POSITIVE</v>
      </c>
      <c r="BE8" s="12" cm="1">
        <f t="array" ref="BE8">_xll.BDP($B8, "INTERVAL_RSI", "TECH_STUDIES_PARAM1_OVERRIDE", "5", "PERIODICITY_OVERRIDE", "W")</f>
        <v>93.389820224260731</v>
      </c>
      <c r="BF8" cm="1">
        <f t="array" ref="BF8">IFERROR(VALUE(_xll.BDP($B8,"INTERVAL_MAE_MOV_AVG","CALC_INTERVAL","520D","TECH_STUDIES_PARAM1_OVERRIDE",31,"USE_PREVIOUS_BUSINESS_DAY","N")),"")</f>
        <v>303.06790322580645</v>
      </c>
      <c r="BG8" cm="1">
        <f t="array" ref="BG8">IFERROR(VALUE(_xll.BDP($B8,"INTERVAL_MAE_MOV_AVG","CALC_INTERVAL","760D","TECH_STUDIES_PARAM1_OVERRIDE",200,"USE_PREVIOUS_BUSINESS_DAY","N")),"")</f>
        <v>247.23352960048891</v>
      </c>
      <c r="BH8" s="13">
        <f t="shared" si="36"/>
        <v>0.1119620270342907</v>
      </c>
      <c r="BI8" s="13">
        <f t="shared" si="37"/>
        <v>0.14998446041692359</v>
      </c>
      <c r="BJ8" s="13">
        <f t="shared" si="38"/>
        <v>0.36308372308791226</v>
      </c>
      <c r="BK8" s="32" cm="1">
        <f t="array" ref="BK8">VALUE(_xll.BDP($B8,"INTERVAL_DATE_OF_CALC_HI","CALC_INTERVAL","3M"))</f>
        <v>46064</v>
      </c>
      <c r="BL8" s="32" cm="1">
        <f t="array" ref="BL8">VALUE(_xll.BDP($B8,"INTERVAL_DATE_OF_CALC_LO","CALC_INTERVAL","3M"))</f>
        <v>45981</v>
      </c>
      <c r="BM8" s="32" cm="1">
        <f t="array" ref="BM8">VALUE(_xll.BDP($B8,"INTERVAL_DATE_OF_CALC_HI","CALC_INTERVAL","1M"))</f>
        <v>46064</v>
      </c>
      <c r="BN8" s="32" cm="1">
        <f t="array" ref="BN8">VALUE(_xll.BDP($B8,"INTERVAL_DATE_OF_CALC_LO","CALC_INTERVAL","1M"))</f>
        <v>46034</v>
      </c>
      <c r="BO8" s="15">
        <f>IFERROR(VLOOKUP($F8,PIVOT!$A:$C,2,FALSE),0)</f>
        <v>0</v>
      </c>
      <c r="BP8" s="15">
        <f>IFERROR(VLOOKUP($F8,PIVOT!$A:$C,3,FALSE),0)</f>
        <v>0</v>
      </c>
      <c r="BQ8" s="15">
        <f t="shared" si="11"/>
        <v>74.105228583304708</v>
      </c>
    </row>
    <row r="9" spans="1:69" x14ac:dyDescent="0.25">
      <c r="A9">
        <v>8</v>
      </c>
      <c r="B9" t="s">
        <v>7</v>
      </c>
      <c r="J9" s="24"/>
      <c r="K9" s="15">
        <f>_xll.BDP($B9,"interval_rsi","tech_studies_param1_override",14)</f>
        <v>16.598853324509875</v>
      </c>
      <c r="L9" s="15">
        <f t="shared" si="0"/>
        <v>52.525531939815814</v>
      </c>
      <c r="M9">
        <f t="shared" si="12"/>
        <v>0</v>
      </c>
      <c r="N9" cm="1">
        <f t="array" ref="N9">IFERROR(VALUE(_xll.BDP($B9,"px_last")),"")</f>
        <v>217.57</v>
      </c>
      <c r="O9">
        <f t="shared" si="1"/>
        <v>6941.47</v>
      </c>
      <c r="P9" cm="1">
        <f t="array" ref="P9">IFERROR(VALUE(_xll.BDP($B9,"PX_YEST_CLOSE")),"")</f>
        <v>225.53</v>
      </c>
      <c r="Q9">
        <f t="shared" si="2"/>
        <v>6941.81</v>
      </c>
      <c r="R9">
        <f t="shared" si="13"/>
        <v>3.1343505050083049E-2</v>
      </c>
      <c r="S9">
        <f t="shared" si="14"/>
        <v>3.2488644892326349E-2</v>
      </c>
      <c r="T9" cm="1">
        <f t="array" ref="T9">IFERROR(VALUE(_xll.BDP($B9,"INTERVAL_MAE_MOV_AVG","CALC_INTERVAL","520D","TECH_STUDIES_PARAM1_OVERRIDE",50,"USE_PREVIOUS_BUSINESS_DAY","N")),"")</f>
        <v>254.19021778528429</v>
      </c>
      <c r="U9">
        <f t="shared" si="3"/>
        <v>6894.0953999999992</v>
      </c>
      <c r="V9" cm="1">
        <f t="array" ref="V9">IFERROR(VALUE(_xll.BDP($B9,"INTERVAL_MAE_MOV_AVG","CALC_INTERVAL","520D","TECH_STUDIES_PARAM1_OVERRIDE",50,"USE_PREVIOUS_BUSINESS_DAY","Y")),"")</f>
        <v>254.91202180079992</v>
      </c>
      <c r="W9">
        <f t="shared" si="4"/>
        <v>6892.2477999999992</v>
      </c>
      <c r="X9">
        <f t="shared" si="15"/>
        <v>3.6870713710356301E-2</v>
      </c>
      <c r="Y9">
        <f t="shared" si="16"/>
        <v>3.6985324555626101E-2</v>
      </c>
      <c r="Z9" s="11" t="str">
        <f t="shared" si="17"/>
        <v>NEGATIVE</v>
      </c>
      <c r="AA9" s="11" t="str">
        <f t="shared" si="18"/>
        <v/>
      </c>
      <c r="AB9" s="11" t="str">
        <f t="shared" si="19"/>
        <v>DOWN</v>
      </c>
      <c r="AC9" s="6" t="str">
        <f t="shared" si="20"/>
        <v>NEGATIVE</v>
      </c>
      <c r="AD9" cm="1">
        <f t="array" ref="AD9">IFERROR(VALUE(_xll.BDP($B9,"INTERVAL_MAE_MOV_AVG","CALC_INTERVAL","520D","TECH_STUDIES_PARAM1_OVERRIDE",65,"USE_PREVIOUS_BUSINESS_DAY","N")),"")</f>
        <v>253.53886631991097</v>
      </c>
      <c r="AE9">
        <f t="shared" si="5"/>
        <v>6856.0226153846133</v>
      </c>
      <c r="AF9" cm="1">
        <f t="array" ref="AF9">IFERROR(VALUE(_xll.BDP($B9,"INTERVAL_MAE_MOV_AVG","CALC_INTERVAL","520D","TECH_STUDIES_PARAM1_OVERRIDE",65,"USE_PREVIOUS_BUSINESS_DAY","Y")),"")</f>
        <v>254.0491599259999</v>
      </c>
      <c r="AG9">
        <f t="shared" si="6"/>
        <v>6852.6203076923057</v>
      </c>
      <c r="AH9">
        <f t="shared" si="21"/>
        <v>3.6980459450495523E-2</v>
      </c>
      <c r="AI9">
        <f t="shared" si="22"/>
        <v>3.7073287081267413E-2</v>
      </c>
      <c r="AJ9" s="10" t="str">
        <f t="shared" si="23"/>
        <v>DOWN</v>
      </c>
      <c r="AK9" s="10" t="str">
        <f t="shared" si="24"/>
        <v>DOWN</v>
      </c>
      <c r="AL9" s="6" t="str">
        <f t="shared" si="25"/>
        <v>NEGATIVE</v>
      </c>
      <c r="AM9" cm="1">
        <f t="array" ref="AM9">IFERROR(VALUE(_xll.BDP($B9,"INTERVAL_MAE_MOV_AVG","CALC_INTERVAL","65W","PERIODICITY_OVERRIDE","W","TECH_STUDIES_PARAM1_OVERRIDE",39,"USE_PREVIOUS_BUSINESS_DAY","N")),"")</f>
        <v>279.81713166975476</v>
      </c>
      <c r="AN9">
        <f t="shared" si="7"/>
        <v>6560.7735897435905</v>
      </c>
      <c r="AO9" cm="1">
        <f t="array" ref="AO9">IFERROR(VALUE(_xll.BDP($B9,"INTERVAL_MAE_MOV_AVG","CALC_INTERVAL","65W","PERIODICITY_OVERRIDE","W","TECH_STUDIES_PARAM1_OVERRIDE",39,"USE_PREVIOUS_BUSINESS_DAY","Y")),"")</f>
        <v>280.0212340460568</v>
      </c>
      <c r="AP9">
        <f t="shared" si="8"/>
        <v>6560.7823076923087</v>
      </c>
      <c r="AQ9">
        <f t="shared" si="26"/>
        <v>4.2650021044346176E-2</v>
      </c>
      <c r="AR9">
        <f t="shared" si="27"/>
        <v>4.2681073828305632E-2</v>
      </c>
      <c r="AS9" s="10" t="str">
        <f t="shared" si="28"/>
        <v>DOWN</v>
      </c>
      <c r="AT9" s="10" t="str">
        <f t="shared" si="29"/>
        <v>DOWN</v>
      </c>
      <c r="AU9" s="6" t="str">
        <f t="shared" si="30"/>
        <v>NEGATIVE</v>
      </c>
      <c r="AV9" cm="1">
        <f t="array" ref="AV9">IFERROR(VALUE(_xll.BDP($B9,"INTERVAL_exp_MOV_AVG","CALC_INTERVAL","520D","TECH_STUDIES_PARAM1_OVERRIDE",100,"USE_PREVIOUS_BUSINESS_DAY","N")),"")</f>
        <v>261.64102853245441</v>
      </c>
      <c r="AW9">
        <f t="shared" si="9"/>
        <v>6773.0064518682802</v>
      </c>
      <c r="AX9" cm="1">
        <f t="array" ref="AX9">IFERROR(VALUE(_xll.BDP($B9,"INTERVAL_exp_MOV_AVG","CALC_INTERVAL","520D","TECH_STUDIES_PARAM1_OVERRIDE",100,"USE_PREVIOUS_BUSINESS_DAY","Y")),"")</f>
        <v>262.53134892499236</v>
      </c>
      <c r="AY9">
        <f t="shared" si="10"/>
        <v>6769.6039787132295</v>
      </c>
      <c r="AZ9">
        <f t="shared" si="31"/>
        <v>3.8629968890740211E-2</v>
      </c>
      <c r="BA9">
        <f t="shared" si="32"/>
        <v>3.8780902066134521E-2</v>
      </c>
      <c r="BB9" s="11" t="str">
        <f t="shared" si="33"/>
        <v>DOWN</v>
      </c>
      <c r="BC9" s="11" t="str">
        <f t="shared" si="34"/>
        <v>DOWN</v>
      </c>
      <c r="BD9" s="6" t="str">
        <f t="shared" si="35"/>
        <v>NEGATIVE</v>
      </c>
      <c r="BE9" s="12" cm="1">
        <f t="array" ref="BE9">_xll.BDP($B9, "INTERVAL_RSI", "TECH_STUDIES_PARAM1_OVERRIDE", "5", "PERIODICITY_OVERRIDE", "W")</f>
        <v>13.166826314217801</v>
      </c>
      <c r="BF9" cm="1">
        <f t="array" ref="BF9">IFERROR(VALUE(_xll.BDP($B9,"INTERVAL_MAE_MOV_AVG","CALC_INTERVAL","520D","TECH_STUDIES_PARAM1_OVERRIDE",31,"USE_PREVIOUS_BUSINESS_DAY","N")),"")</f>
        <v>250.90338733303929</v>
      </c>
      <c r="BG9" cm="1">
        <f t="array" ref="BG9">IFERROR(VALUE(_xll.BDP($B9,"INTERVAL_MAE_MOV_AVG","CALC_INTERVAL","760D","TECH_STUDIES_PARAM1_OVERRIDE",200,"USE_PREVIOUS_BUSINESS_DAY","N")),"")</f>
        <v>282.74619747470945</v>
      </c>
      <c r="BH9" s="13">
        <f t="shared" si="36"/>
        <v>-0.13285347674000858</v>
      </c>
      <c r="BI9" s="13">
        <f t="shared" si="37"/>
        <v>-0.14406619619098626</v>
      </c>
      <c r="BJ9" s="13">
        <f t="shared" si="38"/>
        <v>-0.23051131388084967</v>
      </c>
      <c r="BK9" s="32" cm="1">
        <f t="array" ref="BK9">VALUE(_xll.BDP($B9,"INTERVAL_DATE_OF_CALC_HI","CALC_INTERVAL","3M"))</f>
        <v>46003</v>
      </c>
      <c r="BL9" s="32" cm="1">
        <f t="array" ref="BL9">VALUE(_xll.BDP($B9,"INTERVAL_DATE_OF_CALC_LO","CALC_INTERVAL","3M"))</f>
        <v>46064</v>
      </c>
      <c r="BM9" s="32" cm="1">
        <f t="array" ref="BM9">VALUE(_xll.BDP($B9,"INTERVAL_DATE_OF_CALC_HI","CALC_INTERVAL","1M"))</f>
        <v>46034</v>
      </c>
      <c r="BN9" s="32" cm="1">
        <f t="array" ref="BN9">VALUE(_xll.BDP($B9,"INTERVAL_DATE_OF_CALC_LO","CALC_INTERVAL","1M"))</f>
        <v>46064</v>
      </c>
      <c r="BO9" s="15">
        <f>IFERROR(VLOOKUP($F9,PIVOT!$A:$C,2,FALSE),0)</f>
        <v>0</v>
      </c>
      <c r="BP9" s="15">
        <f>IFERROR(VLOOKUP($F9,PIVOT!$A:$C,3,FALSE),0)</f>
        <v>0</v>
      </c>
      <c r="BQ9" s="15">
        <f t="shared" si="11"/>
        <v>16.598853324509875</v>
      </c>
    </row>
    <row r="10" spans="1:69" x14ac:dyDescent="0.25">
      <c r="A10">
        <v>9</v>
      </c>
      <c r="B10" t="s">
        <v>8</v>
      </c>
      <c r="J10" s="24"/>
      <c r="K10" s="15">
        <f>_xll.BDP($B10,"interval_rsi","tech_studies_param1_override",14)</f>
        <v>28.405478085113046</v>
      </c>
      <c r="L10" s="15">
        <f t="shared" si="0"/>
        <v>52.525531939815814</v>
      </c>
      <c r="M10">
        <f t="shared" si="12"/>
        <v>0</v>
      </c>
      <c r="N10" cm="1">
        <f t="array" ref="N10">IFERROR(VALUE(_xll.BDP($B10,"px_last")),"")</f>
        <v>232.59</v>
      </c>
      <c r="O10">
        <f t="shared" si="1"/>
        <v>6941.47</v>
      </c>
      <c r="P10" cm="1">
        <f t="array" ref="P10">IFERROR(VALUE(_xll.BDP($B10,"PX_YEST_CLOSE")),"")</f>
        <v>243.58</v>
      </c>
      <c r="Q10">
        <f t="shared" si="2"/>
        <v>6941.81</v>
      </c>
      <c r="R10">
        <f t="shared" si="13"/>
        <v>3.3507311851812369E-2</v>
      </c>
      <c r="S10">
        <f t="shared" si="14"/>
        <v>3.5088831299041605E-2</v>
      </c>
      <c r="T10" cm="1">
        <f t="array" ref="T10">IFERROR(VALUE(_xll.BDP($B10,"INTERVAL_MAE_MOV_AVG","CALC_INTERVAL","520D","TECH_STUDIES_PARAM1_OVERRIDE",50,"USE_PREVIOUS_BUSINESS_DAY","N")),"")</f>
        <v>279.36709992675776</v>
      </c>
      <c r="U10">
        <f t="shared" si="3"/>
        <v>6894.0953999999992</v>
      </c>
      <c r="V10" cm="1">
        <f t="array" ref="V10">IFERROR(VALUE(_xll.BDP($B10,"INTERVAL_MAE_MOV_AVG","CALC_INTERVAL","520D","TECH_STUDIES_PARAM1_OVERRIDE",50,"USE_PREVIOUS_BUSINESS_DAY","Y")),"")</f>
        <v>280.7820999999999</v>
      </c>
      <c r="W10">
        <f t="shared" si="4"/>
        <v>6892.2477999999992</v>
      </c>
      <c r="X10">
        <f t="shared" si="15"/>
        <v>4.0522662324451994E-2</v>
      </c>
      <c r="Y10">
        <f t="shared" si="16"/>
        <v>4.0738828339863219E-2</v>
      </c>
      <c r="Z10" s="11" t="str">
        <f t="shared" si="17"/>
        <v>NEGATIVE</v>
      </c>
      <c r="AA10" s="11" t="str">
        <f t="shared" si="18"/>
        <v/>
      </c>
      <c r="AB10" s="11" t="str">
        <f t="shared" si="19"/>
        <v>DOWN</v>
      </c>
      <c r="AC10" s="6" t="str">
        <f t="shared" si="20"/>
        <v>NEGATIVE</v>
      </c>
      <c r="AD10" cm="1">
        <f t="array" ref="AD10">IFERROR(VALUE(_xll.BDP($B10,"INTERVAL_MAE_MOV_AVG","CALC_INTERVAL","520D","TECH_STUDIES_PARAM1_OVERRIDE",65,"USE_PREVIOUS_BUSINESS_DAY","N")),"")</f>
        <v>283.17753840519828</v>
      </c>
      <c r="AE10">
        <f t="shared" si="5"/>
        <v>6856.0226153846133</v>
      </c>
      <c r="AF10" cm="1">
        <f t="array" ref="AF10">IFERROR(VALUE(_xll.BDP($B10,"INTERVAL_MAE_MOV_AVG","CALC_INTERVAL","520D","TECH_STUDIES_PARAM1_OVERRIDE",65,"USE_PREVIOUS_BUSINESS_DAY","Y")),"")</f>
        <v>284.13553846153843</v>
      </c>
      <c r="AG10">
        <f t="shared" si="6"/>
        <v>6852.6203076923057</v>
      </c>
      <c r="AH10">
        <f t="shared" si="21"/>
        <v>4.1303472040736901E-2</v>
      </c>
      <c r="AI10">
        <f t="shared" si="22"/>
        <v>4.1463779649747463E-2</v>
      </c>
      <c r="AJ10" s="10" t="str">
        <f t="shared" si="23"/>
        <v>DOWN</v>
      </c>
      <c r="AK10" s="10" t="str">
        <f t="shared" si="24"/>
        <v>DOWN</v>
      </c>
      <c r="AL10" s="6" t="str">
        <f t="shared" si="25"/>
        <v>NEGATIVE</v>
      </c>
      <c r="AM10" cm="1">
        <f t="array" ref="AM10">IFERROR(VALUE(_xll.BDP($B10,"INTERVAL_MAE_MOV_AVG","CALC_INTERVAL","65W","PERIODICITY_OVERRIDE","W","TECH_STUDIES_PARAM1_OVERRIDE",39,"USE_PREVIOUS_BUSINESS_DAY","N")),"")</f>
        <v>295.1788460599459</v>
      </c>
      <c r="AN10">
        <f t="shared" si="7"/>
        <v>6560.7735897435905</v>
      </c>
      <c r="AO10" cm="1">
        <f t="array" ref="AO10">IFERROR(VALUE(_xll.BDP($B10,"INTERVAL_MAE_MOV_AVG","CALC_INTERVAL","65W","PERIODICITY_OVERRIDE","W","TECH_STUDIES_PARAM1_OVERRIDE",39,"USE_PREVIOUS_BUSINESS_DAY","Y")),"")</f>
        <v>295.460641025641</v>
      </c>
      <c r="AP10">
        <f t="shared" si="8"/>
        <v>6560.7823076923087</v>
      </c>
      <c r="AQ10">
        <f t="shared" si="26"/>
        <v>4.4991469682995437E-2</v>
      </c>
      <c r="AR10">
        <f t="shared" si="27"/>
        <v>4.5034361325969129E-2</v>
      </c>
      <c r="AS10" s="10" t="str">
        <f t="shared" si="28"/>
        <v>DOWN</v>
      </c>
      <c r="AT10" s="10" t="str">
        <f t="shared" si="29"/>
        <v>DOWN</v>
      </c>
      <c r="AU10" s="6" t="str">
        <f t="shared" si="30"/>
        <v>NEGATIVE</v>
      </c>
      <c r="AV10" cm="1">
        <f t="array" ref="AV10">IFERROR(VALUE(_xll.BDP($B10,"INTERVAL_exp_MOV_AVG","CALC_INTERVAL","520D","TECH_STUDIES_PARAM1_OVERRIDE",100,"USE_PREVIOUS_BUSINESS_DAY","N")),"")</f>
        <v>283.75026597057735</v>
      </c>
      <c r="AW10">
        <f t="shared" si="9"/>
        <v>6773.0064518682802</v>
      </c>
      <c r="AX10" cm="1">
        <f t="array" ref="AX10">IFERROR(VALUE(_xll.BDP($B10,"INTERVAL_exp_MOV_AVG","CALC_INTERVAL","520D","TECH_STUDIES_PARAM1_OVERRIDE",100,"USE_PREVIOUS_BUSINESS_DAY","Y")),"")</f>
        <v>284.78390081188968</v>
      </c>
      <c r="AY10">
        <f t="shared" si="10"/>
        <v>6769.6039787132295</v>
      </c>
      <c r="AZ10">
        <f t="shared" si="31"/>
        <v>4.1894285497440661E-2</v>
      </c>
      <c r="BA10">
        <f t="shared" si="32"/>
        <v>4.2068029637683704E-2</v>
      </c>
      <c r="BB10" s="11" t="str">
        <f t="shared" si="33"/>
        <v>DOWN</v>
      </c>
      <c r="BC10" s="11" t="str">
        <f t="shared" si="34"/>
        <v>DOWN</v>
      </c>
      <c r="BD10" s="6" t="str">
        <f t="shared" si="35"/>
        <v>NEGATIVE</v>
      </c>
      <c r="BE10" s="12" cm="1">
        <f t="array" ref="BE10">_xll.BDP($B10, "INTERVAL_RSI", "TECH_STUDIES_PARAM1_OVERRIDE", "5", "PERIODICITY_OVERRIDE", "W")</f>
        <v>10.153986599709924</v>
      </c>
      <c r="BF10" cm="1">
        <f t="array" ref="BF10">IFERROR(VALUE(_xll.BDP($B10,"INTERVAL_MAE_MOV_AVG","CALC_INTERVAL","520D","TECH_STUDIES_PARAM1_OVERRIDE",31,"USE_PREVIOUS_BUSINESS_DAY","N")),"")</f>
        <v>266.2838708496094</v>
      </c>
      <c r="BG10" cm="1">
        <f t="array" ref="BG10">IFERROR(VALUE(_xll.BDP($B10,"INTERVAL_MAE_MOV_AVG","CALC_INTERVAL","760D","TECH_STUDIES_PARAM1_OVERRIDE",200,"USE_PREVIOUS_BUSINESS_DAY","N")),"")</f>
        <v>295.75144998168946</v>
      </c>
      <c r="BH10" s="13">
        <f t="shared" si="36"/>
        <v>-0.12653365275976058</v>
      </c>
      <c r="BI10" s="13">
        <f t="shared" si="37"/>
        <v>-0.1674395443809289</v>
      </c>
      <c r="BJ10" s="13">
        <f t="shared" si="38"/>
        <v>-0.21356260463169296</v>
      </c>
      <c r="BK10" s="32" cm="1">
        <f t="array" ref="BK10">VALUE(_xll.BDP($B10,"INTERVAL_DATE_OF_CALC_HI","CALC_INTERVAL","3M"))</f>
        <v>45993</v>
      </c>
      <c r="BL10" s="32" cm="1">
        <f t="array" ref="BL10">VALUE(_xll.BDP($B10,"INTERVAL_DATE_OF_CALC_LO","CALC_INTERVAL","3M"))</f>
        <v>46064</v>
      </c>
      <c r="BM10" s="32" cm="1">
        <f t="array" ref="BM10">VALUE(_xll.BDP($B10,"INTERVAL_DATE_OF_CALC_HI","CALC_INTERVAL","1M"))</f>
        <v>46034</v>
      </c>
      <c r="BN10" s="32" cm="1">
        <f t="array" ref="BN10">VALUE(_xll.BDP($B10,"INTERVAL_DATE_OF_CALC_LO","CALC_INTERVAL","1M"))</f>
        <v>46064</v>
      </c>
      <c r="BO10" s="15">
        <f>IFERROR(VLOOKUP($F10,PIVOT!$A:$C,2,FALSE),0)</f>
        <v>0</v>
      </c>
      <c r="BP10" s="15">
        <f>IFERROR(VLOOKUP($F10,PIVOT!$A:$C,3,FALSE),0)</f>
        <v>0</v>
      </c>
      <c r="BQ10" s="15">
        <f t="shared" si="11"/>
        <v>28.405478085113046</v>
      </c>
    </row>
    <row r="11" spans="1:69" x14ac:dyDescent="0.25">
      <c r="A11">
        <v>10</v>
      </c>
      <c r="B11" t="s">
        <v>9</v>
      </c>
      <c r="J11" s="24"/>
      <c r="K11" s="15">
        <f>_xll.BDP($B11,"interval_rsi","tech_studies_param1_override",14)</f>
        <v>67.864582071040672</v>
      </c>
      <c r="L11" s="15">
        <f t="shared" si="0"/>
        <v>52.525531939815814</v>
      </c>
      <c r="M11">
        <f t="shared" si="12"/>
        <v>1</v>
      </c>
      <c r="N11" cm="1">
        <f t="array" ref="N11">IFERROR(VALUE(_xll.BDP($B11,"px_last")),"")</f>
        <v>122.25</v>
      </c>
      <c r="O11">
        <f t="shared" si="1"/>
        <v>6941.47</v>
      </c>
      <c r="P11" cm="1">
        <f t="array" ref="P11">IFERROR(VALUE(_xll.BDP($B11,"PX_YEST_CLOSE")),"")</f>
        <v>121.23</v>
      </c>
      <c r="Q11">
        <f t="shared" si="2"/>
        <v>6941.81</v>
      </c>
      <c r="R11">
        <f t="shared" si="13"/>
        <v>1.761154337625892E-2</v>
      </c>
      <c r="S11">
        <f t="shared" si="14"/>
        <v>1.7463745046320773E-2</v>
      </c>
      <c r="T11" cm="1">
        <f t="array" ref="T11">IFERROR(VALUE(_xll.BDP($B11,"INTERVAL_MAE_MOV_AVG","CALC_INTERVAL","520D","TECH_STUDIES_PARAM1_OVERRIDE",50,"USE_PREVIOUS_BUSINESS_DAY","N")),"")</f>
        <v>116.4244325195</v>
      </c>
      <c r="U11">
        <f t="shared" si="3"/>
        <v>6894.0953999999992</v>
      </c>
      <c r="V11" cm="1">
        <f t="array" ref="V11">IFERROR(VALUE(_xll.BDP($B11,"INTERVAL_MAE_MOV_AVG","CALC_INTERVAL","520D","TECH_STUDIES_PARAM1_OVERRIDE",50,"USE_PREVIOUS_BUSINESS_DAY","Y")),"")</f>
        <v>116.43541300649999</v>
      </c>
      <c r="W11">
        <f t="shared" si="4"/>
        <v>6892.2477999999992</v>
      </c>
      <c r="X11">
        <f t="shared" si="15"/>
        <v>1.688755750602175E-2</v>
      </c>
      <c r="Y11">
        <f t="shared" si="16"/>
        <v>1.6893677706495115E-2</v>
      </c>
      <c r="Z11" s="11" t="str">
        <f t="shared" si="17"/>
        <v>POSITIVE</v>
      </c>
      <c r="AA11" s="11" t="str">
        <f t="shared" si="18"/>
        <v/>
      </c>
      <c r="AB11" s="11" t="str">
        <f t="shared" si="19"/>
        <v>DOWN</v>
      </c>
      <c r="AC11" s="6" t="str">
        <f t="shared" si="20"/>
        <v>POSITIVE</v>
      </c>
      <c r="AD11" cm="1">
        <f t="array" ref="AD11">IFERROR(VALUE(_xll.BDP($B11,"INTERVAL_MAE_MOV_AVG","CALC_INTERVAL","520D","TECH_STUDIES_PARAM1_OVERRIDE",65,"USE_PREVIOUS_BUSINESS_DAY","N")),"")</f>
        <v>117.52106895028236</v>
      </c>
      <c r="AE11">
        <f t="shared" si="5"/>
        <v>6856.0226153846133</v>
      </c>
      <c r="AF11" cm="1">
        <f t="array" ref="AF11">IFERROR(VALUE(_xll.BDP($B11,"INTERVAL_MAE_MOV_AVG","CALC_INTERVAL","520D","TECH_STUDIES_PARAM1_OVERRIDE",65,"USE_PREVIOUS_BUSINESS_DAY","Y")),"")</f>
        <v>117.45052340701504</v>
      </c>
      <c r="AG11">
        <f t="shared" si="6"/>
        <v>6852.6203076923057</v>
      </c>
      <c r="AH11">
        <f t="shared" si="21"/>
        <v>1.7141289570219657E-2</v>
      </c>
      <c r="AI11">
        <f t="shared" si="22"/>
        <v>1.7139505493274261E-2</v>
      </c>
      <c r="AJ11" s="10" t="str">
        <f t="shared" si="23"/>
        <v>UP</v>
      </c>
      <c r="AK11" s="10" t="str">
        <f t="shared" si="24"/>
        <v>UP</v>
      </c>
      <c r="AL11" s="6" t="str">
        <f t="shared" si="25"/>
        <v>POSITIVE</v>
      </c>
      <c r="AM11" cm="1">
        <f t="array" ref="AM11">IFERROR(VALUE(_xll.BDP($B11,"INTERVAL_MAE_MOV_AVG","CALC_INTERVAL","65W","PERIODICITY_OVERRIDE","W","TECH_STUDIES_PARAM1_OVERRIDE",39,"USE_PREVIOUS_BUSINESS_DAY","N")),"")</f>
        <v>111.29527339644599</v>
      </c>
      <c r="AN11">
        <f t="shared" si="7"/>
        <v>6560.7735897435905</v>
      </c>
      <c r="AO11" cm="1">
        <f t="array" ref="AO11">IFERROR(VALUE(_xll.BDP($B11,"INTERVAL_MAE_MOV_AVG","CALC_INTERVAL","65W","PERIODICITY_OVERRIDE","W","TECH_STUDIES_PARAM1_OVERRIDE",39,"USE_PREVIOUS_BUSINESS_DAY","Y")),"")</f>
        <v>111.26911955029213</v>
      </c>
      <c r="AP11">
        <f t="shared" si="8"/>
        <v>6560.7823076923087</v>
      </c>
      <c r="AQ11">
        <f t="shared" si="26"/>
        <v>1.6963742441963411E-2</v>
      </c>
      <c r="AR11">
        <f t="shared" si="27"/>
        <v>1.6959733509193352E-2</v>
      </c>
      <c r="AS11" s="10" t="str">
        <f t="shared" si="28"/>
        <v>UP</v>
      </c>
      <c r="AT11" s="10" t="str">
        <f t="shared" si="29"/>
        <v>UP</v>
      </c>
      <c r="AU11" s="6" t="str">
        <f t="shared" si="30"/>
        <v>POSITIVE</v>
      </c>
      <c r="AV11" cm="1">
        <f t="array" ref="AV11">IFERROR(VALUE(_xll.BDP($B11,"INTERVAL_exp_MOV_AVG","CALC_INTERVAL","520D","TECH_STUDIES_PARAM1_OVERRIDE",100,"USE_PREVIOUS_BUSINESS_DAY","N")),"")</f>
        <v>115.38453777749339</v>
      </c>
      <c r="AW11">
        <f t="shared" si="9"/>
        <v>6773.0064518682802</v>
      </c>
      <c r="AX11" cm="1">
        <f t="array" ref="AX11">IFERROR(VALUE(_xll.BDP($B11,"INTERVAL_exp_MOV_AVG","CALC_INTERVAL","520D","TECH_STUDIES_PARAM1_OVERRIDE",100,"USE_PREVIOUS_BUSINESS_DAY","Y")),"")</f>
        <v>115.24587731028353</v>
      </c>
      <c r="AY11">
        <f t="shared" si="10"/>
        <v>6769.6039787132295</v>
      </c>
      <c r="AZ11">
        <f t="shared" si="31"/>
        <v>1.7035940921873105E-2</v>
      </c>
      <c r="BA11">
        <f t="shared" si="32"/>
        <v>1.7024020559056326E-2</v>
      </c>
      <c r="BB11" s="11" t="str">
        <f t="shared" si="33"/>
        <v>UP</v>
      </c>
      <c r="BC11" s="11" t="str">
        <f t="shared" si="34"/>
        <v>UP</v>
      </c>
      <c r="BD11" s="6" t="str">
        <f t="shared" si="35"/>
        <v>POSITIVE</v>
      </c>
      <c r="BE11" s="12" cm="1">
        <f t="array" ref="BE11">_xll.BDP($B11, "INTERVAL_RSI", "TECH_STUDIES_PARAM1_OVERRIDE", "5", "PERIODICITY_OVERRIDE", "W")</f>
        <v>72.707070326350191</v>
      </c>
      <c r="BF11" cm="1">
        <f t="array" ref="BF11">IFERROR(VALUE(_xll.BDP($B11,"INTERVAL_MAE_MOV_AVG","CALC_INTERVAL","520D","TECH_STUDIES_PARAM1_OVERRIDE",31,"USE_PREVIOUS_BUSINESS_DAY","N")),"")</f>
        <v>117.2551247733871</v>
      </c>
      <c r="BG11" cm="1">
        <f t="array" ref="BG11">IFERROR(VALUE(_xll.BDP($B11,"INTERVAL_MAE_MOV_AVG","CALC_INTERVAL","760D","TECH_STUDIES_PARAM1_OVERRIDE",200,"USE_PREVIOUS_BUSINESS_DAY","N")),"")</f>
        <v>110.32233053369482</v>
      </c>
      <c r="BH11" s="13">
        <f t="shared" si="36"/>
        <v>4.2598353259750921E-2</v>
      </c>
      <c r="BI11" s="13">
        <f t="shared" si="37"/>
        <v>5.0037327684842037E-2</v>
      </c>
      <c r="BJ11" s="13">
        <f t="shared" si="38"/>
        <v>0.10811654729014464</v>
      </c>
      <c r="BK11" s="32" cm="1">
        <f t="array" ref="BK11">VALUE(_xll.BDP($B11,"INTERVAL_DATE_OF_CALC_HI","CALC_INTERVAL","3M"))</f>
        <v>45989</v>
      </c>
      <c r="BL11" s="32" cm="1">
        <f t="array" ref="BL11">VALUE(_xll.BDP($B11,"INTERVAL_DATE_OF_CALC_LO","CALC_INTERVAL","3M"))</f>
        <v>46029</v>
      </c>
      <c r="BM11" s="32" cm="1">
        <f t="array" ref="BM11">VALUE(_xll.BDP($B11,"INTERVAL_DATE_OF_CALC_HI","CALC_INTERVAL","1M"))</f>
        <v>46064</v>
      </c>
      <c r="BN11" s="32" cm="1">
        <f t="array" ref="BN11">VALUE(_xll.BDP($B11,"INTERVAL_DATE_OF_CALC_LO","CALC_INTERVAL","1M"))</f>
        <v>46034</v>
      </c>
      <c r="BO11" s="15">
        <f>IFERROR(VLOOKUP($F11,PIVOT!$A:$C,2,FALSE),0)</f>
        <v>0</v>
      </c>
      <c r="BP11" s="15">
        <f>IFERROR(VLOOKUP($F11,PIVOT!$A:$C,3,FALSE),0)</f>
        <v>0</v>
      </c>
      <c r="BQ11" s="15">
        <f t="shared" si="11"/>
        <v>67.864582071040672</v>
      </c>
    </row>
    <row r="12" spans="1:69" x14ac:dyDescent="0.25">
      <c r="A12">
        <v>11</v>
      </c>
      <c r="B12" t="s">
        <v>11</v>
      </c>
      <c r="J12" s="24"/>
      <c r="K12" s="15">
        <f>_xll.BDP($B12,"interval_rsi","tech_studies_param1_override",14)</f>
        <v>29.375203276938691</v>
      </c>
      <c r="L12" s="15">
        <f t="shared" si="0"/>
        <v>52.525531939815814</v>
      </c>
      <c r="M12">
        <f t="shared" si="12"/>
        <v>0</v>
      </c>
      <c r="N12" cm="1">
        <f t="array" ref="N12">IFERROR(VALUE(_xll.BDP($B12,"px_last")),"")</f>
        <v>322.27999999999997</v>
      </c>
      <c r="O12">
        <f t="shared" si="1"/>
        <v>6941.47</v>
      </c>
      <c r="P12" cm="1">
        <f t="array" ref="P12">IFERROR(VALUE(_xll.BDP($B12,"PX_YEST_CLOSE")),"")</f>
        <v>322.98</v>
      </c>
      <c r="Q12">
        <f t="shared" si="2"/>
        <v>6941.81</v>
      </c>
      <c r="R12">
        <f t="shared" si="13"/>
        <v>4.6428206129249278E-2</v>
      </c>
      <c r="S12">
        <f t="shared" si="14"/>
        <v>4.6526770395617284E-2</v>
      </c>
      <c r="T12" cm="1">
        <f t="array" ref="T12">IFERROR(VALUE(_xll.BDP($B12,"INTERVAL_MAE_MOV_AVG","CALC_INTERVAL","520D","TECH_STUDIES_PARAM1_OVERRIDE",50,"USE_PREVIOUS_BUSINESS_DAY","N")),"")</f>
        <v>385.32919997558594</v>
      </c>
      <c r="U12">
        <f t="shared" si="3"/>
        <v>6894.0953999999992</v>
      </c>
      <c r="V12" cm="1">
        <f t="array" ref="V12">IFERROR(VALUE(_xll.BDP($B12,"INTERVAL_MAE_MOV_AVG","CALC_INTERVAL","520D","TECH_STUDIES_PARAM1_OVERRIDE",50,"USE_PREVIOUS_BUSINESS_DAY","Y")),"")</f>
        <v>387.90820000000002</v>
      </c>
      <c r="W12">
        <f t="shared" si="4"/>
        <v>6892.2477999999992</v>
      </c>
      <c r="X12">
        <f t="shared" si="15"/>
        <v>5.5892641110766465E-2</v>
      </c>
      <c r="Y12">
        <f t="shared" si="16"/>
        <v>5.6281812734591471E-2</v>
      </c>
      <c r="Z12" s="11" t="str">
        <f t="shared" si="17"/>
        <v>NEGATIVE</v>
      </c>
      <c r="AA12" s="11" t="str">
        <f t="shared" si="18"/>
        <v/>
      </c>
      <c r="AB12" s="11" t="str">
        <f t="shared" si="19"/>
        <v>DOWN</v>
      </c>
      <c r="AC12" s="6" t="str">
        <f t="shared" si="20"/>
        <v>NEGATIVE</v>
      </c>
      <c r="AD12" cm="1">
        <f t="array" ref="AD12">IFERROR(VALUE(_xll.BDP($B12,"INTERVAL_MAE_MOV_AVG","CALC_INTERVAL","520D","TECH_STUDIES_PARAM1_OVERRIDE",65,"USE_PREVIOUS_BUSINESS_DAY","N")),"")</f>
        <v>399.76661536583538</v>
      </c>
      <c r="AE12">
        <f t="shared" si="5"/>
        <v>6856.0226153846133</v>
      </c>
      <c r="AF12" cm="1">
        <f t="array" ref="AF12">IFERROR(VALUE(_xll.BDP($B12,"INTERVAL_MAE_MOV_AVG","CALC_INTERVAL","520D","TECH_STUDIES_PARAM1_OVERRIDE",65,"USE_PREVIOUS_BUSINESS_DAY","Y")),"")</f>
        <v>401.58523076923086</v>
      </c>
      <c r="AG12">
        <f t="shared" si="6"/>
        <v>6852.6203076923057</v>
      </c>
      <c r="AH12">
        <f t="shared" si="21"/>
        <v>5.8308823904515229E-2</v>
      </c>
      <c r="AI12">
        <f t="shared" si="22"/>
        <v>5.8603163861047053E-2</v>
      </c>
      <c r="AJ12" s="10" t="str">
        <f t="shared" si="23"/>
        <v>DOWN</v>
      </c>
      <c r="AK12" s="10" t="str">
        <f t="shared" si="24"/>
        <v>DOWN</v>
      </c>
      <c r="AL12" s="6" t="str">
        <f t="shared" si="25"/>
        <v>NEGATIVE</v>
      </c>
      <c r="AM12" cm="1">
        <f t="array" ref="AM12">IFERROR(VALUE(_xll.BDP($B12,"INTERVAL_MAE_MOV_AVG","CALC_INTERVAL","65W","PERIODICITY_OVERRIDE","W","TECH_STUDIES_PARAM1_OVERRIDE",39,"USE_PREVIOUS_BUSINESS_DAY","N")),"")</f>
        <v>394.8348717635717</v>
      </c>
      <c r="AN12">
        <f t="shared" si="7"/>
        <v>6560.7735897435905</v>
      </c>
      <c r="AO12" cm="1">
        <f t="array" ref="AO12">IFERROR(VALUE(_xll.BDP($B12,"INTERVAL_MAE_MOV_AVG","CALC_INTERVAL","65W","PERIODICITY_OVERRIDE","W","TECH_STUDIES_PARAM1_OVERRIDE",39,"USE_PREVIOUS_BUSINESS_DAY","Y")),"")</f>
        <v>394.85282051282047</v>
      </c>
      <c r="AP12">
        <f t="shared" si="8"/>
        <v>6560.7823076923087</v>
      </c>
      <c r="AQ12">
        <f t="shared" si="26"/>
        <v>6.0181145769275468E-2</v>
      </c>
      <c r="AR12">
        <f t="shared" si="27"/>
        <v>6.0183801564314687E-2</v>
      </c>
      <c r="AS12" s="10" t="str">
        <f t="shared" si="28"/>
        <v>DOWN</v>
      </c>
      <c r="AT12" s="10" t="str">
        <f t="shared" si="29"/>
        <v>DOWN</v>
      </c>
      <c r="AU12" s="6" t="str">
        <f t="shared" si="30"/>
        <v>NEGATIVE</v>
      </c>
      <c r="AV12" cm="1">
        <f t="array" ref="AV12">IFERROR(VALUE(_xll.BDP($B12,"INTERVAL_exp_MOV_AVG","CALC_INTERVAL","520D","TECH_STUDIES_PARAM1_OVERRIDE",100,"USE_PREVIOUS_BUSINESS_DAY","N")),"")</f>
        <v>393.31021925488011</v>
      </c>
      <c r="AW12">
        <f t="shared" si="9"/>
        <v>6773.0064518682802</v>
      </c>
      <c r="AX12" cm="1">
        <f t="array" ref="AX12">IFERROR(VALUE(_xll.BDP($B12,"INTERVAL_exp_MOV_AVG","CALC_INTERVAL","520D","TECH_STUDIES_PARAM1_OVERRIDE",100,"USE_PREVIOUS_BUSINESS_DAY","Y")),"")</f>
        <v>394.74514014998931</v>
      </c>
      <c r="AY12">
        <f t="shared" si="10"/>
        <v>6769.6039787132295</v>
      </c>
      <c r="AZ12">
        <f t="shared" si="31"/>
        <v>5.8070256104124716E-2</v>
      </c>
      <c r="BA12">
        <f t="shared" si="32"/>
        <v>5.8311408081071048E-2</v>
      </c>
      <c r="BB12" s="11" t="str">
        <f t="shared" si="33"/>
        <v>DOWN</v>
      </c>
      <c r="BC12" s="11" t="str">
        <f t="shared" si="34"/>
        <v>DOWN</v>
      </c>
      <c r="BD12" s="6" t="str">
        <f t="shared" si="35"/>
        <v>NEGATIVE</v>
      </c>
      <c r="BE12" s="12" cm="1">
        <f t="array" ref="BE12">_xll.BDP($B12, "INTERVAL_RSI", "TECH_STUDIES_PARAM1_OVERRIDE", "5", "PERIODICITY_OVERRIDE", "W")</f>
        <v>6.9292416438173206</v>
      </c>
      <c r="BF12" cm="1">
        <f t="array" ref="BF12">IFERROR(VALUE(_xll.BDP($B12,"INTERVAL_MAE_MOV_AVG","CALC_INTERVAL","520D","TECH_STUDIES_PARAM1_OVERRIDE",31,"USE_PREVIOUS_BUSINESS_DAY","N")),"")</f>
        <v>364.89032254126761</v>
      </c>
      <c r="BG12" cm="1">
        <f t="array" ref="BG12">IFERROR(VALUE(_xll.BDP($B12,"INTERVAL_MAE_MOV_AVG","CALC_INTERVAL","760D","TECH_STUDIES_PARAM1_OVERRIDE",200,"USE_PREVIOUS_BUSINESS_DAY","N")),"")</f>
        <v>386.65919999389672</v>
      </c>
      <c r="BH12" s="13">
        <f t="shared" si="36"/>
        <v>-0.11677569918683872</v>
      </c>
      <c r="BI12" s="13">
        <f t="shared" si="37"/>
        <v>-0.16362424643546525</v>
      </c>
      <c r="BJ12" s="13">
        <f t="shared" si="38"/>
        <v>-0.1665011462158742</v>
      </c>
      <c r="BK12" s="32" cm="1">
        <f t="array" ref="BK12">VALUE(_xll.BDP($B12,"INTERVAL_DATE_OF_CALC_HI","CALC_INTERVAL","3M"))</f>
        <v>45994</v>
      </c>
      <c r="BL12" s="32" cm="1">
        <f t="array" ref="BL12">VALUE(_xll.BDP($B12,"INTERVAL_DATE_OF_CALC_LO","CALC_INTERVAL","3M"))</f>
        <v>46062</v>
      </c>
      <c r="BM12" s="32" cm="1">
        <f t="array" ref="BM12">VALUE(_xll.BDP($B12,"INTERVAL_DATE_OF_CALC_HI","CALC_INTERVAL","1M"))</f>
        <v>46034</v>
      </c>
      <c r="BN12" s="32" cm="1">
        <f t="array" ref="BN12">VALUE(_xll.BDP($B12,"INTERVAL_DATE_OF_CALC_LO","CALC_INTERVAL","1M"))</f>
        <v>46062</v>
      </c>
      <c r="BO12" s="15">
        <f>IFERROR(VLOOKUP($F12,PIVOT!$A:$C,2,FALSE),0)</f>
        <v>0</v>
      </c>
      <c r="BP12" s="15">
        <f>IFERROR(VLOOKUP($F12,PIVOT!$A:$C,3,FALSE),0)</f>
        <v>0</v>
      </c>
      <c r="BQ12" s="15">
        <f t="shared" si="11"/>
        <v>29.375203276938691</v>
      </c>
    </row>
    <row r="13" spans="1:69" x14ac:dyDescent="0.25">
      <c r="A13">
        <v>12</v>
      </c>
      <c r="B13" t="s">
        <v>12</v>
      </c>
      <c r="J13" s="24"/>
      <c r="K13" s="15">
        <f>_xll.BDP($B13,"interval_rsi","tech_studies_param1_override",14)</f>
        <v>62.305560713483167</v>
      </c>
      <c r="L13" s="15">
        <f t="shared" si="0"/>
        <v>52.525531939815814</v>
      </c>
      <c r="M13">
        <f t="shared" si="12"/>
        <v>0</v>
      </c>
      <c r="N13" cm="1">
        <f t="array" ref="N13">IFERROR(VALUE(_xll.BDP($B13,"px_last")),"")</f>
        <v>339.88</v>
      </c>
      <c r="O13">
        <f t="shared" si="1"/>
        <v>6941.47</v>
      </c>
      <c r="P13" cm="1">
        <f t="array" ref="P13">IFERROR(VALUE(_xll.BDP($B13,"PX_YEST_CLOSE")),"")</f>
        <v>329.07</v>
      </c>
      <c r="Q13">
        <f t="shared" si="2"/>
        <v>6941.81</v>
      </c>
      <c r="R13">
        <f t="shared" si="13"/>
        <v>4.8963692128612527E-2</v>
      </c>
      <c r="S13">
        <f t="shared" si="14"/>
        <v>4.7404063205417603E-2</v>
      </c>
      <c r="T13" cm="1">
        <f t="array" ref="T13">IFERROR(VALUE(_xll.BDP($B13,"INTERVAL_MAE_MOV_AVG","CALC_INTERVAL","520D","TECH_STUDIES_PARAM1_OVERRIDE",50,"USE_PREVIOUS_BUSINESS_DAY","N")),"")</f>
        <v>291.1671000976562</v>
      </c>
      <c r="U13">
        <f t="shared" si="3"/>
        <v>6894.0953999999992</v>
      </c>
      <c r="V13" cm="1">
        <f t="array" ref="V13">IFERROR(VALUE(_xll.BDP($B13,"INTERVAL_MAE_MOV_AVG","CALC_INTERVAL","520D","TECH_STUDIES_PARAM1_OVERRIDE",50,"USE_PREVIOUS_BUSINESS_DAY","Y")),"")</f>
        <v>289.41449999999998</v>
      </c>
      <c r="W13">
        <f t="shared" si="4"/>
        <v>6892.2477999999992</v>
      </c>
      <c r="X13">
        <f t="shared" si="15"/>
        <v>4.2234271968104219E-2</v>
      </c>
      <c r="Y13">
        <f t="shared" si="16"/>
        <v>4.199130797357576E-2</v>
      </c>
      <c r="Z13" s="11" t="str">
        <f t="shared" si="17"/>
        <v>NEGATIVE</v>
      </c>
      <c r="AA13" s="11" t="str">
        <f t="shared" si="18"/>
        <v/>
      </c>
      <c r="AB13" s="11" t="str">
        <f t="shared" si="19"/>
        <v>UP</v>
      </c>
      <c r="AC13" s="6" t="str">
        <f t="shared" si="20"/>
        <v>POSITIVE</v>
      </c>
      <c r="AD13" cm="1">
        <f t="array" ref="AD13">IFERROR(VALUE(_xll.BDP($B13,"INTERVAL_MAE_MOV_AVG","CALC_INTERVAL","520D","TECH_STUDIES_PARAM1_OVERRIDE",65,"USE_PREVIOUS_BUSINESS_DAY","N")),"")</f>
        <v>277.49069639819703</v>
      </c>
      <c r="AE13">
        <f t="shared" si="5"/>
        <v>6856.0226153846133</v>
      </c>
      <c r="AF13" cm="1">
        <f t="array" ref="AF13">IFERROR(VALUE(_xll.BDP($B13,"INTERVAL_MAE_MOV_AVG","CALC_INTERVAL","520D","TECH_STUDIES_PARAM1_OVERRIDE",65,"USE_PREVIOUS_BUSINESS_DAY","Y")),"")</f>
        <v>275.84751502030764</v>
      </c>
      <c r="AG13">
        <f t="shared" si="6"/>
        <v>6852.6203076923057</v>
      </c>
      <c r="AH13">
        <f t="shared" si="21"/>
        <v>4.0474005405921519E-2</v>
      </c>
      <c r="AI13">
        <f t="shared" si="22"/>
        <v>4.0254311874051908E-2</v>
      </c>
      <c r="AJ13" s="10" t="str">
        <f t="shared" si="23"/>
        <v>UP</v>
      </c>
      <c r="AK13" s="10" t="str">
        <f t="shared" si="24"/>
        <v>UP</v>
      </c>
      <c r="AL13" s="6" t="str">
        <f t="shared" si="25"/>
        <v>POSITIVE</v>
      </c>
      <c r="AM13" cm="1">
        <f t="array" ref="AM13">IFERROR(VALUE(_xll.BDP($B13,"INTERVAL_MAE_MOV_AVG","CALC_INTERVAL","65W","PERIODICITY_OVERRIDE","W","TECH_STUDIES_PARAM1_OVERRIDE",39,"USE_PREVIOUS_BUSINESS_DAY","N")),"")</f>
        <v>221.12740333072733</v>
      </c>
      <c r="AN13">
        <f t="shared" si="7"/>
        <v>6560.7735897435905</v>
      </c>
      <c r="AO13" cm="1">
        <f t="array" ref="AO13">IFERROR(VALUE(_xll.BDP($B13,"INTERVAL_MAE_MOV_AVG","CALC_INTERVAL","65W","PERIODICITY_OVERRIDE","W","TECH_STUDIES_PARAM1_OVERRIDE",39,"USE_PREVIOUS_BUSINESS_DAY","Y")),"")</f>
        <v>220.85022371834751</v>
      </c>
      <c r="AP13">
        <f t="shared" si="8"/>
        <v>6560.7823076923087</v>
      </c>
      <c r="AQ13">
        <f t="shared" si="26"/>
        <v>3.3704471020980543E-2</v>
      </c>
      <c r="AR13">
        <f t="shared" si="27"/>
        <v>3.3662178283130603E-2</v>
      </c>
      <c r="AS13" s="10" t="str">
        <f t="shared" si="28"/>
        <v>UP</v>
      </c>
      <c r="AT13" s="10" t="str">
        <f t="shared" si="29"/>
        <v>UP</v>
      </c>
      <c r="AU13" s="6" t="str">
        <f t="shared" si="30"/>
        <v>POSITIVE</v>
      </c>
      <c r="AV13" cm="1">
        <f t="array" ref="AV13">IFERROR(VALUE(_xll.BDP($B13,"INTERVAL_exp_MOV_AVG","CALC_INTERVAL","520D","TECH_STUDIES_PARAM1_OVERRIDE",100,"USE_PREVIOUS_BUSINESS_DAY","N")),"")</f>
        <v>264.50226967695613</v>
      </c>
      <c r="AW13">
        <f t="shared" si="9"/>
        <v>6773.0064518682802</v>
      </c>
      <c r="AX13" cm="1">
        <f t="array" ref="AX13">IFERROR(VALUE(_xll.BDP($B13,"INTERVAL_exp_MOV_AVG","CALC_INTERVAL","520D","TECH_STUDIES_PARAM1_OVERRIDE",100,"USE_PREVIOUS_BUSINESS_DAY","Y")),"")</f>
        <v>262.97949903897108</v>
      </c>
      <c r="AY13">
        <f t="shared" si="10"/>
        <v>6769.6039787132295</v>
      </c>
      <c r="AZ13">
        <f t="shared" si="31"/>
        <v>3.905241661241815E-2</v>
      </c>
      <c r="BA13">
        <f t="shared" si="32"/>
        <v>3.8847102410406939E-2</v>
      </c>
      <c r="BB13" s="11" t="str">
        <f t="shared" si="33"/>
        <v>UP</v>
      </c>
      <c r="BC13" s="11" t="str">
        <f t="shared" si="34"/>
        <v>UP</v>
      </c>
      <c r="BD13" s="6" t="str">
        <f t="shared" si="35"/>
        <v>POSITIVE</v>
      </c>
      <c r="BE13" s="12" cm="1">
        <f t="array" ref="BE13">_xll.BDP($B13, "INTERVAL_RSI", "TECH_STUDIES_PARAM1_OVERRIDE", "5", "PERIODICITY_OVERRIDE", "W")</f>
        <v>90.797164493138297</v>
      </c>
      <c r="BF13" cm="1">
        <f t="array" ref="BF13">IFERROR(VALUE(_xll.BDP($B13,"INTERVAL_MAE_MOV_AVG","CALC_INTERVAL","520D","TECH_STUDIES_PARAM1_OVERRIDE",31,"USE_PREVIOUS_BUSINESS_DAY","N")),"")</f>
        <v>308.7814517704133</v>
      </c>
      <c r="BG13" cm="1">
        <f t="array" ref="BG13">IFERROR(VALUE(_xll.BDP($B13,"INTERVAL_MAE_MOV_AVG","CALC_INTERVAL","760D","TECH_STUDIES_PARAM1_OVERRIDE",200,"USE_PREVIOUS_BUSINESS_DAY","N")),"")</f>
        <v>214.67801848092543</v>
      </c>
      <c r="BH13" s="13">
        <f t="shared" si="36"/>
        <v>0.1007137833288938</v>
      </c>
      <c r="BI13" s="13">
        <f t="shared" si="37"/>
        <v>0.16730221198070017</v>
      </c>
      <c r="BJ13" s="13">
        <f t="shared" si="38"/>
        <v>0.58320820363915837</v>
      </c>
      <c r="BK13" s="32" cm="1">
        <f t="array" ref="BK13">VALUE(_xll.BDP($B13,"INTERVAL_DATE_OF_CALC_HI","CALC_INTERVAL","3M"))</f>
        <v>46051</v>
      </c>
      <c r="BL13" s="32" cm="1">
        <f t="array" ref="BL13">VALUE(_xll.BDP($B13,"INTERVAL_DATE_OF_CALC_LO","CALC_INTERVAL","3M"))</f>
        <v>45981</v>
      </c>
      <c r="BM13" s="32" cm="1">
        <f t="array" ref="BM13">VALUE(_xll.BDP($B13,"INTERVAL_DATE_OF_CALC_HI","CALC_INTERVAL","1M"))</f>
        <v>46051</v>
      </c>
      <c r="BN13" s="32" cm="1">
        <f t="array" ref="BN13">VALUE(_xll.BDP($B13,"INTERVAL_DATE_OF_CALC_LO","CALC_INTERVAL","1M"))</f>
        <v>46057</v>
      </c>
      <c r="BO13" s="15">
        <f>IFERROR(VLOOKUP($F13,PIVOT!$A:$C,2,FALSE),0)</f>
        <v>0</v>
      </c>
      <c r="BP13" s="15">
        <f>IFERROR(VLOOKUP($F13,PIVOT!$A:$C,3,FALSE),0)</f>
        <v>0</v>
      </c>
      <c r="BQ13" s="15">
        <f t="shared" si="11"/>
        <v>62.305560713483167</v>
      </c>
    </row>
    <row r="14" spans="1:69" x14ac:dyDescent="0.25">
      <c r="A14">
        <v>13</v>
      </c>
      <c r="B14" t="s">
        <v>14</v>
      </c>
      <c r="J14" s="24"/>
      <c r="K14" s="15">
        <f>_xll.BDP($B14,"interval_rsi","tech_studies_param1_override",14)</f>
        <v>44.180105507096449</v>
      </c>
      <c r="L14" s="15">
        <f t="shared" si="0"/>
        <v>52.525531939815814</v>
      </c>
      <c r="M14">
        <f t="shared" si="12"/>
        <v>0</v>
      </c>
      <c r="N14" cm="1">
        <f t="array" ref="N14">IFERROR(VALUE(_xll.BDP($B14,"px_last")),"")</f>
        <v>213.58</v>
      </c>
      <c r="O14">
        <f t="shared" si="1"/>
        <v>6941.47</v>
      </c>
      <c r="P14" cm="1">
        <f t="array" ref="P14">IFERROR(VALUE(_xll.BDP($B14,"PX_YEST_CLOSE")),"")</f>
        <v>213.57</v>
      </c>
      <c r="Q14">
        <f t="shared" si="2"/>
        <v>6941.81</v>
      </c>
      <c r="R14">
        <f t="shared" si="13"/>
        <v>3.0768698849091045E-2</v>
      </c>
      <c r="S14">
        <f t="shared" si="14"/>
        <v>3.0765751295411425E-2</v>
      </c>
      <c r="T14" cm="1">
        <f t="array" ref="T14">IFERROR(VALUE(_xll.BDP($B14,"INTERVAL_MAE_MOV_AVG","CALC_INTERVAL","520D","TECH_STUDIES_PARAM1_OVERRIDE",50,"USE_PREVIOUS_BUSINESS_DAY","N")),"")</f>
        <v>221.57620003662117</v>
      </c>
      <c r="U14">
        <f t="shared" si="3"/>
        <v>6894.0953999999992</v>
      </c>
      <c r="V14" cm="1">
        <f t="array" ref="V14">IFERROR(VALUE(_xll.BDP($B14,"INTERVAL_MAE_MOV_AVG","CALC_INTERVAL","520D","TECH_STUDIES_PARAM1_OVERRIDE",50,"USE_PREVIOUS_BUSINESS_DAY","Y")),"")</f>
        <v>221.65520000000009</v>
      </c>
      <c r="W14">
        <f t="shared" si="4"/>
        <v>6892.2477999999992</v>
      </c>
      <c r="X14">
        <f t="shared" si="15"/>
        <v>3.2139996211340678E-2</v>
      </c>
      <c r="Y14">
        <f t="shared" si="16"/>
        <v>3.2160074105286832E-2</v>
      </c>
      <c r="Z14" s="11" t="str">
        <f t="shared" si="17"/>
        <v>NEGATIVE</v>
      </c>
      <c r="AA14" s="11" t="str">
        <f t="shared" si="18"/>
        <v/>
      </c>
      <c r="AB14" s="11" t="str">
        <f t="shared" si="19"/>
        <v>DOWN</v>
      </c>
      <c r="AC14" s="6" t="str">
        <f t="shared" si="20"/>
        <v>NEGATIVE</v>
      </c>
      <c r="AD14" cm="1">
        <f t="array" ref="AD14">IFERROR(VALUE(_xll.BDP($B14,"INTERVAL_MAE_MOV_AVG","CALC_INTERVAL","520D","TECH_STUDIES_PARAM1_OVERRIDE",65,"USE_PREVIOUS_BUSINESS_DAY","N")),"")</f>
        <v>223.14800002817012</v>
      </c>
      <c r="AE14">
        <f t="shared" si="5"/>
        <v>6856.0226153846133</v>
      </c>
      <c r="AF14" cm="1">
        <f t="array" ref="AF14">IFERROR(VALUE(_xll.BDP($B14,"INTERVAL_MAE_MOV_AVG","CALC_INTERVAL","520D","TECH_STUDIES_PARAM1_OVERRIDE",65,"USE_PREVIOUS_BUSINESS_DAY","Y")),"")</f>
        <v>223.51907692307699</v>
      </c>
      <c r="AG14">
        <f t="shared" si="6"/>
        <v>6852.6203076923057</v>
      </c>
      <c r="AH14">
        <f t="shared" si="21"/>
        <v>3.2547733948169282E-2</v>
      </c>
      <c r="AI14">
        <f t="shared" si="22"/>
        <v>3.2618044906438055E-2</v>
      </c>
      <c r="AJ14" s="10" t="str">
        <f t="shared" si="23"/>
        <v>DOWN</v>
      </c>
      <c r="AK14" s="10" t="str">
        <f t="shared" si="24"/>
        <v>DOWN</v>
      </c>
      <c r="AL14" s="6" t="str">
        <f t="shared" si="25"/>
        <v>NEGATIVE</v>
      </c>
      <c r="AM14" cm="1">
        <f t="array" ref="AM14">IFERROR(VALUE(_xll.BDP($B14,"INTERVAL_MAE_MOV_AVG","CALC_INTERVAL","65W","PERIODICITY_OVERRIDE","W","TECH_STUDIES_PARAM1_OVERRIDE",39,"USE_PREVIOUS_BUSINESS_DAY","N")),"")</f>
        <v>186.3992308161809</v>
      </c>
      <c r="AN14">
        <f t="shared" si="7"/>
        <v>6560.7735897435905</v>
      </c>
      <c r="AO14" cm="1">
        <f t="array" ref="AO14">IFERROR(VALUE(_xll.BDP($B14,"INTERVAL_MAE_MOV_AVG","CALC_INTERVAL","65W","PERIODICITY_OVERRIDE","W","TECH_STUDIES_PARAM1_OVERRIDE",39,"USE_PREVIOUS_BUSINESS_DAY","Y")),"")</f>
        <v>186.39897435897436</v>
      </c>
      <c r="AP14">
        <f t="shared" si="8"/>
        <v>6560.7823076923087</v>
      </c>
      <c r="AQ14">
        <f t="shared" si="26"/>
        <v>2.8411166498349745E-2</v>
      </c>
      <c r="AR14">
        <f t="shared" si="27"/>
        <v>2.8411089656248386E-2</v>
      </c>
      <c r="AS14" s="10" t="str">
        <f t="shared" si="28"/>
        <v>UP</v>
      </c>
      <c r="AT14" s="10" t="str">
        <f t="shared" si="29"/>
        <v>UP</v>
      </c>
      <c r="AU14" s="6" t="str">
        <f t="shared" si="30"/>
        <v>POSITIVE</v>
      </c>
      <c r="AV14" cm="1">
        <f t="array" ref="AV14">IFERROR(VALUE(_xll.BDP($B14,"INTERVAL_exp_MOV_AVG","CALC_INTERVAL","520D","TECH_STUDIES_PARAM1_OVERRIDE",100,"USE_PREVIOUS_BUSINESS_DAY","N")),"")</f>
        <v>213.02227064535572</v>
      </c>
      <c r="AW14">
        <f t="shared" si="9"/>
        <v>6773.0064518682802</v>
      </c>
      <c r="AX14" cm="1">
        <f t="array" ref="AX14">IFERROR(VALUE(_xll.BDP($B14,"INTERVAL_exp_MOV_AVG","CALC_INTERVAL","520D","TECH_STUDIES_PARAM1_OVERRIDE",100,"USE_PREVIOUS_BUSINESS_DAY","Y")),"")</f>
        <v>213.01095896645302</v>
      </c>
      <c r="AY14">
        <f t="shared" si="10"/>
        <v>6769.6039787132295</v>
      </c>
      <c r="AZ14">
        <f t="shared" si="31"/>
        <v>3.1451656241460575E-2</v>
      </c>
      <c r="BA14">
        <f t="shared" si="32"/>
        <v>3.1465793218666577E-2</v>
      </c>
      <c r="BB14" s="11" t="str">
        <f t="shared" si="33"/>
        <v>UP</v>
      </c>
      <c r="BC14" s="11" t="str">
        <f t="shared" si="34"/>
        <v>DOWN</v>
      </c>
      <c r="BD14" s="6" t="str">
        <f t="shared" si="35"/>
        <v>NEGATIVE</v>
      </c>
      <c r="BE14" s="12" cm="1">
        <f t="array" ref="BE14">_xll.BDP($B14, "INTERVAL_RSI", "TECH_STUDIES_PARAM1_OVERRIDE", "5", "PERIODICITY_OVERRIDE", "W")</f>
        <v>43.864469133427768</v>
      </c>
      <c r="BF14" cm="1">
        <f t="array" ref="BF14">IFERROR(VALUE(_xll.BDP($B14,"INTERVAL_MAE_MOV_AVG","CALC_INTERVAL","520D","TECH_STUDIES_PARAM1_OVERRIDE",31,"USE_PREVIOUS_BUSINESS_DAY","N")),"")</f>
        <v>226.02161296229212</v>
      </c>
      <c r="BG14" cm="1">
        <f t="array" ref="BG14">IFERROR(VALUE(_xll.BDP($B14,"INTERVAL_MAE_MOV_AVG","CALC_INTERVAL","760D","TECH_STUDIES_PARAM1_OVERRIDE",200,"USE_PREVIOUS_BUSINESS_DAY","N")),"")</f>
        <v>180.84375000915526</v>
      </c>
      <c r="BH14" s="13">
        <f t="shared" si="36"/>
        <v>-5.5046120586564329E-2</v>
      </c>
      <c r="BI14" s="13">
        <f t="shared" si="37"/>
        <v>-3.6087811034305917E-2</v>
      </c>
      <c r="BJ14" s="13">
        <f t="shared" si="38"/>
        <v>0.18101952646518038</v>
      </c>
      <c r="BK14" s="32" cm="1">
        <f t="array" ref="BK14">VALUE(_xll.BDP($B14,"INTERVAL_DATE_OF_CALC_HI","CALC_INTERVAL","3M"))</f>
        <v>46045</v>
      </c>
      <c r="BL14" s="32" cm="1">
        <f t="array" ref="BL14">VALUE(_xll.BDP($B14,"INTERVAL_DATE_OF_CALC_LO","CALC_INTERVAL","3M"))</f>
        <v>46058</v>
      </c>
      <c r="BM14" s="32" cm="1">
        <f t="array" ref="BM14">VALUE(_xll.BDP($B14,"INTERVAL_DATE_OF_CALC_HI","CALC_INTERVAL","1M"))</f>
        <v>46045</v>
      </c>
      <c r="BN14" s="32" cm="1">
        <f t="array" ref="BN14">VALUE(_xll.BDP($B14,"INTERVAL_DATE_OF_CALC_LO","CALC_INTERVAL","1M"))</f>
        <v>46058</v>
      </c>
      <c r="BO14" s="15">
        <f>IFERROR(VLOOKUP($F14,PIVOT!$A:$C,2,FALSE),0)</f>
        <v>0</v>
      </c>
      <c r="BP14" s="15">
        <f>IFERROR(VLOOKUP($F14,PIVOT!$A:$C,3,FALSE),0)</f>
        <v>0</v>
      </c>
      <c r="BQ14" s="15">
        <f t="shared" si="11"/>
        <v>44.180105507096449</v>
      </c>
    </row>
    <row r="15" spans="1:69" x14ac:dyDescent="0.25">
      <c r="A15">
        <v>14</v>
      </c>
      <c r="B15" t="s">
        <v>15</v>
      </c>
      <c r="J15" s="24"/>
      <c r="K15" s="15">
        <f>_xll.BDP($B15,"interval_rsi","tech_studies_param1_override",14)</f>
        <v>60.854717079519602</v>
      </c>
      <c r="L15" s="15">
        <f t="shared" si="0"/>
        <v>52.525531939815814</v>
      </c>
      <c r="M15">
        <f t="shared" si="12"/>
        <v>0</v>
      </c>
      <c r="N15" cm="1">
        <f t="array" ref="N15">IFERROR(VALUE(_xll.BDP($B15,"px_last")),"")</f>
        <v>366.58</v>
      </c>
      <c r="O15">
        <f t="shared" si="1"/>
        <v>6941.47</v>
      </c>
      <c r="P15" cm="1">
        <f t="array" ref="P15">IFERROR(VALUE(_xll.BDP($B15,"PX_YEST_CLOSE")),"")</f>
        <v>364.65</v>
      </c>
      <c r="Q15">
        <f t="shared" si="2"/>
        <v>6941.81</v>
      </c>
      <c r="R15">
        <f t="shared" si="13"/>
        <v>5.2810139639010177E-2</v>
      </c>
      <c r="S15">
        <f t="shared" si="14"/>
        <v>5.2529527601590936E-2</v>
      </c>
      <c r="T15" cm="1">
        <f t="array" ref="T15">IFERROR(VALUE(_xll.BDP($B15,"INTERVAL_MAE_MOV_AVG","CALC_INTERVAL","520D","TECH_STUDIES_PARAM1_OVERRIDE",50,"USE_PREVIOUS_BUSINESS_DAY","N")),"")</f>
        <v>336.81799973144518</v>
      </c>
      <c r="U15">
        <f t="shared" si="3"/>
        <v>6894.0953999999992</v>
      </c>
      <c r="V15" cm="1">
        <f t="array" ref="V15">IFERROR(VALUE(_xll.BDP($B15,"INTERVAL_MAE_MOV_AVG","CALC_INTERVAL","520D","TECH_STUDIES_PARAM1_OVERRIDE",50,"USE_PREVIOUS_BUSINESS_DAY","Y")),"")</f>
        <v>336.39559999999989</v>
      </c>
      <c r="W15">
        <f t="shared" si="4"/>
        <v>6892.2477999999992</v>
      </c>
      <c r="X15">
        <f t="shared" si="15"/>
        <v>4.8856010859879485E-2</v>
      </c>
      <c r="Y15">
        <f t="shared" si="16"/>
        <v>4.8807821448323421E-2</v>
      </c>
      <c r="Z15" s="11" t="str">
        <f t="shared" si="17"/>
        <v>NEGATIVE</v>
      </c>
      <c r="AA15" s="11" t="str">
        <f t="shared" si="18"/>
        <v/>
      </c>
      <c r="AB15" s="11" t="str">
        <f t="shared" si="19"/>
        <v>UP</v>
      </c>
      <c r="AC15" s="6" t="str">
        <f t="shared" si="20"/>
        <v>POSITIVE</v>
      </c>
      <c r="AD15" cm="1">
        <f t="array" ref="AD15">IFERROR(VALUE(_xll.BDP($B15,"INTERVAL_MAE_MOV_AVG","CALC_INTERVAL","520D","TECH_STUDIES_PARAM1_OVERRIDE",65,"USE_PREVIOUS_BUSINESS_DAY","N")),"")</f>
        <v>336.54794362418875</v>
      </c>
      <c r="AE15">
        <f t="shared" si="5"/>
        <v>6856.0226153846133</v>
      </c>
      <c r="AF15" cm="1">
        <f t="array" ref="AF15">IFERROR(VALUE(_xll.BDP($B15,"INTERVAL_MAE_MOV_AVG","CALC_INTERVAL","520D","TECH_STUDIES_PARAM1_OVERRIDE",65,"USE_PREVIOUS_BUSINESS_DAY","Y")),"")</f>
        <v>335.72909754800008</v>
      </c>
      <c r="AG15">
        <f t="shared" si="6"/>
        <v>6852.6203076923057</v>
      </c>
      <c r="AH15">
        <f t="shared" si="21"/>
        <v>4.9087927870743883E-2</v>
      </c>
      <c r="AI15">
        <f t="shared" si="22"/>
        <v>4.8992806032333712E-2</v>
      </c>
      <c r="AJ15" s="10" t="str">
        <f t="shared" si="23"/>
        <v>UP</v>
      </c>
      <c r="AK15" s="10" t="str">
        <f t="shared" si="24"/>
        <v>UP</v>
      </c>
      <c r="AL15" s="6" t="str">
        <f t="shared" si="25"/>
        <v>POSITIVE</v>
      </c>
      <c r="AM15" cm="1">
        <f t="array" ref="AM15">IFERROR(VALUE(_xll.BDP($B15,"INTERVAL_MAE_MOV_AVG","CALC_INTERVAL","65W","PERIODICITY_OVERRIDE","W","TECH_STUDIES_PARAM1_OVERRIDE",39,"USE_PREVIOUS_BUSINESS_DAY","N")),"")</f>
        <v>306.42210117354091</v>
      </c>
      <c r="AN15">
        <f t="shared" si="7"/>
        <v>6560.7735897435905</v>
      </c>
      <c r="AO15" cm="1">
        <f t="array" ref="AO15">IFERROR(VALUE(_xll.BDP($B15,"INTERVAL_MAE_MOV_AVG","CALC_INTERVAL","65W","PERIODICITY_OVERRIDE","W","TECH_STUDIES_PARAM1_OVERRIDE",39,"USE_PREVIOUS_BUSINESS_DAY","Y")),"")</f>
        <v>306.37261433835465</v>
      </c>
      <c r="AP15">
        <f t="shared" si="8"/>
        <v>6560.7823076923087</v>
      </c>
      <c r="AQ15">
        <f t="shared" si="26"/>
        <v>4.6705178433922537E-2</v>
      </c>
      <c r="AR15">
        <f t="shared" si="27"/>
        <v>4.6697573546853173E-2</v>
      </c>
      <c r="AS15" s="10" t="str">
        <f t="shared" si="28"/>
        <v>UP</v>
      </c>
      <c r="AT15" s="10" t="str">
        <f t="shared" si="29"/>
        <v>UP</v>
      </c>
      <c r="AU15" s="6" t="str">
        <f t="shared" si="30"/>
        <v>POSITIVE</v>
      </c>
      <c r="AV15" cm="1">
        <f t="array" ref="AV15">IFERROR(VALUE(_xll.BDP($B15,"INTERVAL_exp_MOV_AVG","CALC_INTERVAL","520D","TECH_STUDIES_PARAM1_OVERRIDE",100,"USE_PREVIOUS_BUSINESS_DAY","N")),"")</f>
        <v>325.67968555239639</v>
      </c>
      <c r="AW15">
        <f t="shared" si="9"/>
        <v>6773.0064518682802</v>
      </c>
      <c r="AX15" cm="1">
        <f t="array" ref="AX15">IFERROR(VALUE(_xll.BDP($B15,"INTERVAL_exp_MOV_AVG","CALC_INTERVAL","520D","TECH_STUDIES_PARAM1_OVERRIDE",100,"USE_PREVIOUS_BUSINESS_DAY","Y")),"")</f>
        <v>324.85339933899894</v>
      </c>
      <c r="AY15">
        <f t="shared" si="10"/>
        <v>6769.6039787132295</v>
      </c>
      <c r="AZ15">
        <f t="shared" si="31"/>
        <v>4.8084951323582488E-2</v>
      </c>
      <c r="BA15">
        <f t="shared" si="32"/>
        <v>4.798706103938849E-2</v>
      </c>
      <c r="BB15" s="11" t="str">
        <f t="shared" si="33"/>
        <v>UP</v>
      </c>
      <c r="BC15" s="11" t="str">
        <f t="shared" si="34"/>
        <v>UP</v>
      </c>
      <c r="BD15" s="6" t="str">
        <f t="shared" si="35"/>
        <v>POSITIVE</v>
      </c>
      <c r="BE15" s="12" cm="1">
        <f t="array" ref="BE15">_xll.BDP($B15, "INTERVAL_RSI", "TECH_STUDIES_PARAM1_OVERRIDE", "5", "PERIODICITY_OVERRIDE", "W")</f>
        <v>66.089424493282877</v>
      </c>
      <c r="BF15" cm="1">
        <f t="array" ref="BF15">IFERROR(VALUE(_xll.BDP($B15,"INTERVAL_MAE_MOV_AVG","CALC_INTERVAL","520D","TECH_STUDIES_PARAM1_OVERRIDE",31,"USE_PREVIOUS_BUSINESS_DAY","N")),"")</f>
        <v>342.07645117975039</v>
      </c>
      <c r="BG15" cm="1">
        <f t="array" ref="BG15">IFERROR(VALUE(_xll.BDP($B15,"INTERVAL_MAE_MOV_AVG","CALC_INTERVAL","760D","TECH_STUDIES_PARAM1_OVERRIDE",200,"USE_PREVIOUS_BUSINESS_DAY","N")),"")</f>
        <v>301.7030490002648</v>
      </c>
      <c r="BH15" s="13">
        <f t="shared" si="36"/>
        <v>7.1631790892772607E-2</v>
      </c>
      <c r="BI15" s="13">
        <f t="shared" si="37"/>
        <v>8.8362261792080288E-2</v>
      </c>
      <c r="BJ15" s="13">
        <f t="shared" si="38"/>
        <v>0.21503578175531879</v>
      </c>
      <c r="BK15" s="32" cm="1">
        <f t="array" ref="BK15">VALUE(_xll.BDP($B15,"INTERVAL_DATE_OF_CALC_HI","CALC_INTERVAL","3M"))</f>
        <v>46059</v>
      </c>
      <c r="BL15" s="32" cm="1">
        <f t="array" ref="BL15">VALUE(_xll.BDP($B15,"INTERVAL_DATE_OF_CALC_LO","CALC_INTERVAL","3M"))</f>
        <v>46000</v>
      </c>
      <c r="BM15" s="32" cm="1">
        <f t="array" ref="BM15">VALUE(_xll.BDP($B15,"INTERVAL_DATE_OF_CALC_HI","CALC_INTERVAL","1M"))</f>
        <v>46059</v>
      </c>
      <c r="BN15" s="32" cm="1">
        <f t="array" ref="BN15">VALUE(_xll.BDP($B15,"INTERVAL_DATE_OF_CALC_LO","CALC_INTERVAL","1M"))</f>
        <v>46035</v>
      </c>
      <c r="BO15" s="15">
        <f>IFERROR(VLOOKUP($F15,PIVOT!$A:$C,2,FALSE),0)</f>
        <v>0</v>
      </c>
      <c r="BP15" s="15">
        <f>IFERROR(VLOOKUP($F15,PIVOT!$A:$C,3,FALSE),0)</f>
        <v>0</v>
      </c>
      <c r="BQ15" s="15">
        <f t="shared" si="11"/>
        <v>60.854717079519602</v>
      </c>
    </row>
    <row r="16" spans="1:69" x14ac:dyDescent="0.25">
      <c r="A16">
        <v>15</v>
      </c>
      <c r="B16" t="s">
        <v>17</v>
      </c>
      <c r="J16" s="24"/>
      <c r="K16" s="15">
        <f>_xll.BDP($B16,"interval_rsi","tech_studies_param1_override",14)</f>
        <v>25.537516940319577</v>
      </c>
      <c r="L16" s="15">
        <f t="shared" si="0"/>
        <v>52.525531939815814</v>
      </c>
      <c r="M16">
        <f t="shared" si="12"/>
        <v>0</v>
      </c>
      <c r="N16" cm="1">
        <f t="array" ref="N16">IFERROR(VALUE(_xll.BDP($B16,"px_last")),"")</f>
        <v>204.08</v>
      </c>
      <c r="O16">
        <f t="shared" si="1"/>
        <v>6941.47</v>
      </c>
      <c r="P16" cm="1">
        <f t="array" ref="P16">IFERROR(VALUE(_xll.BDP($B16,"PX_YEST_CLOSE")),"")</f>
        <v>206.96</v>
      </c>
      <c r="Q16">
        <f t="shared" si="2"/>
        <v>6941.81</v>
      </c>
      <c r="R16">
        <f t="shared" si="13"/>
        <v>2.9400112656252926E-2</v>
      </c>
      <c r="S16">
        <f t="shared" si="14"/>
        <v>2.9813550068353931E-2</v>
      </c>
      <c r="T16" cm="1">
        <f t="array" ref="T16">IFERROR(VALUE(_xll.BDP($B16,"INTERVAL_MAE_MOV_AVG","CALC_INTERVAL","520D","TECH_STUDIES_PARAM1_OVERRIDE",50,"USE_PREVIOUS_BUSINESS_DAY","N")),"")</f>
        <v>231.85560003662118</v>
      </c>
      <c r="U16">
        <f t="shared" si="3"/>
        <v>6894.0953999999992</v>
      </c>
      <c r="V16" cm="1">
        <f t="array" ref="V16">IFERROR(VALUE(_xll.BDP($B16,"INTERVAL_MAE_MOV_AVG","CALC_INTERVAL","520D","TECH_STUDIES_PARAM1_OVERRIDE",50,"USE_PREVIOUS_BUSINESS_DAY","Y")),"")</f>
        <v>232.43840000000009</v>
      </c>
      <c r="W16">
        <f t="shared" si="4"/>
        <v>6892.2477999999992</v>
      </c>
      <c r="X16">
        <f t="shared" si="15"/>
        <v>3.3631040272030642E-2</v>
      </c>
      <c r="Y16">
        <f t="shared" si="16"/>
        <v>3.3724614486437952E-2</v>
      </c>
      <c r="Z16" s="11" t="str">
        <f t="shared" si="17"/>
        <v>NEGATIVE</v>
      </c>
      <c r="AA16" s="11" t="str">
        <f t="shared" si="18"/>
        <v/>
      </c>
      <c r="AB16" s="11" t="str">
        <f t="shared" si="19"/>
        <v>DOWN</v>
      </c>
      <c r="AC16" s="6" t="str">
        <f t="shared" si="20"/>
        <v>NEGATIVE</v>
      </c>
      <c r="AD16" cm="1">
        <f t="array" ref="AD16">IFERROR(VALUE(_xll.BDP($B16,"INTERVAL_MAE_MOV_AVG","CALC_INTERVAL","520D","TECH_STUDIES_PARAM1_OVERRIDE",65,"USE_PREVIOUS_BUSINESS_DAY","N")),"")</f>
        <v>232.08353848970864</v>
      </c>
      <c r="AE16">
        <f t="shared" si="5"/>
        <v>6856.0226153846133</v>
      </c>
      <c r="AF16" cm="1">
        <f t="array" ref="AF16">IFERROR(VALUE(_xll.BDP($B16,"INTERVAL_MAE_MOV_AVG","CALC_INTERVAL","520D","TECH_STUDIES_PARAM1_OVERRIDE",65,"USE_PREVIOUS_BUSINESS_DAY","Y")),"")</f>
        <v>232.6829230769232</v>
      </c>
      <c r="AG16">
        <f t="shared" si="6"/>
        <v>6852.6203076923057</v>
      </c>
      <c r="AH16">
        <f t="shared" si="21"/>
        <v>3.3851046227432707E-2</v>
      </c>
      <c r="AI16">
        <f t="shared" si="22"/>
        <v>3.3955321122305357E-2</v>
      </c>
      <c r="AJ16" s="10" t="str">
        <f t="shared" si="23"/>
        <v>DOWN</v>
      </c>
      <c r="AK16" s="10" t="str">
        <f t="shared" si="24"/>
        <v>DOWN</v>
      </c>
      <c r="AL16" s="6" t="str">
        <f t="shared" si="25"/>
        <v>NEGATIVE</v>
      </c>
      <c r="AM16" cm="1">
        <f t="array" ref="AM16">IFERROR(VALUE(_xll.BDP($B16,"INTERVAL_MAE_MOV_AVG","CALC_INTERVAL","65W","PERIODICITY_OVERRIDE","W","TECH_STUDIES_PARAM1_OVERRIDE",39,"USE_PREVIOUS_BUSINESS_DAY","N")),"")</f>
        <v>225.14153850848854</v>
      </c>
      <c r="AN16">
        <f t="shared" si="7"/>
        <v>6560.7735897435905</v>
      </c>
      <c r="AO16" cm="1">
        <f t="array" ref="AO16">IFERROR(VALUE(_xll.BDP($B16,"INTERVAL_MAE_MOV_AVG","CALC_INTERVAL","65W","PERIODICITY_OVERRIDE","W","TECH_STUDIES_PARAM1_OVERRIDE",39,"USE_PREVIOUS_BUSINESS_DAY","Y")),"")</f>
        <v>225.21538461538455</v>
      </c>
      <c r="AP16">
        <f t="shared" si="8"/>
        <v>6560.7823076923087</v>
      </c>
      <c r="AQ16">
        <f t="shared" si="26"/>
        <v>3.4316309720007813E-2</v>
      </c>
      <c r="AR16">
        <f t="shared" si="27"/>
        <v>3.4327519806796006E-2</v>
      </c>
      <c r="AS16" s="10" t="str">
        <f t="shared" si="28"/>
        <v>DOWN</v>
      </c>
      <c r="AT16" s="10" t="str">
        <f t="shared" si="29"/>
        <v>DOWN</v>
      </c>
      <c r="AU16" s="6" t="str">
        <f t="shared" si="30"/>
        <v>NEGATIVE</v>
      </c>
      <c r="AV16" cm="1">
        <f t="array" ref="AV16">IFERROR(VALUE(_xll.BDP($B16,"INTERVAL_exp_MOV_AVG","CALC_INTERVAL","520D","TECH_STUDIES_PARAM1_OVERRIDE",100,"USE_PREVIOUS_BUSINESS_DAY","N")),"")</f>
        <v>229.40158759984504</v>
      </c>
      <c r="AW16">
        <f t="shared" si="9"/>
        <v>6773.0064518682802</v>
      </c>
      <c r="AX16" cm="1">
        <f t="array" ref="AX16">IFERROR(VALUE(_xll.BDP($B16,"INTERVAL_exp_MOV_AVG","CALC_INTERVAL","520D","TECH_STUDIES_PARAM1_OVERRIDE",100,"USE_PREVIOUS_BUSINESS_DAY","Y")),"")</f>
        <v>229.91317979004563</v>
      </c>
      <c r="AY16">
        <f t="shared" si="10"/>
        <v>6769.6039787132295</v>
      </c>
      <c r="AZ16">
        <f t="shared" si="31"/>
        <v>3.3869979193149366E-2</v>
      </c>
      <c r="BA16">
        <f t="shared" si="32"/>
        <v>3.3962574548378185E-2</v>
      </c>
      <c r="BB16" s="11" t="str">
        <f t="shared" si="33"/>
        <v>DOWN</v>
      </c>
      <c r="BC16" s="11" t="str">
        <f t="shared" si="34"/>
        <v>DOWN</v>
      </c>
      <c r="BD16" s="6" t="str">
        <f t="shared" si="35"/>
        <v>NEGATIVE</v>
      </c>
      <c r="BE16" s="12" cm="1">
        <f t="array" ref="BE16">_xll.BDP($B16, "INTERVAL_RSI", "TECH_STUDIES_PARAM1_OVERRIDE", "5", "PERIODICITY_OVERRIDE", "W")</f>
        <v>22.002521801200373</v>
      </c>
      <c r="BF16" cm="1">
        <f t="array" ref="BF16">IFERROR(VALUE(_xll.BDP($B16,"INTERVAL_MAE_MOV_AVG","CALC_INTERVAL","520D","TECH_STUDIES_PARAM1_OVERRIDE",31,"USE_PREVIOUS_BUSINESS_DAY","N")),"")</f>
        <v>233.69193554293727</v>
      </c>
      <c r="BG16" cm="1">
        <f t="array" ref="BG16">IFERROR(VALUE(_xll.BDP($B16,"INTERVAL_MAE_MOV_AVG","CALC_INTERVAL","760D","TECH_STUDIES_PARAM1_OVERRIDE",200,"USE_PREVIOUS_BUSINESS_DAY","N")),"")</f>
        <v>223.50555000915531</v>
      </c>
      <c r="BH16" s="13">
        <f t="shared" si="36"/>
        <v>-0.12671355335450385</v>
      </c>
      <c r="BI16" s="13">
        <f t="shared" si="37"/>
        <v>-0.11979697722303906</v>
      </c>
      <c r="BJ16" s="13">
        <f t="shared" si="38"/>
        <v>-8.691305432173646E-2</v>
      </c>
      <c r="BK16" s="32" cm="1">
        <f t="array" ref="BK16">VALUE(_xll.BDP($B16,"INTERVAL_DATE_OF_CALC_HI","CALC_INTERVAL","3M"))</f>
        <v>45972</v>
      </c>
      <c r="BL16" s="32" cm="1">
        <f t="array" ref="BL16">VALUE(_xll.BDP($B16,"INTERVAL_DATE_OF_CALC_LO","CALC_INTERVAL","3M"))</f>
        <v>46064</v>
      </c>
      <c r="BM16" s="32" cm="1">
        <f t="array" ref="BM16">VALUE(_xll.BDP($B16,"INTERVAL_DATE_OF_CALC_HI","CALC_INTERVAL","1M"))</f>
        <v>46034</v>
      </c>
      <c r="BN16" s="32" cm="1">
        <f t="array" ref="BN16">VALUE(_xll.BDP($B16,"INTERVAL_DATE_OF_CALC_LO","CALC_INTERVAL","1M"))</f>
        <v>46064</v>
      </c>
      <c r="BO16" s="15">
        <f>IFERROR(VLOOKUP($F16,PIVOT!$A:$C,2,FALSE),0)</f>
        <v>0</v>
      </c>
      <c r="BP16" s="15">
        <f>IFERROR(VLOOKUP($F16,PIVOT!$A:$C,3,FALSE),0)</f>
        <v>0</v>
      </c>
      <c r="BQ16" s="15">
        <f t="shared" si="11"/>
        <v>25.537516940319577</v>
      </c>
    </row>
    <row r="17" spans="1:69" x14ac:dyDescent="0.25">
      <c r="A17">
        <v>16</v>
      </c>
      <c r="B17" t="s">
        <v>18</v>
      </c>
      <c r="J17" s="24"/>
      <c r="K17" s="15">
        <f>_xll.BDP($B17,"interval_rsi","tech_studies_param1_override",14)</f>
        <v>39.943646671335806</v>
      </c>
      <c r="L17" s="15">
        <f t="shared" si="0"/>
        <v>52.525531939815814</v>
      </c>
      <c r="M17">
        <f t="shared" si="12"/>
        <v>0</v>
      </c>
      <c r="N17" cm="1">
        <f t="array" ref="N17">IFERROR(VALUE(_xll.BDP($B17,"px_last")),"")</f>
        <v>456.81</v>
      </c>
      <c r="O17">
        <f t="shared" si="1"/>
        <v>6941.47</v>
      </c>
      <c r="P17" cm="1">
        <f t="array" ref="P17">IFERROR(VALUE(_xll.BDP($B17,"PX_YEST_CLOSE")),"")</f>
        <v>472.92</v>
      </c>
      <c r="Q17">
        <f t="shared" si="2"/>
        <v>6941.81</v>
      </c>
      <c r="R17">
        <f t="shared" si="13"/>
        <v>6.5808827236882098E-2</v>
      </c>
      <c r="S17">
        <f t="shared" si="14"/>
        <v>6.8126324402425303E-2</v>
      </c>
      <c r="T17" cm="1">
        <f t="array" ref="T17">IFERROR(VALUE(_xll.BDP($B17,"INTERVAL_MAE_MOV_AVG","CALC_INTERVAL","520D","TECH_STUDIES_PARAM1_OVERRIDE",50,"USE_PREVIOUS_BUSINESS_DAY","N")),"")</f>
        <v>608.28109995117165</v>
      </c>
      <c r="U17">
        <f t="shared" si="3"/>
        <v>6894.0953999999992</v>
      </c>
      <c r="V17" cm="1">
        <f t="array" ref="V17">IFERROR(VALUE(_xll.BDP($B17,"INTERVAL_MAE_MOV_AVG","CALC_INTERVAL","520D","TECH_STUDIES_PARAM1_OVERRIDE",50,"USE_PREVIOUS_BUSINESS_DAY","Y")),"")</f>
        <v>611.13449999999978</v>
      </c>
      <c r="W17">
        <f t="shared" si="4"/>
        <v>6892.2477999999992</v>
      </c>
      <c r="X17">
        <f t="shared" si="15"/>
        <v>8.8232184885514015E-2</v>
      </c>
      <c r="Y17">
        <f t="shared" si="16"/>
        <v>8.8669838597503686E-2</v>
      </c>
      <c r="Z17" s="11" t="str">
        <f t="shared" si="17"/>
        <v>NEGATIVE</v>
      </c>
      <c r="AA17" s="11" t="str">
        <f t="shared" si="18"/>
        <v/>
      </c>
      <c r="AB17" s="11" t="str">
        <f t="shared" si="19"/>
        <v>DOWN</v>
      </c>
      <c r="AC17" s="6" t="str">
        <f t="shared" si="20"/>
        <v>NEGATIVE</v>
      </c>
      <c r="AD17" cm="1">
        <f t="array" ref="AD17">IFERROR(VALUE(_xll.BDP($B17,"INTERVAL_MAE_MOV_AVG","CALC_INTERVAL","520D","TECH_STUDIES_PARAM1_OVERRIDE",65,"USE_PREVIOUS_BUSINESS_DAY","N")),"")</f>
        <v>598.72330765474749</v>
      </c>
      <c r="AE17">
        <f t="shared" si="5"/>
        <v>6856.0226153846133</v>
      </c>
      <c r="AF17" cm="1">
        <f t="array" ref="AF17">IFERROR(VALUE(_xll.BDP($B17,"INTERVAL_MAE_MOV_AVG","CALC_INTERVAL","520D","TECH_STUDIES_PARAM1_OVERRIDE",65,"USE_PREVIOUS_BUSINESS_DAY","Y")),"")</f>
        <v>601.25484615384596</v>
      </c>
      <c r="AG17">
        <f t="shared" si="6"/>
        <v>6852.6203076923057</v>
      </c>
      <c r="AH17">
        <f t="shared" si="21"/>
        <v>8.7328082365311741E-2</v>
      </c>
      <c r="AI17">
        <f t="shared" si="22"/>
        <v>8.774086687378789E-2</v>
      </c>
      <c r="AJ17" s="10" t="str">
        <f t="shared" si="23"/>
        <v>DOWN</v>
      </c>
      <c r="AK17" s="10" t="str">
        <f t="shared" si="24"/>
        <v>DOWN</v>
      </c>
      <c r="AL17" s="6" t="str">
        <f t="shared" si="25"/>
        <v>NEGATIVE</v>
      </c>
      <c r="AM17" cm="1">
        <f t="array" ref="AM17">IFERROR(VALUE(_xll.BDP($B17,"INTERVAL_MAE_MOV_AVG","CALC_INTERVAL","65W","PERIODICITY_OVERRIDE","W","TECH_STUDIES_PARAM1_OVERRIDE",39,"USE_PREVIOUS_BUSINESS_DAY","N")),"")</f>
        <v>514.87179480919451</v>
      </c>
      <c r="AN17">
        <f t="shared" si="7"/>
        <v>6560.7735897435905</v>
      </c>
      <c r="AO17" cm="1">
        <f t="array" ref="AO17">IFERROR(VALUE(_xll.BDP($B17,"INTERVAL_MAE_MOV_AVG","CALC_INTERVAL","65W","PERIODICITY_OVERRIDE","W","TECH_STUDIES_PARAM1_OVERRIDE",39,"USE_PREVIOUS_BUSINESS_DAY","Y")),"")</f>
        <v>515.28487179487172</v>
      </c>
      <c r="AP17">
        <f t="shared" si="8"/>
        <v>6560.7823076923087</v>
      </c>
      <c r="AQ17">
        <f t="shared" si="26"/>
        <v>7.8477299630349967E-2</v>
      </c>
      <c r="AR17">
        <f t="shared" si="27"/>
        <v>7.8540156894204002E-2</v>
      </c>
      <c r="AS17" s="10" t="str">
        <f t="shared" si="28"/>
        <v>DOWN</v>
      </c>
      <c r="AT17" s="10" t="str">
        <f t="shared" si="29"/>
        <v>DOWN</v>
      </c>
      <c r="AU17" s="6" t="str">
        <f t="shared" si="30"/>
        <v>NEGATIVE</v>
      </c>
      <c r="AV17" cm="1">
        <f t="array" ref="AV17">IFERROR(VALUE(_xll.BDP($B17,"INTERVAL_exp_MOV_AVG","CALC_INTERVAL","520D","TECH_STUDIES_PARAM1_OVERRIDE",100,"USE_PREVIOUS_BUSINESS_DAY","N")),"")</f>
        <v>564.26359765054781</v>
      </c>
      <c r="AW17">
        <f t="shared" si="9"/>
        <v>6773.0064518682802</v>
      </c>
      <c r="AX17" cm="1">
        <f t="array" ref="AX17">IFERROR(VALUE(_xll.BDP($B17,"INTERVAL_exp_MOV_AVG","CALC_INTERVAL","520D","TECH_STUDIES_PARAM1_OVERRIDE",100,"USE_PREVIOUS_BUSINESS_DAY","Y")),"")</f>
        <v>566.43436317358669</v>
      </c>
      <c r="AY17">
        <f t="shared" si="10"/>
        <v>6769.6039787132295</v>
      </c>
      <c r="AZ17">
        <f t="shared" si="31"/>
        <v>8.3310654088466163E-2</v>
      </c>
      <c r="BA17">
        <f t="shared" si="32"/>
        <v>8.3673190478308429E-2</v>
      </c>
      <c r="BB17" s="11" t="str">
        <f t="shared" si="33"/>
        <v>DOWN</v>
      </c>
      <c r="BC17" s="11" t="str">
        <f t="shared" si="34"/>
        <v>DOWN</v>
      </c>
      <c r="BD17" s="6" t="str">
        <f t="shared" si="35"/>
        <v>NEGATIVE</v>
      </c>
      <c r="BE17" s="12" cm="1">
        <f t="array" ref="BE17">_xll.BDP($B17, "INTERVAL_RSI", "TECH_STUDIES_PARAM1_OVERRIDE", "5", "PERIODICITY_OVERRIDE", "W")</f>
        <v>33.183563036086824</v>
      </c>
      <c r="BF17" cm="1">
        <f t="array" ref="BF17">IFERROR(VALUE(_xll.BDP($B17,"INTERVAL_MAE_MOV_AVG","CALC_INTERVAL","520D","TECH_STUDIES_PARAM1_OVERRIDE",31,"USE_PREVIOUS_BUSINESS_DAY","N")),"")</f>
        <v>556.93903217930949</v>
      </c>
      <c r="BG17" cm="1">
        <f t="array" ref="BG17">IFERROR(VALUE(_xll.BDP($B17,"INTERVAL_MAE_MOV_AVG","CALC_INTERVAL","760D","TECH_STUDIES_PARAM1_OVERRIDE",200,"USE_PREVIOUS_BUSINESS_DAY","N")),"")</f>
        <v>503.07914998779262</v>
      </c>
      <c r="BH17" s="13">
        <f t="shared" si="36"/>
        <v>-0.17978454802764199</v>
      </c>
      <c r="BI17" s="13">
        <f t="shared" si="37"/>
        <v>-0.24901497015661123</v>
      </c>
      <c r="BJ17" s="13">
        <f t="shared" si="38"/>
        <v>-9.1971909368367522E-2</v>
      </c>
      <c r="BK17" s="32" cm="1">
        <f t="array" ref="BK17">VALUE(_xll.BDP($B17,"INTERVAL_DATE_OF_CALC_HI","CALC_INTERVAL","3M"))</f>
        <v>46013</v>
      </c>
      <c r="BL17" s="32" cm="1">
        <f t="array" ref="BL17">VALUE(_xll.BDP($B17,"INTERVAL_DATE_OF_CALC_LO","CALC_INTERVAL","3M"))</f>
        <v>46058</v>
      </c>
      <c r="BM17" s="32" cm="1">
        <f t="array" ref="BM17">VALUE(_xll.BDP($B17,"INTERVAL_DATE_OF_CALC_HI","CALC_INTERVAL","1M"))</f>
        <v>46035</v>
      </c>
      <c r="BN17" s="32" cm="1">
        <f t="array" ref="BN17">VALUE(_xll.BDP($B17,"INTERVAL_DATE_OF_CALC_LO","CALC_INTERVAL","1M"))</f>
        <v>46058</v>
      </c>
      <c r="BO17" s="15">
        <f>IFERROR(VLOOKUP($F17,PIVOT!$A:$C,2,FALSE),0)</f>
        <v>0</v>
      </c>
      <c r="BP17" s="15">
        <f>IFERROR(VLOOKUP($F17,PIVOT!$A:$C,3,FALSE),0)</f>
        <v>0</v>
      </c>
      <c r="BQ17" s="15">
        <f t="shared" si="11"/>
        <v>39.943646671335806</v>
      </c>
    </row>
    <row r="18" spans="1:69" x14ac:dyDescent="0.25">
      <c r="A18">
        <v>17</v>
      </c>
      <c r="B18" t="s">
        <v>20</v>
      </c>
      <c r="J18" s="24"/>
      <c r="K18" s="15">
        <f>_xll.BDP($B18,"interval_rsi","tech_studies_param1_override",14)</f>
        <v>63.506121404327132</v>
      </c>
      <c r="L18" s="15">
        <f t="shared" si="0"/>
        <v>52.525531939815814</v>
      </c>
      <c r="M18">
        <f t="shared" si="12"/>
        <v>1</v>
      </c>
      <c r="N18" cm="1">
        <f t="array" ref="N18">IFERROR(VALUE(_xll.BDP($B18,"px_last")),"")</f>
        <v>125.28</v>
      </c>
      <c r="O18">
        <f t="shared" si="1"/>
        <v>6941.47</v>
      </c>
      <c r="P18" cm="1">
        <f t="array" ref="P18">IFERROR(VALUE(_xll.BDP($B18,"PX_YEST_CLOSE")),"")</f>
        <v>125.95</v>
      </c>
      <c r="Q18">
        <f t="shared" si="2"/>
        <v>6941.81</v>
      </c>
      <c r="R18">
        <f t="shared" si="13"/>
        <v>1.8048050340922023E-2</v>
      </c>
      <c r="S18">
        <f t="shared" si="14"/>
        <v>1.8143682987578166E-2</v>
      </c>
      <c r="T18" cm="1">
        <f t="array" ref="T18">IFERROR(VALUE(_xll.BDP($B18,"INTERVAL_MAE_MOV_AVG","CALC_INTERVAL","520D","TECH_STUDIES_PARAM1_OVERRIDE",50,"USE_PREVIOUS_BUSINESS_DAY","N")),"")</f>
        <v>118.12879997558598</v>
      </c>
      <c r="U18">
        <f t="shared" si="3"/>
        <v>6894.0953999999992</v>
      </c>
      <c r="V18" cm="1">
        <f t="array" ref="V18">IFERROR(VALUE(_xll.BDP($B18,"INTERVAL_MAE_MOV_AVG","CALC_INTERVAL","520D","TECH_STUDIES_PARAM1_OVERRIDE",50,"USE_PREVIOUS_BUSINESS_DAY","Y")),"")</f>
        <v>118.33440000000004</v>
      </c>
      <c r="W18">
        <f t="shared" si="4"/>
        <v>6892.2477999999992</v>
      </c>
      <c r="X18">
        <f t="shared" si="15"/>
        <v>1.7134778839234803E-2</v>
      </c>
      <c r="Y18">
        <f t="shared" si="16"/>
        <v>1.7169202767201734E-2</v>
      </c>
      <c r="Z18" s="11" t="str">
        <f t="shared" si="17"/>
        <v>POSITIVE</v>
      </c>
      <c r="AA18" s="11" t="str">
        <f t="shared" si="18"/>
        <v/>
      </c>
      <c r="AB18" s="11" t="str">
        <f t="shared" si="19"/>
        <v>DOWN</v>
      </c>
      <c r="AC18" s="6" t="str">
        <f t="shared" si="20"/>
        <v>POSITIVE</v>
      </c>
      <c r="AD18" cm="1">
        <f t="array" ref="AD18">IFERROR(VALUE(_xll.BDP($B18,"INTERVAL_MAE_MOV_AVG","CALC_INTERVAL","520D","TECH_STUDIES_PARAM1_OVERRIDE",65,"USE_PREVIOUS_BUSINESS_DAY","N")),"")</f>
        <v>123.13753844275844</v>
      </c>
      <c r="AE18">
        <f t="shared" si="5"/>
        <v>6856.0226153846133</v>
      </c>
      <c r="AF18" cm="1">
        <f t="array" ref="AF18">IFERROR(VALUE(_xll.BDP($B18,"INTERVAL_MAE_MOV_AVG","CALC_INTERVAL","520D","TECH_STUDIES_PARAM1_OVERRIDE",65,"USE_PREVIOUS_BUSINESS_DAY","Y")),"")</f>
        <v>123.64476923076926</v>
      </c>
      <c r="AG18">
        <f t="shared" si="6"/>
        <v>6852.6203076923057</v>
      </c>
      <c r="AH18">
        <f t="shared" si="21"/>
        <v>1.7960491869796813E-2</v>
      </c>
      <c r="AI18">
        <f t="shared" si="22"/>
        <v>1.8043429181677218E-2</v>
      </c>
      <c r="AJ18" s="10" t="str">
        <f t="shared" si="23"/>
        <v>DOWN</v>
      </c>
      <c r="AK18" s="10" t="str">
        <f t="shared" si="24"/>
        <v>DOWN</v>
      </c>
      <c r="AL18" s="6" t="str">
        <f t="shared" si="25"/>
        <v>POSITIVE</v>
      </c>
      <c r="AM18" cm="1">
        <f t="array" ref="AM18">IFERROR(VALUE(_xll.BDP($B18,"INTERVAL_MAE_MOV_AVG","CALC_INTERVAL","65W","PERIODICITY_OVERRIDE","W","TECH_STUDIES_PARAM1_OVERRIDE",39,"USE_PREVIOUS_BUSINESS_DAY","N")),"")</f>
        <v>138.11358971228964</v>
      </c>
      <c r="AN18">
        <f t="shared" si="7"/>
        <v>6560.7735897435905</v>
      </c>
      <c r="AO18" cm="1">
        <f t="array" ref="AO18">IFERROR(VALUE(_xll.BDP($B18,"INTERVAL_MAE_MOV_AVG","CALC_INTERVAL","65W","PERIODICITY_OVERRIDE","W","TECH_STUDIES_PARAM1_OVERRIDE",39,"USE_PREVIOUS_BUSINESS_DAY","Y")),"")</f>
        <v>138.13076923076918</v>
      </c>
      <c r="AP18">
        <f t="shared" si="8"/>
        <v>6560.7823076923087</v>
      </c>
      <c r="AQ18">
        <f t="shared" si="26"/>
        <v>2.1051418376668508E-2</v>
      </c>
      <c r="AR18">
        <f t="shared" si="27"/>
        <v>2.1054008920371469E-2</v>
      </c>
      <c r="AS18" s="10" t="str">
        <f t="shared" si="28"/>
        <v>DOWN</v>
      </c>
      <c r="AT18" s="10" t="str">
        <f t="shared" si="29"/>
        <v>DOWN</v>
      </c>
      <c r="AU18" s="6" t="str">
        <f t="shared" si="30"/>
        <v>NEGATIVE</v>
      </c>
      <c r="AV18" cm="1">
        <f t="array" ref="AV18">IFERROR(VALUE(_xll.BDP($B18,"INTERVAL_exp_MOV_AVG","CALC_INTERVAL","520D","TECH_STUDIES_PARAM1_OVERRIDE",100,"USE_PREVIOUS_BUSINESS_DAY","N")),"")</f>
        <v>128.08882119876583</v>
      </c>
      <c r="AW18">
        <f t="shared" si="9"/>
        <v>6773.0064518682802</v>
      </c>
      <c r="AX18" cm="1">
        <f t="array" ref="AX18">IFERROR(VALUE(_xll.BDP($B18,"INTERVAL_exp_MOV_AVG","CALC_INTERVAL","520D","TECH_STUDIES_PARAM1_OVERRIDE",100,"USE_PREVIOUS_BUSINESS_DAY","Y")),"")</f>
        <v>128.14552225563182</v>
      </c>
      <c r="AY18">
        <f t="shared" si="10"/>
        <v>6769.6039787132295</v>
      </c>
      <c r="AZ18">
        <f t="shared" si="31"/>
        <v>1.8911663839244319E-2</v>
      </c>
      <c r="BA18">
        <f t="shared" si="32"/>
        <v>1.8929544868293728E-2</v>
      </c>
      <c r="BB18" s="11" t="str">
        <f t="shared" si="33"/>
        <v>DOWN</v>
      </c>
      <c r="BC18" s="11" t="str">
        <f t="shared" si="34"/>
        <v>DOWN</v>
      </c>
      <c r="BD18" s="6" t="str">
        <f t="shared" si="35"/>
        <v>NEGATIVE</v>
      </c>
      <c r="BE18" s="12" cm="1">
        <f t="array" ref="BE18">_xll.BDP($B18, "INTERVAL_RSI", "TECH_STUDIES_PARAM1_OVERRIDE", "5", "PERIODICITY_OVERRIDE", "W")</f>
        <v>58.195697202044521</v>
      </c>
      <c r="BF18" cm="1">
        <f t="array" ref="BF18">IFERROR(VALUE(_xll.BDP($B18,"INTERVAL_MAE_MOV_AVG","CALC_INTERVAL","520D","TECH_STUDIES_PARAM1_OVERRIDE",31,"USE_PREVIOUS_BUSINESS_DAY","N")),"")</f>
        <v>112.54774189610636</v>
      </c>
      <c r="BG18" cm="1">
        <f t="array" ref="BG18">IFERROR(VALUE(_xll.BDP($B18,"INTERVAL_MAE_MOV_AVG","CALC_INTERVAL","760D","TECH_STUDIES_PARAM1_OVERRIDE",200,"USE_PREVIOUS_BUSINESS_DAY","N")),"")</f>
        <v>138.28127499389655</v>
      </c>
      <c r="BH18" s="13">
        <f t="shared" si="36"/>
        <v>0.11312761934972348</v>
      </c>
      <c r="BI18" s="13">
        <f t="shared" si="37"/>
        <v>6.053731203476187E-2</v>
      </c>
      <c r="BJ18" s="13">
        <f t="shared" si="38"/>
        <v>-9.4020502735966183E-2</v>
      </c>
      <c r="BK18" s="32" cm="1">
        <f t="array" ref="BK18">VALUE(_xll.BDP($B18,"INTERVAL_DATE_OF_CALC_HI","CALC_INTERVAL","3M"))</f>
        <v>45972</v>
      </c>
      <c r="BL18" s="32" cm="1">
        <f t="array" ref="BL18">VALUE(_xll.BDP($B18,"INTERVAL_DATE_OF_CALC_LO","CALC_INTERVAL","3M"))</f>
        <v>46056</v>
      </c>
      <c r="BM18" s="32" cm="1">
        <f t="array" ref="BM18">VALUE(_xll.BDP($B18,"INTERVAL_DATE_OF_CALC_HI","CALC_INTERVAL","1M"))</f>
        <v>46063</v>
      </c>
      <c r="BN18" s="32" cm="1">
        <f t="array" ref="BN18">VALUE(_xll.BDP($B18,"INTERVAL_DATE_OF_CALC_LO","CALC_INTERVAL","1M"))</f>
        <v>46056</v>
      </c>
      <c r="BO18" s="15">
        <f>IFERROR(VLOOKUP($F18,PIVOT!$A:$C,2,FALSE),0)</f>
        <v>0</v>
      </c>
      <c r="BP18" s="15">
        <f>IFERROR(VLOOKUP($F18,PIVOT!$A:$C,3,FALSE),0)</f>
        <v>0</v>
      </c>
      <c r="BQ18" s="15">
        <f t="shared" si="11"/>
        <v>63.506121404327132</v>
      </c>
    </row>
    <row r="19" spans="1:69" x14ac:dyDescent="0.25">
      <c r="A19">
        <v>18</v>
      </c>
      <c r="B19" t="s">
        <v>21</v>
      </c>
      <c r="J19" s="24"/>
      <c r="K19" s="15">
        <f>_xll.BDP($B19,"interval_rsi","tech_studies_param1_override",14)</f>
        <v>62.668865857936559</v>
      </c>
      <c r="L19" s="15">
        <f t="shared" si="0"/>
        <v>52.525531939815814</v>
      </c>
      <c r="M19">
        <f t="shared" si="12"/>
        <v>1</v>
      </c>
      <c r="N19" cm="1">
        <f t="array" ref="N19">IFERROR(VALUE(_xll.BDP($B19,"px_last")),"")</f>
        <v>1435.63</v>
      </c>
      <c r="O19">
        <f t="shared" si="1"/>
        <v>6941.47</v>
      </c>
      <c r="P19" cm="1">
        <f t="array" ref="P19">IFERROR(VALUE(_xll.BDP($B19,"PX_YEST_CLOSE")),"")</f>
        <v>1413.62</v>
      </c>
      <c r="Q19">
        <f t="shared" si="2"/>
        <v>6941.81</v>
      </c>
      <c r="R19">
        <f t="shared" si="13"/>
        <v>0.20681930484465108</v>
      </c>
      <c r="S19">
        <f t="shared" si="14"/>
        <v>0.20363853231361848</v>
      </c>
      <c r="T19" cm="1">
        <f t="array" ref="T19">IFERROR(VALUE(_xll.BDP($B19,"INTERVAL_MAE_MOV_AVG","CALC_INTERVAL","520D","TECH_STUDIES_PARAM1_OVERRIDE",50,"USE_PREVIOUS_BUSINESS_DAY","N")),"")</f>
        <v>1229.0690513978559</v>
      </c>
      <c r="U19">
        <f t="shared" si="3"/>
        <v>6894.0953999999992</v>
      </c>
      <c r="V19" cm="1">
        <f t="array" ref="V19">IFERROR(VALUE(_xll.BDP($B19,"INTERVAL_MAE_MOV_AVG","CALC_INTERVAL","520D","TECH_STUDIES_PARAM1_OVERRIDE",50,"USE_PREVIOUS_BUSINESS_DAY","Y")),"")</f>
        <v>1221.5281705001996</v>
      </c>
      <c r="W19">
        <f t="shared" si="4"/>
        <v>6892.2477999999992</v>
      </c>
      <c r="X19">
        <f t="shared" si="15"/>
        <v>0.17827850937453751</v>
      </c>
      <c r="Y19">
        <f t="shared" si="16"/>
        <v>0.17723218983800898</v>
      </c>
      <c r="Z19" s="11" t="str">
        <f t="shared" si="17"/>
        <v>POSITIVE</v>
      </c>
      <c r="AA19" s="11" t="str">
        <f t="shared" si="18"/>
        <v/>
      </c>
      <c r="AB19" s="11" t="str">
        <f t="shared" si="19"/>
        <v>UP</v>
      </c>
      <c r="AC19" s="6" t="str">
        <f t="shared" si="20"/>
        <v>POSITIVE</v>
      </c>
      <c r="AD19" cm="1">
        <f t="array" ref="AD19">IFERROR(VALUE(_xll.BDP($B19,"INTERVAL_MAE_MOV_AVG","CALC_INTERVAL","520D","TECH_STUDIES_PARAM1_OVERRIDE",65,"USE_PREVIOUS_BUSINESS_DAY","N")),"")</f>
        <v>1179.6686965075814</v>
      </c>
      <c r="AE19">
        <f t="shared" si="5"/>
        <v>6856.0226153846133</v>
      </c>
      <c r="AF19" cm="1">
        <f t="array" ref="AF19">IFERROR(VALUE(_xll.BDP($B19,"INTERVAL_MAE_MOV_AVG","CALC_INTERVAL","520D","TECH_STUDIES_PARAM1_OVERRIDE",65,"USE_PREVIOUS_BUSINESS_DAY","Y")),"")</f>
        <v>1173.3948048509228</v>
      </c>
      <c r="AG19">
        <f t="shared" si="6"/>
        <v>6852.6203076923057</v>
      </c>
      <c r="AH19">
        <f t="shared" si="21"/>
        <v>0.17206312795124928</v>
      </c>
      <c r="AI19">
        <f t="shared" si="22"/>
        <v>0.17123301046371214</v>
      </c>
      <c r="AJ19" s="10" t="str">
        <f t="shared" si="23"/>
        <v>UP</v>
      </c>
      <c r="AK19" s="10" t="str">
        <f t="shared" si="24"/>
        <v>UP</v>
      </c>
      <c r="AL19" s="6" t="str">
        <f t="shared" si="25"/>
        <v>POSITIVE</v>
      </c>
      <c r="AM19" cm="1">
        <f t="array" ref="AM19">IFERROR(VALUE(_xll.BDP($B19,"INTERVAL_MAE_MOV_AVG","CALC_INTERVAL","65W","PERIODICITY_OVERRIDE","W","TECH_STUDIES_PARAM1_OVERRIDE",39,"USE_PREVIOUS_BUSINESS_DAY","N")),"")</f>
        <v>961.92484695970688</v>
      </c>
      <c r="AN19">
        <f t="shared" si="7"/>
        <v>6560.7735897435905</v>
      </c>
      <c r="AO19" cm="1">
        <f t="array" ref="AO19">IFERROR(VALUE(_xll.BDP($B19,"INTERVAL_MAE_MOV_AVG","CALC_INTERVAL","65W","PERIODICITY_OVERRIDE","W","TECH_STUDIES_PARAM1_OVERRIDE",39,"USE_PREVIOUS_BUSINESS_DAY","Y")),"")</f>
        <v>961.3604878601476</v>
      </c>
      <c r="AP19">
        <f t="shared" si="8"/>
        <v>6560.7823076923087</v>
      </c>
      <c r="AQ19">
        <f t="shared" si="26"/>
        <v>0.14661759528837834</v>
      </c>
      <c r="AR19">
        <f t="shared" si="27"/>
        <v>0.14653138037105468</v>
      </c>
      <c r="AS19" s="10" t="str">
        <f t="shared" si="28"/>
        <v>UP</v>
      </c>
      <c r="AT19" s="10" t="str">
        <f t="shared" si="29"/>
        <v>UP</v>
      </c>
      <c r="AU19" s="6" t="str">
        <f t="shared" si="30"/>
        <v>POSITIVE</v>
      </c>
      <c r="AV19" cm="1">
        <f t="array" ref="AV19">IFERROR(VALUE(_xll.BDP($B19,"INTERVAL_exp_MOV_AVG","CALC_INTERVAL","520D","TECH_STUDIES_PARAM1_OVERRIDE",100,"USE_PREVIOUS_BUSINESS_DAY","N")),"")</f>
        <v>1138.6055791425056</v>
      </c>
      <c r="AW19">
        <f t="shared" si="9"/>
        <v>6773.0064518682802</v>
      </c>
      <c r="AX19" cm="1">
        <f t="array" ref="AX19">IFERROR(VALUE(_xll.BDP($B19,"INTERVAL_exp_MOV_AVG","CALC_INTERVAL","520D","TECH_STUDIES_PARAM1_OVERRIDE",100,"USE_PREVIOUS_BUSINESS_DAY","Y")),"")</f>
        <v>1132.6049099550987</v>
      </c>
      <c r="AY19">
        <f t="shared" si="10"/>
        <v>6769.6039787132295</v>
      </c>
      <c r="AZ19">
        <f t="shared" si="31"/>
        <v>0.16810933035925726</v>
      </c>
      <c r="BA19">
        <f t="shared" si="32"/>
        <v>0.16730741022909659</v>
      </c>
      <c r="BB19" s="11" t="str">
        <f t="shared" si="33"/>
        <v>UP</v>
      </c>
      <c r="BC19" s="11" t="str">
        <f t="shared" si="34"/>
        <v>UP</v>
      </c>
      <c r="BD19" s="6" t="str">
        <f t="shared" si="35"/>
        <v>POSITIVE</v>
      </c>
      <c r="BE19" s="12" cm="1">
        <f t="array" ref="BE19">_xll.BDP($B19, "INTERVAL_RSI", "TECH_STUDIES_PARAM1_OVERRIDE", "5", "PERIODICITY_OVERRIDE", "W")</f>
        <v>89.125334245372329</v>
      </c>
      <c r="BF19" cm="1">
        <f t="array" ref="BF19">IFERROR(VALUE(_xll.BDP($B19,"INTERVAL_MAE_MOV_AVG","CALC_INTERVAL","520D","TECH_STUDIES_PARAM1_OVERRIDE",31,"USE_PREVIOUS_BUSINESS_DAY","N")),"")</f>
        <v>1317.7701007513808</v>
      </c>
      <c r="BG19" cm="1">
        <f t="array" ref="BG19">IFERROR(VALUE(_xll.BDP($B19,"INTERVAL_MAE_MOV_AVG","CALC_INTERVAL","760D","TECH_STUDIES_PARAM1_OVERRIDE",200,"USE_PREVIOUS_BUSINESS_DAY","N")),"")</f>
        <v>935.11513414809531</v>
      </c>
      <c r="BH19" s="13">
        <f t="shared" si="36"/>
        <v>8.943889315853859E-2</v>
      </c>
      <c r="BI19" s="13">
        <f t="shared" si="37"/>
        <v>0.16806293215764923</v>
      </c>
      <c r="BJ19" s="13">
        <f t="shared" si="38"/>
        <v>0.53524410799733424</v>
      </c>
      <c r="BK19" s="32" cm="1">
        <f t="array" ref="BK19">VALUE(_xll.BDP($B19,"INTERVAL_DATE_OF_CALC_HI","CALC_INTERVAL","3M"))</f>
        <v>46051</v>
      </c>
      <c r="BL19" s="32" cm="1">
        <f t="array" ref="BL19">VALUE(_xll.BDP($B19,"INTERVAL_DATE_OF_CALC_LO","CALC_INTERVAL","3M"))</f>
        <v>45982</v>
      </c>
      <c r="BM19" s="32" cm="1">
        <f t="array" ref="BM19">VALUE(_xll.BDP($B19,"INTERVAL_DATE_OF_CALC_HI","CALC_INTERVAL","1M"))</f>
        <v>46051</v>
      </c>
      <c r="BN19" s="32" cm="1">
        <f t="array" ref="BN19">VALUE(_xll.BDP($B19,"INTERVAL_DATE_OF_CALC_LO","CALC_INTERVAL","1M"))</f>
        <v>46036</v>
      </c>
      <c r="BO19" s="15">
        <f>IFERROR(VLOOKUP($F19,PIVOT!$A:$C,2,FALSE),0)</f>
        <v>0</v>
      </c>
      <c r="BP19" s="15">
        <f>IFERROR(VLOOKUP($F19,PIVOT!$A:$C,3,FALSE),0)</f>
        <v>0</v>
      </c>
      <c r="BQ19" s="15">
        <f t="shared" si="11"/>
        <v>62.668865857936559</v>
      </c>
    </row>
    <row r="20" spans="1:69" x14ac:dyDescent="0.25">
      <c r="A20">
        <v>19</v>
      </c>
      <c r="B20" t="s">
        <v>22</v>
      </c>
      <c r="J20" s="24"/>
      <c r="K20" s="15">
        <f>_xll.BDP($B20,"interval_rsi","tech_studies_param1_override",14)</f>
        <v>53.967430281220786</v>
      </c>
      <c r="L20" s="15">
        <f t="shared" si="0"/>
        <v>52.525531939815814</v>
      </c>
      <c r="M20">
        <f t="shared" si="12"/>
        <v>0</v>
      </c>
      <c r="N20" cm="1">
        <f t="array" ref="N20">IFERROR(VALUE(_xll.BDP($B20,"px_last")),"")</f>
        <v>342.76</v>
      </c>
      <c r="O20">
        <f t="shared" si="1"/>
        <v>6941.47</v>
      </c>
      <c r="P20" cm="1">
        <f t="array" ref="P20">IFERROR(VALUE(_xll.BDP($B20,"PX_YEST_CLOSE")),"")</f>
        <v>340.44</v>
      </c>
      <c r="Q20">
        <f t="shared" si="2"/>
        <v>6941.81</v>
      </c>
      <c r="R20">
        <f t="shared" si="13"/>
        <v>4.937858983759924E-2</v>
      </c>
      <c r="S20">
        <f t="shared" si="14"/>
        <v>4.9041964559675355E-2</v>
      </c>
      <c r="T20" cm="1">
        <f t="array" ref="T20">IFERROR(VALUE(_xll.BDP($B20,"INTERVAL_MAE_MOV_AVG","CALC_INTERVAL","520D","TECH_STUDIES_PARAM1_OVERRIDE",50,"USE_PREVIOUS_BUSINESS_DAY","N")),"")</f>
        <v>347.96930820331255</v>
      </c>
      <c r="U20">
        <f t="shared" si="3"/>
        <v>6894.0953999999992</v>
      </c>
      <c r="V20" cm="1">
        <f t="array" ref="V20">IFERROR(VALUE(_xll.BDP($B20,"INTERVAL_MAE_MOV_AVG","CALC_INTERVAL","520D","TECH_STUDIES_PARAM1_OVERRIDE",50,"USE_PREVIOUS_BUSINESS_DAY","Y")),"")</f>
        <v>349.15791493599994</v>
      </c>
      <c r="W20">
        <f t="shared" si="4"/>
        <v>6892.2477999999992</v>
      </c>
      <c r="X20">
        <f t="shared" si="15"/>
        <v>5.0473526694062368E-2</v>
      </c>
      <c r="Y20">
        <f t="shared" si="16"/>
        <v>5.0659512697149398E-2</v>
      </c>
      <c r="Z20" s="11" t="str">
        <f t="shared" si="17"/>
        <v>NEGATIVE</v>
      </c>
      <c r="AA20" s="11" t="str">
        <f t="shared" si="18"/>
        <v/>
      </c>
      <c r="AB20" s="11" t="str">
        <f t="shared" si="19"/>
        <v>DOWN</v>
      </c>
      <c r="AC20" s="6" t="str">
        <f t="shared" si="20"/>
        <v>NEGATIVE</v>
      </c>
      <c r="AD20" cm="1">
        <f t="array" ref="AD20">IFERROR(VALUE(_xll.BDP($B20,"INTERVAL_MAE_MOV_AVG","CALC_INTERVAL","520D","TECH_STUDIES_PARAM1_OVERRIDE",65,"USE_PREVIOUS_BUSINESS_DAY","N")),"")</f>
        <v>350.3650616871634</v>
      </c>
      <c r="AE20">
        <f t="shared" si="5"/>
        <v>6856.0226153846133</v>
      </c>
      <c r="AF20" cm="1">
        <f t="array" ref="AF20">IFERROR(VALUE(_xll.BDP($B20,"INTERVAL_MAE_MOV_AVG","CALC_INTERVAL","520D","TECH_STUDIES_PARAM1_OVERRIDE",65,"USE_PREVIOUS_BUSINESS_DAY","Y")),"")</f>
        <v>350.55199727692298</v>
      </c>
      <c r="AG20">
        <f t="shared" si="6"/>
        <v>6852.6203076923057</v>
      </c>
      <c r="AH20">
        <f t="shared" si="21"/>
        <v>5.1103253495832938E-2</v>
      </c>
      <c r="AI20">
        <f t="shared" si="22"/>
        <v>5.1155905556800822E-2</v>
      </c>
      <c r="AJ20" s="10" t="str">
        <f t="shared" si="23"/>
        <v>DOWN</v>
      </c>
      <c r="AK20" s="10" t="str">
        <f t="shared" si="24"/>
        <v>DOWN</v>
      </c>
      <c r="AL20" s="6" t="str">
        <f t="shared" si="25"/>
        <v>NEGATIVE</v>
      </c>
      <c r="AM20" cm="1">
        <f t="array" ref="AM20">IFERROR(VALUE(_xll.BDP($B20,"INTERVAL_MAE_MOV_AVG","CALC_INTERVAL","65W","PERIODICITY_OVERRIDE","W","TECH_STUDIES_PARAM1_OVERRIDE",39,"USE_PREVIOUS_BUSINESS_DAY","N")),"")</f>
        <v>318.71566005883255</v>
      </c>
      <c r="AN20">
        <f t="shared" si="7"/>
        <v>6560.7735897435905</v>
      </c>
      <c r="AO20" cm="1">
        <f t="array" ref="AO20">IFERROR(VALUE(_xll.BDP($B20,"INTERVAL_MAE_MOV_AVG","CALC_INTERVAL","65W","PERIODICITY_OVERRIDE","W","TECH_STUDIES_PARAM1_OVERRIDE",39,"USE_PREVIOUS_BUSINESS_DAY","Y")),"")</f>
        <v>318.65617262894477</v>
      </c>
      <c r="AP20">
        <f t="shared" si="8"/>
        <v>6560.7823076923087</v>
      </c>
      <c r="AQ20">
        <f t="shared" si="26"/>
        <v>4.8578975588652901E-2</v>
      </c>
      <c r="AR20">
        <f t="shared" si="27"/>
        <v>4.8569843912566732E-2</v>
      </c>
      <c r="AS20" s="10" t="str">
        <f t="shared" si="28"/>
        <v>UP</v>
      </c>
      <c r="AT20" s="10" t="str">
        <f t="shared" si="29"/>
        <v>UP</v>
      </c>
      <c r="AU20" s="6" t="str">
        <f t="shared" si="30"/>
        <v>POSITIVE</v>
      </c>
      <c r="AV20" cm="1">
        <f t="array" ref="AV20">IFERROR(VALUE(_xll.BDP($B20,"INTERVAL_exp_MOV_AVG","CALC_INTERVAL","520D","TECH_STUDIES_PARAM1_OVERRIDE",100,"USE_PREVIOUS_BUSINESS_DAY","N")),"")</f>
        <v>336.95234224790067</v>
      </c>
      <c r="AW20">
        <f t="shared" si="9"/>
        <v>6773.0064518682802</v>
      </c>
      <c r="AX20" cm="1">
        <f t="array" ref="AX20">IFERROR(VALUE(_xll.BDP($B20,"INTERVAL_exp_MOV_AVG","CALC_INTERVAL","520D","TECH_STUDIES_PARAM1_OVERRIDE",100,"USE_PREVIOUS_BUSINESS_DAY","Y")),"")</f>
        <v>336.83504989630524</v>
      </c>
      <c r="AY20">
        <f t="shared" si="10"/>
        <v>6769.6039787132295</v>
      </c>
      <c r="AZ20">
        <f t="shared" si="31"/>
        <v>4.9749301826658536E-2</v>
      </c>
      <c r="BA20">
        <f t="shared" si="32"/>
        <v>4.9756980017659921E-2</v>
      </c>
      <c r="BB20" s="11" t="str">
        <f t="shared" si="33"/>
        <v>UP</v>
      </c>
      <c r="BC20" s="11" t="str">
        <f t="shared" si="34"/>
        <v>DOWN</v>
      </c>
      <c r="BD20" s="6" t="str">
        <f t="shared" si="35"/>
        <v>NEGATIVE</v>
      </c>
      <c r="BE20" s="12" cm="1">
        <f t="array" ref="BE20">_xll.BDP($B20, "INTERVAL_RSI", "TECH_STUDIES_PARAM1_OVERRIDE", "5", "PERIODICITY_OVERRIDE", "W")</f>
        <v>51.632717029178536</v>
      </c>
      <c r="BF20" cm="1">
        <f t="array" ref="BF20">IFERROR(VALUE(_xll.BDP($B20,"INTERVAL_MAE_MOV_AVG","CALC_INTERVAL","520D","TECH_STUDIES_PARAM1_OVERRIDE",31,"USE_PREVIOUS_BUSINESS_DAY","N")),"")</f>
        <v>336.53064547631055</v>
      </c>
      <c r="BG20" cm="1">
        <f t="array" ref="BG20">IFERROR(VALUE(_xll.BDP($B20,"INTERVAL_MAE_MOV_AVG","CALC_INTERVAL","760D","TECH_STUDIES_PARAM1_OVERRIDE",200,"USE_PREVIOUS_BUSINESS_DAY","N")),"")</f>
        <v>310.60645627641333</v>
      </c>
      <c r="BH20" s="13">
        <f t="shared" si="36"/>
        <v>1.851051191748887E-2</v>
      </c>
      <c r="BI20" s="13">
        <f t="shared" si="37"/>
        <v>-1.497059677535939E-2</v>
      </c>
      <c r="BJ20" s="13">
        <f t="shared" si="38"/>
        <v>0.10351859426570553</v>
      </c>
      <c r="BK20" s="32" cm="1">
        <f t="array" ref="BK20">VALUE(_xll.BDP($B20,"INTERVAL_DATE_OF_CALC_HI","CALC_INTERVAL","3M"))</f>
        <v>46001</v>
      </c>
      <c r="BL20" s="32" cm="1">
        <f t="array" ref="BL20">VALUE(_xll.BDP($B20,"INTERVAL_DATE_OF_CALC_LO","CALC_INTERVAL","3M"))</f>
        <v>46057</v>
      </c>
      <c r="BM20" s="32" cm="1">
        <f t="array" ref="BM20">VALUE(_xll.BDP($B20,"INTERVAL_DATE_OF_CALC_HI","CALC_INTERVAL","1M"))</f>
        <v>46035</v>
      </c>
      <c r="BN20" s="32" cm="1">
        <f t="array" ref="BN20">VALUE(_xll.BDP($B20,"INTERVAL_DATE_OF_CALC_LO","CALC_INTERVAL","1M"))</f>
        <v>46057</v>
      </c>
      <c r="BO20" s="15">
        <f>IFERROR(VLOOKUP($F20,PIVOT!$A:$C,2,FALSE),0)</f>
        <v>0</v>
      </c>
      <c r="BP20" s="15">
        <f>IFERROR(VLOOKUP($F20,PIVOT!$A:$C,3,FALSE),0)</f>
        <v>0</v>
      </c>
      <c r="BQ20" s="15">
        <f t="shared" si="11"/>
        <v>53.967430281220786</v>
      </c>
    </row>
    <row r="21" spans="1:69" x14ac:dyDescent="0.25">
      <c r="A21">
        <v>20</v>
      </c>
      <c r="B21" t="s">
        <v>23</v>
      </c>
      <c r="J21" s="24"/>
      <c r="K21" s="15">
        <f>_xll.BDP($B21,"interval_rsi","tech_studies_param1_override",14)</f>
        <v>30.430467516237442</v>
      </c>
      <c r="L21" s="15">
        <f t="shared" si="0"/>
        <v>52.525531939815814</v>
      </c>
      <c r="M21">
        <f t="shared" si="12"/>
        <v>0</v>
      </c>
      <c r="N21" cm="1">
        <f t="array" ref="N21">IFERROR(VALUE(_xll.BDP($B21,"px_last")),"")</f>
        <v>434.45</v>
      </c>
      <c r="O21">
        <f t="shared" si="1"/>
        <v>6941.47</v>
      </c>
      <c r="P21" cm="1">
        <f t="array" ref="P21">IFERROR(VALUE(_xll.BDP($B21,"PX_YEST_CLOSE")),"")</f>
        <v>446.97</v>
      </c>
      <c r="Q21">
        <f t="shared" si="2"/>
        <v>6941.81</v>
      </c>
      <c r="R21">
        <f t="shared" si="13"/>
        <v>6.2587607524054706E-2</v>
      </c>
      <c r="S21">
        <f t="shared" si="14"/>
        <v>6.4388106271995343E-2</v>
      </c>
      <c r="T21" cm="1">
        <f t="array" ref="T21">IFERROR(VALUE(_xll.BDP($B21,"INTERVAL_MAE_MOV_AVG","CALC_INTERVAL","520D","TECH_STUDIES_PARAM1_OVERRIDE",50,"USE_PREVIOUS_BUSINESS_DAY","N")),"")</f>
        <v>558.67340024414057</v>
      </c>
      <c r="U21">
        <f t="shared" si="3"/>
        <v>6894.0953999999992</v>
      </c>
      <c r="V21" cm="1">
        <f t="array" ref="V21">IFERROR(VALUE(_xll.BDP($B21,"INTERVAL_MAE_MOV_AVG","CALC_INTERVAL","520D","TECH_STUDIES_PARAM1_OVERRIDE",50,"USE_PREVIOUS_BUSINESS_DAY","Y")),"")</f>
        <v>560.78719999999998</v>
      </c>
      <c r="W21">
        <f t="shared" si="4"/>
        <v>6892.2477999999992</v>
      </c>
      <c r="X21">
        <f t="shared" si="15"/>
        <v>8.1036505564477779E-2</v>
      </c>
      <c r="Y21">
        <f t="shared" si="16"/>
        <v>8.1364921325086437E-2</v>
      </c>
      <c r="Z21" s="11" t="str">
        <f t="shared" si="17"/>
        <v>NEGATIVE</v>
      </c>
      <c r="AA21" s="11" t="str">
        <f t="shared" si="18"/>
        <v/>
      </c>
      <c r="AB21" s="11" t="str">
        <f t="shared" si="19"/>
        <v>DOWN</v>
      </c>
      <c r="AC21" s="6" t="str">
        <f t="shared" si="20"/>
        <v>NEGATIVE</v>
      </c>
      <c r="AD21" cm="1">
        <f t="array" ref="AD21">IFERROR(VALUE(_xll.BDP($B21,"INTERVAL_MAE_MOV_AVG","CALC_INTERVAL","520D","TECH_STUDIES_PARAM1_OVERRIDE",65,"USE_PREVIOUS_BUSINESS_DAY","N")),"")</f>
        <v>556.16476941856979</v>
      </c>
      <c r="AE21">
        <f t="shared" si="5"/>
        <v>6856.0226153846133</v>
      </c>
      <c r="AF21" cm="1">
        <f t="array" ref="AF21">IFERROR(VALUE(_xll.BDP($B21,"INTERVAL_MAE_MOV_AVG","CALC_INTERVAL","520D","TECH_STUDIES_PARAM1_OVERRIDE",65,"USE_PREVIOUS_BUSINESS_DAY","Y")),"")</f>
        <v>558.51384615384632</v>
      </c>
      <c r="AG21">
        <f t="shared" si="6"/>
        <v>6852.6203076923057</v>
      </c>
      <c r="AH21">
        <f t="shared" si="21"/>
        <v>8.1120614767308447E-2</v>
      </c>
      <c r="AI21">
        <f t="shared" si="22"/>
        <v>8.1503690716220628E-2</v>
      </c>
      <c r="AJ21" s="10" t="str">
        <f t="shared" si="23"/>
        <v>DOWN</v>
      </c>
      <c r="AK21" s="10" t="str">
        <f t="shared" si="24"/>
        <v>DOWN</v>
      </c>
      <c r="AL21" s="6" t="str">
        <f t="shared" si="25"/>
        <v>NEGATIVE</v>
      </c>
      <c r="AM21" cm="1">
        <f t="array" ref="AM21">IFERROR(VALUE(_xll.BDP($B21,"INTERVAL_MAE_MOV_AVG","CALC_INTERVAL","65W","PERIODICITY_OVERRIDE","W","TECH_STUDIES_PARAM1_OVERRIDE",39,"USE_PREVIOUS_BUSINESS_DAY","N")),"")</f>
        <v>675.21051313351347</v>
      </c>
      <c r="AN21">
        <f t="shared" si="7"/>
        <v>6560.7735897435905</v>
      </c>
      <c r="AO21" cm="1">
        <f t="array" ref="AO21">IFERROR(VALUE(_xll.BDP($B21,"INTERVAL_MAE_MOV_AVG","CALC_INTERVAL","65W","PERIODICITY_OVERRIDE","W","TECH_STUDIES_PARAM1_OVERRIDE",39,"USE_PREVIOUS_BUSINESS_DAY","Y")),"")</f>
        <v>675.53153846153839</v>
      </c>
      <c r="AP21">
        <f t="shared" si="8"/>
        <v>6560.7823076923087</v>
      </c>
      <c r="AQ21">
        <f t="shared" si="26"/>
        <v>0.10291629544861373</v>
      </c>
      <c r="AR21">
        <f t="shared" si="27"/>
        <v>0.10296508964632146</v>
      </c>
      <c r="AS21" s="10" t="str">
        <f t="shared" si="28"/>
        <v>DOWN</v>
      </c>
      <c r="AT21" s="10" t="str">
        <f t="shared" si="29"/>
        <v>DOWN</v>
      </c>
      <c r="AU21" s="6" t="str">
        <f t="shared" si="30"/>
        <v>NEGATIVE</v>
      </c>
      <c r="AV21" cm="1">
        <f t="array" ref="AV21">IFERROR(VALUE(_xll.BDP($B21,"INTERVAL_exp_MOV_AVG","CALC_INTERVAL","520D","TECH_STUDIES_PARAM1_OVERRIDE",100,"USE_PREVIOUS_BUSINESS_DAY","N")),"")</f>
        <v>595.9693120140945</v>
      </c>
      <c r="AW21">
        <f t="shared" si="9"/>
        <v>6773.0064518682802</v>
      </c>
      <c r="AX21" cm="1">
        <f t="array" ref="AX21">IFERROR(VALUE(_xll.BDP($B21,"INTERVAL_exp_MOV_AVG","CALC_INTERVAL","520D","TECH_STUDIES_PARAM1_OVERRIDE",100,"USE_PREVIOUS_BUSINESS_DAY","Y")),"")</f>
        <v>599.23229589383334</v>
      </c>
      <c r="AY21">
        <f t="shared" si="10"/>
        <v>6769.6039787132295</v>
      </c>
      <c r="AZ21">
        <f t="shared" si="31"/>
        <v>8.7991841769130621E-2</v>
      </c>
      <c r="BA21">
        <f t="shared" si="32"/>
        <v>8.8518072516220625E-2</v>
      </c>
      <c r="BB21" s="11" t="str">
        <f t="shared" si="33"/>
        <v>DOWN</v>
      </c>
      <c r="BC21" s="11" t="str">
        <f t="shared" si="34"/>
        <v>DOWN</v>
      </c>
      <c r="BD21" s="6" t="str">
        <f t="shared" si="35"/>
        <v>NEGATIVE</v>
      </c>
      <c r="BE21" s="12" cm="1">
        <f t="array" ref="BE21">_xll.BDP($B21, "INTERVAL_RSI", "TECH_STUDIES_PARAM1_OVERRIDE", "5", "PERIODICITY_OVERRIDE", "W")</f>
        <v>24.915000083621592</v>
      </c>
      <c r="BF21" cm="1">
        <f t="array" ref="BF21">IFERROR(VALUE(_xll.BDP($B21,"INTERVAL_MAE_MOV_AVG","CALC_INTERVAL","520D","TECH_STUDIES_PARAM1_OVERRIDE",31,"USE_PREVIOUS_BUSINESS_DAY","N")),"")</f>
        <v>555.60000039377508</v>
      </c>
      <c r="BG21" cm="1">
        <f t="array" ref="BG21">IFERROR(VALUE(_xll.BDP($B21,"INTERVAL_MAE_MOV_AVG","CALC_INTERVAL","760D","TECH_STUDIES_PARAM1_OVERRIDE",200,"USE_PREVIOUS_BUSINESS_DAY","N")),"")</f>
        <v>679.9577000610351</v>
      </c>
      <c r="BH21" s="13">
        <f t="shared" si="36"/>
        <v>-0.21805255634973264</v>
      </c>
      <c r="BI21" s="13">
        <f t="shared" si="37"/>
        <v>-0.22235424165506157</v>
      </c>
      <c r="BJ21" s="13">
        <f t="shared" si="38"/>
        <v>-0.36106319560613487</v>
      </c>
      <c r="BK21" s="32" cm="1">
        <f t="array" ref="BK21">VALUE(_xll.BDP($B21,"INTERVAL_DATE_OF_CALC_HI","CALC_INTERVAL","3M"))</f>
        <v>46035</v>
      </c>
      <c r="BL21" s="32" cm="1">
        <f t="array" ref="BL21">VALUE(_xll.BDP($B21,"INTERVAL_DATE_OF_CALC_LO","CALC_INTERVAL","3M"))</f>
        <v>46058</v>
      </c>
      <c r="BM21" s="32" cm="1">
        <f t="array" ref="BM21">VALUE(_xll.BDP($B21,"INTERVAL_DATE_OF_CALC_HI","CALC_INTERVAL","1M"))</f>
        <v>46035</v>
      </c>
      <c r="BN21" s="32" cm="1">
        <f t="array" ref="BN21">VALUE(_xll.BDP($B21,"INTERVAL_DATE_OF_CALC_LO","CALC_INTERVAL","1M"))</f>
        <v>46058</v>
      </c>
      <c r="BO21" s="15">
        <f>IFERROR(VLOOKUP($F21,PIVOT!$A:$C,2,FALSE),0)</f>
        <v>0</v>
      </c>
      <c r="BP21" s="15">
        <f>IFERROR(VLOOKUP($F21,PIVOT!$A:$C,3,FALSE),0)</f>
        <v>0</v>
      </c>
      <c r="BQ21" s="15">
        <f t="shared" si="11"/>
        <v>30.430467516237442</v>
      </c>
    </row>
    <row r="22" spans="1:69" x14ac:dyDescent="0.25">
      <c r="A22">
        <v>21</v>
      </c>
      <c r="B22" t="s">
        <v>25</v>
      </c>
      <c r="J22" s="24"/>
      <c r="K22" s="15">
        <f>_xll.BDP($B22,"interval_rsi","tech_studies_param1_override",14)</f>
        <v>74.08981293449483</v>
      </c>
      <c r="L22" s="15">
        <f t="shared" si="0"/>
        <v>52.525531939815814</v>
      </c>
      <c r="M22">
        <f t="shared" si="12"/>
        <v>1</v>
      </c>
      <c r="N22" cm="1">
        <f t="array" ref="N22">IFERROR(VALUE(_xll.BDP($B22,"px_last")),"")</f>
        <v>61.25</v>
      </c>
      <c r="O22">
        <f t="shared" si="1"/>
        <v>6941.47</v>
      </c>
      <c r="P22" cm="1">
        <f t="array" ref="P22">IFERROR(VALUE(_xll.BDP($B22,"PX_YEST_CLOSE")),"")</f>
        <v>59.15</v>
      </c>
      <c r="Q22">
        <f t="shared" si="2"/>
        <v>6941.81</v>
      </c>
      <c r="R22">
        <f t="shared" si="13"/>
        <v>8.823779401193119E-3</v>
      </c>
      <c r="S22">
        <f t="shared" si="14"/>
        <v>8.5208324630031643E-3</v>
      </c>
      <c r="T22" cm="1">
        <f t="array" ref="T22">IFERROR(VALUE(_xll.BDP($B22,"INTERVAL_MAE_MOV_AVG","CALC_INTERVAL","520D","TECH_STUDIES_PARAM1_OVERRIDE",50,"USE_PREVIOUS_BUSINESS_DAY","N")),"")</f>
        <v>50.851799999999997</v>
      </c>
      <c r="U22">
        <f t="shared" si="3"/>
        <v>6894.0953999999992</v>
      </c>
      <c r="V22" cm="1">
        <f t="array" ref="V22">IFERROR(VALUE(_xll.BDP($B22,"INTERVAL_MAE_MOV_AVG","CALC_INTERVAL","520D","TECH_STUDIES_PARAM1_OVERRIDE",50,"USE_PREVIOUS_BUSINESS_DAY","Y")),"")</f>
        <v>50.630799999999994</v>
      </c>
      <c r="W22">
        <f t="shared" si="4"/>
        <v>6892.2477999999992</v>
      </c>
      <c r="X22">
        <f t="shared" si="15"/>
        <v>7.376138136991838E-3</v>
      </c>
      <c r="Y22">
        <f t="shared" si="16"/>
        <v>7.3460504423535087E-3</v>
      </c>
      <c r="Z22" s="11" t="str">
        <f t="shared" si="17"/>
        <v>POSITIVE</v>
      </c>
      <c r="AA22" s="11" t="str">
        <f t="shared" si="18"/>
        <v/>
      </c>
      <c r="AB22" s="11" t="str">
        <f t="shared" si="19"/>
        <v>UP</v>
      </c>
      <c r="AC22" s="6" t="str">
        <f t="shared" si="20"/>
        <v>POSITIVE</v>
      </c>
      <c r="AD22" cm="1">
        <f t="array" ref="AD22">IFERROR(VALUE(_xll.BDP($B22,"INTERVAL_MAE_MOV_AVG","CALC_INTERVAL","520D","TECH_STUDIES_PARAM1_OVERRIDE",65,"USE_PREVIOUS_BUSINESS_DAY","N")),"")</f>
        <v>50.336461538461549</v>
      </c>
      <c r="AE22">
        <f t="shared" si="5"/>
        <v>6856.0226153846133</v>
      </c>
      <c r="AF22" cm="1">
        <f t="array" ref="AF22">IFERROR(VALUE(_xll.BDP($B22,"INTERVAL_MAE_MOV_AVG","CALC_INTERVAL","520D","TECH_STUDIES_PARAM1_OVERRIDE",65,"USE_PREVIOUS_BUSINESS_DAY","Y")),"")</f>
        <v>50.121692307692314</v>
      </c>
      <c r="AG22">
        <f t="shared" si="6"/>
        <v>6852.6203076923057</v>
      </c>
      <c r="AH22">
        <f t="shared" si="21"/>
        <v>7.3419334156670868E-3</v>
      </c>
      <c r="AI22">
        <f t="shared" si="22"/>
        <v>7.3142374824749831E-3</v>
      </c>
      <c r="AJ22" s="10" t="str">
        <f t="shared" si="23"/>
        <v>UP</v>
      </c>
      <c r="AK22" s="10" t="str">
        <f t="shared" si="24"/>
        <v>UP</v>
      </c>
      <c r="AL22" s="6" t="str">
        <f t="shared" si="25"/>
        <v>POSITIVE</v>
      </c>
      <c r="AM22" cm="1">
        <f t="array" ref="AM22">IFERROR(VALUE(_xll.BDP($B22,"INTERVAL_MAE_MOV_AVG","CALC_INTERVAL","65W","PERIODICITY_OVERRIDE","W","TECH_STUDIES_PARAM1_OVERRIDE",39,"USE_PREVIOUS_BUSINESS_DAY","N")),"")</f>
        <v>45.936220851718097</v>
      </c>
      <c r="AN22">
        <f t="shared" si="7"/>
        <v>6560.7735897435905</v>
      </c>
      <c r="AO22" cm="1">
        <f t="array" ref="AO22">IFERROR(VALUE(_xll.BDP($B22,"INTERVAL_MAE_MOV_AVG","CALC_INTERVAL","65W","PERIODICITY_OVERRIDE","W","TECH_STUDIES_PARAM1_OVERRIDE",39,"USE_PREVIOUS_BUSINESS_DAY","Y")),"")</f>
        <v>45.882374697871953</v>
      </c>
      <c r="AP22">
        <f t="shared" si="8"/>
        <v>6560.7823076923087</v>
      </c>
      <c r="AQ22">
        <f t="shared" si="26"/>
        <v>7.0016470197249081E-3</v>
      </c>
      <c r="AR22">
        <f t="shared" si="27"/>
        <v>6.9934304395493094E-3</v>
      </c>
      <c r="AS22" s="10" t="str">
        <f t="shared" si="28"/>
        <v>UP</v>
      </c>
      <c r="AT22" s="10" t="str">
        <f t="shared" si="29"/>
        <v>UP</v>
      </c>
      <c r="AU22" s="6" t="str">
        <f t="shared" si="30"/>
        <v>POSITIVE</v>
      </c>
      <c r="AV22" cm="1">
        <f t="array" ref="AV22">IFERROR(VALUE(_xll.BDP($B22,"INTERVAL_exp_MOV_AVG","CALC_INTERVAL","520D","TECH_STUDIES_PARAM1_OVERRIDE",100,"USE_PREVIOUS_BUSINESS_DAY","N")),"")</f>
        <v>49.73744668199712</v>
      </c>
      <c r="AW22">
        <f t="shared" si="9"/>
        <v>6773.0064518682802</v>
      </c>
      <c r="AX22" cm="1">
        <f t="array" ref="AX22">IFERROR(VALUE(_xll.BDP($B22,"INTERVAL_exp_MOV_AVG","CALC_INTERVAL","520D","TECH_STUDIES_PARAM1_OVERRIDE",100,"USE_PREVIOUS_BUSINESS_DAY","Y")),"")</f>
        <v>49.504866292729389</v>
      </c>
      <c r="AY22">
        <f t="shared" si="10"/>
        <v>6769.6039787132295</v>
      </c>
      <c r="AZ22">
        <f t="shared" si="31"/>
        <v>7.3434813676100134E-3</v>
      </c>
      <c r="BA22">
        <f t="shared" si="32"/>
        <v>7.3128157050834312E-3</v>
      </c>
      <c r="BB22" s="11" t="str">
        <f t="shared" si="33"/>
        <v>UP</v>
      </c>
      <c r="BC22" s="11" t="str">
        <f t="shared" si="34"/>
        <v>UP</v>
      </c>
      <c r="BD22" s="6" t="str">
        <f t="shared" si="35"/>
        <v>POSITIVE</v>
      </c>
      <c r="BE22" s="12" cm="1">
        <f t="array" ref="BE22">_xll.BDP($B22, "INTERVAL_RSI", "TECH_STUDIES_PARAM1_OVERRIDE", "5", "PERIODICITY_OVERRIDE", "W")</f>
        <v>91.556937395800986</v>
      </c>
      <c r="BF22" cm="1">
        <f t="array" ref="BF22">IFERROR(VALUE(_xll.BDP($B22,"INTERVAL_MAE_MOV_AVG","CALC_INTERVAL","520D","TECH_STUDIES_PARAM1_OVERRIDE",31,"USE_PREVIOUS_BUSINESS_DAY","N")),"")</f>
        <v>53.146129032258067</v>
      </c>
      <c r="BG22" cm="1">
        <f t="array" ref="BG22">IFERROR(VALUE(_xll.BDP($B22,"INTERVAL_MAE_MOV_AVG","CALC_INTERVAL","760D","TECH_STUDIES_PARAM1_OVERRIDE",200,"USE_PREVIOUS_BUSINESS_DAY","N")),"")</f>
        <v>44.895895450709162</v>
      </c>
      <c r="BH22" s="13">
        <f t="shared" si="36"/>
        <v>0.15248280759682675</v>
      </c>
      <c r="BI22" s="13">
        <f t="shared" si="37"/>
        <v>0.20448047070113562</v>
      </c>
      <c r="BJ22" s="13">
        <f t="shared" si="38"/>
        <v>0.36426725394631854</v>
      </c>
      <c r="BK22" s="32" cm="1">
        <f t="array" ref="BK22">VALUE(_xll.BDP($B22,"INTERVAL_DATE_OF_CALC_HI","CALC_INTERVAL","3M"))</f>
        <v>46064</v>
      </c>
      <c r="BL22" s="32" cm="1">
        <f t="array" ref="BL22">VALUE(_xll.BDP($B22,"INTERVAL_DATE_OF_CALC_LO","CALC_INTERVAL","3M"))</f>
        <v>46009</v>
      </c>
      <c r="BM22" s="32" cm="1">
        <f t="array" ref="BM22">VALUE(_xll.BDP($B22,"INTERVAL_DATE_OF_CALC_HI","CALC_INTERVAL","1M"))</f>
        <v>46064</v>
      </c>
      <c r="BN22" s="32" cm="1">
        <f t="array" ref="BN22">VALUE(_xll.BDP($B22,"INTERVAL_DATE_OF_CALC_LO","CALC_INTERVAL","1M"))</f>
        <v>46034</v>
      </c>
      <c r="BO22" s="15">
        <f>IFERROR(VLOOKUP($F22,PIVOT!$A:$C,2,FALSE),0)</f>
        <v>0</v>
      </c>
      <c r="BP22" s="15">
        <f>IFERROR(VLOOKUP($F22,PIVOT!$A:$C,3,FALSE),0)</f>
        <v>0</v>
      </c>
      <c r="BQ22" s="15">
        <f t="shared" si="11"/>
        <v>74.08981293449483</v>
      </c>
    </row>
    <row r="23" spans="1:69" x14ac:dyDescent="0.25">
      <c r="A23">
        <v>22</v>
      </c>
      <c r="B23" t="s">
        <v>27</v>
      </c>
      <c r="J23" s="24"/>
      <c r="K23" s="15">
        <f>_xll.BDP($B23,"interval_rsi","tech_studies_param1_override",14)</f>
        <v>73.18957644382985</v>
      </c>
      <c r="L23" s="15">
        <f t="shared" si="0"/>
        <v>52.525531939815814</v>
      </c>
      <c r="M23">
        <f t="shared" si="12"/>
        <v>1</v>
      </c>
      <c r="N23" cm="1">
        <f t="array" ref="N23">IFERROR(VALUE(_xll.BDP($B23,"px_last")),"")</f>
        <v>97.63</v>
      </c>
      <c r="O23">
        <f t="shared" si="1"/>
        <v>6941.47</v>
      </c>
      <c r="P23" cm="1">
        <f t="array" ref="P23">IFERROR(VALUE(_xll.BDP($B23,"PX_YEST_CLOSE")),"")</f>
        <v>96.18</v>
      </c>
      <c r="Q23">
        <f t="shared" si="2"/>
        <v>6941.81</v>
      </c>
      <c r="R23">
        <f t="shared" si="13"/>
        <v>1.4064744211240557E-2</v>
      </c>
      <c r="S23">
        <f t="shared" si="14"/>
        <v>1.3855176099605146E-2</v>
      </c>
      <c r="T23" cm="1">
        <f t="array" ref="T23">IFERROR(VALUE(_xll.BDP($B23,"INTERVAL_MAE_MOV_AVG","CALC_INTERVAL","520D","TECH_STUDIES_PARAM1_OVERRIDE",50,"USE_PREVIOUS_BUSINESS_DAY","N")),"")</f>
        <v>91.065999945068384</v>
      </c>
      <c r="U23">
        <f t="shared" si="3"/>
        <v>6894.0953999999992</v>
      </c>
      <c r="V23" cm="1">
        <f t="array" ref="V23">IFERROR(VALUE(_xll.BDP($B23,"INTERVAL_MAE_MOV_AVG","CALC_INTERVAL","520D","TECH_STUDIES_PARAM1_OVERRIDE",50,"USE_PREVIOUS_BUSINESS_DAY","Y")),"")</f>
        <v>90.947200000000009</v>
      </c>
      <c r="W23">
        <f t="shared" si="4"/>
        <v>6892.2477999999992</v>
      </c>
      <c r="X23">
        <f t="shared" si="15"/>
        <v>1.3209274699776912E-2</v>
      </c>
      <c r="Y23">
        <f t="shared" si="16"/>
        <v>1.319557895176085E-2</v>
      </c>
      <c r="Z23" s="11" t="str">
        <f t="shared" si="17"/>
        <v>POSITIVE</v>
      </c>
      <c r="AA23" s="11" t="str">
        <f t="shared" si="18"/>
        <v/>
      </c>
      <c r="AB23" s="11" t="str">
        <f t="shared" si="19"/>
        <v>UP</v>
      </c>
      <c r="AC23" s="6" t="str">
        <f t="shared" si="20"/>
        <v>POSITIVE</v>
      </c>
      <c r="AD23" cm="1">
        <f t="array" ref="AD23">IFERROR(VALUE(_xll.BDP($B23,"INTERVAL_MAE_MOV_AVG","CALC_INTERVAL","520D","TECH_STUDIES_PARAM1_OVERRIDE",65,"USE_PREVIOUS_BUSINESS_DAY","N")),"")</f>
        <v>90.937352325898743</v>
      </c>
      <c r="AE23">
        <f t="shared" si="5"/>
        <v>6856.0226153846133</v>
      </c>
      <c r="AF23" cm="1">
        <f t="array" ref="AF23">IFERROR(VALUE(_xll.BDP($B23,"INTERVAL_MAE_MOV_AVG","CALC_INTERVAL","520D","TECH_STUDIES_PARAM1_OVERRIDE",65,"USE_PREVIOUS_BUSINESS_DAY","Y")),"")</f>
        <v>90.780099466307689</v>
      </c>
      <c r="AG23">
        <f t="shared" si="6"/>
        <v>6852.6203076923057</v>
      </c>
      <c r="AH23">
        <f t="shared" si="21"/>
        <v>1.3263864112968256E-2</v>
      </c>
      <c r="AI23">
        <f t="shared" si="22"/>
        <v>1.3247501742421633E-2</v>
      </c>
      <c r="AJ23" s="10" t="str">
        <f t="shared" si="23"/>
        <v>UP</v>
      </c>
      <c r="AK23" s="10" t="str">
        <f t="shared" si="24"/>
        <v>UP</v>
      </c>
      <c r="AL23" s="6" t="str">
        <f t="shared" si="25"/>
        <v>POSITIVE</v>
      </c>
      <c r="AM23" cm="1">
        <f t="array" ref="AM23">IFERROR(VALUE(_xll.BDP($B23,"INTERVAL_MAE_MOV_AVG","CALC_INTERVAL","65W","PERIODICITY_OVERRIDE","W","TECH_STUDIES_PARAM1_OVERRIDE",39,"USE_PREVIOUS_BUSINESS_DAY","N")),"")</f>
        <v>90.835757566241483</v>
      </c>
      <c r="AN23">
        <f t="shared" si="7"/>
        <v>6560.7735897435905</v>
      </c>
      <c r="AO23" cm="1">
        <f t="array" ref="AO23">IFERROR(VALUE(_xll.BDP($B23,"INTERVAL_MAE_MOV_AVG","CALC_INTERVAL","65W","PERIODICITY_OVERRIDE","W","TECH_STUDIES_PARAM1_OVERRIDE",39,"USE_PREVIOUS_BUSINESS_DAY","Y")),"")</f>
        <v>90.79857814948717</v>
      </c>
      <c r="AP23">
        <f t="shared" si="8"/>
        <v>6560.7823076923087</v>
      </c>
      <c r="AQ23">
        <f t="shared" si="26"/>
        <v>1.3845281554639282E-2</v>
      </c>
      <c r="AR23">
        <f t="shared" si="27"/>
        <v>1.3839596238855346E-2</v>
      </c>
      <c r="AS23" s="10" t="str">
        <f t="shared" si="28"/>
        <v>UP</v>
      </c>
      <c r="AT23" s="10" t="str">
        <f t="shared" si="29"/>
        <v>UP</v>
      </c>
      <c r="AU23" s="6" t="str">
        <f t="shared" si="30"/>
        <v>POSITIVE</v>
      </c>
      <c r="AV23" cm="1">
        <f t="array" ref="AV23">IFERROR(VALUE(_xll.BDP($B23,"INTERVAL_exp_MOV_AVG","CALC_INTERVAL","520D","TECH_STUDIES_PARAM1_OVERRIDE",100,"USE_PREVIOUS_BUSINESS_DAY","N")),"")</f>
        <v>90.507582429811862</v>
      </c>
      <c r="AW23">
        <f t="shared" si="9"/>
        <v>6773.0064518682802</v>
      </c>
      <c r="AX23" cm="1">
        <f t="array" ref="AX23">IFERROR(VALUE(_xll.BDP($B23,"INTERVAL_exp_MOV_AVG","CALC_INTERVAL","520D","TECH_STUDIES_PARAM1_OVERRIDE",100,"USE_PREVIOUS_BUSINESS_DAY","Y")),"")</f>
        <v>90.363715558634979</v>
      </c>
      <c r="AY23">
        <f t="shared" si="10"/>
        <v>6769.6039787132295</v>
      </c>
      <c r="AZ23">
        <f t="shared" si="31"/>
        <v>1.336298482409478E-2</v>
      </c>
      <c r="BA23">
        <f t="shared" si="32"/>
        <v>1.3348449310001051E-2</v>
      </c>
      <c r="BB23" s="11" t="str">
        <f t="shared" si="33"/>
        <v>UP</v>
      </c>
      <c r="BC23" s="11" t="str">
        <f t="shared" si="34"/>
        <v>UP</v>
      </c>
      <c r="BD23" s="6" t="str">
        <f t="shared" si="35"/>
        <v>POSITIVE</v>
      </c>
      <c r="BE23" s="12" cm="1">
        <f t="array" ref="BE23">_xll.BDP($B23, "INTERVAL_RSI", "TECH_STUDIES_PARAM1_OVERRIDE", "5", "PERIODICITY_OVERRIDE", "W")</f>
        <v>85.009919548541788</v>
      </c>
      <c r="BF23" cm="1">
        <f t="array" ref="BF23">IFERROR(VALUE(_xll.BDP($B23,"INTERVAL_MAE_MOV_AVG","CALC_INTERVAL","520D","TECH_STUDIES_PARAM1_OVERRIDE",31,"USE_PREVIOUS_BUSINESS_DAY","N")),"")</f>
        <v>90.952580556561855</v>
      </c>
      <c r="BG23" cm="1">
        <f t="array" ref="BG23">IFERROR(VALUE(_xll.BDP($B23,"INTERVAL_MAE_MOV_AVG","CALC_INTERVAL","760D","TECH_STUDIES_PARAM1_OVERRIDE",200,"USE_PREVIOUS_BUSINESS_DAY","N")),"")</f>
        <v>90.174302932310709</v>
      </c>
      <c r="BH23" s="13">
        <f t="shared" si="36"/>
        <v>7.3416492446693793E-2</v>
      </c>
      <c r="BI23" s="13">
        <f t="shared" si="37"/>
        <v>7.207959127326391E-2</v>
      </c>
      <c r="BJ23" s="13">
        <f t="shared" si="38"/>
        <v>8.268095039543466E-2</v>
      </c>
      <c r="BK23" s="32" cm="1">
        <f t="array" ref="BK23">VALUE(_xll.BDP($B23,"INTERVAL_DATE_OF_CALC_HI","CALC_INTERVAL","3M"))</f>
        <v>46064</v>
      </c>
      <c r="BL23" s="32" cm="1">
        <f t="array" ref="BL23">VALUE(_xll.BDP($B23,"INTERVAL_DATE_OF_CALC_LO","CALC_INTERVAL","3M"))</f>
        <v>46029</v>
      </c>
      <c r="BM23" s="32" cm="1">
        <f t="array" ref="BM23">VALUE(_xll.BDP($B23,"INTERVAL_DATE_OF_CALC_HI","CALC_INTERVAL","1M"))</f>
        <v>46064</v>
      </c>
      <c r="BN23" s="32" cm="1">
        <f t="array" ref="BN23">VALUE(_xll.BDP($B23,"INTERVAL_DATE_OF_CALC_LO","CALC_INTERVAL","1M"))</f>
        <v>46034</v>
      </c>
      <c r="BO23" s="15">
        <f>IFERROR(VLOOKUP($F23,PIVOT!$A:$C,2,FALSE),0)</f>
        <v>0</v>
      </c>
      <c r="BP23" s="15">
        <f>IFERROR(VLOOKUP($F23,PIVOT!$A:$C,3,FALSE),0)</f>
        <v>0</v>
      </c>
      <c r="BQ23" s="15">
        <f t="shared" si="11"/>
        <v>73.18957644382985</v>
      </c>
    </row>
    <row r="24" spans="1:69" x14ac:dyDescent="0.25">
      <c r="A24">
        <v>23</v>
      </c>
      <c r="B24" t="s">
        <v>28</v>
      </c>
      <c r="J24" s="24"/>
      <c r="K24" s="15">
        <f>_xll.BDP($B24,"interval_rsi","tech_studies_param1_override",14)</f>
        <v>48.432462919202585</v>
      </c>
      <c r="L24" s="15">
        <f t="shared" si="0"/>
        <v>52.525531939815814</v>
      </c>
      <c r="M24">
        <f t="shared" si="12"/>
        <v>0</v>
      </c>
      <c r="N24" cm="1">
        <f t="array" ref="N24">IFERROR(VALUE(_xll.BDP($B24,"px_last")),"")</f>
        <v>299.64999999999998</v>
      </c>
      <c r="O24">
        <f t="shared" si="1"/>
        <v>6941.47</v>
      </c>
      <c r="P24" cm="1">
        <f t="array" ref="P24">IFERROR(VALUE(_xll.BDP($B24,"PX_YEST_CLOSE")),"")</f>
        <v>299</v>
      </c>
      <c r="Q24">
        <f t="shared" si="2"/>
        <v>6941.81</v>
      </c>
      <c r="R24">
        <f t="shared" si="13"/>
        <v>4.316808975620437E-2</v>
      </c>
      <c r="S24">
        <f t="shared" si="14"/>
        <v>4.307233992287314E-2</v>
      </c>
      <c r="T24" cm="1">
        <f t="array" ref="T24">IFERROR(VALUE(_xll.BDP($B24,"INTERVAL_MAE_MOV_AVG","CALC_INTERVAL","520D","TECH_STUDIES_PARAM1_OVERRIDE",50,"USE_PREVIOUS_BUSINESS_DAY","N")),"")</f>
        <v>313.73759987792977</v>
      </c>
      <c r="U24">
        <f t="shared" si="3"/>
        <v>6894.0953999999992</v>
      </c>
      <c r="V24" cm="1">
        <f t="array" ref="V24">IFERROR(VALUE(_xll.BDP($B24,"INTERVAL_MAE_MOV_AVG","CALC_INTERVAL","520D","TECH_STUDIES_PARAM1_OVERRIDE",50,"USE_PREVIOUS_BUSINESS_DAY","Y")),"")</f>
        <v>313.98140000000012</v>
      </c>
      <c r="W24">
        <f t="shared" si="4"/>
        <v>6892.2477999999992</v>
      </c>
      <c r="X24">
        <f t="shared" si="15"/>
        <v>4.5508160487296098E-2</v>
      </c>
      <c r="Y24">
        <f t="shared" si="16"/>
        <v>4.5555732920688104E-2</v>
      </c>
      <c r="Z24" s="11" t="str">
        <f t="shared" si="17"/>
        <v>NEGATIVE</v>
      </c>
      <c r="AA24" s="11" t="str">
        <f t="shared" si="18"/>
        <v/>
      </c>
      <c r="AB24" s="11" t="str">
        <f t="shared" si="19"/>
        <v>DOWN</v>
      </c>
      <c r="AC24" s="6" t="str">
        <f t="shared" si="20"/>
        <v>NEGATIVE</v>
      </c>
      <c r="AD24" cm="1">
        <f t="array" ref="AD24">IFERROR(VALUE(_xll.BDP($B24,"INTERVAL_MAE_MOV_AVG","CALC_INTERVAL","520D","TECH_STUDIES_PARAM1_OVERRIDE",65,"USE_PREVIOUS_BUSINESS_DAY","N")),"")</f>
        <v>313.17138452148447</v>
      </c>
      <c r="AE24">
        <f t="shared" si="5"/>
        <v>6856.0226153846133</v>
      </c>
      <c r="AF24" cm="1">
        <f t="array" ref="AF24">IFERROR(VALUE(_xll.BDP($B24,"INTERVAL_MAE_MOV_AVG","CALC_INTERVAL","520D","TECH_STUDIES_PARAM1_OVERRIDE",65,"USE_PREVIOUS_BUSINESS_DAY","Y")),"")</f>
        <v>313.55292307692321</v>
      </c>
      <c r="AG24">
        <f t="shared" si="6"/>
        <v>6852.6203076923057</v>
      </c>
      <c r="AH24">
        <f t="shared" si="21"/>
        <v>4.5678289307089164E-2</v>
      </c>
      <c r="AI24">
        <f t="shared" si="22"/>
        <v>4.5756646216768948E-2</v>
      </c>
      <c r="AJ24" s="10" t="str">
        <f t="shared" si="23"/>
        <v>DOWN</v>
      </c>
      <c r="AK24" s="10" t="str">
        <f t="shared" si="24"/>
        <v>DOWN</v>
      </c>
      <c r="AL24" s="6" t="str">
        <f t="shared" si="25"/>
        <v>NEGATIVE</v>
      </c>
      <c r="AM24" cm="1">
        <f t="array" ref="AM24">IFERROR(VALUE(_xll.BDP($B24,"INTERVAL_MAE_MOV_AVG","CALC_INTERVAL","65W","PERIODICITY_OVERRIDE","W","TECH_STUDIES_PARAM1_OVERRIDE",39,"USE_PREVIOUS_BUSINESS_DAY","N")),"")</f>
        <v>324.52205112555083</v>
      </c>
      <c r="AN24">
        <f t="shared" si="7"/>
        <v>6560.7735897435905</v>
      </c>
      <c r="AO24" cm="1">
        <f t="array" ref="AO24">IFERROR(VALUE(_xll.BDP($B24,"INTERVAL_MAE_MOV_AVG","CALC_INTERVAL","65W","PERIODICITY_OVERRIDE","W","TECH_STUDIES_PARAM1_OVERRIDE",39,"USE_PREVIOUS_BUSINESS_DAY","Y")),"")</f>
        <v>324.50538461538457</v>
      </c>
      <c r="AP24">
        <f t="shared" si="8"/>
        <v>6560.7823076923087</v>
      </c>
      <c r="AQ24">
        <f t="shared" si="26"/>
        <v>4.946399181231826E-2</v>
      </c>
      <c r="AR24">
        <f t="shared" si="27"/>
        <v>4.9461385761102351E-2</v>
      </c>
      <c r="AS24" s="10" t="str">
        <f t="shared" si="28"/>
        <v>UP</v>
      </c>
      <c r="AT24" s="10" t="str">
        <f t="shared" si="29"/>
        <v>UP</v>
      </c>
      <c r="AU24" s="6" t="str">
        <f t="shared" si="30"/>
        <v>NEGATIVE</v>
      </c>
      <c r="AV24" cm="1">
        <f t="array" ref="AV24">IFERROR(VALUE(_xll.BDP($B24,"INTERVAL_exp_MOV_AVG","CALC_INTERVAL","520D","TECH_STUDIES_PARAM1_OVERRIDE",100,"USE_PREVIOUS_BUSINESS_DAY","N")),"")</f>
        <v>316.78102430085113</v>
      </c>
      <c r="AW24">
        <f t="shared" si="9"/>
        <v>6773.0064518682802</v>
      </c>
      <c r="AX24" cm="1">
        <f t="array" ref="AX24">IFERROR(VALUE(_xll.BDP($B24,"INTERVAL_exp_MOV_AVG","CALC_INTERVAL","520D","TECH_STUDIES_PARAM1_OVERRIDE",100,"USE_PREVIOUS_BUSINESS_DAY","Y")),"")</f>
        <v>317.12717307240746</v>
      </c>
      <c r="AY24">
        <f t="shared" si="10"/>
        <v>6769.6039787132295</v>
      </c>
      <c r="AZ24">
        <f t="shared" si="31"/>
        <v>4.6771109189401347E-2</v>
      </c>
      <c r="BA24">
        <f t="shared" si="32"/>
        <v>4.6845749628723066E-2</v>
      </c>
      <c r="BB24" s="11" t="str">
        <f t="shared" si="33"/>
        <v>DOWN</v>
      </c>
      <c r="BC24" s="11" t="str">
        <f t="shared" si="34"/>
        <v>DOWN</v>
      </c>
      <c r="BD24" s="6" t="str">
        <f t="shared" si="35"/>
        <v>NEGATIVE</v>
      </c>
      <c r="BE24" s="12" cm="1">
        <f t="array" ref="BE24">_xll.BDP($B24, "INTERVAL_RSI", "TECH_STUDIES_PARAM1_OVERRIDE", "5", "PERIODICITY_OVERRIDE", "W")</f>
        <v>42.683495700152356</v>
      </c>
      <c r="BF24" cm="1">
        <f t="array" ref="BF24">IFERROR(VALUE(_xll.BDP($B24,"INTERVAL_MAE_MOV_AVG","CALC_INTERVAL","520D","TECH_STUDIES_PARAM1_OVERRIDE",31,"USE_PREVIOUS_BUSINESS_DAY","N")),"")</f>
        <v>307.32806431924143</v>
      </c>
      <c r="BG24" cm="1">
        <f t="array" ref="BG24">IFERROR(VALUE(_xll.BDP($B24,"INTERVAL_MAE_MOV_AVG","CALC_INTERVAL","760D","TECH_STUDIES_PARAM1_OVERRIDE",200,"USE_PREVIOUS_BUSINESS_DAY","N")),"")</f>
        <v>324.34962496948236</v>
      </c>
      <c r="BH24" s="13">
        <f t="shared" si="36"/>
        <v>-2.4983284023374353E-2</v>
      </c>
      <c r="BI24" s="13">
        <f t="shared" si="37"/>
        <v>-4.4902491392204924E-2</v>
      </c>
      <c r="BJ24" s="13">
        <f t="shared" si="38"/>
        <v>-7.6151236406721168E-2</v>
      </c>
      <c r="BK24" s="32" cm="1">
        <f t="array" ref="BK24">VALUE(_xll.BDP($B24,"INTERVAL_DATE_OF_CALC_HI","CALC_INTERVAL","3M"))</f>
        <v>46001</v>
      </c>
      <c r="BL24" s="32" cm="1">
        <f t="array" ref="BL24">VALUE(_xll.BDP($B24,"INTERVAL_DATE_OF_CALC_LO","CALC_INTERVAL","3M"))</f>
        <v>46056</v>
      </c>
      <c r="BM24" s="32" cm="1">
        <f t="array" ref="BM24">VALUE(_xll.BDP($B24,"INTERVAL_DATE_OF_CALC_HI","CALC_INTERVAL","1M"))</f>
        <v>46034</v>
      </c>
      <c r="BN24" s="32" cm="1">
        <f t="array" ref="BN24">VALUE(_xll.BDP($B24,"INTERVAL_DATE_OF_CALC_LO","CALC_INTERVAL","1M"))</f>
        <v>46056</v>
      </c>
      <c r="BO24" s="15">
        <f>IFERROR(VLOOKUP($F24,PIVOT!$A:$C,2,FALSE),0)</f>
        <v>0</v>
      </c>
      <c r="BP24" s="15">
        <f>IFERROR(VLOOKUP($F24,PIVOT!$A:$C,3,FALSE),0)</f>
        <v>0</v>
      </c>
      <c r="BQ24" s="15">
        <f t="shared" si="11"/>
        <v>48.432462919202585</v>
      </c>
    </row>
    <row r="25" spans="1:69" x14ac:dyDescent="0.25">
      <c r="A25">
        <v>24</v>
      </c>
      <c r="B25" t="s">
        <v>29</v>
      </c>
      <c r="J25" s="24"/>
      <c r="K25" s="15">
        <f>_xll.BDP($B25,"interval_rsi","tech_studies_param1_override",14)</f>
        <v>41.013264208672176</v>
      </c>
      <c r="L25" s="15">
        <f t="shared" si="0"/>
        <v>52.525531939815814</v>
      </c>
      <c r="M25">
        <f t="shared" si="12"/>
        <v>0</v>
      </c>
      <c r="N25" cm="1">
        <f t="array" ref="N25">IFERROR(VALUE(_xll.BDP($B25,"px_last")),"")</f>
        <v>276.85000000000002</v>
      </c>
      <c r="O25">
        <f t="shared" si="1"/>
        <v>6941.47</v>
      </c>
      <c r="P25" cm="1">
        <f t="array" ref="P25">IFERROR(VALUE(_xll.BDP($B25,"PX_YEST_CLOSE")),"")</f>
        <v>271.14</v>
      </c>
      <c r="Q25">
        <f t="shared" si="2"/>
        <v>6941.81</v>
      </c>
      <c r="R25">
        <f t="shared" si="13"/>
        <v>3.9883482893392899E-2</v>
      </c>
      <c r="S25">
        <f t="shared" si="14"/>
        <v>3.9058977413671647E-2</v>
      </c>
      <c r="T25" cm="1">
        <f t="array" ref="T25">IFERROR(VALUE(_xll.BDP($B25,"INTERVAL_MAE_MOV_AVG","CALC_INTERVAL","520D","TECH_STUDIES_PARAM1_OVERRIDE",50,"USE_PREVIOUS_BUSINESS_DAY","N")),"")</f>
        <v>327.14370012207024</v>
      </c>
      <c r="U25">
        <f t="shared" si="3"/>
        <v>6894.0953999999992</v>
      </c>
      <c r="V25" cm="1">
        <f t="array" ref="V25">IFERROR(VALUE(_xll.BDP($B25,"INTERVAL_MAE_MOV_AVG","CALC_INTERVAL","520D","TECH_STUDIES_PARAM1_OVERRIDE",50,"USE_PREVIOUS_BUSINESS_DAY","Y")),"")</f>
        <v>328.89389999999992</v>
      </c>
      <c r="W25">
        <f t="shared" si="4"/>
        <v>6892.2477999999992</v>
      </c>
      <c r="X25">
        <f t="shared" si="15"/>
        <v>4.7452737616898985E-2</v>
      </c>
      <c r="Y25">
        <f t="shared" si="16"/>
        <v>4.7719395695552322E-2</v>
      </c>
      <c r="Z25" s="11" t="str">
        <f t="shared" si="17"/>
        <v>NEGATIVE</v>
      </c>
      <c r="AA25" s="11" t="str">
        <f t="shared" si="18"/>
        <v/>
      </c>
      <c r="AB25" s="11" t="str">
        <f t="shared" si="19"/>
        <v>DOWN</v>
      </c>
      <c r="AC25" s="6" t="str">
        <f t="shared" si="20"/>
        <v>NEGATIVE</v>
      </c>
      <c r="AD25" cm="1">
        <f t="array" ref="AD25">IFERROR(VALUE(_xll.BDP($B25,"INTERVAL_MAE_MOV_AVG","CALC_INTERVAL","520D","TECH_STUDIES_PARAM1_OVERRIDE",65,"USE_PREVIOUS_BUSINESS_DAY","N")),"")</f>
        <v>332.34752681051549</v>
      </c>
      <c r="AE25">
        <f t="shared" si="5"/>
        <v>6856.0226153846133</v>
      </c>
      <c r="AF25" cm="1">
        <f t="array" ref="AF25">IFERROR(VALUE(_xll.BDP($B25,"INTERVAL_MAE_MOV_AVG","CALC_INTERVAL","520D","TECH_STUDIES_PARAM1_OVERRIDE",65,"USE_PREVIOUS_BUSINESS_DAY","Y")),"")</f>
        <v>333.48671764276907</v>
      </c>
      <c r="AG25">
        <f t="shared" si="6"/>
        <v>6852.6203076923057</v>
      </c>
      <c r="AH25">
        <f t="shared" si="21"/>
        <v>4.8475266995873414E-2</v>
      </c>
      <c r="AI25">
        <f t="shared" si="22"/>
        <v>4.866557647567582E-2</v>
      </c>
      <c r="AJ25" s="10" t="str">
        <f t="shared" si="23"/>
        <v>DOWN</v>
      </c>
      <c r="AK25" s="10" t="str">
        <f t="shared" si="24"/>
        <v>DOWN</v>
      </c>
      <c r="AL25" s="6" t="str">
        <f t="shared" si="25"/>
        <v>NEGATIVE</v>
      </c>
      <c r="AM25" cm="1">
        <f t="array" ref="AM25">IFERROR(VALUE(_xll.BDP($B25,"INTERVAL_MAE_MOV_AVG","CALC_INTERVAL","65W","PERIODICITY_OVERRIDE","W","TECH_STUDIES_PARAM1_OVERRIDE",39,"USE_PREVIOUS_BUSINESS_DAY","N")),"")</f>
        <v>328.94023349626912</v>
      </c>
      <c r="AN25">
        <f t="shared" si="7"/>
        <v>6560.7735897435905</v>
      </c>
      <c r="AO25" cm="1">
        <f t="array" ref="AO25">IFERROR(VALUE(_xll.BDP($B25,"INTERVAL_MAE_MOV_AVG","CALC_INTERVAL","65W","PERIODICITY_OVERRIDE","W","TECH_STUDIES_PARAM1_OVERRIDE",39,"USE_PREVIOUS_BUSINESS_DAY","Y")),"")</f>
        <v>328.7938230833584</v>
      </c>
      <c r="AP25">
        <f t="shared" si="8"/>
        <v>6560.7823076923087</v>
      </c>
      <c r="AQ25">
        <f t="shared" si="26"/>
        <v>5.0137415808784953E-2</v>
      </c>
      <c r="AR25">
        <f t="shared" si="27"/>
        <v>5.0115033187103024E-2</v>
      </c>
      <c r="AS25" s="10" t="str">
        <f t="shared" si="28"/>
        <v>UP</v>
      </c>
      <c r="AT25" s="10" t="str">
        <f t="shared" si="29"/>
        <v>UP</v>
      </c>
      <c r="AU25" s="6" t="str">
        <f t="shared" si="30"/>
        <v>NEGATIVE</v>
      </c>
      <c r="AV25" cm="1">
        <f t="array" ref="AV25">IFERROR(VALUE(_xll.BDP($B25,"INTERVAL_exp_MOV_AVG","CALC_INTERVAL","520D","TECH_STUDIES_PARAM1_OVERRIDE",100,"USE_PREVIOUS_BUSINESS_DAY","N")),"")</f>
        <v>325.05135993175708</v>
      </c>
      <c r="AW25">
        <f t="shared" si="9"/>
        <v>6773.0064518682802</v>
      </c>
      <c r="AX25" cm="1">
        <f t="array" ref="AX25">IFERROR(VALUE(_xll.BDP($B25,"INTERVAL_exp_MOV_AVG","CALC_INTERVAL","520D","TECH_STUDIES_PARAM1_OVERRIDE",100,"USE_PREVIOUS_BUSINESS_DAY","Y")),"")</f>
        <v>326.02512128392578</v>
      </c>
      <c r="AY25">
        <f t="shared" si="10"/>
        <v>6769.6039787132295</v>
      </c>
      <c r="AZ25">
        <f t="shared" si="31"/>
        <v>4.7992182237194564E-2</v>
      </c>
      <c r="BA25">
        <f t="shared" si="32"/>
        <v>4.8160146783932968E-2</v>
      </c>
      <c r="BB25" s="11" t="str">
        <f t="shared" si="33"/>
        <v>DOWN</v>
      </c>
      <c r="BC25" s="11" t="str">
        <f t="shared" si="34"/>
        <v>DOWN</v>
      </c>
      <c r="BD25" s="6" t="str">
        <f t="shared" si="35"/>
        <v>NEGATIVE</v>
      </c>
      <c r="BE25" s="12" cm="1">
        <f t="array" ref="BE25">_xll.BDP($B25, "INTERVAL_RSI", "TECH_STUDIES_PARAM1_OVERRIDE", "5", "PERIODICITY_OVERRIDE", "W")</f>
        <v>28.241877632190025</v>
      </c>
      <c r="BF25" cm="1">
        <f t="array" ref="BF25">IFERROR(VALUE(_xll.BDP($B25,"INTERVAL_MAE_MOV_AVG","CALC_INTERVAL","520D","TECH_STUDIES_PARAM1_OVERRIDE",31,"USE_PREVIOUS_BUSINESS_DAY","N")),"")</f>
        <v>306.82451632591983</v>
      </c>
      <c r="BG25" cm="1">
        <f t="array" ref="BG25">IFERROR(VALUE(_xll.BDP($B25,"INTERVAL_MAE_MOV_AVG","CALC_INTERVAL","760D","TECH_STUDIES_PARAM1_OVERRIDE",200,"USE_PREVIOUS_BUSINESS_DAY","N")),"")</f>
        <v>325.16075586218551</v>
      </c>
      <c r="BH25" s="13">
        <f t="shared" si="36"/>
        <v>-9.7692702932772879E-2</v>
      </c>
      <c r="BI25" s="13">
        <f t="shared" si="37"/>
        <v>-0.15373580510125562</v>
      </c>
      <c r="BJ25" s="13">
        <f t="shared" si="38"/>
        <v>-0.1485749894204984</v>
      </c>
      <c r="BK25" s="32" cm="1">
        <f t="array" ref="BK25">VALUE(_xll.BDP($B25,"INTERVAL_DATE_OF_CALC_HI","CALC_INTERVAL","3M"))</f>
        <v>46002</v>
      </c>
      <c r="BL25" s="32" cm="1">
        <f t="array" ref="BL25">VALUE(_xll.BDP($B25,"INTERVAL_DATE_OF_CALC_LO","CALC_INTERVAL","3M"))</f>
        <v>46058</v>
      </c>
      <c r="BM25" s="32" cm="1">
        <f t="array" ref="BM25">VALUE(_xll.BDP($B25,"INTERVAL_DATE_OF_CALC_HI","CALC_INTERVAL","1M"))</f>
        <v>46037</v>
      </c>
      <c r="BN25" s="32" cm="1">
        <f t="array" ref="BN25">VALUE(_xll.BDP($B25,"INTERVAL_DATE_OF_CALC_LO","CALC_INTERVAL","1M"))</f>
        <v>46058</v>
      </c>
      <c r="BO25" s="15">
        <f>IFERROR(VLOOKUP($F25,PIVOT!$A:$C,2,FALSE),0)</f>
        <v>0</v>
      </c>
      <c r="BP25" s="15">
        <f>IFERROR(VLOOKUP($F25,PIVOT!$A:$C,3,FALSE),0)</f>
        <v>0</v>
      </c>
      <c r="BQ25" s="15">
        <f t="shared" si="11"/>
        <v>41.013264208672176</v>
      </c>
    </row>
    <row r="26" spans="1:69" x14ac:dyDescent="0.25">
      <c r="A26">
        <v>25</v>
      </c>
      <c r="B26" t="s">
        <v>30</v>
      </c>
      <c r="J26" s="24"/>
      <c r="K26" s="15">
        <f>_xll.BDP($B26,"interval_rsi","tech_studies_param1_override",14)</f>
        <v>69.267547998944096</v>
      </c>
      <c r="L26" s="15">
        <f t="shared" si="0"/>
        <v>52.525531939815814</v>
      </c>
      <c r="M26">
        <f t="shared" si="12"/>
        <v>1</v>
      </c>
      <c r="N26" cm="1">
        <f t="array" ref="N26">IFERROR(VALUE(_xll.BDP($B26,"px_last")),"")</f>
        <v>241.07</v>
      </c>
      <c r="O26">
        <f t="shared" si="1"/>
        <v>6941.47</v>
      </c>
      <c r="P26" cm="1">
        <f t="array" ref="P26">IFERROR(VALUE(_xll.BDP($B26,"PX_YEST_CLOSE")),"")</f>
        <v>248.19</v>
      </c>
      <c r="Q26">
        <f t="shared" si="2"/>
        <v>6941.81</v>
      </c>
      <c r="R26">
        <f t="shared" si="13"/>
        <v>3.4728955106051021E-2</v>
      </c>
      <c r="S26">
        <f t="shared" si="14"/>
        <v>3.5752923228956138E-2</v>
      </c>
      <c r="T26" cm="1">
        <f t="array" ref="T26">IFERROR(VALUE(_xll.BDP($B26,"INTERVAL_MAE_MOV_AVG","CALC_INTERVAL","520D","TECH_STUDIES_PARAM1_OVERRIDE",50,"USE_PREVIOUS_BUSINESS_DAY","N")),"")</f>
        <v>206.62830014648438</v>
      </c>
      <c r="U26">
        <f t="shared" si="3"/>
        <v>6894.0953999999992</v>
      </c>
      <c r="V26" cm="1">
        <f t="array" ref="V26">IFERROR(VALUE(_xll.BDP($B26,"INTERVAL_MAE_MOV_AVG","CALC_INTERVAL","520D","TECH_STUDIES_PARAM1_OVERRIDE",50,"USE_PREVIOUS_BUSINESS_DAY","Y")),"")</f>
        <v>205.80930000000001</v>
      </c>
      <c r="W26">
        <f t="shared" si="4"/>
        <v>6892.2477999999992</v>
      </c>
      <c r="X26">
        <f t="shared" si="15"/>
        <v>2.9971778479666006E-2</v>
      </c>
      <c r="Y26">
        <f t="shared" si="16"/>
        <v>2.9860983814308018E-2</v>
      </c>
      <c r="Z26" s="11" t="str">
        <f t="shared" si="17"/>
        <v>POSITIVE</v>
      </c>
      <c r="AA26" s="11" t="str">
        <f t="shared" si="18"/>
        <v/>
      </c>
      <c r="AB26" s="11" t="str">
        <f t="shared" si="19"/>
        <v>UP</v>
      </c>
      <c r="AC26" s="6" t="str">
        <f t="shared" si="20"/>
        <v>POSITIVE</v>
      </c>
      <c r="AD26" cm="1">
        <f t="array" ref="AD26">IFERROR(VALUE(_xll.BDP($B26,"INTERVAL_MAE_MOV_AVG","CALC_INTERVAL","520D","TECH_STUDIES_PARAM1_OVERRIDE",65,"USE_PREVIOUS_BUSINESS_DAY","N")),"")</f>
        <v>205.94069242037259</v>
      </c>
      <c r="AE26">
        <f t="shared" si="5"/>
        <v>6856.0226153846133</v>
      </c>
      <c r="AF26" cm="1">
        <f t="array" ref="AF26">IFERROR(VALUE(_xll.BDP($B26,"INTERVAL_MAE_MOV_AVG","CALC_INTERVAL","520D","TECH_STUDIES_PARAM1_OVERRIDE",65,"USE_PREVIOUS_BUSINESS_DAY","Y")),"")</f>
        <v>205.5836153846154</v>
      </c>
      <c r="AG26">
        <f t="shared" si="6"/>
        <v>6852.6203076923057</v>
      </c>
      <c r="AH26">
        <f t="shared" si="21"/>
        <v>3.0037924898067097E-2</v>
      </c>
      <c r="AI26">
        <f t="shared" si="22"/>
        <v>3.0000730545925711E-2</v>
      </c>
      <c r="AJ26" s="10" t="str">
        <f t="shared" si="23"/>
        <v>UP</v>
      </c>
      <c r="AK26" s="10" t="str">
        <f t="shared" si="24"/>
        <v>UP</v>
      </c>
      <c r="AL26" s="6" t="str">
        <f t="shared" si="25"/>
        <v>POSITIVE</v>
      </c>
      <c r="AM26" cm="1">
        <f t="array" ref="AM26">IFERROR(VALUE(_xll.BDP($B26,"INTERVAL_MAE_MOV_AVG","CALC_INTERVAL","65W","PERIODICITY_OVERRIDE","W","TECH_STUDIES_PARAM1_OVERRIDE",39,"USE_PREVIOUS_BUSINESS_DAY","N")),"")</f>
        <v>273.57692326472358</v>
      </c>
      <c r="AN26">
        <f t="shared" si="7"/>
        <v>6560.7735897435905</v>
      </c>
      <c r="AO26" cm="1">
        <f t="array" ref="AO26">IFERROR(VALUE(_xll.BDP($B26,"INTERVAL_MAE_MOV_AVG","CALC_INTERVAL","65W","PERIODICITY_OVERRIDE","W","TECH_STUDIES_PARAM1_OVERRIDE",39,"USE_PREVIOUS_BUSINESS_DAY","Y")),"")</f>
        <v>273.75948717948717</v>
      </c>
      <c r="AP26">
        <f t="shared" si="8"/>
        <v>6560.7823076923087</v>
      </c>
      <c r="AQ26">
        <f t="shared" si="26"/>
        <v>4.1698881926424708E-2</v>
      </c>
      <c r="AR26">
        <f t="shared" si="27"/>
        <v>4.1726653063692248E-2</v>
      </c>
      <c r="AS26" s="10" t="str">
        <f t="shared" si="28"/>
        <v>DOWN</v>
      </c>
      <c r="AT26" s="10" t="str">
        <f t="shared" si="29"/>
        <v>DOWN</v>
      </c>
      <c r="AU26" s="6" t="str">
        <f t="shared" si="30"/>
        <v>NEGATIVE</v>
      </c>
      <c r="AV26" cm="1">
        <f t="array" ref="AV26">IFERROR(VALUE(_xll.BDP($B26,"INTERVAL_exp_MOV_AVG","CALC_INTERVAL","520D","TECH_STUDIES_PARAM1_OVERRIDE",100,"USE_PREVIOUS_BUSINESS_DAY","N")),"")</f>
        <v>228.80010841941464</v>
      </c>
      <c r="AW26">
        <f t="shared" si="9"/>
        <v>6773.0064518682802</v>
      </c>
      <c r="AX26" cm="1">
        <f t="array" ref="AX26">IFERROR(VALUE(_xll.BDP($B26,"INTERVAL_exp_MOV_AVG","CALC_INTERVAL","520D","TECH_STUDIES_PARAM1_OVERRIDE",100,"USE_PREVIOUS_BUSINESS_DAY","Y")),"")</f>
        <v>228.55251410618419</v>
      </c>
      <c r="AY26">
        <f t="shared" si="10"/>
        <v>6769.6039787132295</v>
      </c>
      <c r="AZ26">
        <f t="shared" si="31"/>
        <v>3.3781173847295232E-2</v>
      </c>
      <c r="BA26">
        <f t="shared" si="32"/>
        <v>3.3761578199383475E-2</v>
      </c>
      <c r="BB26" s="11" t="str">
        <f t="shared" si="33"/>
        <v>UP</v>
      </c>
      <c r="BC26" s="11" t="str">
        <f t="shared" si="34"/>
        <v>UP</v>
      </c>
      <c r="BD26" s="6" t="str">
        <f t="shared" si="35"/>
        <v>POSITIVE</v>
      </c>
      <c r="BE26" s="12" cm="1">
        <f t="array" ref="BE26">_xll.BDP($B26, "INTERVAL_RSI", "TECH_STUDIES_PARAM1_OVERRIDE", "5", "PERIODICITY_OVERRIDE", "W")</f>
        <v>77.944177661275319</v>
      </c>
      <c r="BF26" cm="1">
        <f t="array" ref="BF26">IFERROR(VALUE(_xll.BDP($B26,"INTERVAL_MAE_MOV_AVG","CALC_INTERVAL","520D","TECH_STUDIES_PARAM1_OVERRIDE",31,"USE_PREVIOUS_BUSINESS_DAY","N")),"")</f>
        <v>207.13225830078125</v>
      </c>
      <c r="BG26" cm="1">
        <f t="array" ref="BG26">IFERROR(VALUE(_xll.BDP($B26,"INTERVAL_MAE_MOV_AVG","CALC_INTERVAL","760D","TECH_STUDIES_PARAM1_OVERRIDE",200,"USE_PREVIOUS_BUSINESS_DAY","N")),"")</f>
        <v>285.39892503662111</v>
      </c>
      <c r="BH26" s="13">
        <f t="shared" si="36"/>
        <v>0.16384575718735706</v>
      </c>
      <c r="BI26" s="13">
        <f t="shared" si="37"/>
        <v>0.16668433040923714</v>
      </c>
      <c r="BJ26" s="13">
        <f t="shared" si="38"/>
        <v>-0.15532267695448754</v>
      </c>
      <c r="BK26" s="32" cm="1">
        <f t="array" ref="BK26">VALUE(_xll.BDP($B26,"INTERVAL_DATE_OF_CALC_HI","CALC_INTERVAL","3M"))</f>
        <v>46063</v>
      </c>
      <c r="BL26" s="32" cm="1">
        <f t="array" ref="BL26">VALUE(_xll.BDP($B26,"INTERVAL_DATE_OF_CALC_LO","CALC_INTERVAL","3M"))</f>
        <v>46050</v>
      </c>
      <c r="BM26" s="32" cm="1">
        <f t="array" ref="BM26">VALUE(_xll.BDP($B26,"INTERVAL_DATE_OF_CALC_HI","CALC_INTERVAL","1M"))</f>
        <v>46063</v>
      </c>
      <c r="BN26" s="32" cm="1">
        <f t="array" ref="BN26">VALUE(_xll.BDP($B26,"INTERVAL_DATE_OF_CALC_LO","CALC_INTERVAL","1M"))</f>
        <v>46050</v>
      </c>
      <c r="BO26" s="15">
        <f>IFERROR(VLOOKUP($F26,PIVOT!$A:$C,2,FALSE),0)</f>
        <v>0</v>
      </c>
      <c r="BP26" s="15">
        <f>IFERROR(VLOOKUP($F26,PIVOT!$A:$C,3,FALSE),0)</f>
        <v>0</v>
      </c>
      <c r="BQ26" s="15">
        <f t="shared" si="11"/>
        <v>69.267547998944096</v>
      </c>
    </row>
    <row r="27" spans="1:69" x14ac:dyDescent="0.25">
      <c r="A27">
        <v>26</v>
      </c>
      <c r="B27" t="s">
        <v>31</v>
      </c>
      <c r="J27" s="24"/>
      <c r="K27" s="15">
        <f>_xll.BDP($B27,"interval_rsi","tech_studies_param1_override",14)</f>
        <v>78.105042821347922</v>
      </c>
      <c r="L27" s="15">
        <f t="shared" si="0"/>
        <v>52.525531939815814</v>
      </c>
      <c r="M27">
        <f t="shared" si="12"/>
        <v>1</v>
      </c>
      <c r="N27" cm="1">
        <f t="array" ref="N27">IFERROR(VALUE(_xll.BDP($B27,"px_last")),"")</f>
        <v>32.479999999999997</v>
      </c>
      <c r="O27">
        <f t="shared" si="1"/>
        <v>6941.47</v>
      </c>
      <c r="P27" cm="1">
        <f t="array" ref="P27">IFERROR(VALUE(_xll.BDP($B27,"PX_YEST_CLOSE")),"")</f>
        <v>32.31</v>
      </c>
      <c r="Q27">
        <f t="shared" si="2"/>
        <v>6941.81</v>
      </c>
      <c r="R27">
        <f t="shared" si="13"/>
        <v>4.6791241624612647E-3</v>
      </c>
      <c r="S27">
        <f t="shared" si="14"/>
        <v>4.6544056953445861E-3</v>
      </c>
      <c r="T27" cm="1">
        <f t="array" ref="T27">IFERROR(VALUE(_xll.BDP($B27,"INTERVAL_MAE_MOV_AVG","CALC_INTERVAL","520D","TECH_STUDIES_PARAM1_OVERRIDE",50,"USE_PREVIOUS_BUSINESS_DAY","N")),"")</f>
        <v>27.953375837166696</v>
      </c>
      <c r="U27">
        <f t="shared" si="3"/>
        <v>6894.0953999999992</v>
      </c>
      <c r="V27" cm="1">
        <f t="array" ref="V27">IFERROR(VALUE(_xll.BDP($B27,"INTERVAL_MAE_MOV_AVG","CALC_INTERVAL","520D","TECH_STUDIES_PARAM1_OVERRIDE",50,"USE_PREVIOUS_BUSINESS_DAY","Y")),"")</f>
        <v>27.798061802668531</v>
      </c>
      <c r="W27">
        <f t="shared" si="4"/>
        <v>6892.2477999999992</v>
      </c>
      <c r="X27">
        <f t="shared" si="15"/>
        <v>4.054683640897499E-3</v>
      </c>
      <c r="Y27">
        <f t="shared" si="16"/>
        <v>4.033235978931073E-3</v>
      </c>
      <c r="Z27" s="11" t="str">
        <f t="shared" si="17"/>
        <v>POSITIVE</v>
      </c>
      <c r="AA27" s="11" t="str">
        <f t="shared" si="18"/>
        <v/>
      </c>
      <c r="AB27" s="11" t="str">
        <f t="shared" si="19"/>
        <v>UP</v>
      </c>
      <c r="AC27" s="6" t="str">
        <f t="shared" si="20"/>
        <v>POSITIVE</v>
      </c>
      <c r="AD27" cm="1">
        <f t="array" ref="AD27">IFERROR(VALUE(_xll.BDP($B27,"INTERVAL_MAE_MOV_AVG","CALC_INTERVAL","520D","TECH_STUDIES_PARAM1_OVERRIDE",65,"USE_PREVIOUS_BUSINESS_DAY","N")),"")</f>
        <v>27.302340249640924</v>
      </c>
      <c r="AE27">
        <f t="shared" si="5"/>
        <v>6856.0226153846133</v>
      </c>
      <c r="AF27" cm="1">
        <f t="array" ref="AF27">IFERROR(VALUE(_xll.BDP($B27,"INTERVAL_MAE_MOV_AVG","CALC_INTERVAL","520D","TECH_STUDIES_PARAM1_OVERRIDE",65,"USE_PREVIOUS_BUSINESS_DAY","Y")),"")</f>
        <v>27.191700301293192</v>
      </c>
      <c r="AG27">
        <f t="shared" si="6"/>
        <v>6852.6203076923057</v>
      </c>
      <c r="AH27">
        <f t="shared" si="21"/>
        <v>3.9822418596425968E-3</v>
      </c>
      <c r="AI27">
        <f t="shared" si="22"/>
        <v>3.9680733909581356E-3</v>
      </c>
      <c r="AJ27" s="10" t="str">
        <f t="shared" si="23"/>
        <v>UP</v>
      </c>
      <c r="AK27" s="10" t="str">
        <f t="shared" si="24"/>
        <v>UP</v>
      </c>
      <c r="AL27" s="6" t="str">
        <f t="shared" si="25"/>
        <v>POSITIVE</v>
      </c>
      <c r="AM27" cm="1">
        <f t="array" ref="AM27">IFERROR(VALUE(_xll.BDP($B27,"INTERVAL_MAE_MOV_AVG","CALC_INTERVAL","65W","PERIODICITY_OVERRIDE","W","TECH_STUDIES_PARAM1_OVERRIDE",39,"USE_PREVIOUS_BUSINESS_DAY","N")),"")</f>
        <v>29.145180801967356</v>
      </c>
      <c r="AN27">
        <f t="shared" si="7"/>
        <v>6560.7735897435905</v>
      </c>
      <c r="AO27" cm="1">
        <f t="array" ref="AO27">IFERROR(VALUE(_xll.BDP($B27,"INTERVAL_MAE_MOV_AVG","CALC_INTERVAL","65W","PERIODICITY_OVERRIDE","W","TECH_STUDIES_PARAM1_OVERRIDE",39,"USE_PREVIOUS_BUSINESS_DAY","Y")),"")</f>
        <v>29.140821839345918</v>
      </c>
      <c r="AP27">
        <f t="shared" si="8"/>
        <v>6560.7823076923087</v>
      </c>
      <c r="AQ27">
        <f t="shared" si="26"/>
        <v>4.4423390631144173E-3</v>
      </c>
      <c r="AR27">
        <f t="shared" si="27"/>
        <v>4.4416687633697634E-3</v>
      </c>
      <c r="AS27" s="10" t="str">
        <f t="shared" si="28"/>
        <v>UP</v>
      </c>
      <c r="AT27" s="10" t="str">
        <f t="shared" si="29"/>
        <v>UP</v>
      </c>
      <c r="AU27" s="6" t="str">
        <f t="shared" si="30"/>
        <v>POSITIVE</v>
      </c>
      <c r="AV27" cm="1">
        <f t="array" ref="AV27">IFERROR(VALUE(_xll.BDP($B27,"INTERVAL_exp_MOV_AVG","CALC_INTERVAL","520D","TECH_STUDIES_PARAM1_OVERRIDE",100,"USE_PREVIOUS_BUSINESS_DAY","N")),"")</f>
        <v>28.36284652189628</v>
      </c>
      <c r="AW27">
        <f t="shared" si="9"/>
        <v>6773.0064518682802</v>
      </c>
      <c r="AX27" cm="1">
        <f t="array" ref="AX27">IFERROR(VALUE(_xll.BDP($B27,"INTERVAL_exp_MOV_AVG","CALC_INTERVAL","520D","TECH_STUDIES_PARAM1_OVERRIDE",100,"USE_PREVIOUS_BUSINESS_DAY","Y")),"")</f>
        <v>28.279691740594064</v>
      </c>
      <c r="AY27">
        <f t="shared" si="10"/>
        <v>6769.6039787132295</v>
      </c>
      <c r="AZ27">
        <f t="shared" si="31"/>
        <v>4.187630223513609E-3</v>
      </c>
      <c r="BA27">
        <f t="shared" si="32"/>
        <v>4.1774514180620481E-3</v>
      </c>
      <c r="BB27" s="11" t="str">
        <f t="shared" si="33"/>
        <v>UP</v>
      </c>
      <c r="BC27" s="11" t="str">
        <f t="shared" si="34"/>
        <v>UP</v>
      </c>
      <c r="BD27" s="6" t="str">
        <f t="shared" si="35"/>
        <v>POSITIVE</v>
      </c>
      <c r="BE27" s="12" cm="1">
        <f t="array" ref="BE27">_xll.BDP($B27, "INTERVAL_RSI", "TECH_STUDIES_PARAM1_OVERRIDE", "5", "PERIODICITY_OVERRIDE", "W")</f>
        <v>92.763023920617471</v>
      </c>
      <c r="BF27" cm="1">
        <f t="array" ref="BF27">IFERROR(VALUE(_xll.BDP($B27,"INTERVAL_MAE_MOV_AVG","CALC_INTERVAL","520D","TECH_STUDIES_PARAM1_OVERRIDE",31,"USE_PREVIOUS_BUSINESS_DAY","N")),"")</f>
        <v>29.02877116841865</v>
      </c>
      <c r="BG27" cm="1">
        <f t="array" ref="BG27">IFERROR(VALUE(_xll.BDP($B27,"INTERVAL_MAE_MOV_AVG","CALC_INTERVAL","760D","TECH_STUDIES_PARAM1_OVERRIDE",200,"USE_PREVIOUS_BUSINESS_DAY","N")),"")</f>
        <v>29.300794734488523</v>
      </c>
      <c r="BH27" s="13">
        <f t="shared" si="36"/>
        <v>0.11888993893534328</v>
      </c>
      <c r="BI27" s="13">
        <f t="shared" si="37"/>
        <v>0.16193479418019763</v>
      </c>
      <c r="BJ27" s="13">
        <f t="shared" si="38"/>
        <v>0.10850235614153458</v>
      </c>
      <c r="BK27" s="32" cm="1">
        <f t="array" ref="BK27">VALUE(_xll.BDP($B27,"INTERVAL_DATE_OF_CALC_HI","CALC_INTERVAL","3M"))</f>
        <v>46064</v>
      </c>
      <c r="BL27" s="32" cm="1">
        <f t="array" ref="BL27">VALUE(_xll.BDP($B27,"INTERVAL_DATE_OF_CALC_LO","CALC_INTERVAL","3M"))</f>
        <v>45985</v>
      </c>
      <c r="BM27" s="32" cm="1">
        <f t="array" ref="BM27">VALUE(_xll.BDP($B27,"INTERVAL_DATE_OF_CALC_HI","CALC_INTERVAL","1M"))</f>
        <v>46064</v>
      </c>
      <c r="BN27" s="32" cm="1">
        <f t="array" ref="BN27">VALUE(_xll.BDP($B27,"INTERVAL_DATE_OF_CALC_LO","CALC_INTERVAL","1M"))</f>
        <v>46038</v>
      </c>
      <c r="BO27" s="15">
        <f>IFERROR(VLOOKUP($F27,PIVOT!$A:$C,2,FALSE),0)</f>
        <v>0</v>
      </c>
      <c r="BP27" s="15">
        <f>IFERROR(VLOOKUP($F27,PIVOT!$A:$C,3,FALSE),0)</f>
        <v>0</v>
      </c>
      <c r="BQ27" s="15">
        <f t="shared" si="11"/>
        <v>78.105042821347922</v>
      </c>
    </row>
    <row r="28" spans="1:69" x14ac:dyDescent="0.25">
      <c r="A28">
        <v>27</v>
      </c>
      <c r="B28" t="s">
        <v>33</v>
      </c>
      <c r="J28" s="24"/>
      <c r="K28" s="15">
        <f>_xll.BDP($B28,"interval_rsi","tech_studies_param1_override",14)</f>
        <v>58.447035757621357</v>
      </c>
      <c r="L28" s="15">
        <f t="shared" si="0"/>
        <v>52.525531939815814</v>
      </c>
      <c r="M28">
        <f t="shared" si="12"/>
        <v>0</v>
      </c>
      <c r="N28" cm="1">
        <f t="array" ref="N28">IFERROR(VALUE(_xll.BDP($B28,"px_last")),"")</f>
        <v>978.14</v>
      </c>
      <c r="O28">
        <f t="shared" si="1"/>
        <v>6941.47</v>
      </c>
      <c r="P28" cm="1">
        <f t="array" ref="P28">IFERROR(VALUE(_xll.BDP($B28,"PX_YEST_CLOSE")),"")</f>
        <v>971.23</v>
      </c>
      <c r="Q28">
        <f t="shared" si="2"/>
        <v>6941.81</v>
      </c>
      <c r="R28">
        <f t="shared" si="13"/>
        <v>0.14091251564870264</v>
      </c>
      <c r="S28">
        <f t="shared" si="14"/>
        <v>0.13991019633208054</v>
      </c>
      <c r="T28" cm="1">
        <f t="array" ref="T28">IFERROR(VALUE(_xll.BDP($B28,"INTERVAL_MAE_MOV_AVG","CALC_INTERVAL","520D","TECH_STUDIES_PARAM1_OVERRIDE",50,"USE_PREVIOUS_BUSINESS_DAY","N")),"")</f>
        <v>918.53895633576872</v>
      </c>
      <c r="U28">
        <f t="shared" si="3"/>
        <v>6894.0953999999992</v>
      </c>
      <c r="V28" cm="1">
        <f t="array" ref="V28">IFERROR(VALUE(_xll.BDP($B28,"INTERVAL_MAE_MOV_AVG","CALC_INTERVAL","520D","TECH_STUDIES_PARAM1_OVERRIDE",50,"USE_PREVIOUS_BUSINESS_DAY","Y")),"")</f>
        <v>917.22303330760019</v>
      </c>
      <c r="W28">
        <f t="shared" si="4"/>
        <v>6892.2477999999992</v>
      </c>
      <c r="X28">
        <f t="shared" si="15"/>
        <v>0.13323560279362667</v>
      </c>
      <c r="Y28">
        <f t="shared" si="16"/>
        <v>0.13308039117624301</v>
      </c>
      <c r="Z28" s="11" t="str">
        <f t="shared" si="17"/>
        <v>NEGATIVE</v>
      </c>
      <c r="AA28" s="11" t="str">
        <f t="shared" si="18"/>
        <v/>
      </c>
      <c r="AB28" s="11" t="str">
        <f t="shared" si="19"/>
        <v>UP</v>
      </c>
      <c r="AC28" s="6" t="str">
        <f t="shared" si="20"/>
        <v>POSITIVE</v>
      </c>
      <c r="AD28" cm="1">
        <f t="array" ref="AD28">IFERROR(VALUE(_xll.BDP($B28,"INTERVAL_MAE_MOV_AVG","CALC_INTERVAL","520D","TECH_STUDIES_PARAM1_OVERRIDE",65,"USE_PREVIOUS_BUSINESS_DAY","N")),"")</f>
        <v>915.62273455428397</v>
      </c>
      <c r="AE28">
        <f t="shared" si="5"/>
        <v>6856.0226153846133</v>
      </c>
      <c r="AF28" cm="1">
        <f t="array" ref="AF28">IFERROR(VALUE(_xll.BDP($B28,"INTERVAL_MAE_MOV_AVG","CALC_INTERVAL","520D","TECH_STUDIES_PARAM1_OVERRIDE",65,"USE_PREVIOUS_BUSINESS_DAY","Y")),"")</f>
        <v>914.76396874246188</v>
      </c>
      <c r="AG28">
        <f t="shared" si="6"/>
        <v>6852.6203076923057</v>
      </c>
      <c r="AH28">
        <f t="shared" si="21"/>
        <v>0.13355013335277904</v>
      </c>
      <c r="AI28">
        <f t="shared" si="22"/>
        <v>0.1334911213037161</v>
      </c>
      <c r="AJ28" s="10" t="str">
        <f t="shared" si="23"/>
        <v>UP</v>
      </c>
      <c r="AK28" s="10" t="str">
        <f t="shared" si="24"/>
        <v>UP</v>
      </c>
      <c r="AL28" s="6" t="str">
        <f t="shared" si="25"/>
        <v>POSITIVE</v>
      </c>
      <c r="AM28" cm="1">
        <f t="array" ref="AM28">IFERROR(VALUE(_xll.BDP($B28,"INTERVAL_MAE_MOV_AVG","CALC_INTERVAL","65W","PERIODICITY_OVERRIDE","W","TECH_STUDIES_PARAM1_OVERRIDE",39,"USE_PREVIOUS_BUSINESS_DAY","N")),"")</f>
        <v>943.97968195877365</v>
      </c>
      <c r="AN28">
        <f t="shared" si="7"/>
        <v>6560.7735897435905</v>
      </c>
      <c r="AO28" cm="1">
        <f t="array" ref="AO28">IFERROR(VALUE(_xll.BDP($B28,"INTERVAL_MAE_MOV_AVG","CALC_INTERVAL","65W","PERIODICITY_OVERRIDE","W","TECH_STUDIES_PARAM1_OVERRIDE",39,"USE_PREVIOUS_BUSINESS_DAY","Y")),"")</f>
        <v>943.8025020959933</v>
      </c>
      <c r="AP28">
        <f t="shared" si="8"/>
        <v>6560.7823076923087</v>
      </c>
      <c r="AQ28">
        <f t="shared" si="26"/>
        <v>0.14388237439476501</v>
      </c>
      <c r="AR28">
        <f t="shared" si="27"/>
        <v>0.14385517729942279</v>
      </c>
      <c r="AS28" s="10" t="str">
        <f t="shared" si="28"/>
        <v>UP</v>
      </c>
      <c r="AT28" s="10" t="str">
        <f t="shared" si="29"/>
        <v>UP</v>
      </c>
      <c r="AU28" s="6" t="str">
        <f t="shared" si="30"/>
        <v>NEGATIVE</v>
      </c>
      <c r="AV28" cm="1">
        <f t="array" ref="AV28">IFERROR(VALUE(_xll.BDP($B28,"INTERVAL_exp_MOV_AVG","CALC_INTERVAL","520D","TECH_STUDIES_PARAM1_OVERRIDE",100,"USE_PREVIOUS_BUSINESS_DAY","N")),"")</f>
        <v>932.14937724738024</v>
      </c>
      <c r="AW28">
        <f t="shared" si="9"/>
        <v>6773.0064518682802</v>
      </c>
      <c r="AX28" cm="1">
        <f t="array" ref="AX28">IFERROR(VALUE(_xll.BDP($B28,"INTERVAL_exp_MOV_AVG","CALC_INTERVAL","520D","TECH_STUDIES_PARAM1_OVERRIDE",100,"USE_PREVIOUS_BUSINESS_DAY","Y")),"")</f>
        <v>931.22019069497401</v>
      </c>
      <c r="AY28">
        <f t="shared" si="10"/>
        <v>6769.6039787132295</v>
      </c>
      <c r="AZ28">
        <f t="shared" si="31"/>
        <v>0.13762712081726339</v>
      </c>
      <c r="BA28">
        <f t="shared" si="32"/>
        <v>0.13755903500753686</v>
      </c>
      <c r="BB28" s="11" t="str">
        <f t="shared" si="33"/>
        <v>UP</v>
      </c>
      <c r="BC28" s="11" t="str">
        <f t="shared" si="34"/>
        <v>UP</v>
      </c>
      <c r="BD28" s="6" t="str">
        <f t="shared" si="35"/>
        <v>POSITIVE</v>
      </c>
      <c r="BE28" s="12" cm="1">
        <f t="array" ref="BE28">_xll.BDP($B28, "INTERVAL_RSI", "TECH_STUDIES_PARAM1_OVERRIDE", "5", "PERIODICITY_OVERRIDE", "W")</f>
        <v>61.094304394991539</v>
      </c>
      <c r="BF28" cm="1">
        <f t="array" ref="BF28">IFERROR(VALUE(_xll.BDP($B28,"INTERVAL_MAE_MOV_AVG","CALC_INTERVAL","520D","TECH_STUDIES_PARAM1_OVERRIDE",31,"USE_PREVIOUS_BUSINESS_DAY","N")),"")</f>
        <v>943.12352364027208</v>
      </c>
      <c r="BG28" cm="1">
        <f t="array" ref="BG28">IFERROR(VALUE(_xll.BDP($B28,"INTERVAL_MAE_MOV_AVG","CALC_INTERVAL","760D","TECH_STUDIES_PARAM1_OVERRIDE",200,"USE_PREVIOUS_BUSINESS_DAY","N")),"")</f>
        <v>949.08050499009403</v>
      </c>
      <c r="BH28" s="13">
        <f t="shared" si="36"/>
        <v>3.7128197401514518E-2</v>
      </c>
      <c r="BI28" s="13">
        <f t="shared" si="37"/>
        <v>6.4886789235365061E-2</v>
      </c>
      <c r="BJ28" s="13">
        <f t="shared" si="38"/>
        <v>3.0618577514885503E-2</v>
      </c>
      <c r="BK28" s="32" cm="1">
        <f t="array" ref="BK28">VALUE(_xll.BDP($B28,"INTERVAL_DATE_OF_CALC_HI","CALC_INTERVAL","3M"))</f>
        <v>46059</v>
      </c>
      <c r="BL28" s="32" cm="1">
        <f t="array" ref="BL28">VALUE(_xll.BDP($B28,"INTERVAL_DATE_OF_CALC_LO","CALC_INTERVAL","3M"))</f>
        <v>46013</v>
      </c>
      <c r="BM28" s="32" cm="1">
        <f t="array" ref="BM28">VALUE(_xll.BDP($B28,"INTERVAL_DATE_OF_CALC_HI","CALC_INTERVAL","1M"))</f>
        <v>46059</v>
      </c>
      <c r="BN28" s="32" cm="1">
        <f t="array" ref="BN28">VALUE(_xll.BDP($B28,"INTERVAL_DATE_OF_CALC_LO","CALC_INTERVAL","1M"))</f>
        <v>46052</v>
      </c>
      <c r="BO28" s="15">
        <f>IFERROR(VLOOKUP($F28,PIVOT!$A:$C,2,FALSE),0)</f>
        <v>0</v>
      </c>
      <c r="BP28" s="15">
        <f>IFERROR(VLOOKUP($F28,PIVOT!$A:$C,3,FALSE),0)</f>
        <v>0</v>
      </c>
      <c r="BQ28" s="15">
        <f t="shared" si="11"/>
        <v>58.447035757621357</v>
      </c>
    </row>
    <row r="29" spans="1:69" x14ac:dyDescent="0.25">
      <c r="A29">
        <v>28</v>
      </c>
      <c r="B29" t="s">
        <v>34</v>
      </c>
      <c r="J29" s="24"/>
      <c r="K29" s="15">
        <f>_xll.BDP($B29,"interval_rsi","tech_studies_param1_override",14)</f>
        <v>45.118494129050355</v>
      </c>
      <c r="L29" s="15">
        <f t="shared" si="0"/>
        <v>52.525531939815814</v>
      </c>
      <c r="M29">
        <f t="shared" si="12"/>
        <v>0</v>
      </c>
      <c r="N29" cm="1">
        <f t="array" ref="N29">IFERROR(VALUE(_xll.BDP($B29,"px_last")),"")</f>
        <v>39.51</v>
      </c>
      <c r="O29">
        <f t="shared" si="1"/>
        <v>6941.47</v>
      </c>
      <c r="P29" cm="1">
        <f t="array" ref="P29">IFERROR(VALUE(_xll.BDP($B29,"PX_YEST_CLOSE")),"")</f>
        <v>40.35</v>
      </c>
      <c r="Q29">
        <f t="shared" si="2"/>
        <v>6941.81</v>
      </c>
      <c r="R29">
        <f t="shared" si="13"/>
        <v>5.6918779451614714E-3</v>
      </c>
      <c r="S29">
        <f t="shared" si="14"/>
        <v>5.8126050698593017E-3</v>
      </c>
      <c r="T29" cm="1">
        <f t="array" ref="T29">IFERROR(VALUE(_xll.BDP($B29,"INTERVAL_MAE_MOV_AVG","CALC_INTERVAL","520D","TECH_STUDIES_PARAM1_OVERRIDE",50,"USE_PREVIOUS_BUSINESS_DAY","N")),"")</f>
        <v>39.596099966430671</v>
      </c>
      <c r="U29">
        <f t="shared" si="3"/>
        <v>6894.0953999999992</v>
      </c>
      <c r="V29" cm="1">
        <f t="array" ref="V29">IFERROR(VALUE(_xll.BDP($B29,"INTERVAL_MAE_MOV_AVG","CALC_INTERVAL","520D","TECH_STUDIES_PARAM1_OVERRIDE",50,"USE_PREVIOUS_BUSINESS_DAY","Y")),"")</f>
        <v>39.58550000000001</v>
      </c>
      <c r="W29">
        <f t="shared" si="4"/>
        <v>6892.2477999999992</v>
      </c>
      <c r="X29">
        <f t="shared" si="15"/>
        <v>5.743480133221057E-3</v>
      </c>
      <c r="Y29">
        <f t="shared" si="16"/>
        <v>5.74348182896152E-3</v>
      </c>
      <c r="Z29" s="11" t="str">
        <f t="shared" si="17"/>
        <v>NEGATIVE</v>
      </c>
      <c r="AA29" s="11" t="str">
        <f t="shared" si="18"/>
        <v/>
      </c>
      <c r="AB29" s="11" t="str">
        <f t="shared" si="19"/>
        <v>DOWN</v>
      </c>
      <c r="AC29" s="6" t="str">
        <f t="shared" si="20"/>
        <v>SELL</v>
      </c>
      <c r="AD29" cm="1">
        <f t="array" ref="AD29">IFERROR(VALUE(_xll.BDP($B29,"INTERVAL_MAE_MOV_AVG","CALC_INTERVAL","520D","TECH_STUDIES_PARAM1_OVERRIDE",65,"USE_PREVIOUS_BUSINESS_DAY","N")),"")</f>
        <v>39.823307666485135</v>
      </c>
      <c r="AE29">
        <f t="shared" si="5"/>
        <v>6856.0226153846133</v>
      </c>
      <c r="AF29" cm="1">
        <f t="array" ref="AF29">IFERROR(VALUE(_xll.BDP($B29,"INTERVAL_MAE_MOV_AVG","CALC_INTERVAL","520D","TECH_STUDIES_PARAM1_OVERRIDE",65,"USE_PREVIOUS_BUSINESS_DAY","Y")),"")</f>
        <v>39.830538461538474</v>
      </c>
      <c r="AG29">
        <f t="shared" si="6"/>
        <v>6852.6203076923057</v>
      </c>
      <c r="AH29">
        <f t="shared" si="21"/>
        <v>5.8085146302060591E-3</v>
      </c>
      <c r="AI29">
        <f t="shared" si="22"/>
        <v>5.8124537290979482E-3</v>
      </c>
      <c r="AJ29" s="10" t="str">
        <f t="shared" si="23"/>
        <v>DOWN</v>
      </c>
      <c r="AK29" s="10" t="str">
        <f t="shared" si="24"/>
        <v>DOWN</v>
      </c>
      <c r="AL29" s="6" t="str">
        <f t="shared" si="25"/>
        <v>SELL</v>
      </c>
      <c r="AM29" cm="1">
        <f t="array" ref="AM29">IFERROR(VALUE(_xll.BDP($B29,"INTERVAL_MAE_MOV_AVG","CALC_INTERVAL","65W","PERIODICITY_OVERRIDE","W","TECH_STUDIES_PARAM1_OVERRIDE",39,"USE_PREVIOUS_BUSINESS_DAY","N")),"")</f>
        <v>44.416794828757268</v>
      </c>
      <c r="AN29">
        <f t="shared" si="7"/>
        <v>6560.7735897435905</v>
      </c>
      <c r="AO29" cm="1">
        <f t="array" ref="AO29">IFERROR(VALUE(_xll.BDP($B29,"INTERVAL_MAE_MOV_AVG","CALC_INTERVAL","65W","PERIODICITY_OVERRIDE","W","TECH_STUDIES_PARAM1_OVERRIDE",39,"USE_PREVIOUS_BUSINESS_DAY","Y")),"")</f>
        <v>44.43833333333334</v>
      </c>
      <c r="AP29">
        <f t="shared" si="8"/>
        <v>6560.7823076923087</v>
      </c>
      <c r="AQ29">
        <f t="shared" si="26"/>
        <v>6.7700545097599037E-3</v>
      </c>
      <c r="AR29">
        <f t="shared" si="27"/>
        <v>6.7733284308535598E-3</v>
      </c>
      <c r="AS29" s="10" t="str">
        <f t="shared" si="28"/>
        <v>DOWN</v>
      </c>
      <c r="AT29" s="10" t="str">
        <f t="shared" si="29"/>
        <v>DOWN</v>
      </c>
      <c r="AU29" s="6" t="str">
        <f t="shared" si="30"/>
        <v>NEGATIVE</v>
      </c>
      <c r="AV29" cm="1">
        <f t="array" ref="AV29">IFERROR(VALUE(_xll.BDP($B29,"INTERVAL_exp_MOV_AVG","CALC_INTERVAL","520D","TECH_STUDIES_PARAM1_OVERRIDE",100,"USE_PREVIOUS_BUSINESS_DAY","N")),"")</f>
        <v>41.797704207212654</v>
      </c>
      <c r="AW29">
        <f t="shared" si="9"/>
        <v>6773.0064518682802</v>
      </c>
      <c r="AX29" cm="1">
        <f t="array" ref="AX29">IFERROR(VALUE(_xll.BDP($B29,"INTERVAL_exp_MOV_AVG","CALC_INTERVAL","520D","TECH_STUDIES_PARAM1_OVERRIDE",100,"USE_PREVIOUS_BUSINESS_DAY","Y")),"")</f>
        <v>41.843925143209255</v>
      </c>
      <c r="AY29">
        <f t="shared" si="10"/>
        <v>6769.6039787132295</v>
      </c>
      <c r="AZ29">
        <f t="shared" si="31"/>
        <v>6.1712187201125564E-3</v>
      </c>
      <c r="BA29">
        <f t="shared" si="32"/>
        <v>6.1811481550155577E-3</v>
      </c>
      <c r="BB29" s="11" t="str">
        <f t="shared" si="33"/>
        <v>DOWN</v>
      </c>
      <c r="BC29" s="11" t="str">
        <f t="shared" si="34"/>
        <v>DOWN</v>
      </c>
      <c r="BD29" s="6" t="str">
        <f t="shared" si="35"/>
        <v>NEGATIVE</v>
      </c>
      <c r="BE29" s="12" cm="1">
        <f t="array" ref="BE29">_xll.BDP($B29, "INTERVAL_RSI", "TECH_STUDIES_PARAM1_OVERRIDE", "5", "PERIODICITY_OVERRIDE", "W")</f>
        <v>39.076603993719999</v>
      </c>
      <c r="BF29" cm="1">
        <f t="array" ref="BF29">IFERROR(VALUE(_xll.BDP($B29,"INTERVAL_MAE_MOV_AVG","CALC_INTERVAL","520D","TECH_STUDIES_PARAM1_OVERRIDE",31,"USE_PREVIOUS_BUSINESS_DAY","N")),"")</f>
        <v>39.993387042630104</v>
      </c>
      <c r="BG29" cm="1">
        <f t="array" ref="BG29">IFERROR(VALUE(_xll.BDP($B29,"INTERVAL_MAE_MOV_AVG","CALC_INTERVAL","760D","TECH_STUDIES_PARAM1_OVERRIDE",200,"USE_PREVIOUS_BUSINESS_DAY","N")),"")</f>
        <v>46.036624991607653</v>
      </c>
      <c r="BH29" s="13">
        <f t="shared" si="36"/>
        <v>-1.2086674282296928E-2</v>
      </c>
      <c r="BI29" s="13">
        <f t="shared" si="37"/>
        <v>-2.1744557293185141E-3</v>
      </c>
      <c r="BJ29" s="13">
        <f t="shared" si="38"/>
        <v>-0.14177027514066121</v>
      </c>
      <c r="BK29" s="32" cm="1">
        <f t="array" ref="BK29">VALUE(_xll.BDP($B29,"INTERVAL_DATE_OF_CALC_HI","CALC_INTERVAL","3M"))</f>
        <v>45974</v>
      </c>
      <c r="BL29" s="32" cm="1">
        <f t="array" ref="BL29">VALUE(_xll.BDP($B29,"INTERVAL_DATE_OF_CALC_LO","CALC_INTERVAL","3M"))</f>
        <v>46024</v>
      </c>
      <c r="BM29" s="32" cm="1">
        <f t="array" ref="BM29">VALUE(_xll.BDP($B29,"INTERVAL_DATE_OF_CALC_HI","CALC_INTERVAL","1M"))</f>
        <v>46048</v>
      </c>
      <c r="BN29" s="32" cm="1">
        <f t="array" ref="BN29">VALUE(_xll.BDP($B29,"INTERVAL_DATE_OF_CALC_LO","CALC_INTERVAL","1M"))</f>
        <v>46056</v>
      </c>
      <c r="BO29" s="15">
        <f>IFERROR(VLOOKUP($F29,PIVOT!$A:$C,2,FALSE),0)</f>
        <v>0</v>
      </c>
      <c r="BP29" s="15">
        <f>IFERROR(VLOOKUP($F29,PIVOT!$A:$C,3,FALSE),0)</f>
        <v>0</v>
      </c>
      <c r="BQ29" s="15">
        <f t="shared" si="11"/>
        <v>45.118494129050355</v>
      </c>
    </row>
    <row r="30" spans="1:69" x14ac:dyDescent="0.25">
      <c r="A30">
        <v>29</v>
      </c>
      <c r="B30" t="s">
        <v>36</v>
      </c>
      <c r="J30" s="24"/>
      <c r="K30" s="15">
        <f>_xll.BDP($B30,"interval_rsi","tech_studies_param1_override",14)</f>
        <v>40.371507672846732</v>
      </c>
      <c r="L30" s="15">
        <f t="shared" si="0"/>
        <v>52.525531939815814</v>
      </c>
      <c r="M30">
        <f t="shared" si="12"/>
        <v>0</v>
      </c>
      <c r="N30" cm="1">
        <f t="array" ref="N30">IFERROR(VALUE(_xll.BDP($B30,"px_last")),"")</f>
        <v>415.81</v>
      </c>
      <c r="O30">
        <f t="shared" si="1"/>
        <v>6941.47</v>
      </c>
      <c r="P30" cm="1">
        <f t="array" ref="P30">IFERROR(VALUE(_xll.BDP($B30,"PX_YEST_CLOSE")),"")</f>
        <v>413.39</v>
      </c>
      <c r="Q30">
        <f t="shared" si="2"/>
        <v>6941.81</v>
      </c>
      <c r="R30">
        <f t="shared" si="13"/>
        <v>5.990229735200181E-2</v>
      </c>
      <c r="S30">
        <f t="shared" si="14"/>
        <v>5.9550751172964968E-2</v>
      </c>
      <c r="T30" cm="1">
        <f t="array" ref="T30">IFERROR(VALUE(_xll.BDP($B30,"INTERVAL_MAE_MOV_AVG","CALC_INTERVAL","520D","TECH_STUDIES_PARAM1_OVERRIDE",50,"USE_PREVIOUS_BUSINESS_DAY","N")),"")</f>
        <v>467.15249995117188</v>
      </c>
      <c r="U30">
        <f t="shared" si="3"/>
        <v>6894.0953999999992</v>
      </c>
      <c r="V30" cm="1">
        <f t="array" ref="V30">IFERROR(VALUE(_xll.BDP($B30,"INTERVAL_MAE_MOV_AVG","CALC_INTERVAL","520D","TECH_STUDIES_PARAM1_OVERRIDE",50,"USE_PREVIOUS_BUSINESS_DAY","Y")),"")</f>
        <v>469.01949999999988</v>
      </c>
      <c r="W30">
        <f t="shared" si="4"/>
        <v>6892.2477999999992</v>
      </c>
      <c r="X30">
        <f t="shared" si="15"/>
        <v>6.7761246812913539E-2</v>
      </c>
      <c r="Y30">
        <f t="shared" si="16"/>
        <v>6.8050295579912254E-2</v>
      </c>
      <c r="Z30" s="11" t="str">
        <f t="shared" si="17"/>
        <v>NEGATIVE</v>
      </c>
      <c r="AA30" s="11" t="str">
        <f t="shared" si="18"/>
        <v/>
      </c>
      <c r="AB30" s="11" t="str">
        <f t="shared" si="19"/>
        <v>DOWN</v>
      </c>
      <c r="AC30" s="6" t="str">
        <f t="shared" si="20"/>
        <v>NEGATIVE</v>
      </c>
      <c r="AD30" cm="1">
        <f t="array" ref="AD30">IFERROR(VALUE(_xll.BDP($B30,"INTERVAL_MAE_MOV_AVG","CALC_INTERVAL","520D","TECH_STUDIES_PARAM1_OVERRIDE",65,"USE_PREVIOUS_BUSINESS_DAY","N")),"")</f>
        <v>480.16561534705522</v>
      </c>
      <c r="AE30">
        <f t="shared" si="5"/>
        <v>6856.0226153846133</v>
      </c>
      <c r="AF30" cm="1">
        <f t="array" ref="AF30">IFERROR(VALUE(_xll.BDP($B30,"INTERVAL_MAE_MOV_AVG","CALC_INTERVAL","520D","TECH_STUDIES_PARAM1_OVERRIDE",65,"USE_PREVIOUS_BUSINESS_DAY","Y")),"")</f>
        <v>481.96115384615376</v>
      </c>
      <c r="AG30">
        <f t="shared" si="6"/>
        <v>6852.6203076923057</v>
      </c>
      <c r="AH30">
        <f t="shared" si="21"/>
        <v>7.0035593854312073E-2</v>
      </c>
      <c r="AI30">
        <f t="shared" si="22"/>
        <v>7.0332388517883523E-2</v>
      </c>
      <c r="AJ30" s="10" t="str">
        <f t="shared" si="23"/>
        <v>DOWN</v>
      </c>
      <c r="AK30" s="10" t="str">
        <f t="shared" si="24"/>
        <v>DOWN</v>
      </c>
      <c r="AL30" s="6" t="str">
        <f t="shared" si="25"/>
        <v>NEGATIVE</v>
      </c>
      <c r="AM30" cm="1">
        <f t="array" ref="AM30">IFERROR(VALUE(_xll.BDP($B30,"INTERVAL_MAE_MOV_AVG","CALC_INTERVAL","65W","PERIODICITY_OVERRIDE","W","TECH_STUDIES_PARAM1_OVERRIDE",39,"USE_PREVIOUS_BUSINESS_DAY","N")),"")</f>
        <v>473.00807686047659</v>
      </c>
      <c r="AN30">
        <f t="shared" si="7"/>
        <v>6560.7735897435905</v>
      </c>
      <c r="AO30" cm="1">
        <f t="array" ref="AO30">IFERROR(VALUE(_xll.BDP($B30,"INTERVAL_MAE_MOV_AVG","CALC_INTERVAL","65W","PERIODICITY_OVERRIDE","W","TECH_STUDIES_PARAM1_OVERRIDE",39,"USE_PREVIOUS_BUSINESS_DAY","Y")),"")</f>
        <v>472.94602564102547</v>
      </c>
      <c r="AP30">
        <f t="shared" si="8"/>
        <v>6560.7823076923087</v>
      </c>
      <c r="AQ30">
        <f t="shared" si="26"/>
        <v>7.2096387779625057E-2</v>
      </c>
      <c r="AR30">
        <f t="shared" si="27"/>
        <v>7.2086834078690779E-2</v>
      </c>
      <c r="AS30" s="10" t="str">
        <f t="shared" si="28"/>
        <v>UP</v>
      </c>
      <c r="AT30" s="10" t="str">
        <f t="shared" si="29"/>
        <v>UP</v>
      </c>
      <c r="AU30" s="6" t="str">
        <f t="shared" si="30"/>
        <v>NEGATIVE</v>
      </c>
      <c r="AV30" cm="1">
        <f t="array" ref="AV30">IFERROR(VALUE(_xll.BDP($B30,"INTERVAL_exp_MOV_AVG","CALC_INTERVAL","520D","TECH_STUDIES_PARAM1_OVERRIDE",100,"USE_PREVIOUS_BUSINESS_DAY","N")),"")</f>
        <v>468.84297005972439</v>
      </c>
      <c r="AW30">
        <f t="shared" si="9"/>
        <v>6773.0064518682802</v>
      </c>
      <c r="AX30" cm="1">
        <f t="array" ref="AX30">IFERROR(VALUE(_xll.BDP($B30,"INTERVAL_exp_MOV_AVG","CALC_INTERVAL","520D","TECH_STUDIES_PARAM1_OVERRIDE",100,"USE_PREVIOUS_BUSINESS_DAY","Y")),"")</f>
        <v>469.91465422748382</v>
      </c>
      <c r="AY30">
        <f t="shared" si="10"/>
        <v>6769.6039787132295</v>
      </c>
      <c r="AZ30">
        <f t="shared" si="31"/>
        <v>6.9222283101531334E-2</v>
      </c>
      <c r="BA30">
        <f t="shared" si="32"/>
        <v>6.9415383190082183E-2</v>
      </c>
      <c r="BB30" s="11" t="str">
        <f t="shared" si="33"/>
        <v>DOWN</v>
      </c>
      <c r="BC30" s="11" t="str">
        <f t="shared" si="34"/>
        <v>DOWN</v>
      </c>
      <c r="BD30" s="6" t="str">
        <f t="shared" si="35"/>
        <v>NEGATIVE</v>
      </c>
      <c r="BE30" s="12" cm="1">
        <f t="array" ref="BE30">_xll.BDP($B30, "INTERVAL_RSI", "TECH_STUDIES_PARAM1_OVERRIDE", "5", "PERIODICITY_OVERRIDE", "W")</f>
        <v>31.097318027936296</v>
      </c>
      <c r="BF30" cm="1">
        <f t="array" ref="BF30">IFERROR(VALUE(_xll.BDP($B30,"INTERVAL_MAE_MOV_AVG","CALC_INTERVAL","520D","TECH_STUDIES_PARAM1_OVERRIDE",31,"USE_PREVIOUS_BUSINESS_DAY","N")),"")</f>
        <v>447.98854830834176</v>
      </c>
      <c r="BG30" cm="1">
        <f t="array" ref="BG30">IFERROR(VALUE(_xll.BDP($B30,"INTERVAL_MAE_MOV_AVG","CALC_INTERVAL","760D","TECH_STUDIES_PARAM1_OVERRIDE",200,"USE_PREVIOUS_BUSINESS_DAY","N")),"")</f>
        <v>471.92187498779316</v>
      </c>
      <c r="BH30" s="13">
        <f t="shared" si="36"/>
        <v>-7.1828952837861171E-2</v>
      </c>
      <c r="BI30" s="13">
        <f t="shared" si="37"/>
        <v>-0.10990522357589516</v>
      </c>
      <c r="BJ30" s="13">
        <f t="shared" si="38"/>
        <v>-0.11890077142375433</v>
      </c>
      <c r="BK30" s="32" cm="1">
        <f t="array" ref="BK30">VALUE(_xll.BDP($B30,"INTERVAL_DATE_OF_CALC_HI","CALC_INTERVAL","3M"))</f>
        <v>45972</v>
      </c>
      <c r="BL30" s="32" cm="1">
        <f t="array" ref="BL30">VALUE(_xll.BDP($B30,"INTERVAL_DATE_OF_CALC_LO","CALC_INTERVAL","3M"))</f>
        <v>46058</v>
      </c>
      <c r="BM30" s="32" cm="1">
        <f t="array" ref="BM30">VALUE(_xll.BDP($B30,"INTERVAL_DATE_OF_CALC_HI","CALC_INTERVAL","1M"))</f>
        <v>46049</v>
      </c>
      <c r="BN30" s="32" cm="1">
        <f t="array" ref="BN30">VALUE(_xll.BDP($B30,"INTERVAL_DATE_OF_CALC_LO","CALC_INTERVAL","1M"))</f>
        <v>46058</v>
      </c>
      <c r="BO30" s="15">
        <f>IFERROR(VLOOKUP($F30,PIVOT!$A:$C,2,FALSE),0)</f>
        <v>0</v>
      </c>
      <c r="BP30" s="15">
        <f>IFERROR(VLOOKUP($F30,PIVOT!$A:$C,3,FALSE),0)</f>
        <v>0</v>
      </c>
      <c r="BQ30" s="15">
        <f t="shared" si="11"/>
        <v>40.371507672846732</v>
      </c>
    </row>
    <row r="31" spans="1:69" x14ac:dyDescent="0.25">
      <c r="A31">
        <v>30</v>
      </c>
      <c r="B31" t="s">
        <v>37</v>
      </c>
      <c r="J31" s="24"/>
      <c r="K31" s="15">
        <f>_xll.BDP($B31,"interval_rsi","tech_studies_param1_override",14)</f>
        <v>69.849947535890891</v>
      </c>
      <c r="L31" s="15">
        <f t="shared" si="0"/>
        <v>52.525531939815814</v>
      </c>
      <c r="M31">
        <f t="shared" si="12"/>
        <v>1</v>
      </c>
      <c r="N31" cm="1">
        <f t="array" ref="N31">IFERROR(VALUE(_xll.BDP($B31,"px_last")),"")</f>
        <v>85.54</v>
      </c>
      <c r="O31">
        <f t="shared" si="1"/>
        <v>6941.47</v>
      </c>
      <c r="P31" cm="1">
        <f t="array" ref="P31">IFERROR(VALUE(_xll.BDP($B31,"PX_YEST_CLOSE")),"")</f>
        <v>86.29</v>
      </c>
      <c r="Q31">
        <f t="shared" si="2"/>
        <v>6941.81</v>
      </c>
      <c r="R31">
        <f t="shared" si="13"/>
        <v>1.232303820372342E-2</v>
      </c>
      <c r="S31">
        <f t="shared" si="14"/>
        <v>1.2430475625233188E-2</v>
      </c>
      <c r="T31" cm="1">
        <f t="array" ref="T31">IFERROR(VALUE(_xll.BDP($B31,"INTERVAL_MAE_MOV_AVG","CALC_INTERVAL","520D","TECH_STUDIES_PARAM1_OVERRIDE",50,"USE_PREVIOUS_BUSINESS_DAY","N")),"")</f>
        <v>77.729349934910545</v>
      </c>
      <c r="U31">
        <f t="shared" si="3"/>
        <v>6894.0953999999992</v>
      </c>
      <c r="V31" cm="1">
        <f t="array" ref="V31">IFERROR(VALUE(_xll.BDP($B31,"INTERVAL_MAE_MOV_AVG","CALC_INTERVAL","520D","TECH_STUDIES_PARAM1_OVERRIDE",50,"USE_PREVIOUS_BUSINESS_DAY","Y")),"")</f>
        <v>77.549158884199997</v>
      </c>
      <c r="W31">
        <f t="shared" si="4"/>
        <v>6892.2477999999992</v>
      </c>
      <c r="X31">
        <f t="shared" si="15"/>
        <v>1.1274771442082242E-2</v>
      </c>
      <c r="Y31">
        <f t="shared" si="16"/>
        <v>1.1251649844075543E-2</v>
      </c>
      <c r="Z31" s="11" t="str">
        <f t="shared" si="17"/>
        <v>POSITIVE</v>
      </c>
      <c r="AA31" s="11" t="str">
        <f t="shared" si="18"/>
        <v/>
      </c>
      <c r="AB31" s="11" t="str">
        <f t="shared" si="19"/>
        <v>UP</v>
      </c>
      <c r="AC31" s="6" t="str">
        <f t="shared" si="20"/>
        <v>POSITIVE</v>
      </c>
      <c r="AD31" cm="1">
        <f t="array" ref="AD31">IFERROR(VALUE(_xll.BDP($B31,"INTERVAL_MAE_MOV_AVG","CALC_INTERVAL","520D","TECH_STUDIES_PARAM1_OVERRIDE",65,"USE_PREVIOUS_BUSINESS_DAY","N")),"")</f>
        <v>77.158255953315802</v>
      </c>
      <c r="AE31">
        <f t="shared" si="5"/>
        <v>6856.0226153846133</v>
      </c>
      <c r="AF31" cm="1">
        <f t="array" ref="AF31">IFERROR(VALUE(_xll.BDP($B31,"INTERVAL_MAE_MOV_AVG","CALC_INTERVAL","520D","TECH_STUDIES_PARAM1_OVERRIDE",65,"USE_PREVIOUS_BUSINESS_DAY","Y")),"")</f>
        <v>76.929361386615383</v>
      </c>
      <c r="AG31">
        <f t="shared" si="6"/>
        <v>6852.6203076923057</v>
      </c>
      <c r="AH31">
        <f t="shared" si="21"/>
        <v>1.1254084223727043E-2</v>
      </c>
      <c r="AI31">
        <f t="shared" si="22"/>
        <v>1.1226269358636357E-2</v>
      </c>
      <c r="AJ31" s="10" t="str">
        <f t="shared" si="23"/>
        <v>UP</v>
      </c>
      <c r="AK31" s="10" t="str">
        <f t="shared" si="24"/>
        <v>UP</v>
      </c>
      <c r="AL31" s="6" t="str">
        <f t="shared" si="25"/>
        <v>POSITIVE</v>
      </c>
      <c r="AM31" cm="1">
        <f t="array" ref="AM31">IFERROR(VALUE(_xll.BDP($B31,"INTERVAL_MAE_MOV_AVG","CALC_INTERVAL","65W","PERIODICITY_OVERRIDE","W","TECH_STUDIES_PARAM1_OVERRIDE",39,"USE_PREVIOUS_BUSINESS_DAY","N")),"")</f>
        <v>70.933807037347208</v>
      </c>
      <c r="AN31">
        <f t="shared" si="7"/>
        <v>6560.7735897435905</v>
      </c>
      <c r="AO31" cm="1">
        <f t="array" ref="AO31">IFERROR(VALUE(_xll.BDP($B31,"INTERVAL_MAE_MOV_AVG","CALC_INTERVAL","65W","PERIODICITY_OVERRIDE","W","TECH_STUDIES_PARAM1_OVERRIDE",39,"USE_PREVIOUS_BUSINESS_DAY","Y")),"")</f>
        <v>70.953037783102914</v>
      </c>
      <c r="AP31">
        <f t="shared" si="8"/>
        <v>6560.7823076923087</v>
      </c>
      <c r="AQ31">
        <f t="shared" si="26"/>
        <v>1.0811805356038732E-2</v>
      </c>
      <c r="AR31">
        <f t="shared" si="27"/>
        <v>1.0814722155910086E-2</v>
      </c>
      <c r="AS31" s="10" t="str">
        <f t="shared" si="28"/>
        <v>DOWN</v>
      </c>
      <c r="AT31" s="10" t="str">
        <f t="shared" si="29"/>
        <v>DOWN</v>
      </c>
      <c r="AU31" s="6" t="str">
        <f t="shared" si="30"/>
        <v>POSITIVE</v>
      </c>
      <c r="AV31" cm="1">
        <f t="array" ref="AV31">IFERROR(VALUE(_xll.BDP($B31,"INTERVAL_exp_MOV_AVG","CALC_INTERVAL","520D","TECH_STUDIES_PARAM1_OVERRIDE",100,"USE_PREVIOUS_BUSINESS_DAY","N")),"")</f>
        <v>74.985203494168402</v>
      </c>
      <c r="AW31">
        <f t="shared" si="9"/>
        <v>6773.0064518682802</v>
      </c>
      <c r="AX31" cm="1">
        <f t="array" ref="AX31">IFERROR(VALUE(_xll.BDP($B31,"INTERVAL_exp_MOV_AVG","CALC_INTERVAL","520D","TECH_STUDIES_PARAM1_OVERRIDE",100,"USE_PREVIOUS_BUSINESS_DAY","Y")),"")</f>
        <v>74.771983781690068</v>
      </c>
      <c r="AY31">
        <f t="shared" si="10"/>
        <v>6769.6039787132295</v>
      </c>
      <c r="AZ31">
        <f t="shared" si="31"/>
        <v>1.1071184418181727E-2</v>
      </c>
      <c r="BA31">
        <f t="shared" si="32"/>
        <v>1.1045252280164071E-2</v>
      </c>
      <c r="BB31" s="11" t="str">
        <f t="shared" si="33"/>
        <v>UP</v>
      </c>
      <c r="BC31" s="11" t="str">
        <f t="shared" si="34"/>
        <v>UP</v>
      </c>
      <c r="BD31" s="6" t="str">
        <f t="shared" si="35"/>
        <v>POSITIVE</v>
      </c>
      <c r="BE31" s="12" cm="1">
        <f t="array" ref="BE31">_xll.BDP($B31, "INTERVAL_RSI", "TECH_STUDIES_PARAM1_OVERRIDE", "5", "PERIODICITY_OVERRIDE", "W")</f>
        <v>84.323612091783446</v>
      </c>
      <c r="BF31" cm="1">
        <f t="array" ref="BF31">IFERROR(VALUE(_xll.BDP($B31,"INTERVAL_MAE_MOV_AVG","CALC_INTERVAL","520D","TECH_STUDIES_PARAM1_OVERRIDE",31,"USE_PREVIOUS_BUSINESS_DAY","N")),"")</f>
        <v>77.83205937501701</v>
      </c>
      <c r="BG31" cm="1">
        <f t="array" ref="BG31">IFERROR(VALUE(_xll.BDP($B31,"INTERVAL_MAE_MOV_AVG","CALC_INTERVAL","760D","TECH_STUDIES_PARAM1_OVERRIDE",200,"USE_PREVIOUS_BUSINESS_DAY","N")),"")</f>
        <v>69.799400036686606</v>
      </c>
      <c r="BH31" s="13">
        <f t="shared" si="36"/>
        <v>9.9032978015446638E-2</v>
      </c>
      <c r="BI31" s="13">
        <f t="shared" si="37"/>
        <v>0.10048521017646483</v>
      </c>
      <c r="BJ31" s="13">
        <f t="shared" si="38"/>
        <v>0.22551196650745031</v>
      </c>
      <c r="BK31" s="32" cm="1">
        <f t="array" ref="BK31">VALUE(_xll.BDP($B31,"INTERVAL_DATE_OF_CALC_HI","CALC_INTERVAL","3M"))</f>
        <v>46062</v>
      </c>
      <c r="BL31" s="32" cm="1">
        <f t="array" ref="BL31">VALUE(_xll.BDP($B31,"INTERVAL_DATE_OF_CALC_LO","CALC_INTERVAL","3M"))</f>
        <v>45972</v>
      </c>
      <c r="BM31" s="32" cm="1">
        <f t="array" ref="BM31">VALUE(_xll.BDP($B31,"INTERVAL_DATE_OF_CALC_HI","CALC_INTERVAL","1M"))</f>
        <v>46062</v>
      </c>
      <c r="BN31" s="32" cm="1">
        <f t="array" ref="BN31">VALUE(_xll.BDP($B31,"INTERVAL_DATE_OF_CALC_LO","CALC_INTERVAL","1M"))</f>
        <v>46042</v>
      </c>
      <c r="BO31" s="15">
        <f>IFERROR(VLOOKUP($F31,PIVOT!$A:$C,2,FALSE),0)</f>
        <v>0</v>
      </c>
      <c r="BP31" s="15">
        <f>IFERROR(VLOOKUP($F31,PIVOT!$A:$C,3,FALSE),0)</f>
        <v>0</v>
      </c>
      <c r="BQ31" s="15">
        <f t="shared" si="11"/>
        <v>69.849947535890891</v>
      </c>
    </row>
    <row r="32" spans="1:69" x14ac:dyDescent="0.25">
      <c r="A32">
        <v>31</v>
      </c>
      <c r="B32" t="s">
        <v>38</v>
      </c>
      <c r="J32" s="24"/>
      <c r="K32" s="15">
        <f>_xll.BDP($B32,"interval_rsi","tech_studies_param1_override",14)</f>
        <v>22.393107371112848</v>
      </c>
      <c r="L32" s="15">
        <f t="shared" si="0"/>
        <v>52.525531939815814</v>
      </c>
      <c r="M32">
        <f t="shared" si="12"/>
        <v>0</v>
      </c>
      <c r="N32" cm="1">
        <f t="array" ref="N32">IFERROR(VALUE(_xll.BDP($B32,"px_last")),"")</f>
        <v>47.87</v>
      </c>
      <c r="O32">
        <f t="shared" si="1"/>
        <v>6941.47</v>
      </c>
      <c r="P32" cm="1">
        <f t="array" ref="P32">IFERROR(VALUE(_xll.BDP($B32,"PX_YEST_CLOSE")),"")</f>
        <v>50.85</v>
      </c>
      <c r="Q32">
        <f t="shared" si="2"/>
        <v>6941.81</v>
      </c>
      <c r="R32">
        <f t="shared" si="13"/>
        <v>6.8962337948590136E-3</v>
      </c>
      <c r="S32">
        <f t="shared" si="14"/>
        <v>7.3251788798598637E-3</v>
      </c>
      <c r="T32" cm="1">
        <f t="array" ref="T32">IFERROR(VALUE(_xll.BDP($B32,"INTERVAL_MAE_MOV_AVG","CALC_INTERVAL","520D","TECH_STUDIES_PARAM1_OVERRIDE",50,"USE_PREVIOUS_BUSINESS_DAY","N")),"")</f>
        <v>63.265199978637682</v>
      </c>
      <c r="U32">
        <f t="shared" si="3"/>
        <v>6894.0953999999992</v>
      </c>
      <c r="V32" cm="1">
        <f t="array" ref="V32">IFERROR(VALUE(_xll.BDP($B32,"INTERVAL_MAE_MOV_AVG","CALC_INTERVAL","520D","TECH_STUDIES_PARAM1_OVERRIDE",50,"USE_PREVIOUS_BUSINESS_DAY","Y")),"")</f>
        <v>63.683799999999991</v>
      </c>
      <c r="W32">
        <f t="shared" si="4"/>
        <v>6892.2477999999992</v>
      </c>
      <c r="X32">
        <f t="shared" si="15"/>
        <v>9.1767224426046803E-3</v>
      </c>
      <c r="Y32">
        <f t="shared" si="16"/>
        <v>9.2399173459781873E-3</v>
      </c>
      <c r="Z32" s="11" t="str">
        <f t="shared" si="17"/>
        <v>NEGATIVE</v>
      </c>
      <c r="AA32" s="11" t="str">
        <f t="shared" si="18"/>
        <v/>
      </c>
      <c r="AB32" s="11" t="str">
        <f t="shared" si="19"/>
        <v>DOWN</v>
      </c>
      <c r="AC32" s="6" t="str">
        <f t="shared" si="20"/>
        <v>NEGATIVE</v>
      </c>
      <c r="AD32" cm="1">
        <f t="array" ref="AD32">IFERROR(VALUE(_xll.BDP($B32,"INTERVAL_MAE_MOV_AVG","CALC_INTERVAL","520D","TECH_STUDIES_PARAM1_OVERRIDE",65,"USE_PREVIOUS_BUSINESS_DAY","N")),"")</f>
        <v>64.276769214336696</v>
      </c>
      <c r="AE32">
        <f t="shared" si="5"/>
        <v>6856.0226153846133</v>
      </c>
      <c r="AF32" cm="1">
        <f t="array" ref="AF32">IFERROR(VALUE(_xll.BDP($B32,"INTERVAL_MAE_MOV_AVG","CALC_INTERVAL","520D","TECH_STUDIES_PARAM1_OVERRIDE",65,"USE_PREVIOUS_BUSINESS_DAY","Y")),"")</f>
        <v>64.57661538461538</v>
      </c>
      <c r="AG32">
        <f t="shared" si="6"/>
        <v>6852.6203076923057</v>
      </c>
      <c r="AH32">
        <f t="shared" si="21"/>
        <v>9.3752271280585411E-3</v>
      </c>
      <c r="AI32">
        <f t="shared" si="22"/>
        <v>9.4236383288485819E-3</v>
      </c>
      <c r="AJ32" s="10" t="str">
        <f t="shared" si="23"/>
        <v>DOWN</v>
      </c>
      <c r="AK32" s="10" t="str">
        <f t="shared" si="24"/>
        <v>DOWN</v>
      </c>
      <c r="AL32" s="6" t="str">
        <f t="shared" si="25"/>
        <v>NEGATIVE</v>
      </c>
      <c r="AM32" cm="1">
        <f t="array" ref="AM32">IFERROR(VALUE(_xll.BDP($B32,"INTERVAL_MAE_MOV_AVG","CALC_INTERVAL","65W","PERIODICITY_OVERRIDE","W","TECH_STUDIES_PARAM1_OVERRIDE",39,"USE_PREVIOUS_BUSINESS_DAY","N")),"")</f>
        <v>75.785128177740603</v>
      </c>
      <c r="AN32">
        <f t="shared" si="7"/>
        <v>6560.7735897435905</v>
      </c>
      <c r="AO32" cm="1">
        <f t="array" ref="AO32">IFERROR(VALUE(_xll.BDP($B32,"INTERVAL_MAE_MOV_AVG","CALC_INTERVAL","65W","PERIODICITY_OVERRIDE","W","TECH_STUDIES_PARAM1_OVERRIDE",39,"USE_PREVIOUS_BUSINESS_DAY","Y")),"")</f>
        <v>75.86153846153843</v>
      </c>
      <c r="AP32">
        <f t="shared" si="8"/>
        <v>6560.7823076923087</v>
      </c>
      <c r="AQ32">
        <f t="shared" si="26"/>
        <v>1.1551248818617204E-2</v>
      </c>
      <c r="AR32">
        <f t="shared" si="27"/>
        <v>1.1562879989569718E-2</v>
      </c>
      <c r="AS32" s="10" t="str">
        <f t="shared" si="28"/>
        <v>DOWN</v>
      </c>
      <c r="AT32" s="10" t="str">
        <f t="shared" si="29"/>
        <v>DOWN</v>
      </c>
      <c r="AU32" s="6" t="str">
        <f t="shared" si="30"/>
        <v>NEGATIVE</v>
      </c>
      <c r="AV32" cm="1">
        <f t="array" ref="AV32">IFERROR(VALUE(_xll.BDP($B32,"INTERVAL_exp_MOV_AVG","CALC_INTERVAL","520D","TECH_STUDIES_PARAM1_OVERRIDE",100,"USE_PREVIOUS_BUSINESS_DAY","N")),"")</f>
        <v>67.738506443583347</v>
      </c>
      <c r="AW32">
        <f t="shared" si="9"/>
        <v>6773.0064518682802</v>
      </c>
      <c r="AX32" cm="1">
        <f t="array" ref="AX32">IFERROR(VALUE(_xll.BDP($B32,"INTERVAL_exp_MOV_AVG","CALC_INTERVAL","520D","TECH_STUDIES_PARAM1_OVERRIDE",100,"USE_PREVIOUS_BUSINESS_DAY","Y")),"")</f>
        <v>68.139892606274955</v>
      </c>
      <c r="AY32">
        <f t="shared" si="10"/>
        <v>6769.6039787132295</v>
      </c>
      <c r="AZ32">
        <f t="shared" si="31"/>
        <v>1.0001246407331891E-2</v>
      </c>
      <c r="BA32">
        <f t="shared" si="32"/>
        <v>1.006556555162434E-2</v>
      </c>
      <c r="BB32" s="11" t="str">
        <f t="shared" si="33"/>
        <v>DOWN</v>
      </c>
      <c r="BC32" s="11" t="str">
        <f t="shared" si="34"/>
        <v>DOWN</v>
      </c>
      <c r="BD32" s="6" t="str">
        <f t="shared" si="35"/>
        <v>NEGATIVE</v>
      </c>
      <c r="BE32" s="12" cm="1">
        <f t="array" ref="BE32">_xll.BDP($B32, "INTERVAL_RSI", "TECH_STUDIES_PARAM1_OVERRIDE", "5", "PERIODICITY_OVERRIDE", "W")</f>
        <v>16.87897628207908</v>
      </c>
      <c r="BF32" cm="1">
        <f t="array" ref="BF32">IFERROR(VALUE(_xll.BDP($B32,"INTERVAL_MAE_MOV_AVG","CALC_INTERVAL","520D","TECH_STUDIES_PARAM1_OVERRIDE",31,"USE_PREVIOUS_BUSINESS_DAY","N")),"")</f>
        <v>61.11419351393176</v>
      </c>
      <c r="BG32" cm="1">
        <f t="array" ref="BG32">IFERROR(VALUE(_xll.BDP($B32,"INTERVAL_MAE_MOV_AVG","CALC_INTERVAL","760D","TECH_STUDIES_PARAM1_OVERRIDE",200,"USE_PREVIOUS_BUSINESS_DAY","N")),"")</f>
        <v>76.484524994659438</v>
      </c>
      <c r="BH32" s="13">
        <f t="shared" si="36"/>
        <v>-0.21671223577404453</v>
      </c>
      <c r="BI32" s="13">
        <f t="shared" si="37"/>
        <v>-0.24334389180522742</v>
      </c>
      <c r="BJ32" s="13">
        <f t="shared" si="38"/>
        <v>-0.37412175857348218</v>
      </c>
      <c r="BK32" s="32" cm="1">
        <f t="array" ref="BK32">VALUE(_xll.BDP($B32,"INTERVAL_DATE_OF_CALC_HI","CALC_INTERVAL","3M"))</f>
        <v>45986</v>
      </c>
      <c r="BL32" s="32" cm="1">
        <f t="array" ref="BL32">VALUE(_xll.BDP($B32,"INTERVAL_DATE_OF_CALC_LO","CALC_INTERVAL","3M"))</f>
        <v>46064</v>
      </c>
      <c r="BM32" s="32" cm="1">
        <f t="array" ref="BM32">VALUE(_xll.BDP($B32,"INTERVAL_DATE_OF_CALC_HI","CALC_INTERVAL","1M"))</f>
        <v>46044</v>
      </c>
      <c r="BN32" s="32" cm="1">
        <f t="array" ref="BN32">VALUE(_xll.BDP($B32,"INTERVAL_DATE_OF_CALC_LO","CALC_INTERVAL","1M"))</f>
        <v>46064</v>
      </c>
      <c r="BO32" s="15">
        <f>IFERROR(VLOOKUP($F32,PIVOT!$A:$C,2,FALSE),0)</f>
        <v>0</v>
      </c>
      <c r="BP32" s="15">
        <f>IFERROR(VLOOKUP($F32,PIVOT!$A:$C,3,FALSE),0)</f>
        <v>0</v>
      </c>
      <c r="BQ32" s="15">
        <f t="shared" si="11"/>
        <v>22.393107371112848</v>
      </c>
    </row>
    <row r="33" spans="1:69" x14ac:dyDescent="0.25">
      <c r="A33">
        <v>32</v>
      </c>
      <c r="B33" t="s">
        <v>39</v>
      </c>
      <c r="J33" s="24"/>
      <c r="K33" s="15">
        <f>_xll.BDP($B33,"interval_rsi","tech_studies_param1_override",14)</f>
        <v>79.815324709447964</v>
      </c>
      <c r="L33" s="15">
        <f t="shared" si="0"/>
        <v>52.525531939815814</v>
      </c>
      <c r="M33">
        <f t="shared" si="12"/>
        <v>1</v>
      </c>
      <c r="N33" cm="1">
        <f t="array" ref="N33">IFERROR(VALUE(_xll.BDP($B33,"px_last")),"")</f>
        <v>41.34</v>
      </c>
      <c r="O33">
        <f t="shared" si="1"/>
        <v>6941.47</v>
      </c>
      <c r="P33" cm="1">
        <f t="array" ref="P33">IFERROR(VALUE(_xll.BDP($B33,"PX_YEST_CLOSE")),"")</f>
        <v>40.9</v>
      </c>
      <c r="Q33">
        <f t="shared" si="2"/>
        <v>6941.81</v>
      </c>
      <c r="R33">
        <f t="shared" si="13"/>
        <v>5.955510864413446E-3</v>
      </c>
      <c r="S33">
        <f t="shared" si="14"/>
        <v>5.8918351265736168E-3</v>
      </c>
      <c r="T33" cm="1">
        <f t="array" ref="T33">IFERROR(VALUE(_xll.BDP($B33,"INTERVAL_MAE_MOV_AVG","CALC_INTERVAL","520D","TECH_STUDIES_PARAM1_OVERRIDE",50,"USE_PREVIOUS_BUSINESS_DAY","N")),"")</f>
        <v>36.979000003051752</v>
      </c>
      <c r="U33">
        <f t="shared" si="3"/>
        <v>6894.0953999999992</v>
      </c>
      <c r="V33" cm="1">
        <f t="array" ref="V33">IFERROR(VALUE(_xll.BDP($B33,"INTERVAL_MAE_MOV_AVG","CALC_INTERVAL","520D","TECH_STUDIES_PARAM1_OVERRIDE",50,"USE_PREVIOUS_BUSINESS_DAY","Y")),"")</f>
        <v>36.859399999999994</v>
      </c>
      <c r="W33">
        <f t="shared" si="4"/>
        <v>6892.2477999999992</v>
      </c>
      <c r="X33">
        <f t="shared" si="15"/>
        <v>5.363865432301931E-3</v>
      </c>
      <c r="Y33">
        <f t="shared" si="16"/>
        <v>5.347950490114415E-3</v>
      </c>
      <c r="Z33" s="11" t="str">
        <f t="shared" si="17"/>
        <v>POSITIVE</v>
      </c>
      <c r="AA33" s="11" t="str">
        <f t="shared" si="18"/>
        <v/>
      </c>
      <c r="AB33" s="11" t="str">
        <f t="shared" si="19"/>
        <v>UP</v>
      </c>
      <c r="AC33" s="6" t="str">
        <f t="shared" si="20"/>
        <v>POSITIVE</v>
      </c>
      <c r="AD33" cm="1">
        <f t="array" ref="AD33">IFERROR(VALUE(_xll.BDP($B33,"INTERVAL_MAE_MOV_AVG","CALC_INTERVAL","520D","TECH_STUDIES_PARAM1_OVERRIDE",65,"USE_PREVIOUS_BUSINESS_DAY","N")),"")</f>
        <v>36.425281587578276</v>
      </c>
      <c r="AE33">
        <f t="shared" si="5"/>
        <v>6856.0226153846133</v>
      </c>
      <c r="AF33" cm="1">
        <f t="array" ref="AF33">IFERROR(VALUE(_xll.BDP($B33,"INTERVAL_MAE_MOV_AVG","CALC_INTERVAL","520D","TECH_STUDIES_PARAM1_OVERRIDE",65,"USE_PREVIOUS_BUSINESS_DAY","Y")),"")</f>
        <v>36.328212442461535</v>
      </c>
      <c r="AG33">
        <f t="shared" si="6"/>
        <v>6852.6203076923057</v>
      </c>
      <c r="AH33">
        <f t="shared" si="21"/>
        <v>5.3128881905729931E-3</v>
      </c>
      <c r="AI33">
        <f t="shared" si="22"/>
        <v>5.3013607658492102E-3</v>
      </c>
      <c r="AJ33" s="10" t="str">
        <f t="shared" si="23"/>
        <v>UP</v>
      </c>
      <c r="AK33" s="10" t="str">
        <f t="shared" si="24"/>
        <v>UP</v>
      </c>
      <c r="AL33" s="6" t="str">
        <f t="shared" si="25"/>
        <v>POSITIVE</v>
      </c>
      <c r="AM33" cm="1">
        <f t="array" ref="AM33">IFERROR(VALUE(_xll.BDP($B33,"INTERVAL_MAE_MOV_AVG","CALC_INTERVAL","65W","PERIODICITY_OVERRIDE","W","TECH_STUDIES_PARAM1_OVERRIDE",39,"USE_PREVIOUS_BUSINESS_DAY","N")),"")</f>
        <v>34.898642423833827</v>
      </c>
      <c r="AN33">
        <f t="shared" si="7"/>
        <v>6560.7735897435905</v>
      </c>
      <c r="AO33" cm="1">
        <f t="array" ref="AO33">IFERROR(VALUE(_xll.BDP($B33,"INTERVAL_MAE_MOV_AVG","CALC_INTERVAL","65W","PERIODICITY_OVERRIDE","W","TECH_STUDIES_PARAM1_OVERRIDE",39,"USE_PREVIOUS_BUSINESS_DAY","Y")),"")</f>
        <v>34.887360368639271</v>
      </c>
      <c r="AP33">
        <f t="shared" si="8"/>
        <v>6560.7823076923087</v>
      </c>
      <c r="AQ33">
        <f t="shared" si="26"/>
        <v>5.3192877252143892E-3</v>
      </c>
      <c r="AR33">
        <f t="shared" si="27"/>
        <v>5.3175610365451317E-3</v>
      </c>
      <c r="AS33" s="10" t="str">
        <f t="shared" si="28"/>
        <v>UP</v>
      </c>
      <c r="AT33" s="10" t="str">
        <f t="shared" si="29"/>
        <v>UP</v>
      </c>
      <c r="AU33" s="6" t="str">
        <f t="shared" si="30"/>
        <v>POSITIVE</v>
      </c>
      <c r="AV33" cm="1">
        <f t="array" ref="AV33">IFERROR(VALUE(_xll.BDP($B33,"INTERVAL_exp_MOV_AVG","CALC_INTERVAL","520D","TECH_STUDIES_PARAM1_OVERRIDE",100,"USE_PREVIOUS_BUSINESS_DAY","N")),"")</f>
        <v>36.1675972503471</v>
      </c>
      <c r="AW33">
        <f t="shared" si="9"/>
        <v>6773.0064518682802</v>
      </c>
      <c r="AX33" cm="1">
        <f t="array" ref="AX33">IFERROR(VALUE(_xll.BDP($B33,"INTERVAL_exp_MOV_AVG","CALC_INTERVAL","520D","TECH_STUDIES_PARAM1_OVERRIDE",100,"USE_PREVIOUS_BUSINESS_DAY","Y")),"")</f>
        <v>36.063114809467216</v>
      </c>
      <c r="AY33">
        <f t="shared" si="10"/>
        <v>6769.6039787132295</v>
      </c>
      <c r="AZ33">
        <f t="shared" si="31"/>
        <v>5.3399620253381797E-3</v>
      </c>
      <c r="BA33">
        <f t="shared" si="32"/>
        <v>5.3272118905132934E-3</v>
      </c>
      <c r="BB33" s="11" t="str">
        <f t="shared" si="33"/>
        <v>UP</v>
      </c>
      <c r="BC33" s="11" t="str">
        <f t="shared" si="34"/>
        <v>UP</v>
      </c>
      <c r="BD33" s="6" t="str">
        <f t="shared" si="35"/>
        <v>POSITIVE</v>
      </c>
      <c r="BE33" s="12" cm="1">
        <f t="array" ref="BE33">_xll.BDP($B33, "INTERVAL_RSI", "TECH_STUDIES_PARAM1_OVERRIDE", "5", "PERIODICITY_OVERRIDE", "W")</f>
        <v>86.791244367881575</v>
      </c>
      <c r="BF33" cm="1">
        <f t="array" ref="BF33">IFERROR(VALUE(_xll.BDP($B33,"INTERVAL_MAE_MOV_AVG","CALC_INTERVAL","520D","TECH_STUDIES_PARAM1_OVERRIDE",31,"USE_PREVIOUS_BUSINESS_DAY","N")),"")</f>
        <v>37.297741940406063</v>
      </c>
      <c r="BG33" cm="1">
        <f t="array" ref="BG33">IFERROR(VALUE(_xll.BDP($B33,"INTERVAL_MAE_MOV_AVG","CALC_INTERVAL","760D","TECH_STUDIES_PARAM1_OVERRIDE",200,"USE_PREVIOUS_BUSINESS_DAY","N")),"")</f>
        <v>34.26559997659011</v>
      </c>
      <c r="BH33" s="13">
        <f t="shared" si="36"/>
        <v>0.10837809071800164</v>
      </c>
      <c r="BI33" s="13">
        <f t="shared" si="37"/>
        <v>0.11793179903697637</v>
      </c>
      <c r="BJ33" s="13">
        <f t="shared" si="38"/>
        <v>0.2064577893935331</v>
      </c>
      <c r="BK33" s="32" cm="1">
        <f t="array" ref="BK33">VALUE(_xll.BDP($B33,"INTERVAL_DATE_OF_CALC_HI","CALC_INTERVAL","3M"))</f>
        <v>46064</v>
      </c>
      <c r="BL33" s="32" cm="1">
        <f t="array" ref="BL33">VALUE(_xll.BDP($B33,"INTERVAL_DATE_OF_CALC_LO","CALC_INTERVAL","3M"))</f>
        <v>45981</v>
      </c>
      <c r="BM33" s="32" cm="1">
        <f t="array" ref="BM33">VALUE(_xll.BDP($B33,"INTERVAL_DATE_OF_CALC_HI","CALC_INTERVAL","1M"))</f>
        <v>46064</v>
      </c>
      <c r="BN33" s="32" cm="1">
        <f t="array" ref="BN33">VALUE(_xll.BDP($B33,"INTERVAL_DATE_OF_CALC_LO","CALC_INTERVAL","1M"))</f>
        <v>46034</v>
      </c>
      <c r="BO33" s="15">
        <f>IFERROR(VLOOKUP($F33,PIVOT!$A:$C,2,FALSE),0)</f>
        <v>0</v>
      </c>
      <c r="BP33" s="15">
        <f>IFERROR(VLOOKUP($F33,PIVOT!$A:$C,3,FALSE),0)</f>
        <v>0</v>
      </c>
      <c r="BQ33" s="15">
        <f t="shared" si="11"/>
        <v>79.815324709447964</v>
      </c>
    </row>
    <row r="34" spans="1:69" x14ac:dyDescent="0.25">
      <c r="A34">
        <v>33</v>
      </c>
      <c r="B34" t="s">
        <v>40</v>
      </c>
      <c r="J34" s="24"/>
      <c r="K34" s="15">
        <f>_xll.BDP($B34,"interval_rsi","tech_studies_param1_override",14)</f>
        <v>68.319748210161151</v>
      </c>
      <c r="L34" s="15">
        <f t="shared" si="0"/>
        <v>52.525531939815814</v>
      </c>
      <c r="M34">
        <f t="shared" si="12"/>
        <v>1</v>
      </c>
      <c r="N34" cm="1">
        <f t="array" ref="N34">IFERROR(VALUE(_xll.BDP($B34,"px_last")),"")</f>
        <v>200.36</v>
      </c>
      <c r="O34">
        <f t="shared" si="1"/>
        <v>6941.47</v>
      </c>
      <c r="P34" cm="1">
        <f t="array" ref="P34">IFERROR(VALUE(_xll.BDP($B34,"PX_YEST_CLOSE")),"")</f>
        <v>199.31</v>
      </c>
      <c r="Q34">
        <f t="shared" si="2"/>
        <v>6941.81</v>
      </c>
      <c r="R34">
        <f t="shared" si="13"/>
        <v>2.8864203115478423E-2</v>
      </c>
      <c r="S34">
        <f t="shared" si="14"/>
        <v>2.871153200678209E-2</v>
      </c>
      <c r="T34" cm="1">
        <f t="array" ref="T34">IFERROR(VALUE(_xll.BDP($B34,"INTERVAL_MAE_MOV_AVG","CALC_INTERVAL","520D","TECH_STUDIES_PARAM1_OVERRIDE",50,"USE_PREVIOUS_BUSINESS_DAY","N")),"")</f>
        <v>190.32780001220701</v>
      </c>
      <c r="U34">
        <f t="shared" si="3"/>
        <v>6894.0953999999992</v>
      </c>
      <c r="V34" cm="1">
        <f t="array" ref="V34">IFERROR(VALUE(_xll.BDP($B34,"INTERVAL_MAE_MOV_AVG","CALC_INTERVAL","520D","TECH_STUDIES_PARAM1_OVERRIDE",50,"USE_PREVIOUS_BUSINESS_DAY","Y")),"")</f>
        <v>190.04100000000003</v>
      </c>
      <c r="W34">
        <f t="shared" si="4"/>
        <v>6892.2477999999992</v>
      </c>
      <c r="X34">
        <f t="shared" si="15"/>
        <v>2.7607363833724585E-2</v>
      </c>
      <c r="Y34">
        <f t="shared" si="16"/>
        <v>2.7573152549738571E-2</v>
      </c>
      <c r="Z34" s="11" t="str">
        <f t="shared" si="17"/>
        <v>POSITIVE</v>
      </c>
      <c r="AA34" s="11" t="str">
        <f t="shared" si="18"/>
        <v/>
      </c>
      <c r="AB34" s="11" t="str">
        <f t="shared" si="19"/>
        <v>UP</v>
      </c>
      <c r="AC34" s="6" t="str">
        <f t="shared" si="20"/>
        <v>POSITIVE</v>
      </c>
      <c r="AD34" cm="1">
        <f t="array" ref="AD34">IFERROR(VALUE(_xll.BDP($B34,"INTERVAL_MAE_MOV_AVG","CALC_INTERVAL","520D","TECH_STUDIES_PARAM1_OVERRIDE",65,"USE_PREVIOUS_BUSINESS_DAY","N")),"")</f>
        <v>189.02683690708233</v>
      </c>
      <c r="AE34">
        <f t="shared" si="5"/>
        <v>6856.0226153846133</v>
      </c>
      <c r="AF34" cm="1">
        <f t="array" ref="AF34">IFERROR(VALUE(_xll.BDP($B34,"INTERVAL_MAE_MOV_AVG","CALC_INTERVAL","520D","TECH_STUDIES_PARAM1_OVERRIDE",65,"USE_PREVIOUS_BUSINESS_DAY","Y")),"")</f>
        <v>188.78202441230772</v>
      </c>
      <c r="AG34">
        <f t="shared" si="6"/>
        <v>6852.6203076923057</v>
      </c>
      <c r="AH34">
        <f t="shared" si="21"/>
        <v>2.7570917937597583E-2</v>
      </c>
      <c r="AI34">
        <f t="shared" si="22"/>
        <v>2.7548881440343821E-2</v>
      </c>
      <c r="AJ34" s="10" t="str">
        <f t="shared" si="23"/>
        <v>UP</v>
      </c>
      <c r="AK34" s="10" t="str">
        <f t="shared" si="24"/>
        <v>UP</v>
      </c>
      <c r="AL34" s="6" t="str">
        <f t="shared" si="25"/>
        <v>POSITIVE</v>
      </c>
      <c r="AM34" cm="1">
        <f t="array" ref="AM34">IFERROR(VALUE(_xll.BDP($B34,"INTERVAL_MAE_MOV_AVG","CALC_INTERVAL","65W","PERIODICITY_OVERRIDE","W","TECH_STUDIES_PARAM1_OVERRIDE",39,"USE_PREVIOUS_BUSINESS_DAY","N")),"")</f>
        <v>202.68416235950659</v>
      </c>
      <c r="AN34">
        <f t="shared" si="7"/>
        <v>6560.7735897435905</v>
      </c>
      <c r="AO34" cm="1">
        <f t="array" ref="AO34">IFERROR(VALUE(_xll.BDP($B34,"INTERVAL_MAE_MOV_AVG","CALC_INTERVAL","65W","PERIODICITY_OVERRIDE","W","TECH_STUDIES_PARAM1_OVERRIDE",39,"USE_PREVIOUS_BUSINESS_DAY","Y")),"")</f>
        <v>202.65723926693349</v>
      </c>
      <c r="AP34">
        <f t="shared" si="8"/>
        <v>6560.7823076923087</v>
      </c>
      <c r="AQ34">
        <f t="shared" si="26"/>
        <v>3.0893332864947703E-2</v>
      </c>
      <c r="AR34">
        <f t="shared" si="27"/>
        <v>3.0889188173386626E-2</v>
      </c>
      <c r="AS34" s="10" t="str">
        <f t="shared" si="28"/>
        <v>UP</v>
      </c>
      <c r="AT34" s="10" t="str">
        <f t="shared" si="29"/>
        <v>UP</v>
      </c>
      <c r="AU34" s="6" t="str">
        <f t="shared" si="30"/>
        <v>NEGATIVE</v>
      </c>
      <c r="AV34" cm="1">
        <f t="array" ref="AV34">IFERROR(VALUE(_xll.BDP($B34,"INTERVAL_exp_MOV_AVG","CALC_INTERVAL","520D","TECH_STUDIES_PARAM1_OVERRIDE",100,"USE_PREVIOUS_BUSINESS_DAY","N")),"")</f>
        <v>193.5016721363634</v>
      </c>
      <c r="AW34">
        <f t="shared" si="9"/>
        <v>6773.0064518682802</v>
      </c>
      <c r="AX34" cm="1">
        <f t="array" ref="AX34">IFERROR(VALUE(_xll.BDP($B34,"INTERVAL_exp_MOV_AVG","CALC_INTERVAL","520D","TECH_STUDIES_PARAM1_OVERRIDE",100,"USE_PREVIOUS_BUSINESS_DAY","Y")),"")</f>
        <v>193.36311760291727</v>
      </c>
      <c r="AY34">
        <f t="shared" si="10"/>
        <v>6769.6039787132295</v>
      </c>
      <c r="AZ34">
        <f t="shared" si="31"/>
        <v>2.8569539023986533E-2</v>
      </c>
      <c r="BA34">
        <f t="shared" si="32"/>
        <v>2.8563431215613274E-2</v>
      </c>
      <c r="BB34" s="11" t="str">
        <f t="shared" si="33"/>
        <v>UP</v>
      </c>
      <c r="BC34" s="11" t="str">
        <f t="shared" si="34"/>
        <v>UP</v>
      </c>
      <c r="BD34" s="6" t="str">
        <f t="shared" si="35"/>
        <v>POSITIVE</v>
      </c>
      <c r="BE34" s="12" cm="1">
        <f t="array" ref="BE34">_xll.BDP($B34, "INTERVAL_RSI", "TECH_STUDIES_PARAM1_OVERRIDE", "5", "PERIODICITY_OVERRIDE", "W")</f>
        <v>73.642646279423829</v>
      </c>
      <c r="BF34" cm="1">
        <f t="array" ref="BF34">IFERROR(VALUE(_xll.BDP($B34,"INTERVAL_MAE_MOV_AVG","CALC_INTERVAL","520D","TECH_STUDIES_PARAM1_OVERRIDE",31,"USE_PREVIOUS_BUSINESS_DAY","N")),"")</f>
        <v>192.1735484067855</v>
      </c>
      <c r="BG34" cm="1">
        <f t="array" ref="BG34">IFERROR(VALUE(_xll.BDP($B34,"INTERVAL_MAE_MOV_AVG","CALC_INTERVAL","760D","TECH_STUDIES_PARAM1_OVERRIDE",200,"USE_PREVIOUS_BUSINESS_DAY","N")),"")</f>
        <v>203.40784462394561</v>
      </c>
      <c r="BH34" s="13">
        <f t="shared" si="36"/>
        <v>4.2599263327779857E-2</v>
      </c>
      <c r="BI34" s="13">
        <f t="shared" si="37"/>
        <v>5.2710113746649689E-2</v>
      </c>
      <c r="BJ34" s="13">
        <f t="shared" si="38"/>
        <v>-1.4983908951891056E-2</v>
      </c>
      <c r="BK34" s="32" cm="1">
        <f t="array" ref="BK34">VALUE(_xll.BDP($B34,"INTERVAL_DATE_OF_CALC_HI","CALC_INTERVAL","3M"))</f>
        <v>46064</v>
      </c>
      <c r="BL34" s="32" cm="1">
        <f t="array" ref="BL34">VALUE(_xll.BDP($B34,"INTERVAL_DATE_OF_CALC_LO","CALC_INTERVAL","3M"))</f>
        <v>45985</v>
      </c>
      <c r="BM34" s="32" cm="1">
        <f t="array" ref="BM34">VALUE(_xll.BDP($B34,"INTERVAL_DATE_OF_CALC_HI","CALC_INTERVAL","1M"))</f>
        <v>46064</v>
      </c>
      <c r="BN34" s="32" cm="1">
        <f t="array" ref="BN34">VALUE(_xll.BDP($B34,"INTERVAL_DATE_OF_CALC_LO","CALC_INTERVAL","1M"))</f>
        <v>46050</v>
      </c>
      <c r="BO34" s="15">
        <f>IFERROR(VLOOKUP($F34,PIVOT!$A:$C,2,FALSE),0)</f>
        <v>0</v>
      </c>
      <c r="BP34" s="15">
        <f>IFERROR(VLOOKUP($F34,PIVOT!$A:$C,3,FALSE),0)</f>
        <v>0</v>
      </c>
      <c r="BQ34" s="15">
        <f t="shared" si="11"/>
        <v>68.319748210161151</v>
      </c>
    </row>
    <row r="35" spans="1:69" x14ac:dyDescent="0.25">
      <c r="A35">
        <v>34</v>
      </c>
      <c r="B35" t="s">
        <v>41</v>
      </c>
      <c r="J35" s="24"/>
      <c r="K35" s="15">
        <f>_xll.BDP($B35,"interval_rsi","tech_studies_param1_override",14)</f>
        <v>27.087489623465061</v>
      </c>
      <c r="L35" s="15">
        <f t="shared" si="0"/>
        <v>52.525531939815814</v>
      </c>
      <c r="M35">
        <f t="shared" si="12"/>
        <v>0</v>
      </c>
      <c r="N35" cm="1">
        <f t="array" ref="N35">IFERROR(VALUE(_xll.BDP($B35,"px_last")),"")</f>
        <v>70.91</v>
      </c>
      <c r="O35">
        <f t="shared" si="1"/>
        <v>6941.47</v>
      </c>
      <c r="P35" cm="1">
        <f t="array" ref="P35">IFERROR(VALUE(_xll.BDP($B35,"PX_YEST_CLOSE")),"")</f>
        <v>74.569999999999993</v>
      </c>
      <c r="Q35">
        <f t="shared" si="2"/>
        <v>6941.81</v>
      </c>
      <c r="R35">
        <f t="shared" si="13"/>
        <v>1.0215415466752718E-2</v>
      </c>
      <c r="S35">
        <f t="shared" si="14"/>
        <v>1.0742155143975416E-2</v>
      </c>
      <c r="T35" cm="1">
        <f t="array" ref="T35">IFERROR(VALUE(_xll.BDP($B35,"INTERVAL_MAE_MOV_AVG","CALC_INTERVAL","520D","TECH_STUDIES_PARAM1_OVERRIDE",50,"USE_PREVIOUS_BUSINESS_DAY","N")),"")</f>
        <v>82.235400073242189</v>
      </c>
      <c r="U35">
        <f t="shared" si="3"/>
        <v>6894.0953999999992</v>
      </c>
      <c r="V35" cm="1">
        <f t="array" ref="V35">IFERROR(VALUE(_xll.BDP($B35,"INTERVAL_MAE_MOV_AVG","CALC_INTERVAL","520D","TECH_STUDIES_PARAM1_OVERRIDE",50,"USE_PREVIOUS_BUSINESS_DAY","Y")),"")</f>
        <v>82.371399999999994</v>
      </c>
      <c r="W35">
        <f t="shared" si="4"/>
        <v>6892.2477999999992</v>
      </c>
      <c r="X35">
        <f t="shared" si="15"/>
        <v>1.1928381506476135E-2</v>
      </c>
      <c r="Y35">
        <f t="shared" si="16"/>
        <v>1.195131144298091E-2</v>
      </c>
      <c r="Z35" s="11" t="str">
        <f t="shared" si="17"/>
        <v>NEGATIVE</v>
      </c>
      <c r="AA35" s="11" t="str">
        <f t="shared" si="18"/>
        <v/>
      </c>
      <c r="AB35" s="11" t="str">
        <f t="shared" si="19"/>
        <v>DOWN</v>
      </c>
      <c r="AC35" s="6" t="str">
        <f t="shared" si="20"/>
        <v>NEGATIVE</v>
      </c>
      <c r="AD35" cm="1">
        <f t="array" ref="AD35">IFERROR(VALUE(_xll.BDP($B35,"INTERVAL_MAE_MOV_AVG","CALC_INTERVAL","520D","TECH_STUDIES_PARAM1_OVERRIDE",65,"USE_PREVIOUS_BUSINESS_DAY","N")),"")</f>
        <v>80.289309740032451</v>
      </c>
      <c r="AE35">
        <f t="shared" si="5"/>
        <v>6856.0226153846133</v>
      </c>
      <c r="AF35" cm="1">
        <f t="array" ref="AF35">IFERROR(VALUE(_xll.BDP($B35,"INTERVAL_MAE_MOV_AVG","CALC_INTERVAL","520D","TECH_STUDIES_PARAM1_OVERRIDE",65,"USE_PREVIOUS_BUSINESS_DAY","Y")),"")</f>
        <v>80.313967414769223</v>
      </c>
      <c r="AG35">
        <f t="shared" si="6"/>
        <v>6852.6203076923057</v>
      </c>
      <c r="AH35">
        <f t="shared" si="21"/>
        <v>1.1710770842538758E-2</v>
      </c>
      <c r="AI35">
        <f t="shared" si="22"/>
        <v>1.1720183493110509E-2</v>
      </c>
      <c r="AJ35" s="10" t="str">
        <f t="shared" si="23"/>
        <v>DOWN</v>
      </c>
      <c r="AK35" s="10" t="str">
        <f t="shared" si="24"/>
        <v>DOWN</v>
      </c>
      <c r="AL35" s="6" t="str">
        <f t="shared" si="25"/>
        <v>NEGATIVE</v>
      </c>
      <c r="AM35" cm="1">
        <f t="array" ref="AM35">IFERROR(VALUE(_xll.BDP($B35,"INTERVAL_MAE_MOV_AVG","CALC_INTERVAL","65W","PERIODICITY_OVERRIDE","W","TECH_STUDIES_PARAM1_OVERRIDE",39,"USE_PREVIOUS_BUSINESS_DAY","N")),"")</f>
        <v>75.365247936707959</v>
      </c>
      <c r="AN35">
        <f t="shared" si="7"/>
        <v>6560.7735897435905</v>
      </c>
      <c r="AO35" cm="1">
        <f t="array" ref="AO35">IFERROR(VALUE(_xll.BDP($B35,"INTERVAL_MAE_MOV_AVG","CALC_INTERVAL","65W","PERIODICITY_OVERRIDE","W","TECH_STUDIES_PARAM1_OVERRIDE",39,"USE_PREVIOUS_BUSINESS_DAY","Y")),"")</f>
        <v>75.459093996653863</v>
      </c>
      <c r="AP35">
        <f t="shared" si="8"/>
        <v>6560.7823076923087</v>
      </c>
      <c r="AQ35">
        <f t="shared" si="26"/>
        <v>1.148725023136386E-2</v>
      </c>
      <c r="AR35">
        <f t="shared" si="27"/>
        <v>1.1501539063135882E-2</v>
      </c>
      <c r="AS35" s="10" t="str">
        <f t="shared" si="28"/>
        <v>DOWN</v>
      </c>
      <c r="AT35" s="10" t="str">
        <f t="shared" si="29"/>
        <v>DOWN</v>
      </c>
      <c r="AU35" s="6" t="str">
        <f t="shared" si="30"/>
        <v>NEGATIVE</v>
      </c>
      <c r="AV35" cm="1">
        <f t="array" ref="AV35">IFERROR(VALUE(_xll.BDP($B35,"INTERVAL_exp_MOV_AVG","CALC_INTERVAL","520D","TECH_STUDIES_PARAM1_OVERRIDE",100,"USE_PREVIOUS_BUSINESS_DAY","N")),"")</f>
        <v>78.136515336947596</v>
      </c>
      <c r="AW35">
        <f t="shared" si="9"/>
        <v>6773.0064518682802</v>
      </c>
      <c r="AX35" cm="1">
        <f t="array" ref="AX35">IFERROR(VALUE(_xll.BDP($B35,"INTERVAL_exp_MOV_AVG","CALC_INTERVAL","520D","TECH_STUDIES_PARAM1_OVERRIDE",100,"USE_PREVIOUS_BUSINESS_DAY","Y")),"")</f>
        <v>78.282520500796352</v>
      </c>
      <c r="AY35">
        <f t="shared" si="10"/>
        <v>6769.6039787132295</v>
      </c>
      <c r="AZ35">
        <f t="shared" si="31"/>
        <v>1.153645960508339E-2</v>
      </c>
      <c r="BA35">
        <f t="shared" si="32"/>
        <v>1.1563825704864399E-2</v>
      </c>
      <c r="BB35" s="11" t="str">
        <f t="shared" si="33"/>
        <v>DOWN</v>
      </c>
      <c r="BC35" s="11" t="str">
        <f t="shared" si="34"/>
        <v>DOWN</v>
      </c>
      <c r="BD35" s="6" t="str">
        <f t="shared" si="35"/>
        <v>NEGATIVE</v>
      </c>
      <c r="BE35" s="12" cm="1">
        <f t="array" ref="BE35">_xll.BDP($B35, "INTERVAL_RSI", "TECH_STUDIES_PARAM1_OVERRIDE", "5", "PERIODICITY_OVERRIDE", "W")</f>
        <v>18.525416875786348</v>
      </c>
      <c r="BF35" cm="1">
        <f t="array" ref="BF35">IFERROR(VALUE(_xll.BDP($B35,"INTERVAL_MAE_MOV_AVG","CALC_INTERVAL","520D","TECH_STUDIES_PARAM1_OVERRIDE",31,"USE_PREVIOUS_BUSINESS_DAY","N")),"")</f>
        <v>81.999677537487401</v>
      </c>
      <c r="BG35" cm="1">
        <f t="array" ref="BG35">IFERROR(VALUE(_xll.BDP($B35,"INTERVAL_MAE_MOV_AVG","CALC_INTERVAL","760D","TECH_STUDIES_PARAM1_OVERRIDE",200,"USE_PREVIOUS_BUSINESS_DAY","N")),"")</f>
        <v>75.52561098930876</v>
      </c>
      <c r="BH35" s="13">
        <f t="shared" si="36"/>
        <v>-0.13524050179852953</v>
      </c>
      <c r="BI35" s="13">
        <f t="shared" si="37"/>
        <v>-0.1377192798132596</v>
      </c>
      <c r="BJ35" s="13">
        <f t="shared" si="38"/>
        <v>-6.1113189669688817E-2</v>
      </c>
      <c r="BK35" s="32" cm="1">
        <f t="array" ref="BK35">VALUE(_xll.BDP($B35,"INTERVAL_DATE_OF_CALC_HI","CALC_INTERVAL","3M"))</f>
        <v>46036</v>
      </c>
      <c r="BL35" s="32" cm="1">
        <f t="array" ref="BL35">VALUE(_xll.BDP($B35,"INTERVAL_DATE_OF_CALC_LO","CALC_INTERVAL","3M"))</f>
        <v>45978</v>
      </c>
      <c r="BM35" s="32" cm="1">
        <f t="array" ref="BM35">VALUE(_xll.BDP($B35,"INTERVAL_DATE_OF_CALC_HI","CALC_INTERVAL","1M"))</f>
        <v>46036</v>
      </c>
      <c r="BN35" s="32" cm="1">
        <f t="array" ref="BN35">VALUE(_xll.BDP($B35,"INTERVAL_DATE_OF_CALC_LO","CALC_INTERVAL","1M"))</f>
        <v>46064</v>
      </c>
      <c r="BO35" s="15">
        <f>IFERROR(VLOOKUP($F35,PIVOT!$A:$C,2,FALSE),0)</f>
        <v>0</v>
      </c>
      <c r="BP35" s="15">
        <f>IFERROR(VLOOKUP($F35,PIVOT!$A:$C,3,FALSE),0)</f>
        <v>0</v>
      </c>
      <c r="BQ35" s="15">
        <f t="shared" si="11"/>
        <v>27.087489623465061</v>
      </c>
    </row>
    <row r="36" spans="1:69" x14ac:dyDescent="0.25">
      <c r="A36">
        <v>35</v>
      </c>
      <c r="B36" t="s">
        <v>42</v>
      </c>
      <c r="J36" s="24"/>
      <c r="K36" s="15">
        <f>_xll.BDP($B36,"interval_rsi","tech_studies_param1_override",14)</f>
        <v>23.303579075537172</v>
      </c>
      <c r="L36" s="15">
        <f t="shared" si="0"/>
        <v>52.525531939815814</v>
      </c>
      <c r="M36">
        <f t="shared" si="12"/>
        <v>0</v>
      </c>
      <c r="N36" cm="1">
        <f t="array" ref="N36">IFERROR(VALUE(_xll.BDP($B36,"px_last")),"")</f>
        <v>175.47</v>
      </c>
      <c r="O36">
        <f t="shared" si="1"/>
        <v>6941.47</v>
      </c>
      <c r="P36" cm="1">
        <f t="array" ref="P36">IFERROR(VALUE(_xll.BDP($B36,"PX_YEST_CLOSE")),"")</f>
        <v>185.64</v>
      </c>
      <c r="Q36">
        <f t="shared" si="2"/>
        <v>6941.81</v>
      </c>
      <c r="R36">
        <f t="shared" si="13"/>
        <v>2.5278507290242554E-2</v>
      </c>
      <c r="S36">
        <f t="shared" si="14"/>
        <v>2.674230496080993E-2</v>
      </c>
      <c r="T36" cm="1">
        <f t="array" ref="T36">IFERROR(VALUE(_xll.BDP($B36,"INTERVAL_MAE_MOV_AVG","CALC_INTERVAL","520D","TECH_STUDIES_PARAM1_OVERRIDE",50,"USE_PREVIOUS_BUSINESS_DAY","N")),"")</f>
        <v>215.36860002441409</v>
      </c>
      <c r="U36">
        <f t="shared" si="3"/>
        <v>6894.0953999999992</v>
      </c>
      <c r="V36" cm="1">
        <f t="array" ref="V36">IFERROR(VALUE(_xll.BDP($B36,"INTERVAL_MAE_MOV_AVG","CALC_INTERVAL","520D","TECH_STUDIES_PARAM1_OVERRIDE",50,"USE_PREVIOUS_BUSINESS_DAY","Y")),"")</f>
        <v>215.82660000000004</v>
      </c>
      <c r="W36">
        <f t="shared" si="4"/>
        <v>6892.2477999999992</v>
      </c>
      <c r="X36">
        <f t="shared" si="15"/>
        <v>3.1239573508717925E-2</v>
      </c>
      <c r="Y36">
        <f t="shared" si="16"/>
        <v>3.1314399345885396E-2</v>
      </c>
      <c r="Z36" s="11" t="str">
        <f t="shared" si="17"/>
        <v>NEGATIVE</v>
      </c>
      <c r="AA36" s="11" t="str">
        <f t="shared" si="18"/>
        <v/>
      </c>
      <c r="AB36" s="11" t="str">
        <f t="shared" si="19"/>
        <v>DOWN</v>
      </c>
      <c r="AC36" s="6" t="str">
        <f t="shared" si="20"/>
        <v>NEGATIVE</v>
      </c>
      <c r="AD36" cm="1">
        <f t="array" ref="AD36">IFERROR(VALUE(_xll.BDP($B36,"INTERVAL_MAE_MOV_AVG","CALC_INTERVAL","520D","TECH_STUDIES_PARAM1_OVERRIDE",65,"USE_PREVIOUS_BUSINESS_DAY","N")),"")</f>
        <v>211.63776924954925</v>
      </c>
      <c r="AE36">
        <f t="shared" si="5"/>
        <v>6856.0226153846133</v>
      </c>
      <c r="AF36" cm="1">
        <f t="array" ref="AF36">IFERROR(VALUE(_xll.BDP($B36,"INTERVAL_MAE_MOV_AVG","CALC_INTERVAL","520D","TECH_STUDIES_PARAM1_OVERRIDE",65,"USE_PREVIOUS_BUSINESS_DAY","Y")),"")</f>
        <v>211.96069230769226</v>
      </c>
      <c r="AG36">
        <f t="shared" si="6"/>
        <v>6852.6203076923057</v>
      </c>
      <c r="AH36">
        <f t="shared" si="21"/>
        <v>3.0868884354996642E-2</v>
      </c>
      <c r="AI36">
        <f t="shared" si="22"/>
        <v>3.0931334699773015E-2</v>
      </c>
      <c r="AJ36" s="10" t="str">
        <f t="shared" si="23"/>
        <v>DOWN</v>
      </c>
      <c r="AK36" s="10" t="str">
        <f t="shared" si="24"/>
        <v>DOWN</v>
      </c>
      <c r="AL36" s="6" t="str">
        <f t="shared" si="25"/>
        <v>NEGATIVE</v>
      </c>
      <c r="AM36" cm="1">
        <f t="array" ref="AM36">IFERROR(VALUE(_xll.BDP($B36,"INTERVAL_MAE_MOV_AVG","CALC_INTERVAL","65W","PERIODICITY_OVERRIDE","W","TECH_STUDIES_PARAM1_OVERRIDE",39,"USE_PREVIOUS_BUSINESS_DAY","N")),"")</f>
        <v>230.95500003130007</v>
      </c>
      <c r="AN36">
        <f t="shared" si="7"/>
        <v>6560.7735897435905</v>
      </c>
      <c r="AO36" cm="1">
        <f t="array" ref="AO36">IFERROR(VALUE(_xll.BDP($B36,"INTERVAL_MAE_MOV_AVG","CALC_INTERVAL","65W","PERIODICITY_OVERRIDE","W","TECH_STUDIES_PARAM1_OVERRIDE",39,"USE_PREVIOUS_BUSINESS_DAY","Y")),"")</f>
        <v>231.21576923076921</v>
      </c>
      <c r="AP36">
        <f t="shared" si="8"/>
        <v>6560.7823076923087</v>
      </c>
      <c r="AQ36">
        <f t="shared" si="26"/>
        <v>3.5202403630015575E-2</v>
      </c>
      <c r="AR36">
        <f t="shared" si="27"/>
        <v>3.5242103515563394E-2</v>
      </c>
      <c r="AS36" s="10" t="str">
        <f t="shared" si="28"/>
        <v>DOWN</v>
      </c>
      <c r="AT36" s="10" t="str">
        <f t="shared" si="29"/>
        <v>DOWN</v>
      </c>
      <c r="AU36" s="6" t="str">
        <f t="shared" si="30"/>
        <v>NEGATIVE</v>
      </c>
      <c r="AV36" cm="1">
        <f t="array" ref="AV36">IFERROR(VALUE(_xll.BDP($B36,"INTERVAL_exp_MOV_AVG","CALC_INTERVAL","520D","TECH_STUDIES_PARAM1_OVERRIDE",100,"USE_PREVIOUS_BUSINESS_DAY","N")),"")</f>
        <v>220.16129379275282</v>
      </c>
      <c r="AW36">
        <f t="shared" si="9"/>
        <v>6773.0064518682802</v>
      </c>
      <c r="AX36" cm="1">
        <f t="array" ref="AX36">IFERROR(VALUE(_xll.BDP($B36,"INTERVAL_exp_MOV_AVG","CALC_INTERVAL","520D","TECH_STUDIES_PARAM1_OVERRIDE",100,"USE_PREVIOUS_BUSINESS_DAY","Y")),"")</f>
        <v>221.06418325941397</v>
      </c>
      <c r="AY36">
        <f t="shared" si="10"/>
        <v>6769.6039787132295</v>
      </c>
      <c r="AZ36">
        <f t="shared" si="31"/>
        <v>3.2505696747420501E-2</v>
      </c>
      <c r="BA36">
        <f t="shared" si="32"/>
        <v>3.2655408492807285E-2</v>
      </c>
      <c r="BB36" s="11" t="str">
        <f t="shared" si="33"/>
        <v>DOWN</v>
      </c>
      <c r="BC36" s="11" t="str">
        <f t="shared" si="34"/>
        <v>DOWN</v>
      </c>
      <c r="BD36" s="6" t="str">
        <f t="shared" si="35"/>
        <v>NEGATIVE</v>
      </c>
      <c r="BE36" s="12" cm="1">
        <f t="array" ref="BE36">_xll.BDP($B36, "INTERVAL_RSI", "TECH_STUDIES_PARAM1_OVERRIDE", "5", "PERIODICITY_OVERRIDE", "W")</f>
        <v>14.18967356641717</v>
      </c>
      <c r="BF36" cm="1">
        <f t="array" ref="BF36">IFERROR(VALUE(_xll.BDP($B36,"INTERVAL_MAE_MOV_AVG","CALC_INTERVAL","520D","TECH_STUDIES_PARAM1_OVERRIDE",31,"USE_PREVIOUS_BUSINESS_DAY","N")),"")</f>
        <v>208.85354842647433</v>
      </c>
      <c r="BG36" cm="1">
        <f t="array" ref="BG36">IFERROR(VALUE(_xll.BDP($B36,"INTERVAL_MAE_MOV_AVG","CALC_INTERVAL","760D","TECH_STUDIES_PARAM1_OVERRIDE",200,"USE_PREVIOUS_BUSINESS_DAY","N")),"")</f>
        <v>230.36300000610339</v>
      </c>
      <c r="BH36" s="13">
        <f t="shared" si="36"/>
        <v>-0.15984190203130222</v>
      </c>
      <c r="BI36" s="13">
        <f t="shared" si="37"/>
        <v>-0.18525727529403635</v>
      </c>
      <c r="BJ36" s="13">
        <f t="shared" si="38"/>
        <v>-0.23828913499411375</v>
      </c>
      <c r="BK36" s="32" cm="1">
        <f t="array" ref="BK36">VALUE(_xll.BDP($B36,"INTERVAL_DATE_OF_CALC_HI","CALC_INTERVAL","3M"))</f>
        <v>46013</v>
      </c>
      <c r="BL36" s="32" cm="1">
        <f t="array" ref="BL36">VALUE(_xll.BDP($B36,"INTERVAL_DATE_OF_CALC_LO","CALC_INTERVAL","3M"))</f>
        <v>46064</v>
      </c>
      <c r="BM36" s="32" cm="1">
        <f t="array" ref="BM36">VALUE(_xll.BDP($B36,"INTERVAL_DATE_OF_CALC_HI","CALC_INTERVAL","1M"))</f>
        <v>46035</v>
      </c>
      <c r="BN36" s="32" cm="1">
        <f t="array" ref="BN36">VALUE(_xll.BDP($B36,"INTERVAL_DATE_OF_CALC_LO","CALC_INTERVAL","1M"))</f>
        <v>46064</v>
      </c>
      <c r="BO36" s="15">
        <f>IFERROR(VLOOKUP($F36,PIVOT!$A:$C,2,FALSE),0)</f>
        <v>0</v>
      </c>
      <c r="BP36" s="15">
        <f>IFERROR(VLOOKUP($F36,PIVOT!$A:$C,3,FALSE),0)</f>
        <v>0</v>
      </c>
      <c r="BQ36" s="15">
        <f t="shared" si="11"/>
        <v>23.303579075537172</v>
      </c>
    </row>
    <row r="37" spans="1:69" x14ac:dyDescent="0.25">
      <c r="A37">
        <v>36</v>
      </c>
      <c r="B37" t="s">
        <v>43</v>
      </c>
      <c r="J37" s="24"/>
      <c r="K37" s="15">
        <f>_xll.BDP($B37,"interval_rsi","tech_studies_param1_override",14)</f>
        <v>49.981281010845557</v>
      </c>
      <c r="L37" s="15">
        <f t="shared" si="0"/>
        <v>52.525531939815814</v>
      </c>
      <c r="M37">
        <f t="shared" si="12"/>
        <v>0</v>
      </c>
      <c r="N37" cm="1">
        <f t="array" ref="N37">IFERROR(VALUE(_xll.BDP($B37,"px_last")),"")</f>
        <v>127.33</v>
      </c>
      <c r="O37">
        <f t="shared" si="1"/>
        <v>6941.47</v>
      </c>
      <c r="P37" cm="1">
        <f t="array" ref="P37">IFERROR(VALUE(_xll.BDP($B37,"PX_YEST_CLOSE")),"")</f>
        <v>129.66999999999999</v>
      </c>
      <c r="Q37">
        <f t="shared" si="2"/>
        <v>6941.81</v>
      </c>
      <c r="R37">
        <f t="shared" si="13"/>
        <v>1.8343376835166039E-2</v>
      </c>
      <c r="S37">
        <f t="shared" si="14"/>
        <v>1.8679566280264077E-2</v>
      </c>
      <c r="T37" cm="1">
        <f t="array" ref="T37">IFERROR(VALUE(_xll.BDP($B37,"INTERVAL_MAE_MOV_AVG","CALC_INTERVAL","520D","TECH_STUDIES_PARAM1_OVERRIDE",50,"USE_PREVIOUS_BUSINESS_DAY","N")),"")</f>
        <v>134.83960003662108</v>
      </c>
      <c r="U37">
        <f t="shared" si="3"/>
        <v>6894.0953999999992</v>
      </c>
      <c r="V37" cm="1">
        <f t="array" ref="V37">IFERROR(VALUE(_xll.BDP($B37,"INTERVAL_MAE_MOV_AVG","CALC_INTERVAL","520D","TECH_STUDIES_PARAM1_OVERRIDE",50,"USE_PREVIOUS_BUSINESS_DAY","Y")),"")</f>
        <v>135.49319999999997</v>
      </c>
      <c r="W37">
        <f t="shared" si="4"/>
        <v>6892.2477999999992</v>
      </c>
      <c r="X37">
        <f t="shared" si="15"/>
        <v>1.9558708171723456E-2</v>
      </c>
      <c r="Y37">
        <f t="shared" si="16"/>
        <v>1.9658782436696484E-2</v>
      </c>
      <c r="Z37" s="11" t="str">
        <f t="shared" si="17"/>
        <v>NEGATIVE</v>
      </c>
      <c r="AA37" s="11" t="str">
        <f t="shared" si="18"/>
        <v/>
      </c>
      <c r="AB37" s="11" t="str">
        <f t="shared" si="19"/>
        <v>DOWN</v>
      </c>
      <c r="AC37" s="6" t="str">
        <f t="shared" si="20"/>
        <v>NEGATIVE</v>
      </c>
      <c r="AD37" cm="1">
        <f t="array" ref="AD37">IFERROR(VALUE(_xll.BDP($B37,"INTERVAL_MAE_MOV_AVG","CALC_INTERVAL","520D","TECH_STUDIES_PARAM1_OVERRIDE",65,"USE_PREVIOUS_BUSINESS_DAY","N")),"")</f>
        <v>144.28707695124695</v>
      </c>
      <c r="AE37">
        <f t="shared" si="5"/>
        <v>6856.0226153846133</v>
      </c>
      <c r="AF37" cm="1">
        <f t="array" ref="AF37">IFERROR(VALUE(_xll.BDP($B37,"INTERVAL_MAE_MOV_AVG","CALC_INTERVAL","520D","TECH_STUDIES_PARAM1_OVERRIDE",65,"USE_PREVIOUS_BUSINESS_DAY","Y")),"")</f>
        <v>145.26384615384609</v>
      </c>
      <c r="AG37">
        <f t="shared" si="6"/>
        <v>6852.6203076923057</v>
      </c>
      <c r="AH37">
        <f t="shared" si="21"/>
        <v>2.1045303530281986E-2</v>
      </c>
      <c r="AI37">
        <f t="shared" si="22"/>
        <v>2.1198291986319794E-2</v>
      </c>
      <c r="AJ37" s="10" t="str">
        <f t="shared" si="23"/>
        <v>DOWN</v>
      </c>
      <c r="AK37" s="10" t="str">
        <f t="shared" si="24"/>
        <v>DOWN</v>
      </c>
      <c r="AL37" s="6" t="str">
        <f t="shared" si="25"/>
        <v>NEGATIVE</v>
      </c>
      <c r="AM37" cm="1">
        <f t="array" ref="AM37">IFERROR(VALUE(_xll.BDP($B37,"INTERVAL_MAE_MOV_AVG","CALC_INTERVAL","65W","PERIODICITY_OVERRIDE","W","TECH_STUDIES_PARAM1_OVERRIDE",39,"USE_PREVIOUS_BUSINESS_DAY","N")),"")</f>
        <v>140.08782055977062</v>
      </c>
      <c r="AN37">
        <f t="shared" si="7"/>
        <v>6560.7735897435905</v>
      </c>
      <c r="AO37" cm="1">
        <f t="array" ref="AO37">IFERROR(VALUE(_xll.BDP($B37,"INTERVAL_MAE_MOV_AVG","CALC_INTERVAL","65W","PERIODICITY_OVERRIDE","W","TECH_STUDIES_PARAM1_OVERRIDE",39,"USE_PREVIOUS_BUSINESS_DAY","Y")),"")</f>
        <v>140.14782051282049</v>
      </c>
      <c r="AP37">
        <f t="shared" si="8"/>
        <v>6560.7823076923087</v>
      </c>
      <c r="AQ37">
        <f t="shared" si="26"/>
        <v>2.1352332715576239E-2</v>
      </c>
      <c r="AR37">
        <f t="shared" si="27"/>
        <v>2.1361449586355215E-2</v>
      </c>
      <c r="AS37" s="10" t="str">
        <f t="shared" si="28"/>
        <v>DOWN</v>
      </c>
      <c r="AT37" s="10" t="str">
        <f t="shared" si="29"/>
        <v>DOWN</v>
      </c>
      <c r="AU37" s="6" t="str">
        <f t="shared" si="30"/>
        <v>NEGATIVE</v>
      </c>
      <c r="AV37" cm="1">
        <f t="array" ref="AV37">IFERROR(VALUE(_xll.BDP($B37,"INTERVAL_exp_MOV_AVG","CALC_INTERVAL","520D","TECH_STUDIES_PARAM1_OVERRIDE",100,"USE_PREVIOUS_BUSINESS_DAY","N")),"")</f>
        <v>139.04999954248524</v>
      </c>
      <c r="AW37">
        <f t="shared" si="9"/>
        <v>6773.0064518682802</v>
      </c>
      <c r="AX37" cm="1">
        <f t="array" ref="AX37">IFERROR(VALUE(_xll.BDP($B37,"INTERVAL_exp_MOV_AVG","CALC_INTERVAL","520D","TECH_STUDIES_PARAM1_OVERRIDE",100,"USE_PREVIOUS_BUSINESS_DAY","Y")),"")</f>
        <v>139.28669765121711</v>
      </c>
      <c r="AY37">
        <f t="shared" si="10"/>
        <v>6769.6039787132295</v>
      </c>
      <c r="AZ37">
        <f t="shared" si="31"/>
        <v>2.0530026145793703E-2</v>
      </c>
      <c r="BA37">
        <f t="shared" si="32"/>
        <v>2.0575309588153016E-2</v>
      </c>
      <c r="BB37" s="11" t="str">
        <f t="shared" si="33"/>
        <v>DOWN</v>
      </c>
      <c r="BC37" s="11" t="str">
        <f t="shared" si="34"/>
        <v>DOWN</v>
      </c>
      <c r="BD37" s="6" t="str">
        <f t="shared" si="35"/>
        <v>NEGATIVE</v>
      </c>
      <c r="BE37" s="12" cm="1">
        <f t="array" ref="BE37">_xll.BDP($B37, "INTERVAL_RSI", "TECH_STUDIES_PARAM1_OVERRIDE", "5", "PERIODICITY_OVERRIDE", "W")</f>
        <v>46.910886574472499</v>
      </c>
      <c r="BF37" cm="1">
        <f t="array" ref="BF37">IFERROR(VALUE(_xll.BDP($B37,"INTERVAL_MAE_MOV_AVG","CALC_INTERVAL","520D","TECH_STUDIES_PARAM1_OVERRIDE",31,"USE_PREVIOUS_BUSINESS_DAY","N")),"")</f>
        <v>127.62887102680821</v>
      </c>
      <c r="BG37" cm="1">
        <f t="array" ref="BG37">IFERROR(VALUE(_xll.BDP($B37,"INTERVAL_MAE_MOV_AVG","CALC_INTERVAL","760D","TECH_STUDIES_PARAM1_OVERRIDE",200,"USE_PREVIOUS_BUSINESS_DAY","N")),"")</f>
        <v>138.24477500915532</v>
      </c>
      <c r="BH37" s="13">
        <f t="shared" si="36"/>
        <v>-2.3417195843207228E-3</v>
      </c>
      <c r="BI37" s="13">
        <f t="shared" si="37"/>
        <v>-5.5692838265476552E-2</v>
      </c>
      <c r="BJ37" s="13">
        <f t="shared" si="38"/>
        <v>-7.895253190171192E-2</v>
      </c>
      <c r="BK37" s="32" cm="1">
        <f t="array" ref="BK37">VALUE(_xll.BDP($B37,"INTERVAL_DATE_OF_CALC_HI","CALC_INTERVAL","3M"))</f>
        <v>45972</v>
      </c>
      <c r="BL37" s="32" cm="1">
        <f t="array" ref="BL37">VALUE(_xll.BDP($B37,"INTERVAL_DATE_OF_CALC_LO","CALC_INTERVAL","3M"))</f>
        <v>46058</v>
      </c>
      <c r="BM37" s="32" cm="1">
        <f t="array" ref="BM37">VALUE(_xll.BDP($B37,"INTERVAL_DATE_OF_CALC_HI","CALC_INTERVAL","1M"))</f>
        <v>46050</v>
      </c>
      <c r="BN37" s="32" cm="1">
        <f t="array" ref="BN37">VALUE(_xll.BDP($B37,"INTERVAL_DATE_OF_CALC_LO","CALC_INTERVAL","1M"))</f>
        <v>46058</v>
      </c>
      <c r="BO37" s="15">
        <f>IFERROR(VLOOKUP($F37,PIVOT!$A:$C,2,FALSE),0)</f>
        <v>0</v>
      </c>
      <c r="BP37" s="15">
        <f>IFERROR(VLOOKUP($F37,PIVOT!$A:$C,3,FALSE),0)</f>
        <v>0</v>
      </c>
      <c r="BQ37" s="15">
        <f t="shared" si="11"/>
        <v>49.981281010845557</v>
      </c>
    </row>
    <row r="38" spans="1:69" x14ac:dyDescent="0.25">
      <c r="A38">
        <v>37</v>
      </c>
      <c r="B38" t="s">
        <v>45</v>
      </c>
      <c r="J38" s="24"/>
      <c r="K38" s="15">
        <f>_xll.BDP($B38,"interval_rsi","tech_studies_param1_override",14)</f>
        <v>40.304681156207948</v>
      </c>
      <c r="L38" s="15">
        <f t="shared" si="0"/>
        <v>52.525531939815814</v>
      </c>
      <c r="M38">
        <f t="shared" si="12"/>
        <v>0</v>
      </c>
      <c r="N38" cm="1">
        <f t="array" ref="N38">IFERROR(VALUE(_xll.BDP($B38,"px_last")),"")</f>
        <v>68.150000000000006</v>
      </c>
      <c r="O38">
        <f t="shared" si="1"/>
        <v>6941.47</v>
      </c>
      <c r="P38" cm="1">
        <f t="array" ref="P38">IFERROR(VALUE(_xll.BDP($B38,"PX_YEST_CLOSE")),"")</f>
        <v>68.16</v>
      </c>
      <c r="Q38">
        <f t="shared" si="2"/>
        <v>6941.81</v>
      </c>
      <c r="R38">
        <f t="shared" si="13"/>
        <v>9.8178051623071198E-3</v>
      </c>
      <c r="S38">
        <f t="shared" si="14"/>
        <v>9.8187648466322181E-3</v>
      </c>
      <c r="T38" cm="1">
        <f t="array" ref="T38">IFERROR(VALUE(_xll.BDP($B38,"INTERVAL_MAE_MOV_AVG","CALC_INTERVAL","520D","TECH_STUDIES_PARAM1_OVERRIDE",50,"USE_PREVIOUS_BUSINESS_DAY","N")),"")</f>
        <v>68.74060003051757</v>
      </c>
      <c r="U38">
        <f t="shared" si="3"/>
        <v>6894.0953999999992</v>
      </c>
      <c r="V38" cm="1">
        <f t="array" ref="V38">IFERROR(VALUE(_xll.BDP($B38,"INTERVAL_MAE_MOV_AVG","CALC_INTERVAL","520D","TECH_STUDIES_PARAM1_OVERRIDE",50,"USE_PREVIOUS_BUSINESS_DAY","Y")),"")</f>
        <v>68.646999999999977</v>
      </c>
      <c r="W38">
        <f t="shared" si="4"/>
        <v>6892.2477999999992</v>
      </c>
      <c r="X38">
        <f t="shared" si="15"/>
        <v>9.9709383236149564E-3</v>
      </c>
      <c r="Y38">
        <f t="shared" si="16"/>
        <v>9.9600307464278899E-3</v>
      </c>
      <c r="Z38" s="11" t="str">
        <f t="shared" si="17"/>
        <v>NEGATIVE</v>
      </c>
      <c r="AA38" s="11" t="str">
        <f t="shared" si="18"/>
        <v/>
      </c>
      <c r="AB38" s="11" t="str">
        <f t="shared" si="19"/>
        <v>UP</v>
      </c>
      <c r="AC38" s="6" t="str">
        <f t="shared" si="20"/>
        <v>NEGATIVE</v>
      </c>
      <c r="AD38" cm="1">
        <f t="array" ref="AD38">IFERROR(VALUE(_xll.BDP($B38,"INTERVAL_MAE_MOV_AVG","CALC_INTERVAL","520D","TECH_STUDIES_PARAM1_OVERRIDE",65,"USE_PREVIOUS_BUSINESS_DAY","N")),"")</f>
        <v>66.605076946551975</v>
      </c>
      <c r="AE38">
        <f t="shared" si="5"/>
        <v>6856.0226153846133</v>
      </c>
      <c r="AF38" cm="1">
        <f t="array" ref="AF38">IFERROR(VALUE(_xll.BDP($B38,"INTERVAL_MAE_MOV_AVG","CALC_INTERVAL","520D","TECH_STUDIES_PARAM1_OVERRIDE",65,"USE_PREVIOUS_BUSINESS_DAY","Y")),"")</f>
        <v>66.449230769230766</v>
      </c>
      <c r="AG38">
        <f t="shared" si="6"/>
        <v>6852.6203076923057</v>
      </c>
      <c r="AH38">
        <f t="shared" si="21"/>
        <v>9.7148274857047738E-3</v>
      </c>
      <c r="AI38">
        <f t="shared" si="22"/>
        <v>9.6969083044976517E-3</v>
      </c>
      <c r="AJ38" s="10" t="str">
        <f t="shared" si="23"/>
        <v>UP</v>
      </c>
      <c r="AK38" s="10" t="str">
        <f t="shared" si="24"/>
        <v>UP</v>
      </c>
      <c r="AL38" s="6" t="str">
        <f t="shared" si="25"/>
        <v>POSITIVE</v>
      </c>
      <c r="AM38" cm="1">
        <f t="array" ref="AM38">IFERROR(VALUE(_xll.BDP($B38,"INTERVAL_MAE_MOV_AVG","CALC_INTERVAL","65W","PERIODICITY_OVERRIDE","W","TECH_STUDIES_PARAM1_OVERRIDE",39,"USE_PREVIOUS_BUSINESS_DAY","N")),"")</f>
        <v>73.07974362886867</v>
      </c>
      <c r="AN38">
        <f t="shared" si="7"/>
        <v>6560.7735897435905</v>
      </c>
      <c r="AO38" cm="1">
        <f t="array" ref="AO38">IFERROR(VALUE(_xll.BDP($B38,"INTERVAL_MAE_MOV_AVG","CALC_INTERVAL","65W","PERIODICITY_OVERRIDE","W","TECH_STUDIES_PARAM1_OVERRIDE",39,"USE_PREVIOUS_BUSINESS_DAY","Y")),"")</f>
        <v>73.079999999999984</v>
      </c>
      <c r="AP38">
        <f t="shared" si="8"/>
        <v>6560.7823076923087</v>
      </c>
      <c r="AQ38">
        <f t="shared" si="26"/>
        <v>1.1138891264760866E-2</v>
      </c>
      <c r="AR38">
        <f t="shared" si="27"/>
        <v>1.1138915539739218E-2</v>
      </c>
      <c r="AS38" s="10" t="str">
        <f t="shared" si="28"/>
        <v>DOWN</v>
      </c>
      <c r="AT38" s="10" t="str">
        <f t="shared" si="29"/>
        <v>DOWN</v>
      </c>
      <c r="AU38" s="6" t="str">
        <f t="shared" si="30"/>
        <v>NEGATIVE</v>
      </c>
      <c r="AV38" cm="1">
        <f t="array" ref="AV38">IFERROR(VALUE(_xll.BDP($B38,"INTERVAL_exp_MOV_AVG","CALC_INTERVAL","520D","TECH_STUDIES_PARAM1_OVERRIDE",100,"USE_PREVIOUS_BUSINESS_DAY","N")),"")</f>
        <v>69.438666574984637</v>
      </c>
      <c r="AW38">
        <f t="shared" si="9"/>
        <v>6773.0064518682802</v>
      </c>
      <c r="AX38" cm="1">
        <f t="array" ref="AX38">IFERROR(VALUE(_xll.BDP($B38,"INTERVAL_exp_MOV_AVG","CALC_INTERVAL","520D","TECH_STUDIES_PARAM1_OVERRIDE",100,"USE_PREVIOUS_BUSINESS_DAY","Y")),"")</f>
        <v>69.464669486186693</v>
      </c>
      <c r="AY38">
        <f t="shared" si="10"/>
        <v>6769.6039787132295</v>
      </c>
      <c r="AZ38">
        <f t="shared" si="31"/>
        <v>1.0252266414987768E-2</v>
      </c>
      <c r="BA38">
        <f t="shared" si="32"/>
        <v>1.0261260437776832E-2</v>
      </c>
      <c r="BB38" s="11" t="str">
        <f t="shared" si="33"/>
        <v>DOWN</v>
      </c>
      <c r="BC38" s="11" t="str">
        <f t="shared" si="34"/>
        <v>DOWN</v>
      </c>
      <c r="BD38" s="6" t="str">
        <f t="shared" si="35"/>
        <v>NEGATIVE</v>
      </c>
      <c r="BE38" s="12" cm="1">
        <f t="array" ref="BE38">_xll.BDP($B38, "INTERVAL_RSI", "TECH_STUDIES_PARAM1_OVERRIDE", "5", "PERIODICITY_OVERRIDE", "W")</f>
        <v>45.087145835495953</v>
      </c>
      <c r="BF38" cm="1">
        <f t="array" ref="BF38">IFERROR(VALUE(_xll.BDP($B38,"INTERVAL_MAE_MOV_AVG","CALC_INTERVAL","520D","TECH_STUDIES_PARAM1_OVERRIDE",31,"USE_PREVIOUS_BUSINESS_DAY","N")),"")</f>
        <v>70.289032307286419</v>
      </c>
      <c r="BG38" cm="1">
        <f t="array" ref="BG38">IFERROR(VALUE(_xll.BDP($B38,"INTERVAL_MAE_MOV_AVG","CALC_INTERVAL","760D","TECH_STUDIES_PARAM1_OVERRIDE",200,"USE_PREVIOUS_BUSINESS_DAY","N")),"")</f>
        <v>74.224150007629419</v>
      </c>
      <c r="BH38" s="13">
        <f t="shared" si="36"/>
        <v>-3.0431949865735608E-2</v>
      </c>
      <c r="BI38" s="13">
        <f t="shared" si="37"/>
        <v>-8.5917206171515215E-3</v>
      </c>
      <c r="BJ38" s="13">
        <f t="shared" si="38"/>
        <v>-8.1835224883074598E-2</v>
      </c>
      <c r="BK38" s="32" cm="1">
        <f t="array" ref="BK38">VALUE(_xll.BDP($B38,"INTERVAL_DATE_OF_CALC_HI","CALC_INTERVAL","3M"))</f>
        <v>46051</v>
      </c>
      <c r="BL38" s="32" cm="1">
        <f t="array" ref="BL38">VALUE(_xll.BDP($B38,"INTERVAL_DATE_OF_CALC_LO","CALC_INTERVAL","3M"))</f>
        <v>45975</v>
      </c>
      <c r="BM38" s="32" cm="1">
        <f t="array" ref="BM38">VALUE(_xll.BDP($B38,"INTERVAL_DATE_OF_CALC_HI","CALC_INTERVAL","1M"))</f>
        <v>46051</v>
      </c>
      <c r="BN38" s="32" cm="1">
        <f t="array" ref="BN38">VALUE(_xll.BDP($B38,"INTERVAL_DATE_OF_CALC_LO","CALC_INTERVAL","1M"))</f>
        <v>46064</v>
      </c>
      <c r="BO38" s="15">
        <f>IFERROR(VLOOKUP($F38,PIVOT!$A:$C,2,FALSE),0)</f>
        <v>0</v>
      </c>
      <c r="BP38" s="15">
        <f>IFERROR(VLOOKUP($F38,PIVOT!$A:$C,3,FALSE),0)</f>
        <v>0</v>
      </c>
      <c r="BQ38" s="15">
        <f t="shared" si="11"/>
        <v>40.304681156207948</v>
      </c>
    </row>
    <row r="39" spans="1:69" x14ac:dyDescent="0.25">
      <c r="A39">
        <v>38</v>
      </c>
      <c r="B39" t="s">
        <v>46</v>
      </c>
      <c r="J39" s="24"/>
      <c r="K39" s="15">
        <f>_xll.BDP($B39,"interval_rsi","tech_studies_param1_override",14)</f>
        <v>48.686238100632636</v>
      </c>
      <c r="L39" s="15">
        <f t="shared" si="0"/>
        <v>52.525531939815814</v>
      </c>
      <c r="M39">
        <f t="shared" si="12"/>
        <v>0</v>
      </c>
      <c r="N39" cm="1">
        <f t="array" ref="N39">IFERROR(VALUE(_xll.BDP($B39,"px_last")),"")</f>
        <v>202.24</v>
      </c>
      <c r="O39">
        <f t="shared" si="1"/>
        <v>6941.47</v>
      </c>
      <c r="P39" cm="1">
        <f t="array" ref="P39">IFERROR(VALUE(_xll.BDP($B39,"PX_YEST_CLOSE")),"")</f>
        <v>202.58</v>
      </c>
      <c r="Q39">
        <f t="shared" si="2"/>
        <v>6941.81</v>
      </c>
      <c r="R39">
        <f t="shared" si="13"/>
        <v>2.9135039119955859E-2</v>
      </c>
      <c r="S39">
        <f t="shared" si="14"/>
        <v>2.9182590707610839E-2</v>
      </c>
      <c r="T39" cm="1">
        <f t="array" ref="T39">IFERROR(VALUE(_xll.BDP($B39,"INTERVAL_MAE_MOV_AVG","CALC_INTERVAL","520D","TECH_STUDIES_PARAM1_OVERRIDE",50,"USE_PREVIOUS_BUSINESS_DAY","N")),"")</f>
        <v>203.48681052786327</v>
      </c>
      <c r="U39">
        <f t="shared" si="3"/>
        <v>6894.0953999999992</v>
      </c>
      <c r="V39" cm="1">
        <f t="array" ref="V39">IFERROR(VALUE(_xll.BDP($B39,"INTERVAL_MAE_MOV_AVG","CALC_INTERVAL","520D","TECH_STUDIES_PARAM1_OVERRIDE",50,"USE_PREVIOUS_BUSINESS_DAY","Y")),"")</f>
        <v>203.47883245699998</v>
      </c>
      <c r="W39">
        <f t="shared" si="4"/>
        <v>6892.2477999999992</v>
      </c>
      <c r="X39">
        <f t="shared" si="15"/>
        <v>2.951610018739562E-2</v>
      </c>
      <c r="Y39">
        <f t="shared" si="16"/>
        <v>2.9522855004865033E-2</v>
      </c>
      <c r="Z39" s="11" t="str">
        <f t="shared" si="17"/>
        <v>NEGATIVE</v>
      </c>
      <c r="AA39" s="11" t="str">
        <f t="shared" si="18"/>
        <v/>
      </c>
      <c r="AB39" s="11" t="str">
        <f t="shared" si="19"/>
        <v>DOWN</v>
      </c>
      <c r="AC39" s="6" t="str">
        <f t="shared" si="20"/>
        <v>NEGATIVE</v>
      </c>
      <c r="AD39" cm="1">
        <f t="array" ref="AD39">IFERROR(VALUE(_xll.BDP($B39,"INTERVAL_MAE_MOV_AVG","CALC_INTERVAL","520D","TECH_STUDIES_PARAM1_OVERRIDE",65,"USE_PREVIOUS_BUSINESS_DAY","N")),"")</f>
        <v>202.96116813527948</v>
      </c>
      <c r="AE39">
        <f t="shared" si="5"/>
        <v>6856.0226153846133</v>
      </c>
      <c r="AF39" cm="1">
        <f t="array" ref="AF39">IFERROR(VALUE(_xll.BDP($B39,"INTERVAL_MAE_MOV_AVG","CALC_INTERVAL","520D","TECH_STUDIES_PARAM1_OVERRIDE",65,"USE_PREVIOUS_BUSINESS_DAY","Y")),"")</f>
        <v>202.9296702769231</v>
      </c>
      <c r="AG39">
        <f t="shared" si="6"/>
        <v>6852.6203076923057</v>
      </c>
      <c r="AH39">
        <f t="shared" si="21"/>
        <v>2.9603339942293007E-2</v>
      </c>
      <c r="AI39">
        <f t="shared" si="22"/>
        <v>2.9613441452334292E-2</v>
      </c>
      <c r="AJ39" s="10" t="str">
        <f t="shared" si="23"/>
        <v>UP</v>
      </c>
      <c r="AK39" s="10" t="str">
        <f t="shared" si="24"/>
        <v>DOWN</v>
      </c>
      <c r="AL39" s="6" t="str">
        <f t="shared" si="25"/>
        <v>NEGATIVE</v>
      </c>
      <c r="AM39" cm="1">
        <f t="array" ref="AM39">IFERROR(VALUE(_xll.BDP($B39,"INTERVAL_MAE_MOV_AVG","CALC_INTERVAL","65W","PERIODICITY_OVERRIDE","W","TECH_STUDIES_PARAM1_OVERRIDE",39,"USE_PREVIOUS_BUSINESS_DAY","N")),"")</f>
        <v>181.83311988278331</v>
      </c>
      <c r="AN39">
        <f t="shared" si="7"/>
        <v>6560.7735897435905</v>
      </c>
      <c r="AO39" cm="1">
        <f t="array" ref="AO39">IFERROR(VALUE(_xll.BDP($B39,"INTERVAL_MAE_MOV_AVG","CALC_INTERVAL","65W","PERIODICITY_OVERRIDE","W","TECH_STUDIES_PARAM1_OVERRIDE",39,"USE_PREVIOUS_BUSINESS_DAY","Y")),"")</f>
        <v>181.84183769065089</v>
      </c>
      <c r="AP39">
        <f t="shared" si="8"/>
        <v>6560.7823076923087</v>
      </c>
      <c r="AQ39">
        <f t="shared" si="26"/>
        <v>2.7715195075020072E-2</v>
      </c>
      <c r="AR39">
        <f t="shared" si="27"/>
        <v>2.7716487022812375E-2</v>
      </c>
      <c r="AS39" s="10" t="str">
        <f t="shared" si="28"/>
        <v>DOWN</v>
      </c>
      <c r="AT39" s="10" t="str">
        <f t="shared" si="29"/>
        <v>DOWN</v>
      </c>
      <c r="AU39" s="6" t="str">
        <f t="shared" si="30"/>
        <v>POSITIVE</v>
      </c>
      <c r="AV39" cm="1">
        <f t="array" ref="AV39">IFERROR(VALUE(_xll.BDP($B39,"INTERVAL_exp_MOV_AVG","CALC_INTERVAL","520D","TECH_STUDIES_PARAM1_OVERRIDE",100,"USE_PREVIOUS_BUSINESS_DAY","N")),"")</f>
        <v>196.26301366148252</v>
      </c>
      <c r="AW39">
        <f t="shared" si="9"/>
        <v>6773.0064518682802</v>
      </c>
      <c r="AX39" cm="1">
        <f t="array" ref="AX39">IFERROR(VALUE(_xll.BDP($B39,"INTERVAL_exp_MOV_AVG","CALC_INTERVAL","520D","TECH_STUDIES_PARAM1_OVERRIDE",100,"USE_PREVIOUS_BUSINESS_DAY","Y")),"")</f>
        <v>196.14228263783457</v>
      </c>
      <c r="AY39">
        <f t="shared" si="10"/>
        <v>6769.6039787132295</v>
      </c>
      <c r="AZ39">
        <f t="shared" si="31"/>
        <v>2.8977237074289945E-2</v>
      </c>
      <c r="BA39">
        <f t="shared" si="32"/>
        <v>2.8973967052518399E-2</v>
      </c>
      <c r="BB39" s="11" t="str">
        <f t="shared" si="33"/>
        <v>UP</v>
      </c>
      <c r="BC39" s="11" t="str">
        <f t="shared" si="34"/>
        <v>UP</v>
      </c>
      <c r="BD39" s="6" t="str">
        <f t="shared" si="35"/>
        <v>POSITIVE</v>
      </c>
      <c r="BE39" s="12" cm="1">
        <f t="array" ref="BE39">_xll.BDP($B39, "INTERVAL_RSI", "TECH_STUDIES_PARAM1_OVERRIDE", "5", "PERIODICITY_OVERRIDE", "W")</f>
        <v>48.018106868698013</v>
      </c>
      <c r="BF39" cm="1">
        <f t="array" ref="BF39">IFERROR(VALUE(_xll.BDP($B39,"INTERVAL_MAE_MOV_AVG","CALC_INTERVAL","520D","TECH_STUDIES_PARAM1_OVERRIDE",31,"USE_PREVIOUS_BUSINESS_DAY","N")),"")</f>
        <v>203.30838727397304</v>
      </c>
      <c r="BG39" cm="1">
        <f t="array" ref="BG39">IFERROR(VALUE(_xll.BDP($B39,"INTERVAL_MAE_MOV_AVG","CALC_INTERVAL","760D","TECH_STUDIES_PARAM1_OVERRIDE",200,"USE_PREVIOUS_BUSINESS_DAY","N")),"")</f>
        <v>178.82690312738976</v>
      </c>
      <c r="BH39" s="13">
        <f t="shared" si="36"/>
        <v>-5.2550083560167771E-3</v>
      </c>
      <c r="BI39" s="13">
        <f t="shared" si="37"/>
        <v>-6.127230185725141E-3</v>
      </c>
      <c r="BJ39" s="13">
        <f t="shared" si="38"/>
        <v>0.13092603217498899</v>
      </c>
      <c r="BK39" s="32" cm="1">
        <f t="array" ref="BK39">VALUE(_xll.BDP($B39,"INTERVAL_DATE_OF_CALC_HI","CALC_INTERVAL","3M"))</f>
        <v>46017</v>
      </c>
      <c r="BL39" s="32" cm="1">
        <f t="array" ref="BL39">VALUE(_xll.BDP($B39,"INTERVAL_DATE_OF_CALC_LO","CALC_INTERVAL","3M"))</f>
        <v>46057</v>
      </c>
      <c r="BM39" s="32" cm="1">
        <f t="array" ref="BM39">VALUE(_xll.BDP($B39,"INTERVAL_DATE_OF_CALC_HI","CALC_INTERVAL","1M"))</f>
        <v>46048</v>
      </c>
      <c r="BN39" s="32" cm="1">
        <f t="array" ref="BN39">VALUE(_xll.BDP($B39,"INTERVAL_DATE_OF_CALC_LO","CALC_INTERVAL","1M"))</f>
        <v>46057</v>
      </c>
      <c r="BO39" s="15">
        <f>IFERROR(VLOOKUP($F39,PIVOT!$A:$C,2,FALSE),0)</f>
        <v>0</v>
      </c>
      <c r="BP39" s="15">
        <f>IFERROR(VLOOKUP($F39,PIVOT!$A:$C,3,FALSE),0)</f>
        <v>0</v>
      </c>
      <c r="BQ39" s="15">
        <f t="shared" si="11"/>
        <v>48.686238100632636</v>
      </c>
    </row>
    <row r="40" spans="1:69" x14ac:dyDescent="0.25">
      <c r="A40">
        <v>39</v>
      </c>
      <c r="B40" t="s">
        <v>48</v>
      </c>
      <c r="J40" s="24"/>
      <c r="K40" s="15">
        <f>_xll.BDP($B40,"interval_rsi","tech_studies_param1_override",14)</f>
        <v>52.346198733882744</v>
      </c>
      <c r="L40" s="15">
        <f t="shared" si="0"/>
        <v>52.525531939815814</v>
      </c>
      <c r="M40">
        <f t="shared" si="12"/>
        <v>0</v>
      </c>
      <c r="N40" cm="1">
        <f t="array" ref="N40">IFERROR(VALUE(_xll.BDP($B40,"px_last")),"")</f>
        <v>44.45</v>
      </c>
      <c r="O40">
        <f t="shared" si="1"/>
        <v>6941.47</v>
      </c>
      <c r="P40" cm="1">
        <f t="array" ref="P40">IFERROR(VALUE(_xll.BDP($B40,"PX_YEST_CLOSE")),"")</f>
        <v>44.64</v>
      </c>
      <c r="Q40">
        <f t="shared" si="2"/>
        <v>6941.81</v>
      </c>
      <c r="R40">
        <f t="shared" si="13"/>
        <v>6.4035427654372925E-3</v>
      </c>
      <c r="S40">
        <f t="shared" si="14"/>
        <v>6.4305995122309594E-3</v>
      </c>
      <c r="T40" cm="1">
        <f t="array" ref="T40">IFERROR(VALUE(_xll.BDP($B40,"INTERVAL_MAE_MOV_AVG","CALC_INTERVAL","520D","TECH_STUDIES_PARAM1_OVERRIDE",50,"USE_PREVIOUS_BUSINESS_DAY","N")),"")</f>
        <v>43.989600015258787</v>
      </c>
      <c r="U40">
        <f t="shared" si="3"/>
        <v>6894.0953999999992</v>
      </c>
      <c r="V40" cm="1">
        <f t="array" ref="V40">IFERROR(VALUE(_xll.BDP($B40,"INTERVAL_MAE_MOV_AVG","CALC_INTERVAL","520D","TECH_STUDIES_PARAM1_OVERRIDE",50,"USE_PREVIOUS_BUSINESS_DAY","Y")),"")</f>
        <v>44.042999999999992</v>
      </c>
      <c r="W40">
        <f t="shared" si="4"/>
        <v>6892.2477999999992</v>
      </c>
      <c r="X40">
        <f t="shared" si="15"/>
        <v>6.3807646200049386E-3</v>
      </c>
      <c r="Y40">
        <f t="shared" si="16"/>
        <v>6.3902229400399678E-3</v>
      </c>
      <c r="Z40" s="11" t="str">
        <f t="shared" si="17"/>
        <v>NEGATIVE</v>
      </c>
      <c r="AA40" s="11" t="str">
        <f t="shared" si="18"/>
        <v/>
      </c>
      <c r="AB40" s="11" t="str">
        <f t="shared" si="19"/>
        <v>DOWN</v>
      </c>
      <c r="AC40" s="6" t="str">
        <f t="shared" si="20"/>
        <v>POSITIVE</v>
      </c>
      <c r="AD40" cm="1">
        <f t="array" ref="AD40">IFERROR(VALUE(_xll.BDP($B40,"INTERVAL_MAE_MOV_AVG","CALC_INTERVAL","520D","TECH_STUDIES_PARAM1_OVERRIDE",65,"USE_PREVIOUS_BUSINESS_DAY","N")),"")</f>
        <v>44.444769338506759</v>
      </c>
      <c r="AE40">
        <f t="shared" si="5"/>
        <v>6856.0226153846133</v>
      </c>
      <c r="AF40" cm="1">
        <f t="array" ref="AF40">IFERROR(VALUE(_xll.BDP($B40,"INTERVAL_MAE_MOV_AVG","CALC_INTERVAL","520D","TECH_STUDIES_PARAM1_OVERRIDE",65,"USE_PREVIOUS_BUSINESS_DAY","Y")),"")</f>
        <v>44.458066776615375</v>
      </c>
      <c r="AG40">
        <f t="shared" si="6"/>
        <v>6852.6203076923057</v>
      </c>
      <c r="AH40">
        <f t="shared" si="21"/>
        <v>6.4825879131108245E-3</v>
      </c>
      <c r="AI40">
        <f t="shared" si="22"/>
        <v>6.4877469902585496E-3</v>
      </c>
      <c r="AJ40" s="10" t="str">
        <f t="shared" si="23"/>
        <v>DOWN</v>
      </c>
      <c r="AK40" s="10" t="str">
        <f t="shared" si="24"/>
        <v>DOWN</v>
      </c>
      <c r="AL40" s="6" t="str">
        <f t="shared" si="25"/>
        <v>NEGATIVE</v>
      </c>
      <c r="AM40" cm="1">
        <f t="array" ref="AM40">IFERROR(VALUE(_xll.BDP($B40,"INTERVAL_MAE_MOV_AVG","CALC_INTERVAL","65W","PERIODICITY_OVERRIDE","W","TECH_STUDIES_PARAM1_OVERRIDE",39,"USE_PREVIOUS_BUSINESS_DAY","N")),"")</f>
        <v>44.096495428150341</v>
      </c>
      <c r="AN40">
        <f t="shared" si="7"/>
        <v>6560.7735897435905</v>
      </c>
      <c r="AO40" cm="1">
        <f t="array" ref="AO40">IFERROR(VALUE(_xll.BDP($B40,"INTERVAL_MAE_MOV_AVG","CALC_INTERVAL","65W","PERIODICITY_OVERRIDE","W","TECH_STUDIES_PARAM1_OVERRIDE",39,"USE_PREVIOUS_BUSINESS_DAY","Y")),"")</f>
        <v>44.101367203459588</v>
      </c>
      <c r="AP40">
        <f t="shared" si="8"/>
        <v>6560.7823076923087</v>
      </c>
      <c r="AQ40">
        <f t="shared" si="26"/>
        <v>6.7212341387738288E-3</v>
      </c>
      <c r="AR40">
        <f t="shared" si="27"/>
        <v>6.7219677677389381E-3</v>
      </c>
      <c r="AS40" s="10" t="str">
        <f t="shared" si="28"/>
        <v>DOWN</v>
      </c>
      <c r="AT40" s="10" t="str">
        <f t="shared" si="29"/>
        <v>DOWN</v>
      </c>
      <c r="AU40" s="6" t="str">
        <f t="shared" si="30"/>
        <v>NEGATIVE</v>
      </c>
      <c r="AV40" cm="1">
        <f t="array" ref="AV40">IFERROR(VALUE(_xll.BDP($B40,"INTERVAL_exp_MOV_AVG","CALC_INTERVAL","520D","TECH_STUDIES_PARAM1_OVERRIDE",100,"USE_PREVIOUS_BUSINESS_DAY","N")),"")</f>
        <v>44.352371905628658</v>
      </c>
      <c r="AW40">
        <f t="shared" si="9"/>
        <v>6773.0064518682802</v>
      </c>
      <c r="AX40" cm="1">
        <f t="array" ref="AX40">IFERROR(VALUE(_xll.BDP($B40,"INTERVAL_exp_MOV_AVG","CALC_INTERVAL","520D","TECH_STUDIES_PARAM1_OVERRIDE",100,"USE_PREVIOUS_BUSINESS_DAY","Y")),"")</f>
        <v>44.350402767914069</v>
      </c>
      <c r="AY40">
        <f t="shared" si="10"/>
        <v>6769.6039787132295</v>
      </c>
      <c r="AZ40">
        <f t="shared" si="31"/>
        <v>6.5484024296764707E-3</v>
      </c>
      <c r="BA40">
        <f t="shared" si="32"/>
        <v>6.5514028453322048E-3</v>
      </c>
      <c r="BB40" s="11" t="str">
        <f t="shared" si="33"/>
        <v>UP</v>
      </c>
      <c r="BC40" s="11" t="str">
        <f t="shared" si="34"/>
        <v>DOWN</v>
      </c>
      <c r="BD40" s="6" t="str">
        <f t="shared" si="35"/>
        <v>NEGATIVE</v>
      </c>
      <c r="BE40" s="12" cm="1">
        <f t="array" ref="BE40">_xll.BDP($B40, "INTERVAL_RSI", "TECH_STUDIES_PARAM1_OVERRIDE", "5", "PERIODICITY_OVERRIDE", "W")</f>
        <v>51.487844320936347</v>
      </c>
      <c r="BF40" cm="1">
        <f t="array" ref="BF40">IFERROR(VALUE(_xll.BDP($B40,"INTERVAL_MAE_MOV_AVG","CALC_INTERVAL","520D","TECH_STUDIES_PARAM1_OVERRIDE",31,"USE_PREVIOUS_BUSINESS_DAY","N")),"")</f>
        <v>44.052258089127079</v>
      </c>
      <c r="BG40" cm="1">
        <f t="array" ref="BG40">IFERROR(VALUE(_xll.BDP($B40,"INTERVAL_MAE_MOV_AVG","CALC_INTERVAL","760D","TECH_STUDIES_PARAM1_OVERRIDE",200,"USE_PREVIOUS_BUSINESS_DAY","N")),"")</f>
        <v>44.065769509766241</v>
      </c>
      <c r="BH40" s="13">
        <f t="shared" si="36"/>
        <v>9.0288654458576811E-3</v>
      </c>
      <c r="BI40" s="13">
        <f t="shared" si="37"/>
        <v>1.0466109820992164E-2</v>
      </c>
      <c r="BJ40" s="13">
        <f t="shared" si="38"/>
        <v>8.7194776015111497E-3</v>
      </c>
      <c r="BK40" s="32" cm="1">
        <f t="array" ref="BK40">VALUE(_xll.BDP($B40,"INTERVAL_DATE_OF_CALC_HI","CALC_INTERVAL","3M"))</f>
        <v>45989</v>
      </c>
      <c r="BL40" s="32" cm="1">
        <f t="array" ref="BL40">VALUE(_xll.BDP($B40,"INTERVAL_DATE_OF_CALC_LO","CALC_INTERVAL","3M"))</f>
        <v>46034</v>
      </c>
      <c r="BM40" s="32" cm="1">
        <f t="array" ref="BM40">VALUE(_xll.BDP($B40,"INTERVAL_DATE_OF_CALC_HI","CALC_INTERVAL","1M"))</f>
        <v>46043</v>
      </c>
      <c r="BN40" s="32" cm="1">
        <f t="array" ref="BN40">VALUE(_xll.BDP($B40,"INTERVAL_DATE_OF_CALC_LO","CALC_INTERVAL","1M"))</f>
        <v>46034</v>
      </c>
      <c r="BO40" s="15">
        <f>IFERROR(VLOOKUP($F40,PIVOT!$A:$C,2,FALSE),0)</f>
        <v>0</v>
      </c>
      <c r="BP40" s="15">
        <f>IFERROR(VLOOKUP($F40,PIVOT!$A:$C,3,FALSE),0)</f>
        <v>0</v>
      </c>
      <c r="BQ40" s="15">
        <f t="shared" si="11"/>
        <v>52.346198733882744</v>
      </c>
    </row>
    <row r="41" spans="1:69" x14ac:dyDescent="0.25">
      <c r="A41">
        <v>40</v>
      </c>
      <c r="B41" t="s">
        <v>49</v>
      </c>
      <c r="J41" s="24"/>
      <c r="K41" s="15">
        <f>_xll.BDP($B41,"interval_rsi","tech_studies_param1_override",14)</f>
        <v>64.107371478032476</v>
      </c>
      <c r="L41" s="15">
        <f t="shared" si="0"/>
        <v>52.525531939815814</v>
      </c>
      <c r="M41">
        <f t="shared" si="12"/>
        <v>1</v>
      </c>
      <c r="N41" cm="1">
        <f t="array" ref="N41">IFERROR(VALUE(_xll.BDP($B41,"px_last")),"")</f>
        <v>169.01</v>
      </c>
      <c r="O41">
        <f t="shared" si="1"/>
        <v>6941.47</v>
      </c>
      <c r="P41" cm="1">
        <f t="array" ref="P41">IFERROR(VALUE(_xll.BDP($B41,"PX_YEST_CLOSE")),"")</f>
        <v>164.89</v>
      </c>
      <c r="Q41">
        <f t="shared" si="2"/>
        <v>6941.81</v>
      </c>
      <c r="R41">
        <f t="shared" si="13"/>
        <v>2.4347868679112636E-2</v>
      </c>
      <c r="S41">
        <f t="shared" si="14"/>
        <v>2.3753171002951677E-2</v>
      </c>
      <c r="T41" cm="1">
        <f t="array" ref="T41">IFERROR(VALUE(_xll.BDP($B41,"INTERVAL_MAE_MOV_AVG","CALC_INTERVAL","520D","TECH_STUDIES_PARAM1_OVERRIDE",50,"USE_PREVIOUS_BUSINESS_DAY","N")),"")</f>
        <v>154.68259989013671</v>
      </c>
      <c r="U41">
        <f t="shared" si="3"/>
        <v>6894.0953999999992</v>
      </c>
      <c r="V41" cm="1">
        <f t="array" ref="V41">IFERROR(VALUE(_xll.BDP($B41,"INTERVAL_MAE_MOV_AVG","CALC_INTERVAL","520D","TECH_STUDIES_PARAM1_OVERRIDE",50,"USE_PREVIOUS_BUSINESS_DAY","Y")),"")</f>
        <v>154.35420000000002</v>
      </c>
      <c r="W41">
        <f t="shared" si="4"/>
        <v>6892.2477999999992</v>
      </c>
      <c r="X41">
        <f t="shared" si="15"/>
        <v>2.2436968291755396E-2</v>
      </c>
      <c r="Y41">
        <f t="shared" si="16"/>
        <v>2.2395335234464443E-2</v>
      </c>
      <c r="Z41" s="11" t="str">
        <f t="shared" si="17"/>
        <v>POSITIVE</v>
      </c>
      <c r="AA41" s="11" t="str">
        <f t="shared" si="18"/>
        <v/>
      </c>
      <c r="AB41" s="11" t="str">
        <f t="shared" si="19"/>
        <v>UP</v>
      </c>
      <c r="AC41" s="6" t="str">
        <f t="shared" si="20"/>
        <v>POSITIVE</v>
      </c>
      <c r="AD41" cm="1">
        <f t="array" ref="AD41">IFERROR(VALUE(_xll.BDP($B41,"INTERVAL_MAE_MOV_AVG","CALC_INTERVAL","520D","TECH_STUDIES_PARAM1_OVERRIDE",65,"USE_PREVIOUS_BUSINESS_DAY","N")),"")</f>
        <v>152.92790375087444</v>
      </c>
      <c r="AE41">
        <f t="shared" si="5"/>
        <v>6856.0226153846133</v>
      </c>
      <c r="AF41" cm="1">
        <f t="array" ref="AF41">IFERROR(VALUE(_xll.BDP($B41,"INTERVAL_MAE_MOV_AVG","CALC_INTERVAL","520D","TECH_STUDIES_PARAM1_OVERRIDE",65,"USE_PREVIOUS_BUSINESS_DAY","Y")),"")</f>
        <v>152.4786267958462</v>
      </c>
      <c r="AG41">
        <f t="shared" si="6"/>
        <v>6852.6203076923057</v>
      </c>
      <c r="AH41">
        <f t="shared" si="21"/>
        <v>2.2305630002986125E-2</v>
      </c>
      <c r="AI41">
        <f t="shared" si="22"/>
        <v>2.225114189161825E-2</v>
      </c>
      <c r="AJ41" s="10" t="str">
        <f t="shared" si="23"/>
        <v>UP</v>
      </c>
      <c r="AK41" s="10" t="str">
        <f t="shared" si="24"/>
        <v>UP</v>
      </c>
      <c r="AL41" s="6" t="str">
        <f t="shared" si="25"/>
        <v>POSITIVE</v>
      </c>
      <c r="AM41" cm="1">
        <f t="array" ref="AM41">IFERROR(VALUE(_xll.BDP($B41,"INTERVAL_MAE_MOV_AVG","CALC_INTERVAL","65W","PERIODICITY_OVERRIDE","W","TECH_STUDIES_PARAM1_OVERRIDE",39,"USE_PREVIOUS_BUSINESS_DAY","N")),"")</f>
        <v>146.02682345585745</v>
      </c>
      <c r="AN41">
        <f t="shared" si="7"/>
        <v>6560.7735897435905</v>
      </c>
      <c r="AO41" cm="1">
        <f t="array" ref="AO41">IFERROR(VALUE(_xll.BDP($B41,"INTERVAL_MAE_MOV_AVG","CALC_INTERVAL","65W","PERIODICITY_OVERRIDE","W","TECH_STUDIES_PARAM1_OVERRIDE",39,"USE_PREVIOUS_BUSINESS_DAY","Y")),"")</f>
        <v>145.92118257106677</v>
      </c>
      <c r="AP41">
        <f t="shared" si="8"/>
        <v>6560.7823076923087</v>
      </c>
      <c r="AQ41">
        <f t="shared" si="26"/>
        <v>2.2257561773529288E-2</v>
      </c>
      <c r="AR41">
        <f t="shared" si="27"/>
        <v>2.2241430324548159E-2</v>
      </c>
      <c r="AS41" s="10" t="str">
        <f t="shared" si="28"/>
        <v>UP</v>
      </c>
      <c r="AT41" s="10" t="str">
        <f t="shared" si="29"/>
        <v>UP</v>
      </c>
      <c r="AU41" s="6" t="str">
        <f t="shared" si="30"/>
        <v>POSITIVE</v>
      </c>
      <c r="AV41" cm="1">
        <f t="array" ref="AV41">IFERROR(VALUE(_xll.BDP($B41,"INTERVAL_exp_MOV_AVG","CALC_INTERVAL","520D","TECH_STUDIES_PARAM1_OVERRIDE",100,"USE_PREVIOUS_BUSINESS_DAY","N")),"")</f>
        <v>151.05605042176282</v>
      </c>
      <c r="AW41">
        <f t="shared" si="9"/>
        <v>6773.0064518682802</v>
      </c>
      <c r="AX41" cm="1">
        <f t="array" ref="AX41">IFERROR(VALUE(_xll.BDP($B41,"INTERVAL_exp_MOV_AVG","CALC_INTERVAL","520D","TECH_STUDIES_PARAM1_OVERRIDE",100,"USE_PREVIOUS_BUSINESS_DAY","Y")),"")</f>
        <v>150.69338435312358</v>
      </c>
      <c r="AY41">
        <f t="shared" si="10"/>
        <v>6769.6039787132295</v>
      </c>
      <c r="AZ41">
        <f t="shared" si="31"/>
        <v>2.2302658574922102E-2</v>
      </c>
      <c r="BA41">
        <f t="shared" si="32"/>
        <v>2.2260295406787957E-2</v>
      </c>
      <c r="BB41" s="11" t="str">
        <f t="shared" si="33"/>
        <v>UP</v>
      </c>
      <c r="BC41" s="11" t="str">
        <f t="shared" si="34"/>
        <v>UP</v>
      </c>
      <c r="BD41" s="6" t="str">
        <f t="shared" si="35"/>
        <v>POSITIVE</v>
      </c>
      <c r="BE41" s="12" cm="1">
        <f t="array" ref="BE41">_xll.BDP($B41, "INTERVAL_RSI", "TECH_STUDIES_PARAM1_OVERRIDE", "5", "PERIODICITY_OVERRIDE", "W")</f>
        <v>80.339070232574301</v>
      </c>
      <c r="BF41" cm="1">
        <f t="array" ref="BF41">IFERROR(VALUE(_xll.BDP($B41,"INTERVAL_MAE_MOV_AVG","CALC_INTERVAL","520D","TECH_STUDIES_PARAM1_OVERRIDE",31,"USE_PREVIOUS_BUSINESS_DAY","N")),"")</f>
        <v>155.27903208086562</v>
      </c>
      <c r="BG41" cm="1">
        <f t="array" ref="BG41">IFERROR(VALUE(_xll.BDP($B41,"INTERVAL_MAE_MOV_AVG","CALC_INTERVAL","760D","TECH_STUDIES_PARAM1_OVERRIDE",200,"USE_PREVIOUS_BUSINESS_DAY","N")),"")</f>
        <v>144.31791869579823</v>
      </c>
      <c r="BH41" s="13">
        <f t="shared" si="36"/>
        <v>8.8427701635747091E-2</v>
      </c>
      <c r="BI41" s="13">
        <f t="shared" si="37"/>
        <v>9.2624510578690256E-2</v>
      </c>
      <c r="BJ41" s="13">
        <f t="shared" si="38"/>
        <v>0.17109504853828428</v>
      </c>
      <c r="BK41" s="32" cm="1">
        <f t="array" ref="BK41">VALUE(_xll.BDP($B41,"INTERVAL_DATE_OF_CALC_HI","CALC_INTERVAL","3M"))</f>
        <v>46064</v>
      </c>
      <c r="BL41" s="32" cm="1">
        <f t="array" ref="BL41">VALUE(_xll.BDP($B41,"INTERVAL_DATE_OF_CALC_LO","CALC_INTERVAL","3M"))</f>
        <v>46029</v>
      </c>
      <c r="BM41" s="32" cm="1">
        <f t="array" ref="BM41">VALUE(_xll.BDP($B41,"INTERVAL_DATE_OF_CALC_HI","CALC_INTERVAL","1M"))</f>
        <v>46064</v>
      </c>
      <c r="BN41" s="32" cm="1">
        <f t="array" ref="BN41">VALUE(_xll.BDP($B41,"INTERVAL_DATE_OF_CALC_LO","CALC_INTERVAL","1M"))</f>
        <v>46034</v>
      </c>
      <c r="BO41" s="15">
        <f>IFERROR(VLOOKUP($F41,PIVOT!$A:$C,2,FALSE),0)</f>
        <v>0</v>
      </c>
      <c r="BP41" s="15">
        <f>IFERROR(VLOOKUP($F41,PIVOT!$A:$C,3,FALSE),0)</f>
        <v>0</v>
      </c>
      <c r="BQ41" s="15">
        <f t="shared" si="11"/>
        <v>64.107371478032476</v>
      </c>
    </row>
    <row r="42" spans="1:69" x14ac:dyDescent="0.25">
      <c r="A42">
        <v>41</v>
      </c>
      <c r="B42" t="s">
        <v>50</v>
      </c>
      <c r="J42" s="24"/>
      <c r="K42" s="15">
        <f>_xll.BDP($B42,"interval_rsi","tech_studies_param1_override",14)</f>
        <v>64.533195673460554</v>
      </c>
      <c r="L42" s="15">
        <f t="shared" si="0"/>
        <v>52.525531939815814</v>
      </c>
      <c r="M42">
        <f t="shared" si="12"/>
        <v>1</v>
      </c>
      <c r="N42" cm="1">
        <f t="array" ref="N42">IFERROR(VALUE(_xll.BDP($B42,"px_last")),"")</f>
        <v>47.02</v>
      </c>
      <c r="O42">
        <f t="shared" si="1"/>
        <v>6941.47</v>
      </c>
      <c r="P42" cm="1">
        <f t="array" ref="P42">IFERROR(VALUE(_xll.BDP($B42,"PX_YEST_CLOSE")),"")</f>
        <v>46.66</v>
      </c>
      <c r="Q42">
        <f t="shared" si="2"/>
        <v>6941.81</v>
      </c>
      <c r="R42">
        <f t="shared" si="13"/>
        <v>6.77378134602613E-3</v>
      </c>
      <c r="S42">
        <f t="shared" si="14"/>
        <v>6.721589902345353E-3</v>
      </c>
      <c r="T42" cm="1">
        <f t="array" ref="T42">IFERROR(VALUE(_xll.BDP($B42,"INTERVAL_MAE_MOV_AVG","CALC_INTERVAL","520D","TECH_STUDIES_PARAM1_OVERRIDE",50,"USE_PREVIOUS_BUSINESS_DAY","N")),"")</f>
        <v>42.64392400595527</v>
      </c>
      <c r="U42">
        <f t="shared" si="3"/>
        <v>6894.0953999999992</v>
      </c>
      <c r="V42" cm="1">
        <f t="array" ref="V42">IFERROR(VALUE(_xll.BDP($B42,"INTERVAL_MAE_MOV_AVG","CALC_INTERVAL","520D","TECH_STUDIES_PARAM1_OVERRIDE",50,"USE_PREVIOUS_BUSINESS_DAY","Y")),"")</f>
        <v>42.507078380799996</v>
      </c>
      <c r="W42">
        <f t="shared" si="4"/>
        <v>6892.2477999999992</v>
      </c>
      <c r="X42">
        <f t="shared" si="15"/>
        <v>6.1855720775136468E-3</v>
      </c>
      <c r="Y42">
        <f t="shared" si="16"/>
        <v>6.1673752329102268E-3</v>
      </c>
      <c r="Z42" s="11" t="str">
        <f t="shared" si="17"/>
        <v>POSITIVE</v>
      </c>
      <c r="AA42" s="11" t="str">
        <f t="shared" si="18"/>
        <v/>
      </c>
      <c r="AB42" s="11" t="str">
        <f t="shared" si="19"/>
        <v>UP</v>
      </c>
      <c r="AC42" s="6" t="str">
        <f t="shared" si="20"/>
        <v>POSITIVE</v>
      </c>
      <c r="AD42" cm="1">
        <f t="array" ref="AD42">IFERROR(VALUE(_xll.BDP($B42,"INTERVAL_MAE_MOV_AVG","CALC_INTERVAL","520D","TECH_STUDIES_PARAM1_OVERRIDE",65,"USE_PREVIOUS_BUSINESS_DAY","N")),"")</f>
        <v>42.04848387288866</v>
      </c>
      <c r="AE42">
        <f t="shared" si="5"/>
        <v>6856.0226153846133</v>
      </c>
      <c r="AF42" cm="1">
        <f t="array" ref="AF42">IFERROR(VALUE(_xll.BDP($B42,"INTERVAL_MAE_MOV_AVG","CALC_INTERVAL","520D","TECH_STUDIES_PARAM1_OVERRIDE",65,"USE_PREVIOUS_BUSINESS_DAY","Y")),"")</f>
        <v>41.948878995999991</v>
      </c>
      <c r="AG42">
        <f t="shared" si="6"/>
        <v>6852.6203076923057</v>
      </c>
      <c r="AH42">
        <f t="shared" si="21"/>
        <v>6.1330725162040325E-3</v>
      </c>
      <c r="AI42">
        <f t="shared" si="22"/>
        <v>6.1215822725375442E-3</v>
      </c>
      <c r="AJ42" s="10" t="str">
        <f t="shared" si="23"/>
        <v>UP</v>
      </c>
      <c r="AK42" s="10" t="str">
        <f t="shared" si="24"/>
        <v>UP</v>
      </c>
      <c r="AL42" s="6" t="str">
        <f t="shared" si="25"/>
        <v>POSITIVE</v>
      </c>
      <c r="AM42" cm="1">
        <f t="array" ref="AM42">IFERROR(VALUE(_xll.BDP($B42,"INTERVAL_MAE_MOV_AVG","CALC_INTERVAL","65W","PERIODICITY_OVERRIDE","W","TECH_STUDIES_PARAM1_OVERRIDE",39,"USE_PREVIOUS_BUSINESS_DAY","N")),"")</f>
        <v>43.709588350054162</v>
      </c>
      <c r="AN42">
        <f t="shared" si="7"/>
        <v>6560.7735897435905</v>
      </c>
      <c r="AO42" cm="1">
        <f t="array" ref="AO42">IFERROR(VALUE(_xll.BDP($B42,"INTERVAL_MAE_MOV_AVG","CALC_INTERVAL","65W","PERIODICITY_OVERRIDE","W","TECH_STUDIES_PARAM1_OVERRIDE",39,"USE_PREVIOUS_BUSINESS_DAY","Y")),"")</f>
        <v>43.70035756908586</v>
      </c>
      <c r="AP42">
        <f t="shared" si="8"/>
        <v>6560.7823076923087</v>
      </c>
      <c r="AQ42">
        <f t="shared" si="26"/>
        <v>6.6622613556402924E-3</v>
      </c>
      <c r="AR42">
        <f t="shared" si="27"/>
        <v>6.6608455393876703E-3</v>
      </c>
      <c r="AS42" s="10" t="str">
        <f t="shared" si="28"/>
        <v>UP</v>
      </c>
      <c r="AT42" s="10" t="str">
        <f t="shared" si="29"/>
        <v>UP</v>
      </c>
      <c r="AU42" s="6" t="str">
        <f t="shared" si="30"/>
        <v>POSITIVE</v>
      </c>
      <c r="AV42" cm="1">
        <f t="array" ref="AV42">IFERROR(VALUE(_xll.BDP($B42,"INTERVAL_exp_MOV_AVG","CALC_INTERVAL","520D","TECH_STUDIES_PARAM1_OVERRIDE",100,"USE_PREVIOUS_BUSINESS_DAY","N")),"")</f>
        <v>43.133704086584721</v>
      </c>
      <c r="AW42">
        <f t="shared" si="9"/>
        <v>6773.0064518682802</v>
      </c>
      <c r="AX42" cm="1">
        <f t="array" ref="AX42">IFERROR(VALUE(_xll.BDP($B42,"INTERVAL_exp_MOV_AVG","CALC_INTERVAL","520D","TECH_STUDIES_PARAM1_OVERRIDE",100,"USE_PREVIOUS_BUSINESS_DAY","Y")),"")</f>
        <v>43.055198812503207</v>
      </c>
      <c r="AY42">
        <f t="shared" si="10"/>
        <v>6769.6039787132295</v>
      </c>
      <c r="AZ42">
        <f t="shared" si="31"/>
        <v>6.3684723162616549E-3</v>
      </c>
      <c r="BA42">
        <f t="shared" si="32"/>
        <v>6.3600764458140672E-3</v>
      </c>
      <c r="BB42" s="11" t="str">
        <f t="shared" si="33"/>
        <v>UP</v>
      </c>
      <c r="BC42" s="11" t="str">
        <f t="shared" si="34"/>
        <v>UP</v>
      </c>
      <c r="BD42" s="6" t="str">
        <f t="shared" si="35"/>
        <v>POSITIVE</v>
      </c>
      <c r="BE42" s="12" cm="1">
        <f t="array" ref="BE42">_xll.BDP($B42, "INTERVAL_RSI", "TECH_STUDIES_PARAM1_OVERRIDE", "5", "PERIODICITY_OVERRIDE", "W")</f>
        <v>75.966432451145479</v>
      </c>
      <c r="BF42" cm="1">
        <f t="array" ref="BF42">IFERROR(VALUE(_xll.BDP($B42,"INTERVAL_MAE_MOV_AVG","CALC_INTERVAL","520D","TECH_STUDIES_PARAM1_OVERRIDE",31,"USE_PREVIOUS_BUSINESS_DAY","N")),"")</f>
        <v>43.460603510250444</v>
      </c>
      <c r="BG42" cm="1">
        <f t="array" ref="BG42">IFERROR(VALUE(_xll.BDP($B42,"INTERVAL_MAE_MOV_AVG","CALC_INTERVAL","760D","TECH_STUDIES_PARAM1_OVERRIDE",200,"USE_PREVIOUS_BUSINESS_DAY","N")),"")</f>
        <v>43.343979241286632</v>
      </c>
      <c r="BH42" s="13">
        <f t="shared" si="36"/>
        <v>8.1899380180260328E-2</v>
      </c>
      <c r="BI42" s="13">
        <f t="shared" si="37"/>
        <v>0.10261898021940019</v>
      </c>
      <c r="BJ42" s="13">
        <f t="shared" si="38"/>
        <v>8.4810412496964194E-2</v>
      </c>
      <c r="BK42" s="32" cm="1">
        <f t="array" ref="BK42">VALUE(_xll.BDP($B42,"INTERVAL_DATE_OF_CALC_HI","CALC_INTERVAL","3M"))</f>
        <v>46057</v>
      </c>
      <c r="BL42" s="32" cm="1">
        <f t="array" ref="BL42">VALUE(_xll.BDP($B42,"INTERVAL_DATE_OF_CALC_LO","CALC_INTERVAL","3M"))</f>
        <v>45981</v>
      </c>
      <c r="BM42" s="32" cm="1">
        <f t="array" ref="BM42">VALUE(_xll.BDP($B42,"INTERVAL_DATE_OF_CALC_HI","CALC_INTERVAL","1M"))</f>
        <v>46057</v>
      </c>
      <c r="BN42" s="32" cm="1">
        <f t="array" ref="BN42">VALUE(_xll.BDP($B42,"INTERVAL_DATE_OF_CALC_LO","CALC_INTERVAL","1M"))</f>
        <v>46034</v>
      </c>
      <c r="BO42" s="15">
        <f>IFERROR(VLOOKUP($F42,PIVOT!$A:$C,2,FALSE),0)</f>
        <v>0</v>
      </c>
      <c r="BP42" s="15">
        <f>IFERROR(VLOOKUP($F42,PIVOT!$A:$C,3,FALSE),0)</f>
        <v>0</v>
      </c>
      <c r="BQ42" s="15">
        <f t="shared" si="11"/>
        <v>64.533195673460554</v>
      </c>
    </row>
    <row r="43" spans="1:69" x14ac:dyDescent="0.25">
      <c r="A43">
        <v>42</v>
      </c>
      <c r="B43" t="s">
        <v>51</v>
      </c>
      <c r="J43" s="24"/>
      <c r="K43" s="15">
        <f>_xll.BDP($B43,"interval_rsi","tech_studies_param1_override",14)</f>
        <v>74.410869266389227</v>
      </c>
      <c r="L43" s="15">
        <f t="shared" si="0"/>
        <v>52.525531939815814</v>
      </c>
      <c r="M43">
        <f t="shared" si="12"/>
        <v>1</v>
      </c>
      <c r="N43" cm="1">
        <f t="array" ref="N43">IFERROR(VALUE(_xll.BDP($B43,"px_last")),"")</f>
        <v>74.239999999999995</v>
      </c>
      <c r="O43">
        <f t="shared" si="1"/>
        <v>6941.47</v>
      </c>
      <c r="P43" cm="1">
        <f t="array" ref="P43">IFERROR(VALUE(_xll.BDP($B43,"PX_YEST_CLOSE")),"")</f>
        <v>73.03</v>
      </c>
      <c r="Q43">
        <f t="shared" si="2"/>
        <v>6941.81</v>
      </c>
      <c r="R43">
        <f t="shared" si="13"/>
        <v>1.0695140942768605E-2</v>
      </c>
      <c r="S43">
        <f t="shared" si="14"/>
        <v>1.0520310985175335E-2</v>
      </c>
      <c r="T43" cm="1">
        <f t="array" ref="T43">IFERROR(VALUE(_xll.BDP($B43,"INTERVAL_MAE_MOV_AVG","CALC_INTERVAL","520D","TECH_STUDIES_PARAM1_OVERRIDE",50,"USE_PREVIOUS_BUSINESS_DAY","N")),"")</f>
        <v>67.282062037675374</v>
      </c>
      <c r="U43">
        <f t="shared" si="3"/>
        <v>6894.0953999999992</v>
      </c>
      <c r="V43" cm="1">
        <f t="array" ref="V43">IFERROR(VALUE(_xll.BDP($B43,"INTERVAL_MAE_MOV_AVG","CALC_INTERVAL","520D","TECH_STUDIES_PARAM1_OVERRIDE",50,"USE_PREVIOUS_BUSINESS_DAY","Y")),"")</f>
        <v>67.111674680799979</v>
      </c>
      <c r="W43">
        <f t="shared" si="4"/>
        <v>6892.2477999999992</v>
      </c>
      <c r="X43">
        <f t="shared" si="15"/>
        <v>9.7593749627652941E-3</v>
      </c>
      <c r="Y43">
        <f t="shared" si="16"/>
        <v>9.7372695567910349E-3</v>
      </c>
      <c r="Z43" s="11" t="str">
        <f t="shared" si="17"/>
        <v>POSITIVE</v>
      </c>
      <c r="AA43" s="11" t="str">
        <f t="shared" si="18"/>
        <v/>
      </c>
      <c r="AB43" s="11" t="str">
        <f t="shared" si="19"/>
        <v>UP</v>
      </c>
      <c r="AC43" s="6" t="str">
        <f t="shared" si="20"/>
        <v>POSITIVE</v>
      </c>
      <c r="AD43" cm="1">
        <f t="array" ref="AD43">IFERROR(VALUE(_xll.BDP($B43,"INTERVAL_MAE_MOV_AVG","CALC_INTERVAL","520D","TECH_STUDIES_PARAM1_OVERRIDE",65,"USE_PREVIOUS_BUSINESS_DAY","N")),"")</f>
        <v>66.492161874827218</v>
      </c>
      <c r="AE43">
        <f t="shared" si="5"/>
        <v>6856.0226153846133</v>
      </c>
      <c r="AF43" cm="1">
        <f t="array" ref="AF43">IFERROR(VALUE(_xll.BDP($B43,"INTERVAL_MAE_MOV_AVG","CALC_INTERVAL","520D","TECH_STUDIES_PARAM1_OVERRIDE",65,"USE_PREVIOUS_BUSINESS_DAY","Y")),"")</f>
        <v>66.332518152307671</v>
      </c>
      <c r="AG43">
        <f t="shared" si="6"/>
        <v>6852.6203076923057</v>
      </c>
      <c r="AH43">
        <f t="shared" si="21"/>
        <v>9.6983580138171842E-3</v>
      </c>
      <c r="AI43">
        <f t="shared" si="22"/>
        <v>9.6798764813872881E-3</v>
      </c>
      <c r="AJ43" s="10" t="str">
        <f t="shared" si="23"/>
        <v>UP</v>
      </c>
      <c r="AK43" s="10" t="str">
        <f t="shared" si="24"/>
        <v>UP</v>
      </c>
      <c r="AL43" s="6" t="str">
        <f t="shared" si="25"/>
        <v>POSITIVE</v>
      </c>
      <c r="AM43" cm="1">
        <f t="array" ref="AM43">IFERROR(VALUE(_xll.BDP($B43,"INTERVAL_MAE_MOV_AVG","CALC_INTERVAL","65W","PERIODICITY_OVERRIDE","W","TECH_STUDIES_PARAM1_OVERRIDE",39,"USE_PREVIOUS_BUSINESS_DAY","N")),"")</f>
        <v>59.348236102625705</v>
      </c>
      <c r="AN43">
        <f t="shared" si="7"/>
        <v>6560.7735897435905</v>
      </c>
      <c r="AO43" cm="1">
        <f t="array" ref="AO43">IFERROR(VALUE(_xll.BDP($B43,"INTERVAL_MAE_MOV_AVG","CALC_INTERVAL","65W","PERIODICITY_OVERRIDE","W","TECH_STUDIES_PARAM1_OVERRIDE",39,"USE_PREVIOUS_BUSINESS_DAY","Y")),"")</f>
        <v>59.317210516375198</v>
      </c>
      <c r="AP43">
        <f t="shared" si="8"/>
        <v>6560.7823076923087</v>
      </c>
      <c r="AQ43">
        <f t="shared" si="26"/>
        <v>9.0459204681905755E-3</v>
      </c>
      <c r="AR43">
        <f t="shared" si="27"/>
        <v>9.0411795018450238E-3</v>
      </c>
      <c r="AS43" s="10" t="str">
        <f t="shared" si="28"/>
        <v>UP</v>
      </c>
      <c r="AT43" s="10" t="str">
        <f t="shared" si="29"/>
        <v>UP</v>
      </c>
      <c r="AU43" s="6" t="str">
        <f t="shared" si="30"/>
        <v>POSITIVE</v>
      </c>
      <c r="AV43" cm="1">
        <f t="array" ref="AV43">IFERROR(VALUE(_xll.BDP($B43,"INTERVAL_exp_MOV_AVG","CALC_INTERVAL","520D","TECH_STUDIES_PARAM1_OVERRIDE",100,"USE_PREVIOUS_BUSINESS_DAY","N")),"")</f>
        <v>64.297911863506101</v>
      </c>
      <c r="AW43">
        <f t="shared" si="9"/>
        <v>6773.0064518682802</v>
      </c>
      <c r="AX43" cm="1">
        <f t="array" ref="AX43">IFERROR(VALUE(_xll.BDP($B43,"INTERVAL_exp_MOV_AVG","CALC_INTERVAL","520D","TECH_STUDIES_PARAM1_OVERRIDE",100,"USE_PREVIOUS_BUSINESS_DAY","Y")),"")</f>
        <v>64.097061641278557</v>
      </c>
      <c r="AY43">
        <f t="shared" si="10"/>
        <v>6769.6039787132295</v>
      </c>
      <c r="AZ43">
        <f t="shared" si="31"/>
        <v>9.4932600936427618E-3</v>
      </c>
      <c r="BA43">
        <f t="shared" si="32"/>
        <v>9.4683620848175776E-3</v>
      </c>
      <c r="BB43" s="11" t="str">
        <f t="shared" si="33"/>
        <v>UP</v>
      </c>
      <c r="BC43" s="11" t="str">
        <f t="shared" si="34"/>
        <v>UP</v>
      </c>
      <c r="BD43" s="6" t="str">
        <f t="shared" si="35"/>
        <v>POSITIVE</v>
      </c>
      <c r="BE43" s="12" cm="1">
        <f t="array" ref="BE43">_xll.BDP($B43, "INTERVAL_RSI", "TECH_STUDIES_PARAM1_OVERRIDE", "5", "PERIODICITY_OVERRIDE", "W")</f>
        <v>86.797774408385067</v>
      </c>
      <c r="BF43" cm="1">
        <f t="array" ref="BF43">IFERROR(VALUE(_xll.BDP($B43,"INTERVAL_MAE_MOV_AVG","CALC_INTERVAL","520D","TECH_STUDIES_PARAM1_OVERRIDE",31,"USE_PREVIOUS_BUSINESS_DAY","N")),"")</f>
        <v>68.000322511734495</v>
      </c>
      <c r="BG43" cm="1">
        <f t="array" ref="BG43">IFERROR(VALUE(_xll.BDP($B43,"INTERVAL_MAE_MOV_AVG","CALC_INTERVAL","760D","TECH_STUDIES_PARAM1_OVERRIDE",200,"USE_PREVIOUS_BUSINESS_DAY","N")),"")</f>
        <v>58.242554506165426</v>
      </c>
      <c r="BH43" s="13">
        <f t="shared" si="36"/>
        <v>9.1759527863838342E-2</v>
      </c>
      <c r="BI43" s="13">
        <f t="shared" si="37"/>
        <v>0.10341445775589397</v>
      </c>
      <c r="BJ43" s="13">
        <f t="shared" si="38"/>
        <v>0.2746693655433865</v>
      </c>
      <c r="BK43" s="32" cm="1">
        <f t="array" ref="BK43">VALUE(_xll.BDP($B43,"INTERVAL_DATE_OF_CALC_HI","CALC_INTERVAL","3M"))</f>
        <v>46064</v>
      </c>
      <c r="BL43" s="32" cm="1">
        <f t="array" ref="BL43">VALUE(_xll.BDP($B43,"INTERVAL_DATE_OF_CALC_LO","CALC_INTERVAL","3M"))</f>
        <v>45982</v>
      </c>
      <c r="BM43" s="32" cm="1">
        <f t="array" ref="BM43">VALUE(_xll.BDP($B43,"INTERVAL_DATE_OF_CALC_HI","CALC_INTERVAL","1M"))</f>
        <v>46064</v>
      </c>
      <c r="BN43" s="32" cm="1">
        <f t="array" ref="BN43">VALUE(_xll.BDP($B43,"INTERVAL_DATE_OF_CALC_LO","CALC_INTERVAL","1M"))</f>
        <v>46042</v>
      </c>
      <c r="BO43" s="15">
        <f>IFERROR(VLOOKUP($F43,PIVOT!$A:$C,2,FALSE),0)</f>
        <v>0</v>
      </c>
      <c r="BP43" s="15">
        <f>IFERROR(VLOOKUP($F43,PIVOT!$A:$C,3,FALSE),0)</f>
        <v>0</v>
      </c>
      <c r="BQ43" s="15">
        <f t="shared" si="11"/>
        <v>74.410869266389227</v>
      </c>
    </row>
    <row r="44" spans="1:69" x14ac:dyDescent="0.25">
      <c r="A44">
        <v>43</v>
      </c>
      <c r="B44" t="s">
        <v>54</v>
      </c>
      <c r="J44" s="24"/>
      <c r="K44" s="15">
        <f>_xll.BDP($B44,"interval_rsi","tech_studies_param1_override",14)</f>
        <v>66.798939749285694</v>
      </c>
      <c r="L44" s="15">
        <f t="shared" si="0"/>
        <v>52.525531939815814</v>
      </c>
      <c r="M44">
        <f t="shared" si="12"/>
        <v>1</v>
      </c>
      <c r="N44" cm="1">
        <f t="array" ref="N44">IFERROR(VALUE(_xll.BDP($B44,"px_last")),"")</f>
        <v>87.82</v>
      </c>
      <c r="O44">
        <f t="shared" si="1"/>
        <v>6941.47</v>
      </c>
      <c r="P44" cm="1">
        <f t="array" ref="P44">IFERROR(VALUE(_xll.BDP($B44,"PX_YEST_CLOSE")),"")</f>
        <v>85.53</v>
      </c>
      <c r="Q44">
        <f t="shared" si="2"/>
        <v>6941.81</v>
      </c>
      <c r="R44">
        <f t="shared" si="13"/>
        <v>1.2651498890004565E-2</v>
      </c>
      <c r="S44">
        <f t="shared" si="14"/>
        <v>1.2320994092318861E-2</v>
      </c>
      <c r="T44" cm="1">
        <f t="array" ref="T44">IFERROR(VALUE(_xll.BDP($B44,"INTERVAL_MAE_MOV_AVG","CALC_INTERVAL","520D","TECH_STUDIES_PARAM1_OVERRIDE",50,"USE_PREVIOUS_BUSINESS_DAY","N")),"")</f>
        <v>80.827799993896477</v>
      </c>
      <c r="U44">
        <f t="shared" si="3"/>
        <v>6894.0953999999992</v>
      </c>
      <c r="V44" cm="1">
        <f t="array" ref="V44">IFERROR(VALUE(_xll.BDP($B44,"INTERVAL_MAE_MOV_AVG","CALC_INTERVAL","520D","TECH_STUDIES_PARAM1_OVERRIDE",50,"USE_PREVIOUS_BUSINESS_DAY","Y")),"")</f>
        <v>80.693999999999988</v>
      </c>
      <c r="W44">
        <f t="shared" si="4"/>
        <v>6892.2477999999992</v>
      </c>
      <c r="X44">
        <f t="shared" si="15"/>
        <v>1.1724206774669304E-2</v>
      </c>
      <c r="Y44">
        <f t="shared" si="16"/>
        <v>1.1707936560261225E-2</v>
      </c>
      <c r="Z44" s="11" t="str">
        <f t="shared" si="17"/>
        <v>POSITIVE</v>
      </c>
      <c r="AA44" s="11" t="str">
        <f t="shared" si="18"/>
        <v/>
      </c>
      <c r="AB44" s="11" t="str">
        <f t="shared" si="19"/>
        <v>UP</v>
      </c>
      <c r="AC44" s="6" t="str">
        <f t="shared" si="20"/>
        <v>POSITIVE</v>
      </c>
      <c r="AD44" cm="1">
        <f t="array" ref="AD44">IFERROR(VALUE(_xll.BDP($B44,"INTERVAL_MAE_MOV_AVG","CALC_INTERVAL","520D","TECH_STUDIES_PARAM1_OVERRIDE",65,"USE_PREVIOUS_BUSINESS_DAY","N")),"")</f>
        <v>80.855923072228038</v>
      </c>
      <c r="AE44">
        <f t="shared" si="5"/>
        <v>6856.0226153846133</v>
      </c>
      <c r="AF44" cm="1">
        <f t="array" ref="AF44">IFERROR(VALUE(_xll.BDP($B44,"INTERVAL_MAE_MOV_AVG","CALC_INTERVAL","520D","TECH_STUDIES_PARAM1_OVERRIDE",65,"USE_PREVIOUS_BUSINESS_DAY","Y")),"")</f>
        <v>80.743923076923053</v>
      </c>
      <c r="AG44">
        <f t="shared" si="6"/>
        <v>6852.6203076923057</v>
      </c>
      <c r="AH44">
        <f t="shared" si="21"/>
        <v>1.1793415455017739E-2</v>
      </c>
      <c r="AI44">
        <f t="shared" si="22"/>
        <v>1.1782926742093849E-2</v>
      </c>
      <c r="AJ44" s="10" t="str">
        <f t="shared" si="23"/>
        <v>UP</v>
      </c>
      <c r="AK44" s="10" t="str">
        <f t="shared" si="24"/>
        <v>UP</v>
      </c>
      <c r="AL44" s="6" t="str">
        <f t="shared" si="25"/>
        <v>POSITIVE</v>
      </c>
      <c r="AM44" cm="1">
        <f t="array" ref="AM44">IFERROR(VALUE(_xll.BDP($B44,"INTERVAL_MAE_MOV_AVG","CALC_INTERVAL","65W","PERIODICITY_OVERRIDE","W","TECH_STUDIES_PARAM1_OVERRIDE",39,"USE_PREVIOUS_BUSINESS_DAY","N")),"")</f>
        <v>87.450384607559599</v>
      </c>
      <c r="AN44">
        <f t="shared" si="7"/>
        <v>6560.7735897435905</v>
      </c>
      <c r="AO44" cm="1">
        <f t="array" ref="AO44">IFERROR(VALUE(_xll.BDP($B44,"INTERVAL_MAE_MOV_AVG","CALC_INTERVAL","65W","PERIODICITY_OVERRIDE","W","TECH_STUDIES_PARAM1_OVERRIDE",39,"USE_PREVIOUS_BUSINESS_DAY","Y")),"")</f>
        <v>87.391666666666666</v>
      </c>
      <c r="AP44">
        <f t="shared" si="8"/>
        <v>6560.7823076923087</v>
      </c>
      <c r="AQ44">
        <f t="shared" si="26"/>
        <v>1.3329279453305651E-2</v>
      </c>
      <c r="AR44">
        <f t="shared" si="27"/>
        <v>1.3320311903079411E-2</v>
      </c>
      <c r="AS44" s="10" t="str">
        <f t="shared" si="28"/>
        <v>UP</v>
      </c>
      <c r="AT44" s="10" t="str">
        <f t="shared" si="29"/>
        <v>UP</v>
      </c>
      <c r="AU44" s="6" t="str">
        <f t="shared" si="30"/>
        <v>NEGATIVE</v>
      </c>
      <c r="AV44" cm="1">
        <f t="array" ref="AV44">IFERROR(VALUE(_xll.BDP($B44,"INTERVAL_exp_MOV_AVG","CALC_INTERVAL","520D","TECH_STUDIES_PARAM1_OVERRIDE",100,"USE_PREVIOUS_BUSINESS_DAY","N")),"")</f>
        <v>82.745548925977559</v>
      </c>
      <c r="AW44">
        <f t="shared" si="9"/>
        <v>6773.0064518682802</v>
      </c>
      <c r="AX44" cm="1">
        <f t="array" ref="AX44">IFERROR(VALUE(_xll.BDP($B44,"INTERVAL_exp_MOV_AVG","CALC_INTERVAL","520D","TECH_STUDIES_PARAM1_OVERRIDE",100,"USE_PREVIOUS_BUSINESS_DAY","Y")),"")</f>
        <v>82.643077599427144</v>
      </c>
      <c r="AY44">
        <f t="shared" si="10"/>
        <v>6769.6039787132295</v>
      </c>
      <c r="AZ44">
        <f t="shared" si="31"/>
        <v>1.221696000350817E-2</v>
      </c>
      <c r="BA44">
        <f t="shared" si="32"/>
        <v>1.2207963399232106E-2</v>
      </c>
      <c r="BB44" s="11" t="str">
        <f t="shared" si="33"/>
        <v>UP</v>
      </c>
      <c r="BC44" s="11" t="str">
        <f t="shared" si="34"/>
        <v>UP</v>
      </c>
      <c r="BD44" s="6" t="str">
        <f t="shared" si="35"/>
        <v>POSITIVE</v>
      </c>
      <c r="BE44" s="12" cm="1">
        <f t="array" ref="BE44">_xll.BDP($B44, "INTERVAL_RSI", "TECH_STUDIES_PARAM1_OVERRIDE", "5", "PERIODICITY_OVERRIDE", "W")</f>
        <v>72.205319454727402</v>
      </c>
      <c r="BF44" cm="1">
        <f t="array" ref="BF44">IFERROR(VALUE(_xll.BDP($B44,"INTERVAL_MAE_MOV_AVG","CALC_INTERVAL","520D","TECH_STUDIES_PARAM1_OVERRIDE",31,"USE_PREVIOUS_BUSINESS_DAY","N")),"")</f>
        <v>79.99838708692981</v>
      </c>
      <c r="BG44" cm="1">
        <f t="array" ref="BG44">IFERROR(VALUE(_xll.BDP($B44,"INTERVAL_MAE_MOV_AVG","CALC_INTERVAL","760D","TECH_STUDIES_PARAM1_OVERRIDE",200,"USE_PREVIOUS_BUSINESS_DAY","N")),"")</f>
        <v>88.999449998474091</v>
      </c>
      <c r="BH44" s="13">
        <f t="shared" si="36"/>
        <v>9.7772132637760079E-2</v>
      </c>
      <c r="BI44" s="13">
        <f t="shared" si="37"/>
        <v>8.6507365122290958E-2</v>
      </c>
      <c r="BJ44" s="13">
        <f t="shared" si="38"/>
        <v>-1.3252329070509106E-2</v>
      </c>
      <c r="BK44" s="32" cm="1">
        <f t="array" ref="BK44">VALUE(_xll.BDP($B44,"INTERVAL_DATE_OF_CALC_HI","CALC_INTERVAL","3M"))</f>
        <v>46064</v>
      </c>
      <c r="BL44" s="32" cm="1">
        <f t="array" ref="BL44">VALUE(_xll.BDP($B44,"INTERVAL_DATE_OF_CALC_LO","CALC_INTERVAL","3M"))</f>
        <v>46038</v>
      </c>
      <c r="BM44" s="32" cm="1">
        <f t="array" ref="BM44">VALUE(_xll.BDP($B44,"INTERVAL_DATE_OF_CALC_HI","CALC_INTERVAL","1M"))</f>
        <v>46064</v>
      </c>
      <c r="BN44" s="32" cm="1">
        <f t="array" ref="BN44">VALUE(_xll.BDP($B44,"INTERVAL_DATE_OF_CALC_LO","CALC_INTERVAL","1M"))</f>
        <v>46038</v>
      </c>
      <c r="BO44" s="15">
        <f>IFERROR(VLOOKUP($F44,PIVOT!$A:$C,2,FALSE),0)</f>
        <v>0</v>
      </c>
      <c r="BP44" s="15">
        <f>IFERROR(VLOOKUP($F44,PIVOT!$A:$C,3,FALSE),0)</f>
        <v>0</v>
      </c>
      <c r="BQ44" s="15">
        <f t="shared" si="11"/>
        <v>66.798939749285694</v>
      </c>
    </row>
    <row r="45" spans="1:69" x14ac:dyDescent="0.25">
      <c r="A45">
        <v>44</v>
      </c>
      <c r="B45" t="s">
        <v>55</v>
      </c>
      <c r="J45" s="24"/>
      <c r="K45" s="15">
        <f>_xll.BDP($B45,"interval_rsi","tech_studies_param1_override",14)</f>
        <v>43.801989456279642</v>
      </c>
      <c r="L45" s="15">
        <f t="shared" si="0"/>
        <v>52.525531939815814</v>
      </c>
      <c r="M45">
        <f t="shared" si="12"/>
        <v>0</v>
      </c>
      <c r="N45" cm="1">
        <f t="array" ref="N45">IFERROR(VALUE(_xll.BDP($B45,"px_last")),"")</f>
        <v>79.2</v>
      </c>
      <c r="O45">
        <f t="shared" si="1"/>
        <v>6941.47</v>
      </c>
      <c r="P45" cm="1">
        <f t="array" ref="P45">IFERROR(VALUE(_xll.BDP($B45,"PX_YEST_CLOSE")),"")</f>
        <v>79.22</v>
      </c>
      <c r="Q45">
        <f t="shared" si="2"/>
        <v>6941.81</v>
      </c>
      <c r="R45">
        <f t="shared" si="13"/>
        <v>1.1409686997134613E-2</v>
      </c>
      <c r="S45">
        <f t="shared" si="14"/>
        <v>1.1412009259832809E-2</v>
      </c>
      <c r="T45" cm="1">
        <f t="array" ref="T45">IFERROR(VALUE(_xll.BDP($B45,"INTERVAL_MAE_MOV_AVG","CALC_INTERVAL","520D","TECH_STUDIES_PARAM1_OVERRIDE",50,"USE_PREVIOUS_BUSINESS_DAY","N")),"")</f>
        <v>82.523476262364852</v>
      </c>
      <c r="U45">
        <f t="shared" si="3"/>
        <v>6894.0953999999992</v>
      </c>
      <c r="V45" cm="1">
        <f t="array" ref="V45">IFERROR(VALUE(_xll.BDP($B45,"INTERVAL_MAE_MOV_AVG","CALC_INTERVAL","520D","TECH_STUDIES_PARAM1_OVERRIDE",50,"USE_PREVIOUS_BUSINESS_DAY","Y")),"")</f>
        <v>82.538641202800008</v>
      </c>
      <c r="W45">
        <f t="shared" si="4"/>
        <v>6892.2477999999992</v>
      </c>
      <c r="X45">
        <f t="shared" si="15"/>
        <v>1.197016743666832E-2</v>
      </c>
      <c r="Y45">
        <f t="shared" si="16"/>
        <v>1.1975576560494534E-2</v>
      </c>
      <c r="Z45" s="11" t="str">
        <f t="shared" si="17"/>
        <v>NEGATIVE</v>
      </c>
      <c r="AA45" s="11" t="str">
        <f t="shared" si="18"/>
        <v/>
      </c>
      <c r="AB45" s="11" t="str">
        <f t="shared" si="19"/>
        <v>DOWN</v>
      </c>
      <c r="AC45" s="6" t="str">
        <f t="shared" si="20"/>
        <v>NEGATIVE</v>
      </c>
      <c r="AD45" cm="1">
        <f t="array" ref="AD45">IFERROR(VALUE(_xll.BDP($B45,"INTERVAL_MAE_MOV_AVG","CALC_INTERVAL","520D","TECH_STUDIES_PARAM1_OVERRIDE",65,"USE_PREVIOUS_BUSINESS_DAY","N")),"")</f>
        <v>80.79610435658833</v>
      </c>
      <c r="AE45">
        <f t="shared" si="5"/>
        <v>6856.0226153846133</v>
      </c>
      <c r="AF45" cm="1">
        <f t="array" ref="AF45">IFERROR(VALUE(_xll.BDP($B45,"INTERVAL_MAE_MOV_AVG","CALC_INTERVAL","520D","TECH_STUDIES_PARAM1_OVERRIDE",65,"USE_PREVIOUS_BUSINESS_DAY","Y")),"")</f>
        <v>80.718266780615366</v>
      </c>
      <c r="AG45">
        <f t="shared" si="6"/>
        <v>6852.6203076923057</v>
      </c>
      <c r="AH45">
        <f t="shared" si="21"/>
        <v>1.1784690466931282E-2</v>
      </c>
      <c r="AI45">
        <f t="shared" si="22"/>
        <v>1.1779182729562047E-2</v>
      </c>
      <c r="AJ45" s="10" t="str">
        <f t="shared" si="23"/>
        <v>UP</v>
      </c>
      <c r="AK45" s="10" t="str">
        <f t="shared" si="24"/>
        <v>UP</v>
      </c>
      <c r="AL45" s="6" t="str">
        <f t="shared" si="25"/>
        <v>NEGATIVE</v>
      </c>
      <c r="AM45" cm="1">
        <f t="array" ref="AM45">IFERROR(VALUE(_xll.BDP($B45,"INTERVAL_MAE_MOV_AVG","CALC_INTERVAL","65W","PERIODICITY_OVERRIDE","W","TECH_STUDIES_PARAM1_OVERRIDE",39,"USE_PREVIOUS_BUSINESS_DAY","N")),"")</f>
        <v>76.395579695089708</v>
      </c>
      <c r="AN45">
        <f t="shared" si="7"/>
        <v>6560.7735897435905</v>
      </c>
      <c r="AO45" cm="1">
        <f t="array" ref="AO45">IFERROR(VALUE(_xll.BDP($B45,"INTERVAL_MAE_MOV_AVG","CALC_INTERVAL","65W","PERIODICITY_OVERRIDE","W","TECH_STUDIES_PARAM1_OVERRIDE",39,"USE_PREVIOUS_BUSINESS_DAY","Y")),"")</f>
        <v>76.396092593852714</v>
      </c>
      <c r="AP45">
        <f t="shared" si="8"/>
        <v>6560.7823076923087</v>
      </c>
      <c r="AQ45">
        <f t="shared" si="26"/>
        <v>1.1644294479925106E-2</v>
      </c>
      <c r="AR45">
        <f t="shared" si="27"/>
        <v>1.1644357183484159E-2</v>
      </c>
      <c r="AS45" s="10" t="str">
        <f t="shared" si="28"/>
        <v>DOWN</v>
      </c>
      <c r="AT45" s="10" t="str">
        <f t="shared" si="29"/>
        <v>DOWN</v>
      </c>
      <c r="AU45" s="6" t="str">
        <f t="shared" si="30"/>
        <v>NEGATIVE</v>
      </c>
      <c r="AV45" cm="1">
        <f t="array" ref="AV45">IFERROR(VALUE(_xll.BDP($B45,"INTERVAL_exp_MOV_AVG","CALC_INTERVAL","520D","TECH_STUDIES_PARAM1_OVERRIDE",100,"USE_PREVIOUS_BUSINESS_DAY","N")),"")</f>
        <v>79.509120605331304</v>
      </c>
      <c r="AW45">
        <f t="shared" si="9"/>
        <v>6773.0064518682802</v>
      </c>
      <c r="AX45" cm="1">
        <f t="array" ref="AX45">IFERROR(VALUE(_xll.BDP($B45,"INTERVAL_exp_MOV_AVG","CALC_INTERVAL","520D","TECH_STUDIES_PARAM1_OVERRIDE",100,"USE_PREVIOUS_BUSINESS_DAY","Y")),"")</f>
        <v>79.515434202408997</v>
      </c>
      <c r="AY45">
        <f t="shared" si="10"/>
        <v>6769.6039787132295</v>
      </c>
      <c r="AZ45">
        <f t="shared" si="31"/>
        <v>1.1739117800987676E-2</v>
      </c>
      <c r="BA45">
        <f t="shared" si="32"/>
        <v>1.1745950642377656E-2</v>
      </c>
      <c r="BB45" s="11" t="str">
        <f t="shared" si="33"/>
        <v>DOWN</v>
      </c>
      <c r="BC45" s="11" t="str">
        <f t="shared" si="34"/>
        <v>DOWN</v>
      </c>
      <c r="BD45" s="6" t="str">
        <f t="shared" si="35"/>
        <v>NEGATIVE</v>
      </c>
      <c r="BE45" s="12" cm="1">
        <f t="array" ref="BE45">_xll.BDP($B45, "INTERVAL_RSI", "TECH_STUDIES_PARAM1_OVERRIDE", "5", "PERIODICITY_OVERRIDE", "W")</f>
        <v>41.411162685497722</v>
      </c>
      <c r="BF45" cm="1">
        <f t="array" ref="BF45">IFERROR(VALUE(_xll.BDP($B45,"INTERVAL_MAE_MOV_AVG","CALC_INTERVAL","520D","TECH_STUDIES_PARAM1_OVERRIDE",31,"USE_PREVIOUS_BUSINESS_DAY","N")),"")</f>
        <v>82.142620128330393</v>
      </c>
      <c r="BG45" cm="1">
        <f t="array" ref="BG45">IFERROR(VALUE(_xll.BDP($B45,"INTERVAL_MAE_MOV_AVG","CALC_INTERVAL","760D","TECH_STUDIES_PARAM1_OVERRIDE",200,"USE_PREVIOUS_BUSINESS_DAY","N")),"")</f>
        <v>75.938561490932159</v>
      </c>
      <c r="BH45" s="13">
        <f t="shared" si="36"/>
        <v>-3.5823304926640653E-2</v>
      </c>
      <c r="BI45" s="13">
        <f t="shared" si="37"/>
        <v>-4.0273100611983415E-2</v>
      </c>
      <c r="BJ45" s="13">
        <f t="shared" si="38"/>
        <v>4.294838412836266E-2</v>
      </c>
      <c r="BK45" s="32" cm="1">
        <f t="array" ref="BK45">VALUE(_xll.BDP($B45,"INTERVAL_DATE_OF_CALC_HI","CALC_INTERVAL","3M"))</f>
        <v>46030</v>
      </c>
      <c r="BL45" s="32" cm="1">
        <f t="array" ref="BL45">VALUE(_xll.BDP($B45,"INTERVAL_DATE_OF_CALC_LO","CALC_INTERVAL","3M"))</f>
        <v>45978</v>
      </c>
      <c r="BM45" s="32" cm="1">
        <f t="array" ref="BM45">VALUE(_xll.BDP($B45,"INTERVAL_DATE_OF_CALC_HI","CALC_INTERVAL","1M"))</f>
        <v>46034</v>
      </c>
      <c r="BN45" s="32" cm="1">
        <f t="array" ref="BN45">VALUE(_xll.BDP($B45,"INTERVAL_DATE_OF_CALC_LO","CALC_INTERVAL","1M"))</f>
        <v>46051</v>
      </c>
      <c r="BO45" s="15">
        <f>IFERROR(VLOOKUP($F45,PIVOT!$A:$C,2,FALSE),0)</f>
        <v>0</v>
      </c>
      <c r="BP45" s="15">
        <f>IFERROR(VLOOKUP($F45,PIVOT!$A:$C,3,FALSE),0)</f>
        <v>0</v>
      </c>
      <c r="BQ45" s="15">
        <f t="shared" si="11"/>
        <v>43.801989456279642</v>
      </c>
    </row>
    <row r="46" spans="1:69" x14ac:dyDescent="0.25">
      <c r="A46">
        <v>45</v>
      </c>
      <c r="B46" t="s">
        <v>56</v>
      </c>
      <c r="J46" s="24"/>
      <c r="K46" s="15">
        <f>_xll.BDP($B46,"interval_rsi","tech_studies_param1_override",14)</f>
        <v>75.572011540804098</v>
      </c>
      <c r="L46" s="15">
        <f t="shared" si="0"/>
        <v>52.525531939815814</v>
      </c>
      <c r="M46">
        <f t="shared" si="12"/>
        <v>1</v>
      </c>
      <c r="N46" cm="1">
        <f t="array" ref="N46">IFERROR(VALUE(_xll.BDP($B46,"px_last")),"")</f>
        <v>155.80000000000001</v>
      </c>
      <c r="O46">
        <f t="shared" si="1"/>
        <v>6941.47</v>
      </c>
      <c r="P46" cm="1">
        <f t="array" ref="P46">IFERROR(VALUE(_xll.BDP($B46,"PX_YEST_CLOSE")),"")</f>
        <v>147.22999999999999</v>
      </c>
      <c r="Q46">
        <f t="shared" si="2"/>
        <v>6941.81</v>
      </c>
      <c r="R46">
        <f t="shared" si="13"/>
        <v>2.2444813562545109E-2</v>
      </c>
      <c r="S46">
        <f t="shared" si="14"/>
        <v>2.1209165909179303E-2</v>
      </c>
      <c r="T46" cm="1">
        <f t="array" ref="T46">IFERROR(VALUE(_xll.BDP($B46,"INTERVAL_MAE_MOV_AVG","CALC_INTERVAL","520D","TECH_STUDIES_PARAM1_OVERRIDE",50,"USE_PREVIOUS_BUSINESS_DAY","N")),"")</f>
        <v>128.84077311343515</v>
      </c>
      <c r="U46">
        <f t="shared" si="3"/>
        <v>6894.0953999999992</v>
      </c>
      <c r="V46" cm="1">
        <f t="array" ref="V46">IFERROR(VALUE(_xll.BDP($B46,"INTERVAL_MAE_MOV_AVG","CALC_INTERVAL","520D","TECH_STUDIES_PARAM1_OVERRIDE",50,"USE_PREVIOUS_BUSINESS_DAY","Y")),"")</f>
        <v>128.22506032759998</v>
      </c>
      <c r="W46">
        <f t="shared" si="4"/>
        <v>6892.2477999999992</v>
      </c>
      <c r="X46">
        <f t="shared" si="15"/>
        <v>1.8688568352772602E-2</v>
      </c>
      <c r="Y46">
        <f t="shared" si="16"/>
        <v>1.8604244079500447E-2</v>
      </c>
      <c r="Z46" s="11" t="str">
        <f t="shared" si="17"/>
        <v>POSITIVE</v>
      </c>
      <c r="AA46" s="11" t="str">
        <f t="shared" si="18"/>
        <v/>
      </c>
      <c r="AB46" s="11" t="str">
        <f t="shared" si="19"/>
        <v>UP</v>
      </c>
      <c r="AC46" s="6" t="str">
        <f t="shared" si="20"/>
        <v>POSITIVE</v>
      </c>
      <c r="AD46" cm="1">
        <f t="array" ref="AD46">IFERROR(VALUE(_xll.BDP($B46,"INTERVAL_MAE_MOV_AVG","CALC_INTERVAL","520D","TECH_STUDIES_PARAM1_OVERRIDE",65,"USE_PREVIOUS_BUSINESS_DAY","N")),"")</f>
        <v>127.6869288152578</v>
      </c>
      <c r="AE46">
        <f t="shared" si="5"/>
        <v>6856.0226153846133</v>
      </c>
      <c r="AF46" cm="1">
        <f t="array" ref="AF46">IFERROR(VALUE(_xll.BDP($B46,"INTERVAL_MAE_MOV_AVG","CALC_INTERVAL","520D","TECH_STUDIES_PARAM1_OVERRIDE",65,"USE_PREVIOUS_BUSINESS_DAY","Y")),"")</f>
        <v>127.17601142369226</v>
      </c>
      <c r="AG46">
        <f t="shared" si="6"/>
        <v>6852.6203076923057</v>
      </c>
      <c r="AH46">
        <f t="shared" si="21"/>
        <v>1.862405303750515E-2</v>
      </c>
      <c r="AI46">
        <f t="shared" si="22"/>
        <v>1.8558741870016167E-2</v>
      </c>
      <c r="AJ46" s="10" t="str">
        <f t="shared" si="23"/>
        <v>UP</v>
      </c>
      <c r="AK46" s="10" t="str">
        <f t="shared" si="24"/>
        <v>UP</v>
      </c>
      <c r="AL46" s="6" t="str">
        <f t="shared" si="25"/>
        <v>POSITIVE</v>
      </c>
      <c r="AM46" cm="1">
        <f t="array" ref="AM46">IFERROR(VALUE(_xll.BDP($B46,"INTERVAL_MAE_MOV_AVG","CALC_INTERVAL","65W","PERIODICITY_OVERRIDE","W","TECH_STUDIES_PARAM1_OVERRIDE",39,"USE_PREVIOUS_BUSINESS_DAY","N")),"")</f>
        <v>118.85475164236512</v>
      </c>
      <c r="AN46">
        <f t="shared" si="7"/>
        <v>6560.7735897435905</v>
      </c>
      <c r="AO46" cm="1">
        <f t="array" ref="AO46">IFERROR(VALUE(_xll.BDP($B46,"INTERVAL_MAE_MOV_AVG","CALC_INTERVAL","65W","PERIODICITY_OVERRIDE","W","TECH_STUDIES_PARAM1_OVERRIDE",39,"USE_PREVIOUS_BUSINESS_DAY","Y")),"")</f>
        <v>118.63500797437131</v>
      </c>
      <c r="AP46">
        <f t="shared" si="8"/>
        <v>6560.7823076923087</v>
      </c>
      <c r="AQ46">
        <f t="shared" si="26"/>
        <v>1.8115966054394847E-2</v>
      </c>
      <c r="AR46">
        <f t="shared" si="27"/>
        <v>1.8082448465829376E-2</v>
      </c>
      <c r="AS46" s="10" t="str">
        <f t="shared" si="28"/>
        <v>UP</v>
      </c>
      <c r="AT46" s="10" t="str">
        <f t="shared" si="29"/>
        <v>UP</v>
      </c>
      <c r="AU46" s="6" t="str">
        <f t="shared" si="30"/>
        <v>POSITIVE</v>
      </c>
      <c r="AV46" cm="1">
        <f t="array" ref="AV46">IFERROR(VALUE(_xll.BDP($B46,"INTERVAL_exp_MOV_AVG","CALC_INTERVAL","520D","TECH_STUDIES_PARAM1_OVERRIDE",100,"USE_PREVIOUS_BUSINESS_DAY","N")),"")</f>
        <v>125.85880068182685</v>
      </c>
      <c r="AW46">
        <f t="shared" si="9"/>
        <v>6773.0064518682802</v>
      </c>
      <c r="AX46" cm="1">
        <f t="array" ref="AX46">IFERROR(VALUE(_xll.BDP($B46,"INTERVAL_exp_MOV_AVG","CALC_INTERVAL","520D","TECH_STUDIES_PARAM1_OVERRIDE",100,"USE_PREVIOUS_BUSINESS_DAY","Y")),"")</f>
        <v>125.25391369320869</v>
      </c>
      <c r="AY46">
        <f t="shared" si="10"/>
        <v>6769.6039787132295</v>
      </c>
      <c r="AZ46">
        <f t="shared" si="31"/>
        <v>1.858241263702173E-2</v>
      </c>
      <c r="BA46">
        <f t="shared" si="32"/>
        <v>1.8502398971500401E-2</v>
      </c>
      <c r="BB46" s="11" t="str">
        <f t="shared" si="33"/>
        <v>UP</v>
      </c>
      <c r="BC46" s="11" t="str">
        <f t="shared" si="34"/>
        <v>UP</v>
      </c>
      <c r="BD46" s="6" t="str">
        <f t="shared" si="35"/>
        <v>POSITIVE</v>
      </c>
      <c r="BE46" s="12" cm="1">
        <f t="array" ref="BE46">_xll.BDP($B46, "INTERVAL_RSI", "TECH_STUDIES_PARAM1_OVERRIDE", "5", "PERIODICITY_OVERRIDE", "W")</f>
        <v>92.964705175379478</v>
      </c>
      <c r="BF46" cm="1">
        <f t="array" ref="BF46">IFERROR(VALUE(_xll.BDP($B46,"INTERVAL_MAE_MOV_AVG","CALC_INTERVAL","520D","TECH_STUDIES_PARAM1_OVERRIDE",31,"USE_PREVIOUS_BUSINESS_DAY","N")),"")</f>
        <v>132.97032267908898</v>
      </c>
      <c r="BG46" cm="1">
        <f t="array" ref="BG46">IFERROR(VALUE(_xll.BDP($B46,"INTERVAL_MAE_MOV_AVG","CALC_INTERVAL","760D","TECH_STUDIES_PARAM1_OVERRIDE",200,"USE_PREVIOUS_BUSINESS_DAY","N")),"")</f>
        <v>116.38008842133891</v>
      </c>
      <c r="BH46" s="13">
        <f t="shared" si="36"/>
        <v>0.17169001970468445</v>
      </c>
      <c r="BI46" s="13">
        <f t="shared" si="37"/>
        <v>0.20924452900347923</v>
      </c>
      <c r="BJ46" s="13">
        <f t="shared" si="38"/>
        <v>0.33871697567324799</v>
      </c>
      <c r="BK46" s="32" cm="1">
        <f t="array" ref="BK46">VALUE(_xll.BDP($B46,"INTERVAL_DATE_OF_CALC_HI","CALC_INTERVAL","3M"))</f>
        <v>46064</v>
      </c>
      <c r="BL46" s="32" cm="1">
        <f t="array" ref="BL46">VALUE(_xll.BDP($B46,"INTERVAL_DATE_OF_CALC_LO","CALC_INTERVAL","3M"))</f>
        <v>46027</v>
      </c>
      <c r="BM46" s="32" cm="1">
        <f t="array" ref="BM46">VALUE(_xll.BDP($B46,"INTERVAL_DATE_OF_CALC_HI","CALC_INTERVAL","1M"))</f>
        <v>46064</v>
      </c>
      <c r="BN46" s="32" cm="1">
        <f t="array" ref="BN46">VALUE(_xll.BDP($B46,"INTERVAL_DATE_OF_CALC_LO","CALC_INTERVAL","1M"))</f>
        <v>46037</v>
      </c>
      <c r="BO46" s="15">
        <f>IFERROR(VLOOKUP($F46,PIVOT!$A:$C,2,FALSE),0)</f>
        <v>0</v>
      </c>
      <c r="BP46" s="15">
        <f>IFERROR(VLOOKUP($F46,PIVOT!$A:$C,3,FALSE),0)</f>
        <v>0</v>
      </c>
      <c r="BQ46" s="15">
        <f t="shared" si="11"/>
        <v>75.572011540804098</v>
      </c>
    </row>
    <row r="47" spans="1:69" x14ac:dyDescent="0.25">
      <c r="A47">
        <v>46</v>
      </c>
      <c r="B47" t="s">
        <v>58</v>
      </c>
      <c r="J47" s="24"/>
      <c r="K47" s="15">
        <f>_xll.BDP($B47,"interval_rsi","tech_studies_param1_override",14)</f>
        <v>35.663574914872726</v>
      </c>
      <c r="L47" s="15">
        <f t="shared" si="0"/>
        <v>52.525531939815814</v>
      </c>
      <c r="M47">
        <f t="shared" si="12"/>
        <v>0</v>
      </c>
      <c r="N47" cm="1">
        <f t="array" ref="N47">IFERROR(VALUE(_xll.BDP($B47,"px_last")),"")</f>
        <v>310.95999999999998</v>
      </c>
      <c r="O47">
        <f t="shared" si="1"/>
        <v>6941.47</v>
      </c>
      <c r="P47" cm="1">
        <f t="array" ref="P47">IFERROR(VALUE(_xll.BDP($B47,"PX_YEST_CLOSE")),"")</f>
        <v>318.58</v>
      </c>
      <c r="Q47">
        <f t="shared" si="2"/>
        <v>6941.81</v>
      </c>
      <c r="R47">
        <f t="shared" si="13"/>
        <v>4.479742763420428E-2</v>
      </c>
      <c r="S47">
        <f t="shared" si="14"/>
        <v>4.5892929941902756E-2</v>
      </c>
      <c r="T47" cm="1">
        <f t="array" ref="T47">IFERROR(VALUE(_xll.BDP($B47,"INTERVAL_MAE_MOV_AVG","CALC_INTERVAL","520D","TECH_STUDIES_PARAM1_OVERRIDE",50,"USE_PREVIOUS_BUSINESS_DAY","N")),"")</f>
        <v>321.51961283150149</v>
      </c>
      <c r="U47">
        <f t="shared" si="3"/>
        <v>6894.0953999999992</v>
      </c>
      <c r="V47" cm="1">
        <f t="array" ref="V47">IFERROR(VALUE(_xll.BDP($B47,"INTERVAL_MAE_MOV_AVG","CALC_INTERVAL","520D","TECH_STUDIES_PARAM1_OVERRIDE",50,"USE_PREVIOUS_BUSINESS_DAY","Y")),"")</f>
        <v>321.69982504799998</v>
      </c>
      <c r="W47">
        <f t="shared" si="4"/>
        <v>6892.2477999999992</v>
      </c>
      <c r="X47">
        <f t="shared" si="15"/>
        <v>4.6636954404707186E-2</v>
      </c>
      <c r="Y47">
        <f t="shared" si="16"/>
        <v>4.6675603429116405E-2</v>
      </c>
      <c r="Z47" s="11" t="str">
        <f t="shared" si="17"/>
        <v>NEGATIVE</v>
      </c>
      <c r="AA47" s="11" t="str">
        <f t="shared" si="18"/>
        <v/>
      </c>
      <c r="AB47" s="11" t="str">
        <f t="shared" si="19"/>
        <v>DOWN</v>
      </c>
      <c r="AC47" s="6" t="str">
        <f t="shared" si="20"/>
        <v>NEGATIVE</v>
      </c>
      <c r="AD47" cm="1">
        <f t="array" ref="AD47">IFERROR(VALUE(_xll.BDP($B47,"INTERVAL_MAE_MOV_AVG","CALC_INTERVAL","520D","TECH_STUDIES_PARAM1_OVERRIDE",65,"USE_PREVIOUS_BUSINESS_DAY","N")),"")</f>
        <v>315.51353777500117</v>
      </c>
      <c r="AE47">
        <f t="shared" si="5"/>
        <v>6856.0226153846133</v>
      </c>
      <c r="AF47" cm="1">
        <f t="array" ref="AF47">IFERROR(VALUE(_xll.BDP($B47,"INTERVAL_MAE_MOV_AVG","CALC_INTERVAL","520D","TECH_STUDIES_PARAM1_OVERRIDE",65,"USE_PREVIOUS_BUSINESS_DAY","Y")),"")</f>
        <v>315.10744211415386</v>
      </c>
      <c r="AG47">
        <f t="shared" si="6"/>
        <v>6852.6203076923057</v>
      </c>
      <c r="AH47">
        <f t="shared" si="21"/>
        <v>4.6019909133176232E-2</v>
      </c>
      <c r="AI47">
        <f t="shared" si="22"/>
        <v>4.5983496526202504E-2</v>
      </c>
      <c r="AJ47" s="10" t="str">
        <f t="shared" si="23"/>
        <v>UP</v>
      </c>
      <c r="AK47" s="10" t="str">
        <f t="shared" si="24"/>
        <v>UP</v>
      </c>
      <c r="AL47" s="6" t="str">
        <f t="shared" si="25"/>
        <v>NEGATIVE</v>
      </c>
      <c r="AM47" cm="1">
        <f t="array" ref="AM47">IFERROR(VALUE(_xll.BDP($B47,"INTERVAL_MAE_MOV_AVG","CALC_INTERVAL","65W","PERIODICITY_OVERRIDE","W","TECH_STUDIES_PARAM1_OVERRIDE",39,"USE_PREVIOUS_BUSINESS_DAY","N")),"")</f>
        <v>249.50557971709677</v>
      </c>
      <c r="AN47">
        <f t="shared" si="7"/>
        <v>6560.7735897435905</v>
      </c>
      <c r="AO47" cm="1">
        <f t="array" ref="AO47">IFERROR(VALUE(_xll.BDP($B47,"INTERVAL_MAE_MOV_AVG","CALC_INTERVAL","65W","PERIODICITY_OVERRIDE","W","TECH_STUDIES_PARAM1_OVERRIDE",39,"USE_PREVIOUS_BUSINESS_DAY","Y")),"")</f>
        <v>249.70096455158196</v>
      </c>
      <c r="AP47">
        <f t="shared" si="8"/>
        <v>6560.7823076923087</v>
      </c>
      <c r="AQ47">
        <f t="shared" si="26"/>
        <v>3.8029902465640184E-2</v>
      </c>
      <c r="AR47">
        <f t="shared" si="27"/>
        <v>3.8059632653687579E-2</v>
      </c>
      <c r="AS47" s="10" t="str">
        <f t="shared" si="28"/>
        <v>DOWN</v>
      </c>
      <c r="AT47" s="10" t="str">
        <f t="shared" si="29"/>
        <v>DOWN</v>
      </c>
      <c r="AU47" s="6" t="str">
        <f t="shared" si="30"/>
        <v>POSITIVE</v>
      </c>
      <c r="AV47" cm="1">
        <f t="array" ref="AV47">IFERROR(VALUE(_xll.BDP($B47,"INTERVAL_exp_MOV_AVG","CALC_INTERVAL","520D","TECH_STUDIES_PARAM1_OVERRIDE",100,"USE_PREVIOUS_BUSINESS_DAY","N")),"")</f>
        <v>294.84995425015865</v>
      </c>
      <c r="AW47">
        <f t="shared" si="9"/>
        <v>6773.0064518682802</v>
      </c>
      <c r="AX47" cm="1">
        <f t="array" ref="AX47">IFERROR(VALUE(_xll.BDP($B47,"INTERVAL_exp_MOV_AVG","CALC_INTERVAL","520D","TECH_STUDIES_PARAM1_OVERRIDE",100,"USE_PREVIOUS_BUSINESS_DAY","Y")),"")</f>
        <v>294.52453037294276</v>
      </c>
      <c r="AY47">
        <f t="shared" si="10"/>
        <v>6769.6039787132295</v>
      </c>
      <c r="AZ47">
        <f t="shared" si="31"/>
        <v>4.3533098092476588E-2</v>
      </c>
      <c r="BA47">
        <f t="shared" si="32"/>
        <v>4.3506906947446897E-2</v>
      </c>
      <c r="BB47" s="11" t="str">
        <f t="shared" si="33"/>
        <v>UP</v>
      </c>
      <c r="BC47" s="11" t="str">
        <f t="shared" si="34"/>
        <v>UP</v>
      </c>
      <c r="BD47" s="6" t="str">
        <f t="shared" si="35"/>
        <v>POSITIVE</v>
      </c>
      <c r="BE47" s="12" cm="1">
        <f t="array" ref="BE47">_xll.BDP($B47, "INTERVAL_RSI", "TECH_STUDIES_PARAM1_OVERRIDE", "5", "PERIODICITY_OVERRIDE", "W")</f>
        <v>40.04756947587822</v>
      </c>
      <c r="BF47" cm="1">
        <f t="array" ref="BF47">IFERROR(VALUE(_xll.BDP($B47,"INTERVAL_MAE_MOV_AVG","CALC_INTERVAL","520D","TECH_STUDIES_PARAM1_OVERRIDE",31,"USE_PREVIOUS_BUSINESS_DAY","N")),"")</f>
        <v>327.16806424048639</v>
      </c>
      <c r="BG47" cm="1">
        <f t="array" ref="BG47">IFERROR(VALUE(_xll.BDP($B47,"INTERVAL_MAE_MOV_AVG","CALC_INTERVAL","760D","TECH_STUDIES_PARAM1_OVERRIDE",200,"USE_PREVIOUS_BUSINESS_DAY","N")),"")</f>
        <v>241.17100575125926</v>
      </c>
      <c r="BH47" s="13">
        <f t="shared" si="36"/>
        <v>-4.9540483965368365E-2</v>
      </c>
      <c r="BI47" s="13">
        <f t="shared" si="37"/>
        <v>-3.2842826409583581E-2</v>
      </c>
      <c r="BJ47" s="13">
        <f t="shared" si="38"/>
        <v>0.28937555752750899</v>
      </c>
      <c r="BK47" s="32" cm="1">
        <f t="array" ref="BK47">VALUE(_xll.BDP($B47,"INTERVAL_DATE_OF_CALC_HI","CALC_INTERVAL","3M"))</f>
        <v>46055</v>
      </c>
      <c r="BL47" s="32" cm="1">
        <f t="array" ref="BL47">VALUE(_xll.BDP($B47,"INTERVAL_DATE_OF_CALC_LO","CALC_INTERVAL","3M"))</f>
        <v>45975</v>
      </c>
      <c r="BM47" s="32" cm="1">
        <f t="array" ref="BM47">VALUE(_xll.BDP($B47,"INTERVAL_DATE_OF_CALC_HI","CALC_INTERVAL","1M"))</f>
        <v>46055</v>
      </c>
      <c r="BN47" s="32" cm="1">
        <f t="array" ref="BN47">VALUE(_xll.BDP($B47,"INTERVAL_DATE_OF_CALC_LO","CALC_INTERVAL","1M"))</f>
        <v>46064</v>
      </c>
      <c r="BO47" s="15">
        <f>IFERROR(VLOOKUP($F47,PIVOT!$A:$C,2,FALSE),0)</f>
        <v>0</v>
      </c>
      <c r="BP47" s="15">
        <f>IFERROR(VLOOKUP($F47,PIVOT!$A:$C,3,FALSE),0)</f>
        <v>0</v>
      </c>
      <c r="BQ47" s="15">
        <f t="shared" si="11"/>
        <v>35.663574914872726</v>
      </c>
    </row>
    <row r="48" spans="1:69" x14ac:dyDescent="0.25">
      <c r="A48">
        <v>47</v>
      </c>
      <c r="B48" t="s">
        <v>59</v>
      </c>
      <c r="J48" s="24"/>
      <c r="K48" s="15">
        <f>_xll.BDP($B48,"interval_rsi","tech_studies_param1_override",14)</f>
        <v>78.327901597722175</v>
      </c>
      <c r="L48" s="15">
        <f t="shared" si="0"/>
        <v>52.525531939815814</v>
      </c>
      <c r="M48">
        <f t="shared" si="12"/>
        <v>1</v>
      </c>
      <c r="N48" cm="1">
        <f t="array" ref="N48">IFERROR(VALUE(_xll.BDP($B48,"px_last")),"")</f>
        <v>242.7</v>
      </c>
      <c r="O48">
        <f t="shared" si="1"/>
        <v>6941.47</v>
      </c>
      <c r="P48" cm="1">
        <f t="array" ref="P48">IFERROR(VALUE(_xll.BDP($B48,"PX_YEST_CLOSE")),"")</f>
        <v>243.34</v>
      </c>
      <c r="Q48">
        <f t="shared" si="2"/>
        <v>6941.81</v>
      </c>
      <c r="R48">
        <f t="shared" si="13"/>
        <v>3.4963775684401142E-2</v>
      </c>
      <c r="S48">
        <f t="shared" si="14"/>
        <v>3.5054258183384444E-2</v>
      </c>
      <c r="T48" cm="1">
        <f t="array" ref="T48">IFERROR(VALUE(_xll.BDP($B48,"INTERVAL_MAE_MOV_AVG","CALC_INTERVAL","520D","TECH_STUDIES_PARAM1_OVERRIDE",50,"USE_PREVIOUS_BUSINESS_DAY","N")),"")</f>
        <v>209.06459993896482</v>
      </c>
      <c r="U48">
        <f t="shared" si="3"/>
        <v>6894.0953999999992</v>
      </c>
      <c r="V48" cm="1">
        <f t="array" ref="V48">IFERROR(VALUE(_xll.BDP($B48,"INTERVAL_MAE_MOV_AVG","CALC_INTERVAL","520D","TECH_STUDIES_PARAM1_OVERRIDE",50,"USE_PREVIOUS_BUSINESS_DAY","Y")),"")</f>
        <v>208.05439999999996</v>
      </c>
      <c r="W48">
        <f t="shared" si="4"/>
        <v>6892.2477999999992</v>
      </c>
      <c r="X48">
        <f t="shared" si="15"/>
        <v>3.0325167815195137E-2</v>
      </c>
      <c r="Y48">
        <f t="shared" si="16"/>
        <v>3.0186726600282709E-2</v>
      </c>
      <c r="Z48" s="11" t="str">
        <f t="shared" si="17"/>
        <v>POSITIVE</v>
      </c>
      <c r="AA48" s="11" t="str">
        <f t="shared" si="18"/>
        <v/>
      </c>
      <c r="AB48" s="11" t="str">
        <f t="shared" si="19"/>
        <v>UP</v>
      </c>
      <c r="AC48" s="6" t="str">
        <f t="shared" si="20"/>
        <v>POSITIVE</v>
      </c>
      <c r="AD48" cm="1">
        <f t="array" ref="AD48">IFERROR(VALUE(_xll.BDP($B48,"INTERVAL_MAE_MOV_AVG","CALC_INTERVAL","520D","TECH_STUDIES_PARAM1_OVERRIDE",65,"USE_PREVIOUS_BUSINESS_DAY","N")),"")</f>
        <v>205.48451645243455</v>
      </c>
      <c r="AE48">
        <f t="shared" si="5"/>
        <v>6856.0226153846133</v>
      </c>
      <c r="AF48" cm="1">
        <f t="array" ref="AF48">IFERROR(VALUE(_xll.BDP($B48,"INTERVAL_MAE_MOV_AVG","CALC_INTERVAL","520D","TECH_STUDIES_PARAM1_OVERRIDE",65,"USE_PREVIOUS_BUSINESS_DAY","Y")),"")</f>
        <v>204.74672498953848</v>
      </c>
      <c r="AG48">
        <f t="shared" si="6"/>
        <v>6852.6203076923057</v>
      </c>
      <c r="AH48">
        <f t="shared" si="21"/>
        <v>2.9971388366096741E-2</v>
      </c>
      <c r="AI48">
        <f t="shared" si="22"/>
        <v>2.9878603482481458E-2</v>
      </c>
      <c r="AJ48" s="10" t="str">
        <f t="shared" si="23"/>
        <v>UP</v>
      </c>
      <c r="AK48" s="10" t="str">
        <f t="shared" si="24"/>
        <v>UP</v>
      </c>
      <c r="AL48" s="6" t="str">
        <f t="shared" si="25"/>
        <v>POSITIVE</v>
      </c>
      <c r="AM48" cm="1">
        <f t="array" ref="AM48">IFERROR(VALUE(_xll.BDP($B48,"INTERVAL_MAE_MOV_AVG","CALC_INTERVAL","65W","PERIODICITY_OVERRIDE","W","TECH_STUDIES_PARAM1_OVERRIDE",39,"USE_PREVIOUS_BUSINESS_DAY","N")),"")</f>
        <v>205.88548678472094</v>
      </c>
      <c r="AN48">
        <f t="shared" si="7"/>
        <v>6560.7735897435905</v>
      </c>
      <c r="AO48" cm="1">
        <f t="array" ref="AO48">IFERROR(VALUE(_xll.BDP($B48,"INTERVAL_MAE_MOV_AVG","CALC_INTERVAL","65W","PERIODICITY_OVERRIDE","W","TECH_STUDIES_PARAM1_OVERRIDE",39,"USE_PREVIOUS_BUSINESS_DAY","Y")),"")</f>
        <v>205.9018971193814</v>
      </c>
      <c r="AP48">
        <f t="shared" si="8"/>
        <v>6560.7823076923087</v>
      </c>
      <c r="AQ48">
        <f t="shared" si="26"/>
        <v>3.1381282095541328E-2</v>
      </c>
      <c r="AR48">
        <f t="shared" si="27"/>
        <v>3.1383741673301366E-2</v>
      </c>
      <c r="AS48" s="10" t="str">
        <f t="shared" si="28"/>
        <v>DOWN</v>
      </c>
      <c r="AT48" s="10" t="str">
        <f t="shared" si="29"/>
        <v>DOWN</v>
      </c>
      <c r="AU48" s="6" t="str">
        <f t="shared" si="30"/>
        <v>POSITIVE</v>
      </c>
      <c r="AV48" cm="1">
        <f t="array" ref="AV48">IFERROR(VALUE(_xll.BDP($B48,"INTERVAL_exp_MOV_AVG","CALC_INTERVAL","520D","TECH_STUDIES_PARAM1_OVERRIDE",100,"USE_PREVIOUS_BUSINESS_DAY","N")),"")</f>
        <v>208.01255731110999</v>
      </c>
      <c r="AW48">
        <f t="shared" si="9"/>
        <v>6773.0064518682802</v>
      </c>
      <c r="AX48" cm="1">
        <f t="array" ref="AX48">IFERROR(VALUE(_xll.BDP($B48,"INTERVAL_exp_MOV_AVG","CALC_INTERVAL","520D","TECH_STUDIES_PARAM1_OVERRIDE",100,"USE_PREVIOUS_BUSINESS_DAY","Y")),"")</f>
        <v>207.31179591148731</v>
      </c>
      <c r="AY48">
        <f t="shared" si="10"/>
        <v>6769.6039787132295</v>
      </c>
      <c r="AZ48">
        <f t="shared" si="31"/>
        <v>3.0711997513856105E-2</v>
      </c>
      <c r="BA48">
        <f t="shared" si="32"/>
        <v>3.0623917819029241E-2</v>
      </c>
      <c r="BB48" s="11" t="str">
        <f t="shared" si="33"/>
        <v>UP</v>
      </c>
      <c r="BC48" s="11" t="str">
        <f t="shared" si="34"/>
        <v>UP</v>
      </c>
      <c r="BD48" s="6" t="str">
        <f t="shared" si="35"/>
        <v>POSITIVE</v>
      </c>
      <c r="BE48" s="12" cm="1">
        <f t="array" ref="BE48">_xll.BDP($B48, "INTERVAL_RSI", "TECH_STUDIES_PARAM1_OVERRIDE", "5", "PERIODICITY_OVERRIDE", "W")</f>
        <v>93.095881402985938</v>
      </c>
      <c r="BF48" cm="1">
        <f t="array" ref="BF48">IFERROR(VALUE(_xll.BDP($B48,"INTERVAL_MAE_MOV_AVG","CALC_INTERVAL","520D","TECH_STUDIES_PARAM1_OVERRIDE",31,"USE_PREVIOUS_BUSINESS_DAY","N")),"")</f>
        <v>217.82419344994329</v>
      </c>
      <c r="BG48" cm="1">
        <f t="array" ref="BG48">IFERROR(VALUE(_xll.BDP($B48,"INTERVAL_MAE_MOV_AVG","CALC_INTERVAL","760D","TECH_STUDIES_PARAM1_OVERRIDE",200,"USE_PREVIOUS_BUSINESS_DAY","N")),"")</f>
        <v>204.81097944790992</v>
      </c>
      <c r="BH48" s="13">
        <f t="shared" si="36"/>
        <v>0.11420130223401115</v>
      </c>
      <c r="BI48" s="13">
        <f t="shared" si="37"/>
        <v>0.16088520041582766</v>
      </c>
      <c r="BJ48" s="13">
        <f t="shared" si="38"/>
        <v>0.18499506547072819</v>
      </c>
      <c r="BK48" s="32" cm="1">
        <f t="array" ref="BK48">VALUE(_xll.BDP($B48,"INTERVAL_DATE_OF_CALC_HI","CALC_INTERVAL","3M"))</f>
        <v>46063</v>
      </c>
      <c r="BL48" s="32" cm="1">
        <f t="array" ref="BL48">VALUE(_xll.BDP($B48,"INTERVAL_DATE_OF_CALC_LO","CALC_INTERVAL","3M"))</f>
        <v>45981</v>
      </c>
      <c r="BM48" s="32" cm="1">
        <f t="array" ref="BM48">VALUE(_xll.BDP($B48,"INTERVAL_DATE_OF_CALC_HI","CALC_INTERVAL","1M"))</f>
        <v>46063</v>
      </c>
      <c r="BN48" s="32" cm="1">
        <f t="array" ref="BN48">VALUE(_xll.BDP($B48,"INTERVAL_DATE_OF_CALC_LO","CALC_INTERVAL","1M"))</f>
        <v>46034</v>
      </c>
      <c r="BO48" s="15">
        <f>IFERROR(VLOOKUP($F48,PIVOT!$A:$C,2,FALSE),0)</f>
        <v>0</v>
      </c>
      <c r="BP48" s="15">
        <f>IFERROR(VLOOKUP($F48,PIVOT!$A:$C,3,FALSE),0)</f>
        <v>0</v>
      </c>
      <c r="BQ48" s="15">
        <f t="shared" si="11"/>
        <v>78.327901597722175</v>
      </c>
    </row>
    <row r="49" spans="1:69" x14ac:dyDescent="0.25">
      <c r="A49">
        <v>48</v>
      </c>
      <c r="B49" t="s">
        <v>60</v>
      </c>
      <c r="J49" s="24"/>
      <c r="K49" s="15">
        <f>_xll.BDP($B49,"interval_rsi","tech_studies_param1_override",14)</f>
        <v>37.730765812925775</v>
      </c>
      <c r="L49" s="15">
        <f t="shared" si="0"/>
        <v>52.525531939815814</v>
      </c>
      <c r="M49">
        <f t="shared" si="12"/>
        <v>0</v>
      </c>
      <c r="N49" cm="1">
        <f t="array" ref="N49">IFERROR(VALUE(_xll.BDP($B49,"px_last")),"")</f>
        <v>648.73</v>
      </c>
      <c r="O49">
        <f t="shared" si="1"/>
        <v>6941.47</v>
      </c>
      <c r="P49" cm="1">
        <f t="array" ref="P49">IFERROR(VALUE(_xll.BDP($B49,"PX_YEST_CLOSE")),"")</f>
        <v>646.53</v>
      </c>
      <c r="Q49">
        <f t="shared" si="2"/>
        <v>6941.81</v>
      </c>
      <c r="R49">
        <f t="shared" si="13"/>
        <v>9.3457149566302244E-2</v>
      </c>
      <c r="S49">
        <f t="shared" si="14"/>
        <v>9.31356519409203E-2</v>
      </c>
      <c r="T49" cm="1">
        <f t="array" ref="T49">IFERROR(VALUE(_xll.BDP($B49,"INTERVAL_MAE_MOV_AVG","CALC_INTERVAL","520D","TECH_STUDIES_PARAM1_OVERRIDE",50,"USE_PREVIOUS_BUSINESS_DAY","N")),"")</f>
        <v>690.84719960937514</v>
      </c>
      <c r="U49">
        <f t="shared" si="3"/>
        <v>6894.0953999999992</v>
      </c>
      <c r="V49" cm="1">
        <f t="array" ref="V49">IFERROR(VALUE(_xll.BDP($B49,"INTERVAL_MAE_MOV_AVG","CALC_INTERVAL","520D","TECH_STUDIES_PARAM1_OVERRIDE",50,"USE_PREVIOUS_BUSINESS_DAY","Y")),"")</f>
        <v>692.93020000000001</v>
      </c>
      <c r="W49">
        <f t="shared" si="4"/>
        <v>6892.2477999999992</v>
      </c>
      <c r="X49">
        <f t="shared" si="15"/>
        <v>0.10020853491661505</v>
      </c>
      <c r="Y49">
        <f t="shared" si="16"/>
        <v>0.10053762141285752</v>
      </c>
      <c r="Z49" s="11" t="str">
        <f t="shared" si="17"/>
        <v>NEGATIVE</v>
      </c>
      <c r="AA49" s="11" t="str">
        <f t="shared" si="18"/>
        <v/>
      </c>
      <c r="AB49" s="11" t="str">
        <f t="shared" si="19"/>
        <v>DOWN</v>
      </c>
      <c r="AC49" s="6" t="str">
        <f t="shared" si="20"/>
        <v>NEGATIVE</v>
      </c>
      <c r="AD49" cm="1">
        <f t="array" ref="AD49">IFERROR(VALUE(_xll.BDP($B49,"INTERVAL_MAE_MOV_AVG","CALC_INTERVAL","520D","TECH_STUDIES_PARAM1_OVERRIDE",65,"USE_PREVIOUS_BUSINESS_DAY","N")),"")</f>
        <v>696.26261508413461</v>
      </c>
      <c r="AE49">
        <f t="shared" si="5"/>
        <v>6856.0226153846133</v>
      </c>
      <c r="AF49" cm="1">
        <f t="array" ref="AF49">IFERROR(VALUE(_xll.BDP($B49,"INTERVAL_MAE_MOV_AVG","CALC_INTERVAL","520D","TECH_STUDIES_PARAM1_OVERRIDE",65,"USE_PREVIOUS_BUSINESS_DAY","Y")),"")</f>
        <v>697.26276923076921</v>
      </c>
      <c r="AG49">
        <f t="shared" si="6"/>
        <v>6852.6203076923057</v>
      </c>
      <c r="AH49">
        <f t="shared" si="21"/>
        <v>0.10155488891208612</v>
      </c>
      <c r="AI49">
        <f t="shared" si="22"/>
        <v>0.10175126271742611</v>
      </c>
      <c r="AJ49" s="10" t="str">
        <f t="shared" si="23"/>
        <v>DOWN</v>
      </c>
      <c r="AK49" s="10" t="str">
        <f t="shared" si="24"/>
        <v>DOWN</v>
      </c>
      <c r="AL49" s="6" t="str">
        <f t="shared" si="25"/>
        <v>NEGATIVE</v>
      </c>
      <c r="AM49" cm="1">
        <f t="array" ref="AM49">IFERROR(VALUE(_xll.BDP($B49,"INTERVAL_MAE_MOV_AVG","CALC_INTERVAL","65W","PERIODICITY_OVERRIDE","W","TECH_STUDIES_PARAM1_OVERRIDE",39,"USE_PREVIOUS_BUSINESS_DAY","N")),"")</f>
        <v>630.28974308894215</v>
      </c>
      <c r="AN49">
        <f t="shared" si="7"/>
        <v>6560.7735897435905</v>
      </c>
      <c r="AO49" cm="1">
        <f t="array" ref="AO49">IFERROR(VALUE(_xll.BDP($B49,"INTERVAL_MAE_MOV_AVG","CALC_INTERVAL","65W","PERIODICITY_OVERRIDE","W","TECH_STUDIES_PARAM1_OVERRIDE",39,"USE_PREVIOUS_BUSINESS_DAY","Y")),"")</f>
        <v>630.23333333333323</v>
      </c>
      <c r="AP49">
        <f t="shared" si="8"/>
        <v>6560.7823076923087</v>
      </c>
      <c r="AQ49">
        <f t="shared" si="26"/>
        <v>9.6069424507236392E-2</v>
      </c>
      <c r="AR49">
        <f t="shared" si="27"/>
        <v>9.6060698827699964E-2</v>
      </c>
      <c r="AS49" s="10" t="str">
        <f t="shared" si="28"/>
        <v>UP</v>
      </c>
      <c r="AT49" s="10" t="str">
        <f t="shared" si="29"/>
        <v>UP</v>
      </c>
      <c r="AU49" s="6" t="str">
        <f t="shared" si="30"/>
        <v>NEGATIVE</v>
      </c>
      <c r="AV49" cm="1">
        <f t="array" ref="AV49">IFERROR(VALUE(_xll.BDP($B49,"INTERVAL_exp_MOV_AVG","CALC_INTERVAL","520D","TECH_STUDIES_PARAM1_OVERRIDE",100,"USE_PREVIOUS_BUSINESS_DAY","N")),"")</f>
        <v>667.62234137367625</v>
      </c>
      <c r="AW49">
        <f t="shared" si="9"/>
        <v>6773.0064518682802</v>
      </c>
      <c r="AX49" cm="1">
        <f t="array" ref="AX49">IFERROR(VALUE(_xll.BDP($B49,"INTERVAL_exp_MOV_AVG","CALC_INTERVAL","520D","TECH_STUDIES_PARAM1_OVERRIDE",100,"USE_PREVIOUS_BUSINESS_DAY","Y")),"")</f>
        <v>668.00414551540632</v>
      </c>
      <c r="AY49">
        <f t="shared" si="10"/>
        <v>6769.6039787132295</v>
      </c>
      <c r="AZ49">
        <f t="shared" si="31"/>
        <v>9.8571047601692136E-2</v>
      </c>
      <c r="BA49">
        <f t="shared" si="32"/>
        <v>9.867699020739186E-2</v>
      </c>
      <c r="BB49" s="11" t="str">
        <f t="shared" si="33"/>
        <v>DOWN</v>
      </c>
      <c r="BC49" s="11" t="str">
        <f t="shared" si="34"/>
        <v>DOWN</v>
      </c>
      <c r="BD49" s="6" t="str">
        <f t="shared" si="35"/>
        <v>NEGATIVE</v>
      </c>
      <c r="BE49" s="12" cm="1">
        <f t="array" ref="BE49">_xll.BDP($B49, "INTERVAL_RSI", "TECH_STUDIES_PARAM1_OVERRIDE", "5", "PERIODICITY_OVERRIDE", "W")</f>
        <v>31.434880998560629</v>
      </c>
      <c r="BF49" cm="1">
        <f t="array" ref="BF49">IFERROR(VALUE(_xll.BDP($B49,"INTERVAL_MAE_MOV_AVG","CALC_INTERVAL","520D","TECH_STUDIES_PARAM1_OVERRIDE",31,"USE_PREVIOUS_BUSINESS_DAY","N")),"")</f>
        <v>682.45354775705653</v>
      </c>
      <c r="BG49" cm="1">
        <f t="array" ref="BG49">IFERROR(VALUE(_xll.BDP($B49,"INTERVAL_MAE_MOV_AVG","CALC_INTERVAL","760D","TECH_STUDIES_PARAM1_OVERRIDE",200,"USE_PREVIOUS_BUSINESS_DAY","N")),"")</f>
        <v>619.3695249023441</v>
      </c>
      <c r="BH49" s="13">
        <f t="shared" si="36"/>
        <v>-4.9415154874484779E-2</v>
      </c>
      <c r="BI49" s="13">
        <f t="shared" si="37"/>
        <v>-6.0964565873885546E-2</v>
      </c>
      <c r="BJ49" s="13">
        <f t="shared" si="38"/>
        <v>4.7403809708405076E-2</v>
      </c>
      <c r="BK49" s="32" cm="1">
        <f t="array" ref="BK49">VALUE(_xll.BDP($B49,"INTERVAL_DATE_OF_CALC_HI","CALC_INTERVAL","3M"))</f>
        <v>45986</v>
      </c>
      <c r="BL49" s="32" cm="1">
        <f t="array" ref="BL49">VALUE(_xll.BDP($B49,"INTERVAL_DATE_OF_CALC_LO","CALC_INTERVAL","3M"))</f>
        <v>46056</v>
      </c>
      <c r="BM49" s="32" cm="1">
        <f t="array" ref="BM49">VALUE(_xll.BDP($B49,"INTERVAL_DATE_OF_CALC_HI","CALC_INTERVAL","1M"))</f>
        <v>46034</v>
      </c>
      <c r="BN49" s="32" cm="1">
        <f t="array" ref="BN49">VALUE(_xll.BDP($B49,"INTERVAL_DATE_OF_CALC_LO","CALC_INTERVAL","1M"))</f>
        <v>46056</v>
      </c>
      <c r="BO49" s="15">
        <f>IFERROR(VLOOKUP($F49,PIVOT!$A:$C,2,FALSE),0)</f>
        <v>0</v>
      </c>
      <c r="BP49" s="15">
        <f>IFERROR(VLOOKUP($F49,PIVOT!$A:$C,3,FALSE),0)</f>
        <v>0</v>
      </c>
      <c r="BQ49" s="15">
        <f t="shared" si="11"/>
        <v>37.730765812925775</v>
      </c>
    </row>
    <row r="50" spans="1:69" x14ac:dyDescent="0.25">
      <c r="A50">
        <v>49</v>
      </c>
      <c r="B50" t="s">
        <v>61</v>
      </c>
      <c r="J50" s="24"/>
      <c r="K50" s="15">
        <f>_xll.BDP($B50,"interval_rsi","tech_studies_param1_override",14)</f>
        <v>33.311298610824338</v>
      </c>
      <c r="L50" s="15">
        <f t="shared" si="0"/>
        <v>52.525531939815814</v>
      </c>
      <c r="M50">
        <f t="shared" si="12"/>
        <v>0</v>
      </c>
      <c r="N50" cm="1">
        <f t="array" ref="N50">IFERROR(VALUE(_xll.BDP($B50,"px_last")),"")</f>
        <v>148.43</v>
      </c>
      <c r="O50">
        <f t="shared" si="1"/>
        <v>6941.47</v>
      </c>
      <c r="P50" cm="1">
        <f t="array" ref="P50">IFERROR(VALUE(_xll.BDP($B50,"PX_YEST_CLOSE")),"")</f>
        <v>148.55000000000001</v>
      </c>
      <c r="Q50">
        <f t="shared" si="2"/>
        <v>6941.81</v>
      </c>
      <c r="R50">
        <f t="shared" si="13"/>
        <v>2.1383078800311751E-2</v>
      </c>
      <c r="S50">
        <f t="shared" si="14"/>
        <v>2.1399318045293662E-2</v>
      </c>
      <c r="T50" cm="1">
        <f t="array" ref="T50">IFERROR(VALUE(_xll.BDP($B50,"INTERVAL_MAE_MOV_AVG","CALC_INTERVAL","520D","TECH_STUDIES_PARAM1_OVERRIDE",50,"USE_PREVIOUS_BUSINESS_DAY","N")),"")</f>
        <v>173.63939985351567</v>
      </c>
      <c r="U50">
        <f t="shared" si="3"/>
        <v>6894.0953999999992</v>
      </c>
      <c r="V50" cm="1">
        <f t="array" ref="V50">IFERROR(VALUE(_xll.BDP($B50,"INTERVAL_MAE_MOV_AVG","CALC_INTERVAL","520D","TECH_STUDIES_PARAM1_OVERRIDE",50,"USE_PREVIOUS_BUSINESS_DAY","Y")),"")</f>
        <v>174.82620000000003</v>
      </c>
      <c r="W50">
        <f t="shared" si="4"/>
        <v>6892.2477999999992</v>
      </c>
      <c r="X50">
        <f t="shared" si="15"/>
        <v>2.5186683644313319E-2</v>
      </c>
      <c r="Y50">
        <f t="shared" si="16"/>
        <v>2.5365628902663664E-2</v>
      </c>
      <c r="Z50" s="11" t="str">
        <f t="shared" si="17"/>
        <v>NEGATIVE</v>
      </c>
      <c r="AA50" s="11" t="str">
        <f t="shared" si="18"/>
        <v/>
      </c>
      <c r="AB50" s="11" t="str">
        <f t="shared" si="19"/>
        <v>DOWN</v>
      </c>
      <c r="AC50" s="6" t="str">
        <f t="shared" si="20"/>
        <v>NEGATIVE</v>
      </c>
      <c r="AD50" cm="1">
        <f t="array" ref="AD50">IFERROR(VALUE(_xll.BDP($B50,"INTERVAL_MAE_MOV_AVG","CALC_INTERVAL","520D","TECH_STUDIES_PARAM1_OVERRIDE",65,"USE_PREVIOUS_BUSINESS_DAY","N")),"")</f>
        <v>179.4624614257813</v>
      </c>
      <c r="AE50">
        <f t="shared" si="5"/>
        <v>6856.0226153846133</v>
      </c>
      <c r="AF50" cm="1">
        <f t="array" ref="AF50">IFERROR(VALUE(_xll.BDP($B50,"INTERVAL_MAE_MOV_AVG","CALC_INTERVAL","520D","TECH_STUDIES_PARAM1_OVERRIDE",65,"USE_PREVIOUS_BUSINESS_DAY","Y")),"")</f>
        <v>180.03553846153849</v>
      </c>
      <c r="AG50">
        <f t="shared" si="6"/>
        <v>6852.6203076923057</v>
      </c>
      <c r="AH50">
        <f t="shared" si="21"/>
        <v>2.6175885275389176E-2</v>
      </c>
      <c r="AI50">
        <f t="shared" si="22"/>
        <v>2.6272510423413116E-2</v>
      </c>
      <c r="AJ50" s="10" t="str">
        <f t="shared" si="23"/>
        <v>DOWN</v>
      </c>
      <c r="AK50" s="10" t="str">
        <f t="shared" si="24"/>
        <v>DOWN</v>
      </c>
      <c r="AL50" s="6" t="str">
        <f t="shared" si="25"/>
        <v>NEGATIVE</v>
      </c>
      <c r="AM50" cm="1">
        <f t="array" ref="AM50">IFERROR(VALUE(_xll.BDP($B50,"INTERVAL_MAE_MOV_AVG","CALC_INTERVAL","65W","PERIODICITY_OVERRIDE","W","TECH_STUDIES_PARAM1_OVERRIDE",39,"USE_PREVIOUS_BUSINESS_DAY","N")),"")</f>
        <v>143.70961519681487</v>
      </c>
      <c r="AN50">
        <f t="shared" si="7"/>
        <v>6560.7735897435905</v>
      </c>
      <c r="AO50" cm="1">
        <f t="array" ref="AO50">IFERROR(VALUE(_xll.BDP($B50,"INTERVAL_MAE_MOV_AVG","CALC_INTERVAL","65W","PERIODICITY_OVERRIDE","W","TECH_STUDIES_PARAM1_OVERRIDE",39,"USE_PREVIOUS_BUSINESS_DAY","Y")),"")</f>
        <v>143.71269230769229</v>
      </c>
      <c r="AP50">
        <f t="shared" si="8"/>
        <v>6560.7823076923087</v>
      </c>
      <c r="AQ50">
        <f t="shared" si="26"/>
        <v>2.1904370457391648E-2</v>
      </c>
      <c r="AR50">
        <f t="shared" si="27"/>
        <v>2.1904810366774968E-2</v>
      </c>
      <c r="AS50" s="10" t="str">
        <f t="shared" si="28"/>
        <v>DOWN</v>
      </c>
      <c r="AT50" s="10" t="str">
        <f t="shared" si="29"/>
        <v>DOWN</v>
      </c>
      <c r="AU50" s="6" t="str">
        <f t="shared" si="30"/>
        <v>NEGATIVE</v>
      </c>
      <c r="AV50" cm="1">
        <f t="array" ref="AV50">IFERROR(VALUE(_xll.BDP($B50,"INTERVAL_exp_MOV_AVG","CALC_INTERVAL","520D","TECH_STUDIES_PARAM1_OVERRIDE",100,"USE_PREVIOUS_BUSINESS_DAY","N")),"")</f>
        <v>163.17538771057315</v>
      </c>
      <c r="AW50">
        <f t="shared" si="9"/>
        <v>6773.0064518682802</v>
      </c>
      <c r="AX50" cm="1">
        <f t="array" ref="AX50">IFERROR(VALUE(_xll.BDP($B50,"INTERVAL_exp_MOV_AVG","CALC_INTERVAL","520D","TECH_STUDIES_PARAM1_OVERRIDE",100,"USE_PREVIOUS_BUSINESS_DAY","Y")),"")</f>
        <v>163.47326113324965</v>
      </c>
      <c r="AY50">
        <f t="shared" si="10"/>
        <v>6769.6039787132295</v>
      </c>
      <c r="AZ50">
        <f t="shared" si="31"/>
        <v>2.409201716699421E-2</v>
      </c>
      <c r="BA50">
        <f t="shared" si="32"/>
        <v>2.4148127667037143E-2</v>
      </c>
      <c r="BB50" s="11" t="str">
        <f t="shared" si="33"/>
        <v>DOWN</v>
      </c>
      <c r="BC50" s="11" t="str">
        <f t="shared" si="34"/>
        <v>DOWN</v>
      </c>
      <c r="BD50" s="6" t="str">
        <f t="shared" si="35"/>
        <v>NEGATIVE</v>
      </c>
      <c r="BE50" s="12" cm="1">
        <f t="array" ref="BE50">_xll.BDP($B50, "INTERVAL_RSI", "TECH_STUDIES_PARAM1_OVERRIDE", "5", "PERIODICITY_OVERRIDE", "W")</f>
        <v>16.000220207810273</v>
      </c>
      <c r="BF50" cm="1">
        <f t="array" ref="BF50">IFERROR(VALUE(_xll.BDP($B50,"INTERVAL_MAE_MOV_AVG","CALC_INTERVAL","520D","TECH_STUDIES_PARAM1_OVERRIDE",31,"USE_PREVIOUS_BUSINESS_DAY","N")),"")</f>
        <v>162.25967718308971</v>
      </c>
      <c r="BG50" cm="1">
        <f t="array" ref="BG50">IFERROR(VALUE(_xll.BDP($B50,"INTERVAL_MAE_MOV_AVG","CALC_INTERVAL","760D","TECH_STUDIES_PARAM1_OVERRIDE",200,"USE_PREVIOUS_BUSINESS_DAY","N")),"")</f>
        <v>137.54084996337883</v>
      </c>
      <c r="BH50" s="13">
        <f t="shared" si="36"/>
        <v>-8.5231755807603671E-2</v>
      </c>
      <c r="BI50" s="13">
        <f t="shared" si="37"/>
        <v>-0.14518248666364097</v>
      </c>
      <c r="BJ50" s="13">
        <f t="shared" si="38"/>
        <v>7.9170297693525127E-2</v>
      </c>
      <c r="BK50" s="32" cm="1">
        <f t="array" ref="BK50">VALUE(_xll.BDP($B50,"INTERVAL_DATE_OF_CALC_HI","CALC_INTERVAL","3M"))</f>
        <v>45992</v>
      </c>
      <c r="BL50" s="32" cm="1">
        <f t="array" ref="BL50">VALUE(_xll.BDP($B50,"INTERVAL_DATE_OF_CALC_LO","CALC_INTERVAL","3M"))</f>
        <v>46064</v>
      </c>
      <c r="BM50" s="32" cm="1">
        <f t="array" ref="BM50">VALUE(_xll.BDP($B50,"INTERVAL_DATE_OF_CALC_HI","CALC_INTERVAL","1M"))</f>
        <v>46034</v>
      </c>
      <c r="BN50" s="32" cm="1">
        <f t="array" ref="BN50">VALUE(_xll.BDP($B50,"INTERVAL_DATE_OF_CALC_LO","CALC_INTERVAL","1M"))</f>
        <v>46064</v>
      </c>
      <c r="BO50" s="15">
        <f>IFERROR(VLOOKUP($F50,PIVOT!$A:$C,2,FALSE),0)</f>
        <v>0</v>
      </c>
      <c r="BP50" s="15">
        <f>IFERROR(VLOOKUP($F50,PIVOT!$A:$C,3,FALSE),0)</f>
        <v>0</v>
      </c>
      <c r="BQ50" s="15">
        <f t="shared" si="11"/>
        <v>33.311298610824338</v>
      </c>
    </row>
    <row r="51" spans="1:69" x14ac:dyDescent="0.25">
      <c r="A51">
        <v>50</v>
      </c>
      <c r="B51" t="s">
        <v>63</v>
      </c>
      <c r="J51" s="24"/>
      <c r="K51" s="15">
        <f>_xll.BDP($B51,"interval_rsi","tech_studies_param1_override",14)</f>
        <v>53.910089976544519</v>
      </c>
      <c r="L51" s="15">
        <f t="shared" si="0"/>
        <v>52.525531939815814</v>
      </c>
      <c r="M51">
        <f t="shared" si="12"/>
        <v>0</v>
      </c>
      <c r="N51" cm="1">
        <f t="array" ref="N51">IFERROR(VALUE(_xll.BDP($B51,"px_last")),"")</f>
        <v>48.29</v>
      </c>
      <c r="O51">
        <f t="shared" si="1"/>
        <v>6941.47</v>
      </c>
      <c r="P51" cm="1">
        <f t="array" ref="P51">IFERROR(VALUE(_xll.BDP($B51,"PX_YEST_CLOSE")),"")</f>
        <v>47.13</v>
      </c>
      <c r="Q51">
        <f t="shared" si="2"/>
        <v>6941.81</v>
      </c>
      <c r="R51">
        <f t="shared" si="13"/>
        <v>6.9567397107529096E-3</v>
      </c>
      <c r="S51">
        <f t="shared" si="14"/>
        <v>6.78929558717395E-3</v>
      </c>
      <c r="T51" cm="1">
        <f t="array" ref="T51">IFERROR(VALUE(_xll.BDP($B51,"INTERVAL_MAE_MOV_AVG","CALC_INTERVAL","520D","TECH_STUDIES_PARAM1_OVERRIDE",50,"USE_PREVIOUS_BUSINESS_DAY","N")),"")</f>
        <v>43.101800018310549</v>
      </c>
      <c r="U51">
        <f t="shared" si="3"/>
        <v>6894.0953999999992</v>
      </c>
      <c r="V51" cm="1">
        <f t="array" ref="V51">IFERROR(VALUE(_xll.BDP($B51,"INTERVAL_MAE_MOV_AVG","CALC_INTERVAL","520D","TECH_STUDIES_PARAM1_OVERRIDE",50,"USE_PREVIOUS_BUSINESS_DAY","Y")),"")</f>
        <v>42.947200000000002</v>
      </c>
      <c r="W51">
        <f t="shared" si="4"/>
        <v>6892.2477999999992</v>
      </c>
      <c r="X51">
        <f t="shared" si="15"/>
        <v>6.2519877543775436E-3</v>
      </c>
      <c r="Y51">
        <f t="shared" si="16"/>
        <v>6.2312327191718217E-3</v>
      </c>
      <c r="Z51" s="11" t="str">
        <f t="shared" si="17"/>
        <v>NEGATIVE</v>
      </c>
      <c r="AA51" s="11" t="str">
        <f t="shared" si="18"/>
        <v/>
      </c>
      <c r="AB51" s="11" t="str">
        <f t="shared" si="19"/>
        <v>UP</v>
      </c>
      <c r="AC51" s="6" t="str">
        <f t="shared" si="20"/>
        <v>POSITIVE</v>
      </c>
      <c r="AD51" cm="1">
        <f t="array" ref="AD51">IFERROR(VALUE(_xll.BDP($B51,"INTERVAL_MAE_MOV_AVG","CALC_INTERVAL","520D","TECH_STUDIES_PARAM1_OVERRIDE",65,"USE_PREVIOUS_BUSINESS_DAY","N")),"")</f>
        <v>41.540461552546574</v>
      </c>
      <c r="AE51">
        <f t="shared" si="5"/>
        <v>6856.0226153846133</v>
      </c>
      <c r="AF51" cm="1">
        <f t="array" ref="AF51">IFERROR(VALUE(_xll.BDP($B51,"INTERVAL_MAE_MOV_AVG","CALC_INTERVAL","520D","TECH_STUDIES_PARAM1_OVERRIDE",65,"USE_PREVIOUS_BUSINESS_DAY","Y")),"")</f>
        <v>41.370461538461534</v>
      </c>
      <c r="AG51">
        <f t="shared" si="6"/>
        <v>6852.6203076923057</v>
      </c>
      <c r="AH51">
        <f t="shared" si="21"/>
        <v>6.0589738224217059E-3</v>
      </c>
      <c r="AI51">
        <f t="shared" si="22"/>
        <v>6.0371740561813627E-3</v>
      </c>
      <c r="AJ51" s="10" t="str">
        <f t="shared" si="23"/>
        <v>UP</v>
      </c>
      <c r="AK51" s="10" t="str">
        <f t="shared" si="24"/>
        <v>UP</v>
      </c>
      <c r="AL51" s="6" t="str">
        <f t="shared" si="25"/>
        <v>POSITIVE</v>
      </c>
      <c r="AM51" cm="1">
        <f t="array" ref="AM51">IFERROR(VALUE(_xll.BDP($B51,"INTERVAL_MAE_MOV_AVG","CALC_INTERVAL","65W","PERIODICITY_OVERRIDE","W","TECH_STUDIES_PARAM1_OVERRIDE",39,"USE_PREVIOUS_BUSINESS_DAY","N")),"")</f>
        <v>32.093589767064799</v>
      </c>
      <c r="AN51">
        <f t="shared" si="7"/>
        <v>6560.7735897435905</v>
      </c>
      <c r="AO51" cm="1">
        <f t="array" ref="AO51">IFERROR(VALUE(_xll.BDP($B51,"INTERVAL_MAE_MOV_AVG","CALC_INTERVAL","65W","PERIODICITY_OVERRIDE","W","TECH_STUDIES_PARAM1_OVERRIDE",39,"USE_PREVIOUS_BUSINESS_DAY","Y")),"")</f>
        <v>32.06384615384615</v>
      </c>
      <c r="AP51">
        <f t="shared" si="8"/>
        <v>6560.7823076923087</v>
      </c>
      <c r="AQ51">
        <f t="shared" si="26"/>
        <v>4.8917386536911555E-3</v>
      </c>
      <c r="AR51">
        <f t="shared" si="27"/>
        <v>4.8871986068265531E-3</v>
      </c>
      <c r="AS51" s="10" t="str">
        <f t="shared" si="28"/>
        <v>UP</v>
      </c>
      <c r="AT51" s="10" t="str">
        <f t="shared" si="29"/>
        <v>UP</v>
      </c>
      <c r="AU51" s="6" t="str">
        <f t="shared" si="30"/>
        <v>POSITIVE</v>
      </c>
      <c r="AV51" cm="1">
        <f t="array" ref="AV51">IFERROR(VALUE(_xll.BDP($B51,"INTERVAL_exp_MOV_AVG","CALC_INTERVAL","520D","TECH_STUDIES_PARAM1_OVERRIDE",100,"USE_PREVIOUS_BUSINESS_DAY","N")),"")</f>
        <v>39.584500897087388</v>
      </c>
      <c r="AW51">
        <f t="shared" si="9"/>
        <v>6773.0064518682802</v>
      </c>
      <c r="AX51" cm="1">
        <f t="array" ref="AX51">IFERROR(VALUE(_xll.BDP($B51,"INTERVAL_exp_MOV_AVG","CALC_INTERVAL","520D","TECH_STUDIES_PARAM1_OVERRIDE",100,"USE_PREVIOUS_BUSINESS_DAY","Y")),"")</f>
        <v>39.408662836176255</v>
      </c>
      <c r="AY51">
        <f t="shared" si="10"/>
        <v>6769.6039787132295</v>
      </c>
      <c r="AZ51">
        <f t="shared" si="31"/>
        <v>5.8444504930551654E-3</v>
      </c>
      <c r="BA51">
        <f t="shared" si="32"/>
        <v>5.8214133293609709E-3</v>
      </c>
      <c r="BB51" s="11" t="str">
        <f t="shared" si="33"/>
        <v>UP</v>
      </c>
      <c r="BC51" s="11" t="str">
        <f t="shared" si="34"/>
        <v>UP</v>
      </c>
      <c r="BD51" s="6" t="str">
        <f t="shared" si="35"/>
        <v>POSITIVE</v>
      </c>
      <c r="BE51" s="12" cm="1">
        <f t="array" ref="BE51">_xll.BDP($B51, "INTERVAL_RSI", "TECH_STUDIES_PARAM1_OVERRIDE", "5", "PERIODICITY_OVERRIDE", "W")</f>
        <v>66.09263007071371</v>
      </c>
      <c r="BF51" cm="1">
        <f t="array" ref="BF51">IFERROR(VALUE(_xll.BDP($B51,"INTERVAL_MAE_MOV_AVG","CALC_INTERVAL","520D","TECH_STUDIES_PARAM1_OVERRIDE",31,"USE_PREVIOUS_BUSINESS_DAY","N")),"")</f>
        <v>45.741612932758954</v>
      </c>
      <c r="BG51" cm="1">
        <f t="array" ref="BG51">IFERROR(VALUE(_xll.BDP($B51,"INTERVAL_MAE_MOV_AVG","CALC_INTERVAL","760D","TECH_STUDIES_PARAM1_OVERRIDE",200,"USE_PREVIOUS_BUSINESS_DAY","N")),"")</f>
        <v>30.974950004577661</v>
      </c>
      <c r="BH51" s="13">
        <f t="shared" si="36"/>
        <v>5.5712663018403497E-2</v>
      </c>
      <c r="BI51" s="13">
        <f t="shared" si="37"/>
        <v>0.12037084250507846</v>
      </c>
      <c r="BJ51" s="13">
        <f t="shared" si="38"/>
        <v>0.55900170921546022</v>
      </c>
      <c r="BK51" s="32" cm="1">
        <f t="array" ref="BK51">VALUE(_xll.BDP($B51,"INTERVAL_DATE_OF_CALC_HI","CALC_INTERVAL","3M"))</f>
        <v>46044</v>
      </c>
      <c r="BL51" s="32" cm="1">
        <f t="array" ref="BL51">VALUE(_xll.BDP($B51,"INTERVAL_DATE_OF_CALC_LO","CALC_INTERVAL","3M"))</f>
        <v>45981</v>
      </c>
      <c r="BM51" s="32" cm="1">
        <f t="array" ref="BM51">VALUE(_xll.BDP($B51,"INTERVAL_DATE_OF_CALC_HI","CALC_INTERVAL","1M"))</f>
        <v>46044</v>
      </c>
      <c r="BN51" s="32" cm="1">
        <f t="array" ref="BN51">VALUE(_xll.BDP($B51,"INTERVAL_DATE_OF_CALC_LO","CALC_INTERVAL","1M"))</f>
        <v>46048</v>
      </c>
      <c r="BO51" s="15">
        <f>IFERROR(VLOOKUP($F51,PIVOT!$A:$C,2,FALSE),0)</f>
        <v>0</v>
      </c>
      <c r="BP51" s="15">
        <f>IFERROR(VLOOKUP($F51,PIVOT!$A:$C,3,FALSE),0)</f>
        <v>0</v>
      </c>
      <c r="BQ51" s="15">
        <f t="shared" si="11"/>
        <v>53.910089976544519</v>
      </c>
    </row>
    <row r="52" spans="1:69" x14ac:dyDescent="0.25">
      <c r="A52">
        <v>51</v>
      </c>
      <c r="B52" t="s">
        <v>64</v>
      </c>
      <c r="J52" s="24"/>
      <c r="K52" s="15">
        <f>_xll.BDP($B52,"interval_rsi","tech_studies_param1_override",14)</f>
        <v>19.010424380700343</v>
      </c>
      <c r="L52" s="15">
        <f t="shared" si="0"/>
        <v>52.525531939815814</v>
      </c>
      <c r="M52">
        <f t="shared" si="12"/>
        <v>0</v>
      </c>
      <c r="N52" cm="1">
        <f t="array" ref="N52">IFERROR(VALUE(_xll.BDP($B52,"px_last")),"")</f>
        <v>399.69</v>
      </c>
      <c r="O52">
        <f t="shared" si="1"/>
        <v>6941.47</v>
      </c>
      <c r="P52" cm="1">
        <f t="array" ref="P52">IFERROR(VALUE(_xll.BDP($B52,"PX_YEST_CLOSE")),"")</f>
        <v>421.39</v>
      </c>
      <c r="Q52">
        <f t="shared" si="2"/>
        <v>6941.81</v>
      </c>
      <c r="R52">
        <f t="shared" si="13"/>
        <v>5.7580022675312287E-2</v>
      </c>
      <c r="S52">
        <f t="shared" si="14"/>
        <v>6.0703188361536826E-2</v>
      </c>
      <c r="T52" cm="1">
        <f t="array" ref="T52">IFERROR(VALUE(_xll.BDP($B52,"INTERVAL_MAE_MOV_AVG","CALC_INTERVAL","520D","TECH_STUDIES_PARAM1_OVERRIDE",50,"USE_PREVIOUS_BUSINESS_DAY","N")),"")</f>
        <v>593.16445596402821</v>
      </c>
      <c r="U52">
        <f t="shared" si="3"/>
        <v>6894.0953999999992</v>
      </c>
      <c r="V52" cm="1">
        <f t="array" ref="V52">IFERROR(VALUE(_xll.BDP($B52,"INTERVAL_MAE_MOV_AVG","CALC_INTERVAL","520D","TECH_STUDIES_PARAM1_OVERRIDE",50,"USE_PREVIOUS_BUSINESS_DAY","Y")),"")</f>
        <v>597.82894713439998</v>
      </c>
      <c r="W52">
        <f t="shared" si="4"/>
        <v>6892.2477999999992</v>
      </c>
      <c r="X52">
        <f t="shared" si="15"/>
        <v>8.6039490542011973E-2</v>
      </c>
      <c r="Y52">
        <f t="shared" si="16"/>
        <v>8.6739328660585896E-2</v>
      </c>
      <c r="Z52" s="11" t="str">
        <f t="shared" si="17"/>
        <v>NEGATIVE</v>
      </c>
      <c r="AA52" s="11" t="str">
        <f t="shared" si="18"/>
        <v/>
      </c>
      <c r="AB52" s="11" t="str">
        <f t="shared" si="19"/>
        <v>DOWN</v>
      </c>
      <c r="AC52" s="6" t="str">
        <f t="shared" si="20"/>
        <v>NEGATIVE</v>
      </c>
      <c r="AD52" cm="1">
        <f t="array" ref="AD52">IFERROR(VALUE(_xll.BDP($B52,"INTERVAL_MAE_MOV_AVG","CALC_INTERVAL","520D","TECH_STUDIES_PARAM1_OVERRIDE",65,"USE_PREVIOUS_BUSINESS_DAY","N")),"")</f>
        <v>605.84632689202169</v>
      </c>
      <c r="AE52">
        <f t="shared" si="5"/>
        <v>6856.0226153846133</v>
      </c>
      <c r="AF52" cm="1">
        <f t="array" ref="AF52">IFERROR(VALUE(_xll.BDP($B52,"INTERVAL_MAE_MOV_AVG","CALC_INTERVAL","520D","TECH_STUDIES_PARAM1_OVERRIDE",65,"USE_PREVIOUS_BUSINESS_DAY","Y")),"")</f>
        <v>609.73476700338438</v>
      </c>
      <c r="AG52">
        <f t="shared" si="6"/>
        <v>6852.6203076923057</v>
      </c>
      <c r="AH52">
        <f t="shared" si="21"/>
        <v>8.8367025734793991E-2</v>
      </c>
      <c r="AI52">
        <f t="shared" si="22"/>
        <v>8.8978338157585615E-2</v>
      </c>
      <c r="AJ52" s="10" t="str">
        <f t="shared" si="23"/>
        <v>DOWN</v>
      </c>
      <c r="AK52" s="10" t="str">
        <f t="shared" si="24"/>
        <v>DOWN</v>
      </c>
      <c r="AL52" s="6" t="str">
        <f t="shared" si="25"/>
        <v>NEGATIVE</v>
      </c>
      <c r="AM52" cm="1">
        <f t="array" ref="AM52">IFERROR(VALUE(_xll.BDP($B52,"INTERVAL_MAE_MOV_AVG","CALC_INTERVAL","65W","PERIODICITY_OVERRIDE","W","TECH_STUDIES_PARAM1_OVERRIDE",39,"USE_PREVIOUS_BUSINESS_DAY","N")),"")</f>
        <v>670.94904725662866</v>
      </c>
      <c r="AN52">
        <f t="shared" si="7"/>
        <v>6560.7735897435905</v>
      </c>
      <c r="AO52" cm="1">
        <f t="array" ref="AO52">IFERROR(VALUE(_xll.BDP($B52,"INTERVAL_MAE_MOV_AVG","CALC_INTERVAL","65W","PERIODICITY_OVERRIDE","W","TECH_STUDIES_PARAM1_OVERRIDE",39,"USE_PREVIOUS_BUSINESS_DAY","Y")),"")</f>
        <v>671.50545745043871</v>
      </c>
      <c r="AP52">
        <f t="shared" si="8"/>
        <v>6560.7823076923087</v>
      </c>
      <c r="AQ52">
        <f t="shared" si="26"/>
        <v>0.10226675834470472</v>
      </c>
      <c r="AR52">
        <f t="shared" si="27"/>
        <v>0.10235143096626144</v>
      </c>
      <c r="AS52" s="10" t="str">
        <f t="shared" si="28"/>
        <v>DOWN</v>
      </c>
      <c r="AT52" s="10" t="str">
        <f t="shared" si="29"/>
        <v>DOWN</v>
      </c>
      <c r="AU52" s="6" t="str">
        <f t="shared" si="30"/>
        <v>NEGATIVE</v>
      </c>
      <c r="AV52" cm="1">
        <f t="array" ref="AV52">IFERROR(VALUE(_xll.BDP($B52,"INTERVAL_exp_MOV_AVG","CALC_INTERVAL","520D","TECH_STUDIES_PARAM1_OVERRIDE",100,"USE_PREVIOUS_BUSINESS_DAY","N")),"")</f>
        <v>608.30578208001089</v>
      </c>
      <c r="AW52">
        <f t="shared" si="9"/>
        <v>6773.0064518682802</v>
      </c>
      <c r="AX52" cm="1">
        <f t="array" ref="AX52">IFERROR(VALUE(_xll.BDP($B52,"INTERVAL_exp_MOV_AVG","CALC_INTERVAL","520D","TECH_STUDIES_PARAM1_OVERRIDE",100,"USE_PREVIOUS_BUSINESS_DAY","Y")),"")</f>
        <v>612.52036452560185</v>
      </c>
      <c r="AY52">
        <f t="shared" si="10"/>
        <v>6769.6039787132295</v>
      </c>
      <c r="AZ52">
        <f t="shared" si="31"/>
        <v>8.9813258912844321E-2</v>
      </c>
      <c r="BA52">
        <f t="shared" si="32"/>
        <v>9.0480974433903308E-2</v>
      </c>
      <c r="BB52" s="11" t="str">
        <f t="shared" si="33"/>
        <v>DOWN</v>
      </c>
      <c r="BC52" s="11" t="str">
        <f t="shared" si="34"/>
        <v>DOWN</v>
      </c>
      <c r="BD52" s="6" t="str">
        <f t="shared" si="35"/>
        <v>NEGATIVE</v>
      </c>
      <c r="BE52" s="12" cm="1">
        <f t="array" ref="BE52">_xll.BDP($B52, "INTERVAL_RSI", "TECH_STUDIES_PARAM1_OVERRIDE", "5", "PERIODICITY_OVERRIDE", "W")</f>
        <v>11.060023114988027</v>
      </c>
      <c r="BF52" cm="1">
        <f t="array" ref="BF52">IFERROR(VALUE(_xll.BDP($B52,"INTERVAL_MAE_MOV_AVG","CALC_INTERVAL","520D","TECH_STUDIES_PARAM1_OVERRIDE",31,"USE_PREVIOUS_BUSINESS_DAY","N")),"")</f>
        <v>551.05642194004542</v>
      </c>
      <c r="BG52" cm="1">
        <f t="array" ref="BG52">IFERROR(VALUE(_xll.BDP($B52,"INTERVAL_MAE_MOV_AVG","CALC_INTERVAL","760D","TECH_STUDIES_PARAM1_OVERRIDE",200,"USE_PREVIOUS_BUSINESS_DAY","N")),"")</f>
        <v>672.21605388934915</v>
      </c>
      <c r="BH52" s="13">
        <f t="shared" si="36"/>
        <v>-0.27468407210852541</v>
      </c>
      <c r="BI52" s="13">
        <f t="shared" si="37"/>
        <v>-0.32617338078625746</v>
      </c>
      <c r="BJ52" s="13">
        <f t="shared" si="38"/>
        <v>-0.40541437877383479</v>
      </c>
      <c r="BK52" s="32" cm="1">
        <f t="array" ref="BK52">VALUE(_xll.BDP($B52,"INTERVAL_DATE_OF_CALC_HI","CALC_INTERVAL","3M"))</f>
        <v>46017</v>
      </c>
      <c r="BL52" s="32" cm="1">
        <f t="array" ref="BL52">VALUE(_xll.BDP($B52,"INTERVAL_DATE_OF_CALC_LO","CALC_INTERVAL","3M"))</f>
        <v>46064</v>
      </c>
      <c r="BM52" s="32" cm="1">
        <f t="array" ref="BM52">VALUE(_xll.BDP($B52,"INTERVAL_DATE_OF_CALC_HI","CALC_INTERVAL","1M"))</f>
        <v>46034</v>
      </c>
      <c r="BN52" s="32" cm="1">
        <f t="array" ref="BN52">VALUE(_xll.BDP($B52,"INTERVAL_DATE_OF_CALC_LO","CALC_INTERVAL","1M"))</f>
        <v>46064</v>
      </c>
      <c r="BO52" s="15">
        <f>IFERROR(VLOOKUP($F52,PIVOT!$A:$C,2,FALSE),0)</f>
        <v>0</v>
      </c>
      <c r="BP52" s="15">
        <f>IFERROR(VLOOKUP($F52,PIVOT!$A:$C,3,FALSE),0)</f>
        <v>0</v>
      </c>
      <c r="BQ52" s="15">
        <f t="shared" si="11"/>
        <v>19.010424380700343</v>
      </c>
    </row>
    <row r="53" spans="1:69" x14ac:dyDescent="0.25">
      <c r="A53">
        <v>52</v>
      </c>
      <c r="B53" t="s">
        <v>65</v>
      </c>
      <c r="J53" s="24"/>
      <c r="K53" s="15">
        <f>_xll.BDP($B53,"interval_rsi","tech_studies_param1_override",14)</f>
        <v>35.559359620146139</v>
      </c>
      <c r="L53" s="15">
        <f t="shared" si="0"/>
        <v>52.525531939815814</v>
      </c>
      <c r="M53">
        <f t="shared" si="12"/>
        <v>0</v>
      </c>
      <c r="N53" cm="1">
        <f t="array" ref="N53">IFERROR(VALUE(_xll.BDP($B53,"px_last")),"")</f>
        <v>496.12</v>
      </c>
      <c r="O53">
        <f t="shared" si="1"/>
        <v>6941.47</v>
      </c>
      <c r="P53" cm="1">
        <f t="array" ref="P53">IFERROR(VALUE(_xll.BDP($B53,"PX_YEST_CLOSE")),"")</f>
        <v>495.15</v>
      </c>
      <c r="Q53">
        <f t="shared" si="2"/>
        <v>6941.81</v>
      </c>
      <c r="R53">
        <f t="shared" si="13"/>
        <v>7.1471892841141721E-2</v>
      </c>
      <c r="S53">
        <f t="shared" si="14"/>
        <v>7.1328659240169345E-2</v>
      </c>
      <c r="T53" cm="1">
        <f t="array" ref="T53">IFERROR(VALUE(_xll.BDP($B53,"INTERVAL_MAE_MOV_AVG","CALC_INTERVAL","520D","TECH_STUDIES_PARAM1_OVERRIDE",50,"USE_PREVIOUS_BUSINESS_DAY","N")),"")</f>
        <v>545.69929990234391</v>
      </c>
      <c r="U53">
        <f t="shared" si="3"/>
        <v>6894.0953999999992</v>
      </c>
      <c r="V53" cm="1">
        <f t="array" ref="V53">IFERROR(VALUE(_xll.BDP($B53,"INTERVAL_MAE_MOV_AVG","CALC_INTERVAL","520D","TECH_STUDIES_PARAM1_OVERRIDE",50,"USE_PREVIOUS_BUSINESS_DAY","Y")),"")</f>
        <v>547.24650000000008</v>
      </c>
      <c r="W53">
        <f t="shared" si="4"/>
        <v>6892.2477999999992</v>
      </c>
      <c r="X53">
        <f t="shared" si="15"/>
        <v>7.9154590738959599E-2</v>
      </c>
      <c r="Y53">
        <f t="shared" si="16"/>
        <v>7.940029376192774E-2</v>
      </c>
      <c r="Z53" s="11" t="str">
        <f t="shared" si="17"/>
        <v>NEGATIVE</v>
      </c>
      <c r="AA53" s="11" t="str">
        <f t="shared" si="18"/>
        <v/>
      </c>
      <c r="AB53" s="11" t="str">
        <f t="shared" si="19"/>
        <v>DOWN</v>
      </c>
      <c r="AC53" s="6" t="str">
        <f t="shared" si="20"/>
        <v>NEGATIVE</v>
      </c>
      <c r="AD53" cm="1">
        <f t="array" ref="AD53">IFERROR(VALUE(_xll.BDP($B53,"INTERVAL_MAE_MOV_AVG","CALC_INTERVAL","520D","TECH_STUDIES_PARAM1_OVERRIDE",65,"USE_PREVIOUS_BUSINESS_DAY","N")),"")</f>
        <v>549.96653838641828</v>
      </c>
      <c r="AE53">
        <f t="shared" si="5"/>
        <v>6856.0226153846133</v>
      </c>
      <c r="AF53" cm="1">
        <f t="array" ref="AF53">IFERROR(VALUE(_xll.BDP($B53,"INTERVAL_MAE_MOV_AVG","CALC_INTERVAL","520D","TECH_STUDIES_PARAM1_OVERRIDE",65,"USE_PREVIOUS_BUSINESS_DAY","Y")),"")</f>
        <v>550.76130769230758</v>
      </c>
      <c r="AG53">
        <f t="shared" si="6"/>
        <v>6852.6203076923057</v>
      </c>
      <c r="AH53">
        <f t="shared" si="21"/>
        <v>8.0216558380702768E-2</v>
      </c>
      <c r="AI53">
        <f t="shared" si="22"/>
        <v>8.0372366038442083E-2</v>
      </c>
      <c r="AJ53" s="10" t="str">
        <f t="shared" si="23"/>
        <v>DOWN</v>
      </c>
      <c r="AK53" s="10" t="str">
        <f t="shared" si="24"/>
        <v>DOWN</v>
      </c>
      <c r="AL53" s="6" t="str">
        <f t="shared" si="25"/>
        <v>NEGATIVE</v>
      </c>
      <c r="AM53" cm="1">
        <f t="array" ref="AM53">IFERROR(VALUE(_xll.BDP($B53,"INTERVAL_MAE_MOV_AVG","CALC_INTERVAL","65W","PERIODICITY_OVERRIDE","W","TECH_STUDIES_PARAM1_OVERRIDE",39,"USE_PREVIOUS_BUSINESS_DAY","N")),"")</f>
        <v>514.65679474659464</v>
      </c>
      <c r="AN53">
        <f t="shared" si="7"/>
        <v>6560.7735897435905</v>
      </c>
      <c r="AO53" cm="1">
        <f t="array" ref="AO53">IFERROR(VALUE(_xll.BDP($B53,"INTERVAL_MAE_MOV_AVG","CALC_INTERVAL","65W","PERIODICITY_OVERRIDE","W","TECH_STUDIES_PARAM1_OVERRIDE",39,"USE_PREVIOUS_BUSINESS_DAY","Y")),"")</f>
        <v>514.63192307692327</v>
      </c>
      <c r="AP53">
        <f t="shared" si="8"/>
        <v>6560.7823076923087</v>
      </c>
      <c r="AQ53">
        <f t="shared" si="26"/>
        <v>7.8444529095037491E-2</v>
      </c>
      <c r="AR53">
        <f t="shared" si="27"/>
        <v>7.8440633897200601E-2</v>
      </c>
      <c r="AS53" s="10" t="str">
        <f t="shared" si="28"/>
        <v>UP</v>
      </c>
      <c r="AT53" s="10" t="str">
        <f t="shared" si="29"/>
        <v>UP</v>
      </c>
      <c r="AU53" s="6" t="str">
        <f t="shared" si="30"/>
        <v>NEGATIVE</v>
      </c>
      <c r="AV53" cm="1">
        <f t="array" ref="AV53">IFERROR(VALUE(_xll.BDP($B53,"INTERVAL_exp_MOV_AVG","CALC_INTERVAL","520D","TECH_STUDIES_PARAM1_OVERRIDE",100,"USE_PREVIOUS_BUSINESS_DAY","N")),"")</f>
        <v>527.26849431231881</v>
      </c>
      <c r="AW53">
        <f t="shared" si="9"/>
        <v>6773.0064518682802</v>
      </c>
      <c r="AX53" cm="1">
        <f t="array" ref="AX53">IFERROR(VALUE(_xll.BDP($B53,"INTERVAL_exp_MOV_AVG","CALC_INTERVAL","520D","TECH_STUDIES_PARAM1_OVERRIDE",100,"USE_PREVIOUS_BUSINESS_DAY","Y")),"")</f>
        <v>527.89786399831098</v>
      </c>
      <c r="AY53">
        <f t="shared" si="10"/>
        <v>6769.6039787132295</v>
      </c>
      <c r="AZ53">
        <f t="shared" si="31"/>
        <v>7.7848514992463355E-2</v>
      </c>
      <c r="BA53">
        <f t="shared" si="32"/>
        <v>7.7980612404841762E-2</v>
      </c>
      <c r="BB53" s="11" t="str">
        <f t="shared" si="33"/>
        <v>DOWN</v>
      </c>
      <c r="BC53" s="11" t="str">
        <f t="shared" si="34"/>
        <v>DOWN</v>
      </c>
      <c r="BD53" s="6" t="str">
        <f t="shared" si="35"/>
        <v>NEGATIVE</v>
      </c>
      <c r="BE53" s="12" cm="1">
        <f t="array" ref="BE53">_xll.BDP($B53, "INTERVAL_RSI", "TECH_STUDIES_PARAM1_OVERRIDE", "5", "PERIODICITY_OVERRIDE", "W")</f>
        <v>31.477375416609945</v>
      </c>
      <c r="BF53" cm="1">
        <f t="array" ref="BF53">IFERROR(VALUE(_xll.BDP($B53,"INTERVAL_MAE_MOV_AVG","CALC_INTERVAL","520D","TECH_STUDIES_PARAM1_OVERRIDE",31,"USE_PREVIOUS_BUSINESS_DAY","N")),"")</f>
        <v>533.81048371345764</v>
      </c>
      <c r="BG53" cm="1">
        <f t="array" ref="BG53">IFERROR(VALUE(_xll.BDP($B53,"INTERVAL_MAE_MOV_AVG","CALC_INTERVAL","760D","TECH_STUDIES_PARAM1_OVERRIDE",200,"USE_PREVIOUS_BUSINESS_DAY","N")),"")</f>
        <v>516.292949975586</v>
      </c>
      <c r="BH53" s="13">
        <f t="shared" si="36"/>
        <v>-7.0606488376293131E-2</v>
      </c>
      <c r="BI53" s="13">
        <f t="shared" si="37"/>
        <v>-9.0854615190483878E-2</v>
      </c>
      <c r="BJ53" s="13">
        <f t="shared" si="38"/>
        <v>-3.9072681462220094E-2</v>
      </c>
      <c r="BK53" s="32" cm="1">
        <f t="array" ref="BK53">VALUE(_xll.BDP($B53,"INTERVAL_DATE_OF_CALC_HI","CALC_INTERVAL","3M"))</f>
        <v>46028</v>
      </c>
      <c r="BL53" s="32" cm="1">
        <f t="array" ref="BL53">VALUE(_xll.BDP($B53,"INTERVAL_DATE_OF_CALC_LO","CALC_INTERVAL","3M"))</f>
        <v>46058</v>
      </c>
      <c r="BM53" s="32" cm="1">
        <f t="array" ref="BM53">VALUE(_xll.BDP($B53,"INTERVAL_DATE_OF_CALC_HI","CALC_INTERVAL","1M"))</f>
        <v>46034</v>
      </c>
      <c r="BN53" s="32" cm="1">
        <f t="array" ref="BN53">VALUE(_xll.BDP($B53,"INTERVAL_DATE_OF_CALC_LO","CALC_INTERVAL","1M"))</f>
        <v>46058</v>
      </c>
      <c r="BO53" s="15">
        <f>IFERROR(VLOOKUP($F53,PIVOT!$A:$C,2,FALSE),0)</f>
        <v>0</v>
      </c>
      <c r="BP53" s="15">
        <f>IFERROR(VLOOKUP($F53,PIVOT!$A:$C,3,FALSE),0)</f>
        <v>0</v>
      </c>
      <c r="BQ53" s="15">
        <f t="shared" si="11"/>
        <v>35.559359620146139</v>
      </c>
    </row>
    <row r="54" spans="1:69" x14ac:dyDescent="0.25">
      <c r="A54">
        <v>53</v>
      </c>
      <c r="B54" t="s">
        <v>67</v>
      </c>
      <c r="J54" s="24"/>
      <c r="K54" s="15">
        <f>_xll.BDP($B54,"interval_rsi","tech_studies_param1_override",14)</f>
        <v>70.409986650160889</v>
      </c>
      <c r="L54" s="15">
        <f t="shared" si="0"/>
        <v>52.525531939815814</v>
      </c>
      <c r="M54">
        <f t="shared" si="12"/>
        <v>1</v>
      </c>
      <c r="N54" cm="1">
        <f t="array" ref="N54">IFERROR(VALUE(_xll.BDP($B54,"px_last")),"")</f>
        <v>29.89</v>
      </c>
      <c r="O54">
        <f t="shared" si="1"/>
        <v>6941.47</v>
      </c>
      <c r="P54" cm="1">
        <f t="array" ref="P54">IFERROR(VALUE(_xll.BDP($B54,"PX_YEST_CLOSE")),"")</f>
        <v>28.71</v>
      </c>
      <c r="Q54">
        <f t="shared" si="2"/>
        <v>6941.81</v>
      </c>
      <c r="R54">
        <f t="shared" si="13"/>
        <v>4.3060043477822418E-3</v>
      </c>
      <c r="S54">
        <f t="shared" si="14"/>
        <v>4.13580896048725E-3</v>
      </c>
      <c r="T54" cm="1">
        <f t="array" ref="T54">IFERROR(VALUE(_xll.BDP($B54,"INTERVAL_MAE_MOV_AVG","CALC_INTERVAL","520D","TECH_STUDIES_PARAM1_OVERRIDE",50,"USE_PREVIOUS_BUSINESS_DAY","N")),"")</f>
        <v>28.005452111992973</v>
      </c>
      <c r="U54">
        <f t="shared" si="3"/>
        <v>6894.0953999999992</v>
      </c>
      <c r="V54" cm="1">
        <f t="array" ref="V54">IFERROR(VALUE(_xll.BDP($B54,"INTERVAL_MAE_MOV_AVG","CALC_INTERVAL","520D","TECH_STUDIES_PARAM1_OVERRIDE",50,"USE_PREVIOUS_BUSINESS_DAY","Y")),"")</f>
        <v>27.961070386200003</v>
      </c>
      <c r="W54">
        <f t="shared" si="4"/>
        <v>6892.2477999999992</v>
      </c>
      <c r="X54">
        <f t="shared" si="15"/>
        <v>4.0622373911438732E-3</v>
      </c>
      <c r="Y54">
        <f t="shared" si="16"/>
        <v>4.0568869834018452E-3</v>
      </c>
      <c r="Z54" s="11" t="str">
        <f t="shared" si="17"/>
        <v>POSITIVE</v>
      </c>
      <c r="AA54" s="11" t="str">
        <f t="shared" si="18"/>
        <v/>
      </c>
      <c r="AB54" s="11" t="str">
        <f t="shared" si="19"/>
        <v>UP</v>
      </c>
      <c r="AC54" s="6" t="str">
        <f t="shared" si="20"/>
        <v>POSITIVE</v>
      </c>
      <c r="AD54" cm="1">
        <f t="array" ref="AD54">IFERROR(VALUE(_xll.BDP($B54,"INTERVAL_MAE_MOV_AVG","CALC_INTERVAL","520D","TECH_STUDIES_PARAM1_OVERRIDE",65,"USE_PREVIOUS_BUSINESS_DAY","N")),"")</f>
        <v>27.738285062302293</v>
      </c>
      <c r="AE54">
        <f t="shared" si="5"/>
        <v>6856.0226153846133</v>
      </c>
      <c r="AF54" cm="1">
        <f t="array" ref="AF54">IFERROR(VALUE(_xll.BDP($B54,"INTERVAL_MAE_MOV_AVG","CALC_INTERVAL","520D","TECH_STUDIES_PARAM1_OVERRIDE",65,"USE_PREVIOUS_BUSINESS_DAY","Y")),"")</f>
        <v>27.68064750307693</v>
      </c>
      <c r="AG54">
        <f t="shared" si="6"/>
        <v>6852.6203076923057</v>
      </c>
      <c r="AH54">
        <f t="shared" si="21"/>
        <v>4.0458275327241193E-3</v>
      </c>
      <c r="AI54">
        <f t="shared" si="22"/>
        <v>4.0394252505139439E-3</v>
      </c>
      <c r="AJ54" s="10" t="str">
        <f t="shared" si="23"/>
        <v>UP</v>
      </c>
      <c r="AK54" s="10" t="str">
        <f t="shared" si="24"/>
        <v>UP</v>
      </c>
      <c r="AL54" s="6" t="str">
        <f t="shared" si="25"/>
        <v>POSITIVE</v>
      </c>
      <c r="AM54" cm="1">
        <f t="array" ref="AM54">IFERROR(VALUE(_xll.BDP($B54,"INTERVAL_MAE_MOV_AVG","CALC_INTERVAL","65W","PERIODICITY_OVERRIDE","W","TECH_STUDIES_PARAM1_OVERRIDE",39,"USE_PREVIOUS_BUSINESS_DAY","N")),"")</f>
        <v>29.417280969429186</v>
      </c>
      <c r="AN54">
        <f t="shared" si="7"/>
        <v>6560.7735897435905</v>
      </c>
      <c r="AO54" cm="1">
        <f t="array" ref="AO54">IFERROR(VALUE(_xll.BDP($B54,"INTERVAL_MAE_MOV_AVG","CALC_INTERVAL","65W","PERIODICITY_OVERRIDE","W","TECH_STUDIES_PARAM1_OVERRIDE",39,"USE_PREVIOUS_BUSINESS_DAY","Y")),"")</f>
        <v>29.387024574822817</v>
      </c>
      <c r="AP54">
        <f t="shared" si="8"/>
        <v>6560.7823076923087</v>
      </c>
      <c r="AQ54">
        <f t="shared" si="26"/>
        <v>4.4838128563706274E-3</v>
      </c>
      <c r="AR54">
        <f t="shared" si="27"/>
        <v>4.4791951929829257E-3</v>
      </c>
      <c r="AS54" s="10" t="str">
        <f t="shared" si="28"/>
        <v>UP</v>
      </c>
      <c r="AT54" s="10" t="str">
        <f t="shared" si="29"/>
        <v>UP</v>
      </c>
      <c r="AU54" s="6" t="str">
        <f t="shared" si="30"/>
        <v>NEGATIVE</v>
      </c>
      <c r="AV54" cm="1">
        <f t="array" ref="AV54">IFERROR(VALUE(_xll.BDP($B54,"INTERVAL_exp_MOV_AVG","CALC_INTERVAL","520D","TECH_STUDIES_PARAM1_OVERRIDE",100,"USE_PREVIOUS_BUSINESS_DAY","N")),"")</f>
        <v>28.139291450545993</v>
      </c>
      <c r="AW54">
        <f t="shared" si="9"/>
        <v>6773.0064518682802</v>
      </c>
      <c r="AX54" cm="1">
        <f t="array" ref="AX54">IFERROR(VALUE(_xll.BDP($B54,"INTERVAL_exp_MOV_AVG","CALC_INTERVAL","520D","TECH_STUDIES_PARAM1_OVERRIDE",100,"USE_PREVIOUS_BUSINESS_DAY","Y")),"")</f>
        <v>28.103926250082047</v>
      </c>
      <c r="AY54">
        <f t="shared" si="10"/>
        <v>6769.6039787132295</v>
      </c>
      <c r="AZ54">
        <f t="shared" si="31"/>
        <v>4.1546234527480765E-3</v>
      </c>
      <c r="BA54">
        <f t="shared" si="32"/>
        <v>4.1514874929839043E-3</v>
      </c>
      <c r="BB54" s="11" t="str">
        <f t="shared" si="33"/>
        <v>UP</v>
      </c>
      <c r="BC54" s="11" t="str">
        <f t="shared" si="34"/>
        <v>UP</v>
      </c>
      <c r="BD54" s="6" t="str">
        <f t="shared" si="35"/>
        <v>BUY</v>
      </c>
      <c r="BE54" s="12" cm="1">
        <f t="array" ref="BE54">_xll.BDP($B54, "INTERVAL_RSI", "TECH_STUDIES_PARAM1_OVERRIDE", "5", "PERIODICITY_OVERRIDE", "W")</f>
        <v>78.151057776638567</v>
      </c>
      <c r="BF54" cm="1">
        <f t="array" ref="BF54">IFERROR(VALUE(_xll.BDP($B54,"INTERVAL_MAE_MOV_AVG","CALC_INTERVAL","520D","TECH_STUDIES_PARAM1_OVERRIDE",31,"USE_PREVIOUS_BUSINESS_DAY","N")),"")</f>
        <v>27.811537028053181</v>
      </c>
      <c r="BG54" cm="1">
        <f t="array" ref="BG54">IFERROR(VALUE(_xll.BDP($B54,"INTERVAL_MAE_MOV_AVG","CALC_INTERVAL","760D","TECH_STUDIES_PARAM1_OVERRIDE",200,"USE_PREVIOUS_BUSINESS_DAY","N")),"")</f>
        <v>29.640314775372026</v>
      </c>
      <c r="BH54" s="13">
        <f t="shared" si="36"/>
        <v>7.4733840486784331E-2</v>
      </c>
      <c r="BI54" s="13">
        <f t="shared" si="37"/>
        <v>6.7292178696875649E-2</v>
      </c>
      <c r="BJ54" s="13">
        <f t="shared" si="38"/>
        <v>8.4238384956503154E-3</v>
      </c>
      <c r="BK54" s="32" cm="1">
        <f t="array" ref="BK54">VALUE(_xll.BDP($B54,"INTERVAL_DATE_OF_CALC_HI","CALC_INTERVAL","3M"))</f>
        <v>46064</v>
      </c>
      <c r="BL54" s="32" cm="1">
        <f t="array" ref="BL54">VALUE(_xll.BDP($B54,"INTERVAL_DATE_OF_CALC_LO","CALC_INTERVAL","3M"))</f>
        <v>45972</v>
      </c>
      <c r="BM54" s="32" cm="1">
        <f t="array" ref="BM54">VALUE(_xll.BDP($B54,"INTERVAL_DATE_OF_CALC_HI","CALC_INTERVAL","1M"))</f>
        <v>46064</v>
      </c>
      <c r="BN54" s="32" cm="1">
        <f t="array" ref="BN54">VALUE(_xll.BDP($B54,"INTERVAL_DATE_OF_CALC_LO","CALC_INTERVAL","1M"))</f>
        <v>46050</v>
      </c>
      <c r="BO54" s="15">
        <f>IFERROR(VLOOKUP($F54,PIVOT!$A:$C,2,FALSE),0)</f>
        <v>0</v>
      </c>
      <c r="BP54" s="15">
        <f>IFERROR(VLOOKUP($F54,PIVOT!$A:$C,3,FALSE),0)</f>
        <v>0</v>
      </c>
      <c r="BQ54" s="15">
        <f t="shared" si="11"/>
        <v>70.409986650160889</v>
      </c>
    </row>
    <row r="55" spans="1:69" x14ac:dyDescent="0.25">
      <c r="A55">
        <v>54</v>
      </c>
      <c r="B55" t="s">
        <v>68</v>
      </c>
      <c r="J55" s="24"/>
      <c r="K55" s="15">
        <f>_xll.BDP($B55,"interval_rsi","tech_studies_param1_override",14)</f>
        <v>62.260106844024492</v>
      </c>
      <c r="L55" s="15">
        <f t="shared" si="0"/>
        <v>52.525531939815814</v>
      </c>
      <c r="M55">
        <f t="shared" si="12"/>
        <v>0</v>
      </c>
      <c r="N55" cm="1">
        <f t="array" ref="N55">IFERROR(VALUE(_xll.BDP($B55,"px_last")),"")</f>
        <v>24.99</v>
      </c>
      <c r="O55">
        <f t="shared" si="1"/>
        <v>6941.47</v>
      </c>
      <c r="P55" cm="1">
        <f t="array" ref="P55">IFERROR(VALUE(_xll.BDP($B55,"PX_YEST_CLOSE")),"")</f>
        <v>24.9</v>
      </c>
      <c r="Q55">
        <f t="shared" si="2"/>
        <v>6941.81</v>
      </c>
      <c r="R55">
        <f t="shared" si="13"/>
        <v>3.6001019956867922E-3</v>
      </c>
      <c r="S55">
        <f t="shared" si="14"/>
        <v>3.5869607494299033E-3</v>
      </c>
      <c r="T55" cm="1">
        <f t="array" ref="T55">IFERROR(VALUE(_xll.BDP($B55,"INTERVAL_MAE_MOV_AVG","CALC_INTERVAL","520D","TECH_STUDIES_PARAM1_OVERRIDE",50,"USE_PREVIOUS_BUSINESS_DAY","N")),"")</f>
        <v>24.073899995422352</v>
      </c>
      <c r="U55">
        <f t="shared" si="3"/>
        <v>6894.0953999999992</v>
      </c>
      <c r="V55" cm="1">
        <f t="array" ref="V55">IFERROR(VALUE(_xll.BDP($B55,"INTERVAL_MAE_MOV_AVG","CALC_INTERVAL","520D","TECH_STUDIES_PARAM1_OVERRIDE",50,"USE_PREVIOUS_BUSINESS_DAY","Y")),"")</f>
        <v>24.084299999999988</v>
      </c>
      <c r="W55">
        <f t="shared" si="4"/>
        <v>6892.2477999999992</v>
      </c>
      <c r="X55">
        <f t="shared" si="15"/>
        <v>3.4919592199757423E-3</v>
      </c>
      <c r="Y55">
        <f t="shared" si="16"/>
        <v>3.4944042493654961E-3</v>
      </c>
      <c r="Z55" s="11" t="str">
        <f t="shared" si="17"/>
        <v>NEGATIVE</v>
      </c>
      <c r="AA55" s="11" t="str">
        <f t="shared" si="18"/>
        <v/>
      </c>
      <c r="AB55" s="11" t="str">
        <f t="shared" si="19"/>
        <v>DOWN</v>
      </c>
      <c r="AC55" s="6" t="str">
        <f t="shared" si="20"/>
        <v>POSITIVE</v>
      </c>
      <c r="AD55" cm="1">
        <f t="array" ref="AD55">IFERROR(VALUE(_xll.BDP($B55,"INTERVAL_MAE_MOV_AVG","CALC_INTERVAL","520D","TECH_STUDIES_PARAM1_OVERRIDE",65,"USE_PREVIOUS_BUSINESS_DAY","N")),"")</f>
        <v>24.193153842632587</v>
      </c>
      <c r="AE55">
        <f t="shared" si="5"/>
        <v>6856.0226153846133</v>
      </c>
      <c r="AF55" cm="1">
        <f t="array" ref="AF55">IFERROR(VALUE(_xll.BDP($B55,"INTERVAL_MAE_MOV_AVG","CALC_INTERVAL","520D","TECH_STUDIES_PARAM1_OVERRIDE",65,"USE_PREVIOUS_BUSINESS_DAY","Y")),"")</f>
        <v>24.167913461538461</v>
      </c>
      <c r="AG55">
        <f t="shared" si="6"/>
        <v>6852.6203076923057</v>
      </c>
      <c r="AH55">
        <f t="shared" si="21"/>
        <v>3.5287447547714054E-3</v>
      </c>
      <c r="AI55">
        <f t="shared" si="22"/>
        <v>3.5268134489239299E-3</v>
      </c>
      <c r="AJ55" s="10" t="str">
        <f t="shared" si="23"/>
        <v>UP</v>
      </c>
      <c r="AK55" s="10" t="str">
        <f t="shared" si="24"/>
        <v>UP</v>
      </c>
      <c r="AL55" s="6" t="str">
        <f t="shared" si="25"/>
        <v>POSITIVE</v>
      </c>
      <c r="AM55" cm="1">
        <f t="array" ref="AM55">IFERROR(VALUE(_xll.BDP($B55,"INTERVAL_MAE_MOV_AVG","CALC_INTERVAL","65W","PERIODICITY_OVERRIDE","W","TECH_STUDIES_PARAM1_OVERRIDE",39,"USE_PREVIOUS_BUSINESS_DAY","N")),"")</f>
        <v>25.317267519465869</v>
      </c>
      <c r="AN55">
        <f t="shared" si="7"/>
        <v>6560.7735897435905</v>
      </c>
      <c r="AO55" cm="1">
        <f t="array" ref="AO55">IFERROR(VALUE(_xll.BDP($B55,"INTERVAL_MAE_MOV_AVG","CALC_INTERVAL","65W","PERIODICITY_OVERRIDE","W","TECH_STUDIES_PARAM1_OVERRIDE",39,"USE_PREVIOUS_BUSINESS_DAY","Y")),"")</f>
        <v>25.314959833026943</v>
      </c>
      <c r="AP55">
        <f t="shared" si="8"/>
        <v>6560.7823076923087</v>
      </c>
      <c r="AQ55">
        <f t="shared" si="26"/>
        <v>3.8588845009137592E-3</v>
      </c>
      <c r="AR55">
        <f t="shared" si="27"/>
        <v>3.8585276337161742E-3</v>
      </c>
      <c r="AS55" s="10" t="str">
        <f t="shared" si="28"/>
        <v>UP</v>
      </c>
      <c r="AT55" s="10" t="str">
        <f t="shared" si="29"/>
        <v>UP</v>
      </c>
      <c r="AU55" s="6" t="str">
        <f t="shared" si="30"/>
        <v>NEGATIVE</v>
      </c>
      <c r="AV55" cm="1">
        <f t="array" ref="AV55">IFERROR(VALUE(_xll.BDP($B55,"INTERVAL_exp_MOV_AVG","CALC_INTERVAL","520D","TECH_STUDIES_PARAM1_OVERRIDE",100,"USE_PREVIOUS_BUSINESS_DAY","N")),"")</f>
        <v>24.558894266817116</v>
      </c>
      <c r="AW55">
        <f t="shared" si="9"/>
        <v>6773.0064518682802</v>
      </c>
      <c r="AX55" cm="1">
        <f t="array" ref="AX55">IFERROR(VALUE(_xll.BDP($B55,"INTERVAL_exp_MOV_AVG","CALC_INTERVAL","520D","TECH_STUDIES_PARAM1_OVERRIDE",100,"USE_PREVIOUS_BUSINESS_DAY","Y")),"")</f>
        <v>24.550180035533099</v>
      </c>
      <c r="AY55">
        <f t="shared" si="10"/>
        <v>6769.6039787132295</v>
      </c>
      <c r="AZ55">
        <f t="shared" si="31"/>
        <v>3.6259959947391959E-3</v>
      </c>
      <c r="BA55">
        <f t="shared" si="32"/>
        <v>3.6265311992740249E-3</v>
      </c>
      <c r="BB55" s="11" t="str">
        <f t="shared" si="33"/>
        <v>UP</v>
      </c>
      <c r="BC55" s="11" t="str">
        <f t="shared" si="34"/>
        <v>DOWN</v>
      </c>
      <c r="BD55" s="6" t="str">
        <f t="shared" si="35"/>
        <v>NEGATIVE</v>
      </c>
      <c r="BE55" s="12" cm="1">
        <f t="array" ref="BE55">_xll.BDP($B55, "INTERVAL_RSI", "TECH_STUDIES_PARAM1_OVERRIDE", "5", "PERIODICITY_OVERRIDE", "W")</f>
        <v>68.541122578778456</v>
      </c>
      <c r="BF55" cm="1">
        <f t="array" ref="BF55">IFERROR(VALUE(_xll.BDP($B55,"INTERVAL_MAE_MOV_AVG","CALC_INTERVAL","520D","TECH_STUDIES_PARAM1_OVERRIDE",31,"USE_PREVIOUS_BUSINESS_DAY","N")),"")</f>
        <v>23.815645153907028</v>
      </c>
      <c r="BG55" cm="1">
        <f t="array" ref="BG55">IFERROR(VALUE(_xll.BDP($B55,"INTERVAL_MAE_MOV_AVG","CALC_INTERVAL","760D","TECH_STUDIES_PARAM1_OVERRIDE",200,"USE_PREVIOUS_BUSINESS_DAY","N")),"")</f>
        <v>25.407100978184189</v>
      </c>
      <c r="BH55" s="13">
        <f t="shared" si="36"/>
        <v>4.9310226051143324E-2</v>
      </c>
      <c r="BI55" s="13">
        <f t="shared" si="37"/>
        <v>3.805365997000254E-2</v>
      </c>
      <c r="BJ55" s="13">
        <f t="shared" si="38"/>
        <v>-1.641670879894308E-2</v>
      </c>
      <c r="BK55" s="32" cm="1">
        <f t="array" ref="BK55">VALUE(_xll.BDP($B55,"INTERVAL_DATE_OF_CALC_HI","CALC_INTERVAL","3M"))</f>
        <v>45989</v>
      </c>
      <c r="BL55" s="32" cm="1">
        <f t="array" ref="BL55">VALUE(_xll.BDP($B55,"INTERVAL_DATE_OF_CALC_LO","CALC_INTERVAL","3M"))</f>
        <v>46043</v>
      </c>
      <c r="BM55" s="32" cm="1">
        <f t="array" ref="BM55">VALUE(_xll.BDP($B55,"INTERVAL_DATE_OF_CALC_HI","CALC_INTERVAL","1M"))</f>
        <v>46064</v>
      </c>
      <c r="BN55" s="32" cm="1">
        <f t="array" ref="BN55">VALUE(_xll.BDP($B55,"INTERVAL_DATE_OF_CALC_LO","CALC_INTERVAL","1M"))</f>
        <v>46043</v>
      </c>
      <c r="BO55" s="15">
        <f>IFERROR(VLOOKUP($F55,PIVOT!$A:$C,2,FALSE),0)</f>
        <v>0</v>
      </c>
      <c r="BP55" s="15">
        <f>IFERROR(VLOOKUP($F55,PIVOT!$A:$C,3,FALSE),0)</f>
        <v>0</v>
      </c>
      <c r="BQ55" s="15">
        <f t="shared" si="11"/>
        <v>62.260106844024492</v>
      </c>
    </row>
    <row r="56" spans="1:69" x14ac:dyDescent="0.25">
      <c r="A56">
        <v>55</v>
      </c>
      <c r="B56" t="s">
        <v>69</v>
      </c>
      <c r="J56" s="24"/>
      <c r="K56" s="15">
        <f>_xll.BDP($B56,"interval_rsi","tech_studies_param1_override",14)</f>
        <v>54.486112786745878</v>
      </c>
      <c r="L56" s="15">
        <f t="shared" si="0"/>
        <v>52.525531939815814</v>
      </c>
      <c r="M56">
        <f t="shared" si="12"/>
        <v>0</v>
      </c>
      <c r="N56" cm="1">
        <f t="array" ref="N56">IFERROR(VALUE(_xll.BDP($B56,"px_last")),"")</f>
        <v>1479.5</v>
      </c>
      <c r="O56">
        <f t="shared" si="1"/>
        <v>6941.47</v>
      </c>
      <c r="P56" cm="1">
        <f t="array" ref="P56">IFERROR(VALUE(_xll.BDP($B56,"PX_YEST_CLOSE")),"")</f>
        <v>1430.84</v>
      </c>
      <c r="Q56">
        <f t="shared" si="2"/>
        <v>6941.81</v>
      </c>
      <c r="R56">
        <f t="shared" si="13"/>
        <v>0.21313929182147295</v>
      </c>
      <c r="S56">
        <f t="shared" si="14"/>
        <v>0.20611915336201939</v>
      </c>
      <c r="T56" cm="1">
        <f t="array" ref="T56">IFERROR(VALUE(_xll.BDP($B56,"INTERVAL_MAE_MOV_AVG","CALC_INTERVAL","520D","TECH_STUDIES_PARAM1_OVERRIDE",50,"USE_PREVIOUS_BUSINESS_DAY","N")),"")</f>
        <v>1352.9711999999997</v>
      </c>
      <c r="U56">
        <f t="shared" si="3"/>
        <v>6894.0953999999992</v>
      </c>
      <c r="V56" cm="1">
        <f t="array" ref="V56">IFERROR(VALUE(_xll.BDP($B56,"INTERVAL_MAE_MOV_AVG","CALC_INTERVAL","520D","TECH_STUDIES_PARAM1_OVERRIDE",50,"USE_PREVIOUS_BUSINESS_DAY","Y")),"")</f>
        <v>1346.8905999999999</v>
      </c>
      <c r="W56">
        <f t="shared" si="4"/>
        <v>6892.2477999999992</v>
      </c>
      <c r="X56">
        <f t="shared" si="15"/>
        <v>0.19625072203091357</v>
      </c>
      <c r="Y56">
        <f t="shared" si="16"/>
        <v>0.1954210932462411</v>
      </c>
      <c r="Z56" s="11" t="str">
        <f t="shared" si="17"/>
        <v>NEGATIVE</v>
      </c>
      <c r="AA56" s="11" t="str">
        <f t="shared" si="18"/>
        <v/>
      </c>
      <c r="AB56" s="11" t="str">
        <f t="shared" si="19"/>
        <v>UP</v>
      </c>
      <c r="AC56" s="6" t="str">
        <f t="shared" si="20"/>
        <v>POSITIVE</v>
      </c>
      <c r="AD56" cm="1">
        <f t="array" ref="AD56">IFERROR(VALUE(_xll.BDP($B56,"INTERVAL_MAE_MOV_AVG","CALC_INTERVAL","520D","TECH_STUDIES_PARAM1_OVERRIDE",65,"USE_PREVIOUS_BUSINESS_DAY","N")),"")</f>
        <v>1307.3058790730765</v>
      </c>
      <c r="AE56">
        <f t="shared" si="5"/>
        <v>6856.0226153846133</v>
      </c>
      <c r="AF56" cm="1">
        <f t="array" ref="AF56">IFERROR(VALUE(_xll.BDP($B56,"INTERVAL_MAE_MOV_AVG","CALC_INTERVAL","520D","TECH_STUDIES_PARAM1_OVERRIDE",65,"USE_PREVIOUS_BUSINESS_DAY","Y")),"")</f>
        <v>1303.0732526115382</v>
      </c>
      <c r="AG56">
        <f t="shared" si="6"/>
        <v>6852.6203076923057</v>
      </c>
      <c r="AH56">
        <f t="shared" si="21"/>
        <v>0.19067992514195323</v>
      </c>
      <c r="AI56">
        <f t="shared" si="22"/>
        <v>0.19015693181611026</v>
      </c>
      <c r="AJ56" s="10" t="str">
        <f t="shared" si="23"/>
        <v>UP</v>
      </c>
      <c r="AK56" s="10" t="str">
        <f t="shared" si="24"/>
        <v>UP</v>
      </c>
      <c r="AL56" s="6" t="str">
        <f t="shared" si="25"/>
        <v>POSITIVE</v>
      </c>
      <c r="AM56" cm="1">
        <f t="array" ref="AM56">IFERROR(VALUE(_xll.BDP($B56,"INTERVAL_MAE_MOV_AVG","CALC_INTERVAL","65W","PERIODICITY_OVERRIDE","W","TECH_STUDIES_PARAM1_OVERRIDE",39,"USE_PREVIOUS_BUSINESS_DAY","N")),"")</f>
        <v>1081.1416256828143</v>
      </c>
      <c r="AN56">
        <f t="shared" si="7"/>
        <v>6560.7735897435905</v>
      </c>
      <c r="AO56" cm="1">
        <f t="array" ref="AO56">IFERROR(VALUE(_xll.BDP($B56,"INTERVAL_MAE_MOV_AVG","CALC_INTERVAL","65W","PERIODICITY_OVERRIDE","W","TECH_STUDIES_PARAM1_OVERRIDE",39,"USE_PREVIOUS_BUSINESS_DAY","Y")),"")</f>
        <v>1079.8939333751221</v>
      </c>
      <c r="AP56">
        <f t="shared" si="8"/>
        <v>6560.7823076923087</v>
      </c>
      <c r="AQ56">
        <f t="shared" si="26"/>
        <v>0.16478874189058362</v>
      </c>
      <c r="AR56">
        <f t="shared" si="27"/>
        <v>0.16459834860074243</v>
      </c>
      <c r="AS56" s="10" t="str">
        <f t="shared" si="28"/>
        <v>UP</v>
      </c>
      <c r="AT56" s="10" t="str">
        <f t="shared" si="29"/>
        <v>UP</v>
      </c>
      <c r="AU56" s="6" t="str">
        <f t="shared" si="30"/>
        <v>POSITIVE</v>
      </c>
      <c r="AV56" cm="1">
        <f t="array" ref="AV56">IFERROR(VALUE(_xll.BDP($B56,"INTERVAL_exp_MOV_AVG","CALC_INTERVAL","520D","TECH_STUDIES_PARAM1_OVERRIDE",100,"USE_PREVIOUS_BUSINESS_DAY","N")),"")</f>
        <v>1255.4758222906032</v>
      </c>
      <c r="AW56">
        <f t="shared" si="9"/>
        <v>6773.0064518682802</v>
      </c>
      <c r="AX56" cm="1">
        <f t="array" ref="AX56">IFERROR(VALUE(_xll.BDP($B56,"INTERVAL_exp_MOV_AVG","CALC_INTERVAL","520D","TECH_STUDIES_PARAM1_OVERRIDE",100,"USE_PREVIOUS_BUSINESS_DAY","Y")),"")</f>
        <v>1250.9502127917187</v>
      </c>
      <c r="AY56">
        <f t="shared" si="10"/>
        <v>6769.6039787132295</v>
      </c>
      <c r="AZ56">
        <f t="shared" si="31"/>
        <v>0.18536462813265003</v>
      </c>
      <c r="BA56">
        <f t="shared" si="32"/>
        <v>0.18478927522574226</v>
      </c>
      <c r="BB56" s="11" t="str">
        <f t="shared" si="33"/>
        <v>UP</v>
      </c>
      <c r="BC56" s="11" t="str">
        <f t="shared" si="34"/>
        <v>UP</v>
      </c>
      <c r="BD56" s="6" t="str">
        <f t="shared" si="35"/>
        <v>POSITIVE</v>
      </c>
      <c r="BE56" s="12" cm="1">
        <f t="array" ref="BE56">_xll.BDP($B56, "INTERVAL_RSI", "TECH_STUDIES_PARAM1_OVERRIDE", "5", "PERIODICITY_OVERRIDE", "W")</f>
        <v>66.983614821309615</v>
      </c>
      <c r="BF56" cm="1">
        <f t="array" ref="BF56">IFERROR(VALUE(_xll.BDP($B56,"INTERVAL_MAE_MOV_AVG","CALC_INTERVAL","520D","TECH_STUDIES_PARAM1_OVERRIDE",31,"USE_PREVIOUS_BUSINESS_DAY","N")),"")</f>
        <v>1430.9180645161289</v>
      </c>
      <c r="BG56" cm="1">
        <f t="array" ref="BG56">IFERROR(VALUE(_xll.BDP($B56,"INTERVAL_MAE_MOV_AVG","CALC_INTERVAL","760D","TECH_STUDIES_PARAM1_OVERRIDE",200,"USE_PREVIOUS_BUSINESS_DAY","N")),"")</f>
        <v>1049.7304626257301</v>
      </c>
      <c r="BH56" s="13">
        <f t="shared" si="36"/>
        <v>3.395158443282309E-2</v>
      </c>
      <c r="BI56" s="13">
        <f t="shared" si="37"/>
        <v>9.3519211643233957E-2</v>
      </c>
      <c r="BJ56" s="13">
        <f t="shared" si="38"/>
        <v>0.40940941763209504</v>
      </c>
      <c r="BK56" s="32" cm="1">
        <f t="array" ref="BK56">VALUE(_xll.BDP($B56,"INTERVAL_DATE_OF_CALC_HI","CALC_INTERVAL","3M"))</f>
        <v>46051</v>
      </c>
      <c r="BL56" s="32" cm="1">
        <f t="array" ref="BL56">VALUE(_xll.BDP($B56,"INTERVAL_DATE_OF_CALC_LO","CALC_INTERVAL","3M"))</f>
        <v>45982</v>
      </c>
      <c r="BM56" s="32" cm="1">
        <f t="array" ref="BM56">VALUE(_xll.BDP($B56,"INTERVAL_DATE_OF_CALC_HI","CALC_INTERVAL","1M"))</f>
        <v>46051</v>
      </c>
      <c r="BN56" s="32" cm="1">
        <f t="array" ref="BN56">VALUE(_xll.BDP($B56,"INTERVAL_DATE_OF_CALC_LO","CALC_INTERVAL","1M"))</f>
        <v>46057</v>
      </c>
      <c r="BO56" s="15">
        <f>IFERROR(VLOOKUP($F56,PIVOT!$A:$C,2,FALSE),0)</f>
        <v>0</v>
      </c>
      <c r="BP56" s="15">
        <f>IFERROR(VLOOKUP($F56,PIVOT!$A:$C,3,FALSE),0)</f>
        <v>0</v>
      </c>
      <c r="BQ56" s="15">
        <f t="shared" si="11"/>
        <v>54.486112786745878</v>
      </c>
    </row>
    <row r="57" spans="1:69" x14ac:dyDescent="0.25">
      <c r="A57">
        <v>56</v>
      </c>
      <c r="B57" t="s">
        <v>70</v>
      </c>
      <c r="J57" s="24"/>
      <c r="K57" s="15">
        <f>_xll.BDP($B57,"interval_rsi","tech_studies_param1_override",14)</f>
        <v>63.407071780207723</v>
      </c>
      <c r="L57" s="15">
        <f t="shared" si="0"/>
        <v>52.525531939815814</v>
      </c>
      <c r="M57">
        <f t="shared" si="12"/>
        <v>1</v>
      </c>
      <c r="N57" cm="1">
        <f t="array" ref="N57">IFERROR(VALUE(_xll.BDP($B57,"px_last")),"")</f>
        <v>467.51</v>
      </c>
      <c r="O57">
        <f t="shared" si="1"/>
        <v>6941.47</v>
      </c>
      <c r="P57" cm="1">
        <f t="array" ref="P57">IFERROR(VALUE(_xll.BDP($B57,"PX_YEST_CLOSE")),"")</f>
        <v>460.51</v>
      </c>
      <c r="Q57">
        <f t="shared" si="2"/>
        <v>6941.81</v>
      </c>
      <c r="R57">
        <f t="shared" si="13"/>
        <v>6.7350287475131346E-2</v>
      </c>
      <c r="S57">
        <f t="shared" si="14"/>
        <v>6.6338606213653201E-2</v>
      </c>
      <c r="T57" cm="1">
        <f t="array" ref="T57">IFERROR(VALUE(_xll.BDP($B57,"INTERVAL_MAE_MOV_AVG","CALC_INTERVAL","520D","TECH_STUDIES_PARAM1_OVERRIDE",50,"USE_PREVIOUS_BUSINESS_DAY","N")),"")</f>
        <v>433.07152725191258</v>
      </c>
      <c r="U57">
        <f t="shared" si="3"/>
        <v>6894.0953999999992</v>
      </c>
      <c r="V57" cm="1">
        <f t="array" ref="V57">IFERROR(VALUE(_xll.BDP($B57,"INTERVAL_MAE_MOV_AVG","CALC_INTERVAL","520D","TECH_STUDIES_PARAM1_OVERRIDE",50,"USE_PREVIOUS_BUSINESS_DAY","Y")),"")</f>
        <v>431.89761777500007</v>
      </c>
      <c r="W57">
        <f t="shared" si="4"/>
        <v>6892.2477999999992</v>
      </c>
      <c r="X57">
        <f t="shared" si="15"/>
        <v>6.2817745059331881E-2</v>
      </c>
      <c r="Y57">
        <f t="shared" si="16"/>
        <v>6.2664261400322857E-2</v>
      </c>
      <c r="Z57" s="11" t="str">
        <f t="shared" si="17"/>
        <v>POSITIVE</v>
      </c>
      <c r="AA57" s="11" t="str">
        <f t="shared" si="18"/>
        <v/>
      </c>
      <c r="AB57" s="11" t="str">
        <f t="shared" si="19"/>
        <v>UP</v>
      </c>
      <c r="AC57" s="6" t="str">
        <f t="shared" si="20"/>
        <v>POSITIVE</v>
      </c>
      <c r="AD57" cm="1">
        <f t="array" ref="AD57">IFERROR(VALUE(_xll.BDP($B57,"INTERVAL_MAE_MOV_AVG","CALC_INTERVAL","520D","TECH_STUDIES_PARAM1_OVERRIDE",65,"USE_PREVIOUS_BUSINESS_DAY","N")),"")</f>
        <v>428.92656390116349</v>
      </c>
      <c r="AE57">
        <f t="shared" si="5"/>
        <v>6856.0226153846133</v>
      </c>
      <c r="AF57" cm="1">
        <f t="array" ref="AF57">IFERROR(VALUE(_xll.BDP($B57,"INTERVAL_MAE_MOV_AVG","CALC_INTERVAL","520D","TECH_STUDIES_PARAM1_OVERRIDE",65,"USE_PREVIOUS_BUSINESS_DAY","Y")),"")</f>
        <v>428.10019745738458</v>
      </c>
      <c r="AG57">
        <f t="shared" si="6"/>
        <v>6852.6203076923057</v>
      </c>
      <c r="AH57">
        <f t="shared" si="21"/>
        <v>6.2562011236466916E-2</v>
      </c>
      <c r="AI57">
        <f t="shared" si="22"/>
        <v>6.2472481800403733E-2</v>
      </c>
      <c r="AJ57" s="10" t="str">
        <f t="shared" si="23"/>
        <v>UP</v>
      </c>
      <c r="AK57" s="10" t="str">
        <f t="shared" si="24"/>
        <v>UP</v>
      </c>
      <c r="AL57" s="6" t="str">
        <f t="shared" si="25"/>
        <v>POSITIVE</v>
      </c>
      <c r="AM57" cm="1">
        <f t="array" ref="AM57">IFERROR(VALUE(_xll.BDP($B57,"INTERVAL_MAE_MOV_AVG","CALC_INTERVAL","65W","PERIODICITY_OVERRIDE","W","TECH_STUDIES_PARAM1_OVERRIDE",39,"USE_PREVIOUS_BUSINESS_DAY","N")),"")</f>
        <v>450.58347827485943</v>
      </c>
      <c r="AN57">
        <f t="shared" si="7"/>
        <v>6560.7735897435905</v>
      </c>
      <c r="AO57" cm="1">
        <f t="array" ref="AO57">IFERROR(VALUE(_xll.BDP($B57,"INTERVAL_MAE_MOV_AVG","CALC_INTERVAL","65W","PERIODICITY_OVERRIDE","W","TECH_STUDIES_PARAM1_OVERRIDE",39,"USE_PREVIOUS_BUSINESS_DAY","Y")),"")</f>
        <v>450.4039908449717</v>
      </c>
      <c r="AP57">
        <f t="shared" si="8"/>
        <v>6560.7823076923087</v>
      </c>
      <c r="AQ57">
        <f t="shared" si="26"/>
        <v>6.8678406915192641E-2</v>
      </c>
      <c r="AR57">
        <f t="shared" si="27"/>
        <v>6.8650958029332465E-2</v>
      </c>
      <c r="AS57" s="10" t="str">
        <f t="shared" si="28"/>
        <v>UP</v>
      </c>
      <c r="AT57" s="10" t="str">
        <f t="shared" si="29"/>
        <v>UP</v>
      </c>
      <c r="AU57" s="6" t="str">
        <f t="shared" si="30"/>
        <v>NEGATIVE</v>
      </c>
      <c r="AV57" cm="1">
        <f t="array" ref="AV57">IFERROR(VALUE(_xll.BDP($B57,"INTERVAL_exp_MOV_AVG","CALC_INTERVAL","520D","TECH_STUDIES_PARAM1_OVERRIDE",100,"USE_PREVIOUS_BUSINESS_DAY","N")),"")</f>
        <v>441.23035674824428</v>
      </c>
      <c r="AW57">
        <f t="shared" si="9"/>
        <v>6773.0064518682802</v>
      </c>
      <c r="AX57" cm="1">
        <f t="array" ref="AX57">IFERROR(VALUE(_xll.BDP($B57,"INTERVAL_exp_MOV_AVG","CALC_INTERVAL","520D","TECH_STUDIES_PARAM1_OVERRIDE",100,"USE_PREVIOUS_BUSINESS_DAY","Y")),"")</f>
        <v>440.69945164156604</v>
      </c>
      <c r="AY57">
        <f t="shared" si="10"/>
        <v>6769.6039787132295</v>
      </c>
      <c r="AZ57">
        <f t="shared" si="31"/>
        <v>6.5145421000822226E-2</v>
      </c>
      <c r="BA57">
        <f t="shared" si="32"/>
        <v>6.5099738925250172E-2</v>
      </c>
      <c r="BB57" s="11" t="str">
        <f t="shared" si="33"/>
        <v>UP</v>
      </c>
      <c r="BC57" s="11" t="str">
        <f t="shared" si="34"/>
        <v>UP</v>
      </c>
      <c r="BD57" s="6" t="str">
        <f t="shared" si="35"/>
        <v>POSITIVE</v>
      </c>
      <c r="BE57" s="12" cm="1">
        <f t="array" ref="BE57">_xll.BDP($B57, "INTERVAL_RSI", "TECH_STUDIES_PARAM1_OVERRIDE", "5", "PERIODICITY_OVERRIDE", "W")</f>
        <v>75.641274333060835</v>
      </c>
      <c r="BF57" cm="1">
        <f t="array" ref="BF57">IFERROR(VALUE(_xll.BDP($B57,"INTERVAL_MAE_MOV_AVG","CALC_INTERVAL","520D","TECH_STUDIES_PARAM1_OVERRIDE",31,"USE_PREVIOUS_BUSINESS_DAY","N")),"")</f>
        <v>446.27967773437496</v>
      </c>
      <c r="BG57" cm="1">
        <f t="array" ref="BG57">IFERROR(VALUE(_xll.BDP($B57,"INTERVAL_MAE_MOV_AVG","CALC_INTERVAL","760D","TECH_STUDIES_PARAM1_OVERRIDE",200,"USE_PREVIOUS_BUSINESS_DAY","N")),"")</f>
        <v>450.50414617209356</v>
      </c>
      <c r="BH57" s="13">
        <f t="shared" si="36"/>
        <v>4.7571788106966606E-2</v>
      </c>
      <c r="BI57" s="13">
        <f t="shared" si="37"/>
        <v>7.9521442951050902E-2</v>
      </c>
      <c r="BJ57" s="13">
        <f t="shared" si="38"/>
        <v>3.7748495707318419E-2</v>
      </c>
      <c r="BK57" s="32" cm="1">
        <f t="array" ref="BK57">VALUE(_xll.BDP($B57,"INTERVAL_DATE_OF_CALC_HI","CALC_INTERVAL","3M"))</f>
        <v>46057</v>
      </c>
      <c r="BL57" s="32" cm="1">
        <f t="array" ref="BL57">VALUE(_xll.BDP($B57,"INTERVAL_DATE_OF_CALC_LO","CALC_INTERVAL","3M"))</f>
        <v>45999</v>
      </c>
      <c r="BM57" s="32" cm="1">
        <f t="array" ref="BM57">VALUE(_xll.BDP($B57,"INTERVAL_DATE_OF_CALC_HI","CALC_INTERVAL","1M"))</f>
        <v>46057</v>
      </c>
      <c r="BN57" s="32" cm="1">
        <f t="array" ref="BN57">VALUE(_xll.BDP($B57,"INTERVAL_DATE_OF_CALC_LO","CALC_INTERVAL","1M"))</f>
        <v>46042</v>
      </c>
      <c r="BO57" s="15">
        <f>IFERROR(VLOOKUP($F57,PIVOT!$A:$C,2,FALSE),0)</f>
        <v>0</v>
      </c>
      <c r="BP57" s="15">
        <f>IFERROR(VLOOKUP($F57,PIVOT!$A:$C,3,FALSE),0)</f>
        <v>0</v>
      </c>
      <c r="BQ57" s="15">
        <f t="shared" si="11"/>
        <v>63.407071780207723</v>
      </c>
    </row>
    <row r="58" spans="1:69" x14ac:dyDescent="0.25">
      <c r="A58">
        <v>57</v>
      </c>
      <c r="B58" t="s">
        <v>71</v>
      </c>
      <c r="J58" s="24"/>
      <c r="K58" s="15">
        <f>_xll.BDP($B58,"interval_rsi","tech_studies_param1_override",14)</f>
        <v>59.218745684801924</v>
      </c>
      <c r="L58" s="15">
        <f t="shared" si="0"/>
        <v>52.525531939815814</v>
      </c>
      <c r="M58">
        <f t="shared" si="12"/>
        <v>0</v>
      </c>
      <c r="N58" cm="1">
        <f t="array" ref="N58">IFERROR(VALUE(_xll.BDP($B58,"px_last")),"")</f>
        <v>235.12</v>
      </c>
      <c r="O58">
        <f t="shared" si="1"/>
        <v>6941.47</v>
      </c>
      <c r="P58" cm="1">
        <f t="array" ref="P58">IFERROR(VALUE(_xll.BDP($B58,"PX_YEST_CLOSE")),"")</f>
        <v>226.61</v>
      </c>
      <c r="Q58">
        <f t="shared" si="2"/>
        <v>6941.81</v>
      </c>
      <c r="R58">
        <f t="shared" si="13"/>
        <v>3.3871787964220836E-2</v>
      </c>
      <c r="S58">
        <f t="shared" si="14"/>
        <v>3.2644223912783557E-2</v>
      </c>
      <c r="T58" cm="1">
        <f t="array" ref="T58">IFERROR(VALUE(_xll.BDP($B58,"INTERVAL_MAE_MOV_AVG","CALC_INTERVAL","520D","TECH_STUDIES_PARAM1_OVERRIDE",50,"USE_PREVIOUS_BUSINESS_DAY","N")),"")</f>
        <v>196.76150911994372</v>
      </c>
      <c r="U58">
        <f t="shared" si="3"/>
        <v>6894.0953999999992</v>
      </c>
      <c r="V58" cm="1">
        <f t="array" ref="V58">IFERROR(VALUE(_xll.BDP($B58,"INTERVAL_MAE_MOV_AVG","CALC_INTERVAL","520D","TECH_STUDIES_PARAM1_OVERRIDE",50,"USE_PREVIOUS_BUSINESS_DAY","Y")),"")</f>
        <v>195.17397993760002</v>
      </c>
      <c r="W58">
        <f t="shared" si="4"/>
        <v>6892.2477999999992</v>
      </c>
      <c r="X58">
        <f t="shared" si="15"/>
        <v>2.8540584036586401E-2</v>
      </c>
      <c r="Y58">
        <f t="shared" si="16"/>
        <v>2.8317899414121477E-2</v>
      </c>
      <c r="Z58" s="11" t="str">
        <f t="shared" si="17"/>
        <v>NEGATIVE</v>
      </c>
      <c r="AA58" s="11" t="str">
        <f t="shared" si="18"/>
        <v/>
      </c>
      <c r="AB58" s="11" t="str">
        <f t="shared" si="19"/>
        <v>UP</v>
      </c>
      <c r="AC58" s="6" t="str">
        <f t="shared" si="20"/>
        <v>POSITIVE</v>
      </c>
      <c r="AD58" cm="1">
        <f t="array" ref="AD58">IFERROR(VALUE(_xll.BDP($B58,"INTERVAL_MAE_MOV_AVG","CALC_INTERVAL","520D","TECH_STUDIES_PARAM1_OVERRIDE",65,"USE_PREVIOUS_BUSINESS_DAY","N")),"")</f>
        <v>186.42172393903363</v>
      </c>
      <c r="AE58">
        <f t="shared" si="5"/>
        <v>6856.0226153846133</v>
      </c>
      <c r="AF58" cm="1">
        <f t="array" ref="AF58">IFERROR(VALUE(_xll.BDP($B58,"INTERVAL_MAE_MOV_AVG","CALC_INTERVAL","520D","TECH_STUDIES_PARAM1_OVERRIDE",65,"USE_PREVIOUS_BUSINESS_DAY","Y")),"")</f>
        <v>185.29562185476925</v>
      </c>
      <c r="AG58">
        <f t="shared" si="6"/>
        <v>6852.6203076923057</v>
      </c>
      <c r="AH58">
        <f t="shared" si="21"/>
        <v>2.7190943553877939E-2</v>
      </c>
      <c r="AI58">
        <f t="shared" si="22"/>
        <v>2.7040112181141635E-2</v>
      </c>
      <c r="AJ58" s="10" t="str">
        <f t="shared" si="23"/>
        <v>UP</v>
      </c>
      <c r="AK58" s="10" t="str">
        <f t="shared" si="24"/>
        <v>UP</v>
      </c>
      <c r="AL58" s="6" t="str">
        <f t="shared" si="25"/>
        <v>POSITIVE</v>
      </c>
      <c r="AM58" cm="1">
        <f t="array" ref="AM58">IFERROR(VALUE(_xll.BDP($B58,"INTERVAL_MAE_MOV_AVG","CALC_INTERVAL","65W","PERIODICITY_OVERRIDE","W","TECH_STUDIES_PARAM1_OVERRIDE",39,"USE_PREVIOUS_BUSINESS_DAY","N")),"")</f>
        <v>139.34677058680651</v>
      </c>
      <c r="AN58">
        <f t="shared" si="7"/>
        <v>6560.7735897435905</v>
      </c>
      <c r="AO58" cm="1">
        <f t="array" ref="AO58">IFERROR(VALUE(_xll.BDP($B58,"INTERVAL_MAE_MOV_AVG","CALC_INTERVAL","65W","PERIODICITY_OVERRIDE","W","TECH_STUDIES_PARAM1_OVERRIDE",39,"USE_PREVIOUS_BUSINESS_DAY","Y")),"")</f>
        <v>139.12856558380173</v>
      </c>
      <c r="AP58">
        <f t="shared" si="8"/>
        <v>6560.7823076923087</v>
      </c>
      <c r="AQ58">
        <f t="shared" si="26"/>
        <v>2.1239381100522401E-2</v>
      </c>
      <c r="AR58">
        <f t="shared" si="27"/>
        <v>2.1206093886193711E-2</v>
      </c>
      <c r="AS58" s="10" t="str">
        <f t="shared" si="28"/>
        <v>UP</v>
      </c>
      <c r="AT58" s="10" t="str">
        <f t="shared" si="29"/>
        <v>UP</v>
      </c>
      <c r="AU58" s="6" t="str">
        <f t="shared" si="30"/>
        <v>POSITIVE</v>
      </c>
      <c r="AV58" cm="1">
        <f t="array" ref="AV58">IFERROR(VALUE(_xll.BDP($B58,"INTERVAL_exp_MOV_AVG","CALC_INTERVAL","520D","TECH_STUDIES_PARAM1_OVERRIDE",100,"USE_PREVIOUS_BUSINESS_DAY","N")),"")</f>
        <v>176.77167918356514</v>
      </c>
      <c r="AW58">
        <f t="shared" si="9"/>
        <v>6773.0064518682802</v>
      </c>
      <c r="AX58" cm="1">
        <f t="array" ref="AX58">IFERROR(VALUE(_xll.BDP($B58,"INTERVAL_exp_MOV_AVG","CALC_INTERVAL","520D","TECH_STUDIES_PARAM1_OVERRIDE",100,"USE_PREVIOUS_BUSINESS_DAY","Y")),"")</f>
        <v>175.59295041313786</v>
      </c>
      <c r="AY58">
        <f t="shared" si="10"/>
        <v>6769.6039787132295</v>
      </c>
      <c r="AZ58">
        <f t="shared" si="31"/>
        <v>2.6099440542361223E-2</v>
      </c>
      <c r="BA58">
        <f t="shared" si="32"/>
        <v>2.5938437605107098E-2</v>
      </c>
      <c r="BB58" s="11" t="str">
        <f t="shared" si="33"/>
        <v>UP</v>
      </c>
      <c r="BC58" s="11" t="str">
        <f t="shared" si="34"/>
        <v>UP</v>
      </c>
      <c r="BD58" s="6" t="str">
        <f t="shared" si="35"/>
        <v>POSITIVE</v>
      </c>
      <c r="BE58" s="12" cm="1">
        <f t="array" ref="BE58">_xll.BDP($B58, "INTERVAL_RSI", "TECH_STUDIES_PARAM1_OVERRIDE", "5", "PERIODICITY_OVERRIDE", "W")</f>
        <v>85.740716205347709</v>
      </c>
      <c r="BF58" cm="1">
        <f t="array" ref="BF58">IFERROR(VALUE(_xll.BDP($B58,"INTERVAL_MAE_MOV_AVG","CALC_INTERVAL","520D","TECH_STUDIES_PARAM1_OVERRIDE",31,"USE_PREVIOUS_BUSINESS_DAY","N")),"")</f>
        <v>216.08709661668343</v>
      </c>
      <c r="BG58" cm="1">
        <f t="array" ref="BG58">IFERROR(VALUE(_xll.BDP($B58,"INTERVAL_MAE_MOV_AVG","CALC_INTERVAL","760D","TECH_STUDIES_PARAM1_OVERRIDE",200,"USE_PREVIOUS_BUSINESS_DAY","N")),"")</f>
        <v>132.86308286810913</v>
      </c>
      <c r="BH58" s="13">
        <f t="shared" si="36"/>
        <v>8.8079777466208542E-2</v>
      </c>
      <c r="BI58" s="13">
        <f t="shared" si="37"/>
        <v>0.19494915978039873</v>
      </c>
      <c r="BJ58" s="13">
        <f t="shared" si="38"/>
        <v>0.76964130986934531</v>
      </c>
      <c r="BK58" s="32" cm="1">
        <f t="array" ref="BK58">VALUE(_xll.BDP($B58,"INTERVAL_DATE_OF_CALC_HI","CALC_INTERVAL","3M"))</f>
        <v>46051</v>
      </c>
      <c r="BL58" s="32" cm="1">
        <f t="array" ref="BL58">VALUE(_xll.BDP($B58,"INTERVAL_DATE_OF_CALC_LO","CALC_INTERVAL","3M"))</f>
        <v>45981</v>
      </c>
      <c r="BM58" s="32" cm="1">
        <f t="array" ref="BM58">VALUE(_xll.BDP($B58,"INTERVAL_DATE_OF_CALC_HI","CALC_INTERVAL","1M"))</f>
        <v>46051</v>
      </c>
      <c r="BN58" s="32" cm="1">
        <f t="array" ref="BN58">VALUE(_xll.BDP($B58,"INTERVAL_DATE_OF_CALC_LO","CALC_INTERVAL","1M"))</f>
        <v>46036</v>
      </c>
      <c r="BO58" s="15">
        <f>IFERROR(VLOOKUP($F58,PIVOT!$A:$C,2,FALSE),0)</f>
        <v>0</v>
      </c>
      <c r="BP58" s="15">
        <f>IFERROR(VLOOKUP($F58,PIVOT!$A:$C,3,FALSE),0)</f>
        <v>0</v>
      </c>
      <c r="BQ58" s="15">
        <f t="shared" si="11"/>
        <v>59.218745684801924</v>
      </c>
    </row>
    <row r="59" spans="1:69" x14ac:dyDescent="0.25">
      <c r="A59">
        <v>58</v>
      </c>
      <c r="B59" t="s">
        <v>72</v>
      </c>
      <c r="J59" s="24"/>
      <c r="K59" s="15">
        <f>_xll.BDP($B59,"interval_rsi","tech_studies_param1_override",14)</f>
        <v>75.226114873276174</v>
      </c>
      <c r="L59" s="15">
        <f t="shared" si="0"/>
        <v>52.525531939815814</v>
      </c>
      <c r="M59">
        <f t="shared" si="12"/>
        <v>1</v>
      </c>
      <c r="N59" cm="1">
        <f t="array" ref="N59">IFERROR(VALUE(_xll.BDP($B59,"px_last")),"")</f>
        <v>358.75</v>
      </c>
      <c r="O59">
        <f t="shared" si="1"/>
        <v>6941.47</v>
      </c>
      <c r="P59" cm="1">
        <f t="array" ref="P59">IFERROR(VALUE(_xll.BDP($B59,"PX_YEST_CLOSE")),"")</f>
        <v>359.35</v>
      </c>
      <c r="Q59">
        <f t="shared" si="2"/>
        <v>6941.81</v>
      </c>
      <c r="R59">
        <f t="shared" si="13"/>
        <v>5.1682136492702556E-2</v>
      </c>
      <c r="S59">
        <f t="shared" si="14"/>
        <v>5.1766037964162084E-2</v>
      </c>
      <c r="T59" cm="1">
        <f t="array" ref="T59">IFERROR(VALUE(_xll.BDP($B59,"INTERVAL_MAE_MOV_AVG","CALC_INTERVAL","520D","TECH_STUDIES_PARAM1_OVERRIDE",50,"USE_PREVIOUS_BUSINESS_DAY","N")),"")</f>
        <v>315.1386</v>
      </c>
      <c r="U59">
        <f t="shared" si="3"/>
        <v>6894.0953999999992</v>
      </c>
      <c r="V59" cm="1">
        <f t="array" ref="V59">IFERROR(VALUE(_xll.BDP($B59,"INTERVAL_MAE_MOV_AVG","CALC_INTERVAL","520D","TECH_STUDIES_PARAM1_OVERRIDE",50,"USE_PREVIOUS_BUSINESS_DAY","Y")),"")</f>
        <v>314.05939999999998</v>
      </c>
      <c r="W59">
        <f t="shared" si="4"/>
        <v>6892.2477999999992</v>
      </c>
      <c r="X59">
        <f t="shared" si="15"/>
        <v>4.5711377884326929E-2</v>
      </c>
      <c r="Y59">
        <f t="shared" si="16"/>
        <v>4.5567049983316038E-2</v>
      </c>
      <c r="Z59" s="11" t="str">
        <f t="shared" si="17"/>
        <v>POSITIVE</v>
      </c>
      <c r="AA59" s="11" t="str">
        <f t="shared" si="18"/>
        <v/>
      </c>
      <c r="AB59" s="11" t="str">
        <f t="shared" si="19"/>
        <v>UP</v>
      </c>
      <c r="AC59" s="6" t="str">
        <f t="shared" si="20"/>
        <v>POSITIVE</v>
      </c>
      <c r="AD59" cm="1">
        <f t="array" ref="AD59">IFERROR(VALUE(_xll.BDP($B59,"INTERVAL_MAE_MOV_AVG","CALC_INTERVAL","520D","TECH_STUDIES_PARAM1_OVERRIDE",65,"USE_PREVIOUS_BUSINESS_DAY","N")),"")</f>
        <v>309.64891204030766</v>
      </c>
      <c r="AE59">
        <f t="shared" si="5"/>
        <v>6856.0226153846133</v>
      </c>
      <c r="AF59" cm="1">
        <f t="array" ref="AF59">IFERROR(VALUE(_xll.BDP($B59,"INTERVAL_MAE_MOV_AVG","CALC_INTERVAL","520D","TECH_STUDIES_PARAM1_OVERRIDE",65,"USE_PREVIOUS_BUSINESS_DAY","Y")),"")</f>
        <v>308.44471747138459</v>
      </c>
      <c r="AG59">
        <f t="shared" si="6"/>
        <v>6852.6203076923057</v>
      </c>
      <c r="AH59">
        <f t="shared" si="21"/>
        <v>4.516451146842327E-2</v>
      </c>
      <c r="AI59">
        <f t="shared" si="22"/>
        <v>4.5011207920734292E-2</v>
      </c>
      <c r="AJ59" s="10" t="str">
        <f t="shared" si="23"/>
        <v>UP</v>
      </c>
      <c r="AK59" s="10" t="str">
        <f t="shared" si="24"/>
        <v>UP</v>
      </c>
      <c r="AL59" s="6" t="str">
        <f t="shared" si="25"/>
        <v>POSITIVE</v>
      </c>
      <c r="AM59" cm="1">
        <f t="array" ref="AM59">IFERROR(VALUE(_xll.BDP($B59,"INTERVAL_MAE_MOV_AVG","CALC_INTERVAL","65W","PERIODICITY_OVERRIDE","W","TECH_STUDIES_PARAM1_OVERRIDE",39,"USE_PREVIOUS_BUSINESS_DAY","N")),"")</f>
        <v>283.57862508890145</v>
      </c>
      <c r="AN59">
        <f t="shared" si="7"/>
        <v>6560.7735897435905</v>
      </c>
      <c r="AO59" cm="1">
        <f t="array" ref="AO59">IFERROR(VALUE(_xll.BDP($B59,"INTERVAL_MAE_MOV_AVG","CALC_INTERVAL","65W","PERIODICITY_OVERRIDE","W","TECH_STUDIES_PARAM1_OVERRIDE",39,"USE_PREVIOUS_BUSINESS_DAY","Y")),"")</f>
        <v>283.59400970428607</v>
      </c>
      <c r="AP59">
        <f t="shared" si="8"/>
        <v>6560.7823076923087</v>
      </c>
      <c r="AQ59">
        <f t="shared" si="26"/>
        <v>4.3223351821226975E-2</v>
      </c>
      <c r="AR59">
        <f t="shared" si="27"/>
        <v>4.3225639322277333E-2</v>
      </c>
      <c r="AS59" s="10" t="str">
        <f t="shared" si="28"/>
        <v>DOWN</v>
      </c>
      <c r="AT59" s="10" t="str">
        <f t="shared" si="29"/>
        <v>DOWN</v>
      </c>
      <c r="AU59" s="6" t="str">
        <f t="shared" si="30"/>
        <v>POSITIVE</v>
      </c>
      <c r="AV59" cm="1">
        <f t="array" ref="AV59">IFERROR(VALUE(_xll.BDP($B59,"INTERVAL_exp_MOV_AVG","CALC_INTERVAL","520D","TECH_STUDIES_PARAM1_OVERRIDE",100,"USE_PREVIOUS_BUSINESS_DAY","N")),"")</f>
        <v>301.27223429672375</v>
      </c>
      <c r="AW59">
        <f t="shared" si="9"/>
        <v>6773.0064518682802</v>
      </c>
      <c r="AX59" cm="1">
        <f t="array" ref="AX59">IFERROR(VALUE(_xll.BDP($B59,"INTERVAL_exp_MOV_AVG","CALC_INTERVAL","520D","TECH_STUDIES_PARAM1_OVERRIDE",100,"USE_PREVIOUS_BUSINESS_DAY","Y")),"")</f>
        <v>300.1110259232878</v>
      </c>
      <c r="AY59">
        <f t="shared" si="10"/>
        <v>6769.6039787132295</v>
      </c>
      <c r="AZ59">
        <f t="shared" si="31"/>
        <v>4.4481315120203403E-2</v>
      </c>
      <c r="BA59">
        <f t="shared" si="32"/>
        <v>4.4332139201491823E-2</v>
      </c>
      <c r="BB59" s="11" t="str">
        <f t="shared" si="33"/>
        <v>UP</v>
      </c>
      <c r="BC59" s="11" t="str">
        <f t="shared" si="34"/>
        <v>UP</v>
      </c>
      <c r="BD59" s="6" t="str">
        <f t="shared" si="35"/>
        <v>POSITIVE</v>
      </c>
      <c r="BE59" s="12" cm="1">
        <f t="array" ref="BE59">_xll.BDP($B59, "INTERVAL_RSI", "TECH_STUDIES_PARAM1_OVERRIDE", "5", "PERIODICITY_OVERRIDE", "W")</f>
        <v>84.160324564535699</v>
      </c>
      <c r="BF59" cm="1">
        <f t="array" ref="BF59">IFERROR(VALUE(_xll.BDP($B59,"INTERVAL_MAE_MOV_AVG","CALC_INTERVAL","520D","TECH_STUDIES_PARAM1_OVERRIDE",31,"USE_PREVIOUS_BUSINESS_DAY","N")),"")</f>
        <v>322.57193548387107</v>
      </c>
      <c r="BG59" cm="1">
        <f t="array" ref="BG59">IFERROR(VALUE(_xll.BDP($B59,"INTERVAL_MAE_MOV_AVG","CALC_INTERVAL","760D","TECH_STUDIES_PARAM1_OVERRIDE",200,"USE_PREVIOUS_BUSINESS_DAY","N")),"")</f>
        <v>279.36123969481952</v>
      </c>
      <c r="BH59" s="13">
        <f t="shared" si="36"/>
        <v>0.11215502818576062</v>
      </c>
      <c r="BI59" s="13">
        <f t="shared" si="37"/>
        <v>0.13838799816969427</v>
      </c>
      <c r="BJ59" s="13">
        <f t="shared" si="38"/>
        <v>0.28417958193451076</v>
      </c>
      <c r="BK59" s="32" cm="1">
        <f t="array" ref="BK59">VALUE(_xll.BDP($B59,"INTERVAL_DATE_OF_CALC_HI","CALC_INTERVAL","3M"))</f>
        <v>46063</v>
      </c>
      <c r="BL59" s="32" cm="1">
        <f t="array" ref="BL59">VALUE(_xll.BDP($B59,"INTERVAL_DATE_OF_CALC_LO","CALC_INTERVAL","3M"))</f>
        <v>45978</v>
      </c>
      <c r="BM59" s="32" cm="1">
        <f t="array" ref="BM59">VALUE(_xll.BDP($B59,"INTERVAL_DATE_OF_CALC_HI","CALC_INTERVAL","1M"))</f>
        <v>46063</v>
      </c>
      <c r="BN59" s="32" cm="1">
        <f t="array" ref="BN59">VALUE(_xll.BDP($B59,"INTERVAL_DATE_OF_CALC_LO","CALC_INTERVAL","1M"))</f>
        <v>46050</v>
      </c>
      <c r="BO59" s="15">
        <f>IFERROR(VLOOKUP($F59,PIVOT!$A:$C,2,FALSE),0)</f>
        <v>0</v>
      </c>
      <c r="BP59" s="15">
        <f>IFERROR(VLOOKUP($F59,PIVOT!$A:$C,3,FALSE),0)</f>
        <v>0</v>
      </c>
      <c r="BQ59" s="15">
        <f t="shared" si="11"/>
        <v>75.226114873276174</v>
      </c>
    </row>
    <row r="60" spans="1:69" x14ac:dyDescent="0.25">
      <c r="A60">
        <v>59</v>
      </c>
      <c r="B60" t="s">
        <v>73</v>
      </c>
      <c r="J60" s="24"/>
      <c r="K60" s="15">
        <f>_xll.BDP($B60,"interval_rsi","tech_studies_param1_override",14)</f>
        <v>63.362070678351763</v>
      </c>
      <c r="L60" s="15">
        <f t="shared" si="0"/>
        <v>52.525531939815814</v>
      </c>
      <c r="M60">
        <f t="shared" si="12"/>
        <v>1</v>
      </c>
      <c r="N60" cm="1">
        <f t="array" ref="N60">IFERROR(VALUE(_xll.BDP($B60,"px_last")),"")</f>
        <v>80.75</v>
      </c>
      <c r="O60">
        <f t="shared" si="1"/>
        <v>6941.47</v>
      </c>
      <c r="P60" cm="1">
        <f t="array" ref="P60">IFERROR(VALUE(_xll.BDP($B60,"PX_YEST_CLOSE")),"")</f>
        <v>76.86</v>
      </c>
      <c r="Q60">
        <f t="shared" si="2"/>
        <v>6941.81</v>
      </c>
      <c r="R60">
        <f t="shared" si="13"/>
        <v>1.163298263912399E-2</v>
      </c>
      <c r="S60">
        <f t="shared" si="14"/>
        <v>1.1072040289204112E-2</v>
      </c>
      <c r="T60" cm="1">
        <f t="array" ref="T60">IFERROR(VALUE(_xll.BDP($B60,"INTERVAL_MAE_MOV_AVG","CALC_INTERVAL","520D","TECH_STUDIES_PARAM1_OVERRIDE",50,"USE_PREVIOUS_BUSINESS_DAY","N")),"")</f>
        <v>70.573399999999978</v>
      </c>
      <c r="U60">
        <f t="shared" si="3"/>
        <v>6894.0953999999992</v>
      </c>
      <c r="V60" cm="1">
        <f t="array" ref="V60">IFERROR(VALUE(_xll.BDP($B60,"INTERVAL_MAE_MOV_AVG","CALC_INTERVAL","520D","TECH_STUDIES_PARAM1_OVERRIDE",50,"USE_PREVIOUS_BUSINESS_DAY","Y")),"")</f>
        <v>70.029999999999987</v>
      </c>
      <c r="W60">
        <f t="shared" si="4"/>
        <v>6892.2477999999992</v>
      </c>
      <c r="X60">
        <f t="shared" si="15"/>
        <v>1.0236789006430051E-2</v>
      </c>
      <c r="Y60">
        <f t="shared" si="16"/>
        <v>1.0160690972254364E-2</v>
      </c>
      <c r="Z60" s="11" t="str">
        <f t="shared" si="17"/>
        <v>POSITIVE</v>
      </c>
      <c r="AA60" s="11" t="str">
        <f t="shared" si="18"/>
        <v/>
      </c>
      <c r="AB60" s="11" t="str">
        <f t="shared" si="19"/>
        <v>UP</v>
      </c>
      <c r="AC60" s="6" t="str">
        <f t="shared" si="20"/>
        <v>POSITIVE</v>
      </c>
      <c r="AD60" cm="1">
        <f t="array" ref="AD60">IFERROR(VALUE(_xll.BDP($B60,"INTERVAL_MAE_MOV_AVG","CALC_INTERVAL","520D","TECH_STUDIES_PARAM1_OVERRIDE",65,"USE_PREVIOUS_BUSINESS_DAY","N")),"")</f>
        <v>66.404509387846147</v>
      </c>
      <c r="AE60">
        <f t="shared" si="5"/>
        <v>6856.0226153846133</v>
      </c>
      <c r="AF60" cm="1">
        <f t="array" ref="AF60">IFERROR(VALUE(_xll.BDP($B60,"INTERVAL_MAE_MOV_AVG","CALC_INTERVAL","520D","TECH_STUDIES_PARAM1_OVERRIDE",65,"USE_PREVIOUS_BUSINESS_DAY","Y")),"")</f>
        <v>66.067116624000008</v>
      </c>
      <c r="AG60">
        <f t="shared" si="6"/>
        <v>6852.6203076923057</v>
      </c>
      <c r="AH60">
        <f t="shared" si="21"/>
        <v>9.6855732708403478E-3</v>
      </c>
      <c r="AI60">
        <f t="shared" si="22"/>
        <v>9.6411465479617139E-3</v>
      </c>
      <c r="AJ60" s="10" t="str">
        <f t="shared" si="23"/>
        <v>UP</v>
      </c>
      <c r="AK60" s="10" t="str">
        <f t="shared" si="24"/>
        <v>UP</v>
      </c>
      <c r="AL60" s="6" t="str">
        <f t="shared" si="25"/>
        <v>POSITIVE</v>
      </c>
      <c r="AM60" cm="1">
        <f t="array" ref="AM60">IFERROR(VALUE(_xll.BDP($B60,"INTERVAL_MAE_MOV_AVG","CALC_INTERVAL","65W","PERIODICITY_OVERRIDE","W","TECH_STUDIES_PARAM1_OVERRIDE",39,"USE_PREVIOUS_BUSINESS_DAY","N")),"")</f>
        <v>65.644337663337424</v>
      </c>
      <c r="AN60">
        <f t="shared" si="7"/>
        <v>6560.7735897435905</v>
      </c>
      <c r="AO60" cm="1">
        <f t="array" ref="AO60">IFERROR(VALUE(_xll.BDP($B60,"INTERVAL_MAE_MOV_AVG","CALC_INTERVAL","65W","PERIODICITY_OVERRIDE","W","TECH_STUDIES_PARAM1_OVERRIDE",39,"USE_PREVIOUS_BUSINESS_DAY","Y")),"")</f>
        <v>65.544594073593842</v>
      </c>
      <c r="AP60">
        <f t="shared" si="8"/>
        <v>6560.7823076923087</v>
      </c>
      <c r="AQ60">
        <f t="shared" si="26"/>
        <v>1.000557887959413E-2</v>
      </c>
      <c r="AR60">
        <f t="shared" si="27"/>
        <v>9.9903625817221349E-3</v>
      </c>
      <c r="AS60" s="10" t="str">
        <f t="shared" si="28"/>
        <v>UP</v>
      </c>
      <c r="AT60" s="10" t="str">
        <f t="shared" si="29"/>
        <v>UP</v>
      </c>
      <c r="AU60" s="6" t="str">
        <f t="shared" si="30"/>
        <v>POSITIVE</v>
      </c>
      <c r="AV60" cm="1">
        <f t="array" ref="AV60">IFERROR(VALUE(_xll.BDP($B60,"INTERVAL_exp_MOV_AVG","CALC_INTERVAL","520D","TECH_STUDIES_PARAM1_OVERRIDE",100,"USE_PREVIOUS_BUSINESS_DAY","N")),"")</f>
        <v>67.877721228134305</v>
      </c>
      <c r="AW60">
        <f t="shared" si="9"/>
        <v>6773.0064518682802</v>
      </c>
      <c r="AX60" cm="1">
        <f t="array" ref="AX60">IFERROR(VALUE(_xll.BDP($B60,"INTERVAL_exp_MOV_AVG","CALC_INTERVAL","520D","TECH_STUDIES_PARAM1_OVERRIDE",100,"USE_PREVIOUS_BUSINESS_DAY","Y")),"")</f>
        <v>67.617728734282863</v>
      </c>
      <c r="AY60">
        <f t="shared" si="10"/>
        <v>6769.6039787132295</v>
      </c>
      <c r="AZ60">
        <f t="shared" si="31"/>
        <v>1.002180076314718E-2</v>
      </c>
      <c r="BA60">
        <f t="shared" si="32"/>
        <v>9.9884319595214613E-3</v>
      </c>
      <c r="BB60" s="11" t="str">
        <f t="shared" si="33"/>
        <v>UP</v>
      </c>
      <c r="BC60" s="11" t="str">
        <f t="shared" si="34"/>
        <v>UP</v>
      </c>
      <c r="BD60" s="6" t="str">
        <f t="shared" si="35"/>
        <v>POSITIVE</v>
      </c>
      <c r="BE60" s="12" cm="1">
        <f t="array" ref="BE60">_xll.BDP($B60, "INTERVAL_RSI", "TECH_STUDIES_PARAM1_OVERRIDE", "5", "PERIODICITY_OVERRIDE", "W")</f>
        <v>88.317285238127297</v>
      </c>
      <c r="BF60" cm="1">
        <f t="array" ref="BF60">IFERROR(VALUE(_xll.BDP($B60,"INTERVAL_MAE_MOV_AVG","CALC_INTERVAL","520D","TECH_STUDIES_PARAM1_OVERRIDE",31,"USE_PREVIOUS_BUSINESS_DAY","N")),"")</f>
        <v>74.131935483870976</v>
      </c>
      <c r="BG60" cm="1">
        <f t="array" ref="BG60">IFERROR(VALUE(_xll.BDP($B60,"INTERVAL_MAE_MOV_AVG","CALC_INTERVAL","760D","TECH_STUDIES_PARAM1_OVERRIDE",200,"USE_PREVIOUS_BUSINESS_DAY","N")),"")</f>
        <v>64.653554344684267</v>
      </c>
      <c r="BH60" s="13">
        <f t="shared" si="36"/>
        <v>8.9274136348010513E-2</v>
      </c>
      <c r="BI60" s="13">
        <f t="shared" si="37"/>
        <v>0.14419880578234889</v>
      </c>
      <c r="BJ60" s="13">
        <f t="shared" si="38"/>
        <v>0.24896459009046201</v>
      </c>
      <c r="BK60" s="32" cm="1">
        <f t="array" ref="BK60">VALUE(_xll.BDP($B60,"INTERVAL_DATE_OF_CALC_HI","CALC_INTERVAL","3M"))</f>
        <v>46064</v>
      </c>
      <c r="BL60" s="32" cm="1">
        <f t="array" ref="BL60">VALUE(_xll.BDP($B60,"INTERVAL_DATE_OF_CALC_LO","CALC_INTERVAL","3M"))</f>
        <v>45981</v>
      </c>
      <c r="BM60" s="32" cm="1">
        <f t="array" ref="BM60">VALUE(_xll.BDP($B60,"INTERVAL_DATE_OF_CALC_HI","CALC_INTERVAL","1M"))</f>
        <v>46064</v>
      </c>
      <c r="BN60" s="32" cm="1">
        <f t="array" ref="BN60">VALUE(_xll.BDP($B60,"INTERVAL_DATE_OF_CALC_LO","CALC_INTERVAL","1M"))</f>
        <v>46042</v>
      </c>
      <c r="BO60" s="15">
        <f>IFERROR(VLOOKUP($F60,PIVOT!$A:$C,2,FALSE),0)</f>
        <v>0</v>
      </c>
      <c r="BP60" s="15">
        <f>IFERROR(VLOOKUP($F60,PIVOT!$A:$C,3,FALSE),0)</f>
        <v>0</v>
      </c>
      <c r="BQ60" s="15">
        <f t="shared" si="11"/>
        <v>63.362070678351763</v>
      </c>
    </row>
    <row r="61" spans="1:69" x14ac:dyDescent="0.25">
      <c r="A61">
        <v>60</v>
      </c>
      <c r="B61" t="s">
        <v>74</v>
      </c>
      <c r="J61" s="24"/>
      <c r="K61" s="15">
        <f>_xll.BDP($B61,"interval_rsi","tech_studies_param1_override",14)</f>
        <v>72.227404876346114</v>
      </c>
      <c r="L61" s="15">
        <f t="shared" si="0"/>
        <v>52.525531939815814</v>
      </c>
      <c r="M61">
        <f t="shared" si="12"/>
        <v>1</v>
      </c>
      <c r="N61" cm="1">
        <f t="array" ref="N61">IFERROR(VALUE(_xll.BDP($B61,"px_last")),"")</f>
        <v>61.47</v>
      </c>
      <c r="O61">
        <f t="shared" si="1"/>
        <v>6941.47</v>
      </c>
      <c r="P61" cm="1">
        <f t="array" ref="P61">IFERROR(VALUE(_xll.BDP($B61,"PX_YEST_CLOSE")),"")</f>
        <v>60.65</v>
      </c>
      <c r="Q61">
        <f t="shared" si="2"/>
        <v>6941.81</v>
      </c>
      <c r="R61">
        <f t="shared" si="13"/>
        <v>8.8554729761851584E-3</v>
      </c>
      <c r="S61">
        <f t="shared" si="14"/>
        <v>8.7369144358603879E-3</v>
      </c>
      <c r="T61" cm="1">
        <f t="array" ref="T61">IFERROR(VALUE(_xll.BDP($B61,"INTERVAL_MAE_MOV_AVG","CALC_INTERVAL","520D","TECH_STUDIES_PARAM1_OVERRIDE",50,"USE_PREVIOUS_BUSINESS_DAY","N")),"")</f>
        <v>55.96854670381407</v>
      </c>
      <c r="U61">
        <f t="shared" si="3"/>
        <v>6894.0953999999992</v>
      </c>
      <c r="V61" cm="1">
        <f t="array" ref="V61">IFERROR(VALUE(_xll.BDP($B61,"INTERVAL_MAE_MOV_AVG","CALC_INTERVAL","520D","TECH_STUDIES_PARAM1_OVERRIDE",50,"USE_PREVIOUS_BUSINESS_DAY","Y")),"")</f>
        <v>55.880043608600012</v>
      </c>
      <c r="W61">
        <f t="shared" si="4"/>
        <v>6892.2477999999992</v>
      </c>
      <c r="X61">
        <f t="shared" si="15"/>
        <v>8.1183307535625457E-3</v>
      </c>
      <c r="Y61">
        <f t="shared" si="16"/>
        <v>8.1076660663013337E-3</v>
      </c>
      <c r="Z61" s="11" t="str">
        <f t="shared" si="17"/>
        <v>POSITIVE</v>
      </c>
      <c r="AA61" s="11" t="str">
        <f t="shared" si="18"/>
        <v/>
      </c>
      <c r="AB61" s="11" t="str">
        <f t="shared" si="19"/>
        <v>UP</v>
      </c>
      <c r="AC61" s="6" t="str">
        <f t="shared" si="20"/>
        <v>POSITIVE</v>
      </c>
      <c r="AD61" cm="1">
        <f t="array" ref="AD61">IFERROR(VALUE(_xll.BDP($B61,"INTERVAL_MAE_MOV_AVG","CALC_INTERVAL","520D","TECH_STUDIES_PARAM1_OVERRIDE",65,"USE_PREVIOUS_BUSINESS_DAY","N")),"")</f>
        <v>55.996186440780065</v>
      </c>
      <c r="AE61">
        <f t="shared" si="5"/>
        <v>6856.0226153846133</v>
      </c>
      <c r="AF61" cm="1">
        <f t="array" ref="AF61">IFERROR(VALUE(_xll.BDP($B61,"INTERVAL_MAE_MOV_AVG","CALC_INTERVAL","520D","TECH_STUDIES_PARAM1_OVERRIDE",65,"USE_PREVIOUS_BUSINESS_DAY","Y")),"")</f>
        <v>55.907070034615408</v>
      </c>
      <c r="AG61">
        <f t="shared" si="6"/>
        <v>6852.6203076923057</v>
      </c>
      <c r="AH61">
        <f t="shared" si="21"/>
        <v>8.1674448265568848E-3</v>
      </c>
      <c r="AI61">
        <f t="shared" si="22"/>
        <v>8.1584952214348964E-3</v>
      </c>
      <c r="AJ61" s="10" t="str">
        <f t="shared" si="23"/>
        <v>UP</v>
      </c>
      <c r="AK61" s="10" t="str">
        <f t="shared" si="24"/>
        <v>UP</v>
      </c>
      <c r="AL61" s="6" t="str">
        <f t="shared" si="25"/>
        <v>POSITIVE</v>
      </c>
      <c r="AM61" cm="1">
        <f t="array" ref="AM61">IFERROR(VALUE(_xll.BDP($B61,"INTERVAL_MAE_MOV_AVG","CALC_INTERVAL","65W","PERIODICITY_OVERRIDE","W","TECH_STUDIES_PARAM1_OVERRIDE",39,"USE_PREVIOUS_BUSINESS_DAY","N")),"")</f>
        <v>60.715796284754241</v>
      </c>
      <c r="AN61">
        <f t="shared" si="7"/>
        <v>6560.7735897435905</v>
      </c>
      <c r="AO61" cm="1">
        <f t="array" ref="AO61">IFERROR(VALUE(_xll.BDP($B61,"INTERVAL_MAE_MOV_AVG","CALC_INTERVAL","65W","PERIODICITY_OVERRIDE","W","TECH_STUDIES_PARAM1_OVERRIDE",39,"USE_PREVIOUS_BUSINESS_DAY","Y")),"")</f>
        <v>60.694770612428528</v>
      </c>
      <c r="AP61">
        <f t="shared" si="8"/>
        <v>6560.7823076923087</v>
      </c>
      <c r="AQ61">
        <f t="shared" si="26"/>
        <v>9.2543654272219979E-3</v>
      </c>
      <c r="AR61">
        <f t="shared" si="27"/>
        <v>9.2511483792513342E-3</v>
      </c>
      <c r="AS61" s="10" t="str">
        <f t="shared" si="28"/>
        <v>UP</v>
      </c>
      <c r="AT61" s="10" t="str">
        <f t="shared" si="29"/>
        <v>UP</v>
      </c>
      <c r="AU61" s="6" t="str">
        <f t="shared" si="30"/>
        <v>NEGATIVE</v>
      </c>
      <c r="AV61" cm="1">
        <f t="array" ref="AV61">IFERROR(VALUE(_xll.BDP($B61,"INTERVAL_exp_MOV_AVG","CALC_INTERVAL","520D","TECH_STUDIES_PARAM1_OVERRIDE",100,"USE_PREVIOUS_BUSINESS_DAY","N")),"")</f>
        <v>57.923544068745514</v>
      </c>
      <c r="AW61">
        <f t="shared" si="9"/>
        <v>6773.0064518682802</v>
      </c>
      <c r="AX61" cm="1">
        <f t="array" ref="AX61">IFERROR(VALUE(_xll.BDP($B61,"INTERVAL_exp_MOV_AVG","CALC_INTERVAL","520D","TECH_STUDIES_PARAM1_OVERRIDE",100,"USE_PREVIOUS_BUSINESS_DAY","Y")),"")</f>
        <v>57.851885288520641</v>
      </c>
      <c r="AY61">
        <f t="shared" si="10"/>
        <v>6769.6039787132295</v>
      </c>
      <c r="AZ61">
        <f t="shared" si="31"/>
        <v>8.5521170665307372E-3</v>
      </c>
      <c r="BA61">
        <f t="shared" si="32"/>
        <v>8.5458300766830322E-3</v>
      </c>
      <c r="BB61" s="11" t="str">
        <f t="shared" si="33"/>
        <v>UP</v>
      </c>
      <c r="BC61" s="11" t="str">
        <f t="shared" si="34"/>
        <v>UP</v>
      </c>
      <c r="BD61" s="6" t="str">
        <f t="shared" si="35"/>
        <v>POSITIVE</v>
      </c>
      <c r="BE61" s="12" cm="1">
        <f t="array" ref="BE61">_xll.BDP($B61, "INTERVAL_RSI", "TECH_STUDIES_PARAM1_OVERRIDE", "5", "PERIODICITY_OVERRIDE", "W")</f>
        <v>86.299118233994406</v>
      </c>
      <c r="BF61" cm="1">
        <f t="array" ref="BF61">IFERROR(VALUE(_xll.BDP($B61,"INTERVAL_MAE_MOV_AVG","CALC_INTERVAL","520D","TECH_STUDIES_PARAM1_OVERRIDE",31,"USE_PREVIOUS_BUSINESS_DAY","N")),"")</f>
        <v>57.068966113571058</v>
      </c>
      <c r="BG61" cm="1">
        <f t="array" ref="BG61">IFERROR(VALUE(_xll.BDP($B61,"INTERVAL_MAE_MOV_AVG","CALC_INTERVAL","760D","TECH_STUDIES_PARAM1_OVERRIDE",200,"USE_PREVIOUS_BUSINESS_DAY","N")),"")</f>
        <v>60.916488561159014</v>
      </c>
      <c r="BH61" s="13">
        <f t="shared" si="36"/>
        <v>7.7117813518306821E-2</v>
      </c>
      <c r="BI61" s="13">
        <f t="shared" si="37"/>
        <v>9.8295446642551854E-2</v>
      </c>
      <c r="BJ61" s="13">
        <f t="shared" si="38"/>
        <v>9.0863976554602655E-3</v>
      </c>
      <c r="BK61" s="32" cm="1">
        <f t="array" ref="BK61">VALUE(_xll.BDP($B61,"INTERVAL_DATE_OF_CALC_HI","CALC_INTERVAL","3M"))</f>
        <v>46064</v>
      </c>
      <c r="BL61" s="32" cm="1">
        <f t="array" ref="BL61">VALUE(_xll.BDP($B61,"INTERVAL_DATE_OF_CALC_LO","CALC_INTERVAL","3M"))</f>
        <v>46029</v>
      </c>
      <c r="BM61" s="32" cm="1">
        <f t="array" ref="BM61">VALUE(_xll.BDP($B61,"INTERVAL_DATE_OF_CALC_HI","CALC_INTERVAL","1M"))</f>
        <v>46064</v>
      </c>
      <c r="BN61" s="32" cm="1">
        <f t="array" ref="BN61">VALUE(_xll.BDP($B61,"INTERVAL_DATE_OF_CALC_LO","CALC_INTERVAL","1M"))</f>
        <v>46034</v>
      </c>
      <c r="BO61" s="15">
        <f>IFERROR(VLOOKUP($F61,PIVOT!$A:$C,2,FALSE),0)</f>
        <v>0</v>
      </c>
      <c r="BP61" s="15">
        <f>IFERROR(VLOOKUP($F61,PIVOT!$A:$C,3,FALSE),0)</f>
        <v>0</v>
      </c>
      <c r="BQ61" s="15">
        <f t="shared" si="11"/>
        <v>72.227404876346114</v>
      </c>
    </row>
    <row r="62" spans="1:69" x14ac:dyDescent="0.25">
      <c r="A62">
        <v>61</v>
      </c>
      <c r="B62" t="s">
        <v>75</v>
      </c>
      <c r="J62" s="24"/>
      <c r="K62" s="15">
        <f>_xll.BDP($B62,"interval_rsi","tech_studies_param1_override",14)</f>
        <v>42.796671068171591</v>
      </c>
      <c r="L62" s="15">
        <f t="shared" si="0"/>
        <v>52.525531939815814</v>
      </c>
      <c r="M62">
        <f t="shared" si="12"/>
        <v>0</v>
      </c>
      <c r="N62" cm="1">
        <f t="array" ref="N62">IFERROR(VALUE(_xll.BDP($B62,"px_last")),"")</f>
        <v>2018.18</v>
      </c>
      <c r="O62">
        <f t="shared" si="1"/>
        <v>6941.47</v>
      </c>
      <c r="P62" cm="1">
        <f t="array" ref="P62">IFERROR(VALUE(_xll.BDP($B62,"PX_YEST_CLOSE")),"")</f>
        <v>2025.32</v>
      </c>
      <c r="Q62">
        <f t="shared" si="2"/>
        <v>6941.81</v>
      </c>
      <c r="R62">
        <f t="shared" si="13"/>
        <v>0.29074245080652944</v>
      </c>
      <c r="S62">
        <f t="shared" si="14"/>
        <v>0.29175676084479407</v>
      </c>
      <c r="T62" cm="1">
        <f t="array" ref="T62">IFERROR(VALUE(_xll.BDP($B62,"INTERVAL_MAE_MOV_AVG","CALC_INTERVAL","520D","TECH_STUDIES_PARAM1_OVERRIDE",50,"USE_PREVIOUS_BUSINESS_DAY","N")),"")</f>
        <v>2074.7252010742186</v>
      </c>
      <c r="U62">
        <f t="shared" si="3"/>
        <v>6894.0953999999992</v>
      </c>
      <c r="V62" cm="1">
        <f t="array" ref="V62">IFERROR(VALUE(_xll.BDP($B62,"INTERVAL_MAE_MOV_AVG","CALC_INTERVAL","520D","TECH_STUDIES_PARAM1_OVERRIDE",50,"USE_PREVIOUS_BUSINESS_DAY","Y")),"")</f>
        <v>2075.7972</v>
      </c>
      <c r="W62">
        <f t="shared" si="4"/>
        <v>6892.2477999999992</v>
      </c>
      <c r="X62">
        <f t="shared" si="15"/>
        <v>0.30094233988613195</v>
      </c>
      <c r="Y62">
        <f t="shared" si="16"/>
        <v>0.30117855019664269</v>
      </c>
      <c r="Z62" s="11" t="str">
        <f t="shared" si="17"/>
        <v>NEGATIVE</v>
      </c>
      <c r="AA62" s="11" t="str">
        <f t="shared" si="18"/>
        <v/>
      </c>
      <c r="AB62" s="11" t="str">
        <f t="shared" si="19"/>
        <v>DOWN</v>
      </c>
      <c r="AC62" s="6" t="str">
        <f t="shared" si="20"/>
        <v>NEGATIVE</v>
      </c>
      <c r="AD62" cm="1">
        <f t="array" ref="AD62">IFERROR(VALUE(_xll.BDP($B62,"INTERVAL_MAE_MOV_AVG","CALC_INTERVAL","520D","TECH_STUDIES_PARAM1_OVERRIDE",65,"USE_PREVIOUS_BUSINESS_DAY","N")),"")</f>
        <v>2068.2243085186301</v>
      </c>
      <c r="AE62">
        <f t="shared" si="5"/>
        <v>6856.0226153846133</v>
      </c>
      <c r="AF62" cm="1">
        <f t="array" ref="AF62">IFERROR(VALUE(_xll.BDP($B62,"INTERVAL_MAE_MOV_AVG","CALC_INTERVAL","520D","TECH_STUDIES_PARAM1_OVERRIDE",65,"USE_PREVIOUS_BUSINESS_DAY","Y")),"")</f>
        <v>2069.918923076923</v>
      </c>
      <c r="AG62">
        <f t="shared" si="6"/>
        <v>6852.6203076923057</v>
      </c>
      <c r="AH62">
        <f t="shared" si="21"/>
        <v>0.30166532763144999</v>
      </c>
      <c r="AI62">
        <f t="shared" si="22"/>
        <v>0.30206239805135077</v>
      </c>
      <c r="AJ62" s="10" t="str">
        <f t="shared" si="23"/>
        <v>DOWN</v>
      </c>
      <c r="AK62" s="10" t="str">
        <f t="shared" si="24"/>
        <v>DOWN</v>
      </c>
      <c r="AL62" s="6" t="str">
        <f t="shared" si="25"/>
        <v>NEGATIVE</v>
      </c>
      <c r="AM62" cm="1">
        <f t="array" ref="AM62">IFERROR(VALUE(_xll.BDP($B62,"INTERVAL_MAE_MOV_AVG","CALC_INTERVAL","65W","PERIODICITY_OVERRIDE","W","TECH_STUDIES_PARAM1_OVERRIDE",39,"USE_PREVIOUS_BUSINESS_DAY","N")),"")</f>
        <v>2252.7441039413061</v>
      </c>
      <c r="AN62">
        <f t="shared" si="7"/>
        <v>6560.7735897435905</v>
      </c>
      <c r="AO62" cm="1">
        <f t="array" ref="AO62">IFERROR(VALUE(_xll.BDP($B62,"INTERVAL_MAE_MOV_AVG","CALC_INTERVAL","65W","PERIODICITY_OVERRIDE","W","TECH_STUDIES_PARAM1_OVERRIDE",39,"USE_PREVIOUS_BUSINESS_DAY","Y")),"")</f>
        <v>2252.9271794871793</v>
      </c>
      <c r="AP62">
        <f t="shared" si="8"/>
        <v>6560.7823076923087</v>
      </c>
      <c r="AQ62">
        <f t="shared" si="26"/>
        <v>0.34336562192345799</v>
      </c>
      <c r="AR62">
        <f t="shared" si="27"/>
        <v>0.34339307019007381</v>
      </c>
      <c r="AS62" s="10" t="str">
        <f t="shared" si="28"/>
        <v>DOWN</v>
      </c>
      <c r="AT62" s="10" t="str">
        <f t="shared" si="29"/>
        <v>DOWN</v>
      </c>
      <c r="AU62" s="6" t="str">
        <f t="shared" si="30"/>
        <v>NEGATIVE</v>
      </c>
      <c r="AV62" cm="1">
        <f t="array" ref="AV62">IFERROR(VALUE(_xll.BDP($B62,"INTERVAL_exp_MOV_AVG","CALC_INTERVAL","520D","TECH_STUDIES_PARAM1_OVERRIDE",100,"USE_PREVIOUS_BUSINESS_DAY","N")),"")</f>
        <v>2137.1809465737533</v>
      </c>
      <c r="AW62">
        <f t="shared" si="9"/>
        <v>6773.0064518682802</v>
      </c>
      <c r="AX62" cm="1">
        <f t="array" ref="AX62">IFERROR(VALUE(_xll.BDP($B62,"INTERVAL_exp_MOV_AVG","CALC_INTERVAL","520D","TECH_STUDIES_PARAM1_OVERRIDE",100,"USE_PREVIOUS_BUSINESS_DAY","Y")),"")</f>
        <v>2139.5861654708642</v>
      </c>
      <c r="AY62">
        <f t="shared" si="10"/>
        <v>6769.6039787132295</v>
      </c>
      <c r="AZ62">
        <f t="shared" si="31"/>
        <v>0.31554391122486364</v>
      </c>
      <c r="BA62">
        <f t="shared" si="32"/>
        <v>0.31605780370590569</v>
      </c>
      <c r="BB62" s="11" t="str">
        <f t="shared" si="33"/>
        <v>DOWN</v>
      </c>
      <c r="BC62" s="11" t="str">
        <f t="shared" si="34"/>
        <v>DOWN</v>
      </c>
      <c r="BD62" s="6" t="str">
        <f t="shared" si="35"/>
        <v>NEGATIVE</v>
      </c>
      <c r="BE62" s="12" cm="1">
        <f t="array" ref="BE62">_xll.BDP($B62, "INTERVAL_RSI", "TECH_STUDIES_PARAM1_OVERRIDE", "5", "PERIODICITY_OVERRIDE", "W")</f>
        <v>43.372297738212339</v>
      </c>
      <c r="BF62" cm="1">
        <f t="array" ref="BF62">IFERROR(VALUE(_xll.BDP($B62,"INTERVAL_MAE_MOV_AVG","CALC_INTERVAL","520D","TECH_STUDIES_PARAM1_OVERRIDE",31,"USE_PREVIOUS_BUSINESS_DAY","N")),"")</f>
        <v>2106.1048404422882</v>
      </c>
      <c r="BG62" cm="1">
        <f t="array" ref="BG62">IFERROR(VALUE(_xll.BDP($B62,"INTERVAL_MAE_MOV_AVG","CALC_INTERVAL","760D","TECH_STUDIES_PARAM1_OVERRIDE",200,"USE_PREVIOUS_BUSINESS_DAY","N")),"")</f>
        <v>2279.2393002685549</v>
      </c>
      <c r="BH62" s="13">
        <f t="shared" si="36"/>
        <v>-4.1747608549165816E-2</v>
      </c>
      <c r="BI62" s="13">
        <f t="shared" si="37"/>
        <v>-2.7254308688659856E-2</v>
      </c>
      <c r="BJ62" s="13">
        <f t="shared" si="38"/>
        <v>-0.1145379075544174</v>
      </c>
      <c r="BK62" s="32" cm="1">
        <f t="array" ref="BK62">VALUE(_xll.BDP($B62,"INTERVAL_DATE_OF_CALC_HI","CALC_INTERVAL","3M"))</f>
        <v>46049</v>
      </c>
      <c r="BL62" s="32" cm="1">
        <f t="array" ref="BL62">VALUE(_xll.BDP($B62,"INTERVAL_DATE_OF_CALC_LO","CALC_INTERVAL","3M"))</f>
        <v>45981</v>
      </c>
      <c r="BM62" s="32" cm="1">
        <f t="array" ref="BM62">VALUE(_xll.BDP($B62,"INTERVAL_DATE_OF_CALC_HI","CALC_INTERVAL","1M"))</f>
        <v>46049</v>
      </c>
      <c r="BN62" s="32" cm="1">
        <f t="array" ref="BN62">VALUE(_xll.BDP($B62,"INTERVAL_DATE_OF_CALC_LO","CALC_INTERVAL","1M"))</f>
        <v>46059</v>
      </c>
      <c r="BO62" s="15">
        <f>IFERROR(VLOOKUP($F62,PIVOT!$A:$C,2,FALSE),0)</f>
        <v>0</v>
      </c>
      <c r="BP62" s="15">
        <f>IFERROR(VLOOKUP($F62,PIVOT!$A:$C,3,FALSE),0)</f>
        <v>0</v>
      </c>
      <c r="BQ62" s="15">
        <f t="shared" si="11"/>
        <v>42.796671068171591</v>
      </c>
    </row>
    <row r="63" spans="1:69" x14ac:dyDescent="0.25">
      <c r="A63">
        <v>62</v>
      </c>
      <c r="B63" t="s">
        <v>76</v>
      </c>
      <c r="J63" s="24"/>
      <c r="K63" s="15">
        <f>_xll.BDP($B63,"interval_rsi","tech_studies_param1_override",14)</f>
        <v>50.767179508632154</v>
      </c>
      <c r="L63" s="15">
        <f t="shared" si="0"/>
        <v>52.525531939815814</v>
      </c>
      <c r="M63">
        <f t="shared" si="12"/>
        <v>0</v>
      </c>
      <c r="N63" cm="1">
        <f t="array" ref="N63">IFERROR(VALUE(_xll.BDP($B63,"px_last")),"")</f>
        <v>668.69</v>
      </c>
      <c r="O63">
        <f t="shared" si="1"/>
        <v>6941.47</v>
      </c>
      <c r="P63" cm="1">
        <f t="array" ref="P63">IFERROR(VALUE(_xll.BDP($B63,"PX_YEST_CLOSE")),"")</f>
        <v>670.72</v>
      </c>
      <c r="Q63">
        <f t="shared" si="2"/>
        <v>6941.81</v>
      </c>
      <c r="R63">
        <f t="shared" si="13"/>
        <v>9.6332621188307377E-2</v>
      </c>
      <c r="S63">
        <f t="shared" si="14"/>
        <v>9.6620333889864463E-2</v>
      </c>
      <c r="T63" cm="1">
        <f t="array" ref="T63">IFERROR(VALUE(_xll.BDP($B63,"INTERVAL_MAE_MOV_AVG","CALC_INTERVAL","520D","TECH_STUDIES_PARAM1_OVERRIDE",50,"USE_PREVIOUS_BUSINESS_DAY","N")),"")</f>
        <v>658.0483064438281</v>
      </c>
      <c r="U63">
        <f t="shared" si="3"/>
        <v>6894.0953999999992</v>
      </c>
      <c r="V63" cm="1">
        <f t="array" ref="V63">IFERROR(VALUE(_xll.BDP($B63,"INTERVAL_MAE_MOV_AVG","CALC_INTERVAL","520D","TECH_STUDIES_PARAM1_OVERRIDE",50,"USE_PREVIOUS_BUSINESS_DAY","Y")),"")</f>
        <v>657.62294481000004</v>
      </c>
      <c r="W63">
        <f t="shared" si="4"/>
        <v>6892.2477999999992</v>
      </c>
      <c r="X63">
        <f t="shared" si="15"/>
        <v>9.5451000931003671E-2</v>
      </c>
      <c r="Y63">
        <f t="shared" si="16"/>
        <v>9.5414872461492189E-2</v>
      </c>
      <c r="Z63" s="11" t="str">
        <f t="shared" si="17"/>
        <v>NEGATIVE</v>
      </c>
      <c r="AA63" s="11" t="str">
        <f t="shared" si="18"/>
        <v/>
      </c>
      <c r="AB63" s="11" t="str">
        <f t="shared" si="19"/>
        <v>UP</v>
      </c>
      <c r="AC63" s="6" t="str">
        <f t="shared" si="20"/>
        <v>POSITIVE</v>
      </c>
      <c r="AD63" cm="1">
        <f t="array" ref="AD63">IFERROR(VALUE(_xll.BDP($B63,"INTERVAL_MAE_MOV_AVG","CALC_INTERVAL","520D","TECH_STUDIES_PARAM1_OVERRIDE",65,"USE_PREVIOUS_BUSINESS_DAY","N")),"")</f>
        <v>647.81640918140636</v>
      </c>
      <c r="AE63">
        <f t="shared" si="5"/>
        <v>6856.0226153846133</v>
      </c>
      <c r="AF63" cm="1">
        <f t="array" ref="AF63">IFERROR(VALUE(_xll.BDP($B63,"INTERVAL_MAE_MOV_AVG","CALC_INTERVAL","520D","TECH_STUDIES_PARAM1_OVERRIDE",65,"USE_PREVIOUS_BUSINESS_DAY","Y")),"")</f>
        <v>647.04326397307716</v>
      </c>
      <c r="AG63">
        <f t="shared" si="6"/>
        <v>6852.6203076923057</v>
      </c>
      <c r="AH63">
        <f t="shared" si="21"/>
        <v>9.4488662818546551E-2</v>
      </c>
      <c r="AI63">
        <f t="shared" si="22"/>
        <v>9.4422751432287663E-2</v>
      </c>
      <c r="AJ63" s="10" t="str">
        <f t="shared" si="23"/>
        <v>UP</v>
      </c>
      <c r="AK63" s="10" t="str">
        <f t="shared" si="24"/>
        <v>UP</v>
      </c>
      <c r="AL63" s="6" t="str">
        <f t="shared" si="25"/>
        <v>POSITIVE</v>
      </c>
      <c r="AM63" cm="1">
        <f t="array" ref="AM63">IFERROR(VALUE(_xll.BDP($B63,"INTERVAL_MAE_MOV_AVG","CALC_INTERVAL","65W","PERIODICITY_OVERRIDE","W","TECH_STUDIES_PARAM1_OVERRIDE",39,"USE_PREVIOUS_BUSINESS_DAY","N")),"")</f>
        <v>691.96201831264852</v>
      </c>
      <c r="AN63">
        <f t="shared" si="7"/>
        <v>6560.7735897435905</v>
      </c>
      <c r="AO63" cm="1">
        <f t="array" ref="AO63">IFERROR(VALUE(_xll.BDP($B63,"INTERVAL_MAE_MOV_AVG","CALC_INTERVAL","65W","PERIODICITY_OVERRIDE","W","TECH_STUDIES_PARAM1_OVERRIDE",39,"USE_PREVIOUS_BUSINESS_DAY","Y")),"")</f>
        <v>692.01406953209971</v>
      </c>
      <c r="AP63">
        <f t="shared" si="8"/>
        <v>6560.7823076923087</v>
      </c>
      <c r="AQ63">
        <f t="shared" si="26"/>
        <v>0.10546957745872952</v>
      </c>
      <c r="AR63">
        <f t="shared" si="27"/>
        <v>0.10547737100204273</v>
      </c>
      <c r="AS63" s="10" t="str">
        <f t="shared" si="28"/>
        <v>DOWN</v>
      </c>
      <c r="AT63" s="10" t="str">
        <f t="shared" si="29"/>
        <v>DOWN</v>
      </c>
      <c r="AU63" s="6" t="str">
        <f t="shared" si="30"/>
        <v>NEGATIVE</v>
      </c>
      <c r="AV63" cm="1">
        <f t="array" ref="AV63">IFERROR(VALUE(_xll.BDP($B63,"INTERVAL_exp_MOV_AVG","CALC_INTERVAL","520D","TECH_STUDIES_PARAM1_OVERRIDE",100,"USE_PREVIOUS_BUSINESS_DAY","N")),"")</f>
        <v>669.47874363683911</v>
      </c>
      <c r="AW63">
        <f t="shared" si="9"/>
        <v>6773.0064518682802</v>
      </c>
      <c r="AX63" cm="1">
        <f t="array" ref="AX63">IFERROR(VALUE(_xll.BDP($B63,"INTERVAL_exp_MOV_AVG","CALC_INTERVAL","520D","TECH_STUDIES_PARAM1_OVERRIDE",100,"USE_PREVIOUS_BUSINESS_DAY","Y")),"")</f>
        <v>669.49464975509204</v>
      </c>
      <c r="AY63">
        <f t="shared" si="10"/>
        <v>6769.6039787132295</v>
      </c>
      <c r="AZ63">
        <f t="shared" si="31"/>
        <v>9.8845135966490735E-2</v>
      </c>
      <c r="BA63">
        <f t="shared" si="32"/>
        <v>9.8897166194698141E-2</v>
      </c>
      <c r="BB63" s="11" t="str">
        <f t="shared" si="33"/>
        <v>DOWN</v>
      </c>
      <c r="BC63" s="11" t="str">
        <f t="shared" si="34"/>
        <v>DOWN</v>
      </c>
      <c r="BD63" s="6" t="str">
        <f t="shared" si="35"/>
        <v>NEGATIVE</v>
      </c>
      <c r="BE63" s="12" cm="1">
        <f t="array" ref="BE63">_xll.BDP($B63, "INTERVAL_RSI", "TECH_STUDIES_PARAM1_OVERRIDE", "5", "PERIODICITY_OVERRIDE", "W")</f>
        <v>51.677502129403564</v>
      </c>
      <c r="BF63" cm="1">
        <f t="array" ref="BF63">IFERROR(VALUE(_xll.BDP($B63,"INTERVAL_MAE_MOV_AVG","CALC_INTERVAL","520D","TECH_STUDIES_PARAM1_OVERRIDE",31,"USE_PREVIOUS_BUSINESS_DAY","N")),"")</f>
        <v>659.34612911101294</v>
      </c>
      <c r="BG63" cm="1">
        <f t="array" ref="BG63">IFERROR(VALUE(_xll.BDP($B63,"INTERVAL_MAE_MOV_AVG","CALC_INTERVAL","760D","TECH_STUDIES_PARAM1_OVERRIDE",200,"USE_PREVIOUS_BUSINESS_DAY","N")),"")</f>
        <v>687.15470341222988</v>
      </c>
      <c r="BH63" s="13">
        <f t="shared" si="36"/>
        <v>1.417141995143778E-2</v>
      </c>
      <c r="BI63" s="13">
        <f t="shared" si="37"/>
        <v>1.6171599336956E-2</v>
      </c>
      <c r="BJ63" s="13">
        <f t="shared" si="38"/>
        <v>-2.6871246490111966E-2</v>
      </c>
      <c r="BK63" s="32" cm="1">
        <f t="array" ref="BK63">VALUE(_xll.BDP($B63,"INTERVAL_DATE_OF_CALC_HI","CALC_INTERVAL","3M"))</f>
        <v>46051</v>
      </c>
      <c r="BL63" s="32" cm="1">
        <f t="array" ref="BL63">VALUE(_xll.BDP($B63,"INTERVAL_DATE_OF_CALC_LO","CALC_INTERVAL","3M"))</f>
        <v>45981</v>
      </c>
      <c r="BM63" s="32" cm="1">
        <f t="array" ref="BM63">VALUE(_xll.BDP($B63,"INTERVAL_DATE_OF_CALC_HI","CALC_INTERVAL","1M"))</f>
        <v>46051</v>
      </c>
      <c r="BN63" s="32" cm="1">
        <f t="array" ref="BN63">VALUE(_xll.BDP($B63,"INTERVAL_DATE_OF_CALC_LO","CALC_INTERVAL","1M"))</f>
        <v>46042</v>
      </c>
      <c r="BO63" s="15">
        <f>IFERROR(VLOOKUP($F63,PIVOT!$A:$C,2,FALSE),0)</f>
        <v>0</v>
      </c>
      <c r="BP63" s="15">
        <f>IFERROR(VLOOKUP($F63,PIVOT!$A:$C,3,FALSE),0)</f>
        <v>0</v>
      </c>
      <c r="BQ63" s="15">
        <f t="shared" si="11"/>
        <v>50.767179508632154</v>
      </c>
    </row>
    <row r="64" spans="1:69" x14ac:dyDescent="0.25">
      <c r="A64">
        <v>63</v>
      </c>
      <c r="B64" t="s">
        <v>77</v>
      </c>
      <c r="J64" s="24"/>
      <c r="K64" s="15">
        <f>_xll.BDP($B64,"interval_rsi","tech_studies_param1_override",14)</f>
        <v>55.333635688672842</v>
      </c>
      <c r="L64" s="15">
        <f t="shared" si="0"/>
        <v>52.525531939815814</v>
      </c>
      <c r="M64">
        <f t="shared" si="12"/>
        <v>0</v>
      </c>
      <c r="N64" cm="1">
        <f t="array" ref="N64">IFERROR(VALUE(_xll.BDP($B64,"px_last")),"")</f>
        <v>80.790000000000006</v>
      </c>
      <c r="O64">
        <f t="shared" si="1"/>
        <v>6941.47</v>
      </c>
      <c r="P64" cm="1">
        <f t="array" ref="P64">IFERROR(VALUE(_xll.BDP($B64,"PX_YEST_CLOSE")),"")</f>
        <v>80.17</v>
      </c>
      <c r="Q64">
        <f t="shared" si="2"/>
        <v>6941.81</v>
      </c>
      <c r="R64">
        <f t="shared" si="13"/>
        <v>1.1638745107304361E-2</v>
      </c>
      <c r="S64">
        <f t="shared" si="14"/>
        <v>1.1548861175975717E-2</v>
      </c>
      <c r="T64" cm="1">
        <f t="array" ref="T64">IFERROR(VALUE(_xll.BDP($B64,"INTERVAL_MAE_MOV_AVG","CALC_INTERVAL","520D","TECH_STUDIES_PARAM1_OVERRIDE",50,"USE_PREVIOUS_BUSINESS_DAY","N")),"")</f>
        <v>77.715600018310553</v>
      </c>
      <c r="U64">
        <f t="shared" si="3"/>
        <v>6894.0953999999992</v>
      </c>
      <c r="V64" cm="1">
        <f t="array" ref="V64">IFERROR(VALUE(_xll.BDP($B64,"INTERVAL_MAE_MOV_AVG","CALC_INTERVAL","520D","TECH_STUDIES_PARAM1_OVERRIDE",50,"USE_PREVIOUS_BUSINESS_DAY","Y")),"")</f>
        <v>77.599599999999995</v>
      </c>
      <c r="W64">
        <f t="shared" si="4"/>
        <v>6892.2477999999992</v>
      </c>
      <c r="X64">
        <f t="shared" si="15"/>
        <v>1.1272776993818588E-2</v>
      </c>
      <c r="Y64">
        <f t="shared" si="16"/>
        <v>1.1258968373133654E-2</v>
      </c>
      <c r="Z64" s="11" t="str">
        <f t="shared" si="17"/>
        <v>NEGATIVE</v>
      </c>
      <c r="AA64" s="11" t="str">
        <f t="shared" si="18"/>
        <v/>
      </c>
      <c r="AB64" s="11" t="str">
        <f t="shared" si="19"/>
        <v>UP</v>
      </c>
      <c r="AC64" s="6" t="str">
        <f t="shared" si="20"/>
        <v>POSITIVE</v>
      </c>
      <c r="AD64" cm="1">
        <f t="array" ref="AD64">IFERROR(VALUE(_xll.BDP($B64,"INTERVAL_MAE_MOV_AVG","CALC_INTERVAL","520D","TECH_STUDIES_PARAM1_OVERRIDE",65,"USE_PREVIOUS_BUSINESS_DAY","N")),"")</f>
        <v>76.457076937161943</v>
      </c>
      <c r="AE64">
        <f t="shared" si="5"/>
        <v>6856.0226153846133</v>
      </c>
      <c r="AF64" cm="1">
        <f t="array" ref="AF64">IFERROR(VALUE(_xll.BDP($B64,"INTERVAL_MAE_MOV_AVG","CALC_INTERVAL","520D","TECH_STUDIES_PARAM1_OVERRIDE",65,"USE_PREVIOUS_BUSINESS_DAY","Y")),"")</f>
        <v>76.234307692307695</v>
      </c>
      <c r="AG64">
        <f t="shared" si="6"/>
        <v>6852.6203076923057</v>
      </c>
      <c r="AH64">
        <f t="shared" si="21"/>
        <v>1.1151812242508597E-2</v>
      </c>
      <c r="AI64">
        <f t="shared" si="22"/>
        <v>1.1124840465293549E-2</v>
      </c>
      <c r="AJ64" s="10" t="str">
        <f t="shared" si="23"/>
        <v>UP</v>
      </c>
      <c r="AK64" s="10" t="str">
        <f t="shared" si="24"/>
        <v>UP</v>
      </c>
      <c r="AL64" s="6" t="str">
        <f t="shared" si="25"/>
        <v>POSITIVE</v>
      </c>
      <c r="AM64" cm="1">
        <f t="array" ref="AM64">IFERROR(VALUE(_xll.BDP($B64,"INTERVAL_MAE_MOV_AVG","CALC_INTERVAL","65W","PERIODICITY_OVERRIDE","W","TECH_STUDIES_PARAM1_OVERRIDE",39,"USE_PREVIOUS_BUSINESS_DAY","N")),"")</f>
        <v>68.743846177321203</v>
      </c>
      <c r="AN64">
        <f t="shared" si="7"/>
        <v>6560.7735897435905</v>
      </c>
      <c r="AO64" cm="1">
        <f t="array" ref="AO64">IFERROR(VALUE(_xll.BDP($B64,"INTERVAL_MAE_MOV_AVG","CALC_INTERVAL","65W","PERIODICITY_OVERRIDE","W","TECH_STUDIES_PARAM1_OVERRIDE",39,"USE_PREVIOUS_BUSINESS_DAY","Y")),"")</f>
        <v>68.727948717948706</v>
      </c>
      <c r="AP64">
        <f t="shared" si="8"/>
        <v>6560.7823076923087</v>
      </c>
      <c r="AQ64">
        <f t="shared" si="26"/>
        <v>1.0478009222081365E-2</v>
      </c>
      <c r="AR64">
        <f t="shared" si="27"/>
        <v>1.0475572194701136E-2</v>
      </c>
      <c r="AS64" s="10" t="str">
        <f t="shared" si="28"/>
        <v>UP</v>
      </c>
      <c r="AT64" s="10" t="str">
        <f t="shared" si="29"/>
        <v>UP</v>
      </c>
      <c r="AU64" s="6" t="str">
        <f t="shared" si="30"/>
        <v>POSITIVE</v>
      </c>
      <c r="AV64" cm="1">
        <f t="array" ref="AV64">IFERROR(VALUE(_xll.BDP($B64,"INTERVAL_exp_MOV_AVG","CALC_INTERVAL","520D","TECH_STUDIES_PARAM1_OVERRIDE",100,"USE_PREVIOUS_BUSINESS_DAY","N")),"")</f>
        <v>74.105995831192672</v>
      </c>
      <c r="AW64">
        <f t="shared" si="9"/>
        <v>6773.0064518682802</v>
      </c>
      <c r="AX64" cm="1">
        <f t="array" ref="AX64">IFERROR(VALUE(_xll.BDP($B64,"INTERVAL_exp_MOV_AVG","CALC_INTERVAL","520D","TECH_STUDIES_PARAM1_OVERRIDE",100,"USE_PREVIOUS_BUSINESS_DAY","Y")),"")</f>
        <v>73.970998324158444</v>
      </c>
      <c r="AY64">
        <f t="shared" si="10"/>
        <v>6769.6039787132295</v>
      </c>
      <c r="AZ64">
        <f t="shared" si="31"/>
        <v>1.0941373872566018E-2</v>
      </c>
      <c r="BA64">
        <f t="shared" si="32"/>
        <v>1.092693140643936E-2</v>
      </c>
      <c r="BB64" s="11" t="str">
        <f t="shared" si="33"/>
        <v>UP</v>
      </c>
      <c r="BC64" s="11" t="str">
        <f t="shared" si="34"/>
        <v>UP</v>
      </c>
      <c r="BD64" s="6" t="str">
        <f t="shared" si="35"/>
        <v>POSITIVE</v>
      </c>
      <c r="BE64" s="12" cm="1">
        <f t="array" ref="BE64">_xll.BDP($B64, "INTERVAL_RSI", "TECH_STUDIES_PARAM1_OVERRIDE", "5", "PERIODICITY_OVERRIDE", "W")</f>
        <v>63.390549762767264</v>
      </c>
      <c r="BF64" cm="1">
        <f t="array" ref="BF64">IFERROR(VALUE(_xll.BDP($B64,"INTERVAL_MAE_MOV_AVG","CALC_INTERVAL","520D","TECH_STUDIES_PARAM1_OVERRIDE",31,"USE_PREVIOUS_BUSINESS_DAY","N")),"")</f>
        <v>79.354838739210564</v>
      </c>
      <c r="BG64" cm="1">
        <f t="array" ref="BG64">IFERROR(VALUE(_xll.BDP($B64,"INTERVAL_MAE_MOV_AVG","CALC_INTERVAL","760D","TECH_STUDIES_PARAM1_OVERRIDE",200,"USE_PREVIOUS_BUSINESS_DAY","N")),"")</f>
        <v>67.743300004577662</v>
      </c>
      <c r="BH64" s="13">
        <f t="shared" si="36"/>
        <v>1.8085365474762138E-2</v>
      </c>
      <c r="BI64" s="13">
        <f t="shared" si="37"/>
        <v>3.9559624849645258E-2</v>
      </c>
      <c r="BJ64" s="13">
        <f t="shared" si="38"/>
        <v>0.19259026345838959</v>
      </c>
      <c r="BK64" s="32" cm="1">
        <f t="array" ref="BK64">VALUE(_xll.BDP($B64,"INTERVAL_DATE_OF_CALC_HI","CALC_INTERVAL","3M"))</f>
        <v>46059</v>
      </c>
      <c r="BL64" s="32" cm="1">
        <f t="array" ref="BL64">VALUE(_xll.BDP($B64,"INTERVAL_DATE_OF_CALC_LO","CALC_INTERVAL","3M"))</f>
        <v>45973</v>
      </c>
      <c r="BM64" s="32" cm="1">
        <f t="array" ref="BM64">VALUE(_xll.BDP($B64,"INTERVAL_DATE_OF_CALC_HI","CALC_INTERVAL","1M"))</f>
        <v>46059</v>
      </c>
      <c r="BN64" s="32" cm="1">
        <f t="array" ref="BN64">VALUE(_xll.BDP($B64,"INTERVAL_DATE_OF_CALC_LO","CALC_INTERVAL","1M"))</f>
        <v>46034</v>
      </c>
      <c r="BO64" s="15">
        <f>IFERROR(VLOOKUP($F64,PIVOT!$A:$C,2,FALSE),0)</f>
        <v>0</v>
      </c>
      <c r="BP64" s="15">
        <f>IFERROR(VLOOKUP($F64,PIVOT!$A:$C,3,FALSE),0)</f>
        <v>0</v>
      </c>
      <c r="BQ64" s="15">
        <f t="shared" si="11"/>
        <v>55.333635688672842</v>
      </c>
    </row>
    <row r="65" spans="1:69" x14ac:dyDescent="0.25">
      <c r="A65">
        <v>64</v>
      </c>
      <c r="B65" t="s">
        <v>78</v>
      </c>
      <c r="J65" s="24"/>
      <c r="K65" s="15">
        <f>_xll.BDP($B65,"interval_rsi","tech_studies_param1_override",14)</f>
        <v>62.290256546001473</v>
      </c>
      <c r="L65" s="15">
        <f t="shared" si="0"/>
        <v>52.525531939815814</v>
      </c>
      <c r="M65">
        <f t="shared" si="12"/>
        <v>0</v>
      </c>
      <c r="N65" cm="1">
        <f t="array" ref="N65">IFERROR(VALUE(_xll.BDP($B65,"px_last")),"")</f>
        <v>1196.73</v>
      </c>
      <c r="O65">
        <f t="shared" si="1"/>
        <v>6941.47</v>
      </c>
      <c r="P65" cm="1">
        <f t="array" ref="P65">IFERROR(VALUE(_xll.BDP($B65,"PX_YEST_CLOSE")),"")</f>
        <v>1142.02</v>
      </c>
      <c r="Q65">
        <f t="shared" si="2"/>
        <v>6941.81</v>
      </c>
      <c r="R65">
        <f t="shared" si="13"/>
        <v>0.17240296363738516</v>
      </c>
      <c r="S65">
        <f t="shared" si="14"/>
        <v>0.16451328976160395</v>
      </c>
      <c r="T65" cm="1">
        <f t="array" ref="T65">IFERROR(VALUE(_xll.BDP($B65,"INTERVAL_MAE_MOV_AVG","CALC_INTERVAL","520D","TECH_STUDIES_PARAM1_OVERRIDE",50,"USE_PREVIOUS_BUSINESS_DAY","N")),"")</f>
        <v>1016.8284650037752</v>
      </c>
      <c r="U65">
        <f t="shared" si="3"/>
        <v>6894.0953999999992</v>
      </c>
      <c r="V65" cm="1">
        <f t="array" ref="V65">IFERROR(VALUE(_xll.BDP($B65,"INTERVAL_MAE_MOV_AVG","CALC_INTERVAL","520D","TECH_STUDIES_PARAM1_OVERRIDE",50,"USE_PREVIOUS_BUSINESS_DAY","Y")),"")</f>
        <v>1011.4259303752003</v>
      </c>
      <c r="W65">
        <f t="shared" si="4"/>
        <v>6892.2477999999992</v>
      </c>
      <c r="X65">
        <f t="shared" si="15"/>
        <v>0.14749265944358347</v>
      </c>
      <c r="Y65">
        <f t="shared" si="16"/>
        <v>0.14674834099482037</v>
      </c>
      <c r="Z65" s="11" t="str">
        <f t="shared" si="17"/>
        <v>NEGATIVE</v>
      </c>
      <c r="AA65" s="11" t="str">
        <f t="shared" si="18"/>
        <v/>
      </c>
      <c r="AB65" s="11" t="str">
        <f t="shared" si="19"/>
        <v>UP</v>
      </c>
      <c r="AC65" s="6" t="str">
        <f t="shared" si="20"/>
        <v>POSITIVE</v>
      </c>
      <c r="AD65" cm="1">
        <f t="array" ref="AD65">IFERROR(VALUE(_xll.BDP($B65,"INTERVAL_MAE_MOV_AVG","CALC_INTERVAL","520D","TECH_STUDIES_PARAM1_OVERRIDE",65,"USE_PREVIOUS_BUSINESS_DAY","N")),"")</f>
        <v>992.8191135512119</v>
      </c>
      <c r="AE65">
        <f t="shared" si="5"/>
        <v>6856.0226153846133</v>
      </c>
      <c r="AF65" cm="1">
        <f t="array" ref="AF65">IFERROR(VALUE(_xll.BDP($B65,"INTERVAL_MAE_MOV_AVG","CALC_INTERVAL","520D","TECH_STUDIES_PARAM1_OVERRIDE",65,"USE_PREVIOUS_BUSINESS_DAY","Y")),"")</f>
        <v>989.12254120307728</v>
      </c>
      <c r="AG65">
        <f t="shared" si="6"/>
        <v>6852.6203076923057</v>
      </c>
      <c r="AH65">
        <f t="shared" si="21"/>
        <v>0.14480977809544698</v>
      </c>
      <c r="AI65">
        <f t="shared" si="22"/>
        <v>0.14434223651538852</v>
      </c>
      <c r="AJ65" s="10" t="str">
        <f t="shared" si="23"/>
        <v>UP</v>
      </c>
      <c r="AK65" s="10" t="str">
        <f t="shared" si="24"/>
        <v>UP</v>
      </c>
      <c r="AL65" s="6" t="str">
        <f t="shared" si="25"/>
        <v>POSITIVE</v>
      </c>
      <c r="AM65" cm="1">
        <f t="array" ref="AM65">IFERROR(VALUE(_xll.BDP($B65,"INTERVAL_MAE_MOV_AVG","CALC_INTERVAL","65W","PERIODICITY_OVERRIDE","W","TECH_STUDIES_PARAM1_OVERRIDE",39,"USE_PREVIOUS_BUSINESS_DAY","N")),"")</f>
        <v>884.19663550918256</v>
      </c>
      <c r="AN65">
        <f t="shared" si="7"/>
        <v>6560.7735897435905</v>
      </c>
      <c r="AO65" cm="1">
        <f t="array" ref="AO65">IFERROR(VALUE(_xll.BDP($B65,"INTERVAL_MAE_MOV_AVG","CALC_INTERVAL","65W","PERIODICITY_OVERRIDE","W","TECH_STUDIES_PARAM1_OVERRIDE",39,"USE_PREVIOUS_BUSINESS_DAY","Y")),"")</f>
        <v>882.79381549716322</v>
      </c>
      <c r="AP65">
        <f t="shared" si="8"/>
        <v>6560.7823076923087</v>
      </c>
      <c r="AQ65">
        <f t="shared" si="26"/>
        <v>0.13477017967689675</v>
      </c>
      <c r="AR65">
        <f t="shared" si="27"/>
        <v>0.13455618157946128</v>
      </c>
      <c r="AS65" s="10" t="str">
        <f t="shared" si="28"/>
        <v>UP</v>
      </c>
      <c r="AT65" s="10" t="str">
        <f t="shared" si="29"/>
        <v>UP</v>
      </c>
      <c r="AU65" s="6" t="str">
        <f t="shared" si="30"/>
        <v>POSITIVE</v>
      </c>
      <c r="AV65" cm="1">
        <f t="array" ref="AV65">IFERROR(VALUE(_xll.BDP($B65,"INTERVAL_exp_MOV_AVG","CALC_INTERVAL","520D","TECH_STUDIES_PARAM1_OVERRIDE",100,"USE_PREVIOUS_BUSINESS_DAY","N")),"")</f>
        <v>982.90570675271101</v>
      </c>
      <c r="AW65">
        <f t="shared" si="9"/>
        <v>6773.0064518682802</v>
      </c>
      <c r="AX65" cm="1">
        <f t="array" ref="AX65">IFERROR(VALUE(_xll.BDP($B65,"INTERVAL_exp_MOV_AVG","CALC_INTERVAL","520D","TECH_STUDIES_PARAM1_OVERRIDE",100,"USE_PREVIOUS_BUSINESS_DAY","Y")),"")</f>
        <v>978.58639314235199</v>
      </c>
      <c r="AY65">
        <f t="shared" si="10"/>
        <v>6769.6039787132295</v>
      </c>
      <c r="AZ65">
        <f t="shared" si="31"/>
        <v>0.14512103505845389</v>
      </c>
      <c r="BA65">
        <f t="shared" si="32"/>
        <v>0.14455592915323864</v>
      </c>
      <c r="BB65" s="11" t="str">
        <f t="shared" si="33"/>
        <v>UP</v>
      </c>
      <c r="BC65" s="11" t="str">
        <f t="shared" si="34"/>
        <v>UP</v>
      </c>
      <c r="BD65" s="6" t="str">
        <f t="shared" si="35"/>
        <v>POSITIVE</v>
      </c>
      <c r="BE65" s="12" cm="1">
        <f t="array" ref="BE65">_xll.BDP($B65, "INTERVAL_RSI", "TECH_STUDIES_PARAM1_OVERRIDE", "5", "PERIODICITY_OVERRIDE", "W")</f>
        <v>79.461298405663811</v>
      </c>
      <c r="BF65" cm="1">
        <f t="array" ref="BF65">IFERROR(VALUE(_xll.BDP($B65,"INTERVAL_MAE_MOV_AVG","CALC_INTERVAL","520D","TECH_STUDIES_PARAM1_OVERRIDE",31,"USE_PREVIOUS_BUSINESS_DAY","N")),"")</f>
        <v>1057.9338875118951</v>
      </c>
      <c r="BG65" cm="1">
        <f t="array" ref="BG65">IFERROR(VALUE(_xll.BDP($B65,"INTERVAL_MAE_MOV_AVG","CALC_INTERVAL","760D","TECH_STUDIES_PARAM1_OVERRIDE",200,"USE_PREVIOUS_BUSINESS_DAY","N")),"")</f>
        <v>865.26366519478893</v>
      </c>
      <c r="BH65" s="13">
        <f t="shared" si="36"/>
        <v>0.13119545004322797</v>
      </c>
      <c r="BI65" s="13">
        <f t="shared" si="37"/>
        <v>0.1769241727468327</v>
      </c>
      <c r="BJ65" s="13">
        <f t="shared" si="38"/>
        <v>0.38308130589372569</v>
      </c>
      <c r="BK65" s="32" cm="1">
        <f t="array" ref="BK65">VALUE(_xll.BDP($B65,"INTERVAL_DATE_OF_CALC_HI","CALC_INTERVAL","3M"))</f>
        <v>46059</v>
      </c>
      <c r="BL65" s="32" cm="1">
        <f t="array" ref="BL65">VALUE(_xll.BDP($B65,"INTERVAL_DATE_OF_CALC_LO","CALC_INTERVAL","3M"))</f>
        <v>45979</v>
      </c>
      <c r="BM65" s="32" cm="1">
        <f t="array" ref="BM65">VALUE(_xll.BDP($B65,"INTERVAL_DATE_OF_CALC_HI","CALC_INTERVAL","1M"))</f>
        <v>46059</v>
      </c>
      <c r="BN65" s="32" cm="1">
        <f t="array" ref="BN65">VALUE(_xll.BDP($B65,"INTERVAL_DATE_OF_CALC_LO","CALC_INTERVAL","1M"))</f>
        <v>46034</v>
      </c>
      <c r="BO65" s="15">
        <f>IFERROR(VLOOKUP($F65,PIVOT!$A:$C,2,FALSE),0)</f>
        <v>0</v>
      </c>
      <c r="BP65" s="15">
        <f>IFERROR(VLOOKUP($F65,PIVOT!$A:$C,3,FALSE),0)</f>
        <v>0</v>
      </c>
      <c r="BQ65" s="15">
        <f t="shared" si="11"/>
        <v>62.290256546001473</v>
      </c>
    </row>
    <row r="66" spans="1:69" x14ac:dyDescent="0.25">
      <c r="A66">
        <v>65</v>
      </c>
      <c r="B66" t="s">
        <v>79</v>
      </c>
      <c r="J66" s="24"/>
      <c r="K66" s="15">
        <f>_xll.BDP($B66,"interval_rsi","tech_studies_param1_override",14)</f>
        <v>50.002886258241411</v>
      </c>
      <c r="L66" s="15">
        <f t="shared" si="0"/>
        <v>52.525531939815814</v>
      </c>
      <c r="M66">
        <f t="shared" si="12"/>
        <v>0</v>
      </c>
      <c r="N66" cm="1">
        <f t="array" ref="N66">IFERROR(VALUE(_xll.BDP($B66,"px_last")),"")</f>
        <v>81.34</v>
      </c>
      <c r="O66">
        <f t="shared" si="1"/>
        <v>6941.47</v>
      </c>
      <c r="P66" cm="1">
        <f t="array" ref="P66">IFERROR(VALUE(_xll.BDP($B66,"PX_YEST_CLOSE")),"")</f>
        <v>82.01</v>
      </c>
      <c r="Q66">
        <f t="shared" si="2"/>
        <v>6941.81</v>
      </c>
      <c r="R66">
        <f t="shared" si="13"/>
        <v>1.1717979044784462E-2</v>
      </c>
      <c r="S66">
        <f t="shared" si="14"/>
        <v>1.1813921729347246E-2</v>
      </c>
      <c r="T66" cm="1">
        <f t="array" ref="T66">IFERROR(VALUE(_xll.BDP($B66,"INTERVAL_MAE_MOV_AVG","CALC_INTERVAL","520D","TECH_STUDIES_PARAM1_OVERRIDE",50,"USE_PREVIOUS_BUSINESS_DAY","N")),"")</f>
        <v>84.754591331857796</v>
      </c>
      <c r="U66">
        <f t="shared" si="3"/>
        <v>6894.0953999999992</v>
      </c>
      <c r="V66" cm="1">
        <f t="array" ref="V66">IFERROR(VALUE(_xll.BDP($B66,"INTERVAL_MAE_MOV_AVG","CALC_INTERVAL","520D","TECH_STUDIES_PARAM1_OVERRIDE",50,"USE_PREVIOUS_BUSINESS_DAY","Y")),"")</f>
        <v>84.914505833099994</v>
      </c>
      <c r="W66">
        <f t="shared" si="4"/>
        <v>6892.2477999999992</v>
      </c>
      <c r="X66">
        <f t="shared" si="15"/>
        <v>1.2293794386984811E-2</v>
      </c>
      <c r="Y66">
        <f t="shared" si="16"/>
        <v>1.2320292058143934E-2</v>
      </c>
      <c r="Z66" s="11" t="str">
        <f t="shared" si="17"/>
        <v>NEGATIVE</v>
      </c>
      <c r="AA66" s="11" t="str">
        <f t="shared" si="18"/>
        <v/>
      </c>
      <c r="AB66" s="11" t="str">
        <f t="shared" si="19"/>
        <v>DOWN</v>
      </c>
      <c r="AC66" s="6" t="str">
        <f t="shared" si="20"/>
        <v>NEGATIVE</v>
      </c>
      <c r="AD66" cm="1">
        <f t="array" ref="AD66">IFERROR(VALUE(_xll.BDP($B66,"INTERVAL_MAE_MOV_AVG","CALC_INTERVAL","520D","TECH_STUDIES_PARAM1_OVERRIDE",65,"USE_PREVIOUS_BUSINESS_DAY","N")),"")</f>
        <v>84.854002789121367</v>
      </c>
      <c r="AE66">
        <f t="shared" si="5"/>
        <v>6856.0226153846133</v>
      </c>
      <c r="AF66" cm="1">
        <f t="array" ref="AF66">IFERROR(VALUE(_xll.BDP($B66,"INTERVAL_MAE_MOV_AVG","CALC_INTERVAL","520D","TECH_STUDIES_PARAM1_OVERRIDE",65,"USE_PREVIOUS_BUSINESS_DAY","Y")),"")</f>
        <v>85.037432010538453</v>
      </c>
      <c r="AG66">
        <f t="shared" si="6"/>
        <v>6852.6203076923057</v>
      </c>
      <c r="AH66">
        <f t="shared" si="21"/>
        <v>1.2376564015222575E-2</v>
      </c>
      <c r="AI66">
        <f t="shared" si="22"/>
        <v>1.2409476695371692E-2</v>
      </c>
      <c r="AJ66" s="10" t="str">
        <f t="shared" si="23"/>
        <v>DOWN</v>
      </c>
      <c r="AK66" s="10" t="str">
        <f t="shared" si="24"/>
        <v>DOWN</v>
      </c>
      <c r="AL66" s="6" t="str">
        <f t="shared" si="25"/>
        <v>NEGATIVE</v>
      </c>
      <c r="AM66" cm="1">
        <f t="array" ref="AM66">IFERROR(VALUE(_xll.BDP($B66,"INTERVAL_MAE_MOV_AVG","CALC_INTERVAL","65W","PERIODICITY_OVERRIDE","W","TECH_STUDIES_PARAM1_OVERRIDE",39,"USE_PREVIOUS_BUSINESS_DAY","N")),"")</f>
        <v>78.514525819171709</v>
      </c>
      <c r="AN66">
        <f t="shared" si="7"/>
        <v>6560.7735897435905</v>
      </c>
      <c r="AO66" cm="1">
        <f t="array" ref="AO66">IFERROR(VALUE(_xll.BDP($B66,"INTERVAL_MAE_MOV_AVG","CALC_INTERVAL","65W","PERIODICITY_OVERRIDE","W","TECH_STUDIES_PARAM1_OVERRIDE",39,"USE_PREVIOUS_BUSINESS_DAY","Y")),"")</f>
        <v>78.53170540025144</v>
      </c>
      <c r="AP66">
        <f t="shared" si="8"/>
        <v>6560.7823076923087</v>
      </c>
      <c r="AQ66">
        <f t="shared" si="26"/>
        <v>1.1967266473257498E-2</v>
      </c>
      <c r="AR66">
        <f t="shared" si="27"/>
        <v>1.1969869097497034E-2</v>
      </c>
      <c r="AS66" s="10" t="str">
        <f t="shared" si="28"/>
        <v>DOWN</v>
      </c>
      <c r="AT66" s="10" t="str">
        <f t="shared" si="29"/>
        <v>DOWN</v>
      </c>
      <c r="AU66" s="6" t="str">
        <f t="shared" si="30"/>
        <v>NEGATIVE</v>
      </c>
      <c r="AV66" cm="1">
        <f t="array" ref="AV66">IFERROR(VALUE(_xll.BDP($B66,"INTERVAL_exp_MOV_AVG","CALC_INTERVAL","520D","TECH_STUDIES_PARAM1_OVERRIDE",100,"USE_PREVIOUS_BUSINESS_DAY","N")),"")</f>
        <v>82.529119018473821</v>
      </c>
      <c r="AW66">
        <f t="shared" si="9"/>
        <v>6773.0064518682802</v>
      </c>
      <c r="AX66" cm="1">
        <f t="array" ref="AX66">IFERROR(VALUE(_xll.BDP($B66,"INTERVAL_exp_MOV_AVG","CALC_INTERVAL","520D","TECH_STUDIES_PARAM1_OVERRIDE",100,"USE_PREVIOUS_BUSINESS_DAY","Y")),"")</f>
        <v>82.553146633340788</v>
      </c>
      <c r="AY66">
        <f t="shared" si="10"/>
        <v>6769.6039787132295</v>
      </c>
      <c r="AZ66">
        <f t="shared" si="31"/>
        <v>1.2185005226993223E-2</v>
      </c>
      <c r="BA66">
        <f t="shared" si="32"/>
        <v>1.2194678875297007E-2</v>
      </c>
      <c r="BB66" s="11" t="str">
        <f t="shared" si="33"/>
        <v>DOWN</v>
      </c>
      <c r="BC66" s="11" t="str">
        <f t="shared" si="34"/>
        <v>DOWN</v>
      </c>
      <c r="BD66" s="6" t="str">
        <f t="shared" si="35"/>
        <v>NEGATIVE</v>
      </c>
      <c r="BE66" s="12" cm="1">
        <f t="array" ref="BE66">_xll.BDP($B66, "INTERVAL_RSI", "TECH_STUDIES_PARAM1_OVERRIDE", "5", "PERIODICITY_OVERRIDE", "W")</f>
        <v>45.721976337780632</v>
      </c>
      <c r="BF66" cm="1">
        <f t="array" ref="BF66">IFERROR(VALUE(_xll.BDP($B66,"INTERVAL_MAE_MOV_AVG","CALC_INTERVAL","520D","TECH_STUDIES_PARAM1_OVERRIDE",31,"USE_PREVIOUS_BUSINESS_DAY","N")),"")</f>
        <v>82.146174612189995</v>
      </c>
      <c r="BG66" cm="1">
        <f t="array" ref="BG66">IFERROR(VALUE(_xll.BDP($B66,"INTERVAL_MAE_MOV_AVG","CALC_INTERVAL","760D","TECH_STUDIES_PARAM1_OVERRIDE",200,"USE_PREVIOUS_BUSINESS_DAY","N")),"")</f>
        <v>77.379519153699576</v>
      </c>
      <c r="BH66" s="13">
        <f t="shared" si="36"/>
        <v>-9.8139032766397793E-3</v>
      </c>
      <c r="BI66" s="13">
        <f t="shared" si="37"/>
        <v>-4.0287980606123264E-2</v>
      </c>
      <c r="BJ66" s="13">
        <f t="shared" si="38"/>
        <v>5.118254661719579E-2</v>
      </c>
      <c r="BK66" s="32" cm="1">
        <f t="array" ref="BK66">VALUE(_xll.BDP($B66,"INTERVAL_DATE_OF_CALC_HI","CALC_INTERVAL","3M"))</f>
        <v>45994</v>
      </c>
      <c r="BL66" s="32" cm="1">
        <f t="array" ref="BL66">VALUE(_xll.BDP($B66,"INTERVAL_DATE_OF_CALC_LO","CALC_INTERVAL","3M"))</f>
        <v>46057</v>
      </c>
      <c r="BM66" s="32" cm="1">
        <f t="array" ref="BM66">VALUE(_xll.BDP($B66,"INTERVAL_DATE_OF_CALC_HI","CALC_INTERVAL","1M"))</f>
        <v>46050</v>
      </c>
      <c r="BN66" s="32" cm="1">
        <f t="array" ref="BN66">VALUE(_xll.BDP($B66,"INTERVAL_DATE_OF_CALC_LO","CALC_INTERVAL","1M"))</f>
        <v>46057</v>
      </c>
      <c r="BO66" s="15">
        <f>IFERROR(VLOOKUP($F66,PIVOT!$A:$C,2,FALSE),0)</f>
        <v>0</v>
      </c>
      <c r="BP66" s="15">
        <f>IFERROR(VLOOKUP($F66,PIVOT!$A:$C,3,FALSE),0)</f>
        <v>0</v>
      </c>
      <c r="BQ66" s="15">
        <f t="shared" si="11"/>
        <v>50.002886258241411</v>
      </c>
    </row>
    <row r="67" spans="1:69" x14ac:dyDescent="0.25">
      <c r="A67">
        <v>66</v>
      </c>
      <c r="B67" t="s">
        <v>80</v>
      </c>
      <c r="J67" s="24"/>
      <c r="K67" s="15">
        <f>_xll.BDP($B67,"interval_rsi","tech_studies_param1_override",14)</f>
        <v>33.295567885041152</v>
      </c>
      <c r="L67" s="15">
        <f t="shared" si="0"/>
        <v>52.525531939815814</v>
      </c>
      <c r="M67">
        <f t="shared" si="12"/>
        <v>0</v>
      </c>
      <c r="N67" cm="1">
        <f t="array" ref="N67">IFERROR(VALUE(_xll.BDP($B67,"px_last")),"")</f>
        <v>404.37</v>
      </c>
      <c r="O67">
        <f t="shared" si="1"/>
        <v>6941.47</v>
      </c>
      <c r="P67" cm="1">
        <f t="array" ref="P67">IFERROR(VALUE(_xll.BDP($B67,"PX_YEST_CLOSE")),"")</f>
        <v>413.27</v>
      </c>
      <c r="Q67">
        <f t="shared" si="2"/>
        <v>6941.81</v>
      </c>
      <c r="R67">
        <f t="shared" si="13"/>
        <v>5.8254231452415699E-2</v>
      </c>
      <c r="S67">
        <f t="shared" si="14"/>
        <v>5.9533464615136394E-2</v>
      </c>
      <c r="T67" cm="1">
        <f t="array" ref="T67">IFERROR(VALUE(_xll.BDP($B67,"INTERVAL_MAE_MOV_AVG","CALC_INTERVAL","520D","TECH_STUDIES_PARAM1_OVERRIDE",50,"USE_PREVIOUS_BUSINESS_DAY","N")),"")</f>
        <v>464.41459990234375</v>
      </c>
      <c r="U67">
        <f t="shared" si="3"/>
        <v>6894.0953999999992</v>
      </c>
      <c r="V67" cm="1">
        <f t="array" ref="V67">IFERROR(VALUE(_xll.BDP($B67,"INTERVAL_MAE_MOV_AVG","CALC_INTERVAL","520D","TECH_STUDIES_PARAM1_OVERRIDE",50,"USE_PREVIOUS_BUSINESS_DAY","Y")),"")</f>
        <v>466.16740000000004</v>
      </c>
      <c r="W67">
        <f t="shared" si="4"/>
        <v>6892.2477999999992</v>
      </c>
      <c r="X67">
        <f t="shared" si="15"/>
        <v>6.7364109858755919E-2</v>
      </c>
      <c r="Y67">
        <f t="shared" si="16"/>
        <v>6.7636482832204622E-2</v>
      </c>
      <c r="Z67" s="11" t="str">
        <f t="shared" si="17"/>
        <v>NEGATIVE</v>
      </c>
      <c r="AA67" s="11" t="str">
        <f t="shared" si="18"/>
        <v/>
      </c>
      <c r="AB67" s="11" t="str">
        <f t="shared" si="19"/>
        <v>DOWN</v>
      </c>
      <c r="AC67" s="6" t="str">
        <f t="shared" si="20"/>
        <v>NEGATIVE</v>
      </c>
      <c r="AD67" cm="1">
        <f t="array" ref="AD67">IFERROR(VALUE(_xll.BDP($B67,"INTERVAL_MAE_MOV_AVG","CALC_INTERVAL","520D","TECH_STUDIES_PARAM1_OVERRIDE",65,"USE_PREVIOUS_BUSINESS_DAY","N")),"")</f>
        <v>471.0128955451874</v>
      </c>
      <c r="AE67">
        <f t="shared" si="5"/>
        <v>6856.0226153846133</v>
      </c>
      <c r="AF67" cm="1">
        <f t="array" ref="AF67">IFERROR(VALUE(_xll.BDP($B67,"INTERVAL_MAE_MOV_AVG","CALC_INTERVAL","520D","TECH_STUDIES_PARAM1_OVERRIDE",65,"USE_PREVIOUS_BUSINESS_DAY","Y")),"")</f>
        <v>472.42522511569229</v>
      </c>
      <c r="AG67">
        <f t="shared" si="6"/>
        <v>6852.6203076923057</v>
      </c>
      <c r="AH67">
        <f t="shared" si="21"/>
        <v>6.8700604121149658E-2</v>
      </c>
      <c r="AI67">
        <f t="shared" si="22"/>
        <v>6.8940814448070098E-2</v>
      </c>
      <c r="AJ67" s="10" t="str">
        <f t="shared" si="23"/>
        <v>DOWN</v>
      </c>
      <c r="AK67" s="10" t="str">
        <f t="shared" si="24"/>
        <v>DOWN</v>
      </c>
      <c r="AL67" s="6" t="str">
        <f t="shared" si="25"/>
        <v>NEGATIVE</v>
      </c>
      <c r="AM67" cm="1">
        <f t="array" ref="AM67">IFERROR(VALUE(_xll.BDP($B67,"INTERVAL_MAE_MOV_AVG","CALC_INTERVAL","65W","PERIODICITY_OVERRIDE","W","TECH_STUDIES_PARAM1_OVERRIDE",39,"USE_PREVIOUS_BUSINESS_DAY","N")),"")</f>
        <v>488.16271848419524</v>
      </c>
      <c r="AN67">
        <f t="shared" si="7"/>
        <v>6560.7735897435905</v>
      </c>
      <c r="AO67" cm="1">
        <f t="array" ref="AO67">IFERROR(VALUE(_xll.BDP($B67,"INTERVAL_MAE_MOV_AVG","CALC_INTERVAL","65W","PERIODICITY_OVERRIDE","W","TECH_STUDIES_PARAM1_OVERRIDE",39,"USE_PREVIOUS_BUSINESS_DAY","Y")),"")</f>
        <v>488.39092373760082</v>
      </c>
      <c r="AP67">
        <f t="shared" si="8"/>
        <v>6560.7823076923087</v>
      </c>
      <c r="AQ67">
        <f t="shared" si="26"/>
        <v>7.4406274169762004E-2</v>
      </c>
      <c r="AR67">
        <f t="shared" si="27"/>
        <v>7.4440958537060134E-2</v>
      </c>
      <c r="AS67" s="10" t="str">
        <f t="shared" si="28"/>
        <v>DOWN</v>
      </c>
      <c r="AT67" s="10" t="str">
        <f t="shared" si="29"/>
        <v>DOWN</v>
      </c>
      <c r="AU67" s="6" t="str">
        <f t="shared" si="30"/>
        <v>NEGATIVE</v>
      </c>
      <c r="AV67" cm="1">
        <f t="array" ref="AV67">IFERROR(VALUE(_xll.BDP($B67,"INTERVAL_exp_MOV_AVG","CALC_INTERVAL","520D","TECH_STUDIES_PARAM1_OVERRIDE",100,"USE_PREVIOUS_BUSINESS_DAY","N")),"")</f>
        <v>472.72219268519223</v>
      </c>
      <c r="AW67">
        <f t="shared" si="9"/>
        <v>6773.0064518682802</v>
      </c>
      <c r="AX67" cm="1">
        <f t="array" ref="AX67">IFERROR(VALUE(_xll.BDP($B67,"INTERVAL_exp_MOV_AVG","CALC_INTERVAL","520D","TECH_STUDIES_PARAM1_OVERRIDE",100,"USE_PREVIOUS_BUSINESS_DAY","Y")),"")</f>
        <v>474.10306962579318</v>
      </c>
      <c r="AY67">
        <f t="shared" si="10"/>
        <v>6769.6039787132295</v>
      </c>
      <c r="AZ67">
        <f t="shared" si="31"/>
        <v>6.9795030618167442E-2</v>
      </c>
      <c r="BA67">
        <f t="shared" si="32"/>
        <v>7.0034092262500555E-2</v>
      </c>
      <c r="BB67" s="11" t="str">
        <f t="shared" si="33"/>
        <v>DOWN</v>
      </c>
      <c r="BC67" s="11" t="str">
        <f t="shared" si="34"/>
        <v>DOWN</v>
      </c>
      <c r="BD67" s="6" t="str">
        <f t="shared" si="35"/>
        <v>NEGATIVE</v>
      </c>
      <c r="BE67" s="12" cm="1">
        <f t="array" ref="BE67">_xll.BDP($B67, "INTERVAL_RSI", "TECH_STUDIES_PARAM1_OVERRIDE", "5", "PERIODICITY_OVERRIDE", "W")</f>
        <v>17.163324686478163</v>
      </c>
      <c r="BF67" cm="1">
        <f t="array" ref="BF67">IFERROR(VALUE(_xll.BDP($B67,"INTERVAL_MAE_MOV_AVG","CALC_INTERVAL","520D","TECH_STUDIES_PARAM1_OVERRIDE",31,"USE_PREVIOUS_BUSINESS_DAY","N")),"")</f>
        <v>452.70741919732865</v>
      </c>
      <c r="BG67" cm="1">
        <f t="array" ref="BG67">IFERROR(VALUE(_xll.BDP($B67,"INTERVAL_MAE_MOV_AVG","CALC_INTERVAL","760D","TECH_STUDIES_PARAM1_OVERRIDE",200,"USE_PREVIOUS_BUSINESS_DAY","N")),"")</f>
        <v>486.25825306029139</v>
      </c>
      <c r="BH67" s="13">
        <f t="shared" si="36"/>
        <v>-0.10677408221635321</v>
      </c>
      <c r="BI67" s="13">
        <f t="shared" si="37"/>
        <v>-0.12929093942130543</v>
      </c>
      <c r="BJ67" s="13">
        <f t="shared" si="38"/>
        <v>-0.16840486006134281</v>
      </c>
      <c r="BK67" s="32" cm="1">
        <f t="array" ref="BK67">VALUE(_xll.BDP($B67,"INTERVAL_DATE_OF_CALC_HI","CALC_INTERVAL","3M"))</f>
        <v>45973</v>
      </c>
      <c r="BL67" s="32" cm="1">
        <f t="array" ref="BL67">VALUE(_xll.BDP($B67,"INTERVAL_DATE_OF_CALC_LO","CALC_INTERVAL","3M"))</f>
        <v>46058</v>
      </c>
      <c r="BM67" s="32" cm="1">
        <f t="array" ref="BM67">VALUE(_xll.BDP($B67,"INTERVAL_DATE_OF_CALC_HI","CALC_INTERVAL","1M"))</f>
        <v>46050</v>
      </c>
      <c r="BN67" s="32" cm="1">
        <f t="array" ref="BN67">VALUE(_xll.BDP($B67,"INTERVAL_DATE_OF_CALC_LO","CALC_INTERVAL","1M"))</f>
        <v>46058</v>
      </c>
      <c r="BO67" s="15">
        <f>IFERROR(VLOOKUP($F67,PIVOT!$A:$C,2,FALSE),0)</f>
        <v>0</v>
      </c>
      <c r="BP67" s="15">
        <f>IFERROR(VLOOKUP($F67,PIVOT!$A:$C,3,FALSE),0)</f>
        <v>0</v>
      </c>
      <c r="BQ67" s="15">
        <f t="shared" ref="BQ67:BQ101" si="39">K67-BO67</f>
        <v>33.295567885041152</v>
      </c>
    </row>
    <row r="68" spans="1:69" x14ac:dyDescent="0.25">
      <c r="A68">
        <v>67</v>
      </c>
      <c r="B68" t="s">
        <v>81</v>
      </c>
      <c r="J68" s="24"/>
      <c r="K68" s="15">
        <f>_xll.BDP($B68,"interval_rsi","tech_studies_param1_override",14)</f>
        <v>38.916480616040865</v>
      </c>
      <c r="L68" s="15">
        <f t="shared" si="0"/>
        <v>52.525531939815814</v>
      </c>
      <c r="M68">
        <f t="shared" si="12"/>
        <v>0</v>
      </c>
      <c r="N68" cm="1">
        <f t="array" ref="N68">IFERROR(VALUE(_xll.BDP($B68,"px_last")),"")</f>
        <v>126.07</v>
      </c>
      <c r="O68">
        <f t="shared" si="1"/>
        <v>6941.47</v>
      </c>
      <c r="P68" cm="1">
        <f t="array" ref="P68">IFERROR(VALUE(_xll.BDP($B68,"PX_YEST_CLOSE")),"")</f>
        <v>133</v>
      </c>
      <c r="Q68">
        <f t="shared" si="2"/>
        <v>6941.81</v>
      </c>
      <c r="R68">
        <f t="shared" si="13"/>
        <v>1.8161859087484349E-2</v>
      </c>
      <c r="S68">
        <f t="shared" si="14"/>
        <v>1.9159268260007117E-2</v>
      </c>
      <c r="T68" cm="1">
        <f t="array" ref="T68">IFERROR(VALUE(_xll.BDP($B68,"INTERVAL_MAE_MOV_AVG","CALC_INTERVAL","520D","TECH_STUDIES_PARAM1_OVERRIDE",50,"USE_PREVIOUS_BUSINESS_DAY","N")),"")</f>
        <v>160.54199999389647</v>
      </c>
      <c r="U68">
        <f t="shared" si="3"/>
        <v>6894.0953999999992</v>
      </c>
      <c r="V68" cm="1">
        <f t="array" ref="V68">IFERROR(VALUE(_xll.BDP($B68,"INTERVAL_MAE_MOV_AVG","CALC_INTERVAL","520D","TECH_STUDIES_PARAM1_OVERRIDE",50,"USE_PREVIOUS_BUSINESS_DAY","Y")),"")</f>
        <v>161.5642</v>
      </c>
      <c r="W68">
        <f t="shared" si="4"/>
        <v>6892.2477999999992</v>
      </c>
      <c r="X68">
        <f t="shared" si="15"/>
        <v>2.3286884018735292E-2</v>
      </c>
      <c r="Y68">
        <f t="shared" si="16"/>
        <v>2.3441438074817918E-2</v>
      </c>
      <c r="Z68" s="11" t="str">
        <f t="shared" si="17"/>
        <v>NEGATIVE</v>
      </c>
      <c r="AA68" s="11" t="str">
        <f t="shared" si="18"/>
        <v/>
      </c>
      <c r="AB68" s="11" t="str">
        <f t="shared" si="19"/>
        <v>DOWN</v>
      </c>
      <c r="AC68" s="6" t="str">
        <f t="shared" si="20"/>
        <v>NEGATIVE</v>
      </c>
      <c r="AD68" cm="1">
        <f t="array" ref="AD68">IFERROR(VALUE(_xll.BDP($B68,"INTERVAL_MAE_MOV_AVG","CALC_INTERVAL","520D","TECH_STUDIES_PARAM1_OVERRIDE",65,"USE_PREVIOUS_BUSINESS_DAY","N")),"")</f>
        <v>169.423999995305</v>
      </c>
      <c r="AE68">
        <f t="shared" si="5"/>
        <v>6856.0226153846133</v>
      </c>
      <c r="AF68" cm="1">
        <f t="array" ref="AF68">IFERROR(VALUE(_xll.BDP($B68,"INTERVAL_MAE_MOV_AVG","CALC_INTERVAL","520D","TECH_STUDIES_PARAM1_OVERRIDE",65,"USE_PREVIOUS_BUSINESS_DAY","Y")),"")</f>
        <v>171.13369230769231</v>
      </c>
      <c r="AG68">
        <f t="shared" si="6"/>
        <v>6852.6203076923057</v>
      </c>
      <c r="AH68">
        <f t="shared" si="21"/>
        <v>2.4711703782179042E-2</v>
      </c>
      <c r="AI68">
        <f t="shared" si="22"/>
        <v>2.4973467757375783E-2</v>
      </c>
      <c r="AJ68" s="10" t="str">
        <f t="shared" si="23"/>
        <v>DOWN</v>
      </c>
      <c r="AK68" s="10" t="str">
        <f t="shared" si="24"/>
        <v>DOWN</v>
      </c>
      <c r="AL68" s="6" t="str">
        <f t="shared" si="25"/>
        <v>NEGATIVE</v>
      </c>
      <c r="AM68" cm="1">
        <f t="array" ref="AM68">IFERROR(VALUE(_xll.BDP($B68,"INTERVAL_MAE_MOV_AVG","CALC_INTERVAL","65W","PERIODICITY_OVERRIDE","W","TECH_STUDIES_PARAM1_OVERRIDE",39,"USE_PREVIOUS_BUSINESS_DAY","N")),"")</f>
        <v>284.46769229986728</v>
      </c>
      <c r="AN68">
        <f t="shared" si="7"/>
        <v>6560.7735897435905</v>
      </c>
      <c r="AO68" cm="1">
        <f t="array" ref="AO68">IFERROR(VALUE(_xll.BDP($B68,"INTERVAL_MAE_MOV_AVG","CALC_INTERVAL","65W","PERIODICITY_OVERRIDE","W","TECH_STUDIES_PARAM1_OVERRIDE",39,"USE_PREVIOUS_BUSINESS_DAY","Y")),"")</f>
        <v>284.64538461538461</v>
      </c>
      <c r="AP68">
        <f t="shared" si="8"/>
        <v>6560.7823076923087</v>
      </c>
      <c r="AQ68">
        <f t="shared" si="26"/>
        <v>4.3358864379129551E-2</v>
      </c>
      <c r="AR68">
        <f t="shared" si="27"/>
        <v>4.3385890777331071E-2</v>
      </c>
      <c r="AS68" s="10" t="str">
        <f t="shared" si="28"/>
        <v>DOWN</v>
      </c>
      <c r="AT68" s="10" t="str">
        <f t="shared" si="29"/>
        <v>DOWN</v>
      </c>
      <c r="AU68" s="6" t="str">
        <f t="shared" si="30"/>
        <v>NEGATIVE</v>
      </c>
      <c r="AV68" cm="1">
        <f t="array" ref="AV68">IFERROR(VALUE(_xll.BDP($B68,"INTERVAL_exp_MOV_AVG","CALC_INTERVAL","520D","TECH_STUDIES_PARAM1_OVERRIDE",100,"USE_PREVIOUS_BUSINESS_DAY","N")),"")</f>
        <v>207.59811971033164</v>
      </c>
      <c r="AW68">
        <f t="shared" si="9"/>
        <v>6773.0064518682802</v>
      </c>
      <c r="AX68" cm="1">
        <f t="array" ref="AX68">IFERROR(VALUE(_xll.BDP($B68,"INTERVAL_exp_MOV_AVG","CALC_INTERVAL","520D","TECH_STUDIES_PARAM1_OVERRIDE",100,"USE_PREVIOUS_BUSINESS_DAY","Y")),"")</f>
        <v>209.24510011034701</v>
      </c>
      <c r="AY68">
        <f t="shared" si="10"/>
        <v>6769.6039787132295</v>
      </c>
      <c r="AZ68">
        <f t="shared" si="31"/>
        <v>3.0650807907183868E-2</v>
      </c>
      <c r="BA68">
        <f t="shared" si="32"/>
        <v>3.0909503830402859E-2</v>
      </c>
      <c r="BB68" s="11" t="str">
        <f t="shared" si="33"/>
        <v>DOWN</v>
      </c>
      <c r="BC68" s="11" t="str">
        <f t="shared" si="34"/>
        <v>DOWN</v>
      </c>
      <c r="BD68" s="6" t="str">
        <f t="shared" si="35"/>
        <v>NEGATIVE</v>
      </c>
      <c r="BE68" s="12" cm="1">
        <f t="array" ref="BE68">_xll.BDP($B68, "INTERVAL_RSI", "TECH_STUDIES_PARAM1_OVERRIDE", "5", "PERIODICITY_OVERRIDE", "W")</f>
        <v>15.217497552466526</v>
      </c>
      <c r="BF68" cm="1">
        <f t="array" ref="BF68">IFERROR(VALUE(_xll.BDP($B68,"INTERVAL_MAE_MOV_AVG","CALC_INTERVAL","520D","TECH_STUDIES_PARAM1_OVERRIDE",31,"USE_PREVIOUS_BUSINESS_DAY","N")),"")</f>
        <v>153.26290321596204</v>
      </c>
      <c r="BG68" cm="1">
        <f t="array" ref="BG68">IFERROR(VALUE(_xll.BDP($B68,"INTERVAL_MAE_MOV_AVG","CALC_INTERVAL","760D","TECH_STUDIES_PARAM1_OVERRIDE",200,"USE_PREVIOUS_BUSINESS_DAY","N")),"")</f>
        <v>299.02344999847406</v>
      </c>
      <c r="BH68" s="13">
        <f t="shared" si="36"/>
        <v>-0.17742651773759399</v>
      </c>
      <c r="BI68" s="13">
        <f t="shared" si="37"/>
        <v>-0.21472262707084155</v>
      </c>
      <c r="BJ68" s="13">
        <f t="shared" si="38"/>
        <v>-0.57839426974492025</v>
      </c>
      <c r="BK68" s="32" cm="1">
        <f t="array" ref="BK68">VALUE(_xll.BDP($B68,"INTERVAL_DATE_OF_CALC_HI","CALC_INTERVAL","3M"))</f>
        <v>45972</v>
      </c>
      <c r="BL68" s="32" cm="1">
        <f t="array" ref="BL68">VALUE(_xll.BDP($B68,"INTERVAL_DATE_OF_CALC_LO","CALC_INTERVAL","3M"))</f>
        <v>46058</v>
      </c>
      <c r="BM68" s="32" cm="1">
        <f t="array" ref="BM68">VALUE(_xll.BDP($B68,"INTERVAL_DATE_OF_CALC_HI","CALC_INTERVAL","1M"))</f>
        <v>46036</v>
      </c>
      <c r="BN68" s="32" cm="1">
        <f t="array" ref="BN68">VALUE(_xll.BDP($B68,"INTERVAL_DATE_OF_CALC_LO","CALC_INTERVAL","1M"))</f>
        <v>46058</v>
      </c>
      <c r="BO68" s="15">
        <f>IFERROR(VLOOKUP($F68,PIVOT!$A:$C,2,FALSE),0)</f>
        <v>0</v>
      </c>
      <c r="BP68" s="15">
        <f>IFERROR(VLOOKUP($F68,PIVOT!$A:$C,3,FALSE),0)</f>
        <v>0</v>
      </c>
      <c r="BQ68" s="15">
        <f t="shared" si="39"/>
        <v>38.916480616040865</v>
      </c>
    </row>
    <row r="69" spans="1:69" x14ac:dyDescent="0.25">
      <c r="A69">
        <v>68</v>
      </c>
      <c r="B69" t="s">
        <v>82</v>
      </c>
      <c r="J69" s="24"/>
      <c r="K69" s="15">
        <f>_xll.BDP($B69,"interval_rsi","tech_studies_param1_override",14)</f>
        <v>59.591014979625974</v>
      </c>
      <c r="L69" s="15">
        <f t="shared" si="0"/>
        <v>52.525531939815814</v>
      </c>
      <c r="M69">
        <f t="shared" ref="M69:M101" si="40">IF(AND(K69-L69&gt;10,L69&lt;65),1,0)</f>
        <v>0</v>
      </c>
      <c r="N69" cm="1">
        <f t="array" ref="N69">IFERROR(VALUE(_xll.BDP($B69,"px_last")),"")</f>
        <v>410.34</v>
      </c>
      <c r="O69">
        <f t="shared" si="1"/>
        <v>6941.47</v>
      </c>
      <c r="P69" cm="1">
        <f t="array" ref="P69">IFERROR(VALUE(_xll.BDP($B69,"PX_YEST_CLOSE")),"")</f>
        <v>373.25</v>
      </c>
      <c r="Q69">
        <f t="shared" si="2"/>
        <v>6941.81</v>
      </c>
      <c r="R69">
        <f t="shared" ref="R69:R101" si="41">N69/O69</f>
        <v>5.9114279828336065E-2</v>
      </c>
      <c r="S69">
        <f t="shared" ref="S69:S101" si="42">P69/Q69</f>
        <v>5.3768397579305682E-2</v>
      </c>
      <c r="T69" cm="1">
        <f t="array" ref="T69">IFERROR(VALUE(_xll.BDP($B69,"INTERVAL_MAE_MOV_AVG","CALC_INTERVAL","520D","TECH_STUDIES_PARAM1_OVERRIDE",50,"USE_PREVIOUS_BUSINESS_DAY","N")),"")</f>
        <v>323.25521824995781</v>
      </c>
      <c r="U69">
        <f t="shared" si="3"/>
        <v>6894.0953999999992</v>
      </c>
      <c r="V69" cm="1">
        <f t="array" ref="V69">IFERROR(VALUE(_xll.BDP($B69,"INTERVAL_MAE_MOV_AVG","CALC_INTERVAL","520D","TECH_STUDIES_PARAM1_OVERRIDE",50,"USE_PREVIOUS_BUSINESS_DAY","Y")),"")</f>
        <v>319.77610756479999</v>
      </c>
      <c r="W69">
        <f t="shared" si="4"/>
        <v>6892.2477999999992</v>
      </c>
      <c r="X69">
        <f t="shared" ref="X69:X101" si="43">T69/U69</f>
        <v>4.6888706856298777E-2</v>
      </c>
      <c r="Y69">
        <f t="shared" ref="Y69:Y101" si="44">V69/W69</f>
        <v>4.6396490208143709E-2</v>
      </c>
      <c r="Z69" s="11" t="str">
        <f t="shared" ref="Z69:Z101" si="45">IF(M69=1,"POSITIVE","NEGATIVE")</f>
        <v>NEGATIVE</v>
      </c>
      <c r="AA69" s="11" t="str">
        <f t="shared" ref="AA69:AA101" si="46">IF(AND(P69&lt;V69,N69&gt;T69),"UP","")</f>
        <v/>
      </c>
      <c r="AB69" s="11" t="str">
        <f t="shared" ref="AB69:AB101" si="47">IF(X69&gt;Y69,"UP",IF(X69&lt;Y69,"DOWN",""))</f>
        <v>UP</v>
      </c>
      <c r="AC69" s="6" t="str">
        <f t="shared" ref="AC69:AC101" si="48">IF(AND(S69&lt;Y69,R69&gt;X69),"BUY",IF(AND(S69&gt;Y69,R69&lt;X69),"SELL",IF(R69&gt;X69,"POSITIVE","NEGATIVE")))</f>
        <v>POSITIVE</v>
      </c>
      <c r="AD69" cm="1">
        <f t="array" ref="AD69">IFERROR(VALUE(_xll.BDP($B69,"INTERVAL_MAE_MOV_AVG","CALC_INTERVAL","520D","TECH_STUDIES_PARAM1_OVERRIDE",65,"USE_PREVIOUS_BUSINESS_DAY","N")),"")</f>
        <v>302.19499168027517</v>
      </c>
      <c r="AE69">
        <f t="shared" si="5"/>
        <v>6856.0226153846133</v>
      </c>
      <c r="AF69" cm="1">
        <f t="array" ref="AF69">IFERROR(VALUE(_xll.BDP($B69,"INTERVAL_MAE_MOV_AVG","CALC_INTERVAL","520D","TECH_STUDIES_PARAM1_OVERRIDE",65,"USE_PREVIOUS_BUSINESS_DAY","Y")),"")</f>
        <v>299.54720273169221</v>
      </c>
      <c r="AG69">
        <f t="shared" si="6"/>
        <v>6852.6203076923057</v>
      </c>
      <c r="AH69">
        <f t="shared" ref="AH69:AH101" si="49">AD69/AE69</f>
        <v>4.4077303800335033E-2</v>
      </c>
      <c r="AI69">
        <f t="shared" ref="AI69:AI101" si="50">AF69/AG69</f>
        <v>4.3712797336143083E-2</v>
      </c>
      <c r="AJ69" s="10" t="str">
        <f t="shared" ref="AJ69:AJ101" si="51">IF(AD69&gt;AF69,"UP",IF(AD69&lt;AF69,"DOWN",""))</f>
        <v>UP</v>
      </c>
      <c r="AK69" s="10" t="str">
        <f t="shared" ref="AK69:AK101" si="52">IF(AH69&gt;AI69,"UP",IF(AH69&lt;AI69,"DOWN",""))</f>
        <v>UP</v>
      </c>
      <c r="AL69" s="6" t="str">
        <f t="shared" ref="AL69:AL101" si="53">IF(AND(S69&lt;AI69,R69&gt;AH69),"BUY",IF(AND(S69&gt;AI69,R69&lt;AH69),"SELL",IF(R69&gt;AH69,"POSITIVE","NEGATIVE")))</f>
        <v>POSITIVE</v>
      </c>
      <c r="AM69" cm="1">
        <f t="array" ref="AM69">IFERROR(VALUE(_xll.BDP($B69,"INTERVAL_MAE_MOV_AVG","CALC_INTERVAL","65W","PERIODICITY_OVERRIDE","W","TECH_STUDIES_PARAM1_OVERRIDE",39,"USE_PREVIOUS_BUSINESS_DAY","N")),"")</f>
        <v>203.42339564504223</v>
      </c>
      <c r="AN69">
        <f t="shared" si="7"/>
        <v>6560.7735897435905</v>
      </c>
      <c r="AO69" cm="1">
        <f t="array" ref="AO69">IFERROR(VALUE(_xll.BDP($B69,"INTERVAL_MAE_MOV_AVG","CALC_INTERVAL","65W","PERIODICITY_OVERRIDE","W","TECH_STUDIES_PARAM1_OVERRIDE",39,"USE_PREVIOUS_BUSINESS_DAY","Y")),"")</f>
        <v>202.47237009791689</v>
      </c>
      <c r="AP69">
        <f t="shared" si="8"/>
        <v>6560.7823076923087</v>
      </c>
      <c r="AQ69">
        <f t="shared" ref="AQ69:AQ101" si="54">AM69/AN69</f>
        <v>3.1006007578595996E-2</v>
      </c>
      <c r="AR69">
        <f t="shared" ref="AR69:AR101" si="55">AO69/AP69</f>
        <v>3.0861010257957268E-2</v>
      </c>
      <c r="AS69" s="10" t="str">
        <f t="shared" ref="AS69:AS101" si="56">IF(AM69&gt;AO69,"UP",IF(AM69&lt;AO69,"DOWN",""))</f>
        <v>UP</v>
      </c>
      <c r="AT69" s="10" t="str">
        <f t="shared" ref="AT69:AT101" si="57">IF(AQ69&gt;AR69,"UP",IF(AQ69&lt;AR69,"DOWN",""))</f>
        <v>UP</v>
      </c>
      <c r="AU69" s="6" t="str">
        <f t="shared" ref="AU69:AU101" si="58">IF(AND(S69&lt;AR69,R69&gt;AQ69),"BUY",IF(AND(S69&gt;AR69,R69&lt;AQ69),"SELL",IF(R69&gt;AQ69,"POSITIVE","NEGATIVE")))</f>
        <v>POSITIVE</v>
      </c>
      <c r="AV69" cm="1">
        <f t="array" ref="AV69">IFERROR(VALUE(_xll.BDP($B69,"INTERVAL_exp_MOV_AVG","CALC_INTERVAL","520D","TECH_STUDIES_PARAM1_OVERRIDE",100,"USE_PREVIOUS_BUSINESS_DAY","N")),"")</f>
        <v>280.99257120334431</v>
      </c>
      <c r="AW69">
        <f t="shared" si="9"/>
        <v>6773.0064518682802</v>
      </c>
      <c r="AX69" cm="1">
        <f t="array" ref="AX69">IFERROR(VALUE(_xll.BDP($B69,"INTERVAL_exp_MOV_AVG","CALC_INTERVAL","520D","TECH_STUDIES_PARAM1_OVERRIDE",100,"USE_PREVIOUS_BUSINESS_DAY","Y")),"")</f>
        <v>278.3795328764474</v>
      </c>
      <c r="AY69">
        <f t="shared" si="10"/>
        <v>6769.6039787132295</v>
      </c>
      <c r="AZ69">
        <f t="shared" ref="AZ69:AZ101" si="59">AV69/AW69</f>
        <v>4.1487125872415896E-2</v>
      </c>
      <c r="BA69">
        <f t="shared" ref="BA69:BA101" si="60">AX69/AY69</f>
        <v>4.1121981987691097E-2</v>
      </c>
      <c r="BB69" s="11" t="str">
        <f t="shared" ref="BB69:BB101" si="61">IF(AV69&gt;AX69,"UP",IF(AV69&lt;AX69,"DOWN",""))</f>
        <v>UP</v>
      </c>
      <c r="BC69" s="11" t="str">
        <f t="shared" ref="BC69:BC101" si="62">IF(AZ69&gt;BA69,"UP",IF(AZ69&lt;BA69,"DOWN",""))</f>
        <v>UP</v>
      </c>
      <c r="BD69" s="6" t="str">
        <f t="shared" ref="BD69:BD101" si="63">IF(AND(S69&lt;BA69,R69&gt;AZ69),"BUY",IF(AND(S69&gt;BA69,R69&lt;AZ69),"SELL",IF(R69&gt;AZ69,"POSITIVE","NEGATIVE")))</f>
        <v>POSITIVE</v>
      </c>
      <c r="BE69" s="12" cm="1">
        <f t="array" ref="BE69">_xll.BDP($B69, "INTERVAL_RSI", "TECH_STUDIES_PARAM1_OVERRIDE", "5", "PERIODICITY_OVERRIDE", "W")</f>
        <v>81.407140725021065</v>
      </c>
      <c r="BF69" cm="1">
        <f t="array" ref="BF69">IFERROR(VALUE(_xll.BDP($B69,"INTERVAL_MAE_MOV_AVG","CALC_INTERVAL","520D","TECH_STUDIES_PARAM1_OVERRIDE",31,"USE_PREVIOUS_BUSINESS_DAY","N")),"")</f>
        <v>367.41064504315773</v>
      </c>
      <c r="BG69" cm="1">
        <f t="array" ref="BG69">IFERROR(VALUE(_xll.BDP($B69,"INTERVAL_MAE_MOV_AVG","CALC_INTERVAL","760D","TECH_STUDIES_PARAM1_OVERRIDE",200,"USE_PREVIOUS_BUSINESS_DAY","N")),"")</f>
        <v>189.21826431405299</v>
      </c>
      <c r="BH69" s="13">
        <f t="shared" ref="BH69:BH101" si="64">-1+(N69/BF69)</f>
        <v>0.11684298083361067</v>
      </c>
      <c r="BI69" s="13">
        <f t="shared" ref="BI69:BI101" si="65">-1+(N69/T69)</f>
        <v>0.26939946158178851</v>
      </c>
      <c r="BJ69" s="13">
        <f t="shared" ref="BJ69:BJ101" si="66">-1+(N69/BG69)</f>
        <v>1.1686067224406127</v>
      </c>
      <c r="BK69" s="32" cm="1">
        <f t="array" ref="BK69">VALUE(_xll.BDP($B69,"INTERVAL_DATE_OF_CALC_HI","CALC_INTERVAL","3M"))</f>
        <v>46055</v>
      </c>
      <c r="BL69" s="32" cm="1">
        <f t="array" ref="BL69">VALUE(_xll.BDP($B69,"INTERVAL_DATE_OF_CALC_LO","CALC_INTERVAL","3M"))</f>
        <v>45981</v>
      </c>
      <c r="BM69" s="32" cm="1">
        <f t="array" ref="BM69">VALUE(_xll.BDP($B69,"INTERVAL_DATE_OF_CALC_HI","CALC_INTERVAL","1M"))</f>
        <v>46055</v>
      </c>
      <c r="BN69" s="32" cm="1">
        <f t="array" ref="BN69">VALUE(_xll.BDP($B69,"INTERVAL_DATE_OF_CALC_LO","CALC_INTERVAL","1M"))</f>
        <v>46036</v>
      </c>
      <c r="BO69" s="15">
        <f>IFERROR(VLOOKUP($F69,PIVOT!$A:$C,2,FALSE),0)</f>
        <v>0</v>
      </c>
      <c r="BP69" s="15">
        <f>IFERROR(VLOOKUP($F69,PIVOT!$A:$C,3,FALSE),0)</f>
        <v>0</v>
      </c>
      <c r="BQ69" s="15">
        <f t="shared" si="39"/>
        <v>59.591014979625974</v>
      </c>
    </row>
    <row r="70" spans="1:69" x14ac:dyDescent="0.25">
      <c r="A70">
        <v>69</v>
      </c>
      <c r="B70" t="s">
        <v>84</v>
      </c>
      <c r="J70" s="24"/>
      <c r="K70" s="15">
        <f>_xll.BDP($B70,"interval_rsi","tech_studies_param1_override",14)</f>
        <v>29.309941818921217</v>
      </c>
      <c r="L70" s="15">
        <f t="shared" si="0"/>
        <v>52.525531939815814</v>
      </c>
      <c r="M70">
        <f t="shared" si="40"/>
        <v>0</v>
      </c>
      <c r="N70" cm="1">
        <f t="array" ref="N70">IFERROR(VALUE(_xll.BDP($B70,"px_last")),"")</f>
        <v>79.62</v>
      </c>
      <c r="O70">
        <f t="shared" si="1"/>
        <v>6941.47</v>
      </c>
      <c r="P70" cm="1">
        <f t="array" ref="P70">IFERROR(VALUE(_xll.BDP($B70,"PX_YEST_CLOSE")),"")</f>
        <v>82.21</v>
      </c>
      <c r="Q70">
        <f t="shared" si="2"/>
        <v>6941.81</v>
      </c>
      <c r="R70">
        <f t="shared" si="41"/>
        <v>1.1470192913028509E-2</v>
      </c>
      <c r="S70">
        <f t="shared" si="42"/>
        <v>1.184273265906154E-2</v>
      </c>
      <c r="T70" cm="1">
        <f t="array" ref="T70">IFERROR(VALUE(_xll.BDP($B70,"INTERVAL_MAE_MOV_AVG","CALC_INTERVAL","520D","TECH_STUDIES_PARAM1_OVERRIDE",50,"USE_PREVIOUS_BUSINESS_DAY","N")),"")</f>
        <v>90.633400054931641</v>
      </c>
      <c r="U70">
        <f t="shared" si="3"/>
        <v>6894.0953999999992</v>
      </c>
      <c r="V70" cm="1">
        <f t="array" ref="V70">IFERROR(VALUE(_xll.BDP($B70,"INTERVAL_MAE_MOV_AVG","CALC_INTERVAL","520D","TECH_STUDIES_PARAM1_OVERRIDE",50,"USE_PREVIOUS_BUSINESS_DAY","Y")),"")</f>
        <v>91.192599999999999</v>
      </c>
      <c r="W70">
        <f t="shared" si="4"/>
        <v>6892.2477999999992</v>
      </c>
      <c r="X70">
        <f t="shared" si="43"/>
        <v>1.3146525366465288E-2</v>
      </c>
      <c r="Y70">
        <f t="shared" si="44"/>
        <v>1.3231184171874959E-2</v>
      </c>
      <c r="Z70" s="11" t="str">
        <f t="shared" si="45"/>
        <v>NEGATIVE</v>
      </c>
      <c r="AA70" s="11" t="str">
        <f t="shared" si="46"/>
        <v/>
      </c>
      <c r="AB70" s="11" t="str">
        <f t="shared" si="47"/>
        <v>DOWN</v>
      </c>
      <c r="AC70" s="6" t="str">
        <f t="shared" si="48"/>
        <v>NEGATIVE</v>
      </c>
      <c r="AD70" cm="1">
        <f t="array" ref="AD70">IFERROR(VALUE(_xll.BDP($B70,"INTERVAL_MAE_MOV_AVG","CALC_INTERVAL","520D","TECH_STUDIES_PARAM1_OVERRIDE",65,"USE_PREVIOUS_BUSINESS_DAY","N")),"")</f>
        <v>95.069646196101274</v>
      </c>
      <c r="AE70">
        <f t="shared" si="5"/>
        <v>6856.0226153846133</v>
      </c>
      <c r="AF70" cm="1">
        <f t="array" ref="AF70">IFERROR(VALUE(_xll.BDP($B70,"INTERVAL_MAE_MOV_AVG","CALC_INTERVAL","520D","TECH_STUDIES_PARAM1_OVERRIDE",65,"USE_PREVIOUS_BUSINESS_DAY","Y")),"")</f>
        <v>95.532446153846166</v>
      </c>
      <c r="AG70">
        <f t="shared" si="6"/>
        <v>6852.6203076923057</v>
      </c>
      <c r="AH70">
        <f t="shared" si="49"/>
        <v>1.3866588768649796E-2</v>
      </c>
      <c r="AI70">
        <f t="shared" si="50"/>
        <v>1.3941009696189888E-2</v>
      </c>
      <c r="AJ70" s="10" t="str">
        <f t="shared" si="51"/>
        <v>DOWN</v>
      </c>
      <c r="AK70" s="10" t="str">
        <f t="shared" si="52"/>
        <v>DOWN</v>
      </c>
      <c r="AL70" s="6" t="str">
        <f t="shared" si="53"/>
        <v>NEGATIVE</v>
      </c>
      <c r="AM70" cm="1">
        <f t="array" ref="AM70">IFERROR(VALUE(_xll.BDP($B70,"INTERVAL_MAE_MOV_AVG","CALC_INTERVAL","65W","PERIODICITY_OVERRIDE","W","TECH_STUDIES_PARAM1_OVERRIDE",39,"USE_PREVIOUS_BUSINESS_DAY","N")),"")</f>
        <v>110.73708981401492</v>
      </c>
      <c r="AN70">
        <f t="shared" si="7"/>
        <v>6560.7735897435905</v>
      </c>
      <c r="AO70" cm="1">
        <f t="array" ref="AO70">IFERROR(VALUE(_xll.BDP($B70,"INTERVAL_MAE_MOV_AVG","CALC_INTERVAL","65W","PERIODICITY_OVERRIDE","W","TECH_STUDIES_PARAM1_OVERRIDE",39,"USE_PREVIOUS_BUSINESS_DAY","Y")),"")</f>
        <v>110.8035</v>
      </c>
      <c r="AP70">
        <f t="shared" si="8"/>
        <v>6560.7823076923087</v>
      </c>
      <c r="AQ70">
        <f t="shared" si="54"/>
        <v>1.687866351418214E-2</v>
      </c>
      <c r="AR70">
        <f t="shared" si="55"/>
        <v>1.6888763382696972E-2</v>
      </c>
      <c r="AS70" s="10" t="str">
        <f t="shared" si="56"/>
        <v>DOWN</v>
      </c>
      <c r="AT70" s="10" t="str">
        <f t="shared" si="57"/>
        <v>DOWN</v>
      </c>
      <c r="AU70" s="6" t="str">
        <f t="shared" si="58"/>
        <v>NEGATIVE</v>
      </c>
      <c r="AV70" cm="1">
        <f t="array" ref="AV70">IFERROR(VALUE(_xll.BDP($B70,"INTERVAL_exp_MOV_AVG","CALC_INTERVAL","520D","TECH_STUDIES_PARAM1_OVERRIDE",100,"USE_PREVIOUS_BUSINESS_DAY","N")),"")</f>
        <v>98.454694273941513</v>
      </c>
      <c r="AW70">
        <f t="shared" si="9"/>
        <v>6773.0064518682802</v>
      </c>
      <c r="AX70" cm="1">
        <f t="array" ref="AX70">IFERROR(VALUE(_xll.BDP($B70,"INTERVAL_exp_MOV_AVG","CALC_INTERVAL","520D","TECH_STUDIES_PARAM1_OVERRIDE",100,"USE_PREVIOUS_BUSINESS_DAY","Y")),"")</f>
        <v>98.835195916999211</v>
      </c>
      <c r="AY70">
        <f t="shared" si="10"/>
        <v>6769.6039787132295</v>
      </c>
      <c r="AZ70">
        <f t="shared" si="59"/>
        <v>1.4536335521544286E-2</v>
      </c>
      <c r="BA70">
        <f t="shared" si="60"/>
        <v>1.4599849005611384E-2</v>
      </c>
      <c r="BB70" s="11" t="str">
        <f t="shared" si="61"/>
        <v>DOWN</v>
      </c>
      <c r="BC70" s="11" t="str">
        <f t="shared" si="62"/>
        <v>DOWN</v>
      </c>
      <c r="BD70" s="6" t="str">
        <f t="shared" si="63"/>
        <v>NEGATIVE</v>
      </c>
      <c r="BE70" s="12" cm="1">
        <f t="array" ref="BE70">_xll.BDP($B70, "INTERVAL_RSI", "TECH_STUDIES_PARAM1_OVERRIDE", "5", "PERIODICITY_OVERRIDE", "W")</f>
        <v>5.5404945977057594</v>
      </c>
      <c r="BF70" cm="1">
        <f t="array" ref="BF70">IFERROR(VALUE(_xll.BDP($B70,"INTERVAL_MAE_MOV_AVG","CALC_INTERVAL","520D","TECH_STUDIES_PARAM1_OVERRIDE",31,"USE_PREVIOUS_BUSINESS_DAY","N")),"")</f>
        <v>86.578064604728439</v>
      </c>
      <c r="BG70" cm="1">
        <f t="array" ref="BG70">IFERROR(VALUE(_xll.BDP($B70,"INTERVAL_MAE_MOV_AVG","CALC_INTERVAL","760D","TECH_STUDIES_PARAM1_OVERRIDE",200,"USE_PREVIOUS_BUSINESS_DAY","N")),"")</f>
        <v>111.97912751373299</v>
      </c>
      <c r="BH70" s="13">
        <f t="shared" si="64"/>
        <v>-8.0367523072910285E-2</v>
      </c>
      <c r="BI70" s="13">
        <f t="shared" si="65"/>
        <v>-0.12151590967851333</v>
      </c>
      <c r="BJ70" s="13">
        <f t="shared" si="66"/>
        <v>-0.28897463511460653</v>
      </c>
      <c r="BK70" s="32" cm="1">
        <f t="array" ref="BK70">VALUE(_xll.BDP($B70,"INTERVAL_DATE_OF_CALC_HI","CALC_INTERVAL","3M"))</f>
        <v>45973</v>
      </c>
      <c r="BL70" s="32" cm="1">
        <f t="array" ref="BL70">VALUE(_xll.BDP($B70,"INTERVAL_DATE_OF_CALC_LO","CALC_INTERVAL","3M"))</f>
        <v>46064</v>
      </c>
      <c r="BM70" s="32" cm="1">
        <f t="array" ref="BM70">VALUE(_xll.BDP($B70,"INTERVAL_DATE_OF_CALC_HI","CALC_INTERVAL","1M"))</f>
        <v>46035</v>
      </c>
      <c r="BN70" s="32" cm="1">
        <f t="array" ref="BN70">VALUE(_xll.BDP($B70,"INTERVAL_DATE_OF_CALC_LO","CALC_INTERVAL","1M"))</f>
        <v>46064</v>
      </c>
      <c r="BO70" s="15">
        <f>IFERROR(VLOOKUP($F70,PIVOT!$A:$C,2,FALSE),0)</f>
        <v>0</v>
      </c>
      <c r="BP70" s="15">
        <f>IFERROR(VLOOKUP($F70,PIVOT!$A:$C,3,FALSE),0)</f>
        <v>0</v>
      </c>
      <c r="BQ70" s="15">
        <f t="shared" si="39"/>
        <v>29.309941818921217</v>
      </c>
    </row>
    <row r="71" spans="1:69" x14ac:dyDescent="0.25">
      <c r="A71">
        <v>70</v>
      </c>
      <c r="B71" t="s">
        <v>88</v>
      </c>
      <c r="J71" s="24"/>
      <c r="K71" s="15">
        <f>_xll.BDP($B71,"interval_rsi","tech_studies_param1_override",14)</f>
        <v>55.160368675978077</v>
      </c>
      <c r="L71" s="15">
        <f t="shared" si="0"/>
        <v>52.525531939815814</v>
      </c>
      <c r="M71">
        <f t="shared" si="40"/>
        <v>0</v>
      </c>
      <c r="N71" cm="1">
        <f t="array" ref="N71">IFERROR(VALUE(_xll.BDP($B71,"px_last")),"")</f>
        <v>190.05</v>
      </c>
      <c r="O71">
        <f t="shared" si="1"/>
        <v>6941.47</v>
      </c>
      <c r="P71" cm="1">
        <f t="array" ref="P71">IFERROR(VALUE(_xll.BDP($B71,"PX_YEST_CLOSE")),"")</f>
        <v>188.54</v>
      </c>
      <c r="Q71">
        <f t="shared" si="2"/>
        <v>6941.81</v>
      </c>
      <c r="R71">
        <f t="shared" si="41"/>
        <v>2.7378926941987791E-2</v>
      </c>
      <c r="S71">
        <f t="shared" si="42"/>
        <v>2.7160063441667229E-2</v>
      </c>
      <c r="T71" cm="1">
        <f t="array" ref="T71">IFERROR(VALUE(_xll.BDP($B71,"INTERVAL_MAE_MOV_AVG","CALC_INTERVAL","520D","TECH_STUDIES_PARAM1_OVERRIDE",50,"USE_PREVIOUS_BUSINESS_DAY","N")),"")</f>
        <v>184.23719417463511</v>
      </c>
      <c r="U71">
        <f t="shared" si="3"/>
        <v>6894.0953999999992</v>
      </c>
      <c r="V71" cm="1">
        <f t="array" ref="V71">IFERROR(VALUE(_xll.BDP($B71,"INTERVAL_MAE_MOV_AVG","CALC_INTERVAL","520D","TECH_STUDIES_PARAM1_OVERRIDE",50,"USE_PREVIOUS_BUSINESS_DAY","Y")),"")</f>
        <v>183.9759958736</v>
      </c>
      <c r="W71">
        <f t="shared" si="4"/>
        <v>6892.2477999999992</v>
      </c>
      <c r="X71">
        <f t="shared" si="43"/>
        <v>2.6723911330648997E-2</v>
      </c>
      <c r="Y71">
        <f t="shared" si="44"/>
        <v>2.6693177786440009E-2</v>
      </c>
      <c r="Z71" s="11" t="str">
        <f t="shared" si="45"/>
        <v>NEGATIVE</v>
      </c>
      <c r="AA71" s="11" t="str">
        <f t="shared" si="46"/>
        <v/>
      </c>
      <c r="AB71" s="11" t="str">
        <f t="shared" si="47"/>
        <v>UP</v>
      </c>
      <c r="AC71" s="6" t="str">
        <f t="shared" si="48"/>
        <v>POSITIVE</v>
      </c>
      <c r="AD71" cm="1">
        <f t="array" ref="AD71">IFERROR(VALUE(_xll.BDP($B71,"INTERVAL_MAE_MOV_AVG","CALC_INTERVAL","520D","TECH_STUDIES_PARAM1_OVERRIDE",65,"USE_PREVIOUS_BUSINESS_DAY","N")),"")</f>
        <v>184.53113647402699</v>
      </c>
      <c r="AE71">
        <f t="shared" si="5"/>
        <v>6856.0226153846133</v>
      </c>
      <c r="AF71" cm="1">
        <f t="array" ref="AF71">IFERROR(VALUE(_xll.BDP($B71,"INTERVAL_MAE_MOV_AVG","CALC_INTERVAL","520D","TECH_STUDIES_PARAM1_OVERRIDE",65,"USE_PREVIOUS_BUSINESS_DAY","Y")),"")</f>
        <v>184.50066669661535</v>
      </c>
      <c r="AG71">
        <f t="shared" si="6"/>
        <v>6852.6203076923057</v>
      </c>
      <c r="AH71">
        <f t="shared" si="49"/>
        <v>2.691518783207442E-2</v>
      </c>
      <c r="AI71">
        <f t="shared" si="50"/>
        <v>2.6924104709187945E-2</v>
      </c>
      <c r="AJ71" s="10" t="str">
        <f t="shared" si="51"/>
        <v>UP</v>
      </c>
      <c r="AK71" s="10" t="str">
        <f t="shared" si="52"/>
        <v>DOWN</v>
      </c>
      <c r="AL71" s="6" t="str">
        <f t="shared" si="53"/>
        <v>POSITIVE</v>
      </c>
      <c r="AM71" cm="1">
        <f t="array" ref="AM71">IFERROR(VALUE(_xll.BDP($B71,"INTERVAL_MAE_MOV_AVG","CALC_INTERVAL","65W","PERIODICITY_OVERRIDE","W","TECH_STUDIES_PARAM1_OVERRIDE",39,"USE_PREVIOUS_BUSINESS_DAY","N")),"")</f>
        <v>175.13536882231273</v>
      </c>
      <c r="AN71">
        <f t="shared" si="7"/>
        <v>6560.7735897435905</v>
      </c>
      <c r="AO71" cm="1">
        <f t="array" ref="AO71">IFERROR(VALUE(_xll.BDP($B71,"INTERVAL_MAE_MOV_AVG","CALC_INTERVAL","65W","PERIODICITY_OVERRIDE","W","TECH_STUDIES_PARAM1_OVERRIDE",39,"USE_PREVIOUS_BUSINESS_DAY","Y")),"")</f>
        <v>175.09665079534457</v>
      </c>
      <c r="AP71">
        <f t="shared" si="8"/>
        <v>6560.7823076923087</v>
      </c>
      <c r="AQ71">
        <f t="shared" si="54"/>
        <v>2.6694316825092178E-2</v>
      </c>
      <c r="AR71">
        <f t="shared" si="55"/>
        <v>2.6688379919274158E-2</v>
      </c>
      <c r="AS71" s="10" t="str">
        <f t="shared" si="56"/>
        <v>UP</v>
      </c>
      <c r="AT71" s="10" t="str">
        <f t="shared" si="57"/>
        <v>UP</v>
      </c>
      <c r="AU71" s="6" t="str">
        <f t="shared" si="58"/>
        <v>POSITIVE</v>
      </c>
      <c r="AV71" cm="1">
        <f t="array" ref="AV71">IFERROR(VALUE(_xll.BDP($B71,"INTERVAL_exp_MOV_AVG","CALC_INTERVAL","520D","TECH_STUDIES_PARAM1_OVERRIDE",100,"USE_PREVIOUS_BUSINESS_DAY","N")),"")</f>
        <v>181.90041737613299</v>
      </c>
      <c r="AW71">
        <f t="shared" si="9"/>
        <v>6773.0064518682802</v>
      </c>
      <c r="AX71" cm="1">
        <f t="array" ref="AX71">IFERROR(VALUE(_xll.BDP($B71,"INTERVAL_exp_MOV_AVG","CALC_INTERVAL","520D","TECH_STUDIES_PARAM1_OVERRIDE",100,"USE_PREVIOUS_BUSINESS_DAY","Y")),"")</f>
        <v>181.73578948701461</v>
      </c>
      <c r="AY71">
        <f t="shared" si="10"/>
        <v>6769.6039787132295</v>
      </c>
      <c r="AZ71">
        <f t="shared" si="59"/>
        <v>2.6856672685725436E-2</v>
      </c>
      <c r="BA71">
        <f t="shared" si="60"/>
        <v>2.6845852439592643E-2</v>
      </c>
      <c r="BB71" s="11" t="str">
        <f t="shared" si="61"/>
        <v>UP</v>
      </c>
      <c r="BC71" s="11" t="str">
        <f t="shared" si="62"/>
        <v>UP</v>
      </c>
      <c r="BD71" s="6" t="str">
        <f t="shared" si="63"/>
        <v>POSITIVE</v>
      </c>
      <c r="BE71" s="12" cm="1">
        <f t="array" ref="BE71">_xll.BDP($B71, "INTERVAL_RSI", "TECH_STUDIES_PARAM1_OVERRIDE", "5", "PERIODICITY_OVERRIDE", "W")</f>
        <v>58.566557950165205</v>
      </c>
      <c r="BF71" cm="1">
        <f t="array" ref="BF71">IFERROR(VALUE(_xll.BDP($B71,"INTERVAL_MAE_MOV_AVG","CALC_INTERVAL","520D","TECH_STUDIES_PARAM1_OVERRIDE",31,"USE_PREVIOUS_BUSINESS_DAY","N")),"")</f>
        <v>185.89548396941154</v>
      </c>
      <c r="BG71" cm="1">
        <f t="array" ref="BG71">IFERROR(VALUE(_xll.BDP($B71,"INTERVAL_MAE_MOV_AVG","CALC_INTERVAL","760D","TECH_STUDIES_PARAM1_OVERRIDE",200,"USE_PREVIOUS_BUSINESS_DAY","N")),"")</f>
        <v>170.90359953073815</v>
      </c>
      <c r="BH71" s="13">
        <f t="shared" si="64"/>
        <v>2.234866572268146E-2</v>
      </c>
      <c r="BI71" s="13">
        <f t="shared" si="65"/>
        <v>3.1550664084989632E-2</v>
      </c>
      <c r="BJ71" s="13">
        <f t="shared" si="66"/>
        <v>0.11203041083882059</v>
      </c>
      <c r="BK71" s="32" cm="1">
        <f t="array" ref="BK71">VALUE(_xll.BDP($B71,"INTERVAL_DATE_OF_CALC_HI","CALC_INTERVAL","3M"))</f>
        <v>45973</v>
      </c>
      <c r="BL71" s="32" cm="1">
        <f t="array" ref="BL71">VALUE(_xll.BDP($B71,"INTERVAL_DATE_OF_CALC_LO","CALC_INTERVAL","3M"))</f>
        <v>46008</v>
      </c>
      <c r="BM71" s="32" cm="1">
        <f t="array" ref="BM71">VALUE(_xll.BDP($B71,"INTERVAL_DATE_OF_CALC_HI","CALC_INTERVAL","1M"))</f>
        <v>46051</v>
      </c>
      <c r="BN71" s="32" cm="1">
        <f t="array" ref="BN71">VALUE(_xll.BDP($B71,"INTERVAL_DATE_OF_CALC_LO","CALC_INTERVAL","1M"))</f>
        <v>46058</v>
      </c>
      <c r="BO71" s="15">
        <f>IFERROR(VLOOKUP($F71,PIVOT!$A:$C,2,FALSE),0)</f>
        <v>0</v>
      </c>
      <c r="BP71" s="15">
        <f>IFERROR(VLOOKUP($F71,PIVOT!$A:$C,3,FALSE),0)</f>
        <v>0</v>
      </c>
      <c r="BQ71" s="15">
        <f t="shared" si="39"/>
        <v>55.160368675978077</v>
      </c>
    </row>
    <row r="72" spans="1:69" x14ac:dyDescent="0.25">
      <c r="A72">
        <v>71</v>
      </c>
      <c r="B72" t="s">
        <v>90</v>
      </c>
      <c r="J72" s="24"/>
      <c r="K72" s="15">
        <f>_xll.BDP($B72,"interval_rsi","tech_studies_param1_override",14)</f>
        <v>63.156826031354264</v>
      </c>
      <c r="L72" s="15">
        <f t="shared" si="0"/>
        <v>52.525531939815814</v>
      </c>
      <c r="M72">
        <f t="shared" si="40"/>
        <v>1</v>
      </c>
      <c r="N72" cm="1">
        <f t="array" ref="N72">IFERROR(VALUE(_xll.BDP($B72,"px_last")),"")</f>
        <v>249.75</v>
      </c>
      <c r="O72">
        <f t="shared" si="1"/>
        <v>6941.47</v>
      </c>
      <c r="P72" cm="1">
        <f t="array" ref="P72">IFERROR(VALUE(_xll.BDP($B72,"PX_YEST_CLOSE")),"")</f>
        <v>236.62</v>
      </c>
      <c r="Q72">
        <f t="shared" si="2"/>
        <v>6941.81</v>
      </c>
      <c r="R72">
        <f t="shared" si="41"/>
        <v>3.5979410701191532E-2</v>
      </c>
      <c r="S72">
        <f t="shared" si="42"/>
        <v>3.408621094498409E-2</v>
      </c>
      <c r="T72" cm="1">
        <f t="array" ref="T72">IFERROR(VALUE(_xll.BDP($B72,"INTERVAL_MAE_MOV_AVG","CALC_INTERVAL","520D","TECH_STUDIES_PARAM1_OVERRIDE",50,"USE_PREVIOUS_BUSINESS_DAY","N")),"")</f>
        <v>229.37375655559998</v>
      </c>
      <c r="U72">
        <f t="shared" si="3"/>
        <v>6894.0953999999992</v>
      </c>
      <c r="V72" cm="1">
        <f t="array" ref="V72">IFERROR(VALUE(_xll.BDP($B72,"INTERVAL_MAE_MOV_AVG","CALC_INTERVAL","520D","TECH_STUDIES_PARAM1_OVERRIDE",50,"USE_PREVIOUS_BUSINESS_DAY","Y")),"")</f>
        <v>228.26022249079998</v>
      </c>
      <c r="W72">
        <f t="shared" si="4"/>
        <v>6892.2477999999992</v>
      </c>
      <c r="X72">
        <f t="shared" si="43"/>
        <v>3.3271044748757028E-2</v>
      </c>
      <c r="Y72">
        <f t="shared" si="44"/>
        <v>3.3118400428202827E-2</v>
      </c>
      <c r="Z72" s="11" t="str">
        <f t="shared" si="45"/>
        <v>POSITIVE</v>
      </c>
      <c r="AA72" s="11" t="str">
        <f t="shared" si="46"/>
        <v/>
      </c>
      <c r="AB72" s="11" t="str">
        <f t="shared" si="47"/>
        <v>UP</v>
      </c>
      <c r="AC72" s="6" t="str">
        <f t="shared" si="48"/>
        <v>POSITIVE</v>
      </c>
      <c r="AD72" cm="1">
        <f t="array" ref="AD72">IFERROR(VALUE(_xll.BDP($B72,"INTERVAL_MAE_MOV_AVG","CALC_INTERVAL","520D","TECH_STUDIES_PARAM1_OVERRIDE",65,"USE_PREVIOUS_BUSINESS_DAY","N")),"")</f>
        <v>221.33210635384617</v>
      </c>
      <c r="AE72">
        <f t="shared" si="5"/>
        <v>6856.0226153846133</v>
      </c>
      <c r="AF72" cm="1">
        <f t="array" ref="AF72">IFERROR(VALUE(_xll.BDP($B72,"INTERVAL_MAE_MOV_AVG","CALC_INTERVAL","520D","TECH_STUDIES_PARAM1_OVERRIDE",65,"USE_PREVIOUS_BUSINESS_DAY","Y")),"")</f>
        <v>220.65183132769232</v>
      </c>
      <c r="AG72">
        <f t="shared" si="6"/>
        <v>6852.6203076923057</v>
      </c>
      <c r="AH72">
        <f t="shared" si="49"/>
        <v>3.2282872850679732E-2</v>
      </c>
      <c r="AI72">
        <f t="shared" si="50"/>
        <v>3.2199628962369754E-2</v>
      </c>
      <c r="AJ72" s="10" t="str">
        <f t="shared" si="51"/>
        <v>UP</v>
      </c>
      <c r="AK72" s="10" t="str">
        <f t="shared" si="52"/>
        <v>UP</v>
      </c>
      <c r="AL72" s="6" t="str">
        <f t="shared" si="53"/>
        <v>POSITIVE</v>
      </c>
      <c r="AM72" cm="1">
        <f t="array" ref="AM72">IFERROR(VALUE(_xll.BDP($B72,"INTERVAL_MAE_MOV_AVG","CALC_INTERVAL","65W","PERIODICITY_OVERRIDE","W","TECH_STUDIES_PARAM1_OVERRIDE",39,"USE_PREVIOUS_BUSINESS_DAY","N")),"")</f>
        <v>218.00815478702842</v>
      </c>
      <c r="AN72">
        <f t="shared" si="7"/>
        <v>6560.7735897435905</v>
      </c>
      <c r="AO72" cm="1">
        <f t="array" ref="AO72">IFERROR(VALUE(_xll.BDP($B72,"INTERVAL_MAE_MOV_AVG","CALC_INTERVAL","65W","PERIODICITY_OVERRIDE","W","TECH_STUDIES_PARAM1_OVERRIDE",39,"USE_PREVIOUS_BUSINESS_DAY","Y")),"")</f>
        <v>217.67148812036172</v>
      </c>
      <c r="AP72">
        <f t="shared" si="8"/>
        <v>6560.7823076923087</v>
      </c>
      <c r="AQ72">
        <f t="shared" si="54"/>
        <v>3.3229031882435173E-2</v>
      </c>
      <c r="AR72">
        <f t="shared" si="55"/>
        <v>3.3177672709114099E-2</v>
      </c>
      <c r="AS72" s="10" t="str">
        <f t="shared" si="56"/>
        <v>UP</v>
      </c>
      <c r="AT72" s="10" t="str">
        <f t="shared" si="57"/>
        <v>UP</v>
      </c>
      <c r="AU72" s="6" t="str">
        <f t="shared" si="58"/>
        <v>POSITIVE</v>
      </c>
      <c r="AV72" cm="1">
        <f t="array" ref="AV72">IFERROR(VALUE(_xll.BDP($B72,"INTERVAL_exp_MOV_AVG","CALC_INTERVAL","520D","TECH_STUDIES_PARAM1_OVERRIDE",100,"USE_PREVIOUS_BUSINESS_DAY","N")),"")</f>
        <v>223.09205176623652</v>
      </c>
      <c r="AW72">
        <f t="shared" si="9"/>
        <v>6773.0064518682802</v>
      </c>
      <c r="AX72" cm="1">
        <f t="array" ref="AX72">IFERROR(VALUE(_xll.BDP($B72,"INTERVAL_exp_MOV_AVG","CALC_INTERVAL","520D","TECH_STUDIES_PARAM1_OVERRIDE",100,"USE_PREVIOUS_BUSINESS_DAY","Y")),"")</f>
        <v>222.55361250166257</v>
      </c>
      <c r="AY72">
        <f t="shared" si="10"/>
        <v>6769.6039787132295</v>
      </c>
      <c r="AZ72">
        <f t="shared" si="59"/>
        <v>3.2938408275795805E-2</v>
      </c>
      <c r="BA72">
        <f t="shared" si="60"/>
        <v>3.2875425682429016E-2</v>
      </c>
      <c r="BB72" s="11" t="str">
        <f t="shared" si="61"/>
        <v>UP</v>
      </c>
      <c r="BC72" s="11" t="str">
        <f t="shared" si="62"/>
        <v>UP</v>
      </c>
      <c r="BD72" s="6" t="str">
        <f t="shared" si="63"/>
        <v>POSITIVE</v>
      </c>
      <c r="BE72" s="12" cm="1">
        <f t="array" ref="BE72">_xll.BDP($B72, "INTERVAL_RSI", "TECH_STUDIES_PARAM1_OVERRIDE", "5", "PERIODICITY_OVERRIDE", "W")</f>
        <v>73.869948868514427</v>
      </c>
      <c r="BF72" cm="1">
        <f t="array" ref="BF72">IFERROR(VALUE(_xll.BDP($B72,"INTERVAL_MAE_MOV_AVG","CALC_INTERVAL","520D","TECH_STUDIES_PARAM1_OVERRIDE",31,"USE_PREVIOUS_BUSINESS_DAY","N")),"")</f>
        <v>232.09822580645164</v>
      </c>
      <c r="BG72" cm="1">
        <f t="array" ref="BG72">IFERROR(VALUE(_xll.BDP($B72,"INTERVAL_MAE_MOV_AVG","CALC_INTERVAL","760D","TECH_STUDIES_PARAM1_OVERRIDE",200,"USE_PREVIOUS_BUSINESS_DAY","N")),"")</f>
        <v>216.6549446502143</v>
      </c>
      <c r="BH72" s="13">
        <f t="shared" si="64"/>
        <v>7.6053033719733376E-2</v>
      </c>
      <c r="BI72" s="13">
        <f t="shared" si="65"/>
        <v>8.8834240457063007E-2</v>
      </c>
      <c r="BJ72" s="13">
        <f t="shared" si="66"/>
        <v>0.15275467358115047</v>
      </c>
      <c r="BK72" s="32" cm="1">
        <f t="array" ref="BK72">VALUE(_xll.BDP($B72,"INTERVAL_DATE_OF_CALC_HI","CALC_INTERVAL","3M"))</f>
        <v>46064</v>
      </c>
      <c r="BL72" s="32" cm="1">
        <f t="array" ref="BL72">VALUE(_xll.BDP($B72,"INTERVAL_DATE_OF_CALC_LO","CALC_INTERVAL","3M"))</f>
        <v>45981</v>
      </c>
      <c r="BM72" s="32" cm="1">
        <f t="array" ref="BM72">VALUE(_xll.BDP($B72,"INTERVAL_DATE_OF_CALC_HI","CALC_INTERVAL","1M"))</f>
        <v>46064</v>
      </c>
      <c r="BN72" s="32" cm="1">
        <f t="array" ref="BN72">VALUE(_xll.BDP($B72,"INTERVAL_DATE_OF_CALC_LO","CALC_INTERVAL","1M"))</f>
        <v>46056</v>
      </c>
      <c r="BO72" s="15">
        <f>IFERROR(VLOOKUP($F72,PIVOT!$A:$C,2,FALSE),0)</f>
        <v>0</v>
      </c>
      <c r="BP72" s="15">
        <f>IFERROR(VLOOKUP($F72,PIVOT!$A:$C,3,FALSE),0)</f>
        <v>0</v>
      </c>
      <c r="BQ72" s="15">
        <f t="shared" si="39"/>
        <v>63.156826031354264</v>
      </c>
    </row>
    <row r="73" spans="1:69" x14ac:dyDescent="0.25">
      <c r="A73">
        <v>72</v>
      </c>
      <c r="B73" t="s">
        <v>91</v>
      </c>
      <c r="J73" s="24"/>
      <c r="K73" s="15">
        <f>_xll.BDP($B73,"interval_rsi","tech_studies_param1_override",14)</f>
        <v>63.61366414551977</v>
      </c>
      <c r="L73" s="15">
        <f t="shared" si="0"/>
        <v>52.525531939815814</v>
      </c>
      <c r="M73">
        <f t="shared" si="40"/>
        <v>1</v>
      </c>
      <c r="N73" cm="1">
        <f t="array" ref="N73">IFERROR(VALUE(_xll.BDP($B73,"px_last")),"")</f>
        <v>194.46</v>
      </c>
      <c r="O73">
        <f t="shared" si="1"/>
        <v>6941.47</v>
      </c>
      <c r="P73" cm="1">
        <f t="array" ref="P73">IFERROR(VALUE(_xll.BDP($B73,"PX_YEST_CLOSE")),"")</f>
        <v>194.49</v>
      </c>
      <c r="Q73">
        <f t="shared" si="2"/>
        <v>6941.81</v>
      </c>
      <c r="R73">
        <f t="shared" si="41"/>
        <v>2.8014239058873697E-2</v>
      </c>
      <c r="S73">
        <f t="shared" si="42"/>
        <v>2.8017188600667549E-2</v>
      </c>
      <c r="T73" cm="1">
        <f t="array" ref="T73">IFERROR(VALUE(_xll.BDP($B73,"INTERVAL_MAE_MOV_AVG","CALC_INTERVAL","520D","TECH_STUDIES_PARAM1_OVERRIDE",50,"USE_PREVIOUS_BUSINESS_DAY","N")),"")</f>
        <v>168.62617300887734</v>
      </c>
      <c r="U73">
        <f t="shared" si="3"/>
        <v>6894.0953999999992</v>
      </c>
      <c r="V73" cm="1">
        <f t="array" ref="V73">IFERROR(VALUE(_xll.BDP($B73,"INTERVAL_MAE_MOV_AVG","CALC_INTERVAL","520D","TECH_STUDIES_PARAM1_OVERRIDE",50,"USE_PREVIOUS_BUSINESS_DAY","Y")),"")</f>
        <v>167.43741809640002</v>
      </c>
      <c r="W73">
        <f t="shared" si="4"/>
        <v>6892.2477999999992</v>
      </c>
      <c r="X73">
        <f t="shared" si="43"/>
        <v>2.445950675542978E-2</v>
      </c>
      <c r="Y73">
        <f t="shared" si="44"/>
        <v>2.4293586498210357E-2</v>
      </c>
      <c r="Z73" s="11" t="str">
        <f t="shared" si="45"/>
        <v>POSITIVE</v>
      </c>
      <c r="AA73" s="11" t="str">
        <f t="shared" si="46"/>
        <v/>
      </c>
      <c r="AB73" s="11" t="str">
        <f t="shared" si="47"/>
        <v>UP</v>
      </c>
      <c r="AC73" s="6" t="str">
        <f t="shared" si="48"/>
        <v>POSITIVE</v>
      </c>
      <c r="AD73" cm="1">
        <f t="array" ref="AD73">IFERROR(VALUE(_xll.BDP($B73,"INTERVAL_MAE_MOV_AVG","CALC_INTERVAL","520D","TECH_STUDIES_PARAM1_OVERRIDE",65,"USE_PREVIOUS_BUSINESS_DAY","N")),"")</f>
        <v>160.56280530298255</v>
      </c>
      <c r="AE73">
        <f t="shared" si="5"/>
        <v>6856.0226153846133</v>
      </c>
      <c r="AF73" cm="1">
        <f t="array" ref="AF73">IFERROR(VALUE(_xll.BDP($B73,"INTERVAL_MAE_MOV_AVG","CALC_INTERVAL","520D","TECH_STUDIES_PARAM1_OVERRIDE",65,"USE_PREVIOUS_BUSINESS_DAY","Y")),"")</f>
        <v>159.68522845338464</v>
      </c>
      <c r="AG73">
        <f t="shared" si="6"/>
        <v>6852.6203076923057</v>
      </c>
      <c r="AH73">
        <f t="shared" si="49"/>
        <v>2.3419235074091892E-2</v>
      </c>
      <c r="AI73">
        <f t="shared" si="50"/>
        <v>2.3302798241153444E-2</v>
      </c>
      <c r="AJ73" s="10" t="str">
        <f t="shared" si="51"/>
        <v>UP</v>
      </c>
      <c r="AK73" s="10" t="str">
        <f t="shared" si="52"/>
        <v>UP</v>
      </c>
      <c r="AL73" s="6" t="str">
        <f t="shared" si="53"/>
        <v>POSITIVE</v>
      </c>
      <c r="AM73" cm="1">
        <f t="array" ref="AM73">IFERROR(VALUE(_xll.BDP($B73,"INTERVAL_MAE_MOV_AVG","CALC_INTERVAL","65W","PERIODICITY_OVERRIDE","W","TECH_STUDIES_PARAM1_OVERRIDE",39,"USE_PREVIOUS_BUSINESS_DAY","N")),"")</f>
        <v>155.26999462472645</v>
      </c>
      <c r="AN73">
        <f t="shared" si="7"/>
        <v>6560.7735897435905</v>
      </c>
      <c r="AO73" cm="1">
        <f t="array" ref="AO73">IFERROR(VALUE(_xll.BDP($B73,"INTERVAL_MAE_MOV_AVG","CALC_INTERVAL","65W","PERIODICITY_OVERRIDE","W","TECH_STUDIES_PARAM1_OVERRIDE",39,"USE_PREVIOUS_BUSINESS_DAY","Y")),"")</f>
        <v>155.27076368334522</v>
      </c>
      <c r="AP73">
        <f t="shared" si="8"/>
        <v>6560.7823076923087</v>
      </c>
      <c r="AQ73">
        <f t="shared" si="54"/>
        <v>2.3666415629318302E-2</v>
      </c>
      <c r="AR73">
        <f t="shared" si="55"/>
        <v>2.366650140201957E-2</v>
      </c>
      <c r="AS73" s="10" t="str">
        <f t="shared" si="56"/>
        <v>DOWN</v>
      </c>
      <c r="AT73" s="10" t="str">
        <f t="shared" si="57"/>
        <v>DOWN</v>
      </c>
      <c r="AU73" s="6" t="str">
        <f t="shared" si="58"/>
        <v>POSITIVE</v>
      </c>
      <c r="AV73" cm="1">
        <f t="array" ref="AV73">IFERROR(VALUE(_xll.BDP($B73,"INTERVAL_exp_MOV_AVG","CALC_INTERVAL","520D","TECH_STUDIES_PARAM1_OVERRIDE",100,"USE_PREVIOUS_BUSINESS_DAY","N")),"")</f>
        <v>162.22499009448191</v>
      </c>
      <c r="AW73">
        <f t="shared" si="9"/>
        <v>6773.0064518682802</v>
      </c>
      <c r="AX73" cm="1">
        <f t="array" ref="AX73">IFERROR(VALUE(_xll.BDP($B73,"INTERVAL_exp_MOV_AVG","CALC_INTERVAL","520D","TECH_STUDIES_PARAM1_OVERRIDE",100,"USE_PREVIOUS_BUSINESS_DAY","Y")),"")</f>
        <v>161.57385335506197</v>
      </c>
      <c r="AY73">
        <f t="shared" si="10"/>
        <v>6769.6039787132295</v>
      </c>
      <c r="AZ73">
        <f t="shared" si="59"/>
        <v>2.3951695786401241E-2</v>
      </c>
      <c r="BA73">
        <f t="shared" si="60"/>
        <v>2.3867548805384334E-2</v>
      </c>
      <c r="BB73" s="11" t="str">
        <f t="shared" si="61"/>
        <v>UP</v>
      </c>
      <c r="BC73" s="11" t="str">
        <f t="shared" si="62"/>
        <v>UP</v>
      </c>
      <c r="BD73" s="6" t="str">
        <f t="shared" si="63"/>
        <v>POSITIVE</v>
      </c>
      <c r="BE73" s="12" cm="1">
        <f t="array" ref="BE73">_xll.BDP($B73, "INTERVAL_RSI", "TECH_STUDIES_PARAM1_OVERRIDE", "5", "PERIODICITY_OVERRIDE", "W")</f>
        <v>75.447431601606183</v>
      </c>
      <c r="BF73" cm="1">
        <f t="array" ref="BF73">IFERROR(VALUE(_xll.BDP($B73,"INTERVAL_MAE_MOV_AVG","CALC_INTERVAL","520D","TECH_STUDIES_PARAM1_OVERRIDE",31,"USE_PREVIOUS_BUSINESS_DAY","N")),"")</f>
        <v>177.16096795851186</v>
      </c>
      <c r="BG73" cm="1">
        <f t="array" ref="BG73">IFERROR(VALUE(_xll.BDP($B73,"INTERVAL_MAE_MOV_AVG","CALC_INTERVAL","760D","TECH_STUDIES_PARAM1_OVERRIDE",200,"USE_PREVIOUS_BUSINESS_DAY","N")),"")</f>
        <v>155.0664257979835</v>
      </c>
      <c r="BH73" s="13">
        <f t="shared" si="64"/>
        <v>9.764584287854694E-2</v>
      </c>
      <c r="BI73" s="13">
        <f t="shared" si="65"/>
        <v>0.15320176298944199</v>
      </c>
      <c r="BJ73" s="13">
        <f t="shared" si="66"/>
        <v>0.25404322050562667</v>
      </c>
      <c r="BK73" s="32" cm="1">
        <f t="array" ref="BK73">VALUE(_xll.BDP($B73,"INTERVAL_DATE_OF_CALC_HI","CALC_INTERVAL","3M"))</f>
        <v>46057</v>
      </c>
      <c r="BL73" s="32" cm="1">
        <f t="array" ref="BL73">VALUE(_xll.BDP($B73,"INTERVAL_DATE_OF_CALC_LO","CALC_INTERVAL","3M"))</f>
        <v>45981</v>
      </c>
      <c r="BM73" s="32" cm="1">
        <f t="array" ref="BM73">VALUE(_xll.BDP($B73,"INTERVAL_DATE_OF_CALC_HI","CALC_INTERVAL","1M"))</f>
        <v>46057</v>
      </c>
      <c r="BN73" s="32" cm="1">
        <f t="array" ref="BN73">VALUE(_xll.BDP($B73,"INTERVAL_DATE_OF_CALC_LO","CALC_INTERVAL","1M"))</f>
        <v>46042</v>
      </c>
      <c r="BO73" s="15">
        <f>IFERROR(VLOOKUP($F73,PIVOT!$A:$C,2,FALSE),0)</f>
        <v>0</v>
      </c>
      <c r="BP73" s="15">
        <f>IFERROR(VLOOKUP($F73,PIVOT!$A:$C,3,FALSE),0)</f>
        <v>0</v>
      </c>
      <c r="BQ73" s="15">
        <f t="shared" si="39"/>
        <v>63.61366414551977</v>
      </c>
    </row>
    <row r="74" spans="1:69" x14ac:dyDescent="0.25">
      <c r="A74">
        <v>73</v>
      </c>
      <c r="B74" t="s">
        <v>93</v>
      </c>
      <c r="J74" s="24"/>
      <c r="K74" s="15">
        <f>_xll.BDP($B74,"interval_rsi","tech_studies_param1_override",14)</f>
        <v>44.606488119614944</v>
      </c>
      <c r="L74" s="15">
        <f t="shared" si="0"/>
        <v>52.525531939815814</v>
      </c>
      <c r="M74">
        <f t="shared" si="40"/>
        <v>0</v>
      </c>
      <c r="N74" cm="1">
        <f t="array" ref="N74">IFERROR(VALUE(_xll.BDP($B74,"px_last")),"")</f>
        <v>94.11</v>
      </c>
      <c r="O74">
        <f t="shared" si="1"/>
        <v>6941.47</v>
      </c>
      <c r="P74" cm="1">
        <f t="array" ref="P74">IFERROR(VALUE(_xll.BDP($B74,"PX_YEST_CLOSE")),"")</f>
        <v>93.44</v>
      </c>
      <c r="Q74">
        <f t="shared" si="2"/>
        <v>6941.81</v>
      </c>
      <c r="R74">
        <f t="shared" si="41"/>
        <v>1.3557647011367909E-2</v>
      </c>
      <c r="S74">
        <f t="shared" si="42"/>
        <v>1.3460466362519284E-2</v>
      </c>
      <c r="T74" cm="1">
        <f t="array" ref="T74">IFERROR(VALUE(_xll.BDP($B74,"INTERVAL_MAE_MOV_AVG","CALC_INTERVAL","520D","TECH_STUDIES_PARAM1_OVERRIDE",50,"USE_PREVIOUS_BUSINESS_DAY","N")),"")</f>
        <v>95.015200012207046</v>
      </c>
      <c r="U74">
        <f t="shared" si="3"/>
        <v>6894.0953999999992</v>
      </c>
      <c r="V74" cm="1">
        <f t="array" ref="V74">IFERROR(VALUE(_xll.BDP($B74,"INTERVAL_MAE_MOV_AVG","CALC_INTERVAL","520D","TECH_STUDIES_PARAM1_OVERRIDE",50,"USE_PREVIOUS_BUSINESS_DAY","Y")),"")</f>
        <v>95.167000000000016</v>
      </c>
      <c r="W74">
        <f t="shared" si="4"/>
        <v>6892.2477999999992</v>
      </c>
      <c r="X74">
        <f t="shared" si="43"/>
        <v>1.3782112735516694E-2</v>
      </c>
      <c r="Y74">
        <f t="shared" si="44"/>
        <v>1.3807832039933333E-2</v>
      </c>
      <c r="Z74" s="11" t="str">
        <f t="shared" si="45"/>
        <v>NEGATIVE</v>
      </c>
      <c r="AA74" s="11" t="str">
        <f t="shared" si="46"/>
        <v/>
      </c>
      <c r="AB74" s="11" t="str">
        <f t="shared" si="47"/>
        <v>DOWN</v>
      </c>
      <c r="AC74" s="6" t="str">
        <f t="shared" si="48"/>
        <v>NEGATIVE</v>
      </c>
      <c r="AD74" cm="1">
        <f t="array" ref="AD74">IFERROR(VALUE(_xll.BDP($B74,"INTERVAL_MAE_MOV_AVG","CALC_INTERVAL","520D","TECH_STUDIES_PARAM1_OVERRIDE",65,"USE_PREVIOUS_BUSINESS_DAY","N")),"")</f>
        <v>96.000461547851614</v>
      </c>
      <c r="AE74">
        <f t="shared" si="5"/>
        <v>6856.0226153846133</v>
      </c>
      <c r="AF74" cm="1">
        <f t="array" ref="AF74">IFERROR(VALUE(_xll.BDP($B74,"INTERVAL_MAE_MOV_AVG","CALC_INTERVAL","520D","TECH_STUDIES_PARAM1_OVERRIDE",65,"USE_PREVIOUS_BUSINESS_DAY","Y")),"")</f>
        <v>96.014153846153889</v>
      </c>
      <c r="AG74">
        <f t="shared" si="6"/>
        <v>6852.6203076923057</v>
      </c>
      <c r="AH74">
        <f t="shared" si="49"/>
        <v>1.400235485402729E-2</v>
      </c>
      <c r="AI74">
        <f t="shared" si="50"/>
        <v>1.4011305097172048E-2</v>
      </c>
      <c r="AJ74" s="10" t="str">
        <f t="shared" si="51"/>
        <v>DOWN</v>
      </c>
      <c r="AK74" s="10" t="str">
        <f t="shared" si="52"/>
        <v>DOWN</v>
      </c>
      <c r="AL74" s="6" t="str">
        <f t="shared" si="53"/>
        <v>NEGATIVE</v>
      </c>
      <c r="AM74" cm="1">
        <f t="array" ref="AM74">IFERROR(VALUE(_xll.BDP($B74,"INTERVAL_MAE_MOV_AVG","CALC_INTERVAL","65W","PERIODICITY_OVERRIDE","W","TECH_STUDIES_PARAM1_OVERRIDE",39,"USE_PREVIOUS_BUSINESS_DAY","N")),"")</f>
        <v>97.128957280607281</v>
      </c>
      <c r="AN74">
        <f t="shared" si="7"/>
        <v>6560.7735897435905</v>
      </c>
      <c r="AO74" cm="1">
        <f t="array" ref="AO74">IFERROR(VALUE(_xll.BDP($B74,"INTERVAL_MAE_MOV_AVG","CALC_INTERVAL","65W","PERIODICITY_OVERRIDE","W","TECH_STUDIES_PARAM1_OVERRIDE",39,"USE_PREVIOUS_BUSINESS_DAY","Y")),"")</f>
        <v>97.111777777777746</v>
      </c>
      <c r="AP74">
        <f t="shared" si="8"/>
        <v>6560.7823076923087</v>
      </c>
      <c r="AQ74">
        <f t="shared" si="54"/>
        <v>1.4804497663575569E-2</v>
      </c>
      <c r="AR74">
        <f t="shared" si="55"/>
        <v>1.4801859477019574E-2</v>
      </c>
      <c r="AS74" s="10" t="str">
        <f t="shared" si="56"/>
        <v>UP</v>
      </c>
      <c r="AT74" s="10" t="str">
        <f t="shared" si="57"/>
        <v>UP</v>
      </c>
      <c r="AU74" s="6" t="str">
        <f t="shared" si="58"/>
        <v>NEGATIVE</v>
      </c>
      <c r="AV74" cm="1">
        <f t="array" ref="AV74">IFERROR(VALUE(_xll.BDP($B74,"INTERVAL_exp_MOV_AVG","CALC_INTERVAL","520D","TECH_STUDIES_PARAM1_OVERRIDE",100,"USE_PREVIOUS_BUSINESS_DAY","N")),"")</f>
        <v>96.511338676326247</v>
      </c>
      <c r="AW74">
        <f t="shared" si="9"/>
        <v>6773.0064518682802</v>
      </c>
      <c r="AX74" cm="1">
        <f t="array" ref="AX74">IFERROR(VALUE(_xll.BDP($B74,"INTERVAL_exp_MOV_AVG","CALC_INTERVAL","520D","TECH_STUDIES_PARAM1_OVERRIDE",100,"USE_PREVIOUS_BUSINESS_DAY","Y")),"")</f>
        <v>96.559846604463573</v>
      </c>
      <c r="AY74">
        <f t="shared" si="10"/>
        <v>6769.6039787132295</v>
      </c>
      <c r="AZ74">
        <f t="shared" si="59"/>
        <v>1.4249408938582122E-2</v>
      </c>
      <c r="BA74">
        <f t="shared" si="60"/>
        <v>1.4263736388139167E-2</v>
      </c>
      <c r="BB74" s="11" t="str">
        <f t="shared" si="61"/>
        <v>DOWN</v>
      </c>
      <c r="BC74" s="11" t="str">
        <f t="shared" si="62"/>
        <v>DOWN</v>
      </c>
      <c r="BD74" s="6" t="str">
        <f t="shared" si="63"/>
        <v>NEGATIVE</v>
      </c>
      <c r="BE74" s="12" cm="1">
        <f t="array" ref="BE74">_xll.BDP($B74, "INTERVAL_RSI", "TECH_STUDIES_PARAM1_OVERRIDE", "5", "PERIODICITY_OVERRIDE", "W")</f>
        <v>42.236830051162961</v>
      </c>
      <c r="BF74" cm="1">
        <f t="array" ref="BF74">IFERROR(VALUE(_xll.BDP($B74,"INTERVAL_MAE_MOV_AVG","CALC_INTERVAL","520D","TECH_STUDIES_PARAM1_OVERRIDE",31,"USE_PREVIOUS_BUSINESS_DAY","N")),"")</f>
        <v>95.047096793882318</v>
      </c>
      <c r="BG74" cm="1">
        <f t="array" ref="BG74">IFERROR(VALUE(_xll.BDP($B74,"INTERVAL_MAE_MOV_AVG","CALC_INTERVAL","760D","TECH_STUDIES_PARAM1_OVERRIDE",200,"USE_PREVIOUS_BUSINESS_DAY","N")),"")</f>
        <v>96.772908336385157</v>
      </c>
      <c r="BH74" s="13">
        <f t="shared" si="64"/>
        <v>-9.859288978752212E-3</v>
      </c>
      <c r="BI74" s="13">
        <f t="shared" si="65"/>
        <v>-9.526896876402402E-3</v>
      </c>
      <c r="BJ74" s="13">
        <f t="shared" si="66"/>
        <v>-2.7517084917287216E-2</v>
      </c>
      <c r="BK74" s="32" cm="1">
        <f t="array" ref="BK74">VALUE(_xll.BDP($B74,"INTERVAL_DATE_OF_CALC_HI","CALC_INTERVAL","3M"))</f>
        <v>45989</v>
      </c>
      <c r="BL74" s="32" cm="1">
        <f t="array" ref="BL74">VALUE(_xll.BDP($B74,"INTERVAL_DATE_OF_CALC_LO","CALC_INTERVAL","3M"))</f>
        <v>46024</v>
      </c>
      <c r="BM74" s="32" cm="1">
        <f t="array" ref="BM74">VALUE(_xll.BDP($B74,"INTERVAL_DATE_OF_CALC_HI","CALC_INTERVAL","1M"))</f>
        <v>46050</v>
      </c>
      <c r="BN74" s="32" cm="1">
        <f t="array" ref="BN74">VALUE(_xll.BDP($B74,"INTERVAL_DATE_OF_CALC_LO","CALC_INTERVAL","1M"))</f>
        <v>46062</v>
      </c>
      <c r="BO74" s="15">
        <f>IFERROR(VLOOKUP($F74,PIVOT!$A:$C,2,FALSE),0)</f>
        <v>0</v>
      </c>
      <c r="BP74" s="15">
        <f>IFERROR(VLOOKUP($F74,PIVOT!$A:$C,3,FALSE),0)</f>
        <v>0</v>
      </c>
      <c r="BQ74" s="15">
        <f t="shared" si="39"/>
        <v>44.606488119614944</v>
      </c>
    </row>
    <row r="75" spans="1:69" x14ac:dyDescent="0.25">
      <c r="A75">
        <v>74</v>
      </c>
      <c r="B75" t="s">
        <v>94</v>
      </c>
      <c r="J75" s="24"/>
      <c r="K75" s="15">
        <f>_xll.BDP($B75,"interval_rsi","tech_studies_param1_override",14)</f>
        <v>36.97062833238499</v>
      </c>
      <c r="L75" s="15">
        <f t="shared" si="0"/>
        <v>52.525531939815814</v>
      </c>
      <c r="M75">
        <f t="shared" si="40"/>
        <v>0</v>
      </c>
      <c r="N75" cm="1">
        <f t="array" ref="N75">IFERROR(VALUE(_xll.BDP($B75,"px_last")),"")</f>
        <v>165.3</v>
      </c>
      <c r="O75">
        <f t="shared" si="1"/>
        <v>6941.47</v>
      </c>
      <c r="P75" cm="1">
        <f t="array" ref="P75">IFERROR(VALUE(_xll.BDP($B75,"PX_YEST_CLOSE")),"")</f>
        <v>165.51</v>
      </c>
      <c r="Q75">
        <f t="shared" si="2"/>
        <v>6941.81</v>
      </c>
      <c r="R75">
        <f t="shared" si="41"/>
        <v>2.3813399755383227E-2</v>
      </c>
      <c r="S75">
        <f t="shared" si="42"/>
        <v>2.3842484885065997E-2</v>
      </c>
      <c r="T75" cm="1">
        <f t="array" ref="T75">IFERROR(VALUE(_xll.BDP($B75,"INTERVAL_MAE_MOV_AVG","CALC_INTERVAL","520D","TECH_STUDIES_PARAM1_OVERRIDE",50,"USE_PREVIOUS_BUSINESS_DAY","N")),"")</f>
        <v>183.8096000610351</v>
      </c>
      <c r="U75">
        <f t="shared" si="3"/>
        <v>6894.0953999999992</v>
      </c>
      <c r="V75" cm="1">
        <f t="array" ref="V75">IFERROR(VALUE(_xll.BDP($B75,"INTERVAL_MAE_MOV_AVG","CALC_INTERVAL","520D","TECH_STUDIES_PARAM1_OVERRIDE",50,"USE_PREVIOUS_BUSINESS_DAY","Y")),"")</f>
        <v>184.30619999999993</v>
      </c>
      <c r="W75">
        <f t="shared" si="4"/>
        <v>6892.2477999999992</v>
      </c>
      <c r="X75">
        <f t="shared" si="43"/>
        <v>2.6661888093546707E-2</v>
      </c>
      <c r="Y75">
        <f t="shared" si="44"/>
        <v>2.6741087283599984E-2</v>
      </c>
      <c r="Z75" s="11" t="str">
        <f t="shared" si="45"/>
        <v>NEGATIVE</v>
      </c>
      <c r="AA75" s="11" t="str">
        <f t="shared" si="46"/>
        <v/>
      </c>
      <c r="AB75" s="11" t="str">
        <f t="shared" si="47"/>
        <v>DOWN</v>
      </c>
      <c r="AC75" s="6" t="str">
        <f t="shared" si="48"/>
        <v>NEGATIVE</v>
      </c>
      <c r="AD75" cm="1">
        <f t="array" ref="AD75">IFERROR(VALUE(_xll.BDP($B75,"INTERVAL_MAE_MOV_AVG","CALC_INTERVAL","520D","TECH_STUDIES_PARAM1_OVERRIDE",65,"USE_PREVIOUS_BUSINESS_DAY","N")),"")</f>
        <v>187.3083846623347</v>
      </c>
      <c r="AE75">
        <f t="shared" si="5"/>
        <v>6856.0226153846133</v>
      </c>
      <c r="AF75" cm="1">
        <f t="array" ref="AF75">IFERROR(VALUE(_xll.BDP($B75,"INTERVAL_MAE_MOV_AVG","CALC_INTERVAL","520D","TECH_STUDIES_PARAM1_OVERRIDE",65,"USE_PREVIOUS_BUSINESS_DAY","Y")),"")</f>
        <v>188.01715384615383</v>
      </c>
      <c r="AG75">
        <f t="shared" si="6"/>
        <v>6852.6203076923057</v>
      </c>
      <c r="AH75">
        <f t="shared" si="49"/>
        <v>2.7320269370468955E-2</v>
      </c>
      <c r="AI75">
        <f t="shared" si="50"/>
        <v>2.7437264200250232E-2</v>
      </c>
      <c r="AJ75" s="10" t="str">
        <f t="shared" si="51"/>
        <v>DOWN</v>
      </c>
      <c r="AK75" s="10" t="str">
        <f t="shared" si="52"/>
        <v>DOWN</v>
      </c>
      <c r="AL75" s="6" t="str">
        <f t="shared" si="53"/>
        <v>NEGATIVE</v>
      </c>
      <c r="AM75" cm="1">
        <f t="array" ref="AM75">IFERROR(VALUE(_xll.BDP($B75,"INTERVAL_MAE_MOV_AVG","CALC_INTERVAL","65W","PERIODICITY_OVERRIDE","W","TECH_STUDIES_PARAM1_OVERRIDE",39,"USE_PREVIOUS_BUSINESS_DAY","N")),"")</f>
        <v>192.64294879619894</v>
      </c>
      <c r="AN75">
        <f t="shared" si="7"/>
        <v>6560.7735897435905</v>
      </c>
      <c r="AO75" cm="1">
        <f t="array" ref="AO75">IFERROR(VALUE(_xll.BDP($B75,"INTERVAL_MAE_MOV_AVG","CALC_INTERVAL","65W","PERIODICITY_OVERRIDE","W","TECH_STUDIES_PARAM1_OVERRIDE",39,"USE_PREVIOUS_BUSINESS_DAY","Y")),"")</f>
        <v>192.64833333333337</v>
      </c>
      <c r="AP75">
        <f t="shared" si="8"/>
        <v>6560.7823076923087</v>
      </c>
      <c r="AQ75">
        <f t="shared" si="54"/>
        <v>2.9362840549376105E-2</v>
      </c>
      <c r="AR75">
        <f t="shared" si="55"/>
        <v>2.9363622247831532E-2</v>
      </c>
      <c r="AS75" s="10" t="str">
        <f t="shared" si="56"/>
        <v>DOWN</v>
      </c>
      <c r="AT75" s="10" t="str">
        <f t="shared" si="57"/>
        <v>DOWN</v>
      </c>
      <c r="AU75" s="6" t="str">
        <f t="shared" si="58"/>
        <v>NEGATIVE</v>
      </c>
      <c r="AV75" cm="1">
        <f t="array" ref="AV75">IFERROR(VALUE(_xll.BDP($B75,"INTERVAL_exp_MOV_AVG","CALC_INTERVAL","520D","TECH_STUDIES_PARAM1_OVERRIDE",100,"USE_PREVIOUS_BUSINESS_DAY","N")),"")</f>
        <v>188.3197608639156</v>
      </c>
      <c r="AW75">
        <f t="shared" si="9"/>
        <v>6773.0064518682802</v>
      </c>
      <c r="AX75" cm="1">
        <f t="array" ref="AX75">IFERROR(VALUE(_xll.BDP($B75,"INTERVAL_exp_MOV_AVG","CALC_INTERVAL","520D","TECH_STUDIES_PARAM1_OVERRIDE",100,"USE_PREVIOUS_BUSINESS_DAY","Y")),"")</f>
        <v>188.78483735761861</v>
      </c>
      <c r="AY75">
        <f t="shared" si="10"/>
        <v>6769.6039787132295</v>
      </c>
      <c r="AZ75">
        <f t="shared" si="59"/>
        <v>2.7804456145463893E-2</v>
      </c>
      <c r="BA75">
        <f t="shared" si="60"/>
        <v>2.7887131647766336E-2</v>
      </c>
      <c r="BB75" s="11" t="str">
        <f t="shared" si="61"/>
        <v>DOWN</v>
      </c>
      <c r="BC75" s="11" t="str">
        <f t="shared" si="62"/>
        <v>DOWN</v>
      </c>
      <c r="BD75" s="6" t="str">
        <f t="shared" si="63"/>
        <v>NEGATIVE</v>
      </c>
      <c r="BE75" s="12" cm="1">
        <f t="array" ref="BE75">_xll.BDP($B75, "INTERVAL_RSI", "TECH_STUDIES_PARAM1_OVERRIDE", "5", "PERIODICITY_OVERRIDE", "W")</f>
        <v>30.2137484004122</v>
      </c>
      <c r="BF75" cm="1">
        <f t="array" ref="BF75">IFERROR(VALUE(_xll.BDP($B75,"INTERVAL_MAE_MOV_AVG","CALC_INTERVAL","520D","TECH_STUDIES_PARAM1_OVERRIDE",31,"USE_PREVIOUS_BUSINESS_DAY","N")),"")</f>
        <v>179.90032267908893</v>
      </c>
      <c r="BG75" cm="1">
        <f t="array" ref="BG75">IFERROR(VALUE(_xll.BDP($B75,"INTERVAL_MAE_MOV_AVG","CALC_INTERVAL","760D","TECH_STUDIES_PARAM1_OVERRIDE",200,"USE_PREVIOUS_BUSINESS_DAY","N")),"")</f>
        <v>193.44807501525881</v>
      </c>
      <c r="BH75" s="13">
        <f t="shared" si="64"/>
        <v>-8.1157845976370879E-2</v>
      </c>
      <c r="BI75" s="13">
        <f t="shared" si="65"/>
        <v>-0.10069985493080269</v>
      </c>
      <c r="BJ75" s="13">
        <f t="shared" si="66"/>
        <v>-0.14550713421696515</v>
      </c>
      <c r="BK75" s="32" cm="1">
        <f t="array" ref="BK75">VALUE(_xll.BDP($B75,"INTERVAL_DATE_OF_CALC_HI","CALC_INTERVAL","3M"))</f>
        <v>45972</v>
      </c>
      <c r="BL75" s="32" cm="1">
        <f t="array" ref="BL75">VALUE(_xll.BDP($B75,"INTERVAL_DATE_OF_CALC_LO","CALC_INTERVAL","3M"))</f>
        <v>46058</v>
      </c>
      <c r="BM75" s="32" cm="1">
        <f t="array" ref="BM75">VALUE(_xll.BDP($B75,"INTERVAL_DATE_OF_CALC_HI","CALC_INTERVAL","1M"))</f>
        <v>46036</v>
      </c>
      <c r="BN75" s="32" cm="1">
        <f t="array" ref="BN75">VALUE(_xll.BDP($B75,"INTERVAL_DATE_OF_CALC_LO","CALC_INTERVAL","1M"))</f>
        <v>46058</v>
      </c>
      <c r="BO75" s="15">
        <f>IFERROR(VLOOKUP($F75,PIVOT!$A:$C,2,FALSE),0)</f>
        <v>0</v>
      </c>
      <c r="BP75" s="15">
        <f>IFERROR(VLOOKUP($F75,PIVOT!$A:$C,3,FALSE),0)</f>
        <v>0</v>
      </c>
      <c r="BQ75" s="15">
        <f t="shared" si="39"/>
        <v>36.97062833238499</v>
      </c>
    </row>
    <row r="76" spans="1:69" x14ac:dyDescent="0.25">
      <c r="A76">
        <v>75</v>
      </c>
      <c r="B76" t="s">
        <v>95</v>
      </c>
      <c r="J76" s="24"/>
      <c r="K76" s="15">
        <f>_xll.BDP($B76,"interval_rsi","tech_studies_param1_override",14)</f>
        <v>25.004754196245287</v>
      </c>
      <c r="L76" s="15">
        <f t="shared" si="0"/>
        <v>52.525531939815814</v>
      </c>
      <c r="M76">
        <f t="shared" si="40"/>
        <v>0</v>
      </c>
      <c r="N76" cm="1">
        <f t="array" ref="N76">IFERROR(VALUE(_xll.BDP($B76,"px_last")),"")</f>
        <v>94.84</v>
      </c>
      <c r="O76">
        <f t="shared" si="1"/>
        <v>6941.47</v>
      </c>
      <c r="P76" cm="1">
        <f t="array" ref="P76">IFERROR(VALUE(_xll.BDP($B76,"PX_YEST_CLOSE")),"")</f>
        <v>99.03</v>
      </c>
      <c r="Q76">
        <f t="shared" si="2"/>
        <v>6941.81</v>
      </c>
      <c r="R76">
        <f t="shared" si="41"/>
        <v>1.366281205565968E-2</v>
      </c>
      <c r="S76">
        <f t="shared" si="42"/>
        <v>1.4265731848033869E-2</v>
      </c>
      <c r="T76" cm="1">
        <f t="array" ref="T76">IFERROR(VALUE(_xll.BDP($B76,"INTERVAL_MAE_MOV_AVG","CALC_INTERVAL","520D","TECH_STUDIES_PARAM1_OVERRIDE",50,"USE_PREVIOUS_BUSINESS_DAY","N")),"")</f>
        <v>108.20710064315782</v>
      </c>
      <c r="U76">
        <f t="shared" si="3"/>
        <v>6894.0953999999992</v>
      </c>
      <c r="V76" cm="1">
        <f t="array" ref="V76">IFERROR(VALUE(_xll.BDP($B76,"INTERVAL_MAE_MOV_AVG","CALC_INTERVAL","520D","TECH_STUDIES_PARAM1_OVERRIDE",50,"USE_PREVIOUS_BUSINESS_DAY","Y")),"")</f>
        <v>108.52111044679999</v>
      </c>
      <c r="W76">
        <f t="shared" si="4"/>
        <v>6892.2477999999992</v>
      </c>
      <c r="X76">
        <f t="shared" si="43"/>
        <v>1.5695619855094815E-2</v>
      </c>
      <c r="Y76">
        <f t="shared" si="44"/>
        <v>1.5745387222844773E-2</v>
      </c>
      <c r="Z76" s="11" t="str">
        <f t="shared" si="45"/>
        <v>NEGATIVE</v>
      </c>
      <c r="AA76" s="11" t="str">
        <f t="shared" si="46"/>
        <v/>
      </c>
      <c r="AB76" s="11" t="str">
        <f t="shared" si="47"/>
        <v>DOWN</v>
      </c>
      <c r="AC76" s="6" t="str">
        <f t="shared" si="48"/>
        <v>NEGATIVE</v>
      </c>
      <c r="AD76" cm="1">
        <f t="array" ref="AD76">IFERROR(VALUE(_xll.BDP($B76,"INTERVAL_MAE_MOV_AVG","CALC_INTERVAL","520D","TECH_STUDIES_PARAM1_OVERRIDE",65,"USE_PREVIOUS_BUSINESS_DAY","N")),"")</f>
        <v>108.58935270581371</v>
      </c>
      <c r="AE76">
        <f t="shared" si="5"/>
        <v>6856.0226153846133</v>
      </c>
      <c r="AF76" cm="1">
        <f t="array" ref="AF76">IFERROR(VALUE(_xll.BDP($B76,"INTERVAL_MAE_MOV_AVG","CALC_INTERVAL","520D","TECH_STUDIES_PARAM1_OVERRIDE",65,"USE_PREVIOUS_BUSINESS_DAY","Y")),"")</f>
        <v>108.83165962871003</v>
      </c>
      <c r="AG76">
        <f t="shared" si="6"/>
        <v>6852.6203076923057</v>
      </c>
      <c r="AH76">
        <f t="shared" si="49"/>
        <v>1.5838534788689872E-2</v>
      </c>
      <c r="AI76">
        <f t="shared" si="50"/>
        <v>1.5881758326306609E-2</v>
      </c>
      <c r="AJ76" s="10" t="str">
        <f t="shared" si="51"/>
        <v>DOWN</v>
      </c>
      <c r="AK76" s="10" t="str">
        <f t="shared" si="52"/>
        <v>DOWN</v>
      </c>
      <c r="AL76" s="6" t="str">
        <f t="shared" si="53"/>
        <v>NEGATIVE</v>
      </c>
      <c r="AM76" cm="1">
        <f t="array" ref="AM76">IFERROR(VALUE(_xll.BDP($B76,"INTERVAL_MAE_MOV_AVG","CALC_INTERVAL","65W","PERIODICITY_OVERRIDE","W","TECH_STUDIES_PARAM1_OVERRIDE",39,"USE_PREVIOUS_BUSINESS_DAY","N")),"")</f>
        <v>125.53791763062546</v>
      </c>
      <c r="AN76">
        <f t="shared" si="7"/>
        <v>6560.7735897435905</v>
      </c>
      <c r="AO76" cm="1">
        <f t="array" ref="AO76">IFERROR(VALUE(_xll.BDP($B76,"INTERVAL_MAE_MOV_AVG","CALC_INTERVAL","65W","PERIODICITY_OVERRIDE","W","TECH_STUDIES_PARAM1_OVERRIDE",39,"USE_PREVIOUS_BUSINESS_DAY","Y")),"")</f>
        <v>125.64535362196162</v>
      </c>
      <c r="AP76">
        <f t="shared" si="8"/>
        <v>6560.7823076923087</v>
      </c>
      <c r="AQ76">
        <f t="shared" si="54"/>
        <v>1.9134621232300711E-2</v>
      </c>
      <c r="AR76">
        <f t="shared" si="55"/>
        <v>1.915097129112887E-2</v>
      </c>
      <c r="AS76" s="10" t="str">
        <f t="shared" si="56"/>
        <v>DOWN</v>
      </c>
      <c r="AT76" s="10" t="str">
        <f t="shared" si="57"/>
        <v>DOWN</v>
      </c>
      <c r="AU76" s="6" t="str">
        <f t="shared" si="58"/>
        <v>NEGATIVE</v>
      </c>
      <c r="AV76" cm="1">
        <f t="array" ref="AV76">IFERROR(VALUE(_xll.BDP($B76,"INTERVAL_exp_MOV_AVG","CALC_INTERVAL","520D","TECH_STUDIES_PARAM1_OVERRIDE",100,"USE_PREVIOUS_BUSINESS_DAY","N")),"")</f>
        <v>113.422139866782</v>
      </c>
      <c r="AW76">
        <f t="shared" si="9"/>
        <v>6773.0064518682802</v>
      </c>
      <c r="AX76" cm="1">
        <f t="array" ref="AX76">IFERROR(VALUE(_xll.BDP($B76,"INTERVAL_exp_MOV_AVG","CALC_INTERVAL","520D","TECH_STUDIES_PARAM1_OVERRIDE",100,"USE_PREVIOUS_BUSINESS_DAY","Y")),"")</f>
        <v>113.79752803471506</v>
      </c>
      <c r="AY76">
        <f t="shared" si="10"/>
        <v>6769.6039787132295</v>
      </c>
      <c r="AZ76">
        <f t="shared" si="59"/>
        <v>1.6746202838105285E-2</v>
      </c>
      <c r="BA76">
        <f t="shared" si="60"/>
        <v>1.6810071666311235E-2</v>
      </c>
      <c r="BB76" s="11" t="str">
        <f t="shared" si="61"/>
        <v>DOWN</v>
      </c>
      <c r="BC76" s="11" t="str">
        <f t="shared" si="62"/>
        <v>DOWN</v>
      </c>
      <c r="BD76" s="6" t="str">
        <f t="shared" si="63"/>
        <v>NEGATIVE</v>
      </c>
      <c r="BE76" s="12" cm="1">
        <f t="array" ref="BE76">_xll.BDP($B76, "INTERVAL_RSI", "TECH_STUDIES_PARAM1_OVERRIDE", "5", "PERIODICITY_OVERRIDE", "W")</f>
        <v>15.085884159366387</v>
      </c>
      <c r="BF76" cm="1">
        <f t="array" ref="BF76">IFERROR(VALUE(_xll.BDP($B76,"INTERVAL_MAE_MOV_AVG","CALC_INTERVAL","520D","TECH_STUDIES_PARAM1_OVERRIDE",31,"USE_PREVIOUS_BUSINESS_DAY","N")),"")</f>
        <v>105.62299331025451</v>
      </c>
      <c r="BG76" cm="1">
        <f t="array" ref="BG76">IFERROR(VALUE(_xll.BDP($B76,"INTERVAL_MAE_MOV_AVG","CALC_INTERVAL","760D","TECH_STUDIES_PARAM1_OVERRIDE",200,"USE_PREVIOUS_BUSINESS_DAY","N")),"")</f>
        <v>127.64082331911905</v>
      </c>
      <c r="BH76" s="13">
        <f t="shared" si="64"/>
        <v>-0.10208945015012783</v>
      </c>
      <c r="BI76" s="13">
        <f t="shared" si="65"/>
        <v>-0.12353256453325967</v>
      </c>
      <c r="BJ76" s="13">
        <f t="shared" si="66"/>
        <v>-0.25697752855379674</v>
      </c>
      <c r="BK76" s="32" cm="1">
        <f t="array" ref="BK76">VALUE(_xll.BDP($B76,"INTERVAL_DATE_OF_CALC_HI","CALC_INTERVAL","3M"))</f>
        <v>46008</v>
      </c>
      <c r="BL76" s="32" cm="1">
        <f t="array" ref="BL76">VALUE(_xll.BDP($B76,"INTERVAL_DATE_OF_CALC_LO","CALC_INTERVAL","3M"))</f>
        <v>46064</v>
      </c>
      <c r="BM76" s="32" cm="1">
        <f t="array" ref="BM76">VALUE(_xll.BDP($B76,"INTERVAL_DATE_OF_CALC_HI","CALC_INTERVAL","1M"))</f>
        <v>46034</v>
      </c>
      <c r="BN76" s="32" cm="1">
        <f t="array" ref="BN76">VALUE(_xll.BDP($B76,"INTERVAL_DATE_OF_CALC_LO","CALC_INTERVAL","1M"))</f>
        <v>46064</v>
      </c>
      <c r="BO76" s="15">
        <f>IFERROR(VLOOKUP($F76,PIVOT!$A:$C,2,FALSE),0)</f>
        <v>0</v>
      </c>
      <c r="BP76" s="15">
        <f>IFERROR(VLOOKUP($F76,PIVOT!$A:$C,3,FALSE),0)</f>
        <v>0</v>
      </c>
      <c r="BQ76" s="15">
        <f t="shared" si="39"/>
        <v>25.004754196245287</v>
      </c>
    </row>
    <row r="77" spans="1:69" x14ac:dyDescent="0.25">
      <c r="A77">
        <v>76</v>
      </c>
      <c r="B77" t="s">
        <v>96</v>
      </c>
      <c r="J77" s="24"/>
      <c r="K77" s="15">
        <f>_xll.BDP($B77,"interval_rsi","tech_studies_param1_override",14)</f>
        <v>72.939279037101144</v>
      </c>
      <c r="L77" s="15">
        <f t="shared" si="0"/>
        <v>52.525531939815814</v>
      </c>
      <c r="M77">
        <f t="shared" si="40"/>
        <v>1</v>
      </c>
      <c r="N77" cm="1">
        <f t="array" ref="N77">IFERROR(VALUE(_xll.BDP($B77,"px_last")),"")</f>
        <v>129.47999999999999</v>
      </c>
      <c r="O77">
        <f t="shared" si="1"/>
        <v>6941.47</v>
      </c>
      <c r="P77" cm="1">
        <f t="array" ref="P77">IFERROR(VALUE(_xll.BDP($B77,"PX_YEST_CLOSE")),"")</f>
        <v>127.07</v>
      </c>
      <c r="Q77">
        <f t="shared" si="2"/>
        <v>6941.81</v>
      </c>
      <c r="R77">
        <f t="shared" si="41"/>
        <v>1.8653109499860977E-2</v>
      </c>
      <c r="S77">
        <f t="shared" si="42"/>
        <v>1.8305024193978225E-2</v>
      </c>
      <c r="T77" cm="1">
        <f t="array" ref="T77">IFERROR(VALUE(_xll.BDP($B77,"INTERVAL_MAE_MOV_AVG","CALC_INTERVAL","520D","TECH_STUDIES_PARAM1_OVERRIDE",50,"USE_PREVIOUS_BUSINESS_DAY","N")),"")</f>
        <v>116.26799645604413</v>
      </c>
      <c r="U77">
        <f t="shared" si="3"/>
        <v>6894.0953999999992</v>
      </c>
      <c r="V77" cm="1">
        <f t="array" ref="V77">IFERROR(VALUE(_xll.BDP($B77,"INTERVAL_MAE_MOV_AVG","CALC_INTERVAL","520D","TECH_STUDIES_PARAM1_OVERRIDE",50,"USE_PREVIOUS_BUSINESS_DAY","Y")),"")</f>
        <v>115.75491670685719</v>
      </c>
      <c r="W77">
        <f t="shared" si="4"/>
        <v>6892.2477999999992</v>
      </c>
      <c r="X77">
        <f t="shared" si="43"/>
        <v>1.6864866194924447E-2</v>
      </c>
      <c r="Y77">
        <f t="shared" si="44"/>
        <v>1.6794944126480364E-2</v>
      </c>
      <c r="Z77" s="11" t="str">
        <f t="shared" si="45"/>
        <v>POSITIVE</v>
      </c>
      <c r="AA77" s="11" t="str">
        <f t="shared" si="46"/>
        <v/>
      </c>
      <c r="AB77" s="11" t="str">
        <f t="shared" si="47"/>
        <v>UP</v>
      </c>
      <c r="AC77" s="6" t="str">
        <f t="shared" si="48"/>
        <v>POSITIVE</v>
      </c>
      <c r="AD77" cm="1">
        <f t="array" ref="AD77">IFERROR(VALUE(_xll.BDP($B77,"INTERVAL_MAE_MOV_AVG","CALC_INTERVAL","520D","TECH_STUDIES_PARAM1_OVERRIDE",65,"USE_PREVIOUS_BUSINESS_DAY","N")),"")</f>
        <v>112.03285276278997</v>
      </c>
      <c r="AE77">
        <f t="shared" si="5"/>
        <v>6856.0226153846133</v>
      </c>
      <c r="AF77" cm="1">
        <f t="array" ref="AF77">IFERROR(VALUE(_xll.BDP($B77,"INTERVAL_MAE_MOV_AVG","CALC_INTERVAL","520D","TECH_STUDIES_PARAM1_OVERRIDE",65,"USE_PREVIOUS_BUSINESS_DAY","Y")),"")</f>
        <v>111.5249768681778</v>
      </c>
      <c r="AG77">
        <f t="shared" si="6"/>
        <v>6852.6203076923057</v>
      </c>
      <c r="AH77">
        <f t="shared" si="49"/>
        <v>1.634079393370045E-2</v>
      </c>
      <c r="AI77">
        <f t="shared" si="50"/>
        <v>1.6274792978532186E-2</v>
      </c>
      <c r="AJ77" s="10" t="str">
        <f t="shared" si="51"/>
        <v>UP</v>
      </c>
      <c r="AK77" s="10" t="str">
        <f t="shared" si="52"/>
        <v>UP</v>
      </c>
      <c r="AL77" s="6" t="str">
        <f t="shared" si="53"/>
        <v>POSITIVE</v>
      </c>
      <c r="AM77" cm="1">
        <f t="array" ref="AM77">IFERROR(VALUE(_xll.BDP($B77,"INTERVAL_MAE_MOV_AVG","CALC_INTERVAL","65W","PERIODICITY_OVERRIDE","W","TECH_STUDIES_PARAM1_OVERRIDE",39,"USE_PREVIOUS_BUSINESS_DAY","N")),"")</f>
        <v>101.80503566581361</v>
      </c>
      <c r="AN77">
        <f t="shared" si="7"/>
        <v>6560.7735897435905</v>
      </c>
      <c r="AO77" cm="1">
        <f t="array" ref="AO77">IFERROR(VALUE(_xll.BDP($B77,"INTERVAL_MAE_MOV_AVG","CALC_INTERVAL","65W","PERIODICITY_OVERRIDE","W","TECH_STUDIES_PARAM1_OVERRIDE",39,"USE_PREVIOUS_BUSINESS_DAY","Y")),"")</f>
        <v>101.73477934485106</v>
      </c>
      <c r="AP77">
        <f t="shared" si="8"/>
        <v>6560.7823076923087</v>
      </c>
      <c r="AQ77">
        <f t="shared" si="54"/>
        <v>1.5517230441386465E-2</v>
      </c>
      <c r="AR77">
        <f t="shared" si="55"/>
        <v>1.5506501294147539E-2</v>
      </c>
      <c r="AS77" s="10" t="str">
        <f t="shared" si="56"/>
        <v>UP</v>
      </c>
      <c r="AT77" s="10" t="str">
        <f t="shared" si="57"/>
        <v>UP</v>
      </c>
      <c r="AU77" s="6" t="str">
        <f t="shared" si="58"/>
        <v>POSITIVE</v>
      </c>
      <c r="AV77" cm="1">
        <f t="array" ref="AV77">IFERROR(VALUE(_xll.BDP($B77,"INTERVAL_exp_MOV_AVG","CALC_INTERVAL","520D","TECH_STUDIES_PARAM1_OVERRIDE",100,"USE_PREVIOUS_BUSINESS_DAY","N")),"")</f>
        <v>110.26554718712548</v>
      </c>
      <c r="AW77">
        <f t="shared" si="9"/>
        <v>6773.0064518682802</v>
      </c>
      <c r="AX77" cm="1">
        <f t="array" ref="AX77">IFERROR(VALUE(_xll.BDP($B77,"INTERVAL_exp_MOV_AVG","CALC_INTERVAL","520D","TECH_STUDIES_PARAM1_OVERRIDE",100,"USE_PREVIOUS_BUSINESS_DAY","Y")),"")</f>
        <v>109.87737563957215</v>
      </c>
      <c r="AY77">
        <f t="shared" si="10"/>
        <v>6769.6039787132295</v>
      </c>
      <c r="AZ77">
        <f t="shared" si="59"/>
        <v>1.6280147962462018E-2</v>
      </c>
      <c r="BA77">
        <f t="shared" si="60"/>
        <v>1.623099017092839E-2</v>
      </c>
      <c r="BB77" s="11" t="str">
        <f t="shared" si="61"/>
        <v>UP</v>
      </c>
      <c r="BC77" s="11" t="str">
        <f t="shared" si="62"/>
        <v>UP</v>
      </c>
      <c r="BD77" s="6" t="str">
        <f t="shared" si="63"/>
        <v>POSITIVE</v>
      </c>
      <c r="BE77" s="12" cm="1">
        <f t="array" ref="BE77">_xll.BDP($B77, "INTERVAL_RSI", "TECH_STUDIES_PARAM1_OVERRIDE", "5", "PERIODICITY_OVERRIDE", "W")</f>
        <v>96.452755719190989</v>
      </c>
      <c r="BF77" cm="1">
        <f t="array" ref="BF77">IFERROR(VALUE(_xll.BDP($B77,"INTERVAL_MAE_MOV_AVG","CALC_INTERVAL","520D","TECH_STUDIES_PARAM1_OVERRIDE",31,"USE_PREVIOUS_BUSINESS_DAY","N")),"")</f>
        <v>120.54281683701736</v>
      </c>
      <c r="BG77" cm="1">
        <f t="array" ref="BG77">IFERROR(VALUE(_xll.BDP($B77,"INTERVAL_MAE_MOV_AVG","CALC_INTERVAL","760D","TECH_STUDIES_PARAM1_OVERRIDE",200,"USE_PREVIOUS_BUSINESS_DAY","N")),"")</f>
        <v>100.28295625236231</v>
      </c>
      <c r="BH77" s="13">
        <f t="shared" si="64"/>
        <v>7.4141150816695811E-2</v>
      </c>
      <c r="BI77" s="13">
        <f t="shared" si="65"/>
        <v>0.1136340519031025</v>
      </c>
      <c r="BJ77" s="13">
        <f t="shared" si="66"/>
        <v>0.29114661991179491</v>
      </c>
      <c r="BK77" s="32" cm="1">
        <f t="array" ref="BK77">VALUE(_xll.BDP($B77,"INTERVAL_DATE_OF_CALC_HI","CALC_INTERVAL","3M"))</f>
        <v>46064</v>
      </c>
      <c r="BL77" s="32" cm="1">
        <f t="array" ref="BL77">VALUE(_xll.BDP($B77,"INTERVAL_DATE_OF_CALC_LO","CALC_INTERVAL","3M"))</f>
        <v>45978</v>
      </c>
      <c r="BM77" s="32" cm="1">
        <f t="array" ref="BM77">VALUE(_xll.BDP($B77,"INTERVAL_DATE_OF_CALC_HI","CALC_INTERVAL","1M"))</f>
        <v>46064</v>
      </c>
      <c r="BN77" s="32" cm="1">
        <f t="array" ref="BN77">VALUE(_xll.BDP($B77,"INTERVAL_DATE_OF_CALC_LO","CALC_INTERVAL","1M"))</f>
        <v>46034</v>
      </c>
      <c r="BO77" s="15">
        <f>IFERROR(VLOOKUP($F77,PIVOT!$A:$C,2,FALSE),0)</f>
        <v>0</v>
      </c>
      <c r="BP77" s="15">
        <f>IFERROR(VLOOKUP($F77,PIVOT!$A:$C,3,FALSE),0)</f>
        <v>0</v>
      </c>
      <c r="BQ77" s="15">
        <f t="shared" si="39"/>
        <v>72.939279037101144</v>
      </c>
    </row>
    <row r="78" spans="1:69" x14ac:dyDescent="0.25">
      <c r="A78">
        <v>77</v>
      </c>
      <c r="B78" t="s">
        <v>97</v>
      </c>
      <c r="J78" s="24"/>
      <c r="K78" s="15">
        <f>_xll.BDP($B78,"interval_rsi","tech_studies_param1_override",14)</f>
        <v>42.438561829519102</v>
      </c>
      <c r="L78" s="15">
        <f t="shared" si="0"/>
        <v>52.525531939815814</v>
      </c>
      <c r="M78">
        <f t="shared" si="40"/>
        <v>0</v>
      </c>
      <c r="N78" cm="1">
        <f t="array" ref="N78">IFERROR(VALUE(_xll.BDP($B78,"px_last")),"")</f>
        <v>104.57</v>
      </c>
      <c r="O78">
        <f t="shared" si="1"/>
        <v>6941.47</v>
      </c>
      <c r="P78" cm="1">
        <f t="array" ref="P78">IFERROR(VALUE(_xll.BDP($B78,"PX_YEST_CLOSE")),"")</f>
        <v>105.43</v>
      </c>
      <c r="Q78">
        <f t="shared" si="2"/>
        <v>6941.81</v>
      </c>
      <c r="R78">
        <f t="shared" si="41"/>
        <v>1.5064532440534928E-2</v>
      </c>
      <c r="S78">
        <f t="shared" si="42"/>
        <v>1.5187681598891356E-2</v>
      </c>
      <c r="T78" cm="1">
        <f t="array" ref="T78">IFERROR(VALUE(_xll.BDP($B78,"INTERVAL_MAE_MOV_AVG","CALC_INTERVAL","520D","TECH_STUDIES_PARAM1_OVERRIDE",50,"USE_PREVIOUS_BUSINESS_DAY","N")),"")</f>
        <v>110.88779999389649</v>
      </c>
      <c r="U78">
        <f t="shared" si="3"/>
        <v>6894.0953999999992</v>
      </c>
      <c r="V78" cm="1">
        <f t="array" ref="V78">IFERROR(VALUE(_xll.BDP($B78,"INTERVAL_MAE_MOV_AVG","CALC_INTERVAL","520D","TECH_STUDIES_PARAM1_OVERRIDE",50,"USE_PREVIOUS_BUSINESS_DAY","Y")),"")</f>
        <v>111.11799999999999</v>
      </c>
      <c r="W78">
        <f t="shared" si="4"/>
        <v>6892.2477999999992</v>
      </c>
      <c r="X78">
        <f t="shared" si="43"/>
        <v>1.60844597528918E-2</v>
      </c>
      <c r="Y78">
        <f t="shared" si="44"/>
        <v>1.612217134735057E-2</v>
      </c>
      <c r="Z78" s="11" t="str">
        <f t="shared" si="45"/>
        <v>NEGATIVE</v>
      </c>
      <c r="AA78" s="11" t="str">
        <f t="shared" si="46"/>
        <v/>
      </c>
      <c r="AB78" s="11" t="str">
        <f t="shared" si="47"/>
        <v>DOWN</v>
      </c>
      <c r="AC78" s="6" t="str">
        <f t="shared" si="48"/>
        <v>NEGATIVE</v>
      </c>
      <c r="AD78" cm="1">
        <f t="array" ref="AD78">IFERROR(VALUE(_xll.BDP($B78,"INTERVAL_MAE_MOV_AVG","CALC_INTERVAL","520D","TECH_STUDIES_PARAM1_OVERRIDE",65,"USE_PREVIOUS_BUSINESS_DAY","N")),"")</f>
        <v>113.98538461068962</v>
      </c>
      <c r="AE78">
        <f t="shared" si="5"/>
        <v>6856.0226153846133</v>
      </c>
      <c r="AF78" cm="1">
        <f t="array" ref="AF78">IFERROR(VALUE(_xll.BDP($B78,"INTERVAL_MAE_MOV_AVG","CALC_INTERVAL","520D","TECH_STUDIES_PARAM1_OVERRIDE",65,"USE_PREVIOUS_BUSINESS_DAY","Y")),"")</f>
        <v>114.48030769230769</v>
      </c>
      <c r="AG78">
        <f t="shared" si="6"/>
        <v>6852.6203076923057</v>
      </c>
      <c r="AH78">
        <f t="shared" si="49"/>
        <v>1.6625584687382948E-2</v>
      </c>
      <c r="AI78">
        <f t="shared" si="50"/>
        <v>1.6706063162991759E-2</v>
      </c>
      <c r="AJ78" s="10" t="str">
        <f t="shared" si="51"/>
        <v>DOWN</v>
      </c>
      <c r="AK78" s="10" t="str">
        <f t="shared" si="52"/>
        <v>DOWN</v>
      </c>
      <c r="AL78" s="6" t="str">
        <f t="shared" si="53"/>
        <v>NEGATIVE</v>
      </c>
      <c r="AM78" cm="1">
        <f t="array" ref="AM78">IFERROR(VALUE(_xll.BDP($B78,"INTERVAL_MAE_MOV_AVG","CALC_INTERVAL","65W","PERIODICITY_OVERRIDE","W","TECH_STUDIES_PARAM1_OVERRIDE",39,"USE_PREVIOUS_BUSINESS_DAY","N")),"")</f>
        <v>116.04307691525189</v>
      </c>
      <c r="AN78">
        <f t="shared" si="7"/>
        <v>6560.7735897435905</v>
      </c>
      <c r="AO78" cm="1">
        <f t="array" ref="AO78">IFERROR(VALUE(_xll.BDP($B78,"INTERVAL_MAE_MOV_AVG","CALC_INTERVAL","65W","PERIODICITY_OVERRIDE","W","TECH_STUDIES_PARAM1_OVERRIDE",39,"USE_PREVIOUS_BUSINESS_DAY","Y")),"")</f>
        <v>116.06512820512818</v>
      </c>
      <c r="AP78">
        <f t="shared" si="8"/>
        <v>6560.7823076923087</v>
      </c>
      <c r="AQ78">
        <f t="shared" si="54"/>
        <v>1.7687407639955931E-2</v>
      </c>
      <c r="AR78">
        <f t="shared" si="55"/>
        <v>1.7690745213272126E-2</v>
      </c>
      <c r="AS78" s="10" t="str">
        <f t="shared" si="56"/>
        <v>DOWN</v>
      </c>
      <c r="AT78" s="10" t="str">
        <f t="shared" si="57"/>
        <v>DOWN</v>
      </c>
      <c r="AU78" s="6" t="str">
        <f t="shared" si="58"/>
        <v>NEGATIVE</v>
      </c>
      <c r="AV78" cm="1">
        <f t="array" ref="AV78">IFERROR(VALUE(_xll.BDP($B78,"INTERVAL_exp_MOV_AVG","CALC_INTERVAL","520D","TECH_STUDIES_PARAM1_OVERRIDE",100,"USE_PREVIOUS_BUSINESS_DAY","N")),"")</f>
        <v>114.93663433247626</v>
      </c>
      <c r="AW78">
        <f t="shared" si="9"/>
        <v>6773.0064518682802</v>
      </c>
      <c r="AX78" cm="1">
        <f t="array" ref="AX78">IFERROR(VALUE(_xll.BDP($B78,"INTERVAL_exp_MOV_AVG","CALC_INTERVAL","520D","TECH_STUDIES_PARAM1_OVERRIDE",100,"USE_PREVIOUS_BUSINESS_DAY","Y")),"")</f>
        <v>115.14609264173711</v>
      </c>
      <c r="AY78">
        <f t="shared" si="10"/>
        <v>6769.6039787132295</v>
      </c>
      <c r="AZ78">
        <f t="shared" si="59"/>
        <v>1.6969810253284479E-2</v>
      </c>
      <c r="BA78">
        <f t="shared" si="60"/>
        <v>1.7009280454781367E-2</v>
      </c>
      <c r="BB78" s="11" t="str">
        <f t="shared" si="61"/>
        <v>DOWN</v>
      </c>
      <c r="BC78" s="11" t="str">
        <f t="shared" si="62"/>
        <v>DOWN</v>
      </c>
      <c r="BD78" s="6" t="str">
        <f t="shared" si="63"/>
        <v>NEGATIVE</v>
      </c>
      <c r="BE78" s="12" cm="1">
        <f t="array" ref="BE78">_xll.BDP($B78, "INTERVAL_RSI", "TECH_STUDIES_PARAM1_OVERRIDE", "5", "PERIODICITY_OVERRIDE", "W")</f>
        <v>36.040192212119429</v>
      </c>
      <c r="BF78" cm="1">
        <f t="array" ref="BF78">IFERROR(VALUE(_xll.BDP($B78,"INTERVAL_MAE_MOV_AVG","CALC_INTERVAL","520D","TECH_STUDIES_PARAM1_OVERRIDE",31,"USE_PREVIOUS_BUSINESS_DAY","N")),"")</f>
        <v>109.33774192563949</v>
      </c>
      <c r="BG78" cm="1">
        <f t="array" ref="BG78">IFERROR(VALUE(_xll.BDP($B78,"INTERVAL_MAE_MOV_AVG","CALC_INTERVAL","760D","TECH_STUDIES_PARAM1_OVERRIDE",200,"USE_PREVIOUS_BUSINESS_DAY","N")),"")</f>
        <v>116.36802499847418</v>
      </c>
      <c r="BH78" s="13">
        <f t="shared" si="64"/>
        <v>-4.3605637373433592E-2</v>
      </c>
      <c r="BI78" s="13">
        <f t="shared" si="65"/>
        <v>-5.6974707715765405E-2</v>
      </c>
      <c r="BJ78" s="13">
        <f t="shared" si="66"/>
        <v>-0.10138545359542617</v>
      </c>
      <c r="BK78" s="32" cm="1">
        <f t="array" ref="BK78">VALUE(_xll.BDP($B78,"INTERVAL_DATE_OF_CALC_HI","CALC_INTERVAL","3M"))</f>
        <v>45972</v>
      </c>
      <c r="BL78" s="32" cm="1">
        <f t="array" ref="BL78">VALUE(_xll.BDP($B78,"INTERVAL_DATE_OF_CALC_LO","CALC_INTERVAL","3M"))</f>
        <v>46052</v>
      </c>
      <c r="BM78" s="32" cm="1">
        <f t="array" ref="BM78">VALUE(_xll.BDP($B78,"INTERVAL_DATE_OF_CALC_HI","CALC_INTERVAL","1M"))</f>
        <v>46034</v>
      </c>
      <c r="BN78" s="32" cm="1">
        <f t="array" ref="BN78">VALUE(_xll.BDP($B78,"INTERVAL_DATE_OF_CALC_LO","CALC_INTERVAL","1M"))</f>
        <v>46052</v>
      </c>
      <c r="BO78" s="15">
        <f>IFERROR(VLOOKUP($F78,PIVOT!$A:$C,2,FALSE),0)</f>
        <v>0</v>
      </c>
      <c r="BP78" s="15">
        <f>IFERROR(VLOOKUP($F78,PIVOT!$A:$C,3,FALSE),0)</f>
        <v>0</v>
      </c>
      <c r="BQ78" s="15">
        <f t="shared" si="39"/>
        <v>42.438561829519102</v>
      </c>
    </row>
    <row r="79" spans="1:69" x14ac:dyDescent="0.25">
      <c r="A79">
        <v>78</v>
      </c>
      <c r="B79" t="s">
        <v>98</v>
      </c>
      <c r="J79" s="24"/>
      <c r="K79" s="15">
        <f>_xll.BDP($B79,"interval_rsi","tech_studies_param1_override",14)</f>
        <v>76.38889849913852</v>
      </c>
      <c r="L79" s="15">
        <f t="shared" si="0"/>
        <v>52.525531939815814</v>
      </c>
      <c r="M79">
        <f t="shared" si="40"/>
        <v>1</v>
      </c>
      <c r="N79" cm="1">
        <f t="array" ref="N79">IFERROR(VALUE(_xll.BDP($B79,"px_last")),"")</f>
        <v>169.15</v>
      </c>
      <c r="O79">
        <f t="shared" si="1"/>
        <v>6941.47</v>
      </c>
      <c r="P79" cm="1">
        <f t="array" ref="P79">IFERROR(VALUE(_xll.BDP($B79,"PX_YEST_CLOSE")),"")</f>
        <v>166.97</v>
      </c>
      <c r="Q79">
        <f t="shared" si="2"/>
        <v>6941.81</v>
      </c>
      <c r="R79">
        <f t="shared" si="41"/>
        <v>2.4368037317743937E-2</v>
      </c>
      <c r="S79">
        <f t="shared" si="42"/>
        <v>2.4052804671980361E-2</v>
      </c>
      <c r="T79" cm="1">
        <f t="array" ref="T79">IFERROR(VALUE(_xll.BDP($B79,"INTERVAL_MAE_MOV_AVG","CALC_INTERVAL","520D","TECH_STUDIES_PARAM1_OVERRIDE",50,"USE_PREVIOUS_BUSINESS_DAY","N")),"")</f>
        <v>148.92274206852969</v>
      </c>
      <c r="U79">
        <f t="shared" si="3"/>
        <v>6894.0953999999992</v>
      </c>
      <c r="V79" cm="1">
        <f t="array" ref="V79">IFERROR(VALUE(_xll.BDP($B79,"INTERVAL_MAE_MOV_AVG","CALC_INTERVAL","520D","TECH_STUDIES_PARAM1_OVERRIDE",50,"USE_PREVIOUS_BUSINESS_DAY","Y")),"")</f>
        <v>148.4857372022</v>
      </c>
      <c r="W79">
        <f t="shared" si="4"/>
        <v>6892.2477999999992</v>
      </c>
      <c r="X79">
        <f t="shared" si="43"/>
        <v>2.1601491338302296E-2</v>
      </c>
      <c r="Y79">
        <f t="shared" si="44"/>
        <v>2.1543876759944704E-2</v>
      </c>
      <c r="Z79" s="11" t="str">
        <f t="shared" si="45"/>
        <v>POSITIVE</v>
      </c>
      <c r="AA79" s="11" t="str">
        <f t="shared" si="46"/>
        <v/>
      </c>
      <c r="AB79" s="11" t="str">
        <f t="shared" si="47"/>
        <v>UP</v>
      </c>
      <c r="AC79" s="6" t="str">
        <f t="shared" si="48"/>
        <v>POSITIVE</v>
      </c>
      <c r="AD79" cm="1">
        <f t="array" ref="AD79">IFERROR(VALUE(_xll.BDP($B79,"INTERVAL_MAE_MOV_AVG","CALC_INTERVAL","520D","TECH_STUDIES_PARAM1_OVERRIDE",65,"USE_PREVIOUS_BUSINESS_DAY","N")),"")</f>
        <v>147.92781005979214</v>
      </c>
      <c r="AE79">
        <f t="shared" si="5"/>
        <v>6856.0226153846133</v>
      </c>
      <c r="AF79" cm="1">
        <f t="array" ref="AF79">IFERROR(VALUE(_xll.BDP($B79,"INTERVAL_MAE_MOV_AVG","CALC_INTERVAL","520D","TECH_STUDIES_PARAM1_OVERRIDE",65,"USE_PREVIOUS_BUSINESS_DAY","Y")),"")</f>
        <v>147.48256524384624</v>
      </c>
      <c r="AG79">
        <f t="shared" si="6"/>
        <v>6852.6203076923057</v>
      </c>
      <c r="AH79">
        <f t="shared" si="49"/>
        <v>2.1576330528409959E-2</v>
      </c>
      <c r="AI79">
        <f t="shared" si="50"/>
        <v>2.152206873016033E-2</v>
      </c>
      <c r="AJ79" s="10" t="str">
        <f t="shared" si="51"/>
        <v>UP</v>
      </c>
      <c r="AK79" s="10" t="str">
        <f t="shared" si="52"/>
        <v>UP</v>
      </c>
      <c r="AL79" s="6" t="str">
        <f t="shared" si="53"/>
        <v>POSITIVE</v>
      </c>
      <c r="AM79" cm="1">
        <f t="array" ref="AM79">IFERROR(VALUE(_xll.BDP($B79,"INTERVAL_MAE_MOV_AVG","CALC_INTERVAL","65W","PERIODICITY_OVERRIDE","W","TECH_STUDIES_PARAM1_OVERRIDE",39,"USE_PREVIOUS_BUSINESS_DAY","N")),"")</f>
        <v>142.67957296764237</v>
      </c>
      <c r="AN79">
        <f t="shared" si="7"/>
        <v>6560.7735897435905</v>
      </c>
      <c r="AO79" cm="1">
        <f t="array" ref="AO79">IFERROR(VALUE(_xll.BDP($B79,"INTERVAL_MAE_MOV_AVG","CALC_INTERVAL","65W","PERIODICITY_OVERRIDE","W","TECH_STUDIES_PARAM1_OVERRIDE",39,"USE_PREVIOUS_BUSINESS_DAY","Y")),"")</f>
        <v>142.62367568824533</v>
      </c>
      <c r="AP79">
        <f t="shared" si="8"/>
        <v>6560.7823076923087</v>
      </c>
      <c r="AQ79">
        <f t="shared" si="54"/>
        <v>2.1747370339176512E-2</v>
      </c>
      <c r="AR79">
        <f t="shared" si="55"/>
        <v>2.1738821530631128E-2</v>
      </c>
      <c r="AS79" s="10" t="str">
        <f t="shared" si="56"/>
        <v>UP</v>
      </c>
      <c r="AT79" s="10" t="str">
        <f t="shared" si="57"/>
        <v>UP</v>
      </c>
      <c r="AU79" s="6" t="str">
        <f t="shared" si="58"/>
        <v>POSITIVE</v>
      </c>
      <c r="AV79" cm="1">
        <f t="array" ref="AV79">IFERROR(VALUE(_xll.BDP($B79,"INTERVAL_exp_MOV_AVG","CALC_INTERVAL","520D","TECH_STUDIES_PARAM1_OVERRIDE",100,"USE_PREVIOUS_BUSINESS_DAY","N")),"")</f>
        <v>147.5791274352448</v>
      </c>
      <c r="AW79">
        <f t="shared" si="9"/>
        <v>6773.0064518682802</v>
      </c>
      <c r="AX79" cm="1">
        <f t="array" ref="AX79">IFERROR(VALUE(_xll.BDP($B79,"INTERVAL_exp_MOV_AVG","CALC_INTERVAL","520D","TECH_STUDIES_PARAM1_OVERRIDE",100,"USE_PREVIOUS_BUSINESS_DAY","Y")),"")</f>
        <v>147.1433445473061</v>
      </c>
      <c r="AY79">
        <f t="shared" si="10"/>
        <v>6769.6039787132295</v>
      </c>
      <c r="AZ79">
        <f t="shared" si="59"/>
        <v>2.1789308556547479E-2</v>
      </c>
      <c r="BA79">
        <f t="shared" si="60"/>
        <v>2.1735886620545743E-2</v>
      </c>
      <c r="BB79" s="11" t="str">
        <f t="shared" si="61"/>
        <v>UP</v>
      </c>
      <c r="BC79" s="11" t="str">
        <f t="shared" si="62"/>
        <v>UP</v>
      </c>
      <c r="BD79" s="6" t="str">
        <f t="shared" si="63"/>
        <v>POSITIVE</v>
      </c>
      <c r="BE79" s="12" cm="1">
        <f t="array" ref="BE79">_xll.BDP($B79, "INTERVAL_RSI", "TECH_STUDIES_PARAM1_OVERRIDE", "5", "PERIODICITY_OVERRIDE", "W")</f>
        <v>81.100497269337211</v>
      </c>
      <c r="BF79" cm="1">
        <f t="array" ref="BF79">IFERROR(VALUE(_xll.BDP($B79,"INTERVAL_MAE_MOV_AVG","CALC_INTERVAL","520D","TECH_STUDIES_PARAM1_OVERRIDE",31,"USE_PREVIOUS_BUSINESS_DAY","N")),"")</f>
        <v>149.89225786762853</v>
      </c>
      <c r="BG79" cm="1">
        <f t="array" ref="BG79">IFERROR(VALUE(_xll.BDP($B79,"INTERVAL_MAE_MOV_AVG","CALC_INTERVAL","760D","TECH_STUDIES_PARAM1_OVERRIDE",200,"USE_PREVIOUS_BUSINESS_DAY","N")),"")</f>
        <v>140.79313058955373</v>
      </c>
      <c r="BH79" s="13">
        <f t="shared" si="64"/>
        <v>0.12847723028749214</v>
      </c>
      <c r="BI79" s="13">
        <f t="shared" si="65"/>
        <v>0.13582383489932215</v>
      </c>
      <c r="BJ79" s="13">
        <f t="shared" si="66"/>
        <v>0.20140804662631906</v>
      </c>
      <c r="BK79" s="32" cm="1">
        <f t="array" ref="BK79">VALUE(_xll.BDP($B79,"INTERVAL_DATE_OF_CALC_HI","CALC_INTERVAL","3M"))</f>
        <v>46059</v>
      </c>
      <c r="BL79" s="32" cm="1">
        <f t="array" ref="BL79">VALUE(_xll.BDP($B79,"INTERVAL_DATE_OF_CALC_LO","CALC_INTERVAL","3M"))</f>
        <v>46029</v>
      </c>
      <c r="BM79" s="32" cm="1">
        <f t="array" ref="BM79">VALUE(_xll.BDP($B79,"INTERVAL_DATE_OF_CALC_HI","CALC_INTERVAL","1M"))</f>
        <v>46059</v>
      </c>
      <c r="BN79" s="32" cm="1">
        <f t="array" ref="BN79">VALUE(_xll.BDP($B79,"INTERVAL_DATE_OF_CALC_LO","CALC_INTERVAL","1M"))</f>
        <v>46034</v>
      </c>
      <c r="BO79" s="15">
        <f>IFERROR(VLOOKUP($F79,PIVOT!$A:$C,2,FALSE),0)</f>
        <v>0</v>
      </c>
      <c r="BP79" s="15">
        <f>IFERROR(VLOOKUP($F79,PIVOT!$A:$C,3,FALSE),0)</f>
        <v>0</v>
      </c>
      <c r="BQ79" s="15">
        <f t="shared" si="39"/>
        <v>76.38889849913852</v>
      </c>
    </row>
    <row r="80" spans="1:69" x14ac:dyDescent="0.25">
      <c r="A80">
        <v>79</v>
      </c>
      <c r="B80" t="s">
        <v>99</v>
      </c>
      <c r="J80" s="24"/>
      <c r="K80" s="15">
        <f>_xll.BDP($B80,"interval_rsi","tech_studies_param1_override",14)</f>
        <v>34.369075204478065</v>
      </c>
      <c r="L80" s="15">
        <f t="shared" si="0"/>
        <v>52.525531939815814</v>
      </c>
      <c r="M80">
        <f t="shared" si="40"/>
        <v>0</v>
      </c>
      <c r="N80" cm="1">
        <f t="array" ref="N80">IFERROR(VALUE(_xll.BDP($B80,"px_last")),"")</f>
        <v>135.68</v>
      </c>
      <c r="O80">
        <f t="shared" si="1"/>
        <v>6941.47</v>
      </c>
      <c r="P80" cm="1">
        <f t="array" ref="P80">IFERROR(VALUE(_xll.BDP($B80,"PX_YEST_CLOSE")),"")</f>
        <v>139.51</v>
      </c>
      <c r="Q80">
        <f t="shared" si="2"/>
        <v>6941.81</v>
      </c>
      <c r="R80">
        <f t="shared" si="41"/>
        <v>1.9546292067818487E-2</v>
      </c>
      <c r="S80">
        <f t="shared" si="42"/>
        <v>2.0097064022207463E-2</v>
      </c>
      <c r="T80" cm="1">
        <f t="array" ref="T80">IFERROR(VALUE(_xll.BDP($B80,"INTERVAL_MAE_MOV_AVG","CALC_INTERVAL","520D","TECH_STUDIES_PARAM1_OVERRIDE",50,"USE_PREVIOUS_BUSINESS_DAY","N")),"")</f>
        <v>171.34739985351564</v>
      </c>
      <c r="U80">
        <f t="shared" si="3"/>
        <v>6894.0953999999992</v>
      </c>
      <c r="V80" cm="1">
        <f t="array" ref="V80">IFERROR(VALUE(_xll.BDP($B80,"INTERVAL_MAE_MOV_AVG","CALC_INTERVAL","520D","TECH_STUDIES_PARAM1_OVERRIDE",50,"USE_PREVIOUS_BUSINESS_DAY","Y")),"")</f>
        <v>172.00279999999998</v>
      </c>
      <c r="W80">
        <f t="shared" si="4"/>
        <v>6892.2477999999992</v>
      </c>
      <c r="X80">
        <f t="shared" si="43"/>
        <v>2.4854225233598544E-2</v>
      </c>
      <c r="Y80">
        <f t="shared" si="44"/>
        <v>2.4955980253640909E-2</v>
      </c>
      <c r="Z80" s="11" t="str">
        <f t="shared" si="45"/>
        <v>NEGATIVE</v>
      </c>
      <c r="AA80" s="11" t="str">
        <f t="shared" si="46"/>
        <v/>
      </c>
      <c r="AB80" s="11" t="str">
        <f t="shared" si="47"/>
        <v>DOWN</v>
      </c>
      <c r="AC80" s="6" t="str">
        <f t="shared" si="48"/>
        <v>NEGATIVE</v>
      </c>
      <c r="AD80" cm="1">
        <f t="array" ref="AD80">IFERROR(VALUE(_xll.BDP($B80,"INTERVAL_MAE_MOV_AVG","CALC_INTERVAL","520D","TECH_STUDIES_PARAM1_OVERRIDE",65,"USE_PREVIOUS_BUSINESS_DAY","N")),"")</f>
        <v>171.30469219501205</v>
      </c>
      <c r="AE80">
        <f t="shared" si="5"/>
        <v>6856.0226153846133</v>
      </c>
      <c r="AF80" cm="1">
        <f t="array" ref="AF80">IFERROR(VALUE(_xll.BDP($B80,"INTERVAL_MAE_MOV_AVG","CALC_INTERVAL","520D","TECH_STUDIES_PARAM1_OVERRIDE",65,"USE_PREVIOUS_BUSINESS_DAY","Y")),"")</f>
        <v>171.9103846153846</v>
      </c>
      <c r="AG80">
        <f t="shared" si="6"/>
        <v>6852.6203076923057</v>
      </c>
      <c r="AH80">
        <f t="shared" si="49"/>
        <v>2.4986016208670588E-2</v>
      </c>
      <c r="AI80">
        <f t="shared" si="50"/>
        <v>2.5086810139241071E-2</v>
      </c>
      <c r="AJ80" s="10" t="str">
        <f t="shared" si="51"/>
        <v>DOWN</v>
      </c>
      <c r="AK80" s="10" t="str">
        <f t="shared" si="52"/>
        <v>DOWN</v>
      </c>
      <c r="AL80" s="6" t="str">
        <f t="shared" si="53"/>
        <v>NEGATIVE</v>
      </c>
      <c r="AM80" cm="1">
        <f t="array" ref="AM80">IFERROR(VALUE(_xll.BDP($B80,"INTERVAL_MAE_MOV_AVG","CALC_INTERVAL","65W","PERIODICITY_OVERRIDE","W","TECH_STUDIES_PARAM1_OVERRIDE",39,"USE_PREVIOUS_BUSINESS_DAY","N")),"")</f>
        <v>162.40717929937901</v>
      </c>
      <c r="AN80">
        <f t="shared" si="7"/>
        <v>6560.7735897435905</v>
      </c>
      <c r="AO80" cm="1">
        <f t="array" ref="AO80">IFERROR(VALUE(_xll.BDP($B80,"INTERVAL_MAE_MOV_AVG","CALC_INTERVAL","65W","PERIODICITY_OVERRIDE","W","TECH_STUDIES_PARAM1_OVERRIDE",39,"USE_PREVIOUS_BUSINESS_DAY","Y")),"")</f>
        <v>162.50538461538463</v>
      </c>
      <c r="AP80">
        <f t="shared" si="8"/>
        <v>6560.7823076923087</v>
      </c>
      <c r="AQ80">
        <f t="shared" si="54"/>
        <v>2.4754272812167907E-2</v>
      </c>
      <c r="AR80">
        <f t="shared" si="55"/>
        <v>2.4769208456261724E-2</v>
      </c>
      <c r="AS80" s="10" t="str">
        <f t="shared" si="56"/>
        <v>DOWN</v>
      </c>
      <c r="AT80" s="10" t="str">
        <f t="shared" si="57"/>
        <v>DOWN</v>
      </c>
      <c r="AU80" s="6" t="str">
        <f t="shared" si="58"/>
        <v>NEGATIVE</v>
      </c>
      <c r="AV80" cm="1">
        <f t="array" ref="AV80">IFERROR(VALUE(_xll.BDP($B80,"INTERVAL_exp_MOV_AVG","CALC_INTERVAL","520D","TECH_STUDIES_PARAM1_OVERRIDE",100,"USE_PREVIOUS_BUSINESS_DAY","N")),"")</f>
        <v>166.92091660234203</v>
      </c>
      <c r="AW80">
        <f t="shared" si="9"/>
        <v>6773.0064518682802</v>
      </c>
      <c r="AX80" cm="1">
        <f t="array" ref="AX80">IFERROR(VALUE(_xll.BDP($B80,"INTERVAL_exp_MOV_AVG","CALC_INTERVAL","520D","TECH_STUDIES_PARAM1_OVERRIDE",100,"USE_PREVIOUS_BUSINESS_DAY","Y")),"")</f>
        <v>167.55205072374883</v>
      </c>
      <c r="AY80">
        <f t="shared" si="10"/>
        <v>6769.6039787132295</v>
      </c>
      <c r="AZ80">
        <f t="shared" si="59"/>
        <v>2.4645025482929846E-2</v>
      </c>
      <c r="BA80">
        <f t="shared" si="60"/>
        <v>2.4750642910665099E-2</v>
      </c>
      <c r="BB80" s="11" t="str">
        <f t="shared" si="61"/>
        <v>DOWN</v>
      </c>
      <c r="BC80" s="11" t="str">
        <f t="shared" si="62"/>
        <v>DOWN</v>
      </c>
      <c r="BD80" s="6" t="str">
        <f t="shared" si="63"/>
        <v>NEGATIVE</v>
      </c>
      <c r="BE80" s="12" cm="1">
        <f t="array" ref="BE80">_xll.BDP($B80, "INTERVAL_RSI", "TECH_STUDIES_PARAM1_OVERRIDE", "5", "PERIODICITY_OVERRIDE", "W")</f>
        <v>19.678693258636883</v>
      </c>
      <c r="BF80" cm="1">
        <f t="array" ref="BF80">IFERROR(VALUE(_xll.BDP($B80,"INTERVAL_MAE_MOV_AVG","CALC_INTERVAL","520D","TECH_STUDIES_PARAM1_OVERRIDE",31,"USE_PREVIOUS_BUSINESS_DAY","N")),"")</f>
        <v>163.63645137663809</v>
      </c>
      <c r="BG80" cm="1">
        <f t="array" ref="BG80">IFERROR(VALUE(_xll.BDP($B80,"INTERVAL_MAE_MOV_AVG","CALC_INTERVAL","760D","TECH_STUDIES_PARAM1_OVERRIDE",200,"USE_PREVIOUS_BUSINESS_DAY","N")),"")</f>
        <v>160.61122496337893</v>
      </c>
      <c r="BH80" s="13">
        <f t="shared" si="64"/>
        <v>-0.17084488902959272</v>
      </c>
      <c r="BI80" s="13">
        <f t="shared" si="65"/>
        <v>-0.20815839565705452</v>
      </c>
      <c r="BJ80" s="13">
        <f t="shared" si="66"/>
        <v>-0.15522716403578585</v>
      </c>
      <c r="BK80" s="32" cm="1">
        <f t="array" ref="BK80">VALUE(_xll.BDP($B80,"INTERVAL_DATE_OF_CALC_HI","CALC_INTERVAL","3M"))</f>
        <v>46015</v>
      </c>
      <c r="BL80" s="32" cm="1">
        <f t="array" ref="BL80">VALUE(_xll.BDP($B80,"INTERVAL_DATE_OF_CALC_LO","CALC_INTERVAL","3M"))</f>
        <v>46058</v>
      </c>
      <c r="BM80" s="32" cm="1">
        <f t="array" ref="BM80">VALUE(_xll.BDP($B80,"INTERVAL_DATE_OF_CALC_HI","CALC_INTERVAL","1M"))</f>
        <v>46034</v>
      </c>
      <c r="BN80" s="32" cm="1">
        <f t="array" ref="BN80">VALUE(_xll.BDP($B80,"INTERVAL_DATE_OF_CALC_LO","CALC_INTERVAL","1M"))</f>
        <v>46058</v>
      </c>
      <c r="BO80" s="15">
        <f>IFERROR(VLOOKUP($F80,PIVOT!$A:$C,2,FALSE),0)</f>
        <v>0</v>
      </c>
      <c r="BP80" s="15">
        <f>IFERROR(VLOOKUP($F80,PIVOT!$A:$C,3,FALSE),0)</f>
        <v>0</v>
      </c>
      <c r="BQ80" s="15">
        <f t="shared" si="39"/>
        <v>34.369075204478065</v>
      </c>
    </row>
    <row r="81" spans="1:69" x14ac:dyDescent="0.25">
      <c r="A81">
        <v>80</v>
      </c>
      <c r="B81" t="s">
        <v>102</v>
      </c>
      <c r="J81" s="24"/>
      <c r="K81" s="15">
        <f>_xll.BDP($B81,"interval_rsi","tech_studies_param1_override",14)</f>
        <v>18.154031466838106</v>
      </c>
      <c r="L81" s="15">
        <f t="shared" si="0"/>
        <v>52.525531939815814</v>
      </c>
      <c r="M81">
        <f t="shared" si="40"/>
        <v>0</v>
      </c>
      <c r="N81" cm="1">
        <f t="array" ref="N81">IFERROR(VALUE(_xll.BDP($B81,"px_last")),"")</f>
        <v>40.46</v>
      </c>
      <c r="O81">
        <f t="shared" si="1"/>
        <v>6941.47</v>
      </c>
      <c r="P81" cm="1">
        <f t="array" ref="P81">IFERROR(VALUE(_xll.BDP($B81,"PX_YEST_CLOSE")),"")</f>
        <v>41.49</v>
      </c>
      <c r="Q81">
        <f t="shared" si="2"/>
        <v>6941.81</v>
      </c>
      <c r="R81">
        <f t="shared" si="41"/>
        <v>5.8287365644452832E-3</v>
      </c>
      <c r="S81">
        <f t="shared" si="42"/>
        <v>5.9768273692307914E-3</v>
      </c>
      <c r="T81" cm="1">
        <f t="array" ref="T81">IFERROR(VALUE(_xll.BDP($B81,"INTERVAL_MAE_MOV_AVG","CALC_INTERVAL","520D","TECH_STUDIES_PARAM1_OVERRIDE",50,"USE_PREVIOUS_BUSINESS_DAY","N")),"")</f>
        <v>56.138399981689446</v>
      </c>
      <c r="U81">
        <f t="shared" si="3"/>
        <v>6894.0953999999992</v>
      </c>
      <c r="V81" cm="1">
        <f t="array" ref="V81">IFERROR(VALUE(_xll.BDP($B81,"INTERVAL_MAE_MOV_AVG","CALC_INTERVAL","520D","TECH_STUDIES_PARAM1_OVERRIDE",50,"USE_PREVIOUS_BUSINESS_DAY","Y")),"")</f>
        <v>56.582999999999991</v>
      </c>
      <c r="W81">
        <f t="shared" si="4"/>
        <v>6892.2477999999992</v>
      </c>
      <c r="X81">
        <f t="shared" si="43"/>
        <v>8.1429682539190633E-3</v>
      </c>
      <c r="Y81">
        <f t="shared" si="44"/>
        <v>8.2096583933038512E-3</v>
      </c>
      <c r="Z81" s="11" t="str">
        <f t="shared" si="45"/>
        <v>NEGATIVE</v>
      </c>
      <c r="AA81" s="11" t="str">
        <f t="shared" si="46"/>
        <v/>
      </c>
      <c r="AB81" s="11" t="str">
        <f t="shared" si="47"/>
        <v>DOWN</v>
      </c>
      <c r="AC81" s="6" t="str">
        <f t="shared" si="48"/>
        <v>NEGATIVE</v>
      </c>
      <c r="AD81" cm="1">
        <f t="array" ref="AD81">IFERROR(VALUE(_xll.BDP($B81,"INTERVAL_MAE_MOV_AVG","CALC_INTERVAL","520D","TECH_STUDIES_PARAM1_OVERRIDE",65,"USE_PREVIOUS_BUSINESS_DAY","N")),"")</f>
        <v>57.670937727453421</v>
      </c>
      <c r="AE81">
        <f t="shared" si="5"/>
        <v>6856.0226153846133</v>
      </c>
      <c r="AF81" cm="1">
        <f t="array" ref="AF81">IFERROR(VALUE(_xll.BDP($B81,"INTERVAL_MAE_MOV_AVG","CALC_INTERVAL","520D","TECH_STUDIES_PARAM1_OVERRIDE",65,"USE_PREVIOUS_BUSINESS_DAY","Y")),"")</f>
        <v>58.065510117538452</v>
      </c>
      <c r="AG81">
        <f t="shared" si="6"/>
        <v>6852.6203076923057</v>
      </c>
      <c r="AH81">
        <f t="shared" si="49"/>
        <v>8.411719295972328E-3</v>
      </c>
      <c r="AI81">
        <f t="shared" si="50"/>
        <v>8.4734754751197711E-3</v>
      </c>
      <c r="AJ81" s="10" t="str">
        <f t="shared" si="51"/>
        <v>DOWN</v>
      </c>
      <c r="AK81" s="10" t="str">
        <f t="shared" si="52"/>
        <v>DOWN</v>
      </c>
      <c r="AL81" s="6" t="str">
        <f t="shared" si="53"/>
        <v>NEGATIVE</v>
      </c>
      <c r="AM81" cm="1">
        <f t="array" ref="AM81">IFERROR(VALUE(_xll.BDP($B81,"INTERVAL_MAE_MOV_AVG","CALC_INTERVAL","65W","PERIODICITY_OVERRIDE","W","TECH_STUDIES_PARAM1_OVERRIDE",39,"USE_PREVIOUS_BUSINESS_DAY","N")),"")</f>
        <v>65.209457540627525</v>
      </c>
      <c r="AN81">
        <f t="shared" si="7"/>
        <v>6560.7735897435905</v>
      </c>
      <c r="AO81" cm="1">
        <f t="array" ref="AO81">IFERROR(VALUE(_xll.BDP($B81,"INTERVAL_MAE_MOV_AVG","CALC_INTERVAL","65W","PERIODICITY_OVERRIDE","W","TECH_STUDIES_PARAM1_OVERRIDE",39,"USE_PREVIOUS_BUSINESS_DAY","Y")),"")</f>
        <v>65.235867820512851</v>
      </c>
      <c r="AP81">
        <f t="shared" si="8"/>
        <v>6560.7823076923087</v>
      </c>
      <c r="AQ81">
        <f t="shared" si="54"/>
        <v>9.9392939946242008E-3</v>
      </c>
      <c r="AR81">
        <f t="shared" si="55"/>
        <v>9.9433062645632782E-3</v>
      </c>
      <c r="AS81" s="10" t="str">
        <f t="shared" si="56"/>
        <v>DOWN</v>
      </c>
      <c r="AT81" s="10" t="str">
        <f t="shared" si="57"/>
        <v>DOWN</v>
      </c>
      <c r="AU81" s="6" t="str">
        <f t="shared" si="58"/>
        <v>NEGATIVE</v>
      </c>
      <c r="AV81" cm="1">
        <f t="array" ref="AV81">IFERROR(VALUE(_xll.BDP($B81,"INTERVAL_exp_MOV_AVG","CALC_INTERVAL","520D","TECH_STUDIES_PARAM1_OVERRIDE",100,"USE_PREVIOUS_BUSINESS_DAY","N")),"")</f>
        <v>59.388029235560985</v>
      </c>
      <c r="AW81">
        <f t="shared" si="9"/>
        <v>6773.0064518682802</v>
      </c>
      <c r="AX81" cm="1">
        <f t="array" ref="AX81">IFERROR(VALUE(_xll.BDP($B81,"INTERVAL_exp_MOV_AVG","CALC_INTERVAL","520D","TECH_STUDIES_PARAM1_OVERRIDE",100,"USE_PREVIOUS_BUSINESS_DAY","Y")),"")</f>
        <v>59.770369093531727</v>
      </c>
      <c r="AY81">
        <f t="shared" si="10"/>
        <v>6769.6039787132295</v>
      </c>
      <c r="AZ81">
        <f t="shared" si="59"/>
        <v>8.7683408627463027E-3</v>
      </c>
      <c r="BA81">
        <f t="shared" si="60"/>
        <v>8.8292268323933651E-3</v>
      </c>
      <c r="BB81" s="11" t="str">
        <f t="shared" si="61"/>
        <v>DOWN</v>
      </c>
      <c r="BC81" s="11" t="str">
        <f t="shared" si="62"/>
        <v>DOWN</v>
      </c>
      <c r="BD81" s="6" t="str">
        <f t="shared" si="63"/>
        <v>NEGATIVE</v>
      </c>
      <c r="BE81" s="12" cm="1">
        <f t="array" ref="BE81">_xll.BDP($B81, "INTERVAL_RSI", "TECH_STUDIES_PARAM1_OVERRIDE", "5", "PERIODICITY_OVERRIDE", "W")</f>
        <v>2.6887420908422826</v>
      </c>
      <c r="BF81" cm="1">
        <f t="array" ref="BF81">IFERROR(VALUE(_xll.BDP($B81,"INTERVAL_MAE_MOV_AVG","CALC_INTERVAL","520D","TECH_STUDIES_PARAM1_OVERRIDE",31,"USE_PREVIOUS_BUSINESS_DAY","N")),"")</f>
        <v>53.193548357563628</v>
      </c>
      <c r="BG81" cm="1">
        <f t="array" ref="BG81">IFERROR(VALUE(_xll.BDP($B81,"INTERVAL_MAE_MOV_AVG","CALC_INTERVAL","760D","TECH_STUDIES_PARAM1_OVERRIDE",200,"USE_PREVIOUS_BUSINESS_DAY","N")),"")</f>
        <v>66.225357494122406</v>
      </c>
      <c r="BH81" s="13">
        <f t="shared" si="64"/>
        <v>-0.2393814428766724</v>
      </c>
      <c r="BI81" s="13">
        <f t="shared" si="65"/>
        <v>-0.27928120478679908</v>
      </c>
      <c r="BJ81" s="13">
        <f t="shared" si="66"/>
        <v>-0.38905577061489049</v>
      </c>
      <c r="BK81" s="32" cm="1">
        <f t="array" ref="BK81">VALUE(_xll.BDP($B81,"INTERVAL_DATE_OF_CALC_HI","CALC_INTERVAL","3M"))</f>
        <v>45972</v>
      </c>
      <c r="BL81" s="32" cm="1">
        <f t="array" ref="BL81">VALUE(_xll.BDP($B81,"INTERVAL_DATE_OF_CALC_LO","CALC_INTERVAL","3M"))</f>
        <v>46058</v>
      </c>
      <c r="BM81" s="32" cm="1">
        <f t="array" ref="BM81">VALUE(_xll.BDP($B81,"INTERVAL_DATE_OF_CALC_HI","CALC_INTERVAL","1M"))</f>
        <v>46036</v>
      </c>
      <c r="BN81" s="32" cm="1">
        <f t="array" ref="BN81">VALUE(_xll.BDP($B81,"INTERVAL_DATE_OF_CALC_LO","CALC_INTERVAL","1M"))</f>
        <v>46058</v>
      </c>
      <c r="BO81" s="15">
        <f>IFERROR(VLOOKUP($F81,PIVOT!$A:$C,2,FALSE),0)</f>
        <v>0</v>
      </c>
      <c r="BP81" s="15">
        <f>IFERROR(VLOOKUP($F81,PIVOT!$A:$C,3,FALSE),0)</f>
        <v>0</v>
      </c>
      <c r="BQ81" s="15">
        <f t="shared" si="39"/>
        <v>18.154031466838106</v>
      </c>
    </row>
    <row r="82" spans="1:69" x14ac:dyDescent="0.25">
      <c r="A82">
        <v>81</v>
      </c>
      <c r="B82" t="s">
        <v>103</v>
      </c>
      <c r="J82" s="24"/>
      <c r="K82" s="15">
        <f>_xll.BDP($B82,"interval_rsi","tech_studies_param1_override",14)</f>
        <v>30.543303781938775</v>
      </c>
      <c r="L82" s="15">
        <f t="shared" si="0"/>
        <v>52.525531939815814</v>
      </c>
      <c r="M82">
        <f t="shared" si="40"/>
        <v>0</v>
      </c>
      <c r="N82" cm="1">
        <f t="array" ref="N82">IFERROR(VALUE(_xll.BDP($B82,"px_last")),"")</f>
        <v>141.04</v>
      </c>
      <c r="O82">
        <f t="shared" si="1"/>
        <v>6941.47</v>
      </c>
      <c r="P82" cm="1">
        <f t="array" ref="P82">IFERROR(VALUE(_xll.BDP($B82,"PX_YEST_CLOSE")),"")</f>
        <v>140.09</v>
      </c>
      <c r="Q82">
        <f t="shared" si="2"/>
        <v>6941.81</v>
      </c>
      <c r="R82">
        <f t="shared" si="41"/>
        <v>2.0318462803988201E-2</v>
      </c>
      <c r="S82">
        <f t="shared" si="42"/>
        <v>2.0180615718378925E-2</v>
      </c>
      <c r="T82" cm="1">
        <f t="array" ref="T82">IFERROR(VALUE(_xll.BDP($B82,"INTERVAL_MAE_MOV_AVG","CALC_INTERVAL","520D","TECH_STUDIES_PARAM1_OVERRIDE",50,"USE_PREVIOUS_BUSINESS_DAY","N")),"")</f>
        <v>165.3857556649227</v>
      </c>
      <c r="U82">
        <f t="shared" si="3"/>
        <v>6894.0953999999992</v>
      </c>
      <c r="V82" cm="1">
        <f t="array" ref="V82">IFERROR(VALUE(_xll.BDP($B82,"INTERVAL_MAE_MOV_AVG","CALC_INTERVAL","520D","TECH_STUDIES_PARAM1_OVERRIDE",50,"USE_PREVIOUS_BUSINESS_DAY","Y")),"")</f>
        <v>165.90966440800003</v>
      </c>
      <c r="W82">
        <f t="shared" si="4"/>
        <v>6892.2477999999992</v>
      </c>
      <c r="X82">
        <f t="shared" si="43"/>
        <v>2.3989478832120995E-2</v>
      </c>
      <c r="Y82">
        <f t="shared" si="44"/>
        <v>2.4071923880624263E-2</v>
      </c>
      <c r="Z82" s="11" t="str">
        <f t="shared" si="45"/>
        <v>NEGATIVE</v>
      </c>
      <c r="AA82" s="11" t="str">
        <f t="shared" si="46"/>
        <v/>
      </c>
      <c r="AB82" s="11" t="str">
        <f t="shared" si="47"/>
        <v>DOWN</v>
      </c>
      <c r="AC82" s="6" t="str">
        <f t="shared" si="48"/>
        <v>NEGATIVE</v>
      </c>
      <c r="AD82" cm="1">
        <f t="array" ref="AD82">IFERROR(VALUE(_xll.BDP($B82,"INTERVAL_MAE_MOV_AVG","CALC_INTERVAL","520D","TECH_STUDIES_PARAM1_OVERRIDE",65,"USE_PREVIOUS_BUSINESS_DAY","N")),"")</f>
        <v>165.85301258594058</v>
      </c>
      <c r="AE82">
        <f t="shared" si="5"/>
        <v>6856.0226153846133</v>
      </c>
      <c r="AF82" cm="1">
        <f t="array" ref="AF82">IFERROR(VALUE(_xll.BDP($B82,"INTERVAL_MAE_MOV_AVG","CALC_INTERVAL","520D","TECH_STUDIES_PARAM1_OVERRIDE",65,"USE_PREVIOUS_BUSINESS_DAY","Y")),"")</f>
        <v>166.33423501538471</v>
      </c>
      <c r="AG82">
        <f t="shared" si="6"/>
        <v>6852.6203076923057</v>
      </c>
      <c r="AH82">
        <f t="shared" si="49"/>
        <v>2.4190849693782181E-2</v>
      </c>
      <c r="AI82">
        <f t="shared" si="50"/>
        <v>2.4273084972863405E-2</v>
      </c>
      <c r="AJ82" s="10" t="str">
        <f t="shared" si="51"/>
        <v>DOWN</v>
      </c>
      <c r="AK82" s="10" t="str">
        <f t="shared" si="52"/>
        <v>DOWN</v>
      </c>
      <c r="AL82" s="6" t="str">
        <f t="shared" si="53"/>
        <v>NEGATIVE</v>
      </c>
      <c r="AM82" cm="1">
        <f t="array" ref="AM82">IFERROR(VALUE(_xll.BDP($B82,"INTERVAL_MAE_MOV_AVG","CALC_INTERVAL","65W","PERIODICITY_OVERRIDE","W","TECH_STUDIES_PARAM1_OVERRIDE",39,"USE_PREVIOUS_BUSINESS_DAY","N")),"")</f>
        <v>160.03295780964791</v>
      </c>
      <c r="AN82">
        <f t="shared" si="7"/>
        <v>6560.7735897435905</v>
      </c>
      <c r="AO82" cm="1">
        <f t="array" ref="AO82">IFERROR(VALUE(_xll.BDP($B82,"INTERVAL_MAE_MOV_AVG","CALC_INTERVAL","65W","PERIODICITY_OVERRIDE","W","TECH_STUDIES_PARAM1_OVERRIDE",39,"USE_PREVIOUS_BUSINESS_DAY","Y")),"")</f>
        <v>160.00859900743936</v>
      </c>
      <c r="AP82">
        <f t="shared" si="8"/>
        <v>6560.7823076923087</v>
      </c>
      <c r="AQ82">
        <f t="shared" si="54"/>
        <v>2.4392391479539283E-2</v>
      </c>
      <c r="AR82">
        <f t="shared" si="55"/>
        <v>2.4388646277721235E-2</v>
      </c>
      <c r="AS82" s="10" t="str">
        <f t="shared" si="56"/>
        <v>UP</v>
      </c>
      <c r="AT82" s="10" t="str">
        <f t="shared" si="57"/>
        <v>UP</v>
      </c>
      <c r="AU82" s="6" t="str">
        <f t="shared" si="58"/>
        <v>NEGATIVE</v>
      </c>
      <c r="AV82" cm="1">
        <f t="array" ref="AV82">IFERROR(VALUE(_xll.BDP($B82,"INTERVAL_exp_MOV_AVG","CALC_INTERVAL","520D","TECH_STUDIES_PARAM1_OVERRIDE",100,"USE_PREVIOUS_BUSINESS_DAY","N")),"")</f>
        <v>162.52720259685245</v>
      </c>
      <c r="AW82">
        <f t="shared" si="9"/>
        <v>6773.0064518682802</v>
      </c>
      <c r="AX82" cm="1">
        <f t="array" ref="AX82">IFERROR(VALUE(_xll.BDP($B82,"INTERVAL_exp_MOV_AVG","CALC_INTERVAL","520D","TECH_STUDIES_PARAM1_OVERRIDE",100,"USE_PREVIOUS_BUSINESS_DAY","Y")),"")</f>
        <v>162.96134121927082</v>
      </c>
      <c r="AY82">
        <f t="shared" si="10"/>
        <v>6769.6039787132295</v>
      </c>
      <c r="AZ82">
        <f t="shared" si="59"/>
        <v>2.3996315927326574E-2</v>
      </c>
      <c r="BA82">
        <f t="shared" si="60"/>
        <v>2.4072507303484335E-2</v>
      </c>
      <c r="BB82" s="11" t="str">
        <f t="shared" si="61"/>
        <v>DOWN</v>
      </c>
      <c r="BC82" s="11" t="str">
        <f t="shared" si="62"/>
        <v>DOWN</v>
      </c>
      <c r="BD82" s="6" t="str">
        <f t="shared" si="63"/>
        <v>NEGATIVE</v>
      </c>
      <c r="BE82" s="12" cm="1">
        <f t="array" ref="BE82">_xll.BDP($B82, "INTERVAL_RSI", "TECH_STUDIES_PARAM1_OVERRIDE", "5", "PERIODICITY_OVERRIDE", "W")</f>
        <v>23.678002286286116</v>
      </c>
      <c r="BF82" cm="1">
        <f t="array" ref="BF82">IFERROR(VALUE(_xll.BDP($B82,"INTERVAL_MAE_MOV_AVG","CALC_INTERVAL","520D","TECH_STUDIES_PARAM1_OVERRIDE",31,"USE_PREVIOUS_BUSINESS_DAY","N")),"")</f>
        <v>159.35935462213328</v>
      </c>
      <c r="BG82" cm="1">
        <f t="array" ref="BG82">IFERROR(VALUE(_xll.BDP($B82,"INTERVAL_MAE_MOV_AVG","CALC_INTERVAL","760D","TECH_STUDIES_PARAM1_OVERRIDE",200,"USE_PREVIOUS_BUSINESS_DAY","N")),"")</f>
        <v>159.69870501670596</v>
      </c>
      <c r="BH82" s="13">
        <f t="shared" si="64"/>
        <v>-0.11495625509761531</v>
      </c>
      <c r="BI82" s="13">
        <f t="shared" si="65"/>
        <v>-0.14720587977508814</v>
      </c>
      <c r="BJ82" s="13">
        <f t="shared" si="66"/>
        <v>-0.11683692121832856</v>
      </c>
      <c r="BK82" s="32" cm="1">
        <f t="array" ref="BK82">VALUE(_xll.BDP($B82,"INTERVAL_DATE_OF_CALC_HI","CALC_INTERVAL","3M"))</f>
        <v>46028</v>
      </c>
      <c r="BL82" s="32" cm="1">
        <f t="array" ref="BL82">VALUE(_xll.BDP($B82,"INTERVAL_DATE_OF_CALC_LO","CALC_INTERVAL","3M"))</f>
        <v>46058</v>
      </c>
      <c r="BM82" s="32" cm="1">
        <f t="array" ref="BM82">VALUE(_xll.BDP($B82,"INTERVAL_DATE_OF_CALC_HI","CALC_INTERVAL","1M"))</f>
        <v>46034</v>
      </c>
      <c r="BN82" s="32" cm="1">
        <f t="array" ref="BN82">VALUE(_xll.BDP($B82,"INTERVAL_DATE_OF_CALC_LO","CALC_INTERVAL","1M"))</f>
        <v>46058</v>
      </c>
      <c r="BO82" s="15">
        <f>IFERROR(VLOOKUP($F82,PIVOT!$A:$C,2,FALSE),0)</f>
        <v>0</v>
      </c>
      <c r="BP82" s="15">
        <f>IFERROR(VLOOKUP($F82,PIVOT!$A:$C,3,FALSE),0)</f>
        <v>0</v>
      </c>
      <c r="BQ82" s="15">
        <f t="shared" si="39"/>
        <v>30.543303781938775</v>
      </c>
    </row>
    <row r="83" spans="1:69" x14ac:dyDescent="0.25">
      <c r="A83">
        <v>82</v>
      </c>
      <c r="B83" t="s">
        <v>107</v>
      </c>
      <c r="J83" s="24"/>
      <c r="K83" s="15">
        <f>_xll.BDP($B83,"interval_rsi","tech_studies_param1_override",14)</f>
        <v>55.405209293592186</v>
      </c>
      <c r="L83" s="15">
        <f t="shared" si="0"/>
        <v>52.525531939815814</v>
      </c>
      <c r="M83">
        <f t="shared" si="40"/>
        <v>0</v>
      </c>
      <c r="N83" cm="1">
        <f t="array" ref="N83">IFERROR(VALUE(_xll.BDP($B83,"px_last")),"")</f>
        <v>778.97</v>
      </c>
      <c r="O83">
        <f t="shared" si="1"/>
        <v>6941.47</v>
      </c>
      <c r="P83" cm="1">
        <f t="array" ref="P83">IFERROR(VALUE(_xll.BDP($B83,"PX_YEST_CLOSE")),"")</f>
        <v>754.91</v>
      </c>
      <c r="Q83">
        <f t="shared" si="2"/>
        <v>6941.81</v>
      </c>
      <c r="R83">
        <f t="shared" si="41"/>
        <v>0.11221974596159026</v>
      </c>
      <c r="S83">
        <f t="shared" si="42"/>
        <v>0.10874829475309752</v>
      </c>
      <c r="T83" cm="1">
        <f t="array" ref="T83">IFERROR(VALUE(_xll.BDP($B83,"INTERVAL_MAE_MOV_AVG","CALC_INTERVAL","520D","TECH_STUDIES_PARAM1_OVERRIDE",50,"USE_PREVIOUS_BUSINESS_DAY","N")),"")</f>
        <v>757.95219941406253</v>
      </c>
      <c r="U83">
        <f t="shared" si="3"/>
        <v>6894.0953999999992</v>
      </c>
      <c r="V83" cm="1">
        <f t="array" ref="V83">IFERROR(VALUE(_xll.BDP($B83,"INTERVAL_MAE_MOV_AVG","CALC_INTERVAL","520D","TECH_STUDIES_PARAM1_OVERRIDE",50,"USE_PREVIOUS_BUSINESS_DAY","Y")),"")</f>
        <v>757.97660000000008</v>
      </c>
      <c r="W83">
        <f t="shared" si="4"/>
        <v>6892.2477999999992</v>
      </c>
      <c r="X83">
        <f t="shared" si="43"/>
        <v>0.10994222670809903</v>
      </c>
      <c r="Y83">
        <f t="shared" si="44"/>
        <v>0.10997523913751334</v>
      </c>
      <c r="Z83" s="11" t="str">
        <f t="shared" si="45"/>
        <v>NEGATIVE</v>
      </c>
      <c r="AA83" s="11" t="str">
        <f t="shared" si="46"/>
        <v>UP</v>
      </c>
      <c r="AB83" s="11" t="str">
        <f t="shared" si="47"/>
        <v>DOWN</v>
      </c>
      <c r="AC83" s="6" t="str">
        <f t="shared" si="48"/>
        <v>BUY</v>
      </c>
      <c r="AD83" cm="1">
        <f t="array" ref="AD83">IFERROR(VALUE(_xll.BDP($B83,"INTERVAL_MAE_MOV_AVG","CALC_INTERVAL","520D","TECH_STUDIES_PARAM1_OVERRIDE",65,"USE_PREVIOUS_BUSINESS_DAY","N")),"")</f>
        <v>749.01170468220187</v>
      </c>
      <c r="AE83">
        <f t="shared" si="5"/>
        <v>6856.0226153846133</v>
      </c>
      <c r="AF83" cm="1">
        <f t="array" ref="AF83">IFERROR(VALUE(_xll.BDP($B83,"INTERVAL_MAE_MOV_AVG","CALC_INTERVAL","520D","TECH_STUDIES_PARAM1_OVERRIDE",65,"USE_PREVIOUS_BUSINESS_DAY","Y")),"")</f>
        <v>746.96693772923061</v>
      </c>
      <c r="AG83">
        <f t="shared" si="6"/>
        <v>6852.6203076923057</v>
      </c>
      <c r="AH83">
        <f t="shared" si="49"/>
        <v>0.10924872140903569</v>
      </c>
      <c r="AI83">
        <f t="shared" si="50"/>
        <v>0.10900457112598726</v>
      </c>
      <c r="AJ83" s="10" t="str">
        <f t="shared" si="51"/>
        <v>UP</v>
      </c>
      <c r="AK83" s="10" t="str">
        <f t="shared" si="52"/>
        <v>UP</v>
      </c>
      <c r="AL83" s="6" t="str">
        <f t="shared" si="53"/>
        <v>BUY</v>
      </c>
      <c r="AM83" cm="1">
        <f t="array" ref="AM83">IFERROR(VALUE(_xll.BDP($B83,"INTERVAL_MAE_MOV_AVG","CALC_INTERVAL","65W","PERIODICITY_OVERRIDE","W","TECH_STUDIES_PARAM1_OVERRIDE",39,"USE_PREVIOUS_BUSINESS_DAY","N")),"")</f>
        <v>633.91029413382785</v>
      </c>
      <c r="AN83">
        <f t="shared" si="7"/>
        <v>6560.7735897435905</v>
      </c>
      <c r="AO83" cm="1">
        <f t="array" ref="AO83">IFERROR(VALUE(_xll.BDP($B83,"INTERVAL_MAE_MOV_AVG","CALC_INTERVAL","65W","PERIODICITY_OVERRIDE","W","TECH_STUDIES_PARAM1_OVERRIDE",39,"USE_PREVIOUS_BUSINESS_DAY","Y")),"")</f>
        <v>633.29337180810671</v>
      </c>
      <c r="AP83">
        <f t="shared" si="8"/>
        <v>6560.7823076923087</v>
      </c>
      <c r="AQ83">
        <f t="shared" si="54"/>
        <v>9.6621272699429106E-2</v>
      </c>
      <c r="AR83">
        <f t="shared" si="55"/>
        <v>9.6527112485593425E-2</v>
      </c>
      <c r="AS83" s="10" t="str">
        <f t="shared" si="56"/>
        <v>UP</v>
      </c>
      <c r="AT83" s="10" t="str">
        <f t="shared" si="57"/>
        <v>UP</v>
      </c>
      <c r="AU83" s="6" t="str">
        <f t="shared" si="58"/>
        <v>POSITIVE</v>
      </c>
      <c r="AV83" cm="1">
        <f t="array" ref="AV83">IFERROR(VALUE(_xll.BDP($B83,"INTERVAL_exp_MOV_AVG","CALC_INTERVAL","520D","TECH_STUDIES_PARAM1_OVERRIDE",100,"USE_PREVIOUS_BUSINESS_DAY","N")),"")</f>
        <v>709.60656637145269</v>
      </c>
      <c r="AW83">
        <f t="shared" si="9"/>
        <v>6773.0064518682802</v>
      </c>
      <c r="AX83" cm="1">
        <f t="array" ref="AX83">IFERROR(VALUE(_xll.BDP($B83,"INTERVAL_exp_MOV_AVG","CALC_INTERVAL","520D","TECH_STUDIES_PARAM1_OVERRIDE",100,"USE_PREVIOUS_BUSINESS_DAY","Y")),"")</f>
        <v>708.20553826320497</v>
      </c>
      <c r="AY83">
        <f t="shared" si="10"/>
        <v>6769.6039787132295</v>
      </c>
      <c r="AZ83">
        <f t="shared" si="59"/>
        <v>0.10476980516912299</v>
      </c>
      <c r="BA83">
        <f t="shared" si="60"/>
        <v>0.10461550490843056</v>
      </c>
      <c r="BB83" s="11" t="str">
        <f t="shared" si="61"/>
        <v>UP</v>
      </c>
      <c r="BC83" s="11" t="str">
        <f t="shared" si="62"/>
        <v>UP</v>
      </c>
      <c r="BD83" s="6" t="str">
        <f t="shared" si="63"/>
        <v>POSITIVE</v>
      </c>
      <c r="BE83" s="12" cm="1">
        <f t="array" ref="BE83">_xll.BDP($B83, "INTERVAL_RSI", "TECH_STUDIES_PARAM1_OVERRIDE", "5", "PERIODICITY_OVERRIDE", "W")</f>
        <v>60.131777732605634</v>
      </c>
      <c r="BF83" cm="1">
        <f t="array" ref="BF83">IFERROR(VALUE(_xll.BDP($B83,"INTERVAL_MAE_MOV_AVG","CALC_INTERVAL","520D","TECH_STUDIES_PARAM1_OVERRIDE",31,"USE_PREVIOUS_BUSINESS_DAY","N")),"")</f>
        <v>765.5445151839715</v>
      </c>
      <c r="BG83" cm="1">
        <f t="array" ref="BG83">IFERROR(VALUE(_xll.BDP($B83,"INTERVAL_MAE_MOV_AVG","CALC_INTERVAL","760D","TECH_STUDIES_PARAM1_OVERRIDE",200,"USE_PREVIOUS_BUSINESS_DAY","N")),"")</f>
        <v>625.33005693918108</v>
      </c>
      <c r="BH83" s="13">
        <f t="shared" si="64"/>
        <v>1.753717066708016E-2</v>
      </c>
      <c r="BI83" s="13">
        <f t="shared" si="65"/>
        <v>2.772971778719735E-2</v>
      </c>
      <c r="BJ83" s="13">
        <f t="shared" si="66"/>
        <v>0.24569415999743294</v>
      </c>
      <c r="BK83" s="32" cm="1">
        <f t="array" ref="BK83">VALUE(_xll.BDP($B83,"INTERVAL_DATE_OF_CALC_HI","CALC_INTERVAL","3M"))</f>
        <v>46029</v>
      </c>
      <c r="BL83" s="32" cm="1">
        <f t="array" ref="BL83">VALUE(_xll.BDP($B83,"INTERVAL_DATE_OF_CALC_LO","CALC_INTERVAL","3M"))</f>
        <v>45972</v>
      </c>
      <c r="BM83" s="32" cm="1">
        <f t="array" ref="BM83">VALUE(_xll.BDP($B83,"INTERVAL_DATE_OF_CALC_HI","CALC_INTERVAL","1M"))</f>
        <v>46059</v>
      </c>
      <c r="BN83" s="32" cm="1">
        <f t="array" ref="BN83">VALUE(_xll.BDP($B83,"INTERVAL_DATE_OF_CALC_LO","CALC_INTERVAL","1M"))</f>
        <v>46038</v>
      </c>
      <c r="BO83" s="15">
        <f>IFERROR(VLOOKUP($F83,PIVOT!$A:$C,2,FALSE),0)</f>
        <v>0</v>
      </c>
      <c r="BP83" s="15">
        <f>IFERROR(VLOOKUP($F83,PIVOT!$A:$C,3,FALSE),0)</f>
        <v>0</v>
      </c>
      <c r="BQ83" s="15">
        <f t="shared" si="39"/>
        <v>55.405209293592186</v>
      </c>
    </row>
    <row r="84" spans="1:69" x14ac:dyDescent="0.25">
      <c r="A84">
        <v>83</v>
      </c>
      <c r="B84" t="s">
        <v>109</v>
      </c>
      <c r="J84" s="24"/>
      <c r="K84" s="15">
        <f>_xll.BDP($B84,"interval_rsi","tech_studies_param1_override",14)</f>
        <v>25.443259048066182</v>
      </c>
      <c r="L84" s="15">
        <f t="shared" si="0"/>
        <v>52.525531939815814</v>
      </c>
      <c r="M84">
        <f t="shared" si="40"/>
        <v>0</v>
      </c>
      <c r="N84" cm="1">
        <f t="array" ref="N84">IFERROR(VALUE(_xll.BDP($B84,"px_last")),"")</f>
        <v>333.8</v>
      </c>
      <c r="O84">
        <f t="shared" si="1"/>
        <v>6941.47</v>
      </c>
      <c r="P84" cm="1">
        <f t="array" ref="P84">IFERROR(VALUE(_xll.BDP($B84,"PX_YEST_CLOSE")),"")</f>
        <v>348.84</v>
      </c>
      <c r="Q84">
        <f t="shared" si="2"/>
        <v>6941.81</v>
      </c>
      <c r="R84">
        <f t="shared" si="41"/>
        <v>4.8087796965196133E-2</v>
      </c>
      <c r="S84">
        <f t="shared" si="42"/>
        <v>5.0252023607675798E-2</v>
      </c>
      <c r="T84" cm="1">
        <f t="array" ref="T84">IFERROR(VALUE(_xll.BDP($B84,"INTERVAL_MAE_MOV_AVG","CALC_INTERVAL","520D","TECH_STUDIES_PARAM1_OVERRIDE",50,"USE_PREVIOUS_BUSINESS_DAY","N")),"")</f>
        <v>417.17768798745954</v>
      </c>
      <c r="U84">
        <f t="shared" si="3"/>
        <v>6894.0953999999992</v>
      </c>
      <c r="V84" cm="1">
        <f t="array" ref="V84">IFERROR(VALUE(_xll.BDP($B84,"INTERVAL_MAE_MOV_AVG","CALC_INTERVAL","520D","TECH_STUDIES_PARAM1_OVERRIDE",50,"USE_PREVIOUS_BUSINESS_DAY","Y")),"")</f>
        <v>419.40784675800018</v>
      </c>
      <c r="W84">
        <f t="shared" si="4"/>
        <v>6892.2477999999992</v>
      </c>
      <c r="X84">
        <f t="shared" si="43"/>
        <v>6.051231724867915E-2</v>
      </c>
      <c r="Y84">
        <f t="shared" si="44"/>
        <v>6.0852113697653212E-2</v>
      </c>
      <c r="Z84" s="11" t="str">
        <f t="shared" si="45"/>
        <v>NEGATIVE</v>
      </c>
      <c r="AA84" s="11" t="str">
        <f t="shared" si="46"/>
        <v/>
      </c>
      <c r="AB84" s="11" t="str">
        <f t="shared" si="47"/>
        <v>DOWN</v>
      </c>
      <c r="AC84" s="6" t="str">
        <f t="shared" si="48"/>
        <v>NEGATIVE</v>
      </c>
      <c r="AD84" cm="1">
        <f t="array" ref="AD84">IFERROR(VALUE(_xll.BDP($B84,"INTERVAL_MAE_MOV_AVG","CALC_INTERVAL","520D","TECH_STUDIES_PARAM1_OVERRIDE",65,"USE_PREVIOUS_BUSINESS_DAY","N")),"")</f>
        <v>423.59742861681497</v>
      </c>
      <c r="AE84">
        <f t="shared" si="5"/>
        <v>6856.0226153846133</v>
      </c>
      <c r="AF84" cm="1">
        <f t="array" ref="AF84">IFERROR(VALUE(_xll.BDP($B84,"INTERVAL_MAE_MOV_AVG","CALC_INTERVAL","520D","TECH_STUDIES_PARAM1_OVERRIDE",65,"USE_PREVIOUS_BUSINESS_DAY","Y")),"")</f>
        <v>425.28622084892316</v>
      </c>
      <c r="AG84">
        <f t="shared" si="6"/>
        <v>6852.6203076923057</v>
      </c>
      <c r="AH84">
        <f t="shared" si="49"/>
        <v>6.1784718688978793E-2</v>
      </c>
      <c r="AI84">
        <f t="shared" si="50"/>
        <v>6.2061839377197732E-2</v>
      </c>
      <c r="AJ84" s="10" t="str">
        <f t="shared" si="51"/>
        <v>DOWN</v>
      </c>
      <c r="AK84" s="10" t="str">
        <f t="shared" si="52"/>
        <v>DOWN</v>
      </c>
      <c r="AL84" s="6" t="str">
        <f t="shared" si="53"/>
        <v>NEGATIVE</v>
      </c>
      <c r="AM84" cm="1">
        <f t="array" ref="AM84">IFERROR(VALUE(_xll.BDP($B84,"INTERVAL_MAE_MOV_AVG","CALC_INTERVAL","65W","PERIODICITY_OVERRIDE","W","TECH_STUDIES_PARAM1_OVERRIDE",39,"USE_PREVIOUS_BUSINESS_DAY","N")),"")</f>
        <v>488.39355090323579</v>
      </c>
      <c r="AN84">
        <f t="shared" si="7"/>
        <v>6560.7735897435905</v>
      </c>
      <c r="AO84" cm="1">
        <f t="array" ref="AO84">IFERROR(VALUE(_xll.BDP($B84,"INTERVAL_MAE_MOV_AVG","CALC_INTERVAL","65W","PERIODICITY_OVERRIDE","W","TECH_STUDIES_PARAM1_OVERRIDE",39,"USE_PREVIOUS_BUSINESS_DAY","Y")),"")</f>
        <v>488.77919224187764</v>
      </c>
      <c r="AP84">
        <f t="shared" si="8"/>
        <v>6560.7823076923087</v>
      </c>
      <c r="AQ84">
        <f t="shared" si="54"/>
        <v>7.4441457889468682E-2</v>
      </c>
      <c r="AR84">
        <f t="shared" si="55"/>
        <v>7.4500138751563139E-2</v>
      </c>
      <c r="AS84" s="10" t="str">
        <f t="shared" si="56"/>
        <v>DOWN</v>
      </c>
      <c r="AT84" s="10" t="str">
        <f t="shared" si="57"/>
        <v>DOWN</v>
      </c>
      <c r="AU84" s="6" t="str">
        <f t="shared" si="58"/>
        <v>NEGATIVE</v>
      </c>
      <c r="AV84" cm="1">
        <f t="array" ref="AV84">IFERROR(VALUE(_xll.BDP($B84,"INTERVAL_exp_MOV_AVG","CALC_INTERVAL","520D","TECH_STUDIES_PARAM1_OVERRIDE",100,"USE_PREVIOUS_BUSINESS_DAY","N")),"")</f>
        <v>439.73520147527933</v>
      </c>
      <c r="AW84">
        <f t="shared" si="9"/>
        <v>6773.0064518682802</v>
      </c>
      <c r="AX84" cm="1">
        <f t="array" ref="AX84">IFERROR(VALUE(_xll.BDP($B84,"INTERVAL_exp_MOV_AVG","CALC_INTERVAL","520D","TECH_STUDIES_PARAM1_OVERRIDE",100,"USE_PREVIOUS_BUSINESS_DAY","Y")),"")</f>
        <v>441.8753092547571</v>
      </c>
      <c r="AY84">
        <f t="shared" si="10"/>
        <v>6769.6039787132295</v>
      </c>
      <c r="AZ84">
        <f t="shared" si="59"/>
        <v>6.4924668919218567E-2</v>
      </c>
      <c r="BA84">
        <f t="shared" si="60"/>
        <v>6.5273435587106382E-2</v>
      </c>
      <c r="BB84" s="11" t="str">
        <f t="shared" si="61"/>
        <v>DOWN</v>
      </c>
      <c r="BC84" s="11" t="str">
        <f t="shared" si="62"/>
        <v>DOWN</v>
      </c>
      <c r="BD84" s="6" t="str">
        <f t="shared" si="63"/>
        <v>NEGATIVE</v>
      </c>
      <c r="BE84" s="12" cm="1">
        <f t="array" ref="BE84">_xll.BDP($B84, "INTERVAL_RSI", "TECH_STUDIES_PARAM1_OVERRIDE", "5", "PERIODICITY_OVERRIDE", "W")</f>
        <v>2.6122645771205129</v>
      </c>
      <c r="BF84" cm="1">
        <f t="array" ref="BF84">IFERROR(VALUE(_xll.BDP($B84,"INTERVAL_MAE_MOV_AVG","CALC_INTERVAL","520D","TECH_STUDIES_PARAM1_OVERRIDE",31,"USE_PREVIOUS_BUSINESS_DAY","N")),"")</f>
        <v>399.78124714816022</v>
      </c>
      <c r="BG84" cm="1">
        <f t="array" ref="BG84">IFERROR(VALUE(_xll.BDP($B84,"INTERVAL_MAE_MOV_AVG","CALC_INTERVAL","760D","TECH_STUDIES_PARAM1_OVERRIDE",200,"USE_PREVIOUS_BUSINESS_DAY","N")),"")</f>
        <v>497.59411154956945</v>
      </c>
      <c r="BH84" s="13">
        <f t="shared" si="64"/>
        <v>-0.16504337714396933</v>
      </c>
      <c r="BI84" s="13">
        <f t="shared" si="65"/>
        <v>-0.19986133100667136</v>
      </c>
      <c r="BJ84" s="13">
        <f t="shared" si="66"/>
        <v>-0.32917212593110146</v>
      </c>
      <c r="BK84" s="32" cm="1">
        <f t="array" ref="BK84">VALUE(_xll.BDP($B84,"INTERVAL_DATE_OF_CALC_HI","CALC_INTERVAL","3M"))</f>
        <v>45973</v>
      </c>
      <c r="BL84" s="32" cm="1">
        <f t="array" ref="BL84">VALUE(_xll.BDP($B84,"INTERVAL_DATE_OF_CALC_LO","CALC_INTERVAL","3M"))</f>
        <v>46064</v>
      </c>
      <c r="BM84" s="32" cm="1">
        <f t="array" ref="BM84">VALUE(_xll.BDP($B84,"INTERVAL_DATE_OF_CALC_HI","CALC_INTERVAL","1M"))</f>
        <v>46034</v>
      </c>
      <c r="BN84" s="32" cm="1">
        <f t="array" ref="BN84">VALUE(_xll.BDP($B84,"INTERVAL_DATE_OF_CALC_LO","CALC_INTERVAL","1M"))</f>
        <v>46064</v>
      </c>
      <c r="BO84" s="15">
        <f>IFERROR(VLOOKUP($F84,PIVOT!$A:$C,2,FALSE),0)</f>
        <v>0</v>
      </c>
      <c r="BP84" s="15">
        <f>IFERROR(VLOOKUP($F84,PIVOT!$A:$C,3,FALSE),0)</f>
        <v>0</v>
      </c>
      <c r="BQ84" s="15">
        <f t="shared" si="39"/>
        <v>25.443259048066182</v>
      </c>
    </row>
    <row r="85" spans="1:69" x14ac:dyDescent="0.25">
      <c r="A85">
        <v>84</v>
      </c>
      <c r="B85" t="s">
        <v>110</v>
      </c>
      <c r="J85" s="24"/>
      <c r="K85" s="15">
        <f>_xll.BDP($B85,"interval_rsi","tech_studies_param1_override",14)</f>
        <v>59.814902441192224</v>
      </c>
      <c r="L85" s="15">
        <f t="shared" si="0"/>
        <v>52.525531939815814</v>
      </c>
      <c r="M85">
        <f t="shared" si="40"/>
        <v>0</v>
      </c>
      <c r="N85" cm="1">
        <f t="array" ref="N85">IFERROR(VALUE(_xll.BDP($B85,"px_last")),"")</f>
        <v>192.54</v>
      </c>
      <c r="O85">
        <f t="shared" si="1"/>
        <v>6941.47</v>
      </c>
      <c r="P85" cm="1">
        <f t="array" ref="P85">IFERROR(VALUE(_xll.BDP($B85,"PX_YEST_CLOSE")),"")</f>
        <v>192.33</v>
      </c>
      <c r="Q85">
        <f t="shared" si="2"/>
        <v>6941.81</v>
      </c>
      <c r="R85">
        <f t="shared" si="41"/>
        <v>2.7737640586215886E-2</v>
      </c>
      <c r="S85">
        <f t="shared" si="42"/>
        <v>2.770603055975315E-2</v>
      </c>
      <c r="T85" cm="1">
        <f t="array" ref="T85">IFERROR(VALUE(_xll.BDP($B85,"INTERVAL_MAE_MOV_AVG","CALC_INTERVAL","520D","TECH_STUDIES_PARAM1_OVERRIDE",50,"USE_PREVIOUS_BUSINESS_DAY","N")),"")</f>
        <v>185.57932950452269</v>
      </c>
      <c r="U85">
        <f t="shared" si="3"/>
        <v>6894.0953999999992</v>
      </c>
      <c r="V85" cm="1">
        <f t="array" ref="V85">IFERROR(VALUE(_xll.BDP($B85,"INTERVAL_MAE_MOV_AVG","CALC_INTERVAL","520D","TECH_STUDIES_PARAM1_OVERRIDE",50,"USE_PREVIOUS_BUSINESS_DAY","Y")),"")</f>
        <v>185.24771231320003</v>
      </c>
      <c r="W85">
        <f t="shared" si="4"/>
        <v>6892.2477999999992</v>
      </c>
      <c r="X85">
        <f t="shared" si="43"/>
        <v>2.6918590291704219E-2</v>
      </c>
      <c r="Y85">
        <f t="shared" si="44"/>
        <v>2.6877691819670216E-2</v>
      </c>
      <c r="Z85" s="11" t="str">
        <f t="shared" si="45"/>
        <v>NEGATIVE</v>
      </c>
      <c r="AA85" s="11" t="str">
        <f t="shared" si="46"/>
        <v/>
      </c>
      <c r="AB85" s="11" t="str">
        <f t="shared" si="47"/>
        <v>UP</v>
      </c>
      <c r="AC85" s="6" t="str">
        <f t="shared" si="48"/>
        <v>POSITIVE</v>
      </c>
      <c r="AD85" cm="1">
        <f t="array" ref="AD85">IFERROR(VALUE(_xll.BDP($B85,"INTERVAL_MAE_MOV_AVG","CALC_INTERVAL","520D","TECH_STUDIES_PARAM1_OVERRIDE",65,"USE_PREVIOUS_BUSINESS_DAY","N")),"")</f>
        <v>180.97287483594059</v>
      </c>
      <c r="AE85">
        <f t="shared" si="5"/>
        <v>6856.0226153846133</v>
      </c>
      <c r="AF85" cm="1">
        <f t="array" ref="AF85">IFERROR(VALUE(_xll.BDP($B85,"INTERVAL_MAE_MOV_AVG","CALC_INTERVAL","520D","TECH_STUDIES_PARAM1_OVERRIDE",65,"USE_PREVIOUS_BUSINESS_DAY","Y")),"")</f>
        <v>180.47019489630779</v>
      </c>
      <c r="AG85">
        <f t="shared" si="6"/>
        <v>6852.6203076923057</v>
      </c>
      <c r="AH85">
        <f t="shared" si="49"/>
        <v>2.639618988855804E-2</v>
      </c>
      <c r="AI85">
        <f t="shared" si="50"/>
        <v>2.6335939654167573E-2</v>
      </c>
      <c r="AJ85" s="10" t="str">
        <f t="shared" si="51"/>
        <v>UP</v>
      </c>
      <c r="AK85" s="10" t="str">
        <f t="shared" si="52"/>
        <v>UP</v>
      </c>
      <c r="AL85" s="6" t="str">
        <f t="shared" si="53"/>
        <v>POSITIVE</v>
      </c>
      <c r="AM85" cm="1">
        <f t="array" ref="AM85">IFERROR(VALUE(_xll.BDP($B85,"INTERVAL_MAE_MOV_AVG","CALC_INTERVAL","65W","PERIODICITY_OVERRIDE","W","TECH_STUDIES_PARAM1_OVERRIDE",39,"USE_PREVIOUS_BUSINESS_DAY","N")),"")</f>
        <v>157.37783858721377</v>
      </c>
      <c r="AN85">
        <f t="shared" si="7"/>
        <v>6560.7735897435905</v>
      </c>
      <c r="AO85" cm="1">
        <f t="array" ref="AO85">IFERROR(VALUE(_xll.BDP($B85,"INTERVAL_MAE_MOV_AVG","CALC_INTERVAL","65W","PERIODICITY_OVERRIDE","W","TECH_STUDIES_PARAM1_OVERRIDE",39,"USE_PREVIOUS_BUSINESS_DAY","Y")),"")</f>
        <v>157.37245414397958</v>
      </c>
      <c r="AP85">
        <f t="shared" si="8"/>
        <v>6560.7823076923087</v>
      </c>
      <c r="AQ85">
        <f t="shared" si="54"/>
        <v>2.3987695419522084E-2</v>
      </c>
      <c r="AR85">
        <f t="shared" si="55"/>
        <v>2.3986842843339792E-2</v>
      </c>
      <c r="AS85" s="10" t="str">
        <f t="shared" si="56"/>
        <v>UP</v>
      </c>
      <c r="AT85" s="10" t="str">
        <f t="shared" si="57"/>
        <v>UP</v>
      </c>
      <c r="AU85" s="6" t="str">
        <f t="shared" si="58"/>
        <v>POSITIVE</v>
      </c>
      <c r="AV85" cm="1">
        <f t="array" ref="AV85">IFERROR(VALUE(_xll.BDP($B85,"INTERVAL_exp_MOV_AVG","CALC_INTERVAL","520D","TECH_STUDIES_PARAM1_OVERRIDE",100,"USE_PREVIOUS_BUSINESS_DAY","N")),"")</f>
        <v>174.34865664256895</v>
      </c>
      <c r="AW85">
        <f t="shared" si="9"/>
        <v>6773.0064518682802</v>
      </c>
      <c r="AX85" cm="1">
        <f t="array" ref="AX85">IFERROR(VALUE(_xll.BDP($B85,"INTERVAL_exp_MOV_AVG","CALC_INTERVAL","520D","TECH_STUDIES_PARAM1_OVERRIDE",100,"USE_PREVIOUS_BUSINESS_DAY","Y")),"")</f>
        <v>173.98119987737311</v>
      </c>
      <c r="AY85">
        <f t="shared" si="10"/>
        <v>6769.6039787132295</v>
      </c>
      <c r="AZ85">
        <f t="shared" si="59"/>
        <v>2.574169357161564E-2</v>
      </c>
      <c r="BA85">
        <f t="shared" si="60"/>
        <v>2.570035122061063E-2</v>
      </c>
      <c r="BB85" s="11" t="str">
        <f t="shared" si="61"/>
        <v>UP</v>
      </c>
      <c r="BC85" s="11" t="str">
        <f t="shared" si="62"/>
        <v>UP</v>
      </c>
      <c r="BD85" s="6" t="str">
        <f t="shared" si="63"/>
        <v>POSITIVE</v>
      </c>
      <c r="BE85" s="12" cm="1">
        <f t="array" ref="BE85">_xll.BDP($B85, "INTERVAL_RSI", "TECH_STUDIES_PARAM1_OVERRIDE", "5", "PERIODICITY_OVERRIDE", "W")</f>
        <v>80.214800396058578</v>
      </c>
      <c r="BF85" cm="1">
        <f t="array" ref="BF85">IFERROR(VALUE(_xll.BDP($B85,"INTERVAL_MAE_MOV_AVG","CALC_INTERVAL","520D","TECH_STUDIES_PARAM1_OVERRIDE",31,"USE_PREVIOUS_BUSINESS_DAY","N")),"")</f>
        <v>188.79354817052044</v>
      </c>
      <c r="BG85" cm="1">
        <f t="array" ref="BG85">IFERROR(VALUE(_xll.BDP($B85,"INTERVAL_MAE_MOV_AVG","CALC_INTERVAL","760D","TECH_STUDIES_PARAM1_OVERRIDE",200,"USE_PREVIOUS_BUSINESS_DAY","N")),"")</f>
        <v>155.92393370795961</v>
      </c>
      <c r="BH85" s="13">
        <f t="shared" si="64"/>
        <v>1.9844172990995057E-2</v>
      </c>
      <c r="BI85" s="13">
        <f t="shared" si="65"/>
        <v>3.7507789871110919E-2</v>
      </c>
      <c r="BJ85" s="13">
        <f t="shared" si="66"/>
        <v>0.23483287922058893</v>
      </c>
      <c r="BK85" s="32" cm="1">
        <f t="array" ref="BK85">VALUE(_xll.BDP($B85,"INTERVAL_DATE_OF_CALC_HI","CALC_INTERVAL","3M"))</f>
        <v>46062</v>
      </c>
      <c r="BL85" s="32" cm="1">
        <f t="array" ref="BL85">VALUE(_xll.BDP($B85,"INTERVAL_DATE_OF_CALC_LO","CALC_INTERVAL","3M"))</f>
        <v>45978</v>
      </c>
      <c r="BM85" s="32" cm="1">
        <f t="array" ref="BM85">VALUE(_xll.BDP($B85,"INTERVAL_DATE_OF_CALC_HI","CALC_INTERVAL","1M"))</f>
        <v>46062</v>
      </c>
      <c r="BN85" s="32" cm="1">
        <f t="array" ref="BN85">VALUE(_xll.BDP($B85,"INTERVAL_DATE_OF_CALC_LO","CALC_INTERVAL","1M"))</f>
        <v>46049</v>
      </c>
      <c r="BO85" s="15">
        <f>IFERROR(VLOOKUP($F85,PIVOT!$A:$C,2,FALSE),0)</f>
        <v>0</v>
      </c>
      <c r="BP85" s="15">
        <f>IFERROR(VLOOKUP($F85,PIVOT!$A:$C,3,FALSE),0)</f>
        <v>0</v>
      </c>
      <c r="BQ85" s="15">
        <f t="shared" si="39"/>
        <v>59.814902441192224</v>
      </c>
    </row>
    <row r="86" spans="1:69" x14ac:dyDescent="0.25">
      <c r="A86">
        <v>85</v>
      </c>
      <c r="B86" t="s">
        <v>111</v>
      </c>
      <c r="J86" s="24"/>
      <c r="K86" s="15">
        <f>_xll.BDP($B86,"interval_rsi","tech_studies_param1_override",14)</f>
        <v>35.570071318860954</v>
      </c>
      <c r="L86" s="15">
        <f t="shared" si="0"/>
        <v>52.525531939815814</v>
      </c>
      <c r="M86">
        <f t="shared" si="40"/>
        <v>0</v>
      </c>
      <c r="N86" cm="1">
        <f t="array" ref="N86">IFERROR(VALUE(_xll.BDP($B86,"px_last")),"")</f>
        <v>118.71</v>
      </c>
      <c r="O86">
        <f t="shared" si="1"/>
        <v>6941.47</v>
      </c>
      <c r="P86" cm="1">
        <f t="array" ref="P86">IFERROR(VALUE(_xll.BDP($B86,"PX_YEST_CLOSE")),"")</f>
        <v>127.24</v>
      </c>
      <c r="Q86">
        <f t="shared" si="2"/>
        <v>6941.81</v>
      </c>
      <c r="R86">
        <f t="shared" si="41"/>
        <v>1.7101564942296081E-2</v>
      </c>
      <c r="S86">
        <f t="shared" si="42"/>
        <v>1.8329513484235376E-2</v>
      </c>
      <c r="T86" cm="1">
        <f t="array" ref="T86">IFERROR(VALUE(_xll.BDP($B86,"INTERVAL_MAE_MOV_AVG","CALC_INTERVAL","520D","TECH_STUDIES_PARAM1_OVERRIDE",50,"USE_PREVIOUS_BUSINESS_DAY","N")),"")</f>
        <v>151.91359998168943</v>
      </c>
      <c r="U86">
        <f t="shared" si="3"/>
        <v>6894.0953999999992</v>
      </c>
      <c r="V86" cm="1">
        <f t="array" ref="V86">IFERROR(VALUE(_xll.BDP($B86,"INTERVAL_MAE_MOV_AVG","CALC_INTERVAL","520D","TECH_STUDIES_PARAM1_OVERRIDE",50,"USE_PREVIOUS_BUSINESS_DAY","Y")),"")</f>
        <v>152.7122</v>
      </c>
      <c r="W86">
        <f t="shared" si="4"/>
        <v>6892.2477999999992</v>
      </c>
      <c r="X86">
        <f t="shared" si="43"/>
        <v>2.2035320251252898E-2</v>
      </c>
      <c r="Y86">
        <f t="shared" si="44"/>
        <v>2.2157096557091291E-2</v>
      </c>
      <c r="Z86" s="11" t="str">
        <f t="shared" si="45"/>
        <v>NEGATIVE</v>
      </c>
      <c r="AA86" s="11" t="str">
        <f t="shared" si="46"/>
        <v/>
      </c>
      <c r="AB86" s="11" t="str">
        <f t="shared" si="47"/>
        <v>DOWN</v>
      </c>
      <c r="AC86" s="6" t="str">
        <f t="shared" si="48"/>
        <v>NEGATIVE</v>
      </c>
      <c r="AD86" cm="1">
        <f t="array" ref="AD86">IFERROR(VALUE(_xll.BDP($B86,"INTERVAL_MAE_MOV_AVG","CALC_INTERVAL","520D","TECH_STUDIES_PARAM1_OVERRIDE",65,"USE_PREVIOUS_BUSINESS_DAY","N")),"")</f>
        <v>151.75815383206881</v>
      </c>
      <c r="AE86">
        <f t="shared" si="5"/>
        <v>6856.0226153846133</v>
      </c>
      <c r="AF86" cm="1">
        <f t="array" ref="AF86">IFERROR(VALUE(_xll.BDP($B86,"INTERVAL_MAE_MOV_AVG","CALC_INTERVAL","520D","TECH_STUDIES_PARAM1_OVERRIDE",65,"USE_PREVIOUS_BUSINESS_DAY","Y")),"")</f>
        <v>152.33261538461539</v>
      </c>
      <c r="AG86">
        <f t="shared" si="6"/>
        <v>6852.6203076923057</v>
      </c>
      <c r="AH86">
        <f t="shared" si="49"/>
        <v>2.2135013599799129E-2</v>
      </c>
      <c r="AI86">
        <f t="shared" si="50"/>
        <v>2.2229834507774597E-2</v>
      </c>
      <c r="AJ86" s="10" t="str">
        <f t="shared" si="51"/>
        <v>DOWN</v>
      </c>
      <c r="AK86" s="10" t="str">
        <f t="shared" si="52"/>
        <v>DOWN</v>
      </c>
      <c r="AL86" s="6" t="str">
        <f t="shared" si="53"/>
        <v>NEGATIVE</v>
      </c>
      <c r="AM86" cm="1">
        <f t="array" ref="AM86">IFERROR(VALUE(_xll.BDP($B86,"INTERVAL_MAE_MOV_AVG","CALC_INTERVAL","65W","PERIODICITY_OVERRIDE","W","TECH_STUDIES_PARAM1_OVERRIDE",39,"USE_PREVIOUS_BUSINESS_DAY","N")),"")</f>
        <v>140.18307689960187</v>
      </c>
      <c r="AN86">
        <f t="shared" si="7"/>
        <v>6560.7735897435905</v>
      </c>
      <c r="AO86" cm="1">
        <f t="array" ref="AO86">IFERROR(VALUE(_xll.BDP($B86,"INTERVAL_MAE_MOV_AVG","CALC_INTERVAL","65W","PERIODICITY_OVERRIDE","W","TECH_STUDIES_PARAM1_OVERRIDE",39,"USE_PREVIOUS_BUSINESS_DAY","Y")),"")</f>
        <v>140.40179487179486</v>
      </c>
      <c r="AP86">
        <f t="shared" si="8"/>
        <v>6560.7823076923087</v>
      </c>
      <c r="AQ86">
        <f t="shared" si="54"/>
        <v>2.1366851786921753E-2</v>
      </c>
      <c r="AR86">
        <f t="shared" si="55"/>
        <v>2.1400160573408787E-2</v>
      </c>
      <c r="AS86" s="10" t="str">
        <f t="shared" si="56"/>
        <v>DOWN</v>
      </c>
      <c r="AT86" s="10" t="str">
        <f t="shared" si="57"/>
        <v>DOWN</v>
      </c>
      <c r="AU86" s="6" t="str">
        <f t="shared" si="58"/>
        <v>NEGATIVE</v>
      </c>
      <c r="AV86" cm="1">
        <f t="array" ref="AV86">IFERROR(VALUE(_xll.BDP($B86,"INTERVAL_exp_MOV_AVG","CALC_INTERVAL","520D","TECH_STUDIES_PARAM1_OVERRIDE",100,"USE_PREVIOUS_BUSINESS_DAY","N")),"")</f>
        <v>146.95139655164849</v>
      </c>
      <c r="AW86">
        <f t="shared" si="9"/>
        <v>6773.0064518682802</v>
      </c>
      <c r="AX86" cm="1">
        <f t="array" ref="AX86">IFERROR(VALUE(_xll.BDP($B86,"INTERVAL_exp_MOV_AVG","CALC_INTERVAL","520D","TECH_STUDIES_PARAM1_OVERRIDE",100,"USE_PREVIOUS_BUSINESS_DAY","Y")),"")</f>
        <v>147.52196087033246</v>
      </c>
      <c r="AY86">
        <f t="shared" si="10"/>
        <v>6769.6039787132295</v>
      </c>
      <c r="AZ86">
        <f t="shared" si="59"/>
        <v>2.1696627280063066E-2</v>
      </c>
      <c r="BA86">
        <f t="shared" si="60"/>
        <v>2.1791815493817635E-2</v>
      </c>
      <c r="BB86" s="11" t="str">
        <f t="shared" si="61"/>
        <v>DOWN</v>
      </c>
      <c r="BC86" s="11" t="str">
        <f t="shared" si="62"/>
        <v>DOWN</v>
      </c>
      <c r="BD86" s="6" t="str">
        <f t="shared" si="63"/>
        <v>NEGATIVE</v>
      </c>
      <c r="BE86" s="12" cm="1">
        <f t="array" ref="BE86">_xll.BDP($B86, "INTERVAL_RSI", "TECH_STUDIES_PARAM1_OVERRIDE", "5", "PERIODICITY_OVERRIDE", "W")</f>
        <v>25.820079542478553</v>
      </c>
      <c r="BF86" cm="1">
        <f t="array" ref="BF86">IFERROR(VALUE(_xll.BDP($B86,"INTERVAL_MAE_MOV_AVG","CALC_INTERVAL","520D","TECH_STUDIES_PARAM1_OVERRIDE",31,"USE_PREVIOUS_BUSINESS_DAY","N")),"")</f>
        <v>144.83709674466039</v>
      </c>
      <c r="BG86" cm="1">
        <f t="array" ref="BG86">IFERROR(VALUE(_xll.BDP($B86,"INTERVAL_MAE_MOV_AVG","CALC_INTERVAL","760D","TECH_STUDIES_PARAM1_OVERRIDE",200,"USE_PREVIOUS_BUSINESS_DAY","N")),"")</f>
        <v>137.96489999542234</v>
      </c>
      <c r="BH86" s="13">
        <f t="shared" si="64"/>
        <v>-0.18038953646468758</v>
      </c>
      <c r="BI86" s="13">
        <f t="shared" si="65"/>
        <v>-0.21856897595535596</v>
      </c>
      <c r="BJ86" s="13">
        <f t="shared" si="66"/>
        <v>-0.13956375857961867</v>
      </c>
      <c r="BK86" s="32" cm="1">
        <f t="array" ref="BK86">VALUE(_xll.BDP($B86,"INTERVAL_DATE_OF_CALC_HI","CALC_INTERVAL","3M"))</f>
        <v>46017</v>
      </c>
      <c r="BL86" s="32" cm="1">
        <f t="array" ref="BL86">VALUE(_xll.BDP($B86,"INTERVAL_DATE_OF_CALC_LO","CALC_INTERVAL","3M"))</f>
        <v>46058</v>
      </c>
      <c r="BM86" s="32" cm="1">
        <f t="array" ref="BM86">VALUE(_xll.BDP($B86,"INTERVAL_DATE_OF_CALC_HI","CALC_INTERVAL","1M"))</f>
        <v>46034</v>
      </c>
      <c r="BN86" s="32" cm="1">
        <f t="array" ref="BN86">VALUE(_xll.BDP($B86,"INTERVAL_DATE_OF_CALC_LO","CALC_INTERVAL","1M"))</f>
        <v>46058</v>
      </c>
      <c r="BO86" s="15">
        <f>IFERROR(VLOOKUP($F86,PIVOT!$A:$C,2,FALSE),0)</f>
        <v>0</v>
      </c>
      <c r="BP86" s="15">
        <f>IFERROR(VLOOKUP($F86,PIVOT!$A:$C,3,FALSE),0)</f>
        <v>0</v>
      </c>
      <c r="BQ86" s="15">
        <f t="shared" si="39"/>
        <v>35.570071318860954</v>
      </c>
    </row>
    <row r="87" spans="1:69" x14ac:dyDescent="0.25">
      <c r="A87">
        <v>86</v>
      </c>
      <c r="B87" t="s">
        <v>113</v>
      </c>
      <c r="J87" s="24"/>
      <c r="K87" s="15">
        <f>_xll.BDP($B87,"interval_rsi","tech_studies_param1_override",14)</f>
        <v>39.272901695098163</v>
      </c>
      <c r="L87" s="15">
        <f t="shared" si="0"/>
        <v>52.525531939815814</v>
      </c>
      <c r="M87">
        <f t="shared" si="40"/>
        <v>0</v>
      </c>
      <c r="N87" cm="1">
        <f t="array" ref="N87">IFERROR(VALUE(_xll.BDP($B87,"px_last")),"")</f>
        <v>438.21</v>
      </c>
      <c r="O87">
        <f t="shared" si="1"/>
        <v>6941.47</v>
      </c>
      <c r="P87" cm="1">
        <f t="array" ref="P87">IFERROR(VALUE(_xll.BDP($B87,"PX_YEST_CLOSE")),"")</f>
        <v>437.45</v>
      </c>
      <c r="Q87">
        <f t="shared" si="2"/>
        <v>6941.81</v>
      </c>
      <c r="R87">
        <f t="shared" si="41"/>
        <v>6.3129279533009577E-2</v>
      </c>
      <c r="S87">
        <f t="shared" si="42"/>
        <v>6.3016706017594834E-2</v>
      </c>
      <c r="T87" cm="1">
        <f t="array" ref="T87">IFERROR(VALUE(_xll.BDP($B87,"INTERVAL_MAE_MOV_AVG","CALC_INTERVAL","520D","TECH_STUDIES_PARAM1_OVERRIDE",50,"USE_PREVIOUS_BUSINESS_DAY","N")),"")</f>
        <v>476.39189982910153</v>
      </c>
      <c r="U87">
        <f t="shared" si="3"/>
        <v>6894.0953999999992</v>
      </c>
      <c r="V87" cm="1">
        <f t="array" ref="V87">IFERROR(VALUE(_xll.BDP($B87,"INTERVAL_MAE_MOV_AVG","CALC_INTERVAL","520D","TECH_STUDIES_PARAM1_OVERRIDE",50,"USE_PREVIOUS_BUSINESS_DAY","Y")),"")</f>
        <v>475.98789999999997</v>
      </c>
      <c r="W87">
        <f t="shared" si="4"/>
        <v>6892.2477999999992</v>
      </c>
      <c r="X87">
        <f t="shared" si="43"/>
        <v>6.9101437126776868E-2</v>
      </c>
      <c r="Y87">
        <f t="shared" si="44"/>
        <v>6.9061344544228381E-2</v>
      </c>
      <c r="Z87" s="11" t="str">
        <f t="shared" si="45"/>
        <v>NEGATIVE</v>
      </c>
      <c r="AA87" s="11" t="str">
        <f t="shared" si="46"/>
        <v/>
      </c>
      <c r="AB87" s="11" t="str">
        <f t="shared" si="47"/>
        <v>UP</v>
      </c>
      <c r="AC87" s="6" t="str">
        <f t="shared" si="48"/>
        <v>NEGATIVE</v>
      </c>
      <c r="AD87" cm="1">
        <f t="array" ref="AD87">IFERROR(VALUE(_xll.BDP($B87,"INTERVAL_MAE_MOV_AVG","CALC_INTERVAL","520D","TECH_STUDIES_PARAM1_OVERRIDE",65,"USE_PREVIOUS_BUSINESS_DAY","N")),"")</f>
        <v>457.84946140700123</v>
      </c>
      <c r="AE87">
        <f t="shared" si="5"/>
        <v>6856.0226153846133</v>
      </c>
      <c r="AF87" cm="1">
        <f t="array" ref="AF87">IFERROR(VALUE(_xll.BDP($B87,"INTERVAL_MAE_MOV_AVG","CALC_INTERVAL","520D","TECH_STUDIES_PARAM1_OVERRIDE",65,"USE_PREVIOUS_BUSINESS_DAY","Y")),"")</f>
        <v>457.20223076923082</v>
      </c>
      <c r="AG87">
        <f t="shared" si="6"/>
        <v>6852.6203076923057</v>
      </c>
      <c r="AH87">
        <f t="shared" si="49"/>
        <v>6.6780622978052484E-2</v>
      </c>
      <c r="AI87">
        <f t="shared" si="50"/>
        <v>6.6719329284303894E-2</v>
      </c>
      <c r="AJ87" s="10" t="str">
        <f t="shared" si="51"/>
        <v>UP</v>
      </c>
      <c r="AK87" s="10" t="str">
        <f t="shared" si="52"/>
        <v>UP</v>
      </c>
      <c r="AL87" s="6" t="str">
        <f t="shared" si="53"/>
        <v>NEGATIVE</v>
      </c>
      <c r="AM87" cm="1">
        <f t="array" ref="AM87">IFERROR(VALUE(_xll.BDP($B87,"INTERVAL_MAE_MOV_AVG","CALC_INTERVAL","65W","PERIODICITY_OVERRIDE","W","TECH_STUDIES_PARAM1_OVERRIDE",39,"USE_PREVIOUS_BUSINESS_DAY","N")),"")</f>
        <v>496.03833311423273</v>
      </c>
      <c r="AN87">
        <f t="shared" si="7"/>
        <v>6560.7735897435905</v>
      </c>
      <c r="AO87" cm="1">
        <f t="array" ref="AO87">IFERROR(VALUE(_xll.BDP($B87,"INTERVAL_MAE_MOV_AVG","CALC_INTERVAL","65W","PERIODICITY_OVERRIDE","W","TECH_STUDIES_PARAM1_OVERRIDE",39,"USE_PREVIOUS_BUSINESS_DAY","Y")),"")</f>
        <v>496.01884615384614</v>
      </c>
      <c r="AP87">
        <f t="shared" si="8"/>
        <v>6560.7823076923087</v>
      </c>
      <c r="AQ87">
        <f t="shared" si="54"/>
        <v>7.5606683621834758E-2</v>
      </c>
      <c r="AR87">
        <f t="shared" si="55"/>
        <v>7.5603612936871845E-2</v>
      </c>
      <c r="AS87" s="10" t="str">
        <f t="shared" si="56"/>
        <v>UP</v>
      </c>
      <c r="AT87" s="10" t="str">
        <f t="shared" si="57"/>
        <v>UP</v>
      </c>
      <c r="AU87" s="6" t="str">
        <f t="shared" si="58"/>
        <v>NEGATIVE</v>
      </c>
      <c r="AV87" cm="1">
        <f t="array" ref="AV87">IFERROR(VALUE(_xll.BDP($B87,"INTERVAL_exp_MOV_AVG","CALC_INTERVAL","520D","TECH_STUDIES_PARAM1_OVERRIDE",100,"USE_PREVIOUS_BUSINESS_DAY","N")),"")</f>
        <v>474.14106047378618</v>
      </c>
      <c r="AW87">
        <f t="shared" si="9"/>
        <v>6773.0064518682802</v>
      </c>
      <c r="AX87" cm="1">
        <f t="array" ref="AX87">IFERROR(VALUE(_xll.BDP($B87,"INTERVAL_exp_MOV_AVG","CALC_INTERVAL","520D","TECH_STUDIES_PARAM1_OVERRIDE",100,"USE_PREVIOUS_BUSINESS_DAY","Y")),"")</f>
        <v>474.86699683208127</v>
      </c>
      <c r="AY87">
        <f t="shared" si="10"/>
        <v>6769.6039787132295</v>
      </c>
      <c r="AZ87">
        <f t="shared" si="59"/>
        <v>7.0004519240196225E-2</v>
      </c>
      <c r="BA87">
        <f t="shared" si="60"/>
        <v>7.0146938923647983E-2</v>
      </c>
      <c r="BB87" s="11" t="str">
        <f t="shared" si="61"/>
        <v>DOWN</v>
      </c>
      <c r="BC87" s="11" t="str">
        <f t="shared" si="62"/>
        <v>DOWN</v>
      </c>
      <c r="BD87" s="6" t="str">
        <f t="shared" si="63"/>
        <v>NEGATIVE</v>
      </c>
      <c r="BE87" s="12" cm="1">
        <f t="array" ref="BE87">_xll.BDP($B87, "INTERVAL_RSI", "TECH_STUDIES_PARAM1_OVERRIDE", "5", "PERIODICITY_OVERRIDE", "W")</f>
        <v>35.96783175833977</v>
      </c>
      <c r="BF87" cm="1">
        <f t="array" ref="BF87">IFERROR(VALUE(_xll.BDP($B87,"INTERVAL_MAE_MOV_AVG","CALC_INTERVAL","520D","TECH_STUDIES_PARAM1_OVERRIDE",31,"USE_PREVIOUS_BUSINESS_DAY","N")),"")</f>
        <v>483.70435456306706</v>
      </c>
      <c r="BG87" cm="1">
        <f t="array" ref="BG87">IFERROR(VALUE(_xll.BDP($B87,"INTERVAL_MAE_MOV_AVG","CALC_INTERVAL","760D","TECH_STUDIES_PARAM1_OVERRIDE",200,"USE_PREVIOUS_BUSINESS_DAY","N")),"")</f>
        <v>497.83777495727514</v>
      </c>
      <c r="BH87" s="13">
        <f t="shared" si="64"/>
        <v>-9.4054052095855933E-2</v>
      </c>
      <c r="BI87" s="13">
        <f t="shared" si="65"/>
        <v>-8.0148087830206105E-2</v>
      </c>
      <c r="BJ87" s="13">
        <f t="shared" si="66"/>
        <v>-0.11977350445613022</v>
      </c>
      <c r="BK87" s="32" cm="1">
        <f t="array" ref="BK87">VALUE(_xll.BDP($B87,"INTERVAL_DATE_OF_CALC_HI","CALC_INTERVAL","3M"))</f>
        <v>46034</v>
      </c>
      <c r="BL87" s="32" cm="1">
        <f t="array" ref="BL87">VALUE(_xll.BDP($B87,"INTERVAL_DATE_OF_CALC_LO","CALC_INTERVAL","3M"))</f>
        <v>45979</v>
      </c>
      <c r="BM87" s="32" cm="1">
        <f t="array" ref="BM87">VALUE(_xll.BDP($B87,"INTERVAL_DATE_OF_CALC_HI","CALC_INTERVAL","1M"))</f>
        <v>46034</v>
      </c>
      <c r="BN87" s="32" cm="1">
        <f t="array" ref="BN87">VALUE(_xll.BDP($B87,"INTERVAL_DATE_OF_CALC_LO","CALC_INTERVAL","1M"))</f>
        <v>46058</v>
      </c>
      <c r="BO87" s="15">
        <f>IFERROR(VLOOKUP($F87,PIVOT!$A:$C,2,FALSE),0)</f>
        <v>0</v>
      </c>
      <c r="BP87" s="15">
        <f>IFERROR(VLOOKUP($F87,PIVOT!$A:$C,3,FALSE),0)</f>
        <v>0</v>
      </c>
      <c r="BQ87" s="15">
        <f t="shared" si="39"/>
        <v>39.272901695098163</v>
      </c>
    </row>
    <row r="88" spans="1:69" x14ac:dyDescent="0.25">
      <c r="A88">
        <v>87</v>
      </c>
      <c r="B88" t="s">
        <v>114</v>
      </c>
      <c r="J88" s="24"/>
      <c r="K88" s="15">
        <f>_xll.BDP($B88,"interval_rsi","tech_studies_param1_override",14)</f>
        <v>57.77973477531139</v>
      </c>
      <c r="L88" s="15">
        <f t="shared" si="0"/>
        <v>52.525531939815814</v>
      </c>
      <c r="M88">
        <f t="shared" si="40"/>
        <v>0</v>
      </c>
      <c r="N88" cm="1">
        <f t="array" ref="N88">IFERROR(VALUE(_xll.BDP($B88,"px_last")),"")</f>
        <v>407.25</v>
      </c>
      <c r="O88">
        <f t="shared" si="1"/>
        <v>6941.47</v>
      </c>
      <c r="P88" cm="1">
        <f t="array" ref="P88">IFERROR(VALUE(_xll.BDP($B88,"PX_YEST_CLOSE")),"")</f>
        <v>396.23</v>
      </c>
      <c r="Q88">
        <f t="shared" si="2"/>
        <v>6941.81</v>
      </c>
      <c r="R88">
        <f t="shared" si="41"/>
        <v>5.8669129161402413E-2</v>
      </c>
      <c r="S88">
        <f t="shared" si="42"/>
        <v>5.707877340347834E-2</v>
      </c>
      <c r="T88" cm="1">
        <f t="array" ref="T88">IFERROR(VALUE(_xll.BDP($B88,"INTERVAL_MAE_MOV_AVG","CALC_INTERVAL","520D","TECH_STUDIES_PARAM1_OVERRIDE",50,"USE_PREVIOUS_BUSINESS_DAY","N")),"")</f>
        <v>327.12844378430003</v>
      </c>
      <c r="U88">
        <f t="shared" si="3"/>
        <v>6894.0953999999992</v>
      </c>
      <c r="V88" cm="1">
        <f t="array" ref="V88">IFERROR(VALUE(_xll.BDP($B88,"INTERVAL_MAE_MOV_AVG","CALC_INTERVAL","520D","TECH_STUDIES_PARAM1_OVERRIDE",50,"USE_PREVIOUS_BUSINESS_DAY","Y")),"")</f>
        <v>324.50276182969998</v>
      </c>
      <c r="W88">
        <f t="shared" si="4"/>
        <v>6892.2477999999992</v>
      </c>
      <c r="X88">
        <f t="shared" si="43"/>
        <v>4.7450524659739993E-2</v>
      </c>
      <c r="Y88">
        <f t="shared" si="44"/>
        <v>4.708228305861261E-2</v>
      </c>
      <c r="Z88" s="11" t="str">
        <f t="shared" si="45"/>
        <v>NEGATIVE</v>
      </c>
      <c r="AA88" s="11" t="str">
        <f t="shared" si="46"/>
        <v/>
      </c>
      <c r="AB88" s="11" t="str">
        <f t="shared" si="47"/>
        <v>UP</v>
      </c>
      <c r="AC88" s="6" t="str">
        <f t="shared" si="48"/>
        <v>POSITIVE</v>
      </c>
      <c r="AD88" cm="1">
        <f t="array" ref="AD88">IFERROR(VALUE(_xll.BDP($B88,"INTERVAL_MAE_MOV_AVG","CALC_INTERVAL","520D","TECH_STUDIES_PARAM1_OVERRIDE",65,"USE_PREVIOUS_BUSINESS_DAY","N")),"")</f>
        <v>312.73809785599997</v>
      </c>
      <c r="AE88">
        <f t="shared" si="5"/>
        <v>6856.0226153846133</v>
      </c>
      <c r="AF88" cm="1">
        <f t="array" ref="AF88">IFERROR(VALUE(_xll.BDP($B88,"INTERVAL_MAE_MOV_AVG","CALC_INTERVAL","520D","TECH_STUDIES_PARAM1_OVERRIDE",65,"USE_PREVIOUS_BUSINESS_DAY","Y")),"")</f>
        <v>310.74565545615377</v>
      </c>
      <c r="AG88">
        <f t="shared" si="6"/>
        <v>6852.6203076923057</v>
      </c>
      <c r="AH88">
        <f t="shared" si="49"/>
        <v>4.5615091343810539E-2</v>
      </c>
      <c r="AI88">
        <f t="shared" si="50"/>
        <v>4.5346982833315737E-2</v>
      </c>
      <c r="AJ88" s="10" t="str">
        <f t="shared" si="51"/>
        <v>UP</v>
      </c>
      <c r="AK88" s="10" t="str">
        <f t="shared" si="52"/>
        <v>UP</v>
      </c>
      <c r="AL88" s="6" t="str">
        <f t="shared" si="53"/>
        <v>POSITIVE</v>
      </c>
      <c r="AM88" cm="1">
        <f t="array" ref="AM88">IFERROR(VALUE(_xll.BDP($B88,"INTERVAL_MAE_MOV_AVG","CALC_INTERVAL","65W","PERIODICITY_OVERRIDE","W","TECH_STUDIES_PARAM1_OVERRIDE",39,"USE_PREVIOUS_BUSINESS_DAY","N")),"")</f>
        <v>226.31219023460895</v>
      </c>
      <c r="AN88">
        <f t="shared" si="7"/>
        <v>6560.7735897435905</v>
      </c>
      <c r="AO88" cm="1">
        <f t="array" ref="AO88">IFERROR(VALUE(_xll.BDP($B88,"INTERVAL_MAE_MOV_AVG","CALC_INTERVAL","65W","PERIODICITY_OVERRIDE","W","TECH_STUDIES_PARAM1_OVERRIDE",39,"USE_PREVIOUS_BUSINESS_DAY","Y")),"")</f>
        <v>226.02962613204483</v>
      </c>
      <c r="AP88">
        <f t="shared" si="8"/>
        <v>6560.7823076923087</v>
      </c>
      <c r="AQ88">
        <f t="shared" si="54"/>
        <v>3.4494741685401419E-2</v>
      </c>
      <c r="AR88">
        <f t="shared" si="55"/>
        <v>3.4451627188884511E-2</v>
      </c>
      <c r="AS88" s="10" t="str">
        <f t="shared" si="56"/>
        <v>UP</v>
      </c>
      <c r="AT88" s="10" t="str">
        <f t="shared" si="57"/>
        <v>UP</v>
      </c>
      <c r="AU88" s="6" t="str">
        <f t="shared" si="58"/>
        <v>POSITIVE</v>
      </c>
      <c r="AV88" cm="1">
        <f t="array" ref="AV88">IFERROR(VALUE(_xll.BDP($B88,"INTERVAL_exp_MOV_AVG","CALC_INTERVAL","520D","TECH_STUDIES_PARAM1_OVERRIDE",100,"USE_PREVIOUS_BUSINESS_DAY","N")),"")</f>
        <v>293.66498178231626</v>
      </c>
      <c r="AW88">
        <f t="shared" si="9"/>
        <v>6773.0064518682802</v>
      </c>
      <c r="AX88" cm="1">
        <f t="array" ref="AX88">IFERROR(VALUE(_xll.BDP($B88,"INTERVAL_exp_MOV_AVG","CALC_INTERVAL","520D","TECH_STUDIES_PARAM1_OVERRIDE",100,"USE_PREVIOUS_BUSINESS_DAY","Y")),"")</f>
        <v>291.37037872781718</v>
      </c>
      <c r="AY88">
        <f t="shared" si="10"/>
        <v>6769.6039787132295</v>
      </c>
      <c r="AZ88">
        <f t="shared" si="59"/>
        <v>4.3358142926515464E-2</v>
      </c>
      <c r="BA88">
        <f t="shared" si="60"/>
        <v>4.3040978415284058E-2</v>
      </c>
      <c r="BB88" s="11" t="str">
        <f t="shared" si="61"/>
        <v>UP</v>
      </c>
      <c r="BC88" s="11" t="str">
        <f t="shared" si="62"/>
        <v>UP</v>
      </c>
      <c r="BD88" s="6" t="str">
        <f t="shared" si="63"/>
        <v>POSITIVE</v>
      </c>
      <c r="BE88" s="12" cm="1">
        <f t="array" ref="BE88">_xll.BDP($B88, "INTERVAL_RSI", "TECH_STUDIES_PARAM1_OVERRIDE", "5", "PERIODICITY_OVERRIDE", "W")</f>
        <v>76.93987731697068</v>
      </c>
      <c r="BF88" cm="1">
        <f t="array" ref="BF88">IFERROR(VALUE(_xll.BDP($B88,"INTERVAL_MAE_MOV_AVG","CALC_INTERVAL","520D","TECH_STUDIES_PARAM1_OVERRIDE",31,"USE_PREVIOUS_BUSINESS_DAY","N")),"")</f>
        <v>354.49709677419349</v>
      </c>
      <c r="BG88" cm="1">
        <f t="array" ref="BG88">IFERROR(VALUE(_xll.BDP($B88,"INTERVAL_MAE_MOV_AVG","CALC_INTERVAL","760D","TECH_STUDIES_PARAM1_OVERRIDE",200,"USE_PREVIOUS_BUSINESS_DAY","N")),"")</f>
        <v>213.03380940646585</v>
      </c>
      <c r="BH88" s="13">
        <f t="shared" si="64"/>
        <v>0.14881053668941302</v>
      </c>
      <c r="BI88" s="13">
        <f t="shared" si="65"/>
        <v>0.24492384486299823</v>
      </c>
      <c r="BJ88" s="13">
        <f t="shared" si="66"/>
        <v>0.91166839261167265</v>
      </c>
      <c r="BK88" s="32" cm="1">
        <f t="array" ref="BK88">VALUE(_xll.BDP($B88,"INTERVAL_DATE_OF_CALC_HI","CALC_INTERVAL","3M"))</f>
        <v>46051</v>
      </c>
      <c r="BL88" s="32" cm="1">
        <f t="array" ref="BL88">VALUE(_xll.BDP($B88,"INTERVAL_DATE_OF_CALC_LO","CALC_INTERVAL","3M"))</f>
        <v>45982</v>
      </c>
      <c r="BM88" s="32" cm="1">
        <f t="array" ref="BM88">VALUE(_xll.BDP($B88,"INTERVAL_DATE_OF_CALC_HI","CALC_INTERVAL","1M"))</f>
        <v>46051</v>
      </c>
      <c r="BN88" s="32" cm="1">
        <f t="array" ref="BN88">VALUE(_xll.BDP($B88,"INTERVAL_DATE_OF_CALC_LO","CALC_INTERVAL","1M"))</f>
        <v>46036</v>
      </c>
      <c r="BO88" s="15">
        <f>IFERROR(VLOOKUP($F88,PIVOT!$A:$C,2,FALSE),0)</f>
        <v>0</v>
      </c>
      <c r="BP88" s="15">
        <f>IFERROR(VLOOKUP($F88,PIVOT!$A:$C,3,FALSE),0)</f>
        <v>0</v>
      </c>
      <c r="BQ88" s="15">
        <f t="shared" si="39"/>
        <v>57.77973477531139</v>
      </c>
    </row>
    <row r="89" spans="1:69" x14ac:dyDescent="0.25">
      <c r="A89">
        <v>88</v>
      </c>
      <c r="B89" t="s">
        <v>116</v>
      </c>
      <c r="J89" s="24"/>
      <c r="K89" s="15">
        <f>_xll.BDP($B89,"interval_rsi","tech_studies_param1_override",14)</f>
        <v>20.657640612239717</v>
      </c>
      <c r="L89" s="15">
        <f t="shared" si="0"/>
        <v>52.525531939815814</v>
      </c>
      <c r="M89">
        <f t="shared" si="40"/>
        <v>0</v>
      </c>
      <c r="N89" cm="1">
        <f t="array" ref="N89">IFERROR(VALUE(_xll.BDP($B89,"px_last")),"")</f>
        <v>86.97</v>
      </c>
      <c r="O89">
        <f t="shared" si="1"/>
        <v>6941.47</v>
      </c>
      <c r="P89" cm="1">
        <f t="array" ref="P89">IFERROR(VALUE(_xll.BDP($B89,"PX_YEST_CLOSE")),"")</f>
        <v>92.92</v>
      </c>
      <c r="Q89">
        <f t="shared" si="2"/>
        <v>6941.81</v>
      </c>
      <c r="R89">
        <f t="shared" si="41"/>
        <v>1.2529046441171683E-2</v>
      </c>
      <c r="S89">
        <f t="shared" si="42"/>
        <v>1.3385557945262114E-2</v>
      </c>
      <c r="T89" cm="1">
        <f t="array" ref="T89">IFERROR(VALUE(_xll.BDP($B89,"INTERVAL_MAE_MOV_AVG","CALC_INTERVAL","520D","TECH_STUDIES_PARAM1_OVERRIDE",50,"USE_PREVIOUS_BUSINESS_DAY","N")),"")</f>
        <v>141.11060002441403</v>
      </c>
      <c r="U89">
        <f t="shared" si="3"/>
        <v>6894.0953999999992</v>
      </c>
      <c r="V89" cm="1">
        <f t="array" ref="V89">IFERROR(VALUE(_xll.BDP($B89,"INTERVAL_MAE_MOV_AVG","CALC_INTERVAL","520D","TECH_STUDIES_PARAM1_OVERRIDE",50,"USE_PREVIOUS_BUSINESS_DAY","Y")),"")</f>
        <v>142.36160000000001</v>
      </c>
      <c r="W89">
        <f t="shared" si="4"/>
        <v>6892.2477999999992</v>
      </c>
      <c r="X89">
        <f t="shared" si="43"/>
        <v>2.0468327146214722E-2</v>
      </c>
      <c r="Y89">
        <f t="shared" si="44"/>
        <v>2.0655322346361374E-2</v>
      </c>
      <c r="Z89" s="11" t="str">
        <f t="shared" si="45"/>
        <v>NEGATIVE</v>
      </c>
      <c r="AA89" s="11" t="str">
        <f t="shared" si="46"/>
        <v/>
      </c>
      <c r="AB89" s="11" t="str">
        <f t="shared" si="47"/>
        <v>DOWN</v>
      </c>
      <c r="AC89" s="6" t="str">
        <f t="shared" si="48"/>
        <v>NEGATIVE</v>
      </c>
      <c r="AD89" cm="1">
        <f t="array" ref="AD89">IFERROR(VALUE(_xll.BDP($B89,"INTERVAL_MAE_MOV_AVG","CALC_INTERVAL","520D","TECH_STUDIES_PARAM1_OVERRIDE",65,"USE_PREVIOUS_BUSINESS_DAY","N")),"")</f>
        <v>143.29246155724155</v>
      </c>
      <c r="AE89">
        <f t="shared" si="5"/>
        <v>6856.0226153846133</v>
      </c>
      <c r="AF89" cm="1">
        <f t="array" ref="AF89">IFERROR(VALUE(_xll.BDP($B89,"INTERVAL_MAE_MOV_AVG","CALC_INTERVAL","520D","TECH_STUDIES_PARAM1_OVERRIDE",65,"USE_PREVIOUS_BUSINESS_DAY","Y")),"")</f>
        <v>144.35646153846153</v>
      </c>
      <c r="AG89">
        <f t="shared" si="6"/>
        <v>6852.6203076923057</v>
      </c>
      <c r="AH89">
        <f t="shared" si="49"/>
        <v>2.0900231751817676E-2</v>
      </c>
      <c r="AI89">
        <f t="shared" si="50"/>
        <v>2.1065877730948607E-2</v>
      </c>
      <c r="AJ89" s="10" t="str">
        <f t="shared" si="51"/>
        <v>DOWN</v>
      </c>
      <c r="AK89" s="10" t="str">
        <f t="shared" si="52"/>
        <v>DOWN</v>
      </c>
      <c r="AL89" s="6" t="str">
        <f t="shared" si="53"/>
        <v>NEGATIVE</v>
      </c>
      <c r="AM89" cm="1">
        <f t="array" ref="AM89">IFERROR(VALUE(_xll.BDP($B89,"INTERVAL_MAE_MOV_AVG","CALC_INTERVAL","65W","PERIODICITY_OVERRIDE","W","TECH_STUDIES_PARAM1_OVERRIDE",39,"USE_PREVIOUS_BUSINESS_DAY","N")),"")</f>
        <v>165.308717980018</v>
      </c>
      <c r="AN89">
        <f t="shared" si="7"/>
        <v>6560.7735897435905</v>
      </c>
      <c r="AO89" cm="1">
        <f t="array" ref="AO89">IFERROR(VALUE(_xll.BDP($B89,"INTERVAL_MAE_MOV_AVG","CALC_INTERVAL","65W","PERIODICITY_OVERRIDE","W","TECH_STUDIES_PARAM1_OVERRIDE",39,"USE_PREVIOUS_BUSINESS_DAY","Y")),"")</f>
        <v>165.46128205128201</v>
      </c>
      <c r="AP89">
        <f t="shared" si="8"/>
        <v>6560.7823076923087</v>
      </c>
      <c r="AQ89">
        <f t="shared" si="54"/>
        <v>2.5196528384769126E-2</v>
      </c>
      <c r="AR89">
        <f t="shared" si="55"/>
        <v>2.5219748848743832E-2</v>
      </c>
      <c r="AS89" s="10" t="str">
        <f t="shared" si="56"/>
        <v>DOWN</v>
      </c>
      <c r="AT89" s="10" t="str">
        <f t="shared" si="57"/>
        <v>DOWN</v>
      </c>
      <c r="AU89" s="6" t="str">
        <f t="shared" si="58"/>
        <v>NEGATIVE</v>
      </c>
      <c r="AV89" cm="1">
        <f t="array" ref="AV89">IFERROR(VALUE(_xll.BDP($B89,"INTERVAL_exp_MOV_AVG","CALC_INTERVAL","520D","TECH_STUDIES_PARAM1_OVERRIDE",100,"USE_PREVIOUS_BUSINESS_DAY","N")),"")</f>
        <v>147.52910320215307</v>
      </c>
      <c r="AW89">
        <f t="shared" si="9"/>
        <v>6773.0064518682802</v>
      </c>
      <c r="AX89" cm="1">
        <f t="array" ref="AX89">IFERROR(VALUE(_xll.BDP($B89,"INTERVAL_exp_MOV_AVG","CALC_INTERVAL","520D","TECH_STUDIES_PARAM1_OVERRIDE",100,"USE_PREVIOUS_BUSINESS_DAY","Y")),"")</f>
        <v>148.75263082490108</v>
      </c>
      <c r="AY89">
        <f t="shared" si="10"/>
        <v>6769.6039787132295</v>
      </c>
      <c r="AZ89">
        <f t="shared" si="59"/>
        <v>2.1781922732623166E-2</v>
      </c>
      <c r="BA89">
        <f t="shared" si="60"/>
        <v>2.1973608986972981E-2</v>
      </c>
      <c r="BB89" s="11" t="str">
        <f t="shared" si="61"/>
        <v>DOWN</v>
      </c>
      <c r="BC89" s="11" t="str">
        <f t="shared" si="62"/>
        <v>DOWN</v>
      </c>
      <c r="BD89" s="6" t="str">
        <f t="shared" si="63"/>
        <v>NEGATIVE</v>
      </c>
      <c r="BE89" s="12" cm="1">
        <f t="array" ref="BE89">_xll.BDP($B89, "INTERVAL_RSI", "TECH_STUDIES_PARAM1_OVERRIDE", "5", "PERIODICITY_OVERRIDE", "W")</f>
        <v>15.357598568762768</v>
      </c>
      <c r="BF89" cm="1">
        <f t="array" ref="BF89">IFERROR(VALUE(_xll.BDP($B89,"INTERVAL_MAE_MOV_AVG","CALC_INTERVAL","520D","TECH_STUDIES_PARAM1_OVERRIDE",31,"USE_PREVIOUS_BUSINESS_DAY","N")),"")</f>
        <v>129.36580649099039</v>
      </c>
      <c r="BG89" cm="1">
        <f t="array" ref="BG89">IFERROR(VALUE(_xll.BDP($B89,"INTERVAL_MAE_MOV_AVG","CALC_INTERVAL","760D","TECH_STUDIES_PARAM1_OVERRIDE",200,"USE_PREVIOUS_BUSINESS_DAY","N")),"")</f>
        <v>171.89995000610344</v>
      </c>
      <c r="BH89" s="13">
        <f t="shared" si="64"/>
        <v>-0.32772034311820275</v>
      </c>
      <c r="BI89" s="13">
        <f t="shared" si="65"/>
        <v>-0.38367493310245282</v>
      </c>
      <c r="BJ89" s="13">
        <f t="shared" si="66"/>
        <v>-0.49406617048514523</v>
      </c>
      <c r="BK89" s="32" cm="1">
        <f t="array" ref="BK89">VALUE(_xll.BDP($B89,"INTERVAL_DATE_OF_CALC_HI","CALC_INTERVAL","3M"))</f>
        <v>46009</v>
      </c>
      <c r="BL89" s="32" cm="1">
        <f t="array" ref="BL89">VALUE(_xll.BDP($B89,"INTERVAL_DATE_OF_CALC_LO","CALC_INTERVAL","3M"))</f>
        <v>46064</v>
      </c>
      <c r="BM89" s="32" cm="1">
        <f t="array" ref="BM89">VALUE(_xll.BDP($B89,"INTERVAL_DATE_OF_CALC_HI","CALC_INTERVAL","1M"))</f>
        <v>46034</v>
      </c>
      <c r="BN89" s="32" cm="1">
        <f t="array" ref="BN89">VALUE(_xll.BDP($B89,"INTERVAL_DATE_OF_CALC_LO","CALC_INTERVAL","1M"))</f>
        <v>46064</v>
      </c>
      <c r="BO89" s="15">
        <f>IFERROR(VLOOKUP($F89,PIVOT!$A:$C,2,FALSE),0)</f>
        <v>0</v>
      </c>
      <c r="BP89" s="15">
        <f>IFERROR(VLOOKUP($F89,PIVOT!$A:$C,3,FALSE),0)</f>
        <v>0</v>
      </c>
      <c r="BQ89" s="15">
        <f t="shared" si="39"/>
        <v>20.657640612239717</v>
      </c>
    </row>
    <row r="90" spans="1:69" x14ac:dyDescent="0.25">
      <c r="A90">
        <v>89</v>
      </c>
      <c r="B90" t="s">
        <v>119</v>
      </c>
      <c r="J90" s="24"/>
      <c r="K90" s="15">
        <f>_xll.BDP($B90,"interval_rsi","tech_studies_param1_override",14)</f>
        <v>66.846598157718077</v>
      </c>
      <c r="L90" s="15">
        <f t="shared" si="0"/>
        <v>52.525531939815814</v>
      </c>
      <c r="M90">
        <f t="shared" si="40"/>
        <v>1</v>
      </c>
      <c r="N90" cm="1">
        <f t="array" ref="N90">IFERROR(VALUE(_xll.BDP($B90,"px_last")),"")</f>
        <v>209.54</v>
      </c>
      <c r="O90">
        <f t="shared" si="1"/>
        <v>6941.47</v>
      </c>
      <c r="P90" cm="1">
        <f t="array" ref="P90">IFERROR(VALUE(_xll.BDP($B90,"PX_YEST_CLOSE")),"")</f>
        <v>199.43</v>
      </c>
      <c r="Q90">
        <f t="shared" si="2"/>
        <v>6941.81</v>
      </c>
      <c r="R90">
        <f t="shared" si="41"/>
        <v>3.0186689562873566E-2</v>
      </c>
      <c r="S90">
        <f t="shared" si="42"/>
        <v>2.872881856461067E-2</v>
      </c>
      <c r="T90" cm="1">
        <f t="array" ref="T90">IFERROR(VALUE(_xll.BDP($B90,"INTERVAL_MAE_MOV_AVG","CALC_INTERVAL","520D","TECH_STUDIES_PARAM1_OVERRIDE",50,"USE_PREVIOUS_BUSINESS_DAY","N")),"")</f>
        <v>197.27339986572264</v>
      </c>
      <c r="U90">
        <f t="shared" si="3"/>
        <v>6894.0953999999992</v>
      </c>
      <c r="V90" cm="1">
        <f t="array" ref="V90">IFERROR(VALUE(_xll.BDP($B90,"INTERVAL_MAE_MOV_AVG","CALC_INTERVAL","520D","TECH_STUDIES_PARAM1_OVERRIDE",50,"USE_PREVIOUS_BUSINESS_DAY","Y")),"")</f>
        <v>197.2628</v>
      </c>
      <c r="W90">
        <f t="shared" si="4"/>
        <v>6892.2477999999992</v>
      </c>
      <c r="X90">
        <f t="shared" si="43"/>
        <v>2.8614834640339131E-2</v>
      </c>
      <c r="Y90">
        <f t="shared" si="44"/>
        <v>2.8620967458540886E-2</v>
      </c>
      <c r="Z90" s="11" t="str">
        <f t="shared" si="45"/>
        <v>POSITIVE</v>
      </c>
      <c r="AA90" s="11" t="str">
        <f t="shared" si="46"/>
        <v/>
      </c>
      <c r="AB90" s="11" t="str">
        <f t="shared" si="47"/>
        <v>DOWN</v>
      </c>
      <c r="AC90" s="6" t="str">
        <f t="shared" si="48"/>
        <v>POSITIVE</v>
      </c>
      <c r="AD90" cm="1">
        <f t="array" ref="AD90">IFERROR(VALUE(_xll.BDP($B90,"INTERVAL_MAE_MOV_AVG","CALC_INTERVAL","520D","TECH_STUDIES_PARAM1_OVERRIDE",65,"USE_PREVIOUS_BUSINESS_DAY","N")),"")</f>
        <v>200.13059961978661</v>
      </c>
      <c r="AE90">
        <f t="shared" si="5"/>
        <v>6856.0226153846133</v>
      </c>
      <c r="AF90" cm="1">
        <f t="array" ref="AF90">IFERROR(VALUE(_xll.BDP($B90,"INTERVAL_MAE_MOV_AVG","CALC_INTERVAL","520D","TECH_STUDIES_PARAM1_OVERRIDE",65,"USE_PREVIOUS_BUSINESS_DAY","Y")),"")</f>
        <v>199.9841231184615</v>
      </c>
      <c r="AG90">
        <f t="shared" si="6"/>
        <v>6852.6203076923057</v>
      </c>
      <c r="AH90">
        <f t="shared" si="49"/>
        <v>2.9190481252308349E-2</v>
      </c>
      <c r="AI90">
        <f t="shared" si="50"/>
        <v>2.9183598994091696E-2</v>
      </c>
      <c r="AJ90" s="10" t="str">
        <f t="shared" si="51"/>
        <v>UP</v>
      </c>
      <c r="AK90" s="10" t="str">
        <f t="shared" si="52"/>
        <v>UP</v>
      </c>
      <c r="AL90" s="6" t="str">
        <f t="shared" si="53"/>
        <v>BUY</v>
      </c>
      <c r="AM90" cm="1">
        <f t="array" ref="AM90">IFERROR(VALUE(_xll.BDP($B90,"INTERVAL_MAE_MOV_AVG","CALC_INTERVAL","65W","PERIODICITY_OVERRIDE","W","TECH_STUDIES_PARAM1_OVERRIDE",39,"USE_PREVIOUS_BUSINESS_DAY","N")),"")</f>
        <v>222.02764230583722</v>
      </c>
      <c r="AN90">
        <f t="shared" si="7"/>
        <v>6560.7735897435905</v>
      </c>
      <c r="AO90" cm="1">
        <f t="array" ref="AO90">IFERROR(VALUE(_xll.BDP($B90,"INTERVAL_MAE_MOV_AVG","CALC_INTERVAL","65W","PERIODICITY_OVERRIDE","W","TECH_STUDIES_PARAM1_OVERRIDE",39,"USE_PREVIOUS_BUSINESS_DAY","Y")),"")</f>
        <v>221.7684117087569</v>
      </c>
      <c r="AP90">
        <f t="shared" si="8"/>
        <v>6560.7823076923087</v>
      </c>
      <c r="AQ90">
        <f t="shared" si="54"/>
        <v>3.3841686390905401E-2</v>
      </c>
      <c r="AR90">
        <f t="shared" si="55"/>
        <v>3.3802129274848901E-2</v>
      </c>
      <c r="AS90" s="10" t="str">
        <f t="shared" si="56"/>
        <v>UP</v>
      </c>
      <c r="AT90" s="10" t="str">
        <f t="shared" si="57"/>
        <v>UP</v>
      </c>
      <c r="AU90" s="6" t="str">
        <f t="shared" si="58"/>
        <v>NEGATIVE</v>
      </c>
      <c r="AV90" cm="1">
        <f t="array" ref="AV90">IFERROR(VALUE(_xll.BDP($B90,"INTERVAL_exp_MOV_AVG","CALC_INTERVAL","520D","TECH_STUDIES_PARAM1_OVERRIDE",100,"USE_PREVIOUS_BUSINESS_DAY","N")),"")</f>
        <v>207.28758498128187</v>
      </c>
      <c r="AW90">
        <f t="shared" si="9"/>
        <v>6773.0064518682802</v>
      </c>
      <c r="AX90" cm="1">
        <f t="array" ref="AX90">IFERROR(VALUE(_xll.BDP($B90,"INTERVAL_exp_MOV_AVG","CALC_INTERVAL","520D","TECH_STUDIES_PARAM1_OVERRIDE",100,"USE_PREVIOUS_BUSINESS_DAY","Y")),"")</f>
        <v>207.24204594579788</v>
      </c>
      <c r="AY90">
        <f t="shared" si="10"/>
        <v>6769.6039787132295</v>
      </c>
      <c r="AZ90">
        <f t="shared" si="59"/>
        <v>3.0604959031761032E-2</v>
      </c>
      <c r="BA90">
        <f t="shared" si="60"/>
        <v>3.0613614414884957E-2</v>
      </c>
      <c r="BB90" s="11" t="str">
        <f t="shared" si="61"/>
        <v>UP</v>
      </c>
      <c r="BC90" s="11" t="str">
        <f t="shared" si="62"/>
        <v>DOWN</v>
      </c>
      <c r="BD90" s="6" t="str">
        <f t="shared" si="63"/>
        <v>NEGATIVE</v>
      </c>
      <c r="BE90" s="12" cm="1">
        <f t="array" ref="BE90">_xll.BDP($B90, "INTERVAL_RSI", "TECH_STUDIES_PARAM1_OVERRIDE", "5", "PERIODICITY_OVERRIDE", "W")</f>
        <v>68.893063656361832</v>
      </c>
      <c r="BF90" cm="1">
        <f t="array" ref="BF90">IFERROR(VALUE(_xll.BDP($B90,"INTERVAL_MAE_MOV_AVG","CALC_INTERVAL","520D","TECH_STUDIES_PARAM1_OVERRIDE",31,"USE_PREVIOUS_BUSINESS_DAY","N")),"")</f>
        <v>195.00548365439138</v>
      </c>
      <c r="BG90" cm="1">
        <f t="array" ref="BG90">IFERROR(VALUE(_xll.BDP($B90,"INTERVAL_MAE_MOV_AVG","CALC_INTERVAL","760D","TECH_STUDIES_PARAM1_OVERRIDE",200,"USE_PREVIOUS_BUSINESS_DAY","N")),"")</f>
        <v>223.69355799358743</v>
      </c>
      <c r="BH90" s="13">
        <f t="shared" si="64"/>
        <v>7.4533885269442823E-2</v>
      </c>
      <c r="BI90" s="13">
        <f t="shared" si="65"/>
        <v>6.218071033716055E-2</v>
      </c>
      <c r="BJ90" s="13">
        <f t="shared" si="66"/>
        <v>-6.3272085796915012E-2</v>
      </c>
      <c r="BK90" s="32" cm="1">
        <f t="array" ref="BK90">VALUE(_xll.BDP($B90,"INTERVAL_DATE_OF_CALC_HI","CALC_INTERVAL","3M"))</f>
        <v>45975</v>
      </c>
      <c r="BL90" s="32" cm="1">
        <f t="array" ref="BL90">VALUE(_xll.BDP($B90,"INTERVAL_DATE_OF_CALC_LO","CALC_INTERVAL","3M"))</f>
        <v>46043</v>
      </c>
      <c r="BM90" s="32" cm="1">
        <f t="array" ref="BM90">VALUE(_xll.BDP($B90,"INTERVAL_DATE_OF_CALC_HI","CALC_INTERVAL","1M"))</f>
        <v>46064</v>
      </c>
      <c r="BN90" s="32" cm="1">
        <f t="array" ref="BN90">VALUE(_xll.BDP($B90,"INTERVAL_DATE_OF_CALC_LO","CALC_INTERVAL","1M"))</f>
        <v>46043</v>
      </c>
      <c r="BO90" s="15">
        <f>IFERROR(VLOOKUP($F90,PIVOT!$A:$C,2,FALSE),0)</f>
        <v>0</v>
      </c>
      <c r="BP90" s="15">
        <f>IFERROR(VLOOKUP($F90,PIVOT!$A:$C,3,FALSE),0)</f>
        <v>0</v>
      </c>
      <c r="BQ90" s="15">
        <f t="shared" si="39"/>
        <v>66.846598157718077</v>
      </c>
    </row>
    <row r="91" spans="1:69" x14ac:dyDescent="0.25">
      <c r="A91">
        <v>90</v>
      </c>
      <c r="B91" t="s">
        <v>120</v>
      </c>
      <c r="J91" s="24"/>
      <c r="K91" s="15">
        <f>_xll.BDP($B91,"interval_rsi","tech_studies_param1_override",14)</f>
        <v>18.594734713649643</v>
      </c>
      <c r="L91" s="15">
        <f t="shared" si="0"/>
        <v>52.525531939815814</v>
      </c>
      <c r="M91">
        <f t="shared" si="40"/>
        <v>0</v>
      </c>
      <c r="N91" cm="1">
        <f t="array" ref="N91">IFERROR(VALUE(_xll.BDP($B91,"px_last")),"")</f>
        <v>89.2</v>
      </c>
      <c r="O91">
        <f t="shared" si="1"/>
        <v>6941.47</v>
      </c>
      <c r="P91" cm="1">
        <f t="array" ref="P91">IFERROR(VALUE(_xll.BDP($B91,"PX_YEST_CLOSE")),"")</f>
        <v>90.86</v>
      </c>
      <c r="Q91">
        <f t="shared" si="2"/>
        <v>6941.81</v>
      </c>
      <c r="R91">
        <f t="shared" si="41"/>
        <v>1.2850304042227367E-2</v>
      </c>
      <c r="S91">
        <f t="shared" si="42"/>
        <v>1.3088805369204861E-2</v>
      </c>
      <c r="T91" cm="1">
        <f t="array" ref="T91">IFERROR(VALUE(_xll.BDP($B91,"INTERVAL_MAE_MOV_AVG","CALC_INTERVAL","520D","TECH_STUDIES_PARAM1_OVERRIDE",50,"USE_PREVIOUS_BUSINESS_DAY","N")),"")</f>
        <v>122.44029993896486</v>
      </c>
      <c r="U91">
        <f t="shared" si="3"/>
        <v>6894.0953999999992</v>
      </c>
      <c r="V91" cm="1">
        <f t="array" ref="V91">IFERROR(VALUE(_xll.BDP($B91,"INTERVAL_MAE_MOV_AVG","CALC_INTERVAL","520D","TECH_STUDIES_PARAM1_OVERRIDE",50,"USE_PREVIOUS_BUSINESS_DAY","Y")),"")</f>
        <v>123.36490000000002</v>
      </c>
      <c r="W91">
        <f t="shared" si="4"/>
        <v>6892.2477999999992</v>
      </c>
      <c r="X91">
        <f t="shared" si="43"/>
        <v>1.7760169077289657E-2</v>
      </c>
      <c r="Y91">
        <f t="shared" si="44"/>
        <v>1.7899080761431711E-2</v>
      </c>
      <c r="Z91" s="11" t="str">
        <f t="shared" si="45"/>
        <v>NEGATIVE</v>
      </c>
      <c r="AA91" s="11" t="str">
        <f t="shared" si="46"/>
        <v/>
      </c>
      <c r="AB91" s="11" t="str">
        <f t="shared" si="47"/>
        <v>DOWN</v>
      </c>
      <c r="AC91" s="6" t="str">
        <f t="shared" si="48"/>
        <v>NEGATIVE</v>
      </c>
      <c r="AD91" cm="1">
        <f t="array" ref="AD91">IFERROR(VALUE(_xll.BDP($B91,"INTERVAL_MAE_MOV_AVG","CALC_INTERVAL","520D","TECH_STUDIES_PARAM1_OVERRIDE",65,"USE_PREVIOUS_BUSINESS_DAY","N")),"")</f>
        <v>125.50133868381913</v>
      </c>
      <c r="AE91">
        <f t="shared" si="5"/>
        <v>6856.0226153846133</v>
      </c>
      <c r="AF91" cm="1">
        <f t="array" ref="AF91">IFERROR(VALUE(_xll.BDP($B91,"INTERVAL_MAE_MOV_AVG","CALC_INTERVAL","520D","TECH_STUDIES_PARAM1_OVERRIDE",65,"USE_PREVIOUS_BUSINESS_DAY","Y")),"")</f>
        <v>126.25775425646157</v>
      </c>
      <c r="AG91">
        <f t="shared" si="6"/>
        <v>6852.6203076923057</v>
      </c>
      <c r="AH91">
        <f t="shared" si="49"/>
        <v>1.8305269064048831E-2</v>
      </c>
      <c r="AI91">
        <f t="shared" si="50"/>
        <v>1.8424740987725941E-2</v>
      </c>
      <c r="AJ91" s="10" t="str">
        <f t="shared" si="51"/>
        <v>DOWN</v>
      </c>
      <c r="AK91" s="10" t="str">
        <f t="shared" si="52"/>
        <v>DOWN</v>
      </c>
      <c r="AL91" s="6" t="str">
        <f t="shared" si="53"/>
        <v>NEGATIVE</v>
      </c>
      <c r="AM91" cm="1">
        <f t="array" ref="AM91">IFERROR(VALUE(_xll.BDP($B91,"INTERVAL_MAE_MOV_AVG","CALC_INTERVAL","65W","PERIODICITY_OVERRIDE","W","TECH_STUDIES_PARAM1_OVERRIDE",39,"USE_PREVIOUS_BUSINESS_DAY","N")),"")</f>
        <v>158.54482002419971</v>
      </c>
      <c r="AN91">
        <f t="shared" si="7"/>
        <v>6560.7735897435905</v>
      </c>
      <c r="AO91" cm="1">
        <f t="array" ref="AO91">IFERROR(VALUE(_xll.BDP($B91,"INTERVAL_MAE_MOV_AVG","CALC_INTERVAL","65W","PERIODICITY_OVERRIDE","W","TECH_STUDIES_PARAM1_OVERRIDE",39,"USE_PREVIOUS_BUSINESS_DAY","Y")),"")</f>
        <v>158.58738420501402</v>
      </c>
      <c r="AP91">
        <f t="shared" si="8"/>
        <v>6560.7823076923087</v>
      </c>
      <c r="AQ91">
        <f t="shared" si="54"/>
        <v>2.416556795559165E-2</v>
      </c>
      <c r="AR91">
        <f t="shared" si="55"/>
        <v>2.4172023512969688E-2</v>
      </c>
      <c r="AS91" s="10" t="str">
        <f t="shared" si="56"/>
        <v>DOWN</v>
      </c>
      <c r="AT91" s="10" t="str">
        <f t="shared" si="57"/>
        <v>DOWN</v>
      </c>
      <c r="AU91" s="6" t="str">
        <f t="shared" si="58"/>
        <v>NEGATIVE</v>
      </c>
      <c r="AV91" cm="1">
        <f t="array" ref="AV91">IFERROR(VALUE(_xll.BDP($B91,"INTERVAL_exp_MOV_AVG","CALC_INTERVAL","520D","TECH_STUDIES_PARAM1_OVERRIDE",100,"USE_PREVIOUS_BUSINESS_DAY","N")),"")</f>
        <v>133.91622341347681</v>
      </c>
      <c r="AW91">
        <f t="shared" si="9"/>
        <v>6773.0064518682802</v>
      </c>
      <c r="AX91" cm="1">
        <f t="array" ref="AX91">IFERROR(VALUE(_xll.BDP($B91,"INTERVAL_exp_MOV_AVG","CALC_INTERVAL","520D","TECH_STUDIES_PARAM1_OVERRIDE",100,"USE_PREVIOUS_BUSINESS_DAY","Y")),"")</f>
        <v>134.81957246722573</v>
      </c>
      <c r="AY91">
        <f t="shared" si="10"/>
        <v>6769.6039787132295</v>
      </c>
      <c r="AZ91">
        <f t="shared" si="59"/>
        <v>1.9772050176703596E-2</v>
      </c>
      <c r="BA91">
        <f t="shared" si="60"/>
        <v>1.9915429749090333E-2</v>
      </c>
      <c r="BB91" s="11" t="str">
        <f t="shared" si="61"/>
        <v>DOWN</v>
      </c>
      <c r="BC91" s="11" t="str">
        <f t="shared" si="62"/>
        <v>DOWN</v>
      </c>
      <c r="BD91" s="6" t="str">
        <f t="shared" si="63"/>
        <v>NEGATIVE</v>
      </c>
      <c r="BE91" s="12" cm="1">
        <f t="array" ref="BE91">_xll.BDP($B91, "INTERVAL_RSI", "TECH_STUDIES_PARAM1_OVERRIDE", "5", "PERIODICITY_OVERRIDE", "W")</f>
        <v>8.6683434583759293</v>
      </c>
      <c r="BF91" cm="1">
        <f t="array" ref="BF91">IFERROR(VALUE(_xll.BDP($B91,"INTERVAL_MAE_MOV_AVG","CALC_INTERVAL","520D","TECH_STUDIES_PARAM1_OVERRIDE",31,"USE_PREVIOUS_BUSINESS_DAY","N")),"")</f>
        <v>116.50645151445943</v>
      </c>
      <c r="BG91" cm="1">
        <f t="array" ref="BG91">IFERROR(VALUE(_xll.BDP($B91,"INTERVAL_MAE_MOV_AVG","CALC_INTERVAL","760D","TECH_STUDIES_PARAM1_OVERRIDE",200,"USE_PREVIOUS_BUSINESS_DAY","N")),"")</f>
        <v>161.97416766109214</v>
      </c>
      <c r="BH91" s="13">
        <f t="shared" si="64"/>
        <v>-0.23437716246186135</v>
      </c>
      <c r="BI91" s="13">
        <f t="shared" si="65"/>
        <v>-0.27148169316421777</v>
      </c>
      <c r="BJ91" s="13">
        <f t="shared" si="66"/>
        <v>-0.44929490122993998</v>
      </c>
      <c r="BK91" s="32" cm="1">
        <f t="array" ref="BK91">VALUE(_xll.BDP($B91,"INTERVAL_DATE_OF_CALC_HI","CALC_INTERVAL","3M"))</f>
        <v>45975</v>
      </c>
      <c r="BL91" s="32" cm="1">
        <f t="array" ref="BL91">VALUE(_xll.BDP($B91,"INTERVAL_DATE_OF_CALC_LO","CALC_INTERVAL","3M"))</f>
        <v>46059</v>
      </c>
      <c r="BM91" s="32" cm="1">
        <f t="array" ref="BM91">VALUE(_xll.BDP($B91,"INTERVAL_DATE_OF_CALC_HI","CALC_INTERVAL","1M"))</f>
        <v>46034</v>
      </c>
      <c r="BN91" s="32" cm="1">
        <f t="array" ref="BN91">VALUE(_xll.BDP($B91,"INTERVAL_DATE_OF_CALC_LO","CALC_INTERVAL","1M"))</f>
        <v>46059</v>
      </c>
      <c r="BO91" s="15">
        <f>IFERROR(VLOOKUP($F91,PIVOT!$A:$C,2,FALSE),0)</f>
        <v>0</v>
      </c>
      <c r="BP91" s="15">
        <f>IFERROR(VLOOKUP($F91,PIVOT!$A:$C,3,FALSE),0)</f>
        <v>0</v>
      </c>
      <c r="BQ91" s="15">
        <f t="shared" si="39"/>
        <v>18.594734713649643</v>
      </c>
    </row>
    <row r="92" spans="1:69" x14ac:dyDescent="0.25">
      <c r="A92">
        <v>91</v>
      </c>
      <c r="B92" t="s">
        <v>122</v>
      </c>
      <c r="J92" s="24"/>
      <c r="K92" s="15">
        <f>_xll.BDP($B92,"interval_rsi","tech_studies_param1_override",14)</f>
        <v>49.331092415335455</v>
      </c>
      <c r="L92" s="15">
        <f t="shared" si="0"/>
        <v>52.525531939815814</v>
      </c>
      <c r="M92">
        <f t="shared" si="40"/>
        <v>0</v>
      </c>
      <c r="N92" cm="1">
        <f t="array" ref="N92">IFERROR(VALUE(_xll.BDP($B92,"px_last")),"")</f>
        <v>428.27</v>
      </c>
      <c r="O92">
        <f t="shared" si="1"/>
        <v>6941.47</v>
      </c>
      <c r="P92" cm="1">
        <f t="array" ref="P92">IFERROR(VALUE(_xll.BDP($B92,"PX_YEST_CLOSE")),"")</f>
        <v>425.21</v>
      </c>
      <c r="Q92">
        <f t="shared" si="2"/>
        <v>6941.81</v>
      </c>
      <c r="R92">
        <f t="shared" si="41"/>
        <v>6.1697306190187373E-2</v>
      </c>
      <c r="S92">
        <f t="shared" si="42"/>
        <v>6.1253477119079885E-2</v>
      </c>
      <c r="T92" cm="1">
        <f t="array" ref="T92">IFERROR(VALUE(_xll.BDP($B92,"INTERVAL_MAE_MOV_AVG","CALC_INTERVAL","520D","TECH_STUDIES_PARAM1_OVERRIDE",50,"USE_PREVIOUS_BUSINESS_DAY","N")),"")</f>
        <v>444.44559978027343</v>
      </c>
      <c r="U92">
        <f t="shared" si="3"/>
        <v>6894.0953999999992</v>
      </c>
      <c r="V92" cm="1">
        <f t="array" ref="V92">IFERROR(VALUE(_xll.BDP($B92,"INTERVAL_MAE_MOV_AVG","CALC_INTERVAL","520D","TECH_STUDIES_PARAM1_OVERRIDE",50,"USE_PREVIOUS_BUSINESS_DAY","Y")),"")</f>
        <v>444.48359999999997</v>
      </c>
      <c r="W92">
        <f t="shared" si="4"/>
        <v>6892.2477999999992</v>
      </c>
      <c r="X92">
        <f t="shared" si="43"/>
        <v>6.4467573190280111E-2</v>
      </c>
      <c r="Y92">
        <f t="shared" si="44"/>
        <v>6.4490368439741819E-2</v>
      </c>
      <c r="Z92" s="11" t="str">
        <f t="shared" si="45"/>
        <v>NEGATIVE</v>
      </c>
      <c r="AA92" s="11" t="str">
        <f t="shared" si="46"/>
        <v/>
      </c>
      <c r="AB92" s="11" t="str">
        <f t="shared" si="47"/>
        <v>DOWN</v>
      </c>
      <c r="AC92" s="6" t="str">
        <f t="shared" si="48"/>
        <v>NEGATIVE</v>
      </c>
      <c r="AD92" cm="1">
        <f t="array" ref="AD92">IFERROR(VALUE(_xll.BDP($B92,"INTERVAL_MAE_MOV_AVG","CALC_INTERVAL","520D","TECH_STUDIES_PARAM1_OVERRIDE",65,"USE_PREVIOUS_BUSINESS_DAY","N")),"")</f>
        <v>437.96923060021032</v>
      </c>
      <c r="AE92">
        <f t="shared" si="5"/>
        <v>6856.0226153846133</v>
      </c>
      <c r="AF92" cm="1">
        <f t="array" ref="AF92">IFERROR(VALUE(_xll.BDP($B92,"INTERVAL_MAE_MOV_AVG","CALC_INTERVAL","520D","TECH_STUDIES_PARAM1_OVERRIDE",65,"USE_PREVIOUS_BUSINESS_DAY","Y")),"")</f>
        <v>438.24061538461535</v>
      </c>
      <c r="AG92">
        <f t="shared" si="6"/>
        <v>6852.6203076923057</v>
      </c>
      <c r="AH92">
        <f t="shared" si="49"/>
        <v>6.3880948936403253E-2</v>
      </c>
      <c r="AI92">
        <f t="shared" si="50"/>
        <v>6.3952268724516217E-2</v>
      </c>
      <c r="AJ92" s="10" t="str">
        <f t="shared" si="51"/>
        <v>DOWN</v>
      </c>
      <c r="AK92" s="10" t="str">
        <f t="shared" si="52"/>
        <v>DOWN</v>
      </c>
      <c r="AL92" s="6" t="str">
        <f t="shared" si="53"/>
        <v>NEGATIVE</v>
      </c>
      <c r="AM92" cm="1">
        <f t="array" ref="AM92">IFERROR(VALUE(_xll.BDP($B92,"INTERVAL_MAE_MOV_AVG","CALC_INTERVAL","65W","PERIODICITY_OVERRIDE","W","TECH_STUDIES_PARAM1_OVERRIDE",39,"USE_PREVIOUS_BUSINESS_DAY","N")),"")</f>
        <v>390.11282023111977</v>
      </c>
      <c r="AN92">
        <f t="shared" si="7"/>
        <v>6560.7735897435905</v>
      </c>
      <c r="AO92" cm="1">
        <f t="array" ref="AO92">IFERROR(VALUE(_xll.BDP($B92,"INTERVAL_MAE_MOV_AVG","CALC_INTERVAL","65W","PERIODICITY_OVERRIDE","W","TECH_STUDIES_PARAM1_OVERRIDE",39,"USE_PREVIOUS_BUSINESS_DAY","Y")),"")</f>
        <v>390.0343589743589</v>
      </c>
      <c r="AP92">
        <f t="shared" si="8"/>
        <v>6560.7823076923087</v>
      </c>
      <c r="AQ92">
        <f t="shared" si="54"/>
        <v>5.946140571608511E-2</v>
      </c>
      <c r="AR92">
        <f t="shared" si="55"/>
        <v>5.9449367572683522E-2</v>
      </c>
      <c r="AS92" s="10" t="str">
        <f t="shared" si="56"/>
        <v>UP</v>
      </c>
      <c r="AT92" s="10" t="str">
        <f t="shared" si="57"/>
        <v>UP</v>
      </c>
      <c r="AU92" s="6" t="str">
        <f t="shared" si="58"/>
        <v>POSITIVE</v>
      </c>
      <c r="AV92" cm="1">
        <f t="array" ref="AV92">IFERROR(VALUE(_xll.BDP($B92,"INTERVAL_exp_MOV_AVG","CALC_INTERVAL","520D","TECH_STUDIES_PARAM1_OVERRIDE",100,"USE_PREVIOUS_BUSINESS_DAY","N")),"")</f>
        <v>423.66799734917697</v>
      </c>
      <c r="AW92">
        <f t="shared" si="9"/>
        <v>6773.0064518682802</v>
      </c>
      <c r="AX92" cm="1">
        <f t="array" ref="AX92">IFERROR(VALUE(_xll.BDP($B92,"INTERVAL_exp_MOV_AVG","CALC_INTERVAL","520D","TECH_STUDIES_PARAM1_OVERRIDE",100,"USE_PREVIOUS_BUSINESS_DAY","Y")),"")</f>
        <v>423.57516313982336</v>
      </c>
      <c r="AY92">
        <f t="shared" si="10"/>
        <v>6769.6039787132295</v>
      </c>
      <c r="AZ92">
        <f t="shared" si="59"/>
        <v>6.2552427841303992E-2</v>
      </c>
      <c r="BA92">
        <f t="shared" si="60"/>
        <v>6.257015395165505E-2</v>
      </c>
      <c r="BB92" s="11" t="str">
        <f t="shared" si="61"/>
        <v>UP</v>
      </c>
      <c r="BC92" s="11" t="str">
        <f t="shared" si="62"/>
        <v>DOWN</v>
      </c>
      <c r="BD92" s="6" t="str">
        <f t="shared" si="63"/>
        <v>NEGATIVE</v>
      </c>
      <c r="BE92" s="12" cm="1">
        <f t="array" ref="BE92">_xll.BDP($B92, "INTERVAL_RSI", "TECH_STUDIES_PARAM1_OVERRIDE", "5", "PERIODICITY_OVERRIDE", "W")</f>
        <v>45.46778486718852</v>
      </c>
      <c r="BF92" cm="1">
        <f t="array" ref="BF92">IFERROR(VALUE(_xll.BDP($B92,"INTERVAL_MAE_MOV_AVG","CALC_INTERVAL","520D","TECH_STUDIES_PARAM1_OVERRIDE",31,"USE_PREVIOUS_BUSINESS_DAY","N")),"")</f>
        <v>433.31225771011833</v>
      </c>
      <c r="BG92" cm="1">
        <f t="array" ref="BG92">IFERROR(VALUE(_xll.BDP($B92,"INTERVAL_MAE_MOV_AVG","CALC_INTERVAL","760D","TECH_STUDIES_PARAM1_OVERRIDE",200,"USE_PREVIOUS_BUSINESS_DAY","N")),"")</f>
        <v>383.87869994506838</v>
      </c>
      <c r="BH92" s="13">
        <f t="shared" si="64"/>
        <v>-1.1636545286682343E-2</v>
      </c>
      <c r="BI92" s="13">
        <f t="shared" si="65"/>
        <v>-3.639500489659564E-2</v>
      </c>
      <c r="BJ92" s="13">
        <f t="shared" si="66"/>
        <v>0.11563887254302951</v>
      </c>
      <c r="BK92" s="32" cm="1">
        <f t="array" ref="BK92">VALUE(_xll.BDP($B92,"INTERVAL_DATE_OF_CALC_HI","CALC_INTERVAL","3M"))</f>
        <v>46007</v>
      </c>
      <c r="BL92" s="32" cm="1">
        <f t="array" ref="BL92">VALUE(_xll.BDP($B92,"INTERVAL_DATE_OF_CALC_LO","CALC_INTERVAL","3M"))</f>
        <v>45982</v>
      </c>
      <c r="BM92" s="32" cm="1">
        <f t="array" ref="BM92">VALUE(_xll.BDP($B92,"INTERVAL_DATE_OF_CALC_HI","CALC_INTERVAL","1M"))</f>
        <v>46044</v>
      </c>
      <c r="BN92" s="32" cm="1">
        <f t="array" ref="BN92">VALUE(_xll.BDP($B92,"INTERVAL_DATE_OF_CALC_LO","CALC_INTERVAL","1M"))</f>
        <v>46058</v>
      </c>
      <c r="BO92" s="15">
        <f>IFERROR(VLOOKUP($F92,PIVOT!$A:$C,2,FALSE),0)</f>
        <v>0</v>
      </c>
      <c r="BP92" s="15">
        <f>IFERROR(VLOOKUP($F92,PIVOT!$A:$C,3,FALSE),0)</f>
        <v>0</v>
      </c>
      <c r="BQ92" s="15">
        <f t="shared" si="39"/>
        <v>49.331092415335455</v>
      </c>
    </row>
    <row r="93" spans="1:69" x14ac:dyDescent="0.25">
      <c r="A93">
        <v>92</v>
      </c>
      <c r="B93" t="s">
        <v>124</v>
      </c>
      <c r="J93" s="24"/>
      <c r="K93" s="15">
        <f>_xll.BDP($B93,"interval_rsi","tech_studies_param1_override",14)</f>
        <v>32.57334721843354</v>
      </c>
      <c r="L93" s="15">
        <f t="shared" si="0"/>
        <v>52.525531939815814</v>
      </c>
      <c r="M93">
        <f t="shared" si="40"/>
        <v>0</v>
      </c>
      <c r="N93" cm="1">
        <f t="array" ref="N93">IFERROR(VALUE(_xll.BDP($B93,"px_last")),"")</f>
        <v>203.89</v>
      </c>
      <c r="O93">
        <f t="shared" si="1"/>
        <v>6941.47</v>
      </c>
      <c r="P93" cm="1">
        <f t="array" ref="P93">IFERROR(VALUE(_xll.BDP($B93,"PX_YEST_CLOSE")),"")</f>
        <v>210.71</v>
      </c>
      <c r="Q93">
        <f t="shared" si="2"/>
        <v>6941.81</v>
      </c>
      <c r="R93">
        <f t="shared" si="41"/>
        <v>2.9372740932396162E-2</v>
      </c>
      <c r="S93">
        <f t="shared" si="42"/>
        <v>3.0353755000496987E-2</v>
      </c>
      <c r="T93" cm="1">
        <f t="array" ref="T93">IFERROR(VALUE(_xll.BDP($B93,"INTERVAL_MAE_MOV_AVG","CALC_INTERVAL","520D","TECH_STUDIES_PARAM1_OVERRIDE",50,"USE_PREVIOUS_BUSINESS_DAY","N")),"")</f>
        <v>240.26829998779297</v>
      </c>
      <c r="U93">
        <f t="shared" si="3"/>
        <v>6894.0953999999992</v>
      </c>
      <c r="V93" cm="1">
        <f t="array" ref="V93">IFERROR(VALUE(_xll.BDP($B93,"INTERVAL_MAE_MOV_AVG","CALC_INTERVAL","520D","TECH_STUDIES_PARAM1_OVERRIDE",50,"USE_PREVIOUS_BUSINESS_DAY","Y")),"")</f>
        <v>241.11189999999999</v>
      </c>
      <c r="W93">
        <f t="shared" si="4"/>
        <v>6892.2477999999992</v>
      </c>
      <c r="X93">
        <f t="shared" si="43"/>
        <v>3.4851316387033607E-2</v>
      </c>
      <c r="Y93">
        <f t="shared" si="44"/>
        <v>3.4983057341612125E-2</v>
      </c>
      <c r="Z93" s="11" t="str">
        <f t="shared" si="45"/>
        <v>NEGATIVE</v>
      </c>
      <c r="AA93" s="11" t="str">
        <f t="shared" si="46"/>
        <v/>
      </c>
      <c r="AB93" s="11" t="str">
        <f t="shared" si="47"/>
        <v>DOWN</v>
      </c>
      <c r="AC93" s="6" t="str">
        <f t="shared" si="48"/>
        <v>NEGATIVE</v>
      </c>
      <c r="AD93" cm="1">
        <f t="array" ref="AD93">IFERROR(VALUE(_xll.BDP($B93,"INTERVAL_MAE_MOV_AVG","CALC_INTERVAL","520D","TECH_STUDIES_PARAM1_OVERRIDE",65,"USE_PREVIOUS_BUSINESS_DAY","N")),"")</f>
        <v>239.81038460599459</v>
      </c>
      <c r="AE93">
        <f t="shared" si="5"/>
        <v>6856.0226153846133</v>
      </c>
      <c r="AF93" cm="1">
        <f t="array" ref="AF93">IFERROR(VALUE(_xll.BDP($B93,"INTERVAL_MAE_MOV_AVG","CALC_INTERVAL","520D","TECH_STUDIES_PARAM1_OVERRIDE",65,"USE_PREVIOUS_BUSINESS_DAY","Y")),"")</f>
        <v>240.55669230769229</v>
      </c>
      <c r="AG93">
        <f t="shared" si="6"/>
        <v>6852.6203076923057</v>
      </c>
      <c r="AH93">
        <f t="shared" si="49"/>
        <v>3.4978062071713507E-2</v>
      </c>
      <c r="AI93">
        <f t="shared" si="50"/>
        <v>3.51043369552606E-2</v>
      </c>
      <c r="AJ93" s="10" t="str">
        <f t="shared" si="51"/>
        <v>DOWN</v>
      </c>
      <c r="AK93" s="10" t="str">
        <f t="shared" si="52"/>
        <v>DOWN</v>
      </c>
      <c r="AL93" s="6" t="str">
        <f t="shared" si="53"/>
        <v>NEGATIVE</v>
      </c>
      <c r="AM93" cm="1">
        <f t="array" ref="AM93">IFERROR(VALUE(_xll.BDP($B93,"INTERVAL_MAE_MOV_AVG","CALC_INTERVAL","65W","PERIODICITY_OVERRIDE","W","TECH_STUDIES_PARAM1_OVERRIDE",39,"USE_PREVIOUS_BUSINESS_DAY","N")),"")</f>
        <v>237.97923075358074</v>
      </c>
      <c r="AN93">
        <f t="shared" si="7"/>
        <v>6560.7735897435905</v>
      </c>
      <c r="AO93" cm="1">
        <f t="array" ref="AO93">IFERROR(VALUE(_xll.BDP($B93,"INTERVAL_MAE_MOV_AVG","CALC_INTERVAL","65W","PERIODICITY_OVERRIDE","W","TECH_STUDIES_PARAM1_OVERRIDE",39,"USE_PREVIOUS_BUSINESS_DAY","Y")),"")</f>
        <v>238.15410256410257</v>
      </c>
      <c r="AP93">
        <f t="shared" si="8"/>
        <v>6560.7823076923087</v>
      </c>
      <c r="AQ93">
        <f t="shared" si="54"/>
        <v>3.6273044252832003E-2</v>
      </c>
      <c r="AR93">
        <f t="shared" si="55"/>
        <v>3.6299650162889031E-2</v>
      </c>
      <c r="AS93" s="10" t="str">
        <f t="shared" si="56"/>
        <v>DOWN</v>
      </c>
      <c r="AT93" s="10" t="str">
        <f t="shared" si="57"/>
        <v>DOWN</v>
      </c>
      <c r="AU93" s="6" t="str">
        <f t="shared" si="58"/>
        <v>NEGATIVE</v>
      </c>
      <c r="AV93" cm="1">
        <f t="array" ref="AV93">IFERROR(VALUE(_xll.BDP($B93,"INTERVAL_exp_MOV_AVG","CALC_INTERVAL","520D","TECH_STUDIES_PARAM1_OVERRIDE",100,"USE_PREVIOUS_BUSINESS_DAY","N")),"")</f>
        <v>238.57764446814619</v>
      </c>
      <c r="AW93">
        <f t="shared" si="9"/>
        <v>6773.0064518682802</v>
      </c>
      <c r="AX93" cm="1">
        <f t="array" ref="AX93">IFERROR(VALUE(_xll.BDP($B93,"INTERVAL_exp_MOV_AVG","CALC_INTERVAL","520D","TECH_STUDIES_PARAM1_OVERRIDE",100,"USE_PREVIOUS_BUSINESS_DAY","Y")),"")</f>
        <v>239.2784515295607</v>
      </c>
      <c r="AY93">
        <f t="shared" si="10"/>
        <v>6769.6039787132295</v>
      </c>
      <c r="AZ93">
        <f t="shared" si="59"/>
        <v>3.5224777381149021E-2</v>
      </c>
      <c r="BA93">
        <f t="shared" si="60"/>
        <v>3.5346004327869544E-2</v>
      </c>
      <c r="BB93" s="11" t="str">
        <f t="shared" si="61"/>
        <v>DOWN</v>
      </c>
      <c r="BC93" s="11" t="str">
        <f t="shared" si="62"/>
        <v>DOWN</v>
      </c>
      <c r="BD93" s="6" t="str">
        <f t="shared" si="63"/>
        <v>NEGATIVE</v>
      </c>
      <c r="BE93" s="12" cm="1">
        <f t="array" ref="BE93">_xll.BDP($B93, "INTERVAL_RSI", "TECH_STUDIES_PARAM1_OVERRIDE", "5", "PERIODICITY_OVERRIDE", "W")</f>
        <v>26.406839037091359</v>
      </c>
      <c r="BF93" cm="1">
        <f t="array" ref="BF93">IFERROR(VALUE(_xll.BDP($B93,"INTERVAL_MAE_MOV_AVG","CALC_INTERVAL","520D","TECH_STUDIES_PARAM1_OVERRIDE",31,"USE_PREVIOUS_BUSINESS_DAY","N")),"")</f>
        <v>236.18725804482736</v>
      </c>
      <c r="BG93" cm="1">
        <f t="array" ref="BG93">IFERROR(VALUE(_xll.BDP($B93,"INTERVAL_MAE_MOV_AVG","CALC_INTERVAL","760D","TECH_STUDIES_PARAM1_OVERRIDE",200,"USE_PREVIOUS_BUSINESS_DAY","N")),"")</f>
        <v>239.27347499694818</v>
      </c>
      <c r="BH93" s="13">
        <f t="shared" si="64"/>
        <v>-0.13674428634375135</v>
      </c>
      <c r="BI93" s="13">
        <f t="shared" si="65"/>
        <v>-0.15140698955975973</v>
      </c>
      <c r="BJ93" s="13">
        <f t="shared" si="66"/>
        <v>-0.14787880268550246</v>
      </c>
      <c r="BK93" s="32" cm="1">
        <f t="array" ref="BK93">VALUE(_xll.BDP($B93,"INTERVAL_DATE_OF_CALC_HI","CALC_INTERVAL","3M"))</f>
        <v>46021</v>
      </c>
      <c r="BL93" s="32" cm="1">
        <f t="array" ref="BL93">VALUE(_xll.BDP($B93,"INTERVAL_DATE_OF_CALC_LO","CALC_INTERVAL","3M"))</f>
        <v>46058</v>
      </c>
      <c r="BM93" s="32" cm="1">
        <f t="array" ref="BM93">VALUE(_xll.BDP($B93,"INTERVAL_DATE_OF_CALC_HI","CALC_INTERVAL","1M"))</f>
        <v>46034</v>
      </c>
      <c r="BN93" s="32" cm="1">
        <f t="array" ref="BN93">VALUE(_xll.BDP($B93,"INTERVAL_DATE_OF_CALC_LO","CALC_INTERVAL","1M"))</f>
        <v>46058</v>
      </c>
      <c r="BO93" s="15">
        <f>IFERROR(VLOOKUP($F93,PIVOT!$A:$C,2,FALSE),0)</f>
        <v>0</v>
      </c>
      <c r="BP93" s="15">
        <f>IFERROR(VLOOKUP($F93,PIVOT!$A:$C,3,FALSE),0)</f>
        <v>0</v>
      </c>
      <c r="BQ93" s="15">
        <f t="shared" si="39"/>
        <v>32.57334721843354</v>
      </c>
    </row>
    <row r="94" spans="1:69" x14ac:dyDescent="0.25">
      <c r="A94">
        <v>93</v>
      </c>
      <c r="B94" t="s">
        <v>125</v>
      </c>
      <c r="J94" s="24"/>
      <c r="K94" s="15">
        <f>_xll.BDP($B94,"interval_rsi","tech_studies_param1_override",14)</f>
        <v>73.765273394151279</v>
      </c>
      <c r="L94" s="15">
        <f t="shared" si="0"/>
        <v>52.525531939815814</v>
      </c>
      <c r="M94">
        <f t="shared" si="40"/>
        <v>1</v>
      </c>
      <c r="N94" cm="1">
        <f t="array" ref="N94">IFERROR(VALUE(_xll.BDP($B94,"px_last")),"")</f>
        <v>226.56</v>
      </c>
      <c r="O94">
        <f t="shared" si="1"/>
        <v>6941.47</v>
      </c>
      <c r="P94" cm="1">
        <f t="array" ref="P94">IFERROR(VALUE(_xll.BDP($B94,"PX_YEST_CLOSE")),"")</f>
        <v>220.92</v>
      </c>
      <c r="Q94">
        <f t="shared" si="2"/>
        <v>6941.81</v>
      </c>
      <c r="R94">
        <f t="shared" si="41"/>
        <v>3.2638619773621438E-2</v>
      </c>
      <c r="S94">
        <f t="shared" si="42"/>
        <v>3.1824552962411816E-2</v>
      </c>
      <c r="T94" cm="1">
        <f t="array" ref="T94">IFERROR(VALUE(_xll.BDP($B94,"INTERVAL_MAE_MOV_AVG","CALC_INTERVAL","520D","TECH_STUDIES_PARAM1_OVERRIDE",50,"USE_PREVIOUS_BUSINESS_DAY","N")),"")</f>
        <v>190.47663632517191</v>
      </c>
      <c r="U94">
        <f t="shared" si="3"/>
        <v>6894.0953999999992</v>
      </c>
      <c r="V94" cm="1">
        <f t="array" ref="V94">IFERROR(VALUE(_xll.BDP($B94,"INTERVAL_MAE_MOV_AVG","CALC_INTERVAL","520D","TECH_STUDIES_PARAM1_OVERRIDE",50,"USE_PREVIOUS_BUSINESS_DAY","Y")),"")</f>
        <v>189.28901175500002</v>
      </c>
      <c r="W94">
        <f t="shared" si="4"/>
        <v>6892.2477999999992</v>
      </c>
      <c r="X94">
        <f t="shared" si="43"/>
        <v>2.7628952788377709E-2</v>
      </c>
      <c r="Y94">
        <f t="shared" si="44"/>
        <v>2.7464046164300714E-2</v>
      </c>
      <c r="Z94" s="11" t="str">
        <f t="shared" si="45"/>
        <v>POSITIVE</v>
      </c>
      <c r="AA94" s="11" t="str">
        <f t="shared" si="46"/>
        <v/>
      </c>
      <c r="AB94" s="11" t="str">
        <f t="shared" si="47"/>
        <v>UP</v>
      </c>
      <c r="AC94" s="6" t="str">
        <f t="shared" si="48"/>
        <v>POSITIVE</v>
      </c>
      <c r="AD94" cm="1">
        <f t="array" ref="AD94">IFERROR(VALUE(_xll.BDP($B94,"INTERVAL_MAE_MOV_AVG","CALC_INTERVAL","520D","TECH_STUDIES_PARAM1_OVERRIDE",65,"USE_PREVIOUS_BUSINESS_DAY","N")),"")</f>
        <v>183.26969224013226</v>
      </c>
      <c r="AE94">
        <f t="shared" si="5"/>
        <v>6856.0226153846133</v>
      </c>
      <c r="AF94" cm="1">
        <f t="array" ref="AF94">IFERROR(VALUE(_xll.BDP($B94,"INTERVAL_MAE_MOV_AVG","CALC_INTERVAL","520D","TECH_STUDIES_PARAM1_OVERRIDE",65,"USE_PREVIOUS_BUSINESS_DAY","Y")),"")</f>
        <v>182.25082228846159</v>
      </c>
      <c r="AG94">
        <f t="shared" si="6"/>
        <v>6852.6203076923057</v>
      </c>
      <c r="AH94">
        <f t="shared" si="49"/>
        <v>2.6731197156334218E-2</v>
      </c>
      <c r="AI94">
        <f t="shared" si="50"/>
        <v>2.6595785860757334E-2</v>
      </c>
      <c r="AJ94" s="10" t="str">
        <f t="shared" si="51"/>
        <v>UP</v>
      </c>
      <c r="AK94" s="10" t="str">
        <f t="shared" si="52"/>
        <v>UP</v>
      </c>
      <c r="AL94" s="6" t="str">
        <f t="shared" si="53"/>
        <v>POSITIVE</v>
      </c>
      <c r="AM94" cm="1">
        <f t="array" ref="AM94">IFERROR(VALUE(_xll.BDP($B94,"INTERVAL_MAE_MOV_AVG","CALC_INTERVAL","65W","PERIODICITY_OVERRIDE","W","TECH_STUDIES_PARAM1_OVERRIDE",39,"USE_PREVIOUS_BUSINESS_DAY","N")),"")</f>
        <v>185.60407815218798</v>
      </c>
      <c r="AN94">
        <f t="shared" si="7"/>
        <v>6560.7735897435905</v>
      </c>
      <c r="AO94" cm="1">
        <f t="array" ref="AO94">IFERROR(VALUE(_xll.BDP($B94,"INTERVAL_MAE_MOV_AVG","CALC_INTERVAL","65W","PERIODICITY_OVERRIDE","W","TECH_STUDIES_PARAM1_OVERRIDE",39,"USE_PREVIOUS_BUSINESS_DAY","Y")),"")</f>
        <v>185.45946283017275</v>
      </c>
      <c r="AP94">
        <f t="shared" si="8"/>
        <v>6560.7823076923087</v>
      </c>
      <c r="AQ94">
        <f t="shared" si="54"/>
        <v>2.8289968494316201E-2</v>
      </c>
      <c r="AR94">
        <f t="shared" si="55"/>
        <v>2.8267888512735352E-2</v>
      </c>
      <c r="AS94" s="10" t="str">
        <f t="shared" si="56"/>
        <v>UP</v>
      </c>
      <c r="AT94" s="10" t="str">
        <f t="shared" si="57"/>
        <v>UP</v>
      </c>
      <c r="AU94" s="6" t="str">
        <f t="shared" si="58"/>
        <v>POSITIVE</v>
      </c>
      <c r="AV94" cm="1">
        <f t="array" ref="AV94">IFERROR(VALUE(_xll.BDP($B94,"INTERVAL_exp_MOV_AVG","CALC_INTERVAL","520D","TECH_STUDIES_PARAM1_OVERRIDE",100,"USE_PREVIOUS_BUSINESS_DAY","N")),"")</f>
        <v>187.32282017004775</v>
      </c>
      <c r="AW94">
        <f t="shared" si="9"/>
        <v>6773.0064518682802</v>
      </c>
      <c r="AX94" cm="1">
        <f t="array" ref="AX94">IFERROR(VALUE(_xll.BDP($B94,"INTERVAL_exp_MOV_AVG","CALC_INTERVAL","520D","TECH_STUDIES_PARAM1_OVERRIDE",100,"USE_PREVIOUS_BUSINESS_DAY","Y")),"")</f>
        <v>186.53019246081749</v>
      </c>
      <c r="AY94">
        <f t="shared" si="10"/>
        <v>6769.6039787132295</v>
      </c>
      <c r="AZ94">
        <f t="shared" si="59"/>
        <v>2.7657262915846807E-2</v>
      </c>
      <c r="BA94">
        <f t="shared" si="60"/>
        <v>2.7554077468542444E-2</v>
      </c>
      <c r="BB94" s="11" t="str">
        <f t="shared" si="61"/>
        <v>UP</v>
      </c>
      <c r="BC94" s="11" t="str">
        <f t="shared" si="62"/>
        <v>UP</v>
      </c>
      <c r="BD94" s="6" t="str">
        <f t="shared" si="63"/>
        <v>POSITIVE</v>
      </c>
      <c r="BE94" s="12" cm="1">
        <f t="array" ref="BE94">_xll.BDP($B94, "INTERVAL_RSI", "TECH_STUDIES_PARAM1_OVERRIDE", "5", "PERIODICITY_OVERRIDE", "W")</f>
        <v>94.567144269458069</v>
      </c>
      <c r="BF94" cm="1">
        <f t="array" ref="BF94">IFERROR(VALUE(_xll.BDP($B94,"INTERVAL_MAE_MOV_AVG","CALC_INTERVAL","520D","TECH_STUDIES_PARAM1_OVERRIDE",31,"USE_PREVIOUS_BUSINESS_DAY","N")),"")</f>
        <v>198.75706666479337</v>
      </c>
      <c r="BG94" cm="1">
        <f t="array" ref="BG94">IFERROR(VALUE(_xll.BDP($B94,"INTERVAL_MAE_MOV_AVG","CALC_INTERVAL","760D","TECH_STUDIES_PARAM1_OVERRIDE",200,"USE_PREVIOUS_BUSINESS_DAY","N")),"")</f>
        <v>183.97648850758662</v>
      </c>
      <c r="BH94" s="13">
        <f t="shared" si="64"/>
        <v>0.13988399910377369</v>
      </c>
      <c r="BI94" s="13">
        <f t="shared" si="65"/>
        <v>0.18943721587580131</v>
      </c>
      <c r="BJ94" s="13">
        <f t="shared" si="66"/>
        <v>0.23146170381797115</v>
      </c>
      <c r="BK94" s="32" cm="1">
        <f t="array" ref="BK94">VALUE(_xll.BDP($B94,"INTERVAL_DATE_OF_CALC_HI","CALC_INTERVAL","3M"))</f>
        <v>46064</v>
      </c>
      <c r="BL94" s="32" cm="1">
        <f t="array" ref="BL94">VALUE(_xll.BDP($B94,"INTERVAL_DATE_OF_CALC_LO","CALC_INTERVAL","3M"))</f>
        <v>45981</v>
      </c>
      <c r="BM94" s="32" cm="1">
        <f t="array" ref="BM94">VALUE(_xll.BDP($B94,"INTERVAL_DATE_OF_CALC_HI","CALC_INTERVAL","1M"))</f>
        <v>46064</v>
      </c>
      <c r="BN94" s="32" cm="1">
        <f t="array" ref="BN94">VALUE(_xll.BDP($B94,"INTERVAL_DATE_OF_CALC_LO","CALC_INTERVAL","1M"))</f>
        <v>46035</v>
      </c>
      <c r="BO94" s="15">
        <f>IFERROR(VLOOKUP($F94,PIVOT!$A:$C,2,FALSE),0)</f>
        <v>0</v>
      </c>
      <c r="BP94" s="15">
        <f>IFERROR(VLOOKUP($F94,PIVOT!$A:$C,3,FALSE),0)</f>
        <v>0</v>
      </c>
      <c r="BQ94" s="15">
        <f t="shared" si="39"/>
        <v>73.765273394151279</v>
      </c>
    </row>
    <row r="95" spans="1:69" x14ac:dyDescent="0.25">
      <c r="A95">
        <v>94</v>
      </c>
      <c r="B95" t="s">
        <v>130</v>
      </c>
      <c r="J95" s="24"/>
      <c r="K95" s="15">
        <f>_xll.BDP($B95,"interval_rsi","tech_studies_param1_override",14)</f>
        <v>20.114264328097875</v>
      </c>
      <c r="L95" s="15">
        <f t="shared" si="0"/>
        <v>52.525531939815814</v>
      </c>
      <c r="M95">
        <f t="shared" si="40"/>
        <v>0</v>
      </c>
      <c r="N95" cm="1">
        <f t="array" ref="N95">IFERROR(VALUE(_xll.BDP($B95,"px_last")),"")</f>
        <v>173.77</v>
      </c>
      <c r="O95">
        <f t="shared" si="1"/>
        <v>6941.47</v>
      </c>
      <c r="P95" cm="1">
        <f t="array" ref="P95">IFERROR(VALUE(_xll.BDP($B95,"PX_YEST_CLOSE")),"")</f>
        <v>169.47</v>
      </c>
      <c r="Q95">
        <f t="shared" si="2"/>
        <v>6941.81</v>
      </c>
      <c r="R95">
        <f t="shared" si="41"/>
        <v>2.5033602392576789E-2</v>
      </c>
      <c r="S95">
        <f t="shared" si="42"/>
        <v>2.4412941293409065E-2</v>
      </c>
      <c r="T95" cm="1">
        <f t="array" ref="T95">IFERROR(VALUE(_xll.BDP($B95,"INTERVAL_MAE_MOV_AVG","CALC_INTERVAL","520D","TECH_STUDIES_PARAM1_OVERRIDE",50,"USE_PREVIOUS_BUSINESS_DAY","N")),"")</f>
        <v>214.46855011184914</v>
      </c>
      <c r="U95">
        <f t="shared" si="3"/>
        <v>6894.0953999999992</v>
      </c>
      <c r="V95" cm="1">
        <f t="array" ref="V95">IFERROR(VALUE(_xll.BDP($B95,"INTERVAL_MAE_MOV_AVG","CALC_INTERVAL","520D","TECH_STUDIES_PARAM1_OVERRIDE",50,"USE_PREVIOUS_BUSINESS_DAY","Y")),"")</f>
        <v>215.48522312559993</v>
      </c>
      <c r="W95">
        <f t="shared" si="4"/>
        <v>6892.2477999999992</v>
      </c>
      <c r="X95">
        <f t="shared" si="43"/>
        <v>3.1109019772463428E-2</v>
      </c>
      <c r="Y95">
        <f t="shared" si="44"/>
        <v>3.1264868788612031E-2</v>
      </c>
      <c r="Z95" s="11" t="str">
        <f t="shared" si="45"/>
        <v>NEGATIVE</v>
      </c>
      <c r="AA95" s="11" t="str">
        <f t="shared" si="46"/>
        <v/>
      </c>
      <c r="AB95" s="11" t="str">
        <f t="shared" si="47"/>
        <v>DOWN</v>
      </c>
      <c r="AC95" s="6" t="str">
        <f t="shared" si="48"/>
        <v>NEGATIVE</v>
      </c>
      <c r="AD95" cm="1">
        <f t="array" ref="AD95">IFERROR(VALUE(_xll.BDP($B95,"INTERVAL_MAE_MOV_AVG","CALC_INTERVAL","520D","TECH_STUDIES_PARAM1_OVERRIDE",65,"USE_PREVIOUS_BUSINESS_DAY","N")),"")</f>
        <v>215.53375727865321</v>
      </c>
      <c r="AE95">
        <f t="shared" si="5"/>
        <v>6856.0226153846133</v>
      </c>
      <c r="AF95" cm="1">
        <f t="array" ref="AF95">IFERROR(VALUE(_xll.BDP($B95,"INTERVAL_MAE_MOV_AVG","CALC_INTERVAL","520D","TECH_STUDIES_PARAM1_OVERRIDE",65,"USE_PREVIOUS_BUSINESS_DAY","Y")),"")</f>
        <v>216.12851003384614</v>
      </c>
      <c r="AG95">
        <f t="shared" si="6"/>
        <v>6852.6203076923057</v>
      </c>
      <c r="AH95">
        <f t="shared" si="49"/>
        <v>3.143714211137591E-2</v>
      </c>
      <c r="AI95">
        <f t="shared" si="50"/>
        <v>3.1539542587998688E-2</v>
      </c>
      <c r="AJ95" s="10" t="str">
        <f t="shared" si="51"/>
        <v>DOWN</v>
      </c>
      <c r="AK95" s="10" t="str">
        <f t="shared" si="52"/>
        <v>DOWN</v>
      </c>
      <c r="AL95" s="6" t="str">
        <f t="shared" si="53"/>
        <v>NEGATIVE</v>
      </c>
      <c r="AM95" cm="1">
        <f t="array" ref="AM95">IFERROR(VALUE(_xll.BDP($B95,"INTERVAL_MAE_MOV_AVG","CALC_INTERVAL","65W","PERIODICITY_OVERRIDE","W","TECH_STUDIES_PARAM1_OVERRIDE",39,"USE_PREVIOUS_BUSINESS_DAY","N")),"")</f>
        <v>251.43727119668088</v>
      </c>
      <c r="AN95">
        <f t="shared" si="7"/>
        <v>6560.7735897435905</v>
      </c>
      <c r="AO95" cm="1">
        <f t="array" ref="AO95">IFERROR(VALUE(_xll.BDP($B95,"INTERVAL_MAE_MOV_AVG","CALC_INTERVAL","65W","PERIODICITY_OVERRIDE","W","TECH_STUDIES_PARAM1_OVERRIDE",39,"USE_PREVIOUS_BUSINESS_DAY","Y")),"")</f>
        <v>251.32701467687417</v>
      </c>
      <c r="AP95">
        <f t="shared" si="8"/>
        <v>6560.7823076923087</v>
      </c>
      <c r="AQ95">
        <f t="shared" si="54"/>
        <v>3.8324332909422595E-2</v>
      </c>
      <c r="AR95">
        <f t="shared" si="55"/>
        <v>3.8307476591960876E-2</v>
      </c>
      <c r="AS95" s="10" t="str">
        <f t="shared" si="56"/>
        <v>UP</v>
      </c>
      <c r="AT95" s="10" t="str">
        <f t="shared" si="57"/>
        <v>UP</v>
      </c>
      <c r="AU95" s="6" t="str">
        <f t="shared" si="58"/>
        <v>NEGATIVE</v>
      </c>
      <c r="AV95" cm="1">
        <f t="array" ref="AV95">IFERROR(VALUE(_xll.BDP($B95,"INTERVAL_exp_MOV_AVG","CALC_INTERVAL","520D","TECH_STUDIES_PARAM1_OVERRIDE",100,"USE_PREVIOUS_BUSINESS_DAY","N")),"")</f>
        <v>224.86238421560992</v>
      </c>
      <c r="AW95">
        <f t="shared" si="9"/>
        <v>6773.0064518682802</v>
      </c>
      <c r="AX95" cm="1">
        <f t="array" ref="AX95">IFERROR(VALUE(_xll.BDP($B95,"INTERVAL_exp_MOV_AVG","CALC_INTERVAL","520D","TECH_STUDIES_PARAM1_OVERRIDE",100,"USE_PREVIOUS_BUSINESS_DAY","Y")),"")</f>
        <v>225.89456453910205</v>
      </c>
      <c r="AY95">
        <f t="shared" si="10"/>
        <v>6769.6039787132295</v>
      </c>
      <c r="AZ95">
        <f t="shared" si="59"/>
        <v>3.3199788869768966E-2</v>
      </c>
      <c r="BA95">
        <f t="shared" si="60"/>
        <v>3.336894820574722E-2</v>
      </c>
      <c r="BB95" s="11" t="str">
        <f t="shared" si="61"/>
        <v>DOWN</v>
      </c>
      <c r="BC95" s="11" t="str">
        <f t="shared" si="62"/>
        <v>DOWN</v>
      </c>
      <c r="BD95" s="6" t="str">
        <f t="shared" si="63"/>
        <v>NEGATIVE</v>
      </c>
      <c r="BE95" s="12" cm="1">
        <f t="array" ref="BE95">_xll.BDP($B95, "INTERVAL_RSI", "TECH_STUDIES_PARAM1_OVERRIDE", "5", "PERIODICITY_OVERRIDE", "W")</f>
        <v>6.8310180269730125</v>
      </c>
      <c r="BF95" cm="1">
        <f t="array" ref="BF95">IFERROR(VALUE(_xll.BDP($B95,"INTERVAL_MAE_MOV_AVG","CALC_INTERVAL","520D","TECH_STUDIES_PARAM1_OVERRIDE",31,"USE_PREVIOUS_BUSINESS_DAY","N")),"")</f>
        <v>211.57064529911162</v>
      </c>
      <c r="BG95" cm="1">
        <f t="array" ref="BG95">IFERROR(VALUE(_xll.BDP($B95,"INTERVAL_MAE_MOV_AVG","CALC_INTERVAL","760D","TECH_STUDIES_PARAM1_OVERRIDE",200,"USE_PREVIOUS_BUSINESS_DAY","N")),"")</f>
        <v>256.56836400905922</v>
      </c>
      <c r="BH95" s="13">
        <f t="shared" si="64"/>
        <v>-0.178666776979719</v>
      </c>
      <c r="BI95" s="13">
        <f t="shared" si="65"/>
        <v>-0.18976465356167194</v>
      </c>
      <c r="BJ95" s="13">
        <f t="shared" si="66"/>
        <v>-0.32271462745943091</v>
      </c>
      <c r="BK95" s="32" cm="1">
        <f t="array" ref="BK95">VALUE(_xll.BDP($B95,"INTERVAL_DATE_OF_CALC_HI","CALC_INTERVAL","3M"))</f>
        <v>46031</v>
      </c>
      <c r="BL95" s="32" cm="1">
        <f t="array" ref="BL95">VALUE(_xll.BDP($B95,"INTERVAL_DATE_OF_CALC_LO","CALC_INTERVAL","3M"))</f>
        <v>46063</v>
      </c>
      <c r="BM95" s="32" cm="1">
        <f t="array" ref="BM95">VALUE(_xll.BDP($B95,"INTERVAL_DATE_OF_CALC_HI","CALC_INTERVAL","1M"))</f>
        <v>46034</v>
      </c>
      <c r="BN95" s="32" cm="1">
        <f t="array" ref="BN95">VALUE(_xll.BDP($B95,"INTERVAL_DATE_OF_CALC_LO","CALC_INTERVAL","1M"))</f>
        <v>46063</v>
      </c>
      <c r="BO95" s="15">
        <f>IFERROR(VLOOKUP($F95,PIVOT!$A:$C,2,FALSE),0)</f>
        <v>0</v>
      </c>
      <c r="BP95" s="15">
        <f>IFERROR(VLOOKUP($F95,PIVOT!$A:$C,3,FALSE),0)</f>
        <v>0</v>
      </c>
      <c r="BQ95" s="15">
        <f t="shared" si="39"/>
        <v>20.114264328097875</v>
      </c>
    </row>
    <row r="96" spans="1:69" x14ac:dyDescent="0.25">
      <c r="A96">
        <v>95</v>
      </c>
      <c r="B96" t="s">
        <v>131</v>
      </c>
      <c r="J96" s="24"/>
      <c r="K96" s="15">
        <f>_xll.BDP($B96,"interval_rsi","tech_studies_param1_override",14)</f>
        <v>48.599657895923677</v>
      </c>
      <c r="L96" s="15">
        <f t="shared" si="0"/>
        <v>52.525531939815814</v>
      </c>
      <c r="M96">
        <f t="shared" si="40"/>
        <v>0</v>
      </c>
      <c r="N96" cm="1">
        <f t="array" ref="N96">IFERROR(VALUE(_xll.BDP($B96,"px_last")),"")</f>
        <v>461.24</v>
      </c>
      <c r="O96">
        <f t="shared" si="1"/>
        <v>6941.47</v>
      </c>
      <c r="P96" cm="1">
        <f t="array" ref="P96">IFERROR(VALUE(_xll.BDP($B96,"PX_YEST_CLOSE")),"")</f>
        <v>463.48</v>
      </c>
      <c r="Q96">
        <f t="shared" si="2"/>
        <v>6941.81</v>
      </c>
      <c r="R96">
        <f t="shared" si="41"/>
        <v>6.6447020587858188E-2</v>
      </c>
      <c r="S96">
        <f t="shared" si="42"/>
        <v>6.676644851991051E-2</v>
      </c>
      <c r="T96" cm="1">
        <f t="array" ref="T96">IFERROR(VALUE(_xll.BDP($B96,"INTERVAL_MAE_MOV_AVG","CALC_INTERVAL","520D","TECH_STUDIES_PARAM1_OVERRIDE",50,"USE_PREVIOUS_BUSINESS_DAY","N")),"")</f>
        <v>458.36899980468752</v>
      </c>
      <c r="U96">
        <f t="shared" si="3"/>
        <v>6894.0953999999992</v>
      </c>
      <c r="V96" cm="1">
        <f t="array" ref="V96">IFERROR(VALUE(_xll.BDP($B96,"INTERVAL_MAE_MOV_AVG","CALC_INTERVAL","520D","TECH_STUDIES_PARAM1_OVERRIDE",50,"USE_PREVIOUS_BUSINESS_DAY","Y")),"")</f>
        <v>457.81639999999999</v>
      </c>
      <c r="W96">
        <f t="shared" si="4"/>
        <v>6892.2477999999992</v>
      </c>
      <c r="X96">
        <f t="shared" si="43"/>
        <v>6.6487185513082331E-2</v>
      </c>
      <c r="Y96">
        <f t="shared" si="44"/>
        <v>6.6424831678280644E-2</v>
      </c>
      <c r="Z96" s="11" t="str">
        <f t="shared" si="45"/>
        <v>NEGATIVE</v>
      </c>
      <c r="AA96" s="11" t="str">
        <f t="shared" si="46"/>
        <v/>
      </c>
      <c r="AB96" s="11" t="str">
        <f t="shared" si="47"/>
        <v>UP</v>
      </c>
      <c r="AC96" s="6" t="str">
        <f t="shared" si="48"/>
        <v>SELL</v>
      </c>
      <c r="AD96" cm="1">
        <f t="array" ref="AD96">IFERROR(VALUE(_xll.BDP($B96,"INTERVAL_MAE_MOV_AVG","CALC_INTERVAL","520D","TECH_STUDIES_PARAM1_OVERRIDE",65,"USE_PREVIOUS_BUSINESS_DAY","N")),"")</f>
        <v>451.43769215745192</v>
      </c>
      <c r="AE96">
        <f t="shared" si="5"/>
        <v>6856.0226153846133</v>
      </c>
      <c r="AF96" cm="1">
        <f t="array" ref="AF96">IFERROR(VALUE(_xll.BDP($B96,"INTERVAL_MAE_MOV_AVG","CALC_INTERVAL","520D","TECH_STUDIES_PARAM1_OVERRIDE",65,"USE_PREVIOUS_BUSINESS_DAY","Y")),"")</f>
        <v>450.7455384615385</v>
      </c>
      <c r="AG96">
        <f t="shared" si="6"/>
        <v>6852.6203076923057</v>
      </c>
      <c r="AH96">
        <f t="shared" si="49"/>
        <v>6.584542051311873E-2</v>
      </c>
      <c r="AI96">
        <f t="shared" si="50"/>
        <v>6.5777106890857626E-2</v>
      </c>
      <c r="AJ96" s="10" t="str">
        <f t="shared" si="51"/>
        <v>UP</v>
      </c>
      <c r="AK96" s="10" t="str">
        <f t="shared" si="52"/>
        <v>UP</v>
      </c>
      <c r="AL96" s="6" t="str">
        <f t="shared" si="53"/>
        <v>POSITIVE</v>
      </c>
      <c r="AM96" cm="1">
        <f t="array" ref="AM96">IFERROR(VALUE(_xll.BDP($B96,"INTERVAL_MAE_MOV_AVG","CALC_INTERVAL","65W","PERIODICITY_OVERRIDE","W","TECH_STUDIES_PARAM1_OVERRIDE",39,"USE_PREVIOUS_BUSINESS_DAY","N")),"")</f>
        <v>434.21782026242005</v>
      </c>
      <c r="AN96">
        <f t="shared" si="7"/>
        <v>6560.7735897435905</v>
      </c>
      <c r="AO96" cm="1">
        <f t="array" ref="AO96">IFERROR(VALUE(_xll.BDP($B96,"INTERVAL_MAE_MOV_AVG","CALC_INTERVAL","65W","PERIODICITY_OVERRIDE","W","TECH_STUDIES_PARAM1_OVERRIDE",39,"USE_PREVIOUS_BUSINESS_DAY","Y")),"")</f>
        <v>434.27525641025659</v>
      </c>
      <c r="AP96">
        <f t="shared" si="8"/>
        <v>6560.7823076923087</v>
      </c>
      <c r="AQ96">
        <f t="shared" si="54"/>
        <v>6.6183936135401716E-2</v>
      </c>
      <c r="AR96">
        <f t="shared" si="55"/>
        <v>6.6192602656711022E-2</v>
      </c>
      <c r="AS96" s="10" t="str">
        <f t="shared" si="56"/>
        <v>DOWN</v>
      </c>
      <c r="AT96" s="10" t="str">
        <f t="shared" si="57"/>
        <v>DOWN</v>
      </c>
      <c r="AU96" s="6" t="str">
        <f t="shared" si="58"/>
        <v>POSITIVE</v>
      </c>
      <c r="AV96" cm="1">
        <f t="array" ref="AV96">IFERROR(VALUE(_xll.BDP($B96,"INTERVAL_exp_MOV_AVG","CALC_INTERVAL","520D","TECH_STUDIES_PARAM1_OVERRIDE",100,"USE_PREVIOUS_BUSINESS_DAY","N")),"")</f>
        <v>446.3467139777448</v>
      </c>
      <c r="AW96">
        <f t="shared" si="9"/>
        <v>6773.0064518682802</v>
      </c>
      <c r="AX96" cm="1">
        <f t="array" ref="AX96">IFERROR(VALUE(_xll.BDP($B96,"INTERVAL_exp_MOV_AVG","CALC_INTERVAL","520D","TECH_STUDIES_PARAM1_OVERRIDE",100,"USE_PREVIOUS_BUSINESS_DAY","Y")),"")</f>
        <v>446.045955476149</v>
      </c>
      <c r="AY96">
        <f t="shared" si="10"/>
        <v>6769.6039787132295</v>
      </c>
      <c r="AZ96">
        <f t="shared" si="59"/>
        <v>6.5900825157877055E-2</v>
      </c>
      <c r="BA96">
        <f t="shared" si="60"/>
        <v>6.5889519812196415E-2</v>
      </c>
      <c r="BB96" s="11" t="str">
        <f t="shared" si="61"/>
        <v>UP</v>
      </c>
      <c r="BC96" s="11" t="str">
        <f t="shared" si="62"/>
        <v>UP</v>
      </c>
      <c r="BD96" s="6" t="str">
        <f t="shared" si="63"/>
        <v>POSITIVE</v>
      </c>
      <c r="BE96" s="12" cm="1">
        <f t="array" ref="BE96">_xll.BDP($B96, "INTERVAL_RSI", "TECH_STUDIES_PARAM1_OVERRIDE", "5", "PERIODICITY_OVERRIDE", "W")</f>
        <v>51.273273728842518</v>
      </c>
      <c r="BF96" cm="1">
        <f t="array" ref="BF96">IFERROR(VALUE(_xll.BDP($B96,"INTERVAL_MAE_MOV_AVG","CALC_INTERVAL","520D","TECH_STUDIES_PARAM1_OVERRIDE",31,"USE_PREVIOUS_BUSINESS_DAY","N")),"")</f>
        <v>462.99645129788308</v>
      </c>
      <c r="BG96" cm="1">
        <f t="array" ref="BG96">IFERROR(VALUE(_xll.BDP($B96,"INTERVAL_MAE_MOV_AVG","CALC_INTERVAL","760D","TECH_STUDIES_PARAM1_OVERRIDE",200,"USE_PREVIOUS_BUSINESS_DAY","N")),"")</f>
        <v>435.78089995117199</v>
      </c>
      <c r="BH96" s="13">
        <f t="shared" si="64"/>
        <v>-3.7936603897489318E-3</v>
      </c>
      <c r="BI96" s="13">
        <f t="shared" si="65"/>
        <v>6.263513013610833E-3</v>
      </c>
      <c r="BJ96" s="13">
        <f t="shared" si="66"/>
        <v>5.8421789600417551E-2</v>
      </c>
      <c r="BK96" s="32" cm="1">
        <f t="array" ref="BK96">VALUE(_xll.BDP($B96,"INTERVAL_DATE_OF_CALC_HI","CALC_INTERVAL","3M"))</f>
        <v>46029</v>
      </c>
      <c r="BL96" s="32" cm="1">
        <f t="array" ref="BL96">VALUE(_xll.BDP($B96,"INTERVAL_DATE_OF_CALC_LO","CALC_INTERVAL","3M"))</f>
        <v>45980</v>
      </c>
      <c r="BM96" s="32" cm="1">
        <f t="array" ref="BM96">VALUE(_xll.BDP($B96,"INTERVAL_DATE_OF_CALC_HI","CALC_INTERVAL","1M"))</f>
        <v>46059</v>
      </c>
      <c r="BN96" s="32" cm="1">
        <f t="array" ref="BN96">VALUE(_xll.BDP($B96,"INTERVAL_DATE_OF_CALC_LO","CALC_INTERVAL","1M"))</f>
        <v>46037</v>
      </c>
      <c r="BO96" s="15">
        <f>IFERROR(VLOOKUP($F96,PIVOT!$A:$C,2,FALSE),0)</f>
        <v>0</v>
      </c>
      <c r="BP96" s="15">
        <f>IFERROR(VLOOKUP($F96,PIVOT!$A:$C,3,FALSE),0)</f>
        <v>0</v>
      </c>
      <c r="BQ96" s="15">
        <f t="shared" si="39"/>
        <v>48.599657895923677</v>
      </c>
    </row>
    <row r="97" spans="1:69" x14ac:dyDescent="0.25">
      <c r="A97">
        <v>96</v>
      </c>
      <c r="B97" t="s">
        <v>132</v>
      </c>
      <c r="J97" s="24"/>
      <c r="K97" s="15">
        <f>_xll.BDP($B97,"interval_rsi","tech_studies_param1_override",14)</f>
        <v>22.847821669634158</v>
      </c>
      <c r="L97" s="15">
        <f t="shared" si="0"/>
        <v>52.525531939815814</v>
      </c>
      <c r="M97">
        <f t="shared" si="40"/>
        <v>0</v>
      </c>
      <c r="N97" cm="1">
        <f t="array" ref="N97">IFERROR(VALUE(_xll.BDP($B97,"px_last")),"")</f>
        <v>144.55000000000001</v>
      </c>
      <c r="O97">
        <f t="shared" si="1"/>
        <v>6941.47</v>
      </c>
      <c r="P97" cm="1">
        <f t="array" ref="P97">IFERROR(VALUE(_xll.BDP($B97,"PX_YEST_CLOSE")),"")</f>
        <v>153.22999999999999</v>
      </c>
      <c r="Q97">
        <f t="shared" si="2"/>
        <v>6941.81</v>
      </c>
      <c r="R97">
        <f t="shared" si="41"/>
        <v>2.0824119386815762E-2</v>
      </c>
      <c r="S97">
        <f t="shared" si="42"/>
        <v>2.2073493800608197E-2</v>
      </c>
      <c r="T97" cm="1">
        <f t="array" ref="T97">IFERROR(VALUE(_xll.BDP($B97,"INTERVAL_MAE_MOV_AVG","CALC_INTERVAL","520D","TECH_STUDIES_PARAM1_OVERRIDE",50,"USE_PREVIOUS_BUSINESS_DAY","N")),"")</f>
        <v>199.46590006103514</v>
      </c>
      <c r="U97">
        <f t="shared" si="3"/>
        <v>6894.0953999999992</v>
      </c>
      <c r="V97" cm="1">
        <f t="array" ref="V97">IFERROR(VALUE(_xll.BDP($B97,"INTERVAL_MAE_MOV_AVG","CALC_INTERVAL","520D","TECH_STUDIES_PARAM1_OVERRIDE",50,"USE_PREVIOUS_BUSINESS_DAY","Y")),"")</f>
        <v>200.88729999999995</v>
      </c>
      <c r="W97">
        <f t="shared" si="4"/>
        <v>6892.2477999999992</v>
      </c>
      <c r="X97">
        <f t="shared" si="43"/>
        <v>2.8932860438954058E-2</v>
      </c>
      <c r="Y97">
        <f t="shared" si="44"/>
        <v>2.9146848144374609E-2</v>
      </c>
      <c r="Z97" s="11" t="str">
        <f t="shared" si="45"/>
        <v>NEGATIVE</v>
      </c>
      <c r="AA97" s="11" t="str">
        <f t="shared" si="46"/>
        <v/>
      </c>
      <c r="AB97" s="11" t="str">
        <f t="shared" si="47"/>
        <v>DOWN</v>
      </c>
      <c r="AC97" s="6" t="str">
        <f t="shared" si="48"/>
        <v>NEGATIVE</v>
      </c>
      <c r="AD97" cm="1">
        <f t="array" ref="AD97">IFERROR(VALUE(_xll.BDP($B97,"INTERVAL_MAE_MOV_AVG","CALC_INTERVAL","520D","TECH_STUDIES_PARAM1_OVERRIDE",65,"USE_PREVIOUS_BUSINESS_DAY","N")),"")</f>
        <v>205.25146158541165</v>
      </c>
      <c r="AE97">
        <f t="shared" si="5"/>
        <v>6856.0226153846133</v>
      </c>
      <c r="AF97" cm="1">
        <f t="array" ref="AF97">IFERROR(VALUE(_xll.BDP($B97,"INTERVAL_MAE_MOV_AVG","CALC_INTERVAL","520D","TECH_STUDIES_PARAM1_OVERRIDE",65,"USE_PREVIOUS_BUSINESS_DAY","Y")),"")</f>
        <v>206.4814615384615</v>
      </c>
      <c r="AG97">
        <f t="shared" si="6"/>
        <v>6852.6203076923057</v>
      </c>
      <c r="AH97">
        <f t="shared" si="49"/>
        <v>2.9937395644646269E-2</v>
      </c>
      <c r="AI97">
        <f t="shared" si="50"/>
        <v>3.013175285761548E-2</v>
      </c>
      <c r="AJ97" s="10" t="str">
        <f t="shared" si="51"/>
        <v>DOWN</v>
      </c>
      <c r="AK97" s="10" t="str">
        <f t="shared" si="52"/>
        <v>DOWN</v>
      </c>
      <c r="AL97" s="6" t="str">
        <f t="shared" si="53"/>
        <v>NEGATIVE</v>
      </c>
      <c r="AM97" cm="1">
        <f t="array" ref="AM97">IFERROR(VALUE(_xll.BDP($B97,"INTERVAL_MAE_MOV_AVG","CALC_INTERVAL","65W","PERIODICITY_OVERRIDE","W","TECH_STUDIES_PARAM1_OVERRIDE",39,"USE_PREVIOUS_BUSINESS_DAY","N")),"")</f>
        <v>222.94884623209629</v>
      </c>
      <c r="AN97">
        <f t="shared" si="7"/>
        <v>6560.7735897435905</v>
      </c>
      <c r="AO97" cm="1">
        <f t="array" ref="AO97">IFERROR(VALUE(_xll.BDP($B97,"INTERVAL_MAE_MOV_AVG","CALC_INTERVAL","65W","PERIODICITY_OVERRIDE","W","TECH_STUDIES_PARAM1_OVERRIDE",39,"USE_PREVIOUS_BUSINESS_DAY","Y")),"")</f>
        <v>223.17141025641024</v>
      </c>
      <c r="AP97">
        <f t="shared" si="8"/>
        <v>6560.7823076923087</v>
      </c>
      <c r="AQ97">
        <f t="shared" si="54"/>
        <v>3.3982097260699652E-2</v>
      </c>
      <c r="AR97">
        <f t="shared" si="55"/>
        <v>3.4015975502608715E-2</v>
      </c>
      <c r="AS97" s="10" t="str">
        <f t="shared" si="56"/>
        <v>DOWN</v>
      </c>
      <c r="AT97" s="10" t="str">
        <f t="shared" si="57"/>
        <v>DOWN</v>
      </c>
      <c r="AU97" s="6" t="str">
        <f t="shared" si="58"/>
        <v>NEGATIVE</v>
      </c>
      <c r="AV97" cm="1">
        <f t="array" ref="AV97">IFERROR(VALUE(_xll.BDP($B97,"INTERVAL_exp_MOV_AVG","CALC_INTERVAL","520D","TECH_STUDIES_PARAM1_OVERRIDE",100,"USE_PREVIOUS_BUSINESS_DAY","N")),"")</f>
        <v>208.05649477241204</v>
      </c>
      <c r="AW97">
        <f t="shared" si="9"/>
        <v>6773.0064518682802</v>
      </c>
      <c r="AX97" cm="1">
        <f t="array" ref="AX97">IFERROR(VALUE(_xll.BDP($B97,"INTERVAL_exp_MOV_AVG","CALC_INTERVAL","520D","TECH_STUDIES_PARAM1_OVERRIDE",100,"USE_PREVIOUS_BUSINESS_DAY","Y")),"")</f>
        <v>209.33944085540909</v>
      </c>
      <c r="AY97">
        <f t="shared" si="10"/>
        <v>6769.6039787132295</v>
      </c>
      <c r="AZ97">
        <f t="shared" si="59"/>
        <v>3.071848465684265E-2</v>
      </c>
      <c r="BA97">
        <f t="shared" si="60"/>
        <v>3.0923439763045114E-2</v>
      </c>
      <c r="BB97" s="11" t="str">
        <f t="shared" si="61"/>
        <v>DOWN</v>
      </c>
      <c r="BC97" s="11" t="str">
        <f t="shared" si="62"/>
        <v>DOWN</v>
      </c>
      <c r="BD97" s="6" t="str">
        <f t="shared" si="63"/>
        <v>NEGATIVE</v>
      </c>
      <c r="BE97" s="12" cm="1">
        <f t="array" ref="BE97">_xll.BDP($B97, "INTERVAL_RSI", "TECH_STUDIES_PARAM1_OVERRIDE", "5", "PERIODICITY_OVERRIDE", "W")</f>
        <v>7.2263428895227833</v>
      </c>
      <c r="BF97" cm="1">
        <f t="array" ref="BF97">IFERROR(VALUE(_xll.BDP($B97,"INTERVAL_MAE_MOV_AVG","CALC_INTERVAL","520D","TECH_STUDIES_PARAM1_OVERRIDE",31,"USE_PREVIOUS_BUSINESS_DAY","N")),"")</f>
        <v>187.94306461457285</v>
      </c>
      <c r="BG97" cm="1">
        <f t="array" ref="BG97">IFERROR(VALUE(_xll.BDP($B97,"INTERVAL_MAE_MOV_AVG","CALC_INTERVAL","760D","TECH_STUDIES_PARAM1_OVERRIDE",200,"USE_PREVIOUS_BUSINESS_DAY","N")),"")</f>
        <v>227.71520001525886</v>
      </c>
      <c r="BH97" s="13">
        <f t="shared" si="64"/>
        <v>-0.23088409622117123</v>
      </c>
      <c r="BI97" s="13">
        <f t="shared" si="65"/>
        <v>-0.27531472820282188</v>
      </c>
      <c r="BJ97" s="13">
        <f t="shared" si="66"/>
        <v>-0.36521584861127443</v>
      </c>
      <c r="BK97" s="32" cm="1">
        <f t="array" ref="BK97">VALUE(_xll.BDP($B97,"INTERVAL_DATE_OF_CALC_HI","CALC_INTERVAL","3M"))</f>
        <v>45986</v>
      </c>
      <c r="BL97" s="32" cm="1">
        <f t="array" ref="BL97">VALUE(_xll.BDP($B97,"INTERVAL_DATE_OF_CALC_LO","CALC_INTERVAL","3M"))</f>
        <v>46064</v>
      </c>
      <c r="BM97" s="32" cm="1">
        <f t="array" ref="BM97">VALUE(_xll.BDP($B97,"INTERVAL_DATE_OF_CALC_HI","CALC_INTERVAL","1M"))</f>
        <v>46034</v>
      </c>
      <c r="BN97" s="32" cm="1">
        <f t="array" ref="BN97">VALUE(_xll.BDP($B97,"INTERVAL_DATE_OF_CALC_LO","CALC_INTERVAL","1M"))</f>
        <v>46064</v>
      </c>
      <c r="BO97" s="15">
        <f>IFERROR(VLOOKUP($F97,PIVOT!$A:$C,2,FALSE),0)</f>
        <v>0</v>
      </c>
      <c r="BP97" s="15">
        <f>IFERROR(VLOOKUP($F97,PIVOT!$A:$C,3,FALSE),0)</f>
        <v>0</v>
      </c>
      <c r="BQ97" s="15">
        <f t="shared" si="39"/>
        <v>22.847821669634158</v>
      </c>
    </row>
    <row r="98" spans="1:69" x14ac:dyDescent="0.25">
      <c r="A98">
        <v>97</v>
      </c>
      <c r="B98" t="s">
        <v>133</v>
      </c>
      <c r="J98" s="24"/>
      <c r="K98" s="15">
        <f>_xll.BDP($B98,"interval_rsi","tech_studies_param1_override",14)</f>
        <v>58.986321743304799</v>
      </c>
      <c r="L98" s="15">
        <f t="shared" si="0"/>
        <v>52.525531939815814</v>
      </c>
      <c r="M98">
        <f t="shared" si="40"/>
        <v>0</v>
      </c>
      <c r="N98" cm="1">
        <f t="array" ref="N98">IFERROR(VALUE(_xll.BDP($B98,"px_last")),"")</f>
        <v>273.74</v>
      </c>
      <c r="O98">
        <f t="shared" si="1"/>
        <v>6941.47</v>
      </c>
      <c r="P98" cm="1">
        <f t="array" ref="P98">IFERROR(VALUE(_xll.BDP($B98,"PX_YEST_CLOSE")),"")</f>
        <v>262.56</v>
      </c>
      <c r="Q98">
        <f t="shared" si="2"/>
        <v>6941.81</v>
      </c>
      <c r="R98">
        <f t="shared" si="41"/>
        <v>3.9435450992369052E-2</v>
      </c>
      <c r="S98">
        <f t="shared" si="42"/>
        <v>3.7822988528928334E-2</v>
      </c>
      <c r="T98" cm="1">
        <f t="array" ref="T98">IFERROR(VALUE(_xll.BDP($B98,"INTERVAL_MAE_MOV_AVG","CALC_INTERVAL","520D","TECH_STUDIES_PARAM1_OVERRIDE",50,"USE_PREVIOUS_BUSINESS_DAY","N")),"")</f>
        <v>210.31180513748765</v>
      </c>
      <c r="U98">
        <f t="shared" si="3"/>
        <v>6894.0953999999992</v>
      </c>
      <c r="V98" cm="1">
        <f t="array" ref="V98">IFERROR(VALUE(_xll.BDP($B98,"INTERVAL_MAE_MOV_AVG","CALC_INTERVAL","520D","TECH_STUDIES_PARAM1_OVERRIDE",50,"USE_PREVIOUS_BUSINESS_DAY","Y")),"")</f>
        <v>208.10098225300015</v>
      </c>
      <c r="W98">
        <f t="shared" si="4"/>
        <v>6892.2477999999992</v>
      </c>
      <c r="X98">
        <f t="shared" si="43"/>
        <v>3.0506077002863591E-2</v>
      </c>
      <c r="Y98">
        <f t="shared" si="44"/>
        <v>3.0193485244828282E-2</v>
      </c>
      <c r="Z98" s="11" t="str">
        <f t="shared" si="45"/>
        <v>NEGATIVE</v>
      </c>
      <c r="AA98" s="11" t="str">
        <f t="shared" si="46"/>
        <v/>
      </c>
      <c r="AB98" s="11" t="str">
        <f t="shared" si="47"/>
        <v>UP</v>
      </c>
      <c r="AC98" s="6" t="str">
        <f t="shared" si="48"/>
        <v>POSITIVE</v>
      </c>
      <c r="AD98" cm="1">
        <f t="array" ref="AD98">IFERROR(VALUE(_xll.BDP($B98,"INTERVAL_MAE_MOV_AVG","CALC_INTERVAL","520D","TECH_STUDIES_PARAM1_OVERRIDE",65,"USE_PREVIOUS_BUSINESS_DAY","N")),"")</f>
        <v>198.12410251922125</v>
      </c>
      <c r="AE98">
        <f t="shared" si="5"/>
        <v>6856.0226153846133</v>
      </c>
      <c r="AF98" cm="1">
        <f t="array" ref="AF98">IFERROR(VALUE(_xll.BDP($B98,"INTERVAL_MAE_MOV_AVG","CALC_INTERVAL","520D","TECH_STUDIES_PARAM1_OVERRIDE",65,"USE_PREVIOUS_BUSINESS_DAY","Y")),"")</f>
        <v>196.42762004176936</v>
      </c>
      <c r="AG98">
        <f t="shared" si="6"/>
        <v>6852.6203076923057</v>
      </c>
      <c r="AH98">
        <f t="shared" si="49"/>
        <v>2.8897819280035552E-2</v>
      </c>
      <c r="AI98">
        <f t="shared" si="50"/>
        <v>2.8664599995606423E-2</v>
      </c>
      <c r="AJ98" s="10" t="str">
        <f t="shared" si="51"/>
        <v>UP</v>
      </c>
      <c r="AK98" s="10" t="str">
        <f t="shared" si="52"/>
        <v>UP</v>
      </c>
      <c r="AL98" s="6" t="str">
        <f t="shared" si="53"/>
        <v>POSITIVE</v>
      </c>
      <c r="AM98" cm="1">
        <f t="array" ref="AM98">IFERROR(VALUE(_xll.BDP($B98,"INTERVAL_MAE_MOV_AVG","CALC_INTERVAL","65W","PERIODICITY_OVERRIDE","W","TECH_STUDIES_PARAM1_OVERRIDE",39,"USE_PREVIOUS_BUSINESS_DAY","N")),"")</f>
        <v>128.83219454644643</v>
      </c>
      <c r="AN98">
        <f t="shared" si="7"/>
        <v>6560.7735897435905</v>
      </c>
      <c r="AO98" cm="1">
        <f t="array" ref="AO98">IFERROR(VALUE(_xll.BDP($B98,"INTERVAL_MAE_MOV_AVG","CALC_INTERVAL","65W","PERIODICITY_OVERRIDE","W","TECH_STUDIES_PARAM1_OVERRIDE",39,"USE_PREVIOUS_BUSINESS_DAY","Y")),"")</f>
        <v>128.5455281301804</v>
      </c>
      <c r="AP98">
        <f t="shared" si="8"/>
        <v>6560.7823076923087</v>
      </c>
      <c r="AQ98">
        <f t="shared" si="54"/>
        <v>1.9636738379121763E-2</v>
      </c>
      <c r="AR98">
        <f t="shared" si="55"/>
        <v>1.9593018347745642E-2</v>
      </c>
      <c r="AS98" s="10" t="str">
        <f t="shared" si="56"/>
        <v>UP</v>
      </c>
      <c r="AT98" s="10" t="str">
        <f t="shared" si="57"/>
        <v>UP</v>
      </c>
      <c r="AU98" s="6" t="str">
        <f t="shared" si="58"/>
        <v>POSITIVE</v>
      </c>
      <c r="AV98" cm="1">
        <f t="array" ref="AV98">IFERROR(VALUE(_xll.BDP($B98,"INTERVAL_exp_MOV_AVG","CALC_INTERVAL","520D","TECH_STUDIES_PARAM1_OVERRIDE",100,"USE_PREVIOUS_BUSINESS_DAY","N")),"")</f>
        <v>182.27239297730031</v>
      </c>
      <c r="AW98">
        <f t="shared" si="9"/>
        <v>6773.0064518682802</v>
      </c>
      <c r="AX98" cm="1">
        <f t="array" ref="AX98">IFERROR(VALUE(_xll.BDP($B98,"INTERVAL_exp_MOV_AVG","CALC_INTERVAL","520D","TECH_STUDIES_PARAM1_OVERRIDE",100,"USE_PREVIOUS_BUSINESS_DAY","Y")),"")</f>
        <v>180.42456062707393</v>
      </c>
      <c r="AY98">
        <f t="shared" si="10"/>
        <v>6769.6039787132295</v>
      </c>
      <c r="AZ98">
        <f t="shared" si="59"/>
        <v>2.6911592993835391E-2</v>
      </c>
      <c r="BA98">
        <f t="shared" si="60"/>
        <v>2.6652158855143125E-2</v>
      </c>
      <c r="BB98" s="11" t="str">
        <f t="shared" si="61"/>
        <v>UP</v>
      </c>
      <c r="BC98" s="11" t="str">
        <f t="shared" si="62"/>
        <v>UP</v>
      </c>
      <c r="BD98" s="6" t="str">
        <f t="shared" si="63"/>
        <v>POSITIVE</v>
      </c>
      <c r="BE98" s="12" cm="1">
        <f t="array" ref="BE98">_xll.BDP($B98, "INTERVAL_RSI", "TECH_STUDIES_PARAM1_OVERRIDE", "5", "PERIODICITY_OVERRIDE", "W")</f>
        <v>85.602913987034043</v>
      </c>
      <c r="BF98" cm="1">
        <f t="array" ref="BF98">IFERROR(VALUE(_xll.BDP($B98,"INTERVAL_MAE_MOV_AVG","CALC_INTERVAL","520D","TECH_STUDIES_PARAM1_OVERRIDE",31,"USE_PREVIOUS_BUSINESS_DAY","N")),"")</f>
        <v>233.45419323336699</v>
      </c>
      <c r="BG98" cm="1">
        <f t="array" ref="BG98">IFERROR(VALUE(_xll.BDP($B98,"INTERVAL_MAE_MOV_AVG","CALC_INTERVAL","760D","TECH_STUDIES_PARAM1_OVERRIDE",200,"USE_PREVIOUS_BUSINESS_DAY","N")),"")</f>
        <v>119.62268236066319</v>
      </c>
      <c r="BH98" s="13">
        <f t="shared" si="64"/>
        <v>0.17256407438508625</v>
      </c>
      <c r="BI98" s="13">
        <f t="shared" si="65"/>
        <v>0.30159122461550503</v>
      </c>
      <c r="BJ98" s="13">
        <f t="shared" si="66"/>
        <v>1.2883619945477571</v>
      </c>
      <c r="BK98" s="32" cm="1">
        <f t="array" ref="BK98">VALUE(_xll.BDP($B98,"INTERVAL_DATE_OF_CALC_HI","CALC_INTERVAL","3M"))</f>
        <v>46056</v>
      </c>
      <c r="BL98" s="32" cm="1">
        <f t="array" ref="BL98">VALUE(_xll.BDP($B98,"INTERVAL_DATE_OF_CALC_LO","CALC_INTERVAL","3M"))</f>
        <v>45982</v>
      </c>
      <c r="BM98" s="32" cm="1">
        <f t="array" ref="BM98">VALUE(_xll.BDP($B98,"INTERVAL_DATE_OF_CALC_HI","CALC_INTERVAL","1M"))</f>
        <v>46056</v>
      </c>
      <c r="BN98" s="32" cm="1">
        <f t="array" ref="BN98">VALUE(_xll.BDP($B98,"INTERVAL_DATE_OF_CALC_LO","CALC_INTERVAL","1M"))</f>
        <v>46034</v>
      </c>
      <c r="BO98" s="15">
        <f>IFERROR(VLOOKUP($F98,PIVOT!$A:$C,2,FALSE),0)</f>
        <v>0</v>
      </c>
      <c r="BP98" s="15">
        <f>IFERROR(VLOOKUP($F98,PIVOT!$A:$C,3,FALSE),0)</f>
        <v>0</v>
      </c>
      <c r="BQ98" s="15">
        <f t="shared" si="39"/>
        <v>58.986321743304799</v>
      </c>
    </row>
    <row r="99" spans="1:69" x14ac:dyDescent="0.25">
      <c r="A99">
        <v>98</v>
      </c>
      <c r="B99" t="s">
        <v>134</v>
      </c>
      <c r="J99" s="24"/>
      <c r="K99" s="15">
        <f>_xll.BDP($B99,"interval_rsi","tech_studies_param1_override",14)</f>
        <v>67.003644369069264</v>
      </c>
      <c r="L99" s="15">
        <f t="shared" si="0"/>
        <v>52.525531939815814</v>
      </c>
      <c r="M99">
        <f t="shared" si="40"/>
        <v>1</v>
      </c>
      <c r="N99" cm="1">
        <f t="array" ref="N99">IFERROR(VALUE(_xll.BDP($B99,"px_last")),"")</f>
        <v>128.77000000000001</v>
      </c>
      <c r="O99">
        <f t="shared" si="1"/>
        <v>6941.47</v>
      </c>
      <c r="P99" cm="1">
        <f t="array" ref="P99">IFERROR(VALUE(_xll.BDP($B99,"PX_YEST_CLOSE")),"")</f>
        <v>126.7</v>
      </c>
      <c r="Q99">
        <f t="shared" si="2"/>
        <v>6941.81</v>
      </c>
      <c r="R99">
        <f t="shared" si="41"/>
        <v>1.8550825689659396E-2</v>
      </c>
      <c r="S99">
        <f t="shared" si="42"/>
        <v>1.8251723974006779E-2</v>
      </c>
      <c r="T99" cm="1">
        <f t="array" ref="T99">IFERROR(VALUE(_xll.BDP($B99,"INTERVAL_MAE_MOV_AVG","CALC_INTERVAL","520D","TECH_STUDIES_PARAM1_OVERRIDE",50,"USE_PREVIOUS_BUSINESS_DAY","N")),"")</f>
        <v>117.22227786384921</v>
      </c>
      <c r="U99">
        <f t="shared" si="3"/>
        <v>6894.0953999999992</v>
      </c>
      <c r="V99" cm="1">
        <f t="array" ref="V99">IFERROR(VALUE(_xll.BDP($B99,"INTERVAL_MAE_MOV_AVG","CALC_INTERVAL","520D","TECH_STUDIES_PARAM1_OVERRIDE",50,"USE_PREVIOUS_BUSINESS_DAY","Y")),"")</f>
        <v>116.8525822316</v>
      </c>
      <c r="W99">
        <f t="shared" si="4"/>
        <v>6892.2477999999992</v>
      </c>
      <c r="X99">
        <f t="shared" si="43"/>
        <v>1.7003286299729654E-2</v>
      </c>
      <c r="Y99">
        <f t="shared" si="44"/>
        <v>1.6954205017352977E-2</v>
      </c>
      <c r="Z99" s="11" t="str">
        <f t="shared" si="45"/>
        <v>POSITIVE</v>
      </c>
      <c r="AA99" s="11" t="str">
        <f t="shared" si="46"/>
        <v/>
      </c>
      <c r="AB99" s="11" t="str">
        <f t="shared" si="47"/>
        <v>UP</v>
      </c>
      <c r="AC99" s="6" t="str">
        <f t="shared" si="48"/>
        <v>POSITIVE</v>
      </c>
      <c r="AD99" cm="1">
        <f t="array" ref="AD99">IFERROR(VALUE(_xll.BDP($B99,"INTERVAL_MAE_MOV_AVG","CALC_INTERVAL","520D","TECH_STUDIES_PARAM1_OVERRIDE",65,"USE_PREVIOUS_BUSINESS_DAY","N")),"")</f>
        <v>114.19831945465324</v>
      </c>
      <c r="AE99">
        <f t="shared" si="5"/>
        <v>6856.0226153846133</v>
      </c>
      <c r="AF99" cm="1">
        <f t="array" ref="AF99">IFERROR(VALUE(_xll.BDP($B99,"INTERVAL_MAE_MOV_AVG","CALC_INTERVAL","520D","TECH_STUDIES_PARAM1_OVERRIDE",65,"USE_PREVIOUS_BUSINESS_DAY","Y")),"")</f>
        <v>113.77836835630769</v>
      </c>
      <c r="AG99">
        <f t="shared" si="6"/>
        <v>6852.6203076923057</v>
      </c>
      <c r="AH99">
        <f t="shared" si="49"/>
        <v>1.6656642759374399E-2</v>
      </c>
      <c r="AI99">
        <f t="shared" si="50"/>
        <v>1.660362945085218E-2</v>
      </c>
      <c r="AJ99" s="10" t="str">
        <f t="shared" si="51"/>
        <v>UP</v>
      </c>
      <c r="AK99" s="10" t="str">
        <f t="shared" si="52"/>
        <v>UP</v>
      </c>
      <c r="AL99" s="6" t="str">
        <f t="shared" si="53"/>
        <v>POSITIVE</v>
      </c>
      <c r="AM99" cm="1">
        <f t="array" ref="AM99">IFERROR(VALUE(_xll.BDP($B99,"INTERVAL_MAE_MOV_AVG","CALC_INTERVAL","65W","PERIODICITY_OVERRIDE","W","TECH_STUDIES_PARAM1_OVERRIDE",39,"USE_PREVIOUS_BUSINESS_DAY","N")),"")</f>
        <v>105.23340040456235</v>
      </c>
      <c r="AN99">
        <f t="shared" si="7"/>
        <v>6560.7735897435905</v>
      </c>
      <c r="AO99" cm="1">
        <f t="array" ref="AO99">IFERROR(VALUE(_xll.BDP($B99,"INTERVAL_MAE_MOV_AVG","CALC_INTERVAL","65W","PERIODICITY_OVERRIDE","W","TECH_STUDIES_PARAM1_OVERRIDE",39,"USE_PREVIOUS_BUSINESS_DAY","Y")),"")</f>
        <v>105.18032337193513</v>
      </c>
      <c r="AP99">
        <f t="shared" si="8"/>
        <v>6560.7823076923087</v>
      </c>
      <c r="AQ99">
        <f t="shared" si="54"/>
        <v>1.6039785394983443E-2</v>
      </c>
      <c r="AR99">
        <f t="shared" si="55"/>
        <v>1.6031674035063555E-2</v>
      </c>
      <c r="AS99" s="10" t="str">
        <f t="shared" si="56"/>
        <v>UP</v>
      </c>
      <c r="AT99" s="10" t="str">
        <f t="shared" si="57"/>
        <v>UP</v>
      </c>
      <c r="AU99" s="6" t="str">
        <f t="shared" si="58"/>
        <v>POSITIVE</v>
      </c>
      <c r="AV99" cm="1">
        <f t="array" ref="AV99">IFERROR(VALUE(_xll.BDP($B99,"INTERVAL_exp_MOV_AVG","CALC_INTERVAL","520D","TECH_STUDIES_PARAM1_OVERRIDE",100,"USE_PREVIOUS_BUSINESS_DAY","N")),"")</f>
        <v>112.22552590790215</v>
      </c>
      <c r="AW99">
        <f t="shared" si="9"/>
        <v>6773.0064518682802</v>
      </c>
      <c r="AX99" cm="1">
        <f t="array" ref="AX99">IFERROR(VALUE(_xll.BDP($B99,"INTERVAL_exp_MOV_AVG","CALC_INTERVAL","520D","TECH_STUDIES_PARAM1_OVERRIDE",100,"USE_PREVIOUS_BUSINESS_DAY","Y")),"")</f>
        <v>111.89130171777316</v>
      </c>
      <c r="AY99">
        <f t="shared" si="10"/>
        <v>6769.6039787132295</v>
      </c>
      <c r="AZ99">
        <f t="shared" si="59"/>
        <v>1.6569528865123941E-2</v>
      </c>
      <c r="BA99">
        <f t="shared" si="60"/>
        <v>1.6528485576056035E-2</v>
      </c>
      <c r="BB99" s="11" t="str">
        <f t="shared" si="61"/>
        <v>UP</v>
      </c>
      <c r="BC99" s="11" t="str">
        <f t="shared" si="62"/>
        <v>UP</v>
      </c>
      <c r="BD99" s="6" t="str">
        <f t="shared" si="63"/>
        <v>POSITIVE</v>
      </c>
      <c r="BE99" s="12" cm="1">
        <f t="array" ref="BE99">_xll.BDP($B99, "INTERVAL_RSI", "TECH_STUDIES_PARAM1_OVERRIDE", "5", "PERIODICITY_OVERRIDE", "W")</f>
        <v>76.530419260536561</v>
      </c>
      <c r="BF99" cm="1">
        <f t="array" ref="BF99">IFERROR(VALUE(_xll.BDP($B99,"INTERVAL_MAE_MOV_AVG","CALC_INTERVAL","520D","TECH_STUDIES_PARAM1_OVERRIDE",31,"USE_PREVIOUS_BUSINESS_DAY","N")),"")</f>
        <v>119.25709691201487</v>
      </c>
      <c r="BG99" cm="1">
        <f t="array" ref="BG99">IFERROR(VALUE(_xll.BDP($B99,"INTERVAL_MAE_MOV_AVG","CALC_INTERVAL","760D","TECH_STUDIES_PARAM1_OVERRIDE",200,"USE_PREVIOUS_BUSINESS_DAY","N")),"")</f>
        <v>104.12605299184783</v>
      </c>
      <c r="BH99" s="13">
        <f t="shared" si="64"/>
        <v>7.9768025000671816E-2</v>
      </c>
      <c r="BI99" s="13">
        <f t="shared" si="65"/>
        <v>9.8511326913158781E-2</v>
      </c>
      <c r="BJ99" s="13">
        <f t="shared" si="66"/>
        <v>0.23667416847233791</v>
      </c>
      <c r="BK99" s="32" cm="1">
        <f t="array" ref="BK99">VALUE(_xll.BDP($B99,"INTERVAL_DATE_OF_CALC_HI","CALC_INTERVAL","3M"))</f>
        <v>46059</v>
      </c>
      <c r="BL99" s="32" cm="1">
        <f t="array" ref="BL99">VALUE(_xll.BDP($B99,"INTERVAL_DATE_OF_CALC_LO","CALC_INTERVAL","3M"))</f>
        <v>45980</v>
      </c>
      <c r="BM99" s="32" cm="1">
        <f t="array" ref="BM99">VALUE(_xll.BDP($B99,"INTERVAL_DATE_OF_CALC_HI","CALC_INTERVAL","1M"))</f>
        <v>46059</v>
      </c>
      <c r="BN99" s="32" cm="1">
        <f t="array" ref="BN99">VALUE(_xll.BDP($B99,"INTERVAL_DATE_OF_CALC_LO","CALC_INTERVAL","1M"))</f>
        <v>46050</v>
      </c>
      <c r="BO99" s="15">
        <f>IFERROR(VLOOKUP($F99,PIVOT!$A:$C,2,FALSE),0)</f>
        <v>0</v>
      </c>
      <c r="BP99" s="15">
        <f>IFERROR(VLOOKUP($F99,PIVOT!$A:$C,3,FALSE),0)</f>
        <v>0</v>
      </c>
      <c r="BQ99" s="15">
        <f t="shared" si="39"/>
        <v>67.003644369069264</v>
      </c>
    </row>
    <row r="100" spans="1:69" x14ac:dyDescent="0.25">
      <c r="A100">
        <v>99</v>
      </c>
      <c r="B100" t="s">
        <v>136</v>
      </c>
      <c r="J100" s="24"/>
      <c r="K100" s="15">
        <f>_xll.BDP($B100,"interval_rsi","tech_studies_param1_override",14)</f>
        <v>63.138372526797447</v>
      </c>
      <c r="L100" s="15">
        <f t="shared" si="0"/>
        <v>52.525531939815814</v>
      </c>
      <c r="M100">
        <f t="shared" si="40"/>
        <v>1</v>
      </c>
      <c r="N100" cm="1">
        <f t="array" ref="N100">IFERROR(VALUE(_xll.BDP($B100,"px_last")),"")</f>
        <v>77.92</v>
      </c>
      <c r="O100">
        <f t="shared" si="1"/>
        <v>6941.47</v>
      </c>
      <c r="P100" cm="1">
        <f t="array" ref="P100">IFERROR(VALUE(_xll.BDP($B100,"PX_YEST_CLOSE")),"")</f>
        <v>77.5</v>
      </c>
      <c r="Q100">
        <f t="shared" si="2"/>
        <v>6941.81</v>
      </c>
      <c r="R100">
        <f t="shared" si="41"/>
        <v>1.1225288015362741E-2</v>
      </c>
      <c r="S100">
        <f t="shared" si="42"/>
        <v>1.1164235264289861E-2</v>
      </c>
      <c r="T100" cm="1">
        <f t="array" ref="T100">IFERROR(VALUE(_xll.BDP($B100,"INTERVAL_MAE_MOV_AVG","CALC_INTERVAL","520D","TECH_STUDIES_PARAM1_OVERRIDE",50,"USE_PREVIOUS_BUSINESS_DAY","N")),"")</f>
        <v>75.176054728378915</v>
      </c>
      <c r="U100">
        <f t="shared" si="3"/>
        <v>6894.0953999999992</v>
      </c>
      <c r="V100" cm="1">
        <f t="array" ref="V100">IFERROR(VALUE(_xll.BDP($B100,"INTERVAL_MAE_MOV_AVG","CALC_INTERVAL","520D","TECH_STUDIES_PARAM1_OVERRIDE",50,"USE_PREVIOUS_BUSINESS_DAY","Y")),"")</f>
        <v>75.24727715520001</v>
      </c>
      <c r="W100">
        <f t="shared" si="4"/>
        <v>6892.2477999999992</v>
      </c>
      <c r="X100">
        <f t="shared" si="43"/>
        <v>1.0904411727226594E-2</v>
      </c>
      <c r="Y100">
        <f t="shared" si="44"/>
        <v>1.0917668566008324E-2</v>
      </c>
      <c r="Z100" s="11" t="str">
        <f t="shared" si="45"/>
        <v>POSITIVE</v>
      </c>
      <c r="AA100" s="11" t="str">
        <f t="shared" si="46"/>
        <v/>
      </c>
      <c r="AB100" s="11" t="str">
        <f t="shared" si="47"/>
        <v>DOWN</v>
      </c>
      <c r="AC100" s="6" t="str">
        <f t="shared" si="48"/>
        <v>POSITIVE</v>
      </c>
      <c r="AD100" cm="1">
        <f t="array" ref="AD100">IFERROR(VALUE(_xll.BDP($B100,"INTERVAL_MAE_MOV_AVG","CALC_INTERVAL","520D","TECH_STUDIES_PARAM1_OVERRIDE",65,"USE_PREVIOUS_BUSINESS_DAY","N")),"")</f>
        <v>76.286193013522251</v>
      </c>
      <c r="AE100">
        <f t="shared" si="5"/>
        <v>6856.0226153846133</v>
      </c>
      <c r="AF100" cm="1">
        <f t="array" ref="AF100">IFERROR(VALUE(_xll.BDP($B100,"INTERVAL_MAE_MOV_AVG","CALC_INTERVAL","520D","TECH_STUDIES_PARAM1_OVERRIDE",65,"USE_PREVIOUS_BUSINESS_DAY","Y")),"")</f>
        <v>76.317010643846174</v>
      </c>
      <c r="AG100">
        <f t="shared" si="6"/>
        <v>6852.6203076923057</v>
      </c>
      <c r="AH100">
        <f t="shared" si="49"/>
        <v>1.1126887598407185E-2</v>
      </c>
      <c r="AI100">
        <f t="shared" si="50"/>
        <v>1.1136909272235275E-2</v>
      </c>
      <c r="AJ100" s="10" t="str">
        <f t="shared" si="51"/>
        <v>DOWN</v>
      </c>
      <c r="AK100" s="10" t="str">
        <f t="shared" si="52"/>
        <v>DOWN</v>
      </c>
      <c r="AL100" s="6" t="str">
        <f t="shared" si="53"/>
        <v>POSITIVE</v>
      </c>
      <c r="AM100" cm="1">
        <f t="array" ref="AM100">IFERROR(VALUE(_xll.BDP($B100,"INTERVAL_MAE_MOV_AVG","CALC_INTERVAL","65W","PERIODICITY_OVERRIDE","W","TECH_STUDIES_PARAM1_OVERRIDE",39,"USE_PREVIOUS_BUSINESS_DAY","N")),"")</f>
        <v>73.84321001182424</v>
      </c>
      <c r="AN100">
        <f t="shared" si="7"/>
        <v>6560.7735897435905</v>
      </c>
      <c r="AO100" cm="1">
        <f t="array" ref="AO100">IFERROR(VALUE(_xll.BDP($B100,"INTERVAL_MAE_MOV_AVG","CALC_INTERVAL","65W","PERIODICITY_OVERRIDE","W","TECH_STUDIES_PARAM1_OVERRIDE",39,"USE_PREVIOUS_BUSINESS_DAY","Y")),"")</f>
        <v>73.832440828005133</v>
      </c>
      <c r="AP100">
        <f t="shared" si="8"/>
        <v>6560.7823076923087</v>
      </c>
      <c r="AQ100">
        <f t="shared" si="54"/>
        <v>1.1255259612565016E-2</v>
      </c>
      <c r="AR100">
        <f t="shared" si="55"/>
        <v>1.1253603208483072E-2</v>
      </c>
      <c r="AS100" s="10" t="str">
        <f t="shared" si="56"/>
        <v>UP</v>
      </c>
      <c r="AT100" s="10" t="str">
        <f t="shared" si="57"/>
        <v>UP</v>
      </c>
      <c r="AU100" s="6" t="str">
        <f t="shared" si="58"/>
        <v>NEGATIVE</v>
      </c>
      <c r="AV100" cm="1">
        <f t="array" ref="AV100">IFERROR(VALUE(_xll.BDP($B100,"INTERVAL_exp_MOV_AVG","CALC_INTERVAL","520D","TECH_STUDIES_PARAM1_OVERRIDE",100,"USE_PREVIOUS_BUSINESS_DAY","N")),"")</f>
        <v>75.573343436180664</v>
      </c>
      <c r="AW100">
        <f t="shared" si="9"/>
        <v>6773.0064518682802</v>
      </c>
      <c r="AX100" cm="1">
        <f t="array" ref="AX100">IFERROR(VALUE(_xll.BDP($B100,"INTERVAL_exp_MOV_AVG","CALC_INTERVAL","520D","TECH_STUDIES_PARAM1_OVERRIDE",100,"USE_PREVIOUS_BUSINESS_DAY","Y")),"")</f>
        <v>75.525960004561043</v>
      </c>
      <c r="AY100">
        <f t="shared" si="10"/>
        <v>6769.6039787132295</v>
      </c>
      <c r="AZ100">
        <f t="shared" si="59"/>
        <v>1.1158020293238367E-2</v>
      </c>
      <c r="BA100">
        <f t="shared" si="60"/>
        <v>1.1156628990713437E-2</v>
      </c>
      <c r="BB100" s="11" t="str">
        <f t="shared" si="61"/>
        <v>UP</v>
      </c>
      <c r="BC100" s="11" t="str">
        <f t="shared" si="62"/>
        <v>UP</v>
      </c>
      <c r="BD100" s="6" t="str">
        <f t="shared" si="63"/>
        <v>POSITIVE</v>
      </c>
      <c r="BE100" s="12" cm="1">
        <f t="array" ref="BE100">_xll.BDP($B100, "INTERVAL_RSI", "TECH_STUDIES_PARAM1_OVERRIDE", "5", "PERIODICITY_OVERRIDE", "W")</f>
        <v>68.67582547977004</v>
      </c>
      <c r="BF100" cm="1">
        <f t="array" ref="BF100">IFERROR(VALUE(_xll.BDP($B100,"INTERVAL_MAE_MOV_AVG","CALC_INTERVAL","520D","TECH_STUDIES_PARAM1_OVERRIDE",31,"USE_PREVIOUS_BUSINESS_DAY","N")),"")</f>
        <v>75.37193542480469</v>
      </c>
      <c r="BG100" cm="1">
        <f t="array" ref="BG100">IFERROR(VALUE(_xll.BDP($B100,"INTERVAL_MAE_MOV_AVG","CALC_INTERVAL","760D","TECH_STUDIES_PARAM1_OVERRIDE",200,"USE_PREVIOUS_BUSINESS_DAY","N")),"")</f>
        <v>73.354991507588124</v>
      </c>
      <c r="BH100" s="13">
        <f t="shared" si="64"/>
        <v>3.3806542990227451E-2</v>
      </c>
      <c r="BI100" s="13">
        <f t="shared" si="65"/>
        <v>3.6500256385298746E-2</v>
      </c>
      <c r="BJ100" s="13">
        <f t="shared" si="66"/>
        <v>6.2231736363021151E-2</v>
      </c>
      <c r="BK100" s="32" cm="1">
        <f t="array" ref="BK100">VALUE(_xll.BDP($B100,"INTERVAL_DATE_OF_CALC_HI","CALC_INTERVAL","3M"))</f>
        <v>45989</v>
      </c>
      <c r="BL100" s="32" cm="1">
        <f t="array" ref="BL100">VALUE(_xll.BDP($B100,"INTERVAL_DATE_OF_CALC_LO","CALC_INTERVAL","3M"))</f>
        <v>46010</v>
      </c>
      <c r="BM100" s="32" cm="1">
        <f t="array" ref="BM100">VALUE(_xll.BDP($B100,"INTERVAL_DATE_OF_CALC_HI","CALC_INTERVAL","1M"))</f>
        <v>46064</v>
      </c>
      <c r="BN100" s="32" cm="1">
        <f t="array" ref="BN100">VALUE(_xll.BDP($B100,"INTERVAL_DATE_OF_CALC_LO","CALC_INTERVAL","1M"))</f>
        <v>46034</v>
      </c>
      <c r="BO100" s="15">
        <f>IFERROR(VLOOKUP($F100,PIVOT!$A:$C,2,FALSE),0)</f>
        <v>0</v>
      </c>
      <c r="BP100" s="15">
        <f>IFERROR(VLOOKUP($F100,PIVOT!$A:$C,3,FALSE),0)</f>
        <v>0</v>
      </c>
      <c r="BQ100" s="15">
        <f t="shared" si="39"/>
        <v>63.138372526797447</v>
      </c>
    </row>
    <row r="101" spans="1:69" x14ac:dyDescent="0.25">
      <c r="A101">
        <v>100</v>
      </c>
      <c r="B101" t="s">
        <v>140</v>
      </c>
      <c r="J101" s="24"/>
      <c r="K101" s="15">
        <f>_xll.BDP($B101,"interval_rsi","tech_studies_param1_override",14)</f>
        <v>25.654009655200767</v>
      </c>
      <c r="L101" s="15">
        <f t="shared" si="0"/>
        <v>52.525531939815814</v>
      </c>
      <c r="M101">
        <f t="shared" si="40"/>
        <v>0</v>
      </c>
      <c r="N101" cm="1">
        <f t="array" ref="N101">IFERROR(VALUE(_xll.BDP($B101,"px_last")),"")</f>
        <v>171</v>
      </c>
      <c r="O101">
        <f t="shared" si="1"/>
        <v>6941.47</v>
      </c>
      <c r="P101" cm="1">
        <f t="array" ref="P101">IFERROR(VALUE(_xll.BDP($B101,"PX_YEST_CLOSE")),"")</f>
        <v>174.34</v>
      </c>
      <c r="Q101">
        <f t="shared" si="2"/>
        <v>6941.81</v>
      </c>
      <c r="R101">
        <f t="shared" si="41"/>
        <v>2.4634551471086095E-2</v>
      </c>
      <c r="S101">
        <f t="shared" si="42"/>
        <v>2.5114487431952184E-2</v>
      </c>
      <c r="T101" cm="1">
        <f t="array" ref="T101">IFERROR(VALUE(_xll.BDP($B101,"INTERVAL_MAE_MOV_AVG","CALC_INTERVAL","520D","TECH_STUDIES_PARAM1_OVERRIDE",50,"USE_PREVIOUS_BUSINESS_DAY","N")),"")</f>
        <v>217.83970000000005</v>
      </c>
      <c r="U101">
        <f t="shared" si="3"/>
        <v>6894.0953999999992</v>
      </c>
      <c r="V101" cm="1">
        <f t="array" ref="V101">IFERROR(VALUE(_xll.BDP($B101,"INTERVAL_MAE_MOV_AVG","CALC_INTERVAL","520D","TECH_STUDIES_PARAM1_OVERRIDE",50,"USE_PREVIOUS_BUSINESS_DAY","Y")),"")</f>
        <v>219.44970000000006</v>
      </c>
      <c r="W101">
        <f t="shared" si="4"/>
        <v>6892.2477999999992</v>
      </c>
      <c r="X101">
        <f t="shared" si="43"/>
        <v>3.1598010668665841E-2</v>
      </c>
      <c r="Y101">
        <f t="shared" si="44"/>
        <v>3.1840076904954009E-2</v>
      </c>
      <c r="Z101" s="11" t="str">
        <f t="shared" si="45"/>
        <v>NEGATIVE</v>
      </c>
      <c r="AA101" s="11" t="str">
        <f t="shared" si="46"/>
        <v/>
      </c>
      <c r="AB101" s="11" t="str">
        <f t="shared" si="47"/>
        <v>DOWN</v>
      </c>
      <c r="AC101" s="6" t="str">
        <f t="shared" si="48"/>
        <v>NEGATIVE</v>
      </c>
      <c r="AD101" cm="1">
        <f t="array" ref="AD101">IFERROR(VALUE(_xll.BDP($B101,"INTERVAL_MAE_MOV_AVG","CALC_INTERVAL","520D","TECH_STUDIES_PARAM1_OVERRIDE",65,"USE_PREVIOUS_BUSINESS_DAY","N")),"")</f>
        <v>235.46838461538468</v>
      </c>
      <c r="AE101">
        <f t="shared" si="5"/>
        <v>6856.0226153846133</v>
      </c>
      <c r="AF101" cm="1">
        <f t="array" ref="AF101">IFERROR(VALUE(_xll.BDP($B101,"INTERVAL_MAE_MOV_AVG","CALC_INTERVAL","520D","TECH_STUDIES_PARAM1_OVERRIDE",65,"USE_PREVIOUS_BUSINESS_DAY","Y")),"")</f>
        <v>237.72869230769237</v>
      </c>
      <c r="AG101">
        <f t="shared" si="6"/>
        <v>6852.6203076923057</v>
      </c>
      <c r="AH101">
        <f t="shared" si="49"/>
        <v>3.4344750276494709E-2</v>
      </c>
      <c r="AI101">
        <f t="shared" si="50"/>
        <v>3.4691648104424176E-2</v>
      </c>
      <c r="AJ101" s="10" t="str">
        <f t="shared" si="51"/>
        <v>DOWN</v>
      </c>
      <c r="AK101" s="10" t="str">
        <f t="shared" si="52"/>
        <v>DOWN</v>
      </c>
      <c r="AL101" s="6" t="str">
        <f t="shared" si="53"/>
        <v>NEGATIVE</v>
      </c>
      <c r="AM101" cm="1">
        <f t="array" ref="AM101">IFERROR(VALUE(_xll.BDP($B101,"INTERVAL_MAE_MOV_AVG","CALC_INTERVAL","65W","PERIODICITY_OVERRIDE","W","TECH_STUDIES_PARAM1_OVERRIDE",39,"USE_PREVIOUS_BUSINESS_DAY","N")),"")</f>
        <v>269.49192307692311</v>
      </c>
      <c r="AN101">
        <f t="shared" si="7"/>
        <v>6560.7735897435905</v>
      </c>
      <c r="AO101" cm="1">
        <f t="array" ref="AO101">IFERROR(VALUE(_xll.BDP($B101,"INTERVAL_MAE_MOV_AVG","CALC_INTERVAL","65W","PERIODICITY_OVERRIDE","W","TECH_STUDIES_PARAM1_OVERRIDE",39,"USE_PREVIOUS_BUSINESS_DAY","Y")),"")</f>
        <v>269.57756410256411</v>
      </c>
      <c r="AP101">
        <f t="shared" si="8"/>
        <v>6560.7823076923087</v>
      </c>
      <c r="AQ101">
        <f t="shared" si="54"/>
        <v>4.1076241908152095E-2</v>
      </c>
      <c r="AR101">
        <f t="shared" si="55"/>
        <v>4.10892408038738E-2</v>
      </c>
      <c r="AS101" s="10" t="str">
        <f t="shared" si="56"/>
        <v>DOWN</v>
      </c>
      <c r="AT101" s="10" t="str">
        <f t="shared" si="57"/>
        <v>DOWN</v>
      </c>
      <c r="AU101" s="6" t="str">
        <f t="shared" si="58"/>
        <v>NEGATIVE</v>
      </c>
      <c r="AV101" cm="1">
        <f t="array" ref="AV101">IFERROR(VALUE(_xll.BDP($B101,"INTERVAL_exp_MOV_AVG","CALC_INTERVAL","520D","TECH_STUDIES_PARAM1_OVERRIDE",100,"USE_PREVIOUS_BUSINESS_DAY","N")),"")</f>
        <v>241.14128726552724</v>
      </c>
      <c r="AW101">
        <f t="shared" si="9"/>
        <v>6773.0064518682802</v>
      </c>
      <c r="AX101" cm="1">
        <f t="array" ref="AX101">IFERROR(VALUE(_xll.BDP($B101,"INTERVAL_exp_MOV_AVG","CALC_INTERVAL","520D","TECH_STUDIES_PARAM1_OVERRIDE",100,"USE_PREVIOUS_BUSINESS_DAY","Y")),"")</f>
        <v>242.55849556801502</v>
      </c>
      <c r="AY101">
        <f t="shared" si="10"/>
        <v>6769.6039787132295</v>
      </c>
      <c r="AZ101">
        <f t="shared" si="59"/>
        <v>3.5603286218487261E-2</v>
      </c>
      <c r="BA101">
        <f t="shared" si="60"/>
        <v>3.5830529574659209E-2</v>
      </c>
      <c r="BB101" s="11" t="str">
        <f t="shared" si="61"/>
        <v>DOWN</v>
      </c>
      <c r="BC101" s="11" t="str">
        <f t="shared" si="62"/>
        <v>DOWN</v>
      </c>
      <c r="BD101" s="6" t="str">
        <f t="shared" si="63"/>
        <v>NEGATIVE</v>
      </c>
      <c r="BE101" s="12" cm="1">
        <f t="array" ref="BE101">_xll.BDP($B101, "INTERVAL_RSI", "TECH_STUDIES_PARAM1_OVERRIDE", "5", "PERIODICITY_OVERRIDE", "W")</f>
        <v>9.5593212423554661</v>
      </c>
      <c r="BF101" cm="1">
        <f t="array" ref="BF101">IFERROR(VALUE(_xll.BDP($B101,"INTERVAL_MAE_MOV_AVG","CALC_INTERVAL","520D","TECH_STUDIES_PARAM1_OVERRIDE",31,"USE_PREVIOUS_BUSINESS_DAY","N")),"")</f>
        <v>206.27887096774191</v>
      </c>
      <c r="BG101" cm="1">
        <f t="array" ref="BG101">IFERROR(VALUE(_xll.BDP($B101,"INTERVAL_MAE_MOV_AVG","CALC_INTERVAL","760D","TECH_STUDIES_PARAM1_OVERRIDE",200,"USE_PREVIOUS_BUSINESS_DAY","N")),"")</f>
        <v>269.64907499999993</v>
      </c>
      <c r="BH101" s="13">
        <f t="shared" si="64"/>
        <v>-0.17102513118398277</v>
      </c>
      <c r="BI101" s="13">
        <f t="shared" si="65"/>
        <v>-0.21501911726834011</v>
      </c>
      <c r="BJ101" s="13">
        <f t="shared" si="66"/>
        <v>-0.36584243799093308</v>
      </c>
      <c r="BK101" s="32" cm="1">
        <f t="array" ref="BK101">VALUE(_xll.BDP($B101,"INTERVAL_DATE_OF_CALC_HI","CALC_INTERVAL","3M"))</f>
        <v>45972</v>
      </c>
      <c r="BL101" s="32" cm="1">
        <f t="array" ref="BL101">VALUE(_xll.BDP($B101,"INTERVAL_DATE_OF_CALC_LO","CALC_INTERVAL","3M"))</f>
        <v>46059</v>
      </c>
      <c r="BM101" s="32" cm="1">
        <f t="array" ref="BM101">VALUE(_xll.BDP($B101,"INTERVAL_DATE_OF_CALC_HI","CALC_INTERVAL","1M"))</f>
        <v>46049</v>
      </c>
      <c r="BN101" s="32" cm="1">
        <f t="array" ref="BN101">VALUE(_xll.BDP($B101,"INTERVAL_DATE_OF_CALC_LO","CALC_INTERVAL","1M"))</f>
        <v>46059</v>
      </c>
      <c r="BO101" s="15">
        <f>IFERROR(VLOOKUP($F101,PIVOT!$A:$C,2,FALSE),0)</f>
        <v>0</v>
      </c>
      <c r="BP101" s="15">
        <f>IFERROR(VLOOKUP($F101,PIVOT!$A:$C,3,FALSE),0)</f>
        <v>0</v>
      </c>
      <c r="BQ101" s="15">
        <f t="shared" si="39"/>
        <v>25.654009655200767</v>
      </c>
    </row>
  </sheetData>
  <autoFilter ref="A1:BQ101" xr:uid="{EBEE43CC-D2D7-4610-AEF5-271952266BE6}"/>
  <conditionalFormatting sqref="AC2:AC101 AL2:AL101 AU2:AU101">
    <cfRule type="containsText" dxfId="21" priority="7" operator="containsText" text="SELL">
      <formula>NOT(ISERROR(SEARCH("SELL",AC2)))</formula>
    </cfRule>
    <cfRule type="containsText" dxfId="20" priority="8" operator="containsText" text="BUY">
      <formula>NOT(ISERROR(SEARCH("BUY",AC2)))</formula>
    </cfRule>
  </conditionalFormatting>
  <conditionalFormatting sqref="BD2:BD101">
    <cfRule type="containsText" dxfId="19" priority="2" operator="containsText" text="BUY">
      <formula>NOT(ISERROR(SEARCH("BUY",BD2)))</formula>
    </cfRule>
  </conditionalFormatting>
  <conditionalFormatting sqref="BD2:BE101">
    <cfRule type="containsText" dxfId="18" priority="1" operator="containsText" text="SELL">
      <formula>NOT(ISERROR(SEARCH("SELL",BD2)))</formula>
    </cfRule>
  </conditionalFormatting>
  <conditionalFormatting sqref="BE2:BE101">
    <cfRule type="cellIs" dxfId="17" priority="9" operator="greaterThan">
      <formula>90</formula>
    </cfRule>
    <cfRule type="containsText" dxfId="16" priority="11" operator="containsText" text="BUY">
      <formula>NOT(ISERROR(SEARCH("BUY",BE2)))</formula>
    </cfRule>
  </conditionalFormatting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EF2F6-02D6-4390-BF8C-884F1BA2F616}">
  <sheetPr codeName="Sheet2"/>
  <dimension ref="A1:BJ353"/>
  <sheetViews>
    <sheetView zoomScale="110" zoomScaleNormal="110" workbookViewId="0">
      <pane xSplit="2" ySplit="2" topLeftCell="C312" activePane="bottomRight" state="frozen"/>
      <selection pane="topRight" activeCell="C1" sqref="C1"/>
      <selection pane="bottomLeft" activeCell="A3" sqref="A3"/>
      <selection pane="bottomRight" activeCell="A337" sqref="A337:XFD337"/>
    </sheetView>
  </sheetViews>
  <sheetFormatPr defaultRowHeight="15" x14ac:dyDescent="0.25"/>
  <cols>
    <col min="1" max="1" width="8" style="11" bestFit="1" customWidth="1"/>
    <col min="2" max="2" width="16.5703125" style="11" bestFit="1" customWidth="1"/>
    <col min="3" max="3" width="40.7109375" bestFit="1" customWidth="1"/>
    <col min="4" max="4" width="13.7109375" bestFit="1" customWidth="1"/>
    <col min="5" max="5" width="15.140625" customWidth="1"/>
    <col min="58" max="58" width="10.42578125" bestFit="1" customWidth="1"/>
    <col min="59" max="59" width="9.42578125" bestFit="1" customWidth="1"/>
    <col min="60" max="61" width="10.42578125" bestFit="1" customWidth="1"/>
  </cols>
  <sheetData>
    <row r="1" spans="1:62" ht="75" x14ac:dyDescent="0.25">
      <c r="A1" s="3" t="s">
        <v>181</v>
      </c>
      <c r="B1" s="3" t="s">
        <v>791</v>
      </c>
      <c r="C1" s="3" t="s">
        <v>958</v>
      </c>
      <c r="D1" s="3" t="s">
        <v>313</v>
      </c>
      <c r="E1" s="3" t="s">
        <v>786</v>
      </c>
      <c r="F1" s="7" t="s">
        <v>255</v>
      </c>
      <c r="G1" s="7" t="s">
        <v>298</v>
      </c>
      <c r="H1" s="7" t="s">
        <v>256</v>
      </c>
      <c r="I1" s="7" t="s">
        <v>257</v>
      </c>
      <c r="J1" s="7" t="s">
        <v>258</v>
      </c>
      <c r="K1" s="7" t="s">
        <v>259</v>
      </c>
      <c r="L1" s="7" t="s">
        <v>260</v>
      </c>
      <c r="M1" s="8" t="s">
        <v>261</v>
      </c>
      <c r="N1" s="4" t="s">
        <v>262</v>
      </c>
      <c r="O1" s="7" t="s">
        <v>263</v>
      </c>
      <c r="P1" s="7" t="s">
        <v>264</v>
      </c>
      <c r="Q1" s="7" t="s">
        <v>265</v>
      </c>
      <c r="R1" s="7" t="s">
        <v>266</v>
      </c>
      <c r="S1" s="8" t="s">
        <v>267</v>
      </c>
      <c r="T1" s="4" t="s">
        <v>268</v>
      </c>
      <c r="U1" s="5" t="s">
        <v>269</v>
      </c>
      <c r="V1" s="5" t="s">
        <v>299</v>
      </c>
      <c r="W1" s="5" t="s">
        <v>300</v>
      </c>
      <c r="X1" s="3" t="s">
        <v>270</v>
      </c>
      <c r="Y1" s="7" t="s">
        <v>271</v>
      </c>
      <c r="Z1" s="7" t="s">
        <v>272</v>
      </c>
      <c r="AA1" s="7" t="s">
        <v>273</v>
      </c>
      <c r="AB1" s="7" t="s">
        <v>274</v>
      </c>
      <c r="AC1" s="7" t="s">
        <v>275</v>
      </c>
      <c r="AD1" s="7" t="s">
        <v>276</v>
      </c>
      <c r="AE1" s="5" t="s">
        <v>301</v>
      </c>
      <c r="AF1" s="5" t="s">
        <v>302</v>
      </c>
      <c r="AG1" s="3" t="s">
        <v>277</v>
      </c>
      <c r="AH1" s="7" t="s">
        <v>278</v>
      </c>
      <c r="AI1" s="7" t="s">
        <v>279</v>
      </c>
      <c r="AJ1" s="7" t="s">
        <v>280</v>
      </c>
      <c r="AK1" s="7" t="s">
        <v>281</v>
      </c>
      <c r="AL1" s="8" t="s">
        <v>282</v>
      </c>
      <c r="AM1" s="4" t="s">
        <v>283</v>
      </c>
      <c r="AN1" s="5" t="s">
        <v>303</v>
      </c>
      <c r="AO1" s="5" t="s">
        <v>304</v>
      </c>
      <c r="AP1" s="3" t="s">
        <v>284</v>
      </c>
      <c r="AQ1" s="9" t="s">
        <v>285</v>
      </c>
      <c r="AR1" s="7" t="s">
        <v>286</v>
      </c>
      <c r="AS1" s="9" t="s">
        <v>287</v>
      </c>
      <c r="AT1" s="7" t="s">
        <v>288</v>
      </c>
      <c r="AU1" s="9" t="s">
        <v>289</v>
      </c>
      <c r="AV1" s="9" t="s">
        <v>290</v>
      </c>
      <c r="AW1" s="5" t="s">
        <v>305</v>
      </c>
      <c r="AX1" s="5" t="s">
        <v>306</v>
      </c>
      <c r="AY1" s="3" t="s">
        <v>291</v>
      </c>
      <c r="AZ1" s="3" t="s">
        <v>292</v>
      </c>
      <c r="BA1" s="9" t="s">
        <v>293</v>
      </c>
      <c r="BB1" s="9" t="s">
        <v>294</v>
      </c>
      <c r="BC1" s="3" t="s">
        <v>295</v>
      </c>
      <c r="BD1" s="3" t="s">
        <v>296</v>
      </c>
      <c r="BE1" s="3" t="s">
        <v>297</v>
      </c>
      <c r="BF1" s="9" t="s">
        <v>309</v>
      </c>
      <c r="BG1" s="9" t="s">
        <v>310</v>
      </c>
      <c r="BH1" s="9" t="s">
        <v>311</v>
      </c>
      <c r="BI1" s="9" t="s">
        <v>312</v>
      </c>
      <c r="BJ1" s="9" t="s">
        <v>790</v>
      </c>
    </row>
    <row r="2" spans="1:62" x14ac:dyDescent="0.25">
      <c r="A2" s="11">
        <v>1</v>
      </c>
      <c r="B2" s="26" t="s">
        <v>0</v>
      </c>
      <c r="C2" s="1" t="s">
        <v>189</v>
      </c>
      <c r="D2" s="1" t="s">
        <v>307</v>
      </c>
      <c r="E2" s="11" t="s">
        <v>789</v>
      </c>
      <c r="F2">
        <f>IFERROR(VALUE((_xll.BDP($B2,"interval_rsi","tech_studies_param1_override",14))),"")</f>
        <v>52.525531939815814</v>
      </c>
      <c r="G2">
        <f>$F$2</f>
        <v>52.525531939815814</v>
      </c>
      <c r="H2">
        <f>IF(AND(F2-G2&gt;10,G2&lt;65),1,0)</f>
        <v>0</v>
      </c>
      <c r="I2" cm="1">
        <f t="array" ref="I2">IFERROR(VALUE(_xll.BDP($B2,"px_last")),"")</f>
        <v>6941.47</v>
      </c>
      <c r="J2">
        <f>$I$2</f>
        <v>6941.47</v>
      </c>
      <c r="K2" cm="1">
        <f t="array" ref="K2">IFERROR(VALUE(_xll.BDP($B2,"PX_YEST_CLOSE")),"")</f>
        <v>6941.81</v>
      </c>
      <c r="L2">
        <f>$K$2</f>
        <v>6941.81</v>
      </c>
      <c r="M2">
        <f>I2/J2</f>
        <v>1</v>
      </c>
      <c r="N2">
        <f>K2/L2</f>
        <v>1</v>
      </c>
      <c r="O2" cm="1">
        <f t="array" ref="O2">IFERROR(VALUE(_xll.BDP($B2,"INTERVAL_MAE_MOV_AVG","CALC_INTERVAL","520D","TECH_STUDIES_PARAM1_OVERRIDE",50,"USE_PREVIOUS_BUSINESS_DAY","N")),"")</f>
        <v>6894.0953999999992</v>
      </c>
      <c r="P2">
        <f>$O$2</f>
        <v>6894.0953999999992</v>
      </c>
      <c r="Q2" cm="1">
        <f t="array" ref="Q2">IFERROR(VALUE(_xll.BDP($B2,"INTERVAL_MAE_MOV_AVG","CALC_INTERVAL","520D","TECH_STUDIES_PARAM1_OVERRIDE",50,"USE_PREVIOUS_BUSINESS_DAY","Y")),"")</f>
        <v>6892.2477999999992</v>
      </c>
      <c r="R2">
        <f>$Q$2</f>
        <v>6892.2477999999992</v>
      </c>
      <c r="S2">
        <f>O2/P2</f>
        <v>1</v>
      </c>
      <c r="T2">
        <f>Q2/R2</f>
        <v>1</v>
      </c>
      <c r="U2" s="11" t="str">
        <f>IF(H2=1,"POSITIVE","NEGATIVE")</f>
        <v>NEGATIVE</v>
      </c>
      <c r="V2" s="11" t="str">
        <f>IF(AND(K2&lt;Q2,I2&gt;O2),"UP","")</f>
        <v/>
      </c>
      <c r="W2" s="11" t="str">
        <f>IF(S2&gt;T2,"UP",IF(S2&lt;T2,"DOWN",""))</f>
        <v/>
      </c>
      <c r="X2" s="6" t="str">
        <f>IF(AND(N2&lt;T2,M2&gt;S2),"BUY",IF(AND(N2&gt;T2,M2&lt;S2),"SELL",IF(M2&gt;S2,"POSITIVE","NEGATIVE")))</f>
        <v>NEGATIVE</v>
      </c>
      <c r="Y2" cm="1">
        <f t="array" ref="Y2">IFERROR(VALUE(_xll.BDP($B2,"INTERVAL_MAE_MOV_AVG","CALC_INTERVAL","520D","TECH_STUDIES_PARAM1_OVERRIDE",65,"USE_PREVIOUS_BUSINESS_DAY","N")),"")</f>
        <v>6856.0226153846133</v>
      </c>
      <c r="Z2">
        <f>$Y$2</f>
        <v>6856.0226153846133</v>
      </c>
      <c r="AA2" cm="1">
        <f t="array" ref="AA2">IFERROR(VALUE(_xll.BDP($B2,"INTERVAL_MAE_MOV_AVG","CALC_INTERVAL","520D","TECH_STUDIES_PARAM1_OVERRIDE",65,"USE_PREVIOUS_BUSINESS_DAY","Y")),"")</f>
        <v>6852.6203076923057</v>
      </c>
      <c r="AB2">
        <f>$AA$2</f>
        <v>6852.6203076923057</v>
      </c>
      <c r="AC2">
        <f>Y2/Z2</f>
        <v>1</v>
      </c>
      <c r="AD2">
        <f>AA2/AB2</f>
        <v>1</v>
      </c>
      <c r="AE2" s="10" t="str">
        <f>IF(Y2&gt;AA2,"UP",IF(Y2&lt;AA2,"DOWN",""))</f>
        <v>UP</v>
      </c>
      <c r="AF2" s="10" t="str">
        <f>IF(AC2&gt;AD2,"UP",IF(AC2&lt;AD2,"DOWN",""))</f>
        <v/>
      </c>
      <c r="AG2" s="6" t="str">
        <f>IF(AND(N2&lt;AD2,M2&gt;AC2),"BUY",IF(AND(N2&gt;AD2,M2&lt;AC2),"SELL",IF(M2&gt;AC2,"POSITIVE","NEGATIVE")))</f>
        <v>NEGATIVE</v>
      </c>
      <c r="AH2" cm="1">
        <f t="array" ref="AH2">IFERROR(VALUE(_xll.BDP($B2,"INTERVAL_MAE_MOV_AVG","CALC_INTERVAL","65W","PERIODICITY_OVERRIDE","W","TECH_STUDIES_PARAM1_OVERRIDE",39,"USE_PREVIOUS_BUSINESS_DAY","N")),"")</f>
        <v>6560.7735897435905</v>
      </c>
      <c r="AI2">
        <f>$AH$2</f>
        <v>6560.7735897435905</v>
      </c>
      <c r="AJ2" cm="1">
        <f t="array" ref="AJ2">IFERROR(VALUE(_xll.BDP($B2,"INTERVAL_MAE_MOV_AVG","CALC_INTERVAL","65W","PERIODICITY_OVERRIDE","W","TECH_STUDIES_PARAM1_OVERRIDE",39,"USE_PREVIOUS_BUSINESS_DAY","Y")),"")</f>
        <v>6560.7823076923087</v>
      </c>
      <c r="AK2">
        <f>$AJ$2</f>
        <v>6560.7823076923087</v>
      </c>
      <c r="AL2">
        <f>AH2/AI2</f>
        <v>1</v>
      </c>
      <c r="AM2">
        <f>AJ2/AK2</f>
        <v>1</v>
      </c>
      <c r="AN2" s="10" t="str">
        <f>IF(AH2&gt;AJ2,"UP",IF(AH2&lt;AJ2,"DOWN",""))</f>
        <v>DOWN</v>
      </c>
      <c r="AO2" s="10" t="str">
        <f>IF(AL2&gt;AM2,"UP",IF(AL2&lt;AM2,"DOWN",""))</f>
        <v/>
      </c>
      <c r="AP2" s="6" t="str">
        <f>IF(AND(N2&lt;AM2,M2&gt;AL2),"BUY",IF(AND(N2&gt;AM2,M2&lt;AL2),"SELL",IF(M2&gt;AL2,"POSITIVE","NEGATIVE")))</f>
        <v>NEGATIVE</v>
      </c>
      <c r="AQ2" cm="1">
        <f t="array" ref="AQ2">IFERROR(VALUE(_xll.BDP($B2,"INTERVAL_exp_MOV_AVG","CALC_INTERVAL","520D","TECH_STUDIES_PARAM1_OVERRIDE",100,"USE_PREVIOUS_BUSINESS_DAY","N")),"")</f>
        <v>6773.0064518682802</v>
      </c>
      <c r="AR2">
        <f>$AQ$2</f>
        <v>6773.0064518682802</v>
      </c>
      <c r="AS2" cm="1">
        <f t="array" ref="AS2">IFERROR(VALUE(_xll.BDP($B2,"INTERVAL_exp_MOV_AVG","CALC_INTERVAL","520D","TECH_STUDIES_PARAM1_OVERRIDE",100,"USE_PREVIOUS_BUSINESS_DAY","Y")),"")</f>
        <v>6769.6039787132295</v>
      </c>
      <c r="AT2">
        <f>$AS$2</f>
        <v>6769.6039787132295</v>
      </c>
      <c r="AU2">
        <f>AQ2/AR2</f>
        <v>1</v>
      </c>
      <c r="AV2">
        <f>AS2/AT2</f>
        <v>1</v>
      </c>
      <c r="AW2" s="11" t="str">
        <f>IF(AQ2&gt;AS2,"UP",IF(AQ2&lt;AS2,"DOWN",""))</f>
        <v>UP</v>
      </c>
      <c r="AX2" s="11" t="str">
        <f>IF(AU2&gt;AV2,"UP",IF(AU2&lt;AV2,"DOWN",""))</f>
        <v/>
      </c>
      <c r="AY2" s="6" t="str">
        <f>IF(AND(N2&lt;AV2,M2&gt;AU2),"BUY",IF(AND(N2&gt;AV2,M2&lt;AU2),"SELL",IF(M2&gt;AU2,"POSITIVE","NEGATIVE")))</f>
        <v>NEGATIVE</v>
      </c>
      <c r="AZ2" s="12" cm="1">
        <f t="array" ref="AZ2">_xll.BDP($B2, "INTERVAL_RSI", "TECH_STUDIES_PARAM1_OVERRIDE", "5", "PERIODICITY_OVERRIDE", "W")</f>
        <v>62.156288099015335</v>
      </c>
      <c r="BA2" cm="1">
        <f t="array" ref="BA2">IFERROR(VALUE(_xll.BDP($B2,"INTERVAL_MAE_MOV_AVG","CALC_INTERVAL","520D","TECH_STUDIES_PARAM1_OVERRIDE",31,"USE_PREVIOUS_BUSINESS_DAY","N")),"")</f>
        <v>6922.1190322580624</v>
      </c>
      <c r="BB2" cm="1">
        <f t="array" ref="BB2">IFERROR(VALUE(_xll.BDP($B2,"INTERVAL_MAE_MOV_AVG","CALC_INTERVAL","760D","TECH_STUDIES_PARAM1_OVERRIDE",200,"USE_PREVIOUS_BUSINESS_DAY","N")),"")</f>
        <v>6491.8238499999979</v>
      </c>
      <c r="BC2" s="13">
        <f>(I2/BA2)-1</f>
        <v>2.7955265796151263E-3</v>
      </c>
      <c r="BD2" s="13">
        <f>-1+(I2/O2)</f>
        <v>6.8717644957452251E-3</v>
      </c>
      <c r="BE2" s="13">
        <f>-1+(I2/BB2)</f>
        <v>6.9263455138266261E-2</v>
      </c>
      <c r="BF2" s="14" cm="1">
        <f t="array" ref="BF2">VALUE(_xll.BDP($B2,"INTERVAL_DATE_OF_CALC_HI","CALC_INTERVAL","3M"))</f>
        <v>46049</v>
      </c>
      <c r="BG2" s="14" cm="1">
        <f t="array" ref="BG2">VALUE(_xll.BDP($B2,"INTERVAL_DATE_OF_CALC_LO","CALC_INTERVAL","3M"))</f>
        <v>45981</v>
      </c>
      <c r="BH2" s="14" cm="1">
        <f t="array" ref="BH2">VALUE(_xll.BDP($B2,"INTERVAL_DATE_OF_CALC_HI","CALC_INTERVAL","1M"))</f>
        <v>46049</v>
      </c>
      <c r="BI2" s="14" cm="1">
        <f t="array" ref="BI2">VALUE(_xll.BDP($B2,"INTERVAL_DATE_OF_CALC_LO","CALC_INTERVAL","1M"))</f>
        <v>46042</v>
      </c>
      <c r="BJ2" s="15">
        <f>$F2-MIN(_xll.BDP("NYA Index","RSI_14D"),_xll.BDP("RSP US Equity","RSI_14D"))</f>
        <v>-13.820232220340436</v>
      </c>
    </row>
    <row r="3" spans="1:62" x14ac:dyDescent="0.25">
      <c r="A3" s="11">
        <v>2</v>
      </c>
      <c r="B3" s="26" t="s">
        <v>343</v>
      </c>
      <c r="C3" s="1" t="s">
        <v>344</v>
      </c>
      <c r="D3" s="1" t="s">
        <v>316</v>
      </c>
      <c r="E3" s="11" t="s">
        <v>944</v>
      </c>
      <c r="F3">
        <f>IFERROR(VALUE((_xll.BDP($B3,"interval_rsi","tech_studies_param1_override",14))),"")</f>
        <v>60.523415336383678</v>
      </c>
      <c r="G3">
        <f t="shared" ref="G3:G230" si="0">$F$2</f>
        <v>52.525531939815814</v>
      </c>
      <c r="H3">
        <f>IF(AND(F3-G3&gt;10,G3&lt;65),1,0)</f>
        <v>0</v>
      </c>
      <c r="I3" cm="1">
        <f t="array" ref="I3">IFERROR(VALUE(_xll.BDP($B3,"px_last")),"")</f>
        <v>107.62</v>
      </c>
      <c r="J3">
        <f t="shared" ref="J3:J230" si="1">$I$2</f>
        <v>6941.47</v>
      </c>
      <c r="K3" cm="1">
        <f t="array" ref="K3">IFERROR(VALUE(_xll.BDP($B3,"PX_YEST_CLOSE")),"")</f>
        <v>107.61500000000001</v>
      </c>
      <c r="L3">
        <f t="shared" ref="L3:L230" si="2">$K$2</f>
        <v>6941.81</v>
      </c>
      <c r="M3">
        <f>I3/J3</f>
        <v>1.550392063928822E-2</v>
      </c>
      <c r="N3">
        <f>K3/L3</f>
        <v>1.5502441006020044E-2</v>
      </c>
      <c r="O3" cm="1">
        <f t="array" ref="O3">IFERROR(VALUE(_xll.BDP($B3,"INTERVAL_MAE_MOV_AVG","CALC_INTERVAL","520D","TECH_STUDIES_PARAM1_OVERRIDE",50,"USE_PREVIOUS_BUSINESS_DAY","N")),"")</f>
        <v>107.5066999572754</v>
      </c>
      <c r="P3">
        <f t="shared" ref="P3:P230" si="3">$O$2</f>
        <v>6894.0953999999992</v>
      </c>
      <c r="Q3" cm="1">
        <f t="array" ref="Q3">IFERROR(VALUE(_xll.BDP($B3,"INTERVAL_MAE_MOV_AVG","CALC_INTERVAL","520D","TECH_STUDIES_PARAM1_OVERRIDE",50,"USE_PREVIOUS_BUSINESS_DAY","Y")),"")</f>
        <v>107.5171</v>
      </c>
      <c r="R3">
        <f t="shared" ref="R3:R230" si="4">$Q$2</f>
        <v>6892.2477999999992</v>
      </c>
      <c r="S3">
        <f>O3/P3</f>
        <v>1.5594025571110521E-2</v>
      </c>
      <c r="T3">
        <f>Q3/R3</f>
        <v>1.5599714798414533E-2</v>
      </c>
      <c r="U3" s="11" t="str">
        <f>IF(H3=1,"POSITIVE","NEGATIVE")</f>
        <v>NEGATIVE</v>
      </c>
      <c r="V3" s="11" t="str">
        <f>IF(AND(K3&lt;Q3,I3&gt;O3),"UP","")</f>
        <v/>
      </c>
      <c r="W3" s="11" t="str">
        <f>IF(S3&gt;T3,"UP",IF(S3&lt;T3,"DOWN",""))</f>
        <v>DOWN</v>
      </c>
      <c r="X3" s="6" t="str">
        <f>IF(AND(N3&lt;T3,M3&gt;S3),"BUY",IF(AND(N3&gt;T3,M3&lt;S3),"SELL",IF(M3&gt;S3,"POSITIVE","NEGATIVE")))</f>
        <v>NEGATIVE</v>
      </c>
      <c r="Y3" cm="1">
        <f t="array" ref="Y3">IFERROR(VALUE(_xll.BDP($B3,"INTERVAL_MAE_MOV_AVG","CALC_INTERVAL","520D","TECH_STUDIES_PARAM1_OVERRIDE",65,"USE_PREVIOUS_BUSINESS_DAY","N")),"")</f>
        <v>107.63999996713491</v>
      </c>
      <c r="Z3">
        <f t="shared" ref="Z3:Z230" si="5">$Y$2</f>
        <v>6856.0226153846133</v>
      </c>
      <c r="AA3" cm="1">
        <f t="array" ref="AA3">IFERROR(VALUE(_xll.BDP($B3,"INTERVAL_MAE_MOV_AVG","CALC_INTERVAL","520D","TECH_STUDIES_PARAM1_OVERRIDE",65,"USE_PREVIOUS_BUSINESS_DAY","Y")),"")</f>
        <v>107.64723076923076</v>
      </c>
      <c r="AB3">
        <f t="shared" ref="AB3:AB230" si="6">$AA$2</f>
        <v>6852.6203076923057</v>
      </c>
      <c r="AC3">
        <f>Y3/Z3</f>
        <v>1.5700064892667578E-2</v>
      </c>
      <c r="AD3">
        <f>AA3/AB3</f>
        <v>1.570891512089076E-2</v>
      </c>
      <c r="AE3" s="10" t="str">
        <f>IF(Y3&gt;AA3,"UP",IF(Y3&lt;AA3,"DOWN",""))</f>
        <v>DOWN</v>
      </c>
      <c r="AF3" s="10" t="str">
        <f>IF(AC3&gt;AD3,"UP",IF(AC3&lt;AD3,"DOWN",""))</f>
        <v>DOWN</v>
      </c>
      <c r="AG3" s="6" t="str">
        <f>IF(AND(N3&lt;AD3,M3&gt;AC3),"BUY",IF(AND(N3&gt;AD3,M3&lt;AC3),"SELL",IF(M3&gt;AC3,"POSITIVE","NEGATIVE")))</f>
        <v>NEGATIVE</v>
      </c>
      <c r="AH3" cm="1">
        <f t="array" ref="AH3">IFERROR(VALUE(_xll.BDP($B3,"INTERVAL_MAE_MOV_AVG","CALC_INTERVAL","65W","PERIODICITY_OVERRIDE","W","TECH_STUDIES_PARAM1_OVERRIDE",39,"USE_PREVIOUS_BUSINESS_DAY","N")),"")</f>
        <v>107.80410250932742</v>
      </c>
      <c r="AI3">
        <f t="shared" ref="AI3:AI230" si="7">$AH$2</f>
        <v>6560.7735897435905</v>
      </c>
      <c r="AJ3" cm="1">
        <f t="array" ref="AJ3">IFERROR(VALUE(_xll.BDP($B3,"INTERVAL_MAE_MOV_AVG","CALC_INTERVAL","65W","PERIODICITY_OVERRIDE","W","TECH_STUDIES_PARAM1_OVERRIDE",39,"USE_PREVIOUS_BUSINESS_DAY","Y")),"")</f>
        <v>107.80435897435896</v>
      </c>
      <c r="AK3">
        <f t="shared" ref="AK3:AK230" si="8">$AJ$2</f>
        <v>6560.7823076923087</v>
      </c>
      <c r="AL3">
        <f>AH3/AI3</f>
        <v>1.6431614509279331E-2</v>
      </c>
      <c r="AM3">
        <f>AJ3/AK3</f>
        <v>1.6431631765614563E-2</v>
      </c>
      <c r="AN3" s="10" t="str">
        <f>IF(AH3&gt;AJ3,"UP",IF(AH3&lt;AJ3,"DOWN",""))</f>
        <v>DOWN</v>
      </c>
      <c r="AO3" s="10" t="str">
        <f>IF(AL3&gt;AM3,"UP",IF(AL3&lt;AM3,"DOWN",""))</f>
        <v>DOWN</v>
      </c>
      <c r="AP3" s="6" t="str">
        <f>IF(AND(N3&lt;AM3,M3&gt;AL3),"BUY",IF(AND(N3&gt;AM3,M3&lt;AL3),"SELL",IF(M3&gt;AL3,"POSITIVE","NEGATIVE")))</f>
        <v>NEGATIVE</v>
      </c>
      <c r="AQ3" cm="1">
        <f t="array" ref="AQ3">IFERROR(VALUE(_xll.BDP($B3,"INTERVAL_exp_MOV_AVG","CALC_INTERVAL","520D","TECH_STUDIES_PARAM1_OVERRIDE",100,"USE_PREVIOUS_BUSINESS_DAY","N")),"")</f>
        <v>107.67579345163929</v>
      </c>
      <c r="AR3">
        <f t="shared" ref="AR3:AR230" si="9">$AQ$2</f>
        <v>6773.0064518682802</v>
      </c>
      <c r="AS3" cm="1">
        <f t="array" ref="AS3">IFERROR(VALUE(_xll.BDP($B3,"INTERVAL_exp_MOV_AVG","CALC_INTERVAL","520D","TECH_STUDIES_PARAM1_OVERRIDE",100,"USE_PREVIOUS_BUSINESS_DAY","Y")),"")</f>
        <v>107.67702079049947</v>
      </c>
      <c r="AT3">
        <f t="shared" ref="AT3:AT230" si="10">$AS$2</f>
        <v>6769.6039787132295</v>
      </c>
      <c r="AU3">
        <f>AQ3/AR3</f>
        <v>1.5897783977739721E-2</v>
      </c>
      <c r="AV3">
        <f>AS3/AT3</f>
        <v>1.5905955670240963E-2</v>
      </c>
      <c r="AW3" s="11" t="str">
        <f>IF(AQ3&gt;AS3,"UP",IF(AQ3&lt;AS3,"DOWN",""))</f>
        <v>DOWN</v>
      </c>
      <c r="AX3" s="11" t="str">
        <f>IF(AU3&gt;AV3,"UP",IF(AU3&lt;AV3,"DOWN",""))</f>
        <v>DOWN</v>
      </c>
      <c r="AY3" s="6" t="str">
        <f>IF(AND(N3&lt;AV3,M3&gt;AU3),"BUY",IF(AND(N3&gt;AV3,M3&lt;AU3),"SELL",IF(M3&gt;AU3,"POSITIVE","NEGATIVE")))</f>
        <v>NEGATIVE</v>
      </c>
      <c r="AZ3" s="12" cm="1">
        <f t="array" ref="AZ3">_xll.BDP($B3, "INTERVAL_RSI", "TECH_STUDIES_PARAM1_OVERRIDE", "5", "PERIODICITY_OVERRIDE", "W")</f>
        <v>61.956588109467248</v>
      </c>
      <c r="BA3" cm="1">
        <f t="array" ref="BA3">IFERROR(VALUE(_xll.BDP($B3,"INTERVAL_MAE_MOV_AVG","CALC_INTERVAL","520D","TECH_STUDIES_PARAM1_OVERRIDE",31,"USE_PREVIOUS_BUSINESS_DAY","N")),"")</f>
        <v>107.46790315689582</v>
      </c>
      <c r="BB3" cm="1">
        <f t="array" ref="BB3">IFERROR(VALUE(_xll.BDP($B3,"INTERVAL_MAE_MOV_AVG","CALC_INTERVAL","760D","TECH_STUDIES_PARAM1_OVERRIDE",200,"USE_PREVIOUS_BUSINESS_DAY","N")),"")</f>
        <v>107.84699998931882</v>
      </c>
      <c r="BC3" s="13">
        <f>-1+(I3/BA3)</f>
        <v>1.4152769211672744E-3</v>
      </c>
      <c r="BD3" s="13">
        <f>-1+(I3/O3)</f>
        <v>1.0538882020341145E-3</v>
      </c>
      <c r="BE3" s="13">
        <f>-1+(I3/BB3)</f>
        <v>-2.1048336007611912E-3</v>
      </c>
      <c r="BF3" s="14" cm="1">
        <f t="array" ref="BF3">VALUE(_xll.BDP($B3,"INTERVAL_DATE_OF_CALC_HI","CALC_INTERVAL","3M"))</f>
        <v>45989</v>
      </c>
      <c r="BG3" s="14" cm="1">
        <f t="array" ref="BG3">VALUE(_xll.BDP($B3,"INTERVAL_DATE_OF_CALC_LO","CALC_INTERVAL","3M"))</f>
        <v>46001</v>
      </c>
      <c r="BH3" s="14" cm="1">
        <f t="array" ref="BH3">VALUE(_xll.BDP($B3,"INTERVAL_DATE_OF_CALC_HI","CALC_INTERVAL","1M"))</f>
        <v>46063</v>
      </c>
      <c r="BI3" s="14" cm="1">
        <f t="array" ref="BI3">VALUE(_xll.BDP($B3,"INTERVAL_DATE_OF_CALC_LO","CALC_INTERVAL","1M"))</f>
        <v>46045</v>
      </c>
      <c r="BJ3" s="15">
        <f>$F3-MIN(_xll.BDP("NYA Index","RSI_14D"),_xll.BDP("RSP US Equity","RSI_14D"))</f>
        <v>-5.8223488237725718</v>
      </c>
    </row>
    <row r="4" spans="1:62" x14ac:dyDescent="0.25">
      <c r="A4" s="11">
        <v>3</v>
      </c>
      <c r="B4" s="26" t="s">
        <v>327</v>
      </c>
      <c r="C4" s="1" t="s">
        <v>328</v>
      </c>
      <c r="D4" s="1" t="s">
        <v>316</v>
      </c>
      <c r="E4" s="11" t="s">
        <v>944</v>
      </c>
      <c r="F4">
        <f>IFERROR(VALUE((_xll.BDP($B4,"interval_rsi","tech_studies_param1_override",14))),"")</f>
        <v>62.204603666206864</v>
      </c>
      <c r="G4">
        <f t="shared" si="0"/>
        <v>52.525531939815814</v>
      </c>
      <c r="H4">
        <f>IF(AND(F4-G4&gt;10,G4&lt;65),1,0)</f>
        <v>0</v>
      </c>
      <c r="I4" cm="1">
        <f t="array" ref="I4">IFERROR(VALUE(_xll.BDP($B4,"px_last")),"")</f>
        <v>121.85000000000001</v>
      </c>
      <c r="J4">
        <f t="shared" si="1"/>
        <v>6941.47</v>
      </c>
      <c r="K4" cm="1">
        <f t="array" ref="K4">IFERROR(VALUE(_xll.BDP($B4,"PX_YEST_CLOSE")),"")</f>
        <v>121.85000000000001</v>
      </c>
      <c r="L4">
        <f t="shared" si="2"/>
        <v>6941.81</v>
      </c>
      <c r="M4">
        <f>I4/J4</f>
        <v>1.755391869445521E-2</v>
      </c>
      <c r="N4">
        <f>K4/L4</f>
        <v>1.7553058928435093E-2</v>
      </c>
      <c r="O4" cm="1">
        <f t="array" ref="O4">IFERROR(VALUE(_xll.BDP($B4,"INTERVAL_MAE_MOV_AVG","CALC_INTERVAL","520D","TECH_STUDIES_PARAM1_OVERRIDE",50,"USE_PREVIOUS_BUSINESS_DAY","N")),"")</f>
        <v>121.00159996948238</v>
      </c>
      <c r="P4">
        <f t="shared" si="3"/>
        <v>6894.0953999999992</v>
      </c>
      <c r="Q4" cm="1">
        <f t="array" ref="Q4">IFERROR(VALUE(_xll.BDP($B4,"INTERVAL_MAE_MOV_AVG","CALC_INTERVAL","520D","TECH_STUDIES_PARAM1_OVERRIDE",50,"USE_PREVIOUS_BUSINESS_DAY","Y")),"")</f>
        <v>121.01559999999996</v>
      </c>
      <c r="R4">
        <f t="shared" si="4"/>
        <v>6892.2477999999992</v>
      </c>
      <c r="S4">
        <f>O4/P4</f>
        <v>1.7551483254711328E-2</v>
      </c>
      <c r="T4">
        <f>Q4/R4</f>
        <v>1.7558219540510425E-2</v>
      </c>
      <c r="U4" s="11" t="str">
        <f>IF(H4=1,"POSITIVE","NEGATIVE")</f>
        <v>NEGATIVE</v>
      </c>
      <c r="V4" s="11" t="str">
        <f>IF(AND(K4&lt;Q4,I4&gt;O4),"UP","")</f>
        <v/>
      </c>
      <c r="W4" s="11" t="str">
        <f>IF(S4&gt;T4,"UP",IF(S4&lt;T4,"DOWN",""))</f>
        <v>DOWN</v>
      </c>
      <c r="X4" s="6" t="str">
        <f>IF(AND(N4&lt;T4,M4&gt;S4),"BUY",IF(AND(N4&gt;T4,M4&lt;S4),"SELL",IF(M4&gt;S4,"POSITIVE","NEGATIVE")))</f>
        <v>BUY</v>
      </c>
      <c r="Y4" cm="1">
        <f t="array" ref="Y4">IFERROR(VALUE(_xll.BDP($B4,"INTERVAL_MAE_MOV_AVG","CALC_INTERVAL","520D","TECH_STUDIES_PARAM1_OVERRIDE",65,"USE_PREVIOUS_BUSINESS_DAY","N")),"")</f>
        <v>121.29184613037106</v>
      </c>
      <c r="Z4">
        <f t="shared" si="5"/>
        <v>6856.0226153846133</v>
      </c>
      <c r="AA4" cm="1">
        <f t="array" ref="AA4">IFERROR(VALUE(_xll.BDP($B4,"INTERVAL_MAE_MOV_AVG","CALC_INTERVAL","520D","TECH_STUDIES_PARAM1_OVERRIDE",65,"USE_PREVIOUS_BUSINESS_DAY","Y")),"")</f>
        <v>121.30861538461534</v>
      </c>
      <c r="AB4">
        <f t="shared" si="6"/>
        <v>6852.6203076923057</v>
      </c>
      <c r="AC4">
        <f>Y4/Z4</f>
        <v>1.7691284427533462E-2</v>
      </c>
      <c r="AD4">
        <f>AA4/AB4</f>
        <v>1.7702515233252041E-2</v>
      </c>
      <c r="AE4" s="10" t="str">
        <f>IF(Y4&gt;AA4,"UP",IF(Y4&lt;AA4,"DOWN",""))</f>
        <v>DOWN</v>
      </c>
      <c r="AF4" s="10" t="str">
        <f>IF(AC4&gt;AD4,"UP",IF(AC4&lt;AD4,"DOWN",""))</f>
        <v>DOWN</v>
      </c>
      <c r="AG4" s="6" t="str">
        <f>IF(AND(N4&lt;AD4,M4&gt;AC4),"BUY",IF(AND(N4&gt;AD4,M4&lt;AC4),"SELL",IF(M4&gt;AC4,"POSITIVE","NEGATIVE")))</f>
        <v>NEGATIVE</v>
      </c>
      <c r="AH4" cm="1">
        <f t="array" ref="AH4">IFERROR(VALUE(_xll.BDP($B4,"INTERVAL_MAE_MOV_AVG","CALC_INTERVAL","65W","PERIODICITY_OVERRIDE","W","TECH_STUDIES_PARAM1_OVERRIDE",39,"USE_PREVIOUS_BUSINESS_DAY","N")),"")</f>
        <v>121.46333329420821</v>
      </c>
      <c r="AI4">
        <f t="shared" si="7"/>
        <v>6560.7735897435905</v>
      </c>
      <c r="AJ4" cm="1">
        <f t="array" ref="AJ4">IFERROR(VALUE(_xll.BDP($B4,"INTERVAL_MAE_MOV_AVG","CALC_INTERVAL","65W","PERIODICITY_OVERRIDE","W","TECH_STUDIES_PARAM1_OVERRIDE",39,"USE_PREVIOUS_BUSINESS_DAY","Y")),"")</f>
        <v>121.45794871794871</v>
      </c>
      <c r="AK4">
        <f t="shared" si="8"/>
        <v>6560.7823076923087</v>
      </c>
      <c r="AL4">
        <f>AH4/AI4</f>
        <v>1.8513568809033581E-2</v>
      </c>
      <c r="AM4">
        <f>AJ4/AK4</f>
        <v>1.8512723486579202E-2</v>
      </c>
      <c r="AN4" s="10" t="str">
        <f>IF(AH4&gt;AJ4,"UP",IF(AH4&lt;AJ4,"DOWN",""))</f>
        <v>UP</v>
      </c>
      <c r="AO4" s="10" t="str">
        <f>IF(AL4&gt;AM4,"UP",IF(AL4&lt;AM4,"DOWN",""))</f>
        <v>UP</v>
      </c>
      <c r="AP4" s="6" t="str">
        <f>IF(AND(N4&lt;AM4,M4&gt;AL4),"BUY",IF(AND(N4&gt;AM4,M4&lt;AL4),"SELL",IF(M4&gt;AL4,"POSITIVE","NEGATIVE")))</f>
        <v>NEGATIVE</v>
      </c>
      <c r="AQ4" cm="1">
        <f t="array" ref="AQ4">IFERROR(VALUE(_xll.BDP($B4,"INTERVAL_exp_MOV_AVG","CALC_INTERVAL","520D","TECH_STUDIES_PARAM1_OVERRIDE",100,"USE_PREVIOUS_BUSINESS_DAY","N")),"")</f>
        <v>121.48725128705492</v>
      </c>
      <c r="AR4">
        <f t="shared" si="9"/>
        <v>6773.0064518682802</v>
      </c>
      <c r="AS4" cm="1">
        <f t="array" ref="AS4">IFERROR(VALUE(_xll.BDP($B4,"INTERVAL_exp_MOV_AVG","CALC_INTERVAL","520D","TECH_STUDIES_PARAM1_OVERRIDE",100,"USE_PREVIOUS_BUSINESS_DAY","Y")),"")</f>
        <v>121.47991353100957</v>
      </c>
      <c r="AT4">
        <f t="shared" si="10"/>
        <v>6769.6039787132295</v>
      </c>
      <c r="AU4">
        <f>AQ4/AR4</f>
        <v>1.793697557360862E-2</v>
      </c>
      <c r="AV4">
        <f>AS4/AT4</f>
        <v>1.7944906956595789E-2</v>
      </c>
      <c r="AW4" s="11" t="str">
        <f>IF(AQ4&gt;AS4,"UP",IF(AQ4&lt;AS4,"DOWN",""))</f>
        <v>UP</v>
      </c>
      <c r="AX4" s="11" t="str">
        <f>IF(AU4&gt;AV4,"UP",IF(AU4&lt;AV4,"DOWN",""))</f>
        <v>DOWN</v>
      </c>
      <c r="AY4" s="6" t="str">
        <f>IF(AND(N4&lt;AV4,M4&gt;AU4),"BUY",IF(AND(N4&gt;AV4,M4&lt;AU4),"SELL",IF(M4&gt;AU4,"POSITIVE","NEGATIVE")))</f>
        <v>NEGATIVE</v>
      </c>
      <c r="AZ4" s="12" cm="1">
        <f t="array" ref="AZ4">_xll.BDP($B4, "INTERVAL_RSI", "TECH_STUDIES_PARAM1_OVERRIDE", "5", "PERIODICITY_OVERRIDE", "W")</f>
        <v>65.717875623358736</v>
      </c>
      <c r="BA4" cm="1">
        <f t="array" ref="BA4">IFERROR(VALUE(_xll.BDP($B4,"INTERVAL_MAE_MOV_AVG","CALC_INTERVAL","520D","TECH_STUDIES_PARAM1_OVERRIDE",31,"USE_PREVIOUS_BUSINESS_DAY","N")),"")</f>
        <v>121.18774188626197</v>
      </c>
      <c r="BB4" cm="1">
        <f t="array" ref="BB4">IFERROR(VALUE(_xll.BDP($B4,"INTERVAL_MAE_MOV_AVG","CALC_INTERVAL","760D","TECH_STUDIES_PARAM1_OVERRIDE",200,"USE_PREVIOUS_BUSINESS_DAY","N")),"")</f>
        <v>121.61529999237064</v>
      </c>
      <c r="BC4" s="13">
        <f>-1+(I4/BA4)</f>
        <v>5.46472855612401E-3</v>
      </c>
      <c r="BD4" s="13">
        <f>-1+(I4/O4)</f>
        <v>7.0114777881582491E-3</v>
      </c>
      <c r="BE4" s="13">
        <f>-1+(I4/BB4)</f>
        <v>1.9298559280296335E-3</v>
      </c>
      <c r="BF4" s="14" cm="1">
        <f t="array" ref="BF4">VALUE(_xll.BDP($B4,"INTERVAL_DATE_OF_CALC_HI","CALC_INTERVAL","3M"))</f>
        <v>45988</v>
      </c>
      <c r="BG4" s="14" cm="1">
        <f t="array" ref="BG4">VALUE(_xll.BDP($B4,"INTERVAL_DATE_OF_CALC_LO","CALC_INTERVAL","3M"))</f>
        <v>46000</v>
      </c>
      <c r="BH4" s="14" cm="1">
        <f t="array" ref="BH4">VALUE(_xll.BDP($B4,"INTERVAL_DATE_OF_CALC_HI","CALC_INTERVAL","1M"))</f>
        <v>46064</v>
      </c>
      <c r="BI4" s="14" cm="1">
        <f t="array" ref="BI4">VALUE(_xll.BDP($B4,"INTERVAL_DATE_OF_CALC_LO","CALC_INTERVAL","1M"))</f>
        <v>46056</v>
      </c>
      <c r="BJ4" s="15">
        <f>$F4-MIN(_xll.BDP("NYA Index","RSI_14D"),_xll.BDP("RSP US Equity","RSI_14D"))</f>
        <v>-4.1411604939493856</v>
      </c>
    </row>
    <row r="5" spans="1:62" x14ac:dyDescent="0.25">
      <c r="A5" s="11">
        <v>4</v>
      </c>
      <c r="B5" s="26" t="s">
        <v>335</v>
      </c>
      <c r="C5" s="1" t="s">
        <v>336</v>
      </c>
      <c r="D5" s="1" t="s">
        <v>316</v>
      </c>
      <c r="E5" s="11" t="s">
        <v>944</v>
      </c>
      <c r="F5">
        <f>IFERROR(VALUE((_xll.BDP($B5,"interval_rsi","tech_studies_param1_override",14))),"")</f>
        <v>57.743745817718519</v>
      </c>
      <c r="G5">
        <f t="shared" si="0"/>
        <v>52.525531939815814</v>
      </c>
      <c r="H5">
        <f t="shared" ref="H5:H41" si="11">IF(AND(F5-G5&gt;10,G5&lt;65),1,0)</f>
        <v>0</v>
      </c>
      <c r="I5" cm="1">
        <f t="array" ref="I5">IFERROR(VALUE(_xll.BDP($B5,"px_last")),"")</f>
        <v>106.92</v>
      </c>
      <c r="J5">
        <f t="shared" si="1"/>
        <v>6941.47</v>
      </c>
      <c r="K5" cm="1">
        <f t="array" ref="K5">IFERROR(VALUE(_xll.BDP($B5,"PX_YEST_CLOSE")),"")</f>
        <v>106.92</v>
      </c>
      <c r="L5">
        <f t="shared" si="2"/>
        <v>6941.81</v>
      </c>
      <c r="M5">
        <f t="shared" ref="M5:M41" si="12">I5/J5</f>
        <v>1.5403077446131726E-2</v>
      </c>
      <c r="N5">
        <f t="shared" ref="N5:N41" si="13">K5/L5</f>
        <v>1.5402323025262864E-2</v>
      </c>
      <c r="O5" cm="1">
        <f t="array" ref="O5">IFERROR(VALUE(_xll.BDP($B5,"INTERVAL_MAE_MOV_AVG","CALC_INTERVAL","520D","TECH_STUDIES_PARAM1_OVERRIDE",50,"USE_PREVIOUS_BUSINESS_DAY","N")),"")</f>
        <v>106.83139996337889</v>
      </c>
      <c r="P5">
        <f t="shared" si="3"/>
        <v>6894.0953999999992</v>
      </c>
      <c r="Q5" cm="1">
        <f t="array" ref="Q5">IFERROR(VALUE(_xll.BDP($B5,"INTERVAL_MAE_MOV_AVG","CALC_INTERVAL","520D","TECH_STUDIES_PARAM1_OVERRIDE",50,"USE_PREVIOUS_BUSINESS_DAY","Y")),"")</f>
        <v>106.83269999999999</v>
      </c>
      <c r="R5">
        <f t="shared" si="4"/>
        <v>6892.2477999999992</v>
      </c>
      <c r="S5">
        <f t="shared" ref="S5:S41" si="14">O5/P5</f>
        <v>1.5496072184231581E-2</v>
      </c>
      <c r="T5">
        <f t="shared" ref="T5:T41" si="15">Q5/R5</f>
        <v>1.5500414828381534E-2</v>
      </c>
      <c r="U5" s="11" t="str">
        <f t="shared" ref="U5:U41" si="16">IF(H5=1,"POSITIVE","NEGATIVE")</f>
        <v>NEGATIVE</v>
      </c>
      <c r="V5" s="11" t="str">
        <f t="shared" ref="V5:V41" si="17">IF(AND(K5&lt;Q5,I5&gt;O5),"UP","")</f>
        <v/>
      </c>
      <c r="W5" s="11" t="str">
        <f t="shared" ref="W5:W41" si="18">IF(S5&gt;T5,"UP",IF(S5&lt;T5,"DOWN",""))</f>
        <v>DOWN</v>
      </c>
      <c r="X5" s="6" t="str">
        <f t="shared" ref="X5:X41" si="19">IF(AND(N5&lt;T5,M5&gt;S5),"BUY",IF(AND(N5&gt;T5,M5&lt;S5),"SELL",IF(M5&gt;S5,"POSITIVE","NEGATIVE")))</f>
        <v>NEGATIVE</v>
      </c>
      <c r="Y5" cm="1">
        <f t="array" ref="Y5">IFERROR(VALUE(_xll.BDP($B5,"INTERVAL_MAE_MOV_AVG","CALC_INTERVAL","520D","TECH_STUDIES_PARAM1_OVERRIDE",65,"USE_PREVIOUS_BUSINESS_DAY","N")),"")</f>
        <v>106.87107689490681</v>
      </c>
      <c r="Z5">
        <f t="shared" si="5"/>
        <v>6856.0226153846133</v>
      </c>
      <c r="AA5" cm="1">
        <f t="array" ref="AA5">IFERROR(VALUE(_xll.BDP($B5,"INTERVAL_MAE_MOV_AVG","CALC_INTERVAL","520D","TECH_STUDIES_PARAM1_OVERRIDE",65,"USE_PREVIOUS_BUSINESS_DAY","Y")),"")</f>
        <v>106.87269230769228</v>
      </c>
      <c r="AB5">
        <f t="shared" si="6"/>
        <v>6852.6203076923057</v>
      </c>
      <c r="AC5">
        <f t="shared" ref="AC5:AC41" si="20">Y5/Z5</f>
        <v>1.5587911955700497E-2</v>
      </c>
      <c r="AD5">
        <f t="shared" ref="AD5:AD41" si="21">AA5/AB5</f>
        <v>1.5595887048889014E-2</v>
      </c>
      <c r="AE5" s="10" t="str">
        <f t="shared" ref="AE5:AE41" si="22">IF(Y5&gt;AA5,"UP",IF(Y5&lt;AA5,"DOWN",""))</f>
        <v>DOWN</v>
      </c>
      <c r="AF5" s="10" t="str">
        <f t="shared" ref="AF5:AF41" si="23">IF(AC5&gt;AD5,"UP",IF(AC5&lt;AD5,"DOWN",""))</f>
        <v>DOWN</v>
      </c>
      <c r="AG5" s="6" t="str">
        <f t="shared" ref="AG5:AG41" si="24">IF(AND(N5&lt;AD5,M5&gt;AC5),"BUY",IF(AND(N5&gt;AD5,M5&lt;AC5),"SELL",IF(M5&gt;AC5,"POSITIVE","NEGATIVE")))</f>
        <v>NEGATIVE</v>
      </c>
      <c r="AH5" cm="1">
        <f t="array" ref="AH5">IFERROR(VALUE(_xll.BDP($B5,"INTERVAL_MAE_MOV_AVG","CALC_INTERVAL","65W","PERIODICITY_OVERRIDE","W","TECH_STUDIES_PARAM1_OVERRIDE",39,"USE_PREVIOUS_BUSINESS_DAY","N")),"")</f>
        <v>107.03051277356266</v>
      </c>
      <c r="AI5">
        <f t="shared" si="7"/>
        <v>6560.7735897435905</v>
      </c>
      <c r="AJ5" cm="1">
        <f t="array" ref="AJ5">IFERROR(VALUE(_xll.BDP($B5,"INTERVAL_MAE_MOV_AVG","CALC_INTERVAL","65W","PERIODICITY_OVERRIDE","W","TECH_STUDIES_PARAM1_OVERRIDE",39,"USE_PREVIOUS_BUSINESS_DAY","Y")),"")</f>
        <v>107.0307692307692</v>
      </c>
      <c r="AK5">
        <f t="shared" si="8"/>
        <v>6560.7823076923087</v>
      </c>
      <c r="AL5">
        <f t="shared" ref="AL5:AL41" si="25">AH5/AI5</f>
        <v>1.6313703149409498E-2</v>
      </c>
      <c r="AM5">
        <f t="shared" ref="AM5:AM41" si="26">AJ5/AK5</f>
        <v>1.6313720561232311E-2</v>
      </c>
      <c r="AN5" s="10" t="str">
        <f t="shared" ref="AN5:AN41" si="27">IF(AH5&gt;AJ5,"UP",IF(AH5&lt;AJ5,"DOWN",""))</f>
        <v>DOWN</v>
      </c>
      <c r="AO5" s="10" t="str">
        <f t="shared" ref="AO5:AO41" si="28">IF(AL5&gt;AM5,"UP",IF(AL5&lt;AM5,"DOWN",""))</f>
        <v>DOWN</v>
      </c>
      <c r="AP5" s="6" t="str">
        <f t="shared" ref="AP5:AP41" si="29">IF(AND(N5&lt;AM5,M5&gt;AL5),"BUY",IF(AND(N5&gt;AM5,M5&lt;AL5),"SELL",IF(M5&gt;AL5,"POSITIVE","NEGATIVE")))</f>
        <v>NEGATIVE</v>
      </c>
      <c r="AQ5" cm="1">
        <f t="array" ref="AQ5">IFERROR(VALUE(_xll.BDP($B5,"INTERVAL_exp_MOV_AVG","CALC_INTERVAL","520D","TECH_STUDIES_PARAM1_OVERRIDE",100,"USE_PREVIOUS_BUSINESS_DAY","N")),"")</f>
        <v>106.92296503795654</v>
      </c>
      <c r="AR5">
        <f t="shared" si="9"/>
        <v>6773.0064518682802</v>
      </c>
      <c r="AS5" cm="1">
        <f t="array" ref="AS5">IFERROR(VALUE(_xll.BDP($B5,"INTERVAL_exp_MOV_AVG","CALC_INTERVAL","520D","TECH_STUDIES_PARAM1_OVERRIDE",100,"USE_PREVIOUS_BUSINESS_DAY","Y")),"")</f>
        <v>106.92302600625592</v>
      </c>
      <c r="AT5">
        <f t="shared" si="10"/>
        <v>6769.6039787132295</v>
      </c>
      <c r="AU5">
        <f t="shared" ref="AU5:AU41" si="30">AQ5/AR5</f>
        <v>1.5786632686354919E-2</v>
      </c>
      <c r="AV5">
        <f t="shared" ref="AV5:AV41" si="31">AS5/AT5</f>
        <v>1.5794576217821817E-2</v>
      </c>
      <c r="AW5" s="11" t="str">
        <f t="shared" ref="AW5:AW41" si="32">IF(AQ5&gt;AS5,"UP",IF(AQ5&lt;AS5,"DOWN",""))</f>
        <v>DOWN</v>
      </c>
      <c r="AX5" s="11" t="str">
        <f t="shared" ref="AX5:AX41" si="33">IF(AU5&gt;AV5,"UP",IF(AU5&lt;AV5,"DOWN",""))</f>
        <v>DOWN</v>
      </c>
      <c r="AY5" s="6" t="str">
        <f t="shared" ref="AY5:AY41" si="34">IF(AND(N5&lt;AV5,M5&gt;AU5),"BUY",IF(AND(N5&gt;AV5,M5&lt;AU5),"SELL",IF(M5&gt;AU5,"POSITIVE","NEGATIVE")))</f>
        <v>NEGATIVE</v>
      </c>
      <c r="AZ5" s="12" cm="1">
        <f t="array" ref="AZ5">_xll.BDP($B5, "INTERVAL_RSI", "TECH_STUDIES_PARAM1_OVERRIDE", "5", "PERIODICITY_OVERRIDE", "W")</f>
        <v>65.774146942545514</v>
      </c>
      <c r="BA5" cm="1">
        <f t="array" ref="BA5">IFERROR(VALUE(_xll.BDP($B5,"INTERVAL_MAE_MOV_AVG","CALC_INTERVAL","520D","TECH_STUDIES_PARAM1_OVERRIDE",31,"USE_PREVIOUS_BUSINESS_DAY","N")),"")</f>
        <v>106.84854832803047</v>
      </c>
      <c r="BB5" cm="1">
        <f t="array" ref="BB5">IFERROR(VALUE(_xll.BDP($B5,"INTERVAL_MAE_MOV_AVG","CALC_INTERVAL","760D","TECH_STUDIES_PARAM1_OVERRIDE",200,"USE_PREVIOUS_BUSINESS_DAY","N")),"")</f>
        <v>107.06807499084469</v>
      </c>
      <c r="BC5" s="13">
        <f t="shared" ref="BC5:BC41" si="35">-1+(I5/BA5)</f>
        <v>6.6871916453337121E-4</v>
      </c>
      <c r="BD5" s="13">
        <f t="shared" ref="BD5:BD41" si="36">-1+(I5/O5)</f>
        <v>8.2934452465743824E-4</v>
      </c>
      <c r="BE5" s="13">
        <f t="shared" ref="BE5:BE41" si="37">-1+(I5/BB5)</f>
        <v>-1.3829985348793317E-3</v>
      </c>
      <c r="BF5" s="14" cm="1">
        <f t="array" ref="BF5">VALUE(_xll.BDP($B5,"INTERVAL_DATE_OF_CALC_HI","CALC_INTERVAL","3M"))</f>
        <v>45972</v>
      </c>
      <c r="BG5" s="14" cm="1">
        <f t="array" ref="BG5">VALUE(_xll.BDP($B5,"INTERVAL_DATE_OF_CALC_LO","CALC_INTERVAL","3M"))</f>
        <v>46001</v>
      </c>
      <c r="BH5" s="14" cm="1">
        <f t="array" ref="BH5">VALUE(_xll.BDP($B5,"INTERVAL_DATE_OF_CALC_HI","CALC_INTERVAL","1M"))</f>
        <v>46063</v>
      </c>
      <c r="BI5" s="14" cm="1">
        <f t="array" ref="BI5">VALUE(_xll.BDP($B5,"INTERVAL_DATE_OF_CALC_LO","CALC_INTERVAL","1M"))</f>
        <v>46045</v>
      </c>
      <c r="BJ5" s="15">
        <f>$F5-MIN(_xll.BDP("NYA Index","RSI_14D"),_xll.BDP("RSP US Equity","RSI_14D"))</f>
        <v>-8.6020183424377308</v>
      </c>
    </row>
    <row r="6" spans="1:62" x14ac:dyDescent="0.25">
      <c r="A6" s="11">
        <v>5</v>
      </c>
      <c r="B6" s="26" t="s">
        <v>323</v>
      </c>
      <c r="C6" s="1" t="s">
        <v>324</v>
      </c>
      <c r="D6" s="1" t="s">
        <v>316</v>
      </c>
      <c r="E6" s="11" t="s">
        <v>944</v>
      </c>
      <c r="F6">
        <f>IFERROR(VALUE((_xll.BDP($B6,"interval_rsi","tech_studies_param1_override",14))),"")</f>
        <v>53.816296756984862</v>
      </c>
      <c r="G6">
        <f t="shared" si="0"/>
        <v>52.525531939815814</v>
      </c>
      <c r="H6">
        <f t="shared" si="11"/>
        <v>0</v>
      </c>
      <c r="I6" cm="1">
        <f t="array" ref="I6">IFERROR(VALUE(_xll.BDP($B6,"px_last")),"")</f>
        <v>109.125</v>
      </c>
      <c r="J6">
        <f t="shared" si="1"/>
        <v>6941.47</v>
      </c>
      <c r="K6" cm="1">
        <f t="array" ref="K6">IFERROR(VALUE(_xll.BDP($B6,"PX_YEST_CLOSE")),"")</f>
        <v>109.1328125</v>
      </c>
      <c r="L6">
        <f t="shared" si="2"/>
        <v>6941.81</v>
      </c>
      <c r="M6">
        <f t="shared" si="12"/>
        <v>1.5720733504574678E-2</v>
      </c>
      <c r="N6">
        <f t="shared" si="13"/>
        <v>1.5721088952304944E-2</v>
      </c>
      <c r="O6" cm="1">
        <f t="array" ref="O6">IFERROR(VALUE(_xll.BDP($B6,"INTERVAL_MAE_MOV_AVG","CALC_INTERVAL","520D","TECH_STUDIES_PARAM1_OVERRIDE",50,"USE_PREVIOUS_BUSINESS_DAY","N")),"")</f>
        <v>109.112042</v>
      </c>
      <c r="P6">
        <f t="shared" si="3"/>
        <v>6894.0953999999992</v>
      </c>
      <c r="Q6" cm="1">
        <f t="array" ref="Q6">IFERROR(VALUE(_xll.BDP($B6,"INTERVAL_MAE_MOV_AVG","CALC_INTERVAL","520D","TECH_STUDIES_PARAM1_OVERRIDE",50,"USE_PREVIOUS_BUSINESS_DAY","Y")),"")</f>
        <v>109.12282400000002</v>
      </c>
      <c r="R6">
        <f t="shared" si="4"/>
        <v>6892.2477999999992</v>
      </c>
      <c r="S6">
        <f t="shared" si="14"/>
        <v>1.5826883103474316E-2</v>
      </c>
      <c r="T6">
        <f t="shared" si="15"/>
        <v>1.5832690171122408E-2</v>
      </c>
      <c r="U6" s="11" t="str">
        <f t="shared" si="16"/>
        <v>NEGATIVE</v>
      </c>
      <c r="V6" s="11" t="str">
        <f t="shared" si="17"/>
        <v/>
      </c>
      <c r="W6" s="11" t="str">
        <f t="shared" si="18"/>
        <v>DOWN</v>
      </c>
      <c r="X6" s="6" t="str">
        <f t="shared" si="19"/>
        <v>NEGATIVE</v>
      </c>
      <c r="Y6" cm="1">
        <f t="array" ref="Y6">IFERROR(VALUE(_xll.BDP($B6,"INTERVAL_MAE_MOV_AVG","CALC_INTERVAL","520D","TECH_STUDIES_PARAM1_OVERRIDE",65,"USE_PREVIOUS_BUSINESS_DAY","N")),"")</f>
        <v>109.18618923076924</v>
      </c>
      <c r="Z6">
        <f t="shared" si="5"/>
        <v>6856.0226153846133</v>
      </c>
      <c r="AA6" cm="1">
        <f t="array" ref="AA6">IFERROR(VALUE(_xll.BDP($B6,"INTERVAL_MAE_MOV_AVG","CALC_INTERVAL","520D","TECH_STUDIES_PARAM1_OVERRIDE",65,"USE_PREVIOUS_BUSINESS_DAY","Y")),"")</f>
        <v>109.18931384615387</v>
      </c>
      <c r="AB6">
        <f t="shared" si="6"/>
        <v>6852.6203076923057</v>
      </c>
      <c r="AC6">
        <f t="shared" si="20"/>
        <v>1.5925587670285717E-2</v>
      </c>
      <c r="AD6">
        <f t="shared" si="21"/>
        <v>1.5933950655865909E-2</v>
      </c>
      <c r="AE6" s="10" t="str">
        <f t="shared" si="22"/>
        <v>DOWN</v>
      </c>
      <c r="AF6" s="10" t="str">
        <f t="shared" si="23"/>
        <v>DOWN</v>
      </c>
      <c r="AG6" s="6" t="str">
        <f t="shared" si="24"/>
        <v>NEGATIVE</v>
      </c>
      <c r="AH6" cm="1">
        <f t="array" ref="AH6">IFERROR(VALUE(_xll.BDP($B6,"INTERVAL_MAE_MOV_AVG","CALC_INTERVAL","65W","PERIODICITY_OVERRIDE","W","TECH_STUDIES_PARAM1_OVERRIDE",39,"USE_PREVIOUS_BUSINESS_DAY","N")),"")</f>
        <v>108.93711025641026</v>
      </c>
      <c r="AI6">
        <f t="shared" si="7"/>
        <v>6560.7735897435905</v>
      </c>
      <c r="AJ6" cm="1">
        <f t="array" ref="AJ6">IFERROR(VALUE(_xll.BDP($B6,"INTERVAL_MAE_MOV_AVG","CALC_INTERVAL","65W","PERIODICITY_OVERRIDE","W","TECH_STUDIES_PARAM1_OVERRIDE",39,"USE_PREVIOUS_BUSINESS_DAY","Y")),"")</f>
        <v>108.94211794871796</v>
      </c>
      <c r="AK6">
        <f t="shared" si="8"/>
        <v>6560.7823076923087</v>
      </c>
      <c r="AL6">
        <f t="shared" si="25"/>
        <v>1.6604308739858187E-2</v>
      </c>
      <c r="AM6">
        <f t="shared" si="26"/>
        <v>1.6605049952806206E-2</v>
      </c>
      <c r="AN6" s="10" t="str">
        <f t="shared" si="27"/>
        <v>DOWN</v>
      </c>
      <c r="AO6" s="10" t="str">
        <f t="shared" si="28"/>
        <v>DOWN</v>
      </c>
      <c r="AP6" s="6" t="str">
        <f t="shared" si="29"/>
        <v>NEGATIVE</v>
      </c>
      <c r="AQ6" cm="1">
        <f t="array" ref="AQ6">IFERROR(VALUE(_xll.BDP($B6,"INTERVAL_exp_MOV_AVG","CALC_INTERVAL","520D","TECH_STUDIES_PARAM1_OVERRIDE",100,"USE_PREVIOUS_BUSINESS_DAY","N")),"")</f>
        <v>109.09466207991527</v>
      </c>
      <c r="AR6">
        <f t="shared" si="9"/>
        <v>6773.0064518682802</v>
      </c>
      <c r="AS6" cm="1">
        <f t="array" ref="AS6">IFERROR(VALUE(_xll.BDP($B6,"INTERVAL_exp_MOV_AVG","CALC_INTERVAL","520D","TECH_STUDIES_PARAM1_OVERRIDE",100,"USE_PREVIOUS_BUSINESS_DAY","Y")),"")</f>
        <v>109.09388619032842</v>
      </c>
      <c r="AT6">
        <f t="shared" si="10"/>
        <v>6769.6039787132295</v>
      </c>
      <c r="AU6">
        <f t="shared" si="30"/>
        <v>1.610727272374329E-2</v>
      </c>
      <c r="AV6">
        <f t="shared" si="31"/>
        <v>1.6115253792300131E-2</v>
      </c>
      <c r="AW6" s="11" t="str">
        <f t="shared" si="32"/>
        <v>UP</v>
      </c>
      <c r="AX6" s="11" t="str">
        <f t="shared" si="33"/>
        <v>DOWN</v>
      </c>
      <c r="AY6" s="6" t="str">
        <f t="shared" si="34"/>
        <v>NEGATIVE</v>
      </c>
      <c r="AZ6" s="12" cm="1">
        <f t="array" ref="AZ6">_xll.BDP($B6, "INTERVAL_RSI", "TECH_STUDIES_PARAM1_OVERRIDE", "5", "PERIODICITY_OVERRIDE", "W")</f>
        <v>55.51804200629131</v>
      </c>
      <c r="BA6" cm="1">
        <f t="array" ref="BA6">IFERROR(VALUE(_xll.BDP($B6,"INTERVAL_MAE_MOV_AVG","CALC_INTERVAL","520D","TECH_STUDIES_PARAM1_OVERRIDE",31,"USE_PREVIOUS_BUSINESS_DAY","N")),"")</f>
        <v>109.01639354838711</v>
      </c>
      <c r="BB6" cm="1">
        <f t="array" ref="BB6">IFERROR(VALUE(_xll.BDP($B6,"INTERVAL_MAE_MOV_AVG","CALC_INTERVAL","760D","TECH_STUDIES_PARAM1_OVERRIDE",200,"USE_PREVIOUS_BUSINESS_DAY","N")),"")</f>
        <v>108.88864150000002</v>
      </c>
      <c r="BC6" s="13">
        <f t="shared" si="35"/>
        <v>9.9623963036976626E-4</v>
      </c>
      <c r="BD6" s="13">
        <f t="shared" si="36"/>
        <v>1.1875866093680187E-4</v>
      </c>
      <c r="BE6" s="13">
        <f t="shared" si="37"/>
        <v>2.1706442172848561E-3</v>
      </c>
      <c r="BF6" s="14" cm="1">
        <f t="array" ref="BF6">VALUE(_xll.BDP($B6,"INTERVAL_DATE_OF_CALC_HI","CALC_INTERVAL","3M"))</f>
        <v>45986</v>
      </c>
      <c r="BG6" s="14" cm="1">
        <f t="array" ref="BG6">VALUE(_xll.BDP($B6,"INTERVAL_DATE_OF_CALC_LO","CALC_INTERVAL","3M"))</f>
        <v>46042</v>
      </c>
      <c r="BH6" s="14" cm="1">
        <f t="array" ref="BH6">VALUE(_xll.BDP($B6,"INTERVAL_DATE_OF_CALC_HI","CALC_INTERVAL","1M"))</f>
        <v>46063</v>
      </c>
      <c r="BI6" s="14" cm="1">
        <f t="array" ref="BI6">VALUE(_xll.BDP($B6,"INTERVAL_DATE_OF_CALC_LO","CALC_INTERVAL","1M"))</f>
        <v>46042</v>
      </c>
      <c r="BJ6" s="15">
        <f>$F6-MIN(_xll.BDP("NYA Index","RSI_14D"),_xll.BDP("RSP US Equity","RSI_14D"))</f>
        <v>-12.529467403171388</v>
      </c>
    </row>
    <row r="7" spans="1:62" x14ac:dyDescent="0.25">
      <c r="A7" s="11">
        <v>6</v>
      </c>
      <c r="B7" s="26" t="s">
        <v>337</v>
      </c>
      <c r="C7" s="1" t="s">
        <v>338</v>
      </c>
      <c r="D7" s="1" t="s">
        <v>316</v>
      </c>
      <c r="E7" s="11" t="s">
        <v>944</v>
      </c>
      <c r="F7">
        <f>IFERROR(VALUE((_xll.BDP($B7,"interval_rsi","tech_studies_param1_override",14))),"")</f>
        <v>45.477582801455675</v>
      </c>
      <c r="G7">
        <f t="shared" si="0"/>
        <v>52.525531939815814</v>
      </c>
      <c r="H7">
        <f t="shared" si="11"/>
        <v>0</v>
      </c>
      <c r="I7" cm="1">
        <f t="array" ref="I7">IFERROR(VALUE(_xll.BDP($B7,"px_last")),"")</f>
        <v>91.03</v>
      </c>
      <c r="J7">
        <f t="shared" si="1"/>
        <v>6941.47</v>
      </c>
      <c r="K7" cm="1">
        <f t="array" ref="K7">IFERROR(VALUE(_xll.BDP($B7,"PX_YEST_CLOSE")),"")</f>
        <v>91.03</v>
      </c>
      <c r="L7">
        <f t="shared" si="2"/>
        <v>6941.81</v>
      </c>
      <c r="M7">
        <f t="shared" si="12"/>
        <v>1.311393696147934E-2</v>
      </c>
      <c r="N7">
        <f t="shared" si="13"/>
        <v>1.3113294659462012E-2</v>
      </c>
      <c r="O7" cm="1">
        <f t="array" ref="O7">IFERROR(VALUE(_xll.BDP($B7,"INTERVAL_MAE_MOV_AVG","CALC_INTERVAL","520D","TECH_STUDIES_PARAM1_OVERRIDE",50,"USE_PREVIOUS_BUSINESS_DAY","N")),"")</f>
        <v>91.96199877558594</v>
      </c>
      <c r="P7">
        <f t="shared" si="3"/>
        <v>6894.0953999999992</v>
      </c>
      <c r="Q7" cm="1">
        <f t="array" ref="Q7">IFERROR(VALUE(_xll.BDP($B7,"INTERVAL_MAE_MOV_AVG","CALC_INTERVAL","520D","TECH_STUDIES_PARAM1_OVERRIDE",50,"USE_PREVIOUS_BUSINESS_DAY","Y")),"")</f>
        <v>92.000798800000013</v>
      </c>
      <c r="R7">
        <f t="shared" si="4"/>
        <v>6892.2477999999992</v>
      </c>
      <c r="S7">
        <f t="shared" si="14"/>
        <v>1.3339240819845045E-2</v>
      </c>
      <c r="T7">
        <f t="shared" si="15"/>
        <v>1.3348446177457523E-2</v>
      </c>
      <c r="U7" s="11" t="str">
        <f t="shared" si="16"/>
        <v>NEGATIVE</v>
      </c>
      <c r="V7" s="11" t="str">
        <f t="shared" si="17"/>
        <v/>
      </c>
      <c r="W7" s="11" t="str">
        <f t="shared" si="18"/>
        <v>DOWN</v>
      </c>
      <c r="X7" s="6" t="str">
        <f t="shared" si="19"/>
        <v>NEGATIVE</v>
      </c>
      <c r="Y7" cm="1">
        <f t="array" ref="Y7">IFERROR(VALUE(_xll.BDP($B7,"INTERVAL_MAE_MOV_AVG","CALC_INTERVAL","520D","TECH_STUDIES_PARAM1_OVERRIDE",65,"USE_PREVIOUS_BUSINESS_DAY","N")),"")</f>
        <v>92.148614135066111</v>
      </c>
      <c r="Z7">
        <f t="shared" si="5"/>
        <v>6856.0226153846133</v>
      </c>
      <c r="AA7" cm="1">
        <f t="array" ref="AA7">IFERROR(VALUE(_xll.BDP($B7,"INTERVAL_MAE_MOV_AVG","CALC_INTERVAL","520D","TECH_STUDIES_PARAM1_OVERRIDE",65,"USE_PREVIOUS_BUSINESS_DAY","Y")),"")</f>
        <v>92.18261415384616</v>
      </c>
      <c r="AB7">
        <f t="shared" si="6"/>
        <v>6852.6203076923057</v>
      </c>
      <c r="AC7">
        <f t="shared" si="20"/>
        <v>1.3440535322664874E-2</v>
      </c>
      <c r="AD7">
        <f t="shared" si="21"/>
        <v>1.3452170121021874E-2</v>
      </c>
      <c r="AE7" s="10" t="str">
        <f t="shared" si="22"/>
        <v>DOWN</v>
      </c>
      <c r="AF7" s="10" t="str">
        <f t="shared" si="23"/>
        <v>DOWN</v>
      </c>
      <c r="AG7" s="6" t="str">
        <f t="shared" si="24"/>
        <v>NEGATIVE</v>
      </c>
      <c r="AH7" cm="1">
        <f t="array" ref="AH7">IFERROR(VALUE(_xll.BDP($B7,"INTERVAL_MAE_MOV_AVG","CALC_INTERVAL","65W","PERIODICITY_OVERRIDE","W","TECH_STUDIES_PARAM1_OVERRIDE",39,"USE_PREVIOUS_BUSINESS_DAY","N")),"")</f>
        <v>91.877690481520403</v>
      </c>
      <c r="AI7">
        <f t="shared" si="7"/>
        <v>6560.7735897435905</v>
      </c>
      <c r="AJ7" cm="1">
        <f t="array" ref="AJ7">IFERROR(VALUE(_xll.BDP($B7,"INTERVAL_MAE_MOV_AVG","CALC_INTERVAL","65W","PERIODICITY_OVERRIDE","W","TECH_STUDIES_PARAM1_OVERRIDE",39,"USE_PREVIOUS_BUSINESS_DAY","Y")),"")</f>
        <v>91.873844358974324</v>
      </c>
      <c r="AK7">
        <f t="shared" si="8"/>
        <v>6560.7823076923087</v>
      </c>
      <c r="AL7">
        <f t="shared" si="25"/>
        <v>1.4004094063717139E-2</v>
      </c>
      <c r="AM7">
        <f t="shared" si="26"/>
        <v>1.4003489225858807E-2</v>
      </c>
      <c r="AN7" s="10" t="str">
        <f t="shared" si="27"/>
        <v>UP</v>
      </c>
      <c r="AO7" s="10" t="str">
        <f t="shared" si="28"/>
        <v>UP</v>
      </c>
      <c r="AP7" s="6" t="str">
        <f t="shared" si="29"/>
        <v>NEGATIVE</v>
      </c>
      <c r="AQ7" cm="1">
        <f t="array" ref="AQ7">IFERROR(VALUE(_xll.BDP($B7,"INTERVAL_exp_MOV_AVG","CALC_INTERVAL","520D","TECH_STUDIES_PARAM1_OVERRIDE",100,"USE_PREVIOUS_BUSINESS_DAY","N")),"")</f>
        <v>91.936653579530102</v>
      </c>
      <c r="AR7">
        <f t="shared" si="9"/>
        <v>6773.0064518682802</v>
      </c>
      <c r="AS7" cm="1">
        <f t="array" ref="AS7">IFERROR(VALUE(_xll.BDP($B7,"INTERVAL_exp_MOV_AVG","CALC_INTERVAL","520D","TECH_STUDIES_PARAM1_OVERRIDE",100,"USE_PREVIOUS_BUSINESS_DAY","Y")),"")</f>
        <v>91.954964939350162</v>
      </c>
      <c r="AT7">
        <f t="shared" si="10"/>
        <v>6769.6039787132295</v>
      </c>
      <c r="AU7">
        <f t="shared" si="30"/>
        <v>1.35739799205669E-2</v>
      </c>
      <c r="AV7">
        <f t="shared" si="31"/>
        <v>1.3583507281740433E-2</v>
      </c>
      <c r="AW7" s="11" t="str">
        <f t="shared" si="32"/>
        <v>DOWN</v>
      </c>
      <c r="AX7" s="11" t="str">
        <f t="shared" si="33"/>
        <v>DOWN</v>
      </c>
      <c r="AY7" s="6" t="str">
        <f t="shared" si="34"/>
        <v>NEGATIVE</v>
      </c>
      <c r="AZ7" s="12" cm="1">
        <f t="array" ref="AZ7">_xll.BDP($B7, "INTERVAL_RSI", "TECH_STUDIES_PARAM1_OVERRIDE", "5", "PERIODICITY_OVERRIDE", "W")</f>
        <v>39.704225393903663</v>
      </c>
      <c r="BA7" cm="1">
        <f t="array" ref="BA7">IFERROR(VALUE(_xll.BDP($B7,"INTERVAL_MAE_MOV_AVG","CALC_INTERVAL","520D","TECH_STUDIES_PARAM1_OVERRIDE",31,"USE_PREVIOUS_BUSINESS_DAY","N")),"")</f>
        <v>91.409353509009577</v>
      </c>
      <c r="BB7" cm="1">
        <f t="array" ref="BB7">IFERROR(VALUE(_xll.BDP($B7,"INTERVAL_MAE_MOV_AVG","CALC_INTERVAL","760D","TECH_STUDIES_PARAM1_OVERRIDE",200,"USE_PREVIOUS_BUSINESS_DAY","N")),"")</f>
        <v>91.9680487938965</v>
      </c>
      <c r="BC7" s="13">
        <f t="shared" si="35"/>
        <v>-4.1500513289615126E-3</v>
      </c>
      <c r="BD7" s="13">
        <f t="shared" si="36"/>
        <v>-1.0134607642231508E-2</v>
      </c>
      <c r="BE7" s="13">
        <f t="shared" si="37"/>
        <v>-1.0199724863128257E-2</v>
      </c>
      <c r="BF7" s="14" cm="1">
        <f t="array" ref="BF7">VALUE(_xll.BDP($B7,"INTERVAL_DATE_OF_CALC_HI","CALC_INTERVAL","3M"))</f>
        <v>45972</v>
      </c>
      <c r="BG7" s="14" cm="1">
        <f t="array" ref="BG7">VALUE(_xll.BDP($B7,"INTERVAL_DATE_OF_CALC_LO","CALC_INTERVAL","3M"))</f>
        <v>46058</v>
      </c>
      <c r="BH7" s="14" cm="1">
        <f t="array" ref="BH7">VALUE(_xll.BDP($B7,"INTERVAL_DATE_OF_CALC_HI","CALC_INTERVAL","1M"))</f>
        <v>46036</v>
      </c>
      <c r="BI7" s="14" cm="1">
        <f t="array" ref="BI7">VALUE(_xll.BDP($B7,"INTERVAL_DATE_OF_CALC_LO","CALC_INTERVAL","1M"))</f>
        <v>46058</v>
      </c>
      <c r="BJ7" s="15">
        <f>$F7-MIN(_xll.BDP("NYA Index","RSI_14D"),_xll.BDP("RSP US Equity","RSI_14D"))</f>
        <v>-20.868181358700575</v>
      </c>
    </row>
    <row r="8" spans="1:62" x14ac:dyDescent="0.25">
      <c r="A8" s="11">
        <v>7</v>
      </c>
      <c r="B8" s="26" t="s">
        <v>339</v>
      </c>
      <c r="C8" s="1" t="s">
        <v>340</v>
      </c>
      <c r="D8" s="1" t="s">
        <v>316</v>
      </c>
      <c r="E8" s="11" t="s">
        <v>944</v>
      </c>
      <c r="F8">
        <f>IFERROR(VALUE((_xll.BDP($B8,"interval_rsi","tech_studies_param1_override",14))),"")</f>
        <v>65.105911626043337</v>
      </c>
      <c r="G8">
        <f t="shared" si="0"/>
        <v>52.525531939815814</v>
      </c>
      <c r="H8">
        <f t="shared" si="11"/>
        <v>1</v>
      </c>
      <c r="I8" cm="1">
        <f t="array" ref="I8">IFERROR(VALUE(_xll.BDP($B8,"px_last")),"")</f>
        <v>121.67</v>
      </c>
      <c r="J8">
        <f t="shared" si="1"/>
        <v>6941.47</v>
      </c>
      <c r="K8" cm="1">
        <f t="array" ref="K8">IFERROR(VALUE(_xll.BDP($B8,"PX_YEST_CLOSE")),"")</f>
        <v>121.67</v>
      </c>
      <c r="L8">
        <f t="shared" si="2"/>
        <v>6941.81</v>
      </c>
      <c r="M8">
        <f t="shared" si="12"/>
        <v>1.752798758764354E-2</v>
      </c>
      <c r="N8">
        <f t="shared" si="13"/>
        <v>1.7527129091692222E-2</v>
      </c>
      <c r="O8" cm="1">
        <f t="array" ref="O8">IFERROR(VALUE(_xll.BDP($B8,"INTERVAL_MAE_MOV_AVG","CALC_INTERVAL","520D","TECH_STUDIES_PARAM1_OVERRIDE",50,"USE_PREVIOUS_BUSINESS_DAY","N")),"")</f>
        <v>120.61919996337889</v>
      </c>
      <c r="P8">
        <f t="shared" si="3"/>
        <v>6894.0953999999992</v>
      </c>
      <c r="Q8" cm="1">
        <f t="array" ref="Q8">IFERROR(VALUE(_xll.BDP($B8,"INTERVAL_MAE_MOV_AVG","CALC_INTERVAL","520D","TECH_STUDIES_PARAM1_OVERRIDE",50,"USE_PREVIOUS_BUSINESS_DAY","Y")),"")</f>
        <v>120.61440000000003</v>
      </c>
      <c r="R8">
        <f t="shared" si="4"/>
        <v>6892.2477999999992</v>
      </c>
      <c r="S8">
        <f t="shared" si="14"/>
        <v>1.7496015498041834E-2</v>
      </c>
      <c r="T8">
        <f t="shared" si="15"/>
        <v>1.750000921324971E-2</v>
      </c>
      <c r="U8" s="11" t="str">
        <f t="shared" si="16"/>
        <v>POSITIVE</v>
      </c>
      <c r="V8" s="11" t="str">
        <f t="shared" si="17"/>
        <v/>
      </c>
      <c r="W8" s="11" t="str">
        <f t="shared" si="18"/>
        <v>DOWN</v>
      </c>
      <c r="X8" s="6" t="str">
        <f t="shared" si="19"/>
        <v>POSITIVE</v>
      </c>
      <c r="Y8" cm="1">
        <f t="array" ref="Y8">IFERROR(VALUE(_xll.BDP($B8,"INTERVAL_MAE_MOV_AVG","CALC_INTERVAL","520D","TECH_STUDIES_PARAM1_OVERRIDE",65,"USE_PREVIOUS_BUSINESS_DAY","N")),"")</f>
        <v>120.72415381798379</v>
      </c>
      <c r="Z8">
        <f t="shared" si="5"/>
        <v>6856.0226153846133</v>
      </c>
      <c r="AA8" cm="1">
        <f t="array" ref="AA8">IFERROR(VALUE(_xll.BDP($B8,"INTERVAL_MAE_MOV_AVG","CALC_INTERVAL","520D","TECH_STUDIES_PARAM1_OVERRIDE",65,"USE_PREVIOUS_BUSINESS_DAY","Y")),"")</f>
        <v>120.71569230769235</v>
      </c>
      <c r="AB8">
        <f t="shared" si="6"/>
        <v>6852.6203076923057</v>
      </c>
      <c r="AC8">
        <f t="shared" si="20"/>
        <v>1.7608482438066071E-2</v>
      </c>
      <c r="AD8">
        <f t="shared" si="21"/>
        <v>1.7615990217958635E-2</v>
      </c>
      <c r="AE8" s="10" t="str">
        <f t="shared" si="22"/>
        <v>UP</v>
      </c>
      <c r="AF8" s="10" t="str">
        <f t="shared" si="23"/>
        <v>DOWN</v>
      </c>
      <c r="AG8" s="6" t="str">
        <f t="shared" si="24"/>
        <v>NEGATIVE</v>
      </c>
      <c r="AH8" cm="1">
        <f t="array" ref="AH8">IFERROR(VALUE(_xll.BDP($B8,"INTERVAL_MAE_MOV_AVG","CALC_INTERVAL","65W","PERIODICITY_OVERRIDE","W","TECH_STUDIES_PARAM1_OVERRIDE",39,"USE_PREVIOUS_BUSINESS_DAY","N")),"")</f>
        <v>120.61999995304984</v>
      </c>
      <c r="AI8">
        <f t="shared" si="7"/>
        <v>6560.7735897435905</v>
      </c>
      <c r="AJ8" cm="1">
        <f t="array" ref="AJ8">IFERROR(VALUE(_xll.BDP($B8,"INTERVAL_MAE_MOV_AVG","CALC_INTERVAL","65W","PERIODICITY_OVERRIDE","W","TECH_STUDIES_PARAM1_OVERRIDE",39,"USE_PREVIOUS_BUSINESS_DAY","Y")),"")</f>
        <v>120.61948717948715</v>
      </c>
      <c r="AK8">
        <f t="shared" si="8"/>
        <v>6560.7823076923087</v>
      </c>
      <c r="AL8">
        <f t="shared" si="25"/>
        <v>1.8385027055592074E-2</v>
      </c>
      <c r="AM8">
        <f t="shared" si="26"/>
        <v>1.8384924468239808E-2</v>
      </c>
      <c r="AN8" s="10" t="str">
        <f t="shared" si="27"/>
        <v>UP</v>
      </c>
      <c r="AO8" s="10" t="str">
        <f t="shared" si="28"/>
        <v>UP</v>
      </c>
      <c r="AP8" s="6" t="str">
        <f t="shared" si="29"/>
        <v>NEGATIVE</v>
      </c>
      <c r="AQ8" cm="1">
        <f t="array" ref="AQ8">IFERROR(VALUE(_xll.BDP($B8,"INTERVAL_exp_MOV_AVG","CALC_INTERVAL","520D","TECH_STUDIES_PARAM1_OVERRIDE",100,"USE_PREVIOUS_BUSINESS_DAY","N")),"")</f>
        <v>120.70803957989833</v>
      </c>
      <c r="AR8">
        <f t="shared" si="9"/>
        <v>6773.0064518682802</v>
      </c>
      <c r="AS8" cm="1">
        <f t="array" ref="AS8">IFERROR(VALUE(_xll.BDP($B8,"INTERVAL_exp_MOV_AVG","CALC_INTERVAL","520D","TECH_STUDIES_PARAM1_OVERRIDE",100,"USE_PREVIOUS_BUSINESS_DAY","Y")),"")</f>
        <v>120.68859624245611</v>
      </c>
      <c r="AT8">
        <f t="shared" si="10"/>
        <v>6769.6039787132295</v>
      </c>
      <c r="AU8">
        <f t="shared" si="30"/>
        <v>1.7821928922952961E-2</v>
      </c>
      <c r="AV8">
        <f t="shared" si="31"/>
        <v>1.7828014256366688E-2</v>
      </c>
      <c r="AW8" s="11" t="str">
        <f t="shared" si="32"/>
        <v>UP</v>
      </c>
      <c r="AX8" s="11" t="str">
        <f t="shared" si="33"/>
        <v>DOWN</v>
      </c>
      <c r="AY8" s="6" t="str">
        <f t="shared" si="34"/>
        <v>NEGATIVE</v>
      </c>
      <c r="AZ8" s="12" cm="1">
        <f t="array" ref="AZ8">_xll.BDP($B8, "INTERVAL_RSI", "TECH_STUDIES_PARAM1_OVERRIDE", "5", "PERIODICITY_OVERRIDE", "W")</f>
        <v>73.838005232279045</v>
      </c>
      <c r="BA8" cm="1">
        <f t="array" ref="BA8">IFERROR(VALUE(_xll.BDP($B8,"INTERVAL_MAE_MOV_AVG","CALC_INTERVAL","520D","TECH_STUDIES_PARAM1_OVERRIDE",31,"USE_PREVIOUS_BUSINESS_DAY","N")),"")</f>
        <v>120.84451606996595</v>
      </c>
      <c r="BB8" cm="1">
        <f t="array" ref="BB8">IFERROR(VALUE(_xll.BDP($B8,"INTERVAL_MAE_MOV_AVG","CALC_INTERVAL","760D","TECH_STUDIES_PARAM1_OVERRIDE",200,"USE_PREVIOUS_BUSINESS_DAY","N")),"")</f>
        <v>120.63314999084476</v>
      </c>
      <c r="BC8" s="13">
        <f t="shared" si="35"/>
        <v>6.8309589618127387E-3</v>
      </c>
      <c r="BD8" s="13">
        <f t="shared" si="36"/>
        <v>8.7117145275390495E-3</v>
      </c>
      <c r="BE8" s="13">
        <f t="shared" si="37"/>
        <v>8.5950670212453506E-3</v>
      </c>
      <c r="BF8" s="14" cm="1">
        <f t="array" ref="BF8">VALUE(_xll.BDP($B8,"INTERVAL_DATE_OF_CALC_HI","CALC_INTERVAL","3M"))</f>
        <v>46064</v>
      </c>
      <c r="BG8" s="14" cm="1">
        <f t="array" ref="BG8">VALUE(_xll.BDP($B8,"INTERVAL_DATE_OF_CALC_LO","CALC_INTERVAL","3M"))</f>
        <v>46013</v>
      </c>
      <c r="BH8" s="14" cm="1">
        <f t="array" ref="BH8">VALUE(_xll.BDP($B8,"INTERVAL_DATE_OF_CALC_HI","CALC_INTERVAL","1M"))</f>
        <v>46064</v>
      </c>
      <c r="BI8" s="14" cm="1">
        <f t="array" ref="BI8">VALUE(_xll.BDP($B8,"INTERVAL_DATE_OF_CALC_LO","CALC_INTERVAL","1M"))</f>
        <v>46043</v>
      </c>
      <c r="BJ8" s="15">
        <f>$F8-MIN(_xll.BDP("NYA Index","RSI_14D"),_xll.BDP("RSP US Equity","RSI_14D"))</f>
        <v>-1.239852534112913</v>
      </c>
    </row>
    <row r="9" spans="1:62" x14ac:dyDescent="0.25">
      <c r="A9" s="11">
        <v>8</v>
      </c>
      <c r="B9" s="26" t="s">
        <v>345</v>
      </c>
      <c r="C9" s="1" t="s">
        <v>346</v>
      </c>
      <c r="D9" s="1" t="s">
        <v>316</v>
      </c>
      <c r="E9" s="11" t="s">
        <v>944</v>
      </c>
      <c r="F9">
        <f>IFERROR(VALUE((_xll.BDP($B9,"interval_rsi","tech_studies_param1_override",14))),"")</f>
        <v>44.573106383134608</v>
      </c>
      <c r="G9">
        <f t="shared" si="0"/>
        <v>52.525531939815814</v>
      </c>
      <c r="H9">
        <f t="shared" si="11"/>
        <v>0</v>
      </c>
      <c r="I9" cm="1">
        <f t="array" ref="I9">IFERROR(VALUE(_xll.BDP($B9,"px_last")),"")</f>
        <v>131.85</v>
      </c>
      <c r="J9">
        <f t="shared" si="1"/>
        <v>6941.47</v>
      </c>
      <c r="K9" cm="1">
        <f t="array" ref="K9">IFERROR(VALUE(_xll.BDP($B9,"PX_YEST_CLOSE")),"")</f>
        <v>131.53</v>
      </c>
      <c r="L9">
        <f t="shared" si="2"/>
        <v>6941.81</v>
      </c>
      <c r="M9">
        <f t="shared" si="12"/>
        <v>1.8994535739547961E-2</v>
      </c>
      <c r="N9">
        <f t="shared" si="13"/>
        <v>1.8947507926607036E-2</v>
      </c>
      <c r="O9" cm="1">
        <f t="array" ref="O9">IFERROR(VALUE(_xll.BDP($B9,"INTERVAL_MAE_MOV_AVG","CALC_INTERVAL","520D","TECH_STUDIES_PARAM1_OVERRIDE",50,"USE_PREVIOUS_BUSINESS_DAY","N")),"")</f>
        <v>132.62619999999998</v>
      </c>
      <c r="P9">
        <f t="shared" si="3"/>
        <v>6894.0953999999992</v>
      </c>
      <c r="Q9" cm="1">
        <f t="array" ref="Q9">IFERROR(VALUE(_xll.BDP($B9,"INTERVAL_MAE_MOV_AVG","CALC_INTERVAL","520D","TECH_STUDIES_PARAM1_OVERRIDE",50,"USE_PREVIOUS_BUSINESS_DAY","Y")),"")</f>
        <v>132.62619999999998</v>
      </c>
      <c r="R9">
        <f t="shared" si="4"/>
        <v>6892.2477999999992</v>
      </c>
      <c r="S9">
        <f t="shared" si="14"/>
        <v>1.9237650816378318E-2</v>
      </c>
      <c r="T9">
        <f t="shared" si="15"/>
        <v>1.9242807839845805E-2</v>
      </c>
      <c r="U9" s="11" t="str">
        <f t="shared" si="16"/>
        <v>NEGATIVE</v>
      </c>
      <c r="V9" s="11" t="str">
        <f t="shared" si="17"/>
        <v/>
      </c>
      <c r="W9" s="11" t="str">
        <f t="shared" si="18"/>
        <v>DOWN</v>
      </c>
      <c r="X9" s="6" t="str">
        <f t="shared" si="19"/>
        <v>NEGATIVE</v>
      </c>
      <c r="Y9" cm="1">
        <f t="array" ref="Y9">IFERROR(VALUE(_xll.BDP($B9,"INTERVAL_MAE_MOV_AVG","CALC_INTERVAL","520D","TECH_STUDIES_PARAM1_OVERRIDE",65,"USE_PREVIOUS_BUSINESS_DAY","N")),"")</f>
        <v>133.31307692307692</v>
      </c>
      <c r="Z9">
        <f t="shared" si="5"/>
        <v>6856.0226153846133</v>
      </c>
      <c r="AA9" cm="1">
        <f t="array" ref="AA9">IFERROR(VALUE(_xll.BDP($B9,"INTERVAL_MAE_MOV_AVG","CALC_INTERVAL","520D","TECH_STUDIES_PARAM1_OVERRIDE",65,"USE_PREVIOUS_BUSINESS_DAY","Y")),"")</f>
        <v>133.31307692307692</v>
      </c>
      <c r="AB9">
        <f t="shared" si="6"/>
        <v>6852.6203076923057</v>
      </c>
      <c r="AC9">
        <f t="shared" si="20"/>
        <v>1.9444667032446513E-2</v>
      </c>
      <c r="AD9">
        <f t="shared" si="21"/>
        <v>1.9454321257727988E-2</v>
      </c>
      <c r="AE9" s="10" t="str">
        <f t="shared" si="22"/>
        <v/>
      </c>
      <c r="AF9" s="10" t="str">
        <f t="shared" si="23"/>
        <v>DOWN</v>
      </c>
      <c r="AG9" s="6" t="str">
        <f t="shared" si="24"/>
        <v>NEGATIVE</v>
      </c>
      <c r="AH9" cm="1">
        <f t="array" ref="AH9">IFERROR(VALUE(_xll.BDP($B9,"INTERVAL_MAE_MOV_AVG","CALC_INTERVAL","65W","PERIODICITY_OVERRIDE","W","TECH_STUDIES_PARAM1_OVERRIDE",39,"USE_PREVIOUS_BUSINESS_DAY","N")),"")</f>
        <v>136.02923076923074</v>
      </c>
      <c r="AI9">
        <f t="shared" si="7"/>
        <v>6560.7735897435905</v>
      </c>
      <c r="AJ9" cm="1">
        <f t="array" ref="AJ9">IFERROR(VALUE(_xll.BDP($B9,"INTERVAL_MAE_MOV_AVG","CALC_INTERVAL","65W","PERIODICITY_OVERRIDE","W","TECH_STUDIES_PARAM1_OVERRIDE",39,"USE_PREVIOUS_BUSINESS_DAY","Y")),"")</f>
        <v>136.02923076923074</v>
      </c>
      <c r="AK9">
        <f t="shared" si="8"/>
        <v>6560.7823076923087</v>
      </c>
      <c r="AL9">
        <f t="shared" si="25"/>
        <v>2.0733718197787566E-2</v>
      </c>
      <c r="AM9">
        <f t="shared" si="26"/>
        <v>2.0733690646882276E-2</v>
      </c>
      <c r="AN9" s="10" t="str">
        <f t="shared" si="27"/>
        <v/>
      </c>
      <c r="AO9" s="10" t="str">
        <f t="shared" si="28"/>
        <v>UP</v>
      </c>
      <c r="AP9" s="6" t="str">
        <f t="shared" si="29"/>
        <v>NEGATIVE</v>
      </c>
      <c r="AQ9" cm="1">
        <f t="array" ref="AQ9">IFERROR(VALUE(_xll.BDP($B9,"INTERVAL_exp_MOV_AVG","CALC_INTERVAL","520D","TECH_STUDIES_PARAM1_OVERRIDE",100,"USE_PREVIOUS_BUSINESS_DAY","N")),"")</f>
        <v>134.02060180321763</v>
      </c>
      <c r="AR9">
        <f t="shared" si="9"/>
        <v>6773.0064518682802</v>
      </c>
      <c r="AS9" cm="1">
        <f t="array" ref="AS9">IFERROR(VALUE(_xll.BDP($B9,"INTERVAL_exp_MOV_AVG","CALC_INTERVAL","520D","TECH_STUDIES_PARAM1_OVERRIDE",100,"USE_PREVIOUS_BUSINESS_DAY","Y")),"")</f>
        <v>134.02058138603411</v>
      </c>
      <c r="AT9">
        <f t="shared" si="10"/>
        <v>6769.6039787132295</v>
      </c>
      <c r="AU9">
        <f t="shared" si="30"/>
        <v>1.9787461115772169E-2</v>
      </c>
      <c r="AV9">
        <f t="shared" si="31"/>
        <v>1.9797403482900461E-2</v>
      </c>
      <c r="AW9" s="11" t="str">
        <f t="shared" si="32"/>
        <v>UP</v>
      </c>
      <c r="AX9" s="11" t="str">
        <f t="shared" si="33"/>
        <v>DOWN</v>
      </c>
      <c r="AY9" s="6" t="str">
        <f t="shared" si="34"/>
        <v>NEGATIVE</v>
      </c>
      <c r="AZ9" s="12" cm="1">
        <f t="array" ref="AZ9">_xll.BDP($B9, "INTERVAL_RSI", "TECH_STUDIES_PARAM1_OVERRIDE", "5", "PERIODICITY_OVERRIDE", "W")</f>
        <v>16.201301614231824</v>
      </c>
      <c r="BA9" cm="1">
        <f t="array" ref="BA9">IFERROR(VALUE(_xll.BDP($B9,"INTERVAL_MAE_MOV_AVG","CALC_INTERVAL","520D","TECH_STUDIES_PARAM1_OVERRIDE",31,"USE_PREVIOUS_BUSINESS_DAY","N")),"")</f>
        <v>131.84612903225803</v>
      </c>
      <c r="BB9" cm="1">
        <f t="array" ref="BB9">IFERROR(VALUE(_xll.BDP($B9,"INTERVAL_MAE_MOV_AVG","CALC_INTERVAL","760D","TECH_STUDIES_PARAM1_OVERRIDE",200,"USE_PREVIOUS_BUSINESS_DAY","N")),"")</f>
        <v>136.58509999999993</v>
      </c>
      <c r="BC9" s="13">
        <f t="shared" si="35"/>
        <v>2.9359737524048413E-5</v>
      </c>
      <c r="BD9" s="13">
        <f t="shared" si="36"/>
        <v>-5.8525389402696026E-3</v>
      </c>
      <c r="BE9" s="13">
        <f t="shared" si="37"/>
        <v>-3.4667763906897076E-2</v>
      </c>
      <c r="BF9" s="14" cm="1">
        <f t="array" ref="BF9">VALUE(_xll.BDP($B9,"INTERVAL_DATE_OF_CALC_HI","CALC_INTERVAL","3M"))</f>
        <v>45973</v>
      </c>
      <c r="BG9" s="14" cm="1">
        <f t="array" ref="BG9">VALUE(_xll.BDP($B9,"INTERVAL_DATE_OF_CALC_LO","CALC_INTERVAL","3M"))</f>
        <v>46042</v>
      </c>
      <c r="BH9" s="14" cm="1">
        <f t="array" ref="BH9">VALUE(_xll.BDP($B9,"INTERVAL_DATE_OF_CALC_HI","CALC_INTERVAL","1M"))</f>
        <v>46037</v>
      </c>
      <c r="BI9" s="14" cm="1">
        <f t="array" ref="BI9">VALUE(_xll.BDP($B9,"INTERVAL_DATE_OF_CALC_LO","CALC_INTERVAL","1M"))</f>
        <v>46042</v>
      </c>
      <c r="BJ9" s="15">
        <f>$F9-MIN(_xll.BDP("NYA Index","RSI_14D"),_xll.BDP("RSP US Equity","RSI_14D"))</f>
        <v>-21.772657777021642</v>
      </c>
    </row>
    <row r="10" spans="1:62" x14ac:dyDescent="0.25">
      <c r="A10" s="11">
        <v>9</v>
      </c>
      <c r="B10" s="26" t="s">
        <v>341</v>
      </c>
      <c r="C10" s="1" t="s">
        <v>342</v>
      </c>
      <c r="D10" s="1" t="s">
        <v>316</v>
      </c>
      <c r="E10" s="11" t="s">
        <v>944</v>
      </c>
      <c r="F10">
        <f>IFERROR(VALUE((_xll.BDP($B10,"interval_rsi","tech_studies_param1_override",14))),"")</f>
        <v>66.122183081761065</v>
      </c>
      <c r="G10">
        <f t="shared" si="0"/>
        <v>52.525531939815814</v>
      </c>
      <c r="H10">
        <f t="shared" si="11"/>
        <v>1</v>
      </c>
      <c r="I10" cm="1">
        <f t="array" ref="I10">IFERROR(VALUE(_xll.BDP($B10,"px_last")),"")</f>
        <v>122.39</v>
      </c>
      <c r="J10">
        <f t="shared" si="1"/>
        <v>6941.47</v>
      </c>
      <c r="K10" cm="1">
        <f t="array" ref="K10">IFERROR(VALUE(_xll.BDP($B10,"PX_YEST_CLOSE")),"")</f>
        <v>122.39</v>
      </c>
      <c r="L10">
        <f t="shared" si="2"/>
        <v>6941.81</v>
      </c>
      <c r="M10">
        <f t="shared" si="12"/>
        <v>1.7631712014890218E-2</v>
      </c>
      <c r="N10">
        <f t="shared" si="13"/>
        <v>1.763084843866369E-2</v>
      </c>
      <c r="O10" cm="1">
        <f t="array" ref="O10">IFERROR(VALUE(_xll.BDP($B10,"INTERVAL_MAE_MOV_AVG","CALC_INTERVAL","520D","TECH_STUDIES_PARAM1_OVERRIDE",50,"USE_PREVIOUS_BUSINESS_DAY","N")),"")</f>
        <v>121.26019998779303</v>
      </c>
      <c r="P10">
        <f t="shared" si="3"/>
        <v>6894.0953999999992</v>
      </c>
      <c r="Q10" cm="1">
        <f t="array" ref="Q10">IFERROR(VALUE(_xll.BDP($B10,"INTERVAL_MAE_MOV_AVG","CALC_INTERVAL","520D","TECH_STUDIES_PARAM1_OVERRIDE",50,"USE_PREVIOUS_BUSINESS_DAY","Y")),"")</f>
        <v>121.27120000000006</v>
      </c>
      <c r="R10">
        <f t="shared" si="4"/>
        <v>6892.2477999999992</v>
      </c>
      <c r="S10">
        <f t="shared" si="14"/>
        <v>1.7588993617319693E-2</v>
      </c>
      <c r="T10">
        <f t="shared" si="15"/>
        <v>1.7595304684198974E-2</v>
      </c>
      <c r="U10" s="11" t="str">
        <f t="shared" si="16"/>
        <v>POSITIVE</v>
      </c>
      <c r="V10" s="11" t="str">
        <f t="shared" si="17"/>
        <v/>
      </c>
      <c r="W10" s="11" t="str">
        <f t="shared" si="18"/>
        <v>DOWN</v>
      </c>
      <c r="X10" s="6" t="str">
        <f t="shared" si="19"/>
        <v>POSITIVE</v>
      </c>
      <c r="Y10" cm="1">
        <f t="array" ref="Y10">IFERROR(VALUE(_xll.BDP($B10,"INTERVAL_MAE_MOV_AVG","CALC_INTERVAL","520D","TECH_STUDIES_PARAM1_OVERRIDE",65,"USE_PREVIOUS_BUSINESS_DAY","N")),"")</f>
        <v>121.54846152907156</v>
      </c>
      <c r="Z10">
        <f t="shared" si="5"/>
        <v>6856.0226153846133</v>
      </c>
      <c r="AA10" cm="1">
        <f t="array" ref="AA10">IFERROR(VALUE(_xll.BDP($B10,"INTERVAL_MAE_MOV_AVG","CALC_INTERVAL","520D","TECH_STUDIES_PARAM1_OVERRIDE",65,"USE_PREVIOUS_BUSINESS_DAY","Y")),"")</f>
        <v>121.54661538461545</v>
      </c>
      <c r="AB10">
        <f t="shared" si="6"/>
        <v>6852.6203076923057</v>
      </c>
      <c r="AC10">
        <f t="shared" si="20"/>
        <v>1.7728713621265216E-2</v>
      </c>
      <c r="AD10">
        <f t="shared" si="21"/>
        <v>1.7737246473173936E-2</v>
      </c>
      <c r="AE10" s="10" t="str">
        <f t="shared" si="22"/>
        <v>UP</v>
      </c>
      <c r="AF10" s="10" t="str">
        <f t="shared" si="23"/>
        <v>DOWN</v>
      </c>
      <c r="AG10" s="6" t="str">
        <f t="shared" si="24"/>
        <v>NEGATIVE</v>
      </c>
      <c r="AH10" cm="1">
        <f t="array" ref="AH10">IFERROR(VALUE(_xll.BDP($B10,"INTERVAL_MAE_MOV_AVG","CALC_INTERVAL","65W","PERIODICITY_OVERRIDE","W","TECH_STUDIES_PARAM1_OVERRIDE",39,"USE_PREVIOUS_BUSINESS_DAY","N")),"")</f>
        <v>122.38076921511914</v>
      </c>
      <c r="AI10">
        <f t="shared" si="7"/>
        <v>6560.7735897435905</v>
      </c>
      <c r="AJ10" cm="1">
        <f t="array" ref="AJ10">IFERROR(VALUE(_xll.BDP($B10,"INTERVAL_MAE_MOV_AVG","CALC_INTERVAL","65W","PERIODICITY_OVERRIDE","W","TECH_STUDIES_PARAM1_OVERRIDE",39,"USE_PREVIOUS_BUSINESS_DAY","Y")),"")</f>
        <v>122.37820512820508</v>
      </c>
      <c r="AK10">
        <f t="shared" si="8"/>
        <v>6560.7823076923087</v>
      </c>
      <c r="AL10">
        <f t="shared" si="25"/>
        <v>1.8653405355495898E-2</v>
      </c>
      <c r="AM10">
        <f t="shared" si="26"/>
        <v>1.8652989748603688E-2</v>
      </c>
      <c r="AN10" s="10" t="str">
        <f t="shared" si="27"/>
        <v>UP</v>
      </c>
      <c r="AO10" s="10" t="str">
        <f t="shared" si="28"/>
        <v>UP</v>
      </c>
      <c r="AP10" s="6" t="str">
        <f t="shared" si="29"/>
        <v>NEGATIVE</v>
      </c>
      <c r="AQ10" cm="1">
        <f t="array" ref="AQ10">IFERROR(VALUE(_xll.BDP($B10,"INTERVAL_exp_MOV_AVG","CALC_INTERVAL","520D","TECH_STUDIES_PARAM1_OVERRIDE",100,"USE_PREVIOUS_BUSINESS_DAY","N")),"")</f>
        <v>121.79830764993214</v>
      </c>
      <c r="AR10">
        <f t="shared" si="9"/>
        <v>6773.0064518682802</v>
      </c>
      <c r="AS10" cm="1">
        <f t="array" ref="AS10">IFERROR(VALUE(_xll.BDP($B10,"INTERVAL_exp_MOV_AVG","CALC_INTERVAL","520D","TECH_STUDIES_PARAM1_OVERRIDE",100,"USE_PREVIOUS_BUSINESS_DAY","Y")),"")</f>
        <v>121.78635000728227</v>
      </c>
      <c r="AT10">
        <f t="shared" si="10"/>
        <v>6769.6039787132295</v>
      </c>
      <c r="AU10">
        <f t="shared" si="30"/>
        <v>1.7982901465616506E-2</v>
      </c>
      <c r="AV10">
        <f t="shared" si="31"/>
        <v>1.7990173485810241E-2</v>
      </c>
      <c r="AW10" s="11" t="str">
        <f t="shared" si="32"/>
        <v>UP</v>
      </c>
      <c r="AX10" s="11" t="str">
        <f t="shared" si="33"/>
        <v>DOWN</v>
      </c>
      <c r="AY10" s="6" t="str">
        <f t="shared" si="34"/>
        <v>NEGATIVE</v>
      </c>
      <c r="AZ10" s="12" cm="1">
        <f t="array" ref="AZ10">_xll.BDP($B10, "INTERVAL_RSI", "TECH_STUDIES_PARAM1_OVERRIDE", "5", "PERIODICITY_OVERRIDE", "W")</f>
        <v>72.651230053716503</v>
      </c>
      <c r="BA10" cm="1">
        <f t="array" ref="BA10">IFERROR(VALUE(_xll.BDP($B10,"INTERVAL_MAE_MOV_AVG","CALC_INTERVAL","520D","TECH_STUDIES_PARAM1_OVERRIDE",31,"USE_PREVIOUS_BUSINESS_DAY","N")),"")</f>
        <v>121.35193546418222</v>
      </c>
      <c r="BB10" cm="1">
        <f t="array" ref="BB10">IFERROR(VALUE(_xll.BDP($B10,"INTERVAL_MAE_MOV_AVG","CALC_INTERVAL","760D","TECH_STUDIES_PARAM1_OVERRIDE",200,"USE_PREVIOUS_BUSINESS_DAY","N")),"")</f>
        <v>122.64274999694817</v>
      </c>
      <c r="BC10" s="13">
        <f t="shared" si="35"/>
        <v>8.554165467959729E-3</v>
      </c>
      <c r="BD10" s="13">
        <f t="shared" si="36"/>
        <v>9.3171544523322769E-3</v>
      </c>
      <c r="BE10" s="13">
        <f t="shared" si="37"/>
        <v>-2.0608637441222877E-3</v>
      </c>
      <c r="BF10" s="14" cm="1">
        <f t="array" ref="BF10">VALUE(_xll.BDP($B10,"INTERVAL_DATE_OF_CALC_HI","CALC_INTERVAL","3M"))</f>
        <v>45973</v>
      </c>
      <c r="BG10" s="14" cm="1">
        <f t="array" ref="BG10">VALUE(_xll.BDP($B10,"INTERVAL_DATE_OF_CALC_LO","CALC_INTERVAL","3M"))</f>
        <v>46013</v>
      </c>
      <c r="BH10" s="14" cm="1">
        <f t="array" ref="BH10">VALUE(_xll.BDP($B10,"INTERVAL_DATE_OF_CALC_HI","CALC_INTERVAL","1M"))</f>
        <v>46064</v>
      </c>
      <c r="BI10" s="14" cm="1">
        <f t="array" ref="BI10">VALUE(_xll.BDP($B10,"INTERVAL_DATE_OF_CALC_LO","CALC_INTERVAL","1M"))</f>
        <v>46043</v>
      </c>
      <c r="BJ10" s="15">
        <f>$F10-MIN(_xll.BDP("NYA Index","RSI_14D"),_xll.BDP("RSP US Equity","RSI_14D"))</f>
        <v>-0.22358107839518482</v>
      </c>
    </row>
    <row r="11" spans="1:62" x14ac:dyDescent="0.25">
      <c r="A11" s="11">
        <v>10</v>
      </c>
      <c r="B11" s="26" t="s">
        <v>333</v>
      </c>
      <c r="C11" s="1" t="s">
        <v>334</v>
      </c>
      <c r="D11" s="1" t="s">
        <v>316</v>
      </c>
      <c r="E11" s="11" t="s">
        <v>944</v>
      </c>
      <c r="F11">
        <f>IFERROR(VALUE((_xll.BDP($B11,"interval_rsi","tech_studies_param1_override",14))),"")</f>
        <v>59.090654573084841</v>
      </c>
      <c r="G11">
        <f t="shared" si="0"/>
        <v>52.525531939815814</v>
      </c>
      <c r="H11">
        <f t="shared" si="11"/>
        <v>0</v>
      </c>
      <c r="I11" cm="1">
        <f t="array" ref="I11">IFERROR(VALUE(_xll.BDP($B11,"px_last")),"")</f>
        <v>116.78</v>
      </c>
      <c r="J11">
        <f t="shared" si="1"/>
        <v>6941.47</v>
      </c>
      <c r="K11" cm="1">
        <f t="array" ref="K11">IFERROR(VALUE(_xll.BDP($B11,"PX_YEST_CLOSE")),"")</f>
        <v>116.78</v>
      </c>
      <c r="L11">
        <f t="shared" si="2"/>
        <v>6941.81</v>
      </c>
      <c r="M11">
        <f t="shared" si="12"/>
        <v>1.6823525852593182E-2</v>
      </c>
      <c r="N11">
        <f t="shared" si="13"/>
        <v>1.6822701860177675E-2</v>
      </c>
      <c r="O11" cm="1">
        <f t="array" ref="O11">IFERROR(VALUE(_xll.BDP($B11,"INTERVAL_MAE_MOV_AVG","CALC_INTERVAL","520D","TECH_STUDIES_PARAM1_OVERRIDE",50,"USE_PREVIOUS_BUSINESS_DAY","N")),"")</f>
        <v>116.52839997558593</v>
      </c>
      <c r="P11">
        <f t="shared" si="3"/>
        <v>6894.0953999999992</v>
      </c>
      <c r="Q11" cm="1">
        <f t="array" ref="Q11">IFERROR(VALUE(_xll.BDP($B11,"INTERVAL_MAE_MOV_AVG","CALC_INTERVAL","520D","TECH_STUDIES_PARAM1_OVERRIDE",50,"USE_PREVIOUS_BUSINESS_DAY","Y")),"")</f>
        <v>116.55359999999999</v>
      </c>
      <c r="R11">
        <f t="shared" si="4"/>
        <v>6892.2477999999992</v>
      </c>
      <c r="S11">
        <f t="shared" si="14"/>
        <v>1.6902638158384917E-2</v>
      </c>
      <c r="T11">
        <f t="shared" si="15"/>
        <v>1.6910825521972671E-2</v>
      </c>
      <c r="U11" s="11" t="str">
        <f t="shared" si="16"/>
        <v>NEGATIVE</v>
      </c>
      <c r="V11" s="11" t="str">
        <f t="shared" si="17"/>
        <v/>
      </c>
      <c r="W11" s="11" t="str">
        <f t="shared" si="18"/>
        <v>DOWN</v>
      </c>
      <c r="X11" s="6" t="str">
        <f t="shared" si="19"/>
        <v>NEGATIVE</v>
      </c>
      <c r="Y11" cm="1">
        <f t="array" ref="Y11">IFERROR(VALUE(_xll.BDP($B11,"INTERVAL_MAE_MOV_AVG","CALC_INTERVAL","520D","TECH_STUDIES_PARAM1_OVERRIDE",65,"USE_PREVIOUS_BUSINESS_DAY","N")),"")</f>
        <v>116.87092305814302</v>
      </c>
      <c r="Z11">
        <f t="shared" si="5"/>
        <v>6856.0226153846133</v>
      </c>
      <c r="AA11" cm="1">
        <f t="array" ref="AA11">IFERROR(VALUE(_xll.BDP($B11,"INTERVAL_MAE_MOV_AVG","CALC_INTERVAL","520D","TECH_STUDIES_PARAM1_OVERRIDE",65,"USE_PREVIOUS_BUSINESS_DAY","Y")),"")</f>
        <v>116.89061538461539</v>
      </c>
      <c r="AB11">
        <f t="shared" si="6"/>
        <v>6852.6203076923057</v>
      </c>
      <c r="AC11">
        <f t="shared" si="20"/>
        <v>1.7046461135628375E-2</v>
      </c>
      <c r="AD11">
        <f t="shared" si="21"/>
        <v>1.7057798351004738E-2</v>
      </c>
      <c r="AE11" s="10" t="str">
        <f t="shared" si="22"/>
        <v>DOWN</v>
      </c>
      <c r="AF11" s="10" t="str">
        <f t="shared" si="23"/>
        <v>DOWN</v>
      </c>
      <c r="AG11" s="6" t="str">
        <f t="shared" si="24"/>
        <v>NEGATIVE</v>
      </c>
      <c r="AH11" cm="1">
        <f t="array" ref="AH11">IFERROR(VALUE(_xll.BDP($B11,"INTERVAL_MAE_MOV_AVG","CALC_INTERVAL","65W","PERIODICITY_OVERRIDE","W","TECH_STUDIES_PARAM1_OVERRIDE",39,"USE_PREVIOUS_BUSINESS_DAY","N")),"")</f>
        <v>117.46128201998199</v>
      </c>
      <c r="AI11">
        <f t="shared" si="7"/>
        <v>6560.7735897435905</v>
      </c>
      <c r="AJ11" cm="1">
        <f t="array" ref="AJ11">IFERROR(VALUE(_xll.BDP($B11,"INTERVAL_MAE_MOV_AVG","CALC_INTERVAL","65W","PERIODICITY_OVERRIDE","W","TECH_STUDIES_PARAM1_OVERRIDE",39,"USE_PREVIOUS_BUSINESS_DAY","Y")),"")</f>
        <v>117.46205128205129</v>
      </c>
      <c r="AK11">
        <f t="shared" si="8"/>
        <v>6560.7823076923087</v>
      </c>
      <c r="AL11">
        <f t="shared" si="25"/>
        <v>1.7903571951272387E-2</v>
      </c>
      <c r="AM11">
        <f t="shared" si="26"/>
        <v>1.7903665412633912E-2</v>
      </c>
      <c r="AN11" s="10" t="str">
        <f t="shared" si="27"/>
        <v>DOWN</v>
      </c>
      <c r="AO11" s="10" t="str">
        <f t="shared" si="28"/>
        <v>DOWN</v>
      </c>
      <c r="AP11" s="6" t="str">
        <f t="shared" si="29"/>
        <v>NEGATIVE</v>
      </c>
      <c r="AQ11" cm="1">
        <f t="array" ref="AQ11">IFERROR(VALUE(_xll.BDP($B11,"INTERVAL_exp_MOV_AVG","CALC_INTERVAL","520D","TECH_STUDIES_PARAM1_OVERRIDE",100,"USE_PREVIOUS_BUSINESS_DAY","N")),"")</f>
        <v>117.03976762870907</v>
      </c>
      <c r="AR11">
        <f t="shared" si="9"/>
        <v>6773.0064518682802</v>
      </c>
      <c r="AS11" cm="1">
        <f t="array" ref="AS11">IFERROR(VALUE(_xll.BDP($B11,"INTERVAL_exp_MOV_AVG","CALC_INTERVAL","520D","TECH_STUDIES_PARAM1_OVERRIDE",100,"USE_PREVIOUS_BUSINESS_DAY","Y")),"")</f>
        <v>117.04501674184327</v>
      </c>
      <c r="AT11">
        <f t="shared" si="10"/>
        <v>6769.6039787132295</v>
      </c>
      <c r="AU11">
        <f t="shared" si="30"/>
        <v>1.7280327201877176E-2</v>
      </c>
      <c r="AV11">
        <f t="shared" si="31"/>
        <v>1.72897878679295E-2</v>
      </c>
      <c r="AW11" s="11" t="str">
        <f t="shared" si="32"/>
        <v>DOWN</v>
      </c>
      <c r="AX11" s="11" t="str">
        <f t="shared" si="33"/>
        <v>DOWN</v>
      </c>
      <c r="AY11" s="6" t="str">
        <f t="shared" si="34"/>
        <v>NEGATIVE</v>
      </c>
      <c r="AZ11" s="12" cm="1">
        <f t="array" ref="AZ11">_xll.BDP($B11, "INTERVAL_RSI", "TECH_STUDIES_PARAM1_OVERRIDE", "5", "PERIODICITY_OVERRIDE", "W")</f>
        <v>60.390730866443043</v>
      </c>
      <c r="BA11" cm="1">
        <f t="array" ref="BA11">IFERROR(VALUE(_xll.BDP($B11,"INTERVAL_MAE_MOV_AVG","CALC_INTERVAL","520D","TECH_STUDIES_PARAM1_OVERRIDE",31,"USE_PREVIOUS_BUSINESS_DAY","N")),"")</f>
        <v>116.42612899288054</v>
      </c>
      <c r="BB11" cm="1">
        <f t="array" ref="BB11">IFERROR(VALUE(_xll.BDP($B11,"INTERVAL_MAE_MOV_AVG","CALC_INTERVAL","760D","TECH_STUDIES_PARAM1_OVERRIDE",200,"USE_PREVIOUS_BUSINESS_DAY","N")),"")</f>
        <v>117.62689999389652</v>
      </c>
      <c r="BC11" s="13">
        <f t="shared" si="35"/>
        <v>3.039446644671262E-3</v>
      </c>
      <c r="BD11" s="13">
        <f t="shared" si="36"/>
        <v>2.1591305163959351E-3</v>
      </c>
      <c r="BE11" s="13">
        <f t="shared" si="37"/>
        <v>-7.1998836485570594E-3</v>
      </c>
      <c r="BF11" s="14" cm="1">
        <f t="array" ref="BF11">VALUE(_xll.BDP($B11,"INTERVAL_DATE_OF_CALC_HI","CALC_INTERVAL","3M"))</f>
        <v>45973</v>
      </c>
      <c r="BG11" s="14" cm="1">
        <f t="array" ref="BG11">VALUE(_xll.BDP($B11,"INTERVAL_DATE_OF_CALC_LO","CALC_INTERVAL","3M"))</f>
        <v>46013</v>
      </c>
      <c r="BH11" s="14" cm="1">
        <f t="array" ref="BH11">VALUE(_xll.BDP($B11,"INTERVAL_DATE_OF_CALC_HI","CALC_INTERVAL","1M"))</f>
        <v>46063</v>
      </c>
      <c r="BI11" s="14" cm="1">
        <f t="array" ref="BI11">VALUE(_xll.BDP($B11,"INTERVAL_DATE_OF_CALC_LO","CALC_INTERVAL","1M"))</f>
        <v>46045</v>
      </c>
      <c r="BJ11" s="15">
        <f>$F11-MIN(_xll.BDP("NYA Index","RSI_14D"),_xll.BDP("RSP US Equity","RSI_14D"))</f>
        <v>-7.2551095870714093</v>
      </c>
    </row>
    <row r="12" spans="1:62" x14ac:dyDescent="0.25">
      <c r="A12" s="11">
        <v>11</v>
      </c>
      <c r="B12" s="26" t="s">
        <v>331</v>
      </c>
      <c r="C12" s="1" t="s">
        <v>332</v>
      </c>
      <c r="D12" s="1" t="s">
        <v>316</v>
      </c>
      <c r="E12" s="11" t="s">
        <v>944</v>
      </c>
      <c r="F12">
        <f>IFERROR(VALUE((_xll.BDP($B12,"interval_rsi","tech_studies_param1_override",14))),"")</f>
        <v>61.520301031454373</v>
      </c>
      <c r="G12">
        <f t="shared" si="0"/>
        <v>52.525531939815814</v>
      </c>
      <c r="H12">
        <f t="shared" si="11"/>
        <v>0</v>
      </c>
      <c r="I12" cm="1">
        <f t="array" ref="I12">IFERROR(VALUE(_xll.BDP($B12,"px_last")),"")</f>
        <v>128.67000000000002</v>
      </c>
      <c r="J12">
        <f t="shared" si="1"/>
        <v>6941.47</v>
      </c>
      <c r="K12" cm="1">
        <f t="array" ref="K12">IFERROR(VALUE(_xll.BDP($B12,"PX_YEST_CLOSE")),"")</f>
        <v>128.67000000000002</v>
      </c>
      <c r="L12">
        <f t="shared" si="2"/>
        <v>6941.81</v>
      </c>
      <c r="M12">
        <f t="shared" si="12"/>
        <v>1.853641951920847E-2</v>
      </c>
      <c r="N12">
        <f t="shared" si="13"/>
        <v>1.8535511631692599E-2</v>
      </c>
      <c r="O12" cm="1">
        <f t="array" ref="O12">IFERROR(VALUE(_xll.BDP($B12,"INTERVAL_MAE_MOV_AVG","CALC_INTERVAL","520D","TECH_STUDIES_PARAM1_OVERRIDE",50,"USE_PREVIOUS_BUSINESS_DAY","N")),"")</f>
        <v>127.91679996337893</v>
      </c>
      <c r="P12">
        <f t="shared" si="3"/>
        <v>6894.0953999999992</v>
      </c>
      <c r="Q12" cm="1">
        <f t="array" ref="Q12">IFERROR(VALUE(_xll.BDP($B12,"INTERVAL_MAE_MOV_AVG","CALC_INTERVAL","520D","TECH_STUDIES_PARAM1_OVERRIDE",50,"USE_PREVIOUS_BUSINESS_DAY","Y")),"")</f>
        <v>127.92420000000003</v>
      </c>
      <c r="R12">
        <f t="shared" si="4"/>
        <v>6892.2477999999992</v>
      </c>
      <c r="S12">
        <f t="shared" si="14"/>
        <v>1.8554544511144848E-2</v>
      </c>
      <c r="T12">
        <f t="shared" si="15"/>
        <v>1.8560592090145111E-2</v>
      </c>
      <c r="U12" s="11" t="str">
        <f t="shared" si="16"/>
        <v>NEGATIVE</v>
      </c>
      <c r="V12" s="11" t="str">
        <f t="shared" si="17"/>
        <v/>
      </c>
      <c r="W12" s="11" t="str">
        <f t="shared" si="18"/>
        <v>DOWN</v>
      </c>
      <c r="X12" s="6" t="str">
        <f t="shared" si="19"/>
        <v>NEGATIVE</v>
      </c>
      <c r="Y12" cm="1">
        <f t="array" ref="Y12">IFERROR(VALUE(_xll.BDP($B12,"INTERVAL_MAE_MOV_AVG","CALC_INTERVAL","520D","TECH_STUDIES_PARAM1_OVERRIDE",65,"USE_PREVIOUS_BUSINESS_DAY","N")),"")</f>
        <v>128.15199997182995</v>
      </c>
      <c r="Z12">
        <f t="shared" si="5"/>
        <v>6856.0226153846133</v>
      </c>
      <c r="AA12" cm="1">
        <f t="array" ref="AA12">IFERROR(VALUE(_xll.BDP($B12,"INTERVAL_MAE_MOV_AVG","CALC_INTERVAL","520D","TECH_STUDIES_PARAM1_OVERRIDE",65,"USE_PREVIOUS_BUSINESS_DAY","Y")),"")</f>
        <v>128.15784615384612</v>
      </c>
      <c r="AB12">
        <f t="shared" si="6"/>
        <v>6852.6203076923057</v>
      </c>
      <c r="AC12">
        <f t="shared" si="20"/>
        <v>1.8691886996443464E-2</v>
      </c>
      <c r="AD12">
        <f t="shared" si="21"/>
        <v>1.8702020599329641E-2</v>
      </c>
      <c r="AE12" s="10" t="str">
        <f t="shared" si="22"/>
        <v>DOWN</v>
      </c>
      <c r="AF12" s="10" t="str">
        <f t="shared" si="23"/>
        <v>DOWN</v>
      </c>
      <c r="AG12" s="6" t="str">
        <f t="shared" si="24"/>
        <v>NEGATIVE</v>
      </c>
      <c r="AH12" cm="1">
        <f t="array" ref="AH12">IFERROR(VALUE(_xll.BDP($B12,"INTERVAL_MAE_MOV_AVG","CALC_INTERVAL","65W","PERIODICITY_OVERRIDE","W","TECH_STUDIES_PARAM1_OVERRIDE",39,"USE_PREVIOUS_BUSINESS_DAY","N")),"")</f>
        <v>129.06333328638323</v>
      </c>
      <c r="AI12">
        <f t="shared" si="7"/>
        <v>6560.7735897435905</v>
      </c>
      <c r="AJ12" cm="1">
        <f t="array" ref="AJ12">IFERROR(VALUE(_xll.BDP($B12,"INTERVAL_MAE_MOV_AVG","CALC_INTERVAL","65W","PERIODICITY_OVERRIDE","W","TECH_STUDIES_PARAM1_OVERRIDE",39,"USE_PREVIOUS_BUSINESS_DAY","Y")),"")</f>
        <v>129.06256410256412</v>
      </c>
      <c r="AK12">
        <f t="shared" si="8"/>
        <v>6560.7823076923087</v>
      </c>
      <c r="AL12">
        <f t="shared" si="25"/>
        <v>1.9671968788581119E-2</v>
      </c>
      <c r="AM12">
        <f t="shared" si="26"/>
        <v>1.9671825408875764E-2</v>
      </c>
      <c r="AN12" s="10" t="str">
        <f t="shared" si="27"/>
        <v>UP</v>
      </c>
      <c r="AO12" s="10" t="str">
        <f t="shared" si="28"/>
        <v>UP</v>
      </c>
      <c r="AP12" s="6" t="str">
        <f t="shared" si="29"/>
        <v>NEGATIVE</v>
      </c>
      <c r="AQ12" cm="1">
        <f t="array" ref="AQ12">IFERROR(VALUE(_xll.BDP($B12,"INTERVAL_exp_MOV_AVG","CALC_INTERVAL","520D","TECH_STUDIES_PARAM1_OVERRIDE",100,"USE_PREVIOUS_BUSINESS_DAY","N")),"")</f>
        <v>128.48354387933185</v>
      </c>
      <c r="AR12">
        <f t="shared" si="9"/>
        <v>6773.0064518682802</v>
      </c>
      <c r="AS12" cm="1">
        <f t="array" ref="AS12">IFERROR(VALUE(_xll.BDP($B12,"INTERVAL_exp_MOV_AVG","CALC_INTERVAL","520D","TECH_STUDIES_PARAM1_OVERRIDE",100,"USE_PREVIOUS_BUSINESS_DAY","Y")),"")</f>
        <v>128.47977537934693</v>
      </c>
      <c r="AT12">
        <f t="shared" si="10"/>
        <v>6769.6039787132295</v>
      </c>
      <c r="AU12">
        <f t="shared" si="30"/>
        <v>1.8969942638086618E-2</v>
      </c>
      <c r="AV12">
        <f t="shared" si="31"/>
        <v>1.897892044842606E-2</v>
      </c>
      <c r="AW12" s="11" t="str">
        <f t="shared" si="32"/>
        <v>UP</v>
      </c>
      <c r="AX12" s="11" t="str">
        <f t="shared" si="33"/>
        <v>DOWN</v>
      </c>
      <c r="AY12" s="6" t="str">
        <f t="shared" si="34"/>
        <v>NEGATIVE</v>
      </c>
      <c r="AZ12" s="12" cm="1">
        <f t="array" ref="AZ12">_xll.BDP($B12, "INTERVAL_RSI", "TECH_STUDIES_PARAM1_OVERRIDE", "5", "PERIODICITY_OVERRIDE", "W")</f>
        <v>67.062120177124427</v>
      </c>
      <c r="BA12" cm="1">
        <f t="array" ref="BA12">IFERROR(VALUE(_xll.BDP($B12,"INTERVAL_MAE_MOV_AVG","CALC_INTERVAL","520D","TECH_STUDIES_PARAM1_OVERRIDE",31,"USE_PREVIOUS_BUSINESS_DAY","N")),"")</f>
        <v>128.00096768286923</v>
      </c>
      <c r="BB12" cm="1">
        <f t="array" ref="BB12">IFERROR(VALUE(_xll.BDP($B12,"INTERVAL_MAE_MOV_AVG","CALC_INTERVAL","760D","TECH_STUDIES_PARAM1_OVERRIDE",200,"USE_PREVIOUS_BUSINESS_DAY","N")),"")</f>
        <v>129.27094999084468</v>
      </c>
      <c r="BC12" s="13">
        <f t="shared" si="35"/>
        <v>5.2267754630446195E-3</v>
      </c>
      <c r="BD12" s="13">
        <f t="shared" si="36"/>
        <v>5.8882026194895243E-3</v>
      </c>
      <c r="BE12" s="13">
        <f t="shared" si="37"/>
        <v>-4.6487628572948747E-3</v>
      </c>
      <c r="BF12" s="14" cm="1">
        <f t="array" ref="BF12">VALUE(_xll.BDP($B12,"INTERVAL_DATE_OF_CALC_HI","CALC_INTERVAL","3M"))</f>
        <v>45973</v>
      </c>
      <c r="BG12" s="14" cm="1">
        <f t="array" ref="BG12">VALUE(_xll.BDP($B12,"INTERVAL_DATE_OF_CALC_LO","CALC_INTERVAL","3M"))</f>
        <v>46013</v>
      </c>
      <c r="BH12" s="14" cm="1">
        <f t="array" ref="BH12">VALUE(_xll.BDP($B12,"INTERVAL_DATE_OF_CALC_HI","CALC_INTERVAL","1M"))</f>
        <v>46064</v>
      </c>
      <c r="BI12" s="14" cm="1">
        <f t="array" ref="BI12">VALUE(_xll.BDP($B12,"INTERVAL_DATE_OF_CALC_LO","CALC_INTERVAL","1M"))</f>
        <v>46045</v>
      </c>
      <c r="BJ12" s="15">
        <f>$F12-MIN(_xll.BDP("NYA Index","RSI_14D"),_xll.BDP("RSP US Equity","RSI_14D"))</f>
        <v>-4.8254631287018768</v>
      </c>
    </row>
    <row r="13" spans="1:62" x14ac:dyDescent="0.25">
      <c r="A13" s="11">
        <v>12</v>
      </c>
      <c r="B13" s="26" t="s">
        <v>325</v>
      </c>
      <c r="C13" s="1" t="s">
        <v>326</v>
      </c>
      <c r="D13" s="1" t="s">
        <v>316</v>
      </c>
      <c r="E13" s="11" t="s">
        <v>944</v>
      </c>
      <c r="F13">
        <f>IFERROR(VALUE((_xll.BDP($B13,"interval_rsi","tech_studies_param1_override",14))),"")</f>
        <v>51.863367233732923</v>
      </c>
      <c r="G13">
        <f t="shared" si="0"/>
        <v>52.525531939815814</v>
      </c>
      <c r="H13">
        <f t="shared" si="11"/>
        <v>0</v>
      </c>
      <c r="I13" cm="1">
        <f t="array" ref="I13">IFERROR(VALUE(_xll.BDP($B13,"px_last")),"")</f>
        <v>104.26171875</v>
      </c>
      <c r="J13">
        <f t="shared" si="1"/>
        <v>6941.47</v>
      </c>
      <c r="K13" cm="1">
        <f t="array" ref="K13">IFERROR(VALUE(_xll.BDP($B13,"PX_YEST_CLOSE")),"")</f>
        <v>104.26171875</v>
      </c>
      <c r="L13">
        <f t="shared" si="2"/>
        <v>6941.81</v>
      </c>
      <c r="M13">
        <f t="shared" si="12"/>
        <v>1.5020120918191679E-2</v>
      </c>
      <c r="N13">
        <f t="shared" si="13"/>
        <v>1.5019385253989952E-2</v>
      </c>
      <c r="O13" cm="1">
        <f t="array" ref="O13">IFERROR(VALUE(_xll.BDP($B13,"INTERVAL_MAE_MOV_AVG","CALC_INTERVAL","520D","TECH_STUDIES_PARAM1_OVERRIDE",50,"USE_PREVIOUS_BUSINESS_DAY","N")),"")</f>
        <v>104.23750200000001</v>
      </c>
      <c r="P13">
        <f t="shared" si="3"/>
        <v>6894.0953999999992</v>
      </c>
      <c r="Q13" cm="1">
        <f t="array" ref="Q13">IFERROR(VALUE(_xll.BDP($B13,"INTERVAL_MAE_MOV_AVG","CALC_INTERVAL","520D","TECH_STUDIES_PARAM1_OVERRIDE",50,"USE_PREVIOUS_BUSINESS_DAY","Y")),"")</f>
        <v>104.23734599999999</v>
      </c>
      <c r="R13">
        <f t="shared" si="4"/>
        <v>6892.2477999999992</v>
      </c>
      <c r="S13">
        <f t="shared" si="14"/>
        <v>1.5119822971988467E-2</v>
      </c>
      <c r="T13">
        <f t="shared" si="15"/>
        <v>1.5123853498128724E-2</v>
      </c>
      <c r="U13" s="11" t="str">
        <f t="shared" si="16"/>
        <v>NEGATIVE</v>
      </c>
      <c r="V13" s="11" t="str">
        <f t="shared" si="17"/>
        <v/>
      </c>
      <c r="W13" s="11" t="str">
        <f t="shared" si="18"/>
        <v>DOWN</v>
      </c>
      <c r="X13" s="6" t="str">
        <f t="shared" si="19"/>
        <v>NEGATIVE</v>
      </c>
      <c r="Y13" cm="1">
        <f t="array" ref="Y13">IFERROR(VALUE(_xll.BDP($B13,"INTERVAL_MAE_MOV_AVG","CALC_INTERVAL","520D","TECH_STUDIES_PARAM1_OVERRIDE",65,"USE_PREVIOUS_BUSINESS_DAY","N")),"")</f>
        <v>104.22692153846155</v>
      </c>
      <c r="Z13">
        <f t="shared" si="5"/>
        <v>6856.0226153846133</v>
      </c>
      <c r="AA13" cm="1">
        <f t="array" ref="AA13">IFERROR(VALUE(_xll.BDP($B13,"INTERVAL_MAE_MOV_AVG","CALC_INTERVAL","520D","TECH_STUDIES_PARAM1_OVERRIDE",65,"USE_PREVIOUS_BUSINESS_DAY","Y")),"")</f>
        <v>104.22590000000001</v>
      </c>
      <c r="AB13">
        <f t="shared" si="6"/>
        <v>6852.6203076923057</v>
      </c>
      <c r="AC13">
        <f t="shared" si="20"/>
        <v>1.5202242960018965E-2</v>
      </c>
      <c r="AD13">
        <f t="shared" si="21"/>
        <v>1.5209641760393874E-2</v>
      </c>
      <c r="AE13" s="10" t="str">
        <f t="shared" si="22"/>
        <v>UP</v>
      </c>
      <c r="AF13" s="10" t="str">
        <f t="shared" si="23"/>
        <v>DOWN</v>
      </c>
      <c r="AG13" s="6" t="str">
        <f t="shared" si="24"/>
        <v>NEGATIVE</v>
      </c>
      <c r="AH13" cm="1">
        <f t="array" ref="AH13">IFERROR(VALUE(_xll.BDP($B13,"INTERVAL_MAE_MOV_AVG","CALC_INTERVAL","65W","PERIODICITY_OVERRIDE","W","TECH_STUDIES_PARAM1_OVERRIDE",39,"USE_PREVIOUS_BUSINESS_DAY","N")),"")</f>
        <v>103.99789487179488</v>
      </c>
      <c r="AI13">
        <f t="shared" si="7"/>
        <v>6560.7735897435905</v>
      </c>
      <c r="AJ13" cm="1">
        <f t="array" ref="AJ13">IFERROR(VALUE(_xll.BDP($B13,"INTERVAL_MAE_MOV_AVG","CALC_INTERVAL","65W","PERIODICITY_OVERRIDE","W","TECH_STUDIES_PARAM1_OVERRIDE",39,"USE_PREVIOUS_BUSINESS_DAY","Y")),"")</f>
        <v>104.00080000000001</v>
      </c>
      <c r="AK13">
        <f t="shared" si="8"/>
        <v>6560.7823076923087</v>
      </c>
      <c r="AL13">
        <f t="shared" si="25"/>
        <v>1.5851468344277881E-2</v>
      </c>
      <c r="AM13">
        <f t="shared" si="26"/>
        <v>1.5851890082995496E-2</v>
      </c>
      <c r="AN13" s="10" t="str">
        <f t="shared" si="27"/>
        <v>DOWN</v>
      </c>
      <c r="AO13" s="10" t="str">
        <f t="shared" si="28"/>
        <v>DOWN</v>
      </c>
      <c r="AP13" s="6" t="str">
        <f t="shared" si="29"/>
        <v>NEGATIVE</v>
      </c>
      <c r="AQ13" cm="1">
        <f t="array" ref="AQ13">IFERROR(VALUE(_xll.BDP($B13,"INTERVAL_exp_MOV_AVG","CALC_INTERVAL","520D","TECH_STUDIES_PARAM1_OVERRIDE",100,"USE_PREVIOUS_BUSINESS_DAY","N")),"")</f>
        <v>104.16573200608502</v>
      </c>
      <c r="AR13">
        <f t="shared" si="9"/>
        <v>6773.0064518682802</v>
      </c>
      <c r="AS13" cm="1">
        <f t="array" ref="AS13">IFERROR(VALUE(_xll.BDP($B13,"INTERVAL_exp_MOV_AVG","CALC_INTERVAL","520D","TECH_STUDIES_PARAM1_OVERRIDE",100,"USE_PREVIOUS_BUSINESS_DAY","Y")),"")</f>
        <v>104.16379162891468</v>
      </c>
      <c r="AT13">
        <f t="shared" si="10"/>
        <v>6769.6039787132295</v>
      </c>
      <c r="AU13">
        <f t="shared" si="30"/>
        <v>1.5379541234210951E-2</v>
      </c>
      <c r="AV13">
        <f t="shared" si="31"/>
        <v>1.5386984520284183E-2</v>
      </c>
      <c r="AW13" s="11" t="str">
        <f t="shared" si="32"/>
        <v>UP</v>
      </c>
      <c r="AX13" s="11" t="str">
        <f t="shared" si="33"/>
        <v>DOWN</v>
      </c>
      <c r="AY13" s="6" t="str">
        <f t="shared" si="34"/>
        <v>NEGATIVE</v>
      </c>
      <c r="AZ13" s="12" cm="1">
        <f t="array" ref="AZ13">_xll.BDP($B13, "INTERVAL_RSI", "TECH_STUDIES_PARAM1_OVERRIDE", "5", "PERIODICITY_OVERRIDE", "W")</f>
        <v>54.511791734626406</v>
      </c>
      <c r="BA13" cm="1">
        <f t="array" ref="BA13">IFERROR(VALUE(_xll.BDP($B13,"INTERVAL_MAE_MOV_AVG","CALC_INTERVAL","520D","TECH_STUDIES_PARAM1_OVERRIDE",31,"USE_PREVIOUS_BUSINESS_DAY","N")),"")</f>
        <v>104.24823870967744</v>
      </c>
      <c r="BB13" cm="1">
        <f t="array" ref="BB13">IFERROR(VALUE(_xll.BDP($B13,"INTERVAL_MAE_MOV_AVG","CALC_INTERVAL","760D","TECH_STUDIES_PARAM1_OVERRIDE",200,"USE_PREVIOUS_BUSINESS_DAY","N")),"")</f>
        <v>103.96234450000006</v>
      </c>
      <c r="BC13" s="13">
        <f t="shared" si="35"/>
        <v>1.2930712776926256E-4</v>
      </c>
      <c r="BD13" s="13">
        <f t="shared" si="36"/>
        <v>2.3232281602436622E-4</v>
      </c>
      <c r="BE13" s="13">
        <f t="shared" si="37"/>
        <v>2.8796411954710166E-3</v>
      </c>
      <c r="BF13" s="14" cm="1">
        <f t="array" ref="BF13">VALUE(_xll.BDP($B13,"INTERVAL_DATE_OF_CALC_HI","CALC_INTERVAL","3M"))</f>
        <v>46027</v>
      </c>
      <c r="BG13" s="14" cm="1">
        <f t="array" ref="BG13">VALUE(_xll.BDP($B13,"INTERVAL_DATE_OF_CALC_LO","CALC_INTERVAL","3M"))</f>
        <v>46000</v>
      </c>
      <c r="BH13" s="14" cm="1">
        <f t="array" ref="BH13">VALUE(_xll.BDP($B13,"INTERVAL_DATE_OF_CALC_HI","CALC_INTERVAL","1M"))</f>
        <v>46063</v>
      </c>
      <c r="BI13" s="14" cm="1">
        <f t="array" ref="BI13">VALUE(_xll.BDP($B13,"INTERVAL_DATE_OF_CALC_LO","CALC_INTERVAL","1M"))</f>
        <v>46044</v>
      </c>
      <c r="BJ13" s="15">
        <f>$F13-MIN(_xll.BDP("NYA Index","RSI_14D"),_xll.BDP("RSP US Equity","RSI_14D"))</f>
        <v>-14.482396926423327</v>
      </c>
    </row>
    <row r="14" spans="1:62" x14ac:dyDescent="0.25">
      <c r="A14" s="11">
        <v>13</v>
      </c>
      <c r="B14" s="26" t="s">
        <v>321</v>
      </c>
      <c r="C14" s="1" t="s">
        <v>322</v>
      </c>
      <c r="D14" s="1" t="s">
        <v>316</v>
      </c>
      <c r="E14" s="11" t="s">
        <v>944</v>
      </c>
      <c r="F14">
        <f>IFERROR(VALUE((_xll.BDP($B14,"interval_rsi","tech_studies_param1_override",14))),"")</f>
        <v>54.623450898422689</v>
      </c>
      <c r="G14">
        <f t="shared" si="0"/>
        <v>52.525531939815814</v>
      </c>
      <c r="H14">
        <f t="shared" si="11"/>
        <v>0</v>
      </c>
      <c r="I14" cm="1">
        <f t="array" ref="I14">IFERROR(VALUE(_xll.BDP($B14,"px_last")),"")</f>
        <v>112.28125</v>
      </c>
      <c r="J14">
        <f t="shared" si="1"/>
        <v>6941.47</v>
      </c>
      <c r="K14" cm="1">
        <f t="array" ref="K14">IFERROR(VALUE(_xll.BDP($B14,"PX_YEST_CLOSE")),"")</f>
        <v>112.28125</v>
      </c>
      <c r="L14">
        <f t="shared" si="2"/>
        <v>6941.81</v>
      </c>
      <c r="M14">
        <f t="shared" si="12"/>
        <v>1.6175428259432079E-2</v>
      </c>
      <c r="N14">
        <f t="shared" si="13"/>
        <v>1.6174636009916719E-2</v>
      </c>
      <c r="O14" cm="1">
        <f t="array" ref="O14">IFERROR(VALUE(_xll.BDP($B14,"INTERVAL_MAE_MOV_AVG","CALC_INTERVAL","520D","TECH_STUDIES_PARAM1_OVERRIDE",50,"USE_PREVIOUS_BUSINESS_DAY","N")),"")</f>
        <v>112.27438600000002</v>
      </c>
      <c r="P14">
        <f t="shared" si="3"/>
        <v>6894.0953999999992</v>
      </c>
      <c r="Q14" cm="1">
        <f t="array" ref="Q14">IFERROR(VALUE(_xll.BDP($B14,"INTERVAL_MAE_MOV_AVG","CALC_INTERVAL","520D","TECH_STUDIES_PARAM1_OVERRIDE",50,"USE_PREVIOUS_BUSINESS_DAY","Y")),"")</f>
        <v>112.29719800000002</v>
      </c>
      <c r="R14">
        <f t="shared" si="4"/>
        <v>6892.2477999999992</v>
      </c>
      <c r="S14">
        <f t="shared" si="14"/>
        <v>1.6285586358436532E-2</v>
      </c>
      <c r="T14">
        <f t="shared" si="15"/>
        <v>1.6293261829616754E-2</v>
      </c>
      <c r="U14" s="11" t="str">
        <f t="shared" si="16"/>
        <v>NEGATIVE</v>
      </c>
      <c r="V14" s="11" t="str">
        <f t="shared" si="17"/>
        <v>UP</v>
      </c>
      <c r="W14" s="11" t="str">
        <f t="shared" si="18"/>
        <v>DOWN</v>
      </c>
      <c r="X14" s="6" t="str">
        <f t="shared" si="19"/>
        <v>NEGATIVE</v>
      </c>
      <c r="Y14" cm="1">
        <f t="array" ref="Y14">IFERROR(VALUE(_xll.BDP($B14,"INTERVAL_MAE_MOV_AVG","CALC_INTERVAL","520D","TECH_STUDIES_PARAM1_OVERRIDE",65,"USE_PREVIOUS_BUSINESS_DAY","N")),"")</f>
        <v>112.44448153846153</v>
      </c>
      <c r="Z14">
        <f t="shared" si="5"/>
        <v>6856.0226153846133</v>
      </c>
      <c r="AA14" cm="1">
        <f t="array" ref="AA14">IFERROR(VALUE(_xll.BDP($B14,"INTERVAL_MAE_MOV_AVG","CALC_INTERVAL","520D","TECH_STUDIES_PARAM1_OVERRIDE",65,"USE_PREVIOUS_BUSINESS_DAY","Y")),"")</f>
        <v>112.45289384615384</v>
      </c>
      <c r="AB14">
        <f t="shared" si="6"/>
        <v>6852.6203076923057</v>
      </c>
      <c r="AC14">
        <f t="shared" si="20"/>
        <v>1.6400832938640118E-2</v>
      </c>
      <c r="AD14">
        <f t="shared" si="21"/>
        <v>1.6410203512942565E-2</v>
      </c>
      <c r="AE14" s="10" t="str">
        <f t="shared" si="22"/>
        <v>DOWN</v>
      </c>
      <c r="AF14" s="10" t="str">
        <f t="shared" si="23"/>
        <v>DOWN</v>
      </c>
      <c r="AG14" s="6" t="str">
        <f t="shared" si="24"/>
        <v>NEGATIVE</v>
      </c>
      <c r="AH14" cm="1">
        <f t="array" ref="AH14">IFERROR(VALUE(_xll.BDP($B14,"INTERVAL_MAE_MOV_AVG","CALC_INTERVAL","65W","PERIODICITY_OVERRIDE","W","TECH_STUDIES_PARAM1_OVERRIDE",39,"USE_PREVIOUS_BUSINESS_DAY","N")),"")</f>
        <v>112.09135641025642</v>
      </c>
      <c r="AI14">
        <f t="shared" si="7"/>
        <v>6560.7735897435905</v>
      </c>
      <c r="AJ14" cm="1">
        <f t="array" ref="AJ14">IFERROR(VALUE(_xll.BDP($B14,"INTERVAL_MAE_MOV_AVG","CALC_INTERVAL","65W","PERIODICITY_OVERRIDE","W","TECH_STUDIES_PARAM1_OVERRIDE",39,"USE_PREVIOUS_BUSINESS_DAY","Y")),"")</f>
        <v>112.09736410256411</v>
      </c>
      <c r="AK14">
        <f t="shared" si="8"/>
        <v>6560.7823076923087</v>
      </c>
      <c r="AL14">
        <f t="shared" si="25"/>
        <v>1.7085082250893099E-2</v>
      </c>
      <c r="AM14">
        <f t="shared" si="26"/>
        <v>1.7085975245838218E-2</v>
      </c>
      <c r="AN14" s="10" t="str">
        <f t="shared" si="27"/>
        <v>DOWN</v>
      </c>
      <c r="AO14" s="10" t="str">
        <f t="shared" si="28"/>
        <v>DOWN</v>
      </c>
      <c r="AP14" s="6" t="str">
        <f t="shared" si="29"/>
        <v>NEGATIVE</v>
      </c>
      <c r="AQ14" cm="1">
        <f t="array" ref="AQ14">IFERROR(VALUE(_xll.BDP($B14,"INTERVAL_exp_MOV_AVG","CALC_INTERVAL","520D","TECH_STUDIES_PARAM1_OVERRIDE",100,"USE_PREVIOUS_BUSINESS_DAY","N")),"")</f>
        <v>112.30898215368512</v>
      </c>
      <c r="AR14">
        <f t="shared" si="9"/>
        <v>6773.0064518682802</v>
      </c>
      <c r="AS14" cm="1">
        <f t="array" ref="AS14">IFERROR(VALUE(_xll.BDP($B14,"INTERVAL_exp_MOV_AVG","CALC_INTERVAL","520D","TECH_STUDIES_PARAM1_OVERRIDE",100,"USE_PREVIOUS_BUSINESS_DAY","Y")),"")</f>
        <v>112.30953415216322</v>
      </c>
      <c r="AT14">
        <f t="shared" si="10"/>
        <v>6769.6039787132295</v>
      </c>
      <c r="AU14">
        <f t="shared" si="30"/>
        <v>1.6581850755908491E-2</v>
      </c>
      <c r="AV14">
        <f t="shared" si="31"/>
        <v>1.6590266506772984E-2</v>
      </c>
      <c r="AW14" s="11" t="str">
        <f t="shared" si="32"/>
        <v>DOWN</v>
      </c>
      <c r="AX14" s="11" t="str">
        <f t="shared" si="33"/>
        <v>DOWN</v>
      </c>
      <c r="AY14" s="6" t="str">
        <f t="shared" si="34"/>
        <v>NEGATIVE</v>
      </c>
      <c r="AZ14" s="12" cm="1">
        <f t="array" ref="AZ14">_xll.BDP($B14, "INTERVAL_RSI", "TECH_STUDIES_PARAM1_OVERRIDE", "5", "PERIODICITY_OVERRIDE", "W")</f>
        <v>55.327843060257408</v>
      </c>
      <c r="BA14" cm="1">
        <f t="array" ref="BA14">IFERROR(VALUE(_xll.BDP($B14,"INTERVAL_MAE_MOV_AVG","CALC_INTERVAL","520D","TECH_STUDIES_PARAM1_OVERRIDE",31,"USE_PREVIOUS_BUSINESS_DAY","N")),"")</f>
        <v>112.06301612903231</v>
      </c>
      <c r="BB14" cm="1">
        <f t="array" ref="BB14">IFERROR(VALUE(_xll.BDP($B14,"INTERVAL_MAE_MOV_AVG","CALC_INTERVAL","760D","TECH_STUDIES_PARAM1_OVERRIDE",200,"USE_PREVIOUS_BUSINESS_DAY","N")),"")</f>
        <v>112.02407449999991</v>
      </c>
      <c r="BC14" s="13">
        <f t="shared" si="35"/>
        <v>1.9474210003094239E-3</v>
      </c>
      <c r="BD14" s="13">
        <f t="shared" si="36"/>
        <v>6.113593887735469E-5</v>
      </c>
      <c r="BE14" s="13">
        <f t="shared" si="37"/>
        <v>2.2957163551491355E-3</v>
      </c>
      <c r="BF14" s="14" cm="1">
        <f t="array" ref="BF14">VALUE(_xll.BDP($B14,"INTERVAL_DATE_OF_CALC_HI","CALC_INTERVAL","3M"))</f>
        <v>45986</v>
      </c>
      <c r="BG14" s="14" cm="1">
        <f t="array" ref="BG14">VALUE(_xll.BDP($B14,"INTERVAL_DATE_OF_CALC_LO","CALC_INTERVAL","3M"))</f>
        <v>46042</v>
      </c>
      <c r="BH14" s="14" cm="1">
        <f t="array" ref="BH14">VALUE(_xll.BDP($B14,"INTERVAL_DATE_OF_CALC_HI","CALC_INTERVAL","1M"))</f>
        <v>46063</v>
      </c>
      <c r="BI14" s="14" cm="1">
        <f t="array" ref="BI14">VALUE(_xll.BDP($B14,"INTERVAL_DATE_OF_CALC_LO","CALC_INTERVAL","1M"))</f>
        <v>46042</v>
      </c>
      <c r="BJ14" s="15">
        <f>$F14-MIN(_xll.BDP("NYA Index","RSI_14D"),_xll.BDP("RSP US Equity","RSI_14D"))</f>
        <v>-11.722313261733561</v>
      </c>
    </row>
    <row r="15" spans="1:62" x14ac:dyDescent="0.25">
      <c r="A15" s="11">
        <v>14</v>
      </c>
      <c r="B15" s="26" t="s">
        <v>329</v>
      </c>
      <c r="C15" s="1" t="s">
        <v>330</v>
      </c>
      <c r="D15" s="1" t="s">
        <v>316</v>
      </c>
      <c r="E15" s="11" t="s">
        <v>944</v>
      </c>
      <c r="F15">
        <f>IFERROR(VALUE((_xll.BDP($B15,"interval_rsi","tech_studies_param1_override",14))),"")</f>
        <v>53.044804306136228</v>
      </c>
      <c r="G15">
        <f t="shared" si="0"/>
        <v>52.525531939815814</v>
      </c>
      <c r="H15">
        <f t="shared" si="11"/>
        <v>0</v>
      </c>
      <c r="I15" cm="1">
        <f t="array" ref="I15">IFERROR(VALUE(_xll.BDP($B15,"px_last")),"")</f>
        <v>110.48</v>
      </c>
      <c r="J15">
        <f t="shared" si="1"/>
        <v>6941.47</v>
      </c>
      <c r="K15" cm="1">
        <f t="array" ref="K15">IFERROR(VALUE(_xll.BDP($B15,"PX_YEST_CLOSE")),"")</f>
        <v>110.48</v>
      </c>
      <c r="L15">
        <f t="shared" si="2"/>
        <v>6941.81</v>
      </c>
      <c r="M15">
        <f t="shared" si="12"/>
        <v>1.5915937114184747E-2</v>
      </c>
      <c r="N15">
        <f t="shared" si="13"/>
        <v>1.591515757417734E-2</v>
      </c>
      <c r="O15" cm="1">
        <f t="array" ref="O15">IFERROR(VALUE(_xll.BDP($B15,"INTERVAL_MAE_MOV_AVG","CALC_INTERVAL","520D","TECH_STUDIES_PARAM1_OVERRIDE",50,"USE_PREVIOUS_BUSINESS_DAY","N")),"")</f>
        <v>110.44400006713867</v>
      </c>
      <c r="P15">
        <f t="shared" si="3"/>
        <v>6894.0953999999992</v>
      </c>
      <c r="Q15" cm="1">
        <f t="array" ref="Q15">IFERROR(VALUE(_xll.BDP($B15,"INTERVAL_MAE_MOV_AVG","CALC_INTERVAL","520D","TECH_STUDIES_PARAM1_OVERRIDE",50,"USE_PREVIOUS_BUSINESS_DAY","Y")),"")</f>
        <v>110.51720000000002</v>
      </c>
      <c r="R15">
        <f t="shared" si="4"/>
        <v>6892.2477999999992</v>
      </c>
      <c r="S15">
        <f t="shared" si="14"/>
        <v>1.6020085835646933E-2</v>
      </c>
      <c r="T15">
        <f t="shared" si="15"/>
        <v>1.6035000947006002E-2</v>
      </c>
      <c r="U15" s="11" t="str">
        <f t="shared" si="16"/>
        <v>NEGATIVE</v>
      </c>
      <c r="V15" s="11" t="str">
        <f t="shared" si="17"/>
        <v>UP</v>
      </c>
      <c r="W15" s="11" t="str">
        <f t="shared" si="18"/>
        <v>DOWN</v>
      </c>
      <c r="X15" s="6" t="str">
        <f t="shared" si="19"/>
        <v>NEGATIVE</v>
      </c>
      <c r="Y15" cm="1">
        <f t="array" ref="Y15">IFERROR(VALUE(_xll.BDP($B15,"INTERVAL_MAE_MOV_AVG","CALC_INTERVAL","520D","TECH_STUDIES_PARAM1_OVERRIDE",65,"USE_PREVIOUS_BUSINESS_DAY","N")),"")</f>
        <v>111.36984620549131</v>
      </c>
      <c r="Z15">
        <f t="shared" si="5"/>
        <v>6856.0226153846133</v>
      </c>
      <c r="AA15" cm="1">
        <f t="array" ref="AA15">IFERROR(VALUE(_xll.BDP($B15,"INTERVAL_MAE_MOV_AVG","CALC_INTERVAL","520D","TECH_STUDIES_PARAM1_OVERRIDE",65,"USE_PREVIOUS_BUSINESS_DAY","Y")),"")</f>
        <v>111.44461538461542</v>
      </c>
      <c r="AB15">
        <f t="shared" si="6"/>
        <v>6852.6203076923057</v>
      </c>
      <c r="AC15">
        <f t="shared" si="20"/>
        <v>1.6244089678990013E-2</v>
      </c>
      <c r="AD15">
        <f t="shared" si="21"/>
        <v>1.6263065861027635E-2</v>
      </c>
      <c r="AE15" s="10" t="str">
        <f t="shared" si="22"/>
        <v>DOWN</v>
      </c>
      <c r="AF15" s="10" t="str">
        <f t="shared" si="23"/>
        <v>DOWN</v>
      </c>
      <c r="AG15" s="6" t="str">
        <f t="shared" si="24"/>
        <v>NEGATIVE</v>
      </c>
      <c r="AH15" cm="1">
        <f t="array" ref="AH15">IFERROR(VALUE(_xll.BDP($B15,"INTERVAL_MAE_MOV_AVG","CALC_INTERVAL","65W","PERIODICITY_OVERRIDE","W","TECH_STUDIES_PARAM1_OVERRIDE",39,"USE_PREVIOUS_BUSINESS_DAY","N")),"")</f>
        <v>114.6046154706906</v>
      </c>
      <c r="AI15">
        <f t="shared" si="7"/>
        <v>6560.7735897435905</v>
      </c>
      <c r="AJ15" cm="1">
        <f t="array" ref="AJ15">IFERROR(VALUE(_xll.BDP($B15,"INTERVAL_MAE_MOV_AVG","CALC_INTERVAL","65W","PERIODICITY_OVERRIDE","W","TECH_STUDIES_PARAM1_OVERRIDE",39,"USE_PREVIOUS_BUSINESS_DAY","Y")),"")</f>
        <v>114.59641025641025</v>
      </c>
      <c r="AK15">
        <f t="shared" si="8"/>
        <v>6560.7823076923087</v>
      </c>
      <c r="AL15">
        <f t="shared" si="25"/>
        <v>1.7468155836051279E-2</v>
      </c>
      <c r="AM15">
        <f t="shared" si="26"/>
        <v>1.7466881978700863E-2</v>
      </c>
      <c r="AN15" s="10" t="str">
        <f t="shared" si="27"/>
        <v>UP</v>
      </c>
      <c r="AO15" s="10" t="str">
        <f t="shared" si="28"/>
        <v>UP</v>
      </c>
      <c r="AP15" s="6" t="str">
        <f t="shared" si="29"/>
        <v>NEGATIVE</v>
      </c>
      <c r="AQ15" cm="1">
        <f t="array" ref="AQ15">IFERROR(VALUE(_xll.BDP($B15,"INTERVAL_exp_MOV_AVG","CALC_INTERVAL","520D","TECH_STUDIES_PARAM1_OVERRIDE",100,"USE_PREVIOUS_BUSINESS_DAY","N")),"")</f>
        <v>112.43140257931697</v>
      </c>
      <c r="AR15">
        <f t="shared" si="9"/>
        <v>6773.0064518682802</v>
      </c>
      <c r="AS15" cm="1">
        <f t="array" ref="AS15">IFERROR(VALUE(_xll.BDP($B15,"INTERVAL_exp_MOV_AVG","CALC_INTERVAL","520D","TECH_STUDIES_PARAM1_OVERRIDE",100,"USE_PREVIOUS_BUSINESS_DAY","Y")),"")</f>
        <v>112.47081716013916</v>
      </c>
      <c r="AT15">
        <f t="shared" si="10"/>
        <v>6769.6039787132295</v>
      </c>
      <c r="AU15">
        <f t="shared" si="30"/>
        <v>1.6599925509934166E-2</v>
      </c>
      <c r="AV15">
        <f t="shared" si="31"/>
        <v>1.6614091092152436E-2</v>
      </c>
      <c r="AW15" s="11" t="str">
        <f t="shared" si="32"/>
        <v>DOWN</v>
      </c>
      <c r="AX15" s="11" t="str">
        <f t="shared" si="33"/>
        <v>DOWN</v>
      </c>
      <c r="AY15" s="6" t="str">
        <f t="shared" si="34"/>
        <v>NEGATIVE</v>
      </c>
      <c r="AZ15" s="12" cm="1">
        <f t="array" ref="AZ15">_xll.BDP($B15, "INTERVAL_RSI", "TECH_STUDIES_PARAM1_OVERRIDE", "5", "PERIODICITY_OVERRIDE", "W")</f>
        <v>50.607877919212314</v>
      </c>
      <c r="BA15" cm="1">
        <f t="array" ref="BA15">IFERROR(VALUE(_xll.BDP($B15,"INTERVAL_MAE_MOV_AVG","CALC_INTERVAL","520D","TECH_STUDIES_PARAM1_OVERRIDE",31,"USE_PREVIOUS_BUSINESS_DAY","N")),"")</f>
        <v>110.1180646244172</v>
      </c>
      <c r="BB15" cm="1">
        <f t="array" ref="BB15">IFERROR(VALUE(_xll.BDP($B15,"INTERVAL_MAE_MOV_AVG","CALC_INTERVAL","760D","TECH_STUDIES_PARAM1_OVERRIDE",200,"USE_PREVIOUS_BUSINESS_DAY","N")),"")</f>
        <v>115.38050001678467</v>
      </c>
      <c r="BC15" s="13">
        <f t="shared" si="35"/>
        <v>3.2867938318501544E-3</v>
      </c>
      <c r="BD15" s="13">
        <f t="shared" si="36"/>
        <v>3.2595643800892304E-4</v>
      </c>
      <c r="BE15" s="13">
        <f t="shared" si="37"/>
        <v>-4.2472514992323407E-2</v>
      </c>
      <c r="BF15" s="14" cm="1">
        <f t="array" ref="BF15">VALUE(_xll.BDP($B15,"INTERVAL_DATE_OF_CALC_HI","CALC_INTERVAL","3M"))</f>
        <v>45973</v>
      </c>
      <c r="BG15" s="14" cm="1">
        <f t="array" ref="BG15">VALUE(_xll.BDP($B15,"INTERVAL_DATE_OF_CALC_LO","CALC_INTERVAL","3M"))</f>
        <v>46013</v>
      </c>
      <c r="BH15" s="14" cm="1">
        <f t="array" ref="BH15">VALUE(_xll.BDP($B15,"INTERVAL_DATE_OF_CALC_HI","CALC_INTERVAL","1M"))</f>
        <v>46037</v>
      </c>
      <c r="BI15" s="14" cm="1">
        <f t="array" ref="BI15">VALUE(_xll.BDP($B15,"INTERVAL_DATE_OF_CALC_LO","CALC_INTERVAL","1M"))</f>
        <v>46056</v>
      </c>
      <c r="BJ15" s="15">
        <f>$F15-MIN(_xll.BDP("NYA Index","RSI_14D"),_xll.BDP("RSP US Equity","RSI_14D"))</f>
        <v>-13.300959854020022</v>
      </c>
    </row>
    <row r="16" spans="1:62" x14ac:dyDescent="0.25">
      <c r="A16" s="11">
        <v>15</v>
      </c>
      <c r="B16" s="26" t="s">
        <v>317</v>
      </c>
      <c r="C16" s="1" t="s">
        <v>318</v>
      </c>
      <c r="D16" s="1" t="s">
        <v>316</v>
      </c>
      <c r="E16" s="11" t="s">
        <v>944</v>
      </c>
      <c r="F16">
        <f>IFERROR(VALUE((_xll.BDP($B16,"interval_rsi","tech_studies_param1_override",14))),"")</f>
        <v>55.970940608593502</v>
      </c>
      <c r="G16">
        <f t="shared" si="0"/>
        <v>52.525531939815814</v>
      </c>
      <c r="H16">
        <f t="shared" si="11"/>
        <v>0</v>
      </c>
      <c r="I16" cm="1">
        <f t="array" ref="I16">IFERROR(VALUE(_xll.BDP($B16,"px_last")),"")</f>
        <v>116.15625</v>
      </c>
      <c r="J16">
        <f t="shared" si="1"/>
        <v>6941.47</v>
      </c>
      <c r="K16" cm="1">
        <f t="array" ref="K16">IFERROR(VALUE(_xll.BDP($B16,"PX_YEST_CLOSE")),"")</f>
        <v>116.09375</v>
      </c>
      <c r="L16">
        <f t="shared" si="2"/>
        <v>6941.81</v>
      </c>
      <c r="M16">
        <f t="shared" si="12"/>
        <v>1.673366736440552E-2</v>
      </c>
      <c r="N16">
        <f t="shared" si="13"/>
        <v>1.6723844357595496E-2</v>
      </c>
      <c r="O16" cm="1">
        <f t="array" ref="O16">IFERROR(VALUE(_xll.BDP($B16,"INTERVAL_MAE_MOV_AVG","CALC_INTERVAL","520D","TECH_STUDIES_PARAM1_OVERRIDE",50,"USE_PREVIOUS_BUSINESS_DAY","N")),"")</f>
        <v>115.64439999999998</v>
      </c>
      <c r="P16">
        <f t="shared" si="3"/>
        <v>6894.0953999999992</v>
      </c>
      <c r="Q16" cm="1">
        <f t="array" ref="Q16">IFERROR(VALUE(_xll.BDP($B16,"INTERVAL_MAE_MOV_AVG","CALC_INTERVAL","520D","TECH_STUDIES_PARAM1_OVERRIDE",50,"USE_PREVIOUS_BUSINESS_DAY","Y")),"")</f>
        <v>115.68002399999997</v>
      </c>
      <c r="R16">
        <f t="shared" si="4"/>
        <v>6892.2477999999992</v>
      </c>
      <c r="S16">
        <f t="shared" si="14"/>
        <v>1.6774412492174099E-2</v>
      </c>
      <c r="T16">
        <f t="shared" si="15"/>
        <v>1.6784077902712666E-2</v>
      </c>
      <c r="U16" s="11" t="str">
        <f t="shared" si="16"/>
        <v>NEGATIVE</v>
      </c>
      <c r="V16" s="11" t="str">
        <f t="shared" si="17"/>
        <v/>
      </c>
      <c r="W16" s="11" t="str">
        <f t="shared" si="18"/>
        <v>DOWN</v>
      </c>
      <c r="X16" s="6" t="str">
        <f t="shared" si="19"/>
        <v>NEGATIVE</v>
      </c>
      <c r="Y16" cm="1">
        <f t="array" ref="Y16">IFERROR(VALUE(_xll.BDP($B16,"INTERVAL_MAE_MOV_AVG","CALC_INTERVAL","520D","TECH_STUDIES_PARAM1_OVERRIDE",65,"USE_PREVIOUS_BUSINESS_DAY","N")),"")</f>
        <v>116.01637230769224</v>
      </c>
      <c r="Z16">
        <f t="shared" si="5"/>
        <v>6856.0226153846133</v>
      </c>
      <c r="AA16" cm="1">
        <f t="array" ref="AA16">IFERROR(VALUE(_xll.BDP($B16,"INTERVAL_MAE_MOV_AVG","CALC_INTERVAL","520D","TECH_STUDIES_PARAM1_OVERRIDE",65,"USE_PREVIOUS_BUSINESS_DAY","Y")),"")</f>
        <v>116.03367999999993</v>
      </c>
      <c r="AB16">
        <f t="shared" si="6"/>
        <v>6852.6203076923057</v>
      </c>
      <c r="AC16">
        <f t="shared" si="20"/>
        <v>1.692181878854317E-2</v>
      </c>
      <c r="AD16">
        <f t="shared" si="21"/>
        <v>1.693274613066597E-2</v>
      </c>
      <c r="AE16" s="10" t="str">
        <f t="shared" si="22"/>
        <v>DOWN</v>
      </c>
      <c r="AF16" s="10" t="str">
        <f t="shared" si="23"/>
        <v>DOWN</v>
      </c>
      <c r="AG16" s="6" t="str">
        <f t="shared" si="24"/>
        <v>NEGATIVE</v>
      </c>
      <c r="AH16" cm="1">
        <f t="array" ref="AH16">IFERROR(VALUE(_xll.BDP($B16,"INTERVAL_MAE_MOV_AVG","CALC_INTERVAL","65W","PERIODICITY_OVERRIDE","W","TECH_STUDIES_PARAM1_OVERRIDE",39,"USE_PREVIOUS_BUSINESS_DAY","N")),"")</f>
        <v>115.47919230769232</v>
      </c>
      <c r="AI16">
        <f t="shared" si="7"/>
        <v>6560.7735897435905</v>
      </c>
      <c r="AJ16" cm="1">
        <f t="array" ref="AJ16">IFERROR(VALUE(_xll.BDP($B16,"INTERVAL_MAE_MOV_AVG","CALC_INTERVAL","65W","PERIODICITY_OVERRIDE","W","TECH_STUDIES_PARAM1_OVERRIDE",39,"USE_PREVIOUS_BUSINESS_DAY","Y")),"")</f>
        <v>115.48880769230769</v>
      </c>
      <c r="AK16">
        <f t="shared" si="8"/>
        <v>6560.7823076923087</v>
      </c>
      <c r="AL16">
        <f t="shared" si="25"/>
        <v>1.7601459755937941E-2</v>
      </c>
      <c r="AM16">
        <f t="shared" si="26"/>
        <v>1.7602901952241387E-2</v>
      </c>
      <c r="AN16" s="10" t="str">
        <f t="shared" si="27"/>
        <v>DOWN</v>
      </c>
      <c r="AO16" s="10" t="str">
        <f t="shared" si="28"/>
        <v>DOWN</v>
      </c>
      <c r="AP16" s="6" t="str">
        <f t="shared" si="29"/>
        <v>NEGATIVE</v>
      </c>
      <c r="AQ16" cm="1">
        <f t="array" ref="AQ16">IFERROR(VALUE(_xll.BDP($B16,"INTERVAL_exp_MOV_AVG","CALC_INTERVAL","520D","TECH_STUDIES_PARAM1_OVERRIDE",100,"USE_PREVIOUS_BUSINESS_DAY","N")),"")</f>
        <v>115.95320361039299</v>
      </c>
      <c r="AR16">
        <f t="shared" si="9"/>
        <v>6773.0064518682802</v>
      </c>
      <c r="AS16" cm="1">
        <f t="array" ref="AS16">IFERROR(VALUE(_xll.BDP($B16,"INTERVAL_exp_MOV_AVG","CALC_INTERVAL","520D","TECH_STUDIES_PARAM1_OVERRIDE",100,"USE_PREVIOUS_BUSINESS_DAY","Y")),"")</f>
        <v>115.95034736540838</v>
      </c>
      <c r="AT16">
        <f t="shared" si="10"/>
        <v>6769.6039787132295</v>
      </c>
      <c r="AU16">
        <f t="shared" si="30"/>
        <v>1.7119901543635501E-2</v>
      </c>
      <c r="AV16">
        <f t="shared" si="31"/>
        <v>1.7128084261651046E-2</v>
      </c>
      <c r="AW16" s="11" t="str">
        <f t="shared" si="32"/>
        <v>UP</v>
      </c>
      <c r="AX16" s="11" t="str">
        <f t="shared" si="33"/>
        <v>DOWN</v>
      </c>
      <c r="AY16" s="6" t="str">
        <f t="shared" si="34"/>
        <v>NEGATIVE</v>
      </c>
      <c r="AZ16" s="12" cm="1">
        <f t="array" ref="AZ16">_xll.BDP($B16, "INTERVAL_RSI", "TECH_STUDIES_PARAM1_OVERRIDE", "5", "PERIODICITY_OVERRIDE", "W")</f>
        <v>59.889286233664279</v>
      </c>
      <c r="BA16" cm="1">
        <f t="array" ref="BA16">IFERROR(VALUE(_xll.BDP($B16,"INTERVAL_MAE_MOV_AVG","CALC_INTERVAL","520D","TECH_STUDIES_PARAM1_OVERRIDE",31,"USE_PREVIOUS_BUSINESS_DAY","N")),"")</f>
        <v>115.44155483870971</v>
      </c>
      <c r="BB16" cm="1">
        <f t="array" ref="BB16">IFERROR(VALUE(_xll.BDP($B16,"INTERVAL_MAE_MOV_AVG","CALC_INTERVAL","760D","TECH_STUDIES_PARAM1_OVERRIDE",200,"USE_PREVIOUS_BUSINESS_DAY","N")),"")</f>
        <v>115.47049549999993</v>
      </c>
      <c r="BC16" s="13">
        <f t="shared" si="35"/>
        <v>6.1909696407749237E-3</v>
      </c>
      <c r="BD16" s="13">
        <f t="shared" si="36"/>
        <v>4.4260681883430131E-3</v>
      </c>
      <c r="BE16" s="13">
        <f t="shared" si="37"/>
        <v>5.9387854623007552E-3</v>
      </c>
      <c r="BF16" s="14" cm="1">
        <f t="array" ref="BF16">VALUE(_xll.BDP($B16,"INTERVAL_DATE_OF_CALC_HI","CALC_INTERVAL","3M"))</f>
        <v>45987</v>
      </c>
      <c r="BG16" s="14" cm="1">
        <f t="array" ref="BG16">VALUE(_xll.BDP($B16,"INTERVAL_DATE_OF_CALC_LO","CALC_INTERVAL","3M"))</f>
        <v>46042</v>
      </c>
      <c r="BH16" s="14" cm="1">
        <f t="array" ref="BH16">VALUE(_xll.BDP($B16,"INTERVAL_DATE_OF_CALC_HI","CALC_INTERVAL","1M"))</f>
        <v>46063</v>
      </c>
      <c r="BI16" s="14" cm="1">
        <f t="array" ref="BI16">VALUE(_xll.BDP($B16,"INTERVAL_DATE_OF_CALC_LO","CALC_INTERVAL","1M"))</f>
        <v>46042</v>
      </c>
      <c r="BJ16" s="15">
        <f>$F16-MIN(_xll.BDP("NYA Index","RSI_14D"),_xll.BDP("RSP US Equity","RSI_14D"))</f>
        <v>-10.374823551562748</v>
      </c>
    </row>
    <row r="17" spans="1:62" x14ac:dyDescent="0.25">
      <c r="A17" s="11">
        <v>16</v>
      </c>
      <c r="B17" s="26" t="s">
        <v>319</v>
      </c>
      <c r="C17" s="1" t="s">
        <v>320</v>
      </c>
      <c r="D17" s="1" t="s">
        <v>316</v>
      </c>
      <c r="E17" s="11" t="s">
        <v>944</v>
      </c>
      <c r="F17">
        <f>IFERROR(VALUE((_xll.BDP($B17,"interval_rsi","tech_studies_param1_override",14))),"")</f>
        <v>54.902652839479771</v>
      </c>
      <c r="G17">
        <f t="shared" si="0"/>
        <v>52.525531939815814</v>
      </c>
      <c r="H17">
        <f t="shared" si="11"/>
        <v>0</v>
      </c>
      <c r="I17" cm="1">
        <f t="array" ref="I17">IFERROR(VALUE(_xll.BDP($B17,"px_last")),"")</f>
        <v>114.828125</v>
      </c>
      <c r="J17">
        <f t="shared" si="1"/>
        <v>6941.47</v>
      </c>
      <c r="K17" cm="1">
        <f t="array" ref="K17">IFERROR(VALUE(_xll.BDP($B17,"PX_YEST_CLOSE")),"")</f>
        <v>114.828125</v>
      </c>
      <c r="L17">
        <f t="shared" si="2"/>
        <v>6941.81</v>
      </c>
      <c r="M17">
        <f t="shared" si="12"/>
        <v>1.6542335413104139E-2</v>
      </c>
      <c r="N17">
        <f t="shared" si="13"/>
        <v>1.6541525192997213E-2</v>
      </c>
      <c r="O17" cm="1">
        <f t="array" ref="O17">IFERROR(VALUE(_xll.BDP($B17,"INTERVAL_MAE_MOV_AVG","CALC_INTERVAL","520D","TECH_STUDIES_PARAM1_OVERRIDE",50,"USE_PREVIOUS_BUSINESS_DAY","N")),"")</f>
        <v>114.80314200000001</v>
      </c>
      <c r="P17">
        <f t="shared" si="3"/>
        <v>6894.0953999999992</v>
      </c>
      <c r="Q17" cm="1">
        <f t="array" ref="Q17">IFERROR(VALUE(_xll.BDP($B17,"INTERVAL_MAE_MOV_AVG","CALC_INTERVAL","520D","TECH_STUDIES_PARAM1_OVERRIDE",50,"USE_PREVIOUS_BUSINESS_DAY","Y")),"")</f>
        <v>114.83408</v>
      </c>
      <c r="R17">
        <f t="shared" si="4"/>
        <v>6892.2477999999992</v>
      </c>
      <c r="S17">
        <f t="shared" si="14"/>
        <v>1.6652386620585498E-2</v>
      </c>
      <c r="T17">
        <f t="shared" si="15"/>
        <v>1.6661339425433894E-2</v>
      </c>
      <c r="U17" s="11" t="str">
        <f t="shared" si="16"/>
        <v>NEGATIVE</v>
      </c>
      <c r="V17" s="11" t="str">
        <f t="shared" si="17"/>
        <v>UP</v>
      </c>
      <c r="W17" s="11" t="str">
        <f t="shared" si="18"/>
        <v>DOWN</v>
      </c>
      <c r="X17" s="6" t="str">
        <f t="shared" si="19"/>
        <v>NEGATIVE</v>
      </c>
      <c r="Y17" cm="1">
        <f t="array" ref="Y17">IFERROR(VALUE(_xll.BDP($B17,"INTERVAL_MAE_MOV_AVG","CALC_INTERVAL","520D","TECH_STUDIES_PARAM1_OVERRIDE",65,"USE_PREVIOUS_BUSINESS_DAY","N")),"")</f>
        <v>115.02525384615383</v>
      </c>
      <c r="Z17">
        <f t="shared" si="5"/>
        <v>6856.0226153846133</v>
      </c>
      <c r="AA17" cm="1">
        <f t="array" ref="AA17">IFERROR(VALUE(_xll.BDP($B17,"INTERVAL_MAE_MOV_AVG","CALC_INTERVAL","520D","TECH_STUDIES_PARAM1_OVERRIDE",65,"USE_PREVIOUS_BUSINESS_DAY","Y")),"")</f>
        <v>115.03631230769228</v>
      </c>
      <c r="AB17">
        <f t="shared" si="6"/>
        <v>6852.6203076923057</v>
      </c>
      <c r="AC17">
        <f t="shared" si="20"/>
        <v>1.6777257062723542E-2</v>
      </c>
      <c r="AD17">
        <f t="shared" si="21"/>
        <v>1.6787200682716948E-2</v>
      </c>
      <c r="AE17" s="10" t="str">
        <f t="shared" si="22"/>
        <v>DOWN</v>
      </c>
      <c r="AF17" s="10" t="str">
        <f t="shared" si="23"/>
        <v>DOWN</v>
      </c>
      <c r="AG17" s="6" t="str">
        <f t="shared" si="24"/>
        <v>NEGATIVE</v>
      </c>
      <c r="AH17" cm="1">
        <f t="array" ref="AH17">IFERROR(VALUE(_xll.BDP($B17,"INTERVAL_MAE_MOV_AVG","CALC_INTERVAL","65W","PERIODICITY_OVERRIDE","W","TECH_STUDIES_PARAM1_OVERRIDE",39,"USE_PREVIOUS_BUSINESS_DAY","N")),"")</f>
        <v>114.44352307692309</v>
      </c>
      <c r="AI17">
        <f t="shared" si="7"/>
        <v>6560.7735897435905</v>
      </c>
      <c r="AJ17" cm="1">
        <f t="array" ref="AJ17">IFERROR(VALUE(_xll.BDP($B17,"INTERVAL_MAE_MOV_AVG","CALC_INTERVAL","65W","PERIODICITY_OVERRIDE","W","TECH_STUDIES_PARAM1_OVERRIDE",39,"USE_PREVIOUS_BUSINESS_DAY","Y")),"")</f>
        <v>114.44953333333335</v>
      </c>
      <c r="AK17">
        <f t="shared" si="8"/>
        <v>6560.7823076923087</v>
      </c>
      <c r="AL17">
        <f t="shared" si="25"/>
        <v>1.7443601964230532E-2</v>
      </c>
      <c r="AM17">
        <f t="shared" si="26"/>
        <v>1.7444494873598369E-2</v>
      </c>
      <c r="AN17" s="10" t="str">
        <f t="shared" si="27"/>
        <v>DOWN</v>
      </c>
      <c r="AO17" s="10" t="str">
        <f t="shared" si="28"/>
        <v>DOWN</v>
      </c>
      <c r="AP17" s="6" t="str">
        <f t="shared" si="29"/>
        <v>NEGATIVE</v>
      </c>
      <c r="AQ17" cm="1">
        <f t="array" ref="AQ17">IFERROR(VALUE(_xll.BDP($B17,"INTERVAL_exp_MOV_AVG","CALC_INTERVAL","520D","TECH_STUDIES_PARAM1_OVERRIDE",100,"USE_PREVIOUS_BUSINESS_DAY","N")),"")</f>
        <v>114.83421048376569</v>
      </c>
      <c r="AR17">
        <f t="shared" si="9"/>
        <v>6773.0064518682802</v>
      </c>
      <c r="AS17" cm="1">
        <f t="array" ref="AS17">IFERROR(VALUE(_xll.BDP($B17,"INTERVAL_exp_MOV_AVG","CALC_INTERVAL","520D","TECH_STUDIES_PARAM1_OVERRIDE",100,"USE_PREVIOUS_BUSINESS_DAY","Y")),"")</f>
        <v>114.83432380170859</v>
      </c>
      <c r="AT17">
        <f t="shared" si="10"/>
        <v>6769.6039787132295</v>
      </c>
      <c r="AU17">
        <f t="shared" si="30"/>
        <v>1.6954687892271177E-2</v>
      </c>
      <c r="AV17">
        <f t="shared" si="31"/>
        <v>1.6963226233440081E-2</v>
      </c>
      <c r="AW17" s="11" t="str">
        <f t="shared" si="32"/>
        <v>DOWN</v>
      </c>
      <c r="AX17" s="11" t="str">
        <f t="shared" si="33"/>
        <v>DOWN</v>
      </c>
      <c r="AY17" s="6" t="str">
        <f t="shared" si="34"/>
        <v>NEGATIVE</v>
      </c>
      <c r="AZ17" s="12" cm="1">
        <f t="array" ref="AZ17">_xll.BDP($B17, "INTERVAL_RSI", "TECH_STUDIES_PARAM1_OVERRIDE", "5", "PERIODICITY_OVERRIDE", "W")</f>
        <v>55.796585760682817</v>
      </c>
      <c r="BA17" cm="1">
        <f t="array" ref="BA17">IFERROR(VALUE(_xll.BDP($B17,"INTERVAL_MAE_MOV_AVG","CALC_INTERVAL","520D","TECH_STUDIES_PARAM1_OVERRIDE",31,"USE_PREVIOUS_BUSINESS_DAY","N")),"")</f>
        <v>114.53832580645162</v>
      </c>
      <c r="BB17" cm="1">
        <f t="array" ref="BB17">IFERROR(VALUE(_xll.BDP($B17,"INTERVAL_MAE_MOV_AVG","CALC_INTERVAL","760D","TECH_STUDIES_PARAM1_OVERRIDE",200,"USE_PREVIOUS_BUSINESS_DAY","N")),"")</f>
        <v>114.37415499999997</v>
      </c>
      <c r="BC17" s="13">
        <f t="shared" si="35"/>
        <v>2.5301504235191175E-3</v>
      </c>
      <c r="BD17" s="13">
        <f t="shared" si="36"/>
        <v>2.1761599521363806E-4</v>
      </c>
      <c r="BE17" s="13">
        <f t="shared" si="37"/>
        <v>3.9691659361331677E-3</v>
      </c>
      <c r="BF17" s="14" cm="1">
        <f t="array" ref="BF17">VALUE(_xll.BDP($B17,"INTERVAL_DATE_OF_CALC_HI","CALC_INTERVAL","3M"))</f>
        <v>45987</v>
      </c>
      <c r="BG17" s="14" cm="1">
        <f t="array" ref="BG17">VALUE(_xll.BDP($B17,"INTERVAL_DATE_OF_CALC_LO","CALC_INTERVAL","3M"))</f>
        <v>46042</v>
      </c>
      <c r="BH17" s="14" cm="1">
        <f t="array" ref="BH17">VALUE(_xll.BDP($B17,"INTERVAL_DATE_OF_CALC_HI","CALC_INTERVAL","1M"))</f>
        <v>46036</v>
      </c>
      <c r="BI17" s="14" cm="1">
        <f t="array" ref="BI17">VALUE(_xll.BDP($B17,"INTERVAL_DATE_OF_CALC_LO","CALC_INTERVAL","1M"))</f>
        <v>46042</v>
      </c>
      <c r="BJ17" s="15">
        <f>$F17-MIN(_xll.BDP("NYA Index","RSI_14D"),_xll.BDP("RSP US Equity","RSI_14D"))</f>
        <v>-11.443111320676479</v>
      </c>
    </row>
    <row r="18" spans="1:62" x14ac:dyDescent="0.25">
      <c r="A18" s="11">
        <v>17</v>
      </c>
      <c r="B18" s="26" t="s">
        <v>314</v>
      </c>
      <c r="C18" s="1" t="s">
        <v>315</v>
      </c>
      <c r="D18" s="1" t="s">
        <v>316</v>
      </c>
      <c r="E18" s="11" t="s">
        <v>944</v>
      </c>
      <c r="F18">
        <f>IFERROR(VALUE((_xll.BDP($B18,"interval_rsi","tech_studies_param1_override",14))),"")</f>
        <v>54.529664636691223</v>
      </c>
      <c r="G18">
        <f t="shared" si="0"/>
        <v>52.525531939815814</v>
      </c>
      <c r="H18">
        <f t="shared" si="11"/>
        <v>0</v>
      </c>
      <c r="I18" cm="1">
        <f t="array" ref="I18">IFERROR(VALUE(_xll.BDP($B18,"px_last")),"")</f>
        <v>118.65625</v>
      </c>
      <c r="J18">
        <f t="shared" si="1"/>
        <v>6941.47</v>
      </c>
      <c r="K18" cm="1">
        <f t="array" ref="K18">IFERROR(VALUE(_xll.BDP($B18,"PX_YEST_CLOSE")),"")</f>
        <v>118.5625</v>
      </c>
      <c r="L18">
        <f t="shared" si="2"/>
        <v>6941.81</v>
      </c>
      <c r="M18">
        <f t="shared" si="12"/>
        <v>1.7093821625678709E-2</v>
      </c>
      <c r="N18">
        <f t="shared" si="13"/>
        <v>1.7079479271256342E-2</v>
      </c>
      <c r="O18" cm="1">
        <f t="array" ref="O18">IFERROR(VALUE(_xll.BDP($B18,"INTERVAL_MAE_MOV_AVG","CALC_INTERVAL","520D","TECH_STUDIES_PARAM1_OVERRIDE",50,"USE_PREVIOUS_BUSINESS_DAY","N")),"")</f>
        <v>118.21314599999998</v>
      </c>
      <c r="P18">
        <f t="shared" si="3"/>
        <v>6894.0953999999992</v>
      </c>
      <c r="Q18" cm="1">
        <f t="array" ref="Q18">IFERROR(VALUE(_xll.BDP($B18,"INTERVAL_MAE_MOV_AVG","CALC_INTERVAL","520D","TECH_STUDIES_PARAM1_OVERRIDE",50,"USE_PREVIOUS_BUSINESS_DAY","Y")),"")</f>
        <v>118.26752199999997</v>
      </c>
      <c r="R18">
        <f t="shared" si="4"/>
        <v>6892.2477999999992</v>
      </c>
      <c r="S18">
        <f t="shared" si="14"/>
        <v>1.7147013370311062E-2</v>
      </c>
      <c r="T18">
        <f t="shared" si="15"/>
        <v>1.7159499401632076E-2</v>
      </c>
      <c r="U18" s="11" t="str">
        <f t="shared" si="16"/>
        <v>NEGATIVE</v>
      </c>
      <c r="V18" s="11" t="str">
        <f t="shared" si="17"/>
        <v/>
      </c>
      <c r="W18" s="11" t="str">
        <f t="shared" si="18"/>
        <v>DOWN</v>
      </c>
      <c r="X18" s="6" t="str">
        <f t="shared" si="19"/>
        <v>NEGATIVE</v>
      </c>
      <c r="Y18" cm="1">
        <f t="array" ref="Y18">IFERROR(VALUE(_xll.BDP($B18,"INTERVAL_MAE_MOV_AVG","CALC_INTERVAL","520D","TECH_STUDIES_PARAM1_OVERRIDE",65,"USE_PREVIOUS_BUSINESS_DAY","N")),"")</f>
        <v>118.79569538461533</v>
      </c>
      <c r="Z18">
        <f t="shared" si="5"/>
        <v>6856.0226153846133</v>
      </c>
      <c r="AA18" cm="1">
        <f t="array" ref="AA18">IFERROR(VALUE(_xll.BDP($B18,"INTERVAL_MAE_MOV_AVG","CALC_INTERVAL","520D","TECH_STUDIES_PARAM1_OVERRIDE",65,"USE_PREVIOUS_BUSINESS_DAY","Y")),"")</f>
        <v>118.83271538461533</v>
      </c>
      <c r="AB18">
        <f t="shared" si="6"/>
        <v>6852.6203076923057</v>
      </c>
      <c r="AC18">
        <f t="shared" si="20"/>
        <v>1.7327202964302218E-2</v>
      </c>
      <c r="AD18">
        <f t="shared" si="21"/>
        <v>1.7341208187358848E-2</v>
      </c>
      <c r="AE18" s="10" t="str">
        <f t="shared" si="22"/>
        <v>DOWN</v>
      </c>
      <c r="AF18" s="10" t="str">
        <f t="shared" si="23"/>
        <v>DOWN</v>
      </c>
      <c r="AG18" s="6" t="str">
        <f t="shared" si="24"/>
        <v>NEGATIVE</v>
      </c>
      <c r="AH18" cm="1">
        <f t="array" ref="AH18">IFERROR(VALUE(_xll.BDP($B18,"INTERVAL_MAE_MOV_AVG","CALC_INTERVAL","65W","PERIODICITY_OVERRIDE","W","TECH_STUDIES_PARAM1_OVERRIDE",39,"USE_PREVIOUS_BUSINESS_DAY","N")),"")</f>
        <v>118.50403846153849</v>
      </c>
      <c r="AI18">
        <f t="shared" si="7"/>
        <v>6560.7735897435905</v>
      </c>
      <c r="AJ18" cm="1">
        <f t="array" ref="AJ18">IFERROR(VALUE(_xll.BDP($B18,"INTERVAL_MAE_MOV_AVG","CALC_INTERVAL","65W","PERIODICITY_OVERRIDE","W","TECH_STUDIES_PARAM1_OVERRIDE",39,"USE_PREVIOUS_BUSINESS_DAY","Y")),"")</f>
        <v>118.516858974359</v>
      </c>
      <c r="AK18">
        <f t="shared" si="8"/>
        <v>6560.7823076923087</v>
      </c>
      <c r="AL18">
        <f t="shared" si="25"/>
        <v>1.8062509983090252E-2</v>
      </c>
      <c r="AM18">
        <f t="shared" si="26"/>
        <v>1.8064440095109047E-2</v>
      </c>
      <c r="AN18" s="10" t="str">
        <f t="shared" si="27"/>
        <v>DOWN</v>
      </c>
      <c r="AO18" s="10" t="str">
        <f t="shared" si="28"/>
        <v>DOWN</v>
      </c>
      <c r="AP18" s="6" t="str">
        <f t="shared" si="29"/>
        <v>NEGATIVE</v>
      </c>
      <c r="AQ18" cm="1">
        <f t="array" ref="AQ18">IFERROR(VALUE(_xll.BDP($B18,"INTERVAL_exp_MOV_AVG","CALC_INTERVAL","520D","TECH_STUDIES_PARAM1_OVERRIDE",100,"USE_PREVIOUS_BUSINESS_DAY","N")),"")</f>
        <v>118.86716303852563</v>
      </c>
      <c r="AR18">
        <f t="shared" si="9"/>
        <v>6773.0064518682802</v>
      </c>
      <c r="AS18" cm="1">
        <f t="array" ref="AS18">IFERROR(VALUE(_xll.BDP($B18,"INTERVAL_exp_MOV_AVG","CALC_INTERVAL","520D","TECH_STUDIES_PARAM1_OVERRIDE",100,"USE_PREVIOUS_BUSINESS_DAY","Y")),"")</f>
        <v>118.87329035345742</v>
      </c>
      <c r="AT18">
        <f t="shared" si="10"/>
        <v>6769.6039787132295</v>
      </c>
      <c r="AU18">
        <f t="shared" si="30"/>
        <v>1.755013285211578E-2</v>
      </c>
      <c r="AV18">
        <f t="shared" si="31"/>
        <v>1.7559858852489764E-2</v>
      </c>
      <c r="AW18" s="11" t="str">
        <f t="shared" si="32"/>
        <v>DOWN</v>
      </c>
      <c r="AX18" s="11" t="str">
        <f t="shared" si="33"/>
        <v>DOWN</v>
      </c>
      <c r="AY18" s="6" t="str">
        <f t="shared" si="34"/>
        <v>NEGATIVE</v>
      </c>
      <c r="AZ18" s="12" cm="1">
        <f t="array" ref="AZ18">_xll.BDP($B18, "INTERVAL_RSI", "TECH_STUDIES_PARAM1_OVERRIDE", "5", "PERIODICITY_OVERRIDE", "W")</f>
        <v>55.670818134059388</v>
      </c>
      <c r="BA18" cm="1">
        <f t="array" ref="BA18">IFERROR(VALUE(_xll.BDP($B18,"INTERVAL_MAE_MOV_AVG","CALC_INTERVAL","520D","TECH_STUDIES_PARAM1_OVERRIDE",31,"USE_PREVIOUS_BUSINESS_DAY","N")),"")</f>
        <v>117.86292580645164</v>
      </c>
      <c r="BB18" cm="1">
        <f t="array" ref="BB18">IFERROR(VALUE(_xll.BDP($B18,"INTERVAL_MAE_MOV_AVG","CALC_INTERVAL","760D","TECH_STUDIES_PARAM1_OVERRIDE",200,"USE_PREVIOUS_BUSINESS_DAY","N")),"")</f>
        <v>118.60564874999989</v>
      </c>
      <c r="BC18" s="13">
        <f t="shared" si="35"/>
        <v>6.7309053132713625E-3</v>
      </c>
      <c r="BD18" s="13">
        <f t="shared" si="36"/>
        <v>3.74834792062817E-3</v>
      </c>
      <c r="BE18" s="13">
        <f t="shared" si="37"/>
        <v>4.2663440176249345E-4</v>
      </c>
      <c r="BF18" s="14" cm="1">
        <f t="array" ref="BF18">VALUE(_xll.BDP($B18,"INTERVAL_DATE_OF_CALC_HI","CALC_INTERVAL","3M"))</f>
        <v>45987</v>
      </c>
      <c r="BG18" s="14" cm="1">
        <f t="array" ref="BG18">VALUE(_xll.BDP($B18,"INTERVAL_DATE_OF_CALC_LO","CALC_INTERVAL","3M"))</f>
        <v>46042</v>
      </c>
      <c r="BH18" s="14" cm="1">
        <f t="array" ref="BH18">VALUE(_xll.BDP($B18,"INTERVAL_DATE_OF_CALC_HI","CALC_INTERVAL","1M"))</f>
        <v>46063</v>
      </c>
      <c r="BI18" s="14" cm="1">
        <f t="array" ref="BI18">VALUE(_xll.BDP($B18,"INTERVAL_DATE_OF_CALC_LO","CALC_INTERVAL","1M"))</f>
        <v>46042</v>
      </c>
      <c r="BJ18" s="15">
        <f>$F18-MIN(_xll.BDP("NYA Index","RSI_14D"),_xll.BDP("RSP US Equity","RSI_14D"))</f>
        <v>-11.816099523465027</v>
      </c>
    </row>
    <row r="19" spans="1:62" x14ac:dyDescent="0.25">
      <c r="A19" s="11">
        <v>18</v>
      </c>
      <c r="B19" s="26" t="s">
        <v>550</v>
      </c>
      <c r="C19" s="1" t="s">
        <v>551</v>
      </c>
      <c r="D19" s="1" t="s">
        <v>552</v>
      </c>
      <c r="E19" s="11" t="s">
        <v>788</v>
      </c>
      <c r="F19">
        <f>IFERROR(VALUE((_xll.BDP($B19,"interval_rsi","tech_studies_param1_override",14))),"")</f>
        <v>47.242799315093308</v>
      </c>
      <c r="G19">
        <f t="shared" si="0"/>
        <v>52.525531939815814</v>
      </c>
      <c r="H19">
        <f t="shared" si="11"/>
        <v>0</v>
      </c>
      <c r="I19" cm="1">
        <f t="array" ref="I19">IFERROR(VALUE(_xll.BDP($B19,"px_last")),"")</f>
        <v>23440</v>
      </c>
      <c r="J19">
        <f t="shared" si="1"/>
        <v>6941.47</v>
      </c>
      <c r="K19" cm="1">
        <f t="array" ref="K19">IFERROR(VALUE(_xll.BDP($B19,"PX_YEST_CLOSE")),"")</f>
        <v>23495</v>
      </c>
      <c r="L19">
        <f t="shared" si="2"/>
        <v>6941.81</v>
      </c>
      <c r="M19">
        <f t="shared" si="12"/>
        <v>3.3768063536974156</v>
      </c>
      <c r="N19">
        <f t="shared" si="13"/>
        <v>3.384563968186971</v>
      </c>
      <c r="O19" cm="1">
        <f t="array" ref="O19">IFERROR(VALUE(_xll.BDP($B19,"INTERVAL_MAE_MOV_AVG","CALC_INTERVAL","520D","TECH_STUDIES_PARAM1_OVERRIDE",50,"USE_PREVIOUS_BUSINESS_DAY","N")),"")</f>
        <v>23177.5</v>
      </c>
      <c r="P19">
        <f t="shared" si="3"/>
        <v>6894.0953999999992</v>
      </c>
      <c r="Q19" cm="1">
        <f t="array" ref="Q19">IFERROR(VALUE(_xll.BDP($B19,"INTERVAL_MAE_MOV_AVG","CALC_INTERVAL","520D","TECH_STUDIES_PARAM1_OVERRIDE",50,"USE_PREVIOUS_BUSINESS_DAY","Y")),"")</f>
        <v>23142.600000000002</v>
      </c>
      <c r="R19">
        <f t="shared" si="4"/>
        <v>6892.2477999999992</v>
      </c>
      <c r="S19">
        <f t="shared" si="14"/>
        <v>3.3619349102711871</v>
      </c>
      <c r="T19">
        <f t="shared" si="15"/>
        <v>3.3577724817148922</v>
      </c>
      <c r="U19" s="11" t="str">
        <f t="shared" si="16"/>
        <v>NEGATIVE</v>
      </c>
      <c r="V19" s="11" t="str">
        <f t="shared" si="17"/>
        <v/>
      </c>
      <c r="W19" s="11" t="str">
        <f t="shared" si="18"/>
        <v>UP</v>
      </c>
      <c r="X19" s="6" t="str">
        <f t="shared" si="19"/>
        <v>POSITIVE</v>
      </c>
      <c r="Y19" cm="1">
        <f t="array" ref="Y19">IFERROR(VALUE(_xll.BDP($B19,"INTERVAL_MAE_MOV_AVG","CALC_INTERVAL","520D","TECH_STUDIES_PARAM1_OVERRIDE",65,"USE_PREVIOUS_BUSINESS_DAY","N")),"")</f>
        <v>22806.076923076926</v>
      </c>
      <c r="Z19">
        <f t="shared" si="5"/>
        <v>6856.0226153846133</v>
      </c>
      <c r="AA19" cm="1">
        <f t="array" ref="AA19">IFERROR(VALUE(_xll.BDP($B19,"INTERVAL_MAE_MOV_AVG","CALC_INTERVAL","520D","TECH_STUDIES_PARAM1_OVERRIDE",65,"USE_PREVIOUS_BUSINESS_DAY","Y")),"")</f>
        <v>22776.307692307695</v>
      </c>
      <c r="AB19">
        <f t="shared" si="6"/>
        <v>6852.6203076923057</v>
      </c>
      <c r="AC19">
        <f t="shared" si="20"/>
        <v>3.3264296520698591</v>
      </c>
      <c r="AD19">
        <f t="shared" si="21"/>
        <v>3.3237370041851717</v>
      </c>
      <c r="AE19" s="10" t="str">
        <f t="shared" si="22"/>
        <v>UP</v>
      </c>
      <c r="AF19" s="10" t="str">
        <f t="shared" si="23"/>
        <v>UP</v>
      </c>
      <c r="AG19" s="6" t="str">
        <f t="shared" si="24"/>
        <v>POSITIVE</v>
      </c>
      <c r="AH19" cm="1">
        <f t="array" ref="AH19">IFERROR(VALUE(_xll.BDP($B19,"INTERVAL_MAE_MOV_AVG","CALC_INTERVAL","65W","PERIODICITY_OVERRIDE","W","TECH_STUDIES_PARAM1_OVERRIDE",39,"USE_PREVIOUS_BUSINESS_DAY","N")),"")</f>
        <v>21515.25641025641</v>
      </c>
      <c r="AI19">
        <f t="shared" si="7"/>
        <v>6560.7735897435905</v>
      </c>
      <c r="AJ19" cm="1">
        <f t="array" ref="AJ19">IFERROR(VALUE(_xll.BDP($B19,"INTERVAL_MAE_MOV_AVG","CALC_INTERVAL","65W","PERIODICITY_OVERRIDE","W","TECH_STUDIES_PARAM1_OVERRIDE",39,"USE_PREVIOUS_BUSINESS_DAY","Y")),"")</f>
        <v>21513.717948717949</v>
      </c>
      <c r="AK19">
        <f t="shared" si="8"/>
        <v>6560.7823076923087</v>
      </c>
      <c r="AL19">
        <f t="shared" si="25"/>
        <v>3.279377975166077</v>
      </c>
      <c r="AM19">
        <f t="shared" si="26"/>
        <v>3.2791391239263952</v>
      </c>
      <c r="AN19" s="10" t="str">
        <f t="shared" si="27"/>
        <v>UP</v>
      </c>
      <c r="AO19" s="10" t="str">
        <f t="shared" si="28"/>
        <v>UP</v>
      </c>
      <c r="AP19" s="6" t="str">
        <f t="shared" si="29"/>
        <v>POSITIVE</v>
      </c>
      <c r="AQ19" cm="1">
        <f t="array" ref="AQ19">IFERROR(VALUE(_xll.BDP($B19,"INTERVAL_exp_MOV_AVG","CALC_INTERVAL","520D","TECH_STUDIES_PARAM1_OVERRIDE",100,"USE_PREVIOUS_BUSINESS_DAY","N")),"")</f>
        <v>22524.574434190792</v>
      </c>
      <c r="AR19">
        <f t="shared" si="9"/>
        <v>6773.0064518682802</v>
      </c>
      <c r="AS19" cm="1">
        <f t="array" ref="AS19">IFERROR(VALUE(_xll.BDP($B19,"INTERVAL_exp_MOV_AVG","CALC_INTERVAL","520D","TECH_STUDIES_PARAM1_OVERRIDE",100,"USE_PREVIOUS_BUSINESS_DAY","Y")),"")</f>
        <v>22504.969877305757</v>
      </c>
      <c r="AT19">
        <f t="shared" si="10"/>
        <v>6769.6039787132295</v>
      </c>
      <c r="AU19">
        <f t="shared" si="30"/>
        <v>3.3256390045188229</v>
      </c>
      <c r="AV19">
        <f t="shared" si="31"/>
        <v>3.3244145371090843</v>
      </c>
      <c r="AW19" s="11" t="str">
        <f t="shared" si="32"/>
        <v>UP</v>
      </c>
      <c r="AX19" s="11" t="str">
        <f t="shared" si="33"/>
        <v>UP</v>
      </c>
      <c r="AY19" s="6" t="str">
        <f t="shared" si="34"/>
        <v>POSITIVE</v>
      </c>
      <c r="AZ19" s="12" cm="1">
        <f t="array" ref="AZ19">_xll.BDP($B19, "INTERVAL_RSI", "TECH_STUDIES_PARAM1_OVERRIDE", "5", "PERIODICITY_OVERRIDE", "W")</f>
        <v>51.585752467015801</v>
      </c>
      <c r="BA19" cm="1">
        <f t="array" ref="BA19">IFERROR(VALUE(_xll.BDP($B19,"INTERVAL_MAE_MOV_AVG","CALC_INTERVAL","520D","TECH_STUDIES_PARAM1_OVERRIDE",31,"USE_PREVIOUS_BUSINESS_DAY","N")),"")</f>
        <v>23909.032258064515</v>
      </c>
      <c r="BB19" cm="1">
        <f t="array" ref="BB19">IFERROR(VALUE(_xll.BDP($B19,"INTERVAL_MAE_MOV_AVG","CALC_INTERVAL","760D","TECH_STUDIES_PARAM1_OVERRIDE",200,"USE_PREVIOUS_BUSINESS_DAY","N")),"")</f>
        <v>21328.325000000001</v>
      </c>
      <c r="BC19" s="13">
        <f t="shared" si="35"/>
        <v>-1.9617366901427458E-2</v>
      </c>
      <c r="BD19" s="13">
        <f t="shared" si="36"/>
        <v>1.1325639089634354E-2</v>
      </c>
      <c r="BE19" s="13">
        <f t="shared" si="37"/>
        <v>9.9008009302183897E-2</v>
      </c>
      <c r="BF19" s="14" cm="1">
        <f t="array" ref="BF19">VALUE(_xll.BDP($B19,"INTERVAL_DATE_OF_CALC_HI","CALC_INTERVAL","3M"))</f>
        <v>46051</v>
      </c>
      <c r="BG19" s="14" cm="1">
        <f t="array" ref="BG19">VALUE(_xll.BDP($B19,"INTERVAL_DATE_OF_CALC_LO","CALC_INTERVAL","3M"))</f>
        <v>45985</v>
      </c>
      <c r="BH19" s="14" cm="1">
        <f t="array" ref="BH19">VALUE(_xll.BDP($B19,"INTERVAL_DATE_OF_CALC_HI","CALC_INTERVAL","1M"))</f>
        <v>46051</v>
      </c>
      <c r="BI19" s="14" cm="1">
        <f t="array" ref="BI19">VALUE(_xll.BDP($B19,"INTERVAL_DATE_OF_CALC_LO","CALC_INTERVAL","1M"))</f>
        <v>46059</v>
      </c>
      <c r="BJ19" s="15">
        <f>$F19-MIN(_xll.BDP("NYA Index","RSI_14D"),_xll.BDP("RSP US Equity","RSI_14D"))</f>
        <v>-19.102964845062942</v>
      </c>
    </row>
    <row r="20" spans="1:62" x14ac:dyDescent="0.25">
      <c r="A20" s="11">
        <v>19</v>
      </c>
      <c r="B20" s="26" t="s">
        <v>553</v>
      </c>
      <c r="C20" s="1" t="s">
        <v>554</v>
      </c>
      <c r="D20" s="1" t="s">
        <v>552</v>
      </c>
      <c r="E20" s="11" t="s">
        <v>788</v>
      </c>
      <c r="F20">
        <f>IFERROR(VALUE((_xll.BDP($B20,"interval_rsi","tech_studies_param1_override",14))),"")</f>
        <v>46.007824312814357</v>
      </c>
      <c r="G20">
        <f t="shared" si="0"/>
        <v>52.525531939815814</v>
      </c>
      <c r="H20">
        <f t="shared" si="11"/>
        <v>0</v>
      </c>
      <c r="I20" cm="1">
        <f t="array" ref="I20">IFERROR(VALUE(_xll.BDP($B20,"px_last")),"")</f>
        <v>427.5</v>
      </c>
      <c r="J20">
        <f t="shared" si="1"/>
        <v>6941.47</v>
      </c>
      <c r="K20" cm="1">
        <f t="array" ref="K20">IFERROR(VALUE(_xll.BDP($B20,"PX_YEST_CLOSE")),"")</f>
        <v>427.5</v>
      </c>
      <c r="L20">
        <f t="shared" si="2"/>
        <v>6941.81</v>
      </c>
      <c r="M20">
        <f t="shared" si="12"/>
        <v>6.1586378677715235E-2</v>
      </c>
      <c r="N20">
        <f t="shared" si="13"/>
        <v>6.1583362264308585E-2</v>
      </c>
      <c r="O20" cm="1">
        <f t="array" ref="O20">IFERROR(VALUE(_xll.BDP($B20,"INTERVAL_MAE_MOV_AVG","CALC_INTERVAL","520D","TECH_STUDIES_PARAM1_OVERRIDE",50,"USE_PREVIOUS_BUSINESS_DAY","N")),"")</f>
        <v>434.58500000000004</v>
      </c>
      <c r="P20">
        <f t="shared" si="3"/>
        <v>6894.0953999999992</v>
      </c>
      <c r="Q20" cm="1">
        <f t="array" ref="Q20">IFERROR(VALUE(_xll.BDP($B20,"INTERVAL_MAE_MOV_AVG","CALC_INTERVAL","520D","TECH_STUDIES_PARAM1_OVERRIDE",50,"USE_PREVIOUS_BUSINESS_DAY","Y")),"")</f>
        <v>434.745</v>
      </c>
      <c r="R20">
        <f t="shared" si="4"/>
        <v>6892.2477999999992</v>
      </c>
      <c r="S20">
        <f t="shared" si="14"/>
        <v>6.3037276797765246E-2</v>
      </c>
      <c r="T20">
        <f t="shared" si="15"/>
        <v>6.3077389643477422E-2</v>
      </c>
      <c r="U20" s="11" t="str">
        <f t="shared" si="16"/>
        <v>NEGATIVE</v>
      </c>
      <c r="V20" s="11" t="str">
        <f t="shared" si="17"/>
        <v/>
      </c>
      <c r="W20" s="11" t="str">
        <f t="shared" si="18"/>
        <v>DOWN</v>
      </c>
      <c r="X20" s="6" t="str">
        <f t="shared" si="19"/>
        <v>NEGATIVE</v>
      </c>
      <c r="Y20" cm="1">
        <f t="array" ref="Y20">IFERROR(VALUE(_xll.BDP($B20,"INTERVAL_MAE_MOV_AVG","CALC_INTERVAL","520D","TECH_STUDIES_PARAM1_OVERRIDE",65,"USE_PREVIOUS_BUSINESS_DAY","N")),"")</f>
        <v>433.73846153846154</v>
      </c>
      <c r="Z20">
        <f t="shared" si="5"/>
        <v>6856.0226153846133</v>
      </c>
      <c r="AA20" cm="1">
        <f t="array" ref="AA20">IFERROR(VALUE(_xll.BDP($B20,"INTERVAL_MAE_MOV_AVG","CALC_INTERVAL","520D","TECH_STUDIES_PARAM1_OVERRIDE",65,"USE_PREVIOUS_BUSINESS_DAY","Y")),"")</f>
        <v>433.75769230769231</v>
      </c>
      <c r="AB20">
        <f t="shared" si="6"/>
        <v>6852.6203076923057</v>
      </c>
      <c r="AC20">
        <f t="shared" si="20"/>
        <v>6.3263860968773858E-2</v>
      </c>
      <c r="AD20">
        <f t="shared" si="21"/>
        <v>6.3298077644953446E-2</v>
      </c>
      <c r="AE20" s="10" t="str">
        <f t="shared" si="22"/>
        <v>DOWN</v>
      </c>
      <c r="AF20" s="10" t="str">
        <f t="shared" si="23"/>
        <v>DOWN</v>
      </c>
      <c r="AG20" s="6" t="str">
        <f t="shared" si="24"/>
        <v>NEGATIVE</v>
      </c>
      <c r="AH20" cm="1">
        <f t="array" ref="AH20">IFERROR(VALUE(_xll.BDP($B20,"INTERVAL_MAE_MOV_AVG","CALC_INTERVAL","65W","PERIODICITY_OVERRIDE","W","TECH_STUDIES_PARAM1_OVERRIDE",39,"USE_PREVIOUS_BUSINESS_DAY","N")),"")</f>
        <v>422.55769230769232</v>
      </c>
      <c r="AI20">
        <f t="shared" si="7"/>
        <v>6560.7735897435905</v>
      </c>
      <c r="AJ20" cm="1">
        <f t="array" ref="AJ20">IFERROR(VALUE(_xll.BDP($B20,"INTERVAL_MAE_MOV_AVG","CALC_INTERVAL","65W","PERIODICITY_OVERRIDE","W","TECH_STUDIES_PARAM1_OVERRIDE",39,"USE_PREVIOUS_BUSINESS_DAY","Y")),"")</f>
        <v>422.58974358974359</v>
      </c>
      <c r="AK20">
        <f t="shared" si="8"/>
        <v>6560.7823076923087</v>
      </c>
      <c r="AL20">
        <f t="shared" si="25"/>
        <v>6.4406687188272083E-2</v>
      </c>
      <c r="AM20">
        <f t="shared" si="26"/>
        <v>6.4411486888426489E-2</v>
      </c>
      <c r="AN20" s="10" t="str">
        <f t="shared" si="27"/>
        <v>DOWN</v>
      </c>
      <c r="AO20" s="10" t="str">
        <f t="shared" si="28"/>
        <v>DOWN</v>
      </c>
      <c r="AP20" s="6" t="str">
        <f t="shared" si="29"/>
        <v>NEGATIVE</v>
      </c>
      <c r="AQ20" cm="1">
        <f t="array" ref="AQ20">IFERROR(VALUE(_xll.BDP($B20,"INTERVAL_exp_MOV_AVG","CALC_INTERVAL","520D","TECH_STUDIES_PARAM1_OVERRIDE",100,"USE_PREVIOUS_BUSINESS_DAY","N")),"")</f>
        <v>429.24494226924207</v>
      </c>
      <c r="AR20">
        <f t="shared" si="9"/>
        <v>6773.0064518682802</v>
      </c>
      <c r="AS20" cm="1">
        <f t="array" ref="AS20">IFERROR(VALUE(_xll.BDP($B20,"INTERVAL_exp_MOV_AVG","CALC_INTERVAL","520D","TECH_STUDIES_PARAM1_OVERRIDE",100,"USE_PREVIOUS_BUSINESS_DAY","Y")),"")</f>
        <v>429.28049458902399</v>
      </c>
      <c r="AT20">
        <f t="shared" si="10"/>
        <v>6769.6039787132295</v>
      </c>
      <c r="AU20">
        <f t="shared" si="30"/>
        <v>6.3375835431374539E-2</v>
      </c>
      <c r="AV20">
        <f t="shared" si="31"/>
        <v>6.3412940541113003E-2</v>
      </c>
      <c r="AW20" s="11" t="str">
        <f t="shared" si="32"/>
        <v>DOWN</v>
      </c>
      <c r="AX20" s="11" t="str">
        <f t="shared" si="33"/>
        <v>DOWN</v>
      </c>
      <c r="AY20" s="6" t="str">
        <f t="shared" si="34"/>
        <v>NEGATIVE</v>
      </c>
      <c r="AZ20" s="12" cm="1">
        <f t="array" ref="AZ20">_xll.BDP($B20, "INTERVAL_RSI", "TECH_STUDIES_PARAM1_OVERRIDE", "5", "PERIODICITY_OVERRIDE", "W")</f>
        <v>41.8177334367737</v>
      </c>
      <c r="BA20" cm="1">
        <f t="array" ref="BA20">IFERROR(VALUE(_xll.BDP($B20,"INTERVAL_MAE_MOV_AVG","CALC_INTERVAL","520D","TECH_STUDIES_PARAM1_OVERRIDE",31,"USE_PREVIOUS_BUSINESS_DAY","N")),"")</f>
        <v>431.40322580645159</v>
      </c>
      <c r="BB20" cm="1">
        <f t="array" ref="BB20">IFERROR(VALUE(_xll.BDP($B20,"INTERVAL_MAE_MOV_AVG","CALC_INTERVAL","760D","TECH_STUDIES_PARAM1_OVERRIDE",200,"USE_PREVIOUS_BUSINESS_DAY","N")),"")</f>
        <v>423.77375000000001</v>
      </c>
      <c r="BC20" s="13">
        <f t="shared" si="35"/>
        <v>-9.0477436721875248E-3</v>
      </c>
      <c r="BD20" s="13">
        <f t="shared" si="36"/>
        <v>-1.6302909672446186E-2</v>
      </c>
      <c r="BE20" s="13">
        <f t="shared" si="37"/>
        <v>8.7930175004939937E-3</v>
      </c>
      <c r="BF20" s="14" cm="1">
        <f t="array" ref="BF20">VALUE(_xll.BDP($B20,"INTERVAL_DATE_OF_CALC_HI","CALC_INTERVAL","3M"))</f>
        <v>46015</v>
      </c>
      <c r="BG20" s="14" cm="1">
        <f t="array" ref="BG20">VALUE(_xll.BDP($B20,"INTERVAL_DATE_OF_CALC_LO","CALC_INTERVAL","3M"))</f>
        <v>46035</v>
      </c>
      <c r="BH20" s="14" cm="1">
        <f t="array" ref="BH20">VALUE(_xll.BDP($B20,"INTERVAL_DATE_OF_CALC_HI","CALC_INTERVAL","1M"))</f>
        <v>46058</v>
      </c>
      <c r="BI20" s="14" cm="1">
        <f t="array" ref="BI20">VALUE(_xll.BDP($B20,"INTERVAL_DATE_OF_CALC_LO","CALC_INTERVAL","1M"))</f>
        <v>46035</v>
      </c>
      <c r="BJ20" s="15">
        <f>$F20-MIN(_xll.BDP("NYA Index","RSI_14D"),_xll.BDP("RSP US Equity","RSI_14D"))</f>
        <v>-20.337939847341893</v>
      </c>
    </row>
    <row r="21" spans="1:62" x14ac:dyDescent="0.25">
      <c r="A21" s="11">
        <v>20</v>
      </c>
      <c r="B21" s="26" t="s">
        <v>555</v>
      </c>
      <c r="C21" s="1" t="s">
        <v>556</v>
      </c>
      <c r="D21" s="1" t="s">
        <v>552</v>
      </c>
      <c r="E21" s="11" t="s">
        <v>788</v>
      </c>
      <c r="F21">
        <f>IFERROR(VALUE((_xll.BDP($B21,"interval_rsi","tech_studies_param1_override",14))),"")</f>
        <v>27.016740997360543</v>
      </c>
      <c r="G21">
        <f t="shared" si="0"/>
        <v>52.525531939815814</v>
      </c>
      <c r="H21">
        <f t="shared" si="11"/>
        <v>0</v>
      </c>
      <c r="I21" cm="1">
        <f t="array" ref="I21">IFERROR(VALUE(_xll.BDP($B21,"px_last")),"")</f>
        <v>3762</v>
      </c>
      <c r="J21">
        <f t="shared" si="1"/>
        <v>6941.47</v>
      </c>
      <c r="K21" cm="1">
        <f t="array" ref="K21">IFERROR(VALUE(_xll.BDP($B21,"PX_YEST_CLOSE")),"")</f>
        <v>3762</v>
      </c>
      <c r="L21">
        <f t="shared" si="2"/>
        <v>6941.81</v>
      </c>
      <c r="M21">
        <f t="shared" si="12"/>
        <v>0.54196013236389406</v>
      </c>
      <c r="N21">
        <f t="shared" si="13"/>
        <v>0.54193358792591551</v>
      </c>
      <c r="O21" cm="1">
        <f t="array" ref="O21">IFERROR(VALUE(_xll.BDP($B21,"INTERVAL_MAE_MOV_AVG","CALC_INTERVAL","520D","TECH_STUDIES_PARAM1_OVERRIDE",50,"USE_PREVIOUS_BUSINESS_DAY","N")),"")</f>
        <v>5239.0600000000004</v>
      </c>
      <c r="P21">
        <f t="shared" si="3"/>
        <v>6894.0953999999992</v>
      </c>
      <c r="Q21" cm="1">
        <f t="array" ref="Q21">IFERROR(VALUE(_xll.BDP($B21,"INTERVAL_MAE_MOV_AVG","CALC_INTERVAL","520D","TECH_STUDIES_PARAM1_OVERRIDE",50,"USE_PREVIOUS_BUSINESS_DAY","Y")),"")</f>
        <v>5271.9000000000005</v>
      </c>
      <c r="R21">
        <f t="shared" si="4"/>
        <v>6892.2477999999992</v>
      </c>
      <c r="S21">
        <f t="shared" si="14"/>
        <v>0.75993436354246002</v>
      </c>
      <c r="T21">
        <f t="shared" si="15"/>
        <v>0.76490285215804354</v>
      </c>
      <c r="U21" s="11" t="str">
        <f t="shared" si="16"/>
        <v>NEGATIVE</v>
      </c>
      <c r="V21" s="11" t="str">
        <f t="shared" si="17"/>
        <v/>
      </c>
      <c r="W21" s="11" t="str">
        <f t="shared" si="18"/>
        <v>DOWN</v>
      </c>
      <c r="X21" s="6" t="str">
        <f t="shared" si="19"/>
        <v>NEGATIVE</v>
      </c>
      <c r="Y21" cm="1">
        <f t="array" ref="Y21">IFERROR(VALUE(_xll.BDP($B21,"INTERVAL_MAE_MOV_AVG","CALC_INTERVAL","520D","TECH_STUDIES_PARAM1_OVERRIDE",65,"USE_PREVIOUS_BUSINESS_DAY","N")),"")</f>
        <v>5268.3538461538465</v>
      </c>
      <c r="Z21">
        <f t="shared" si="5"/>
        <v>6856.0226153846133</v>
      </c>
      <c r="AA21" cm="1">
        <f t="array" ref="AA21">IFERROR(VALUE(_xll.BDP($B21,"INTERVAL_MAE_MOV_AVG","CALC_INTERVAL","520D","TECH_STUDIES_PARAM1_OVERRIDE",65,"USE_PREVIOUS_BUSINESS_DAY","Y")),"")</f>
        <v>5305.6307692307691</v>
      </c>
      <c r="AB21">
        <f t="shared" si="6"/>
        <v>6852.6203076923057</v>
      </c>
      <c r="AC21">
        <f t="shared" si="20"/>
        <v>0.76842713942219099</v>
      </c>
      <c r="AD21">
        <f t="shared" si="21"/>
        <v>0.77424846715569706</v>
      </c>
      <c r="AE21" s="10" t="str">
        <f t="shared" si="22"/>
        <v>DOWN</v>
      </c>
      <c r="AF21" s="10" t="str">
        <f t="shared" si="23"/>
        <v>DOWN</v>
      </c>
      <c r="AG21" s="6" t="str">
        <f t="shared" si="24"/>
        <v>NEGATIVE</v>
      </c>
      <c r="AH21" cm="1">
        <f t="array" ref="AH21">IFERROR(VALUE(_xll.BDP($B21,"INTERVAL_MAE_MOV_AVG","CALC_INTERVAL","65W","PERIODICITY_OVERRIDE","W","TECH_STUDIES_PARAM1_OVERRIDE",39,"USE_PREVIOUS_BUSINESS_DAY","N")),"")</f>
        <v>6886</v>
      </c>
      <c r="AI21">
        <f t="shared" si="7"/>
        <v>6560.7735897435905</v>
      </c>
      <c r="AJ21" cm="1">
        <f t="array" ref="AJ21">IFERROR(VALUE(_xll.BDP($B21,"INTERVAL_MAE_MOV_AVG","CALC_INTERVAL","65W","PERIODICITY_OVERRIDE","W","TECH_STUDIES_PARAM1_OVERRIDE",39,"USE_PREVIOUS_BUSINESS_DAY","Y")),"")</f>
        <v>6887.1025641025635</v>
      </c>
      <c r="AK21">
        <f t="shared" si="8"/>
        <v>6560.7823076923087</v>
      </c>
      <c r="AL21">
        <f t="shared" si="25"/>
        <v>1.0495713509706894</v>
      </c>
      <c r="AM21">
        <f t="shared" si="26"/>
        <v>1.0497380100582905</v>
      </c>
      <c r="AN21" s="10" t="str">
        <f t="shared" si="27"/>
        <v>DOWN</v>
      </c>
      <c r="AO21" s="10" t="str">
        <f t="shared" si="28"/>
        <v>DOWN</v>
      </c>
      <c r="AP21" s="6" t="str">
        <f t="shared" si="29"/>
        <v>NEGATIVE</v>
      </c>
      <c r="AQ21" cm="1">
        <f t="array" ref="AQ21">IFERROR(VALUE(_xll.BDP($B21,"INTERVAL_exp_MOV_AVG","CALC_INTERVAL","520D","TECH_STUDIES_PARAM1_OVERRIDE",100,"USE_PREVIOUS_BUSINESS_DAY","N")),"")</f>
        <v>5696.3390839854128</v>
      </c>
      <c r="AR21">
        <f t="shared" si="9"/>
        <v>6773.0064518682802</v>
      </c>
      <c r="AS21" cm="1">
        <f t="array" ref="AS21">IFERROR(VALUE(_xll.BDP($B21,"INTERVAL_exp_MOV_AVG","CALC_INTERVAL","520D","TECH_STUDIES_PARAM1_OVERRIDE",100,"USE_PREVIOUS_BUSINESS_DAY","Y")),"")</f>
        <v>5735.4160856176914</v>
      </c>
      <c r="AT21">
        <f t="shared" si="10"/>
        <v>6769.6039787132295</v>
      </c>
      <c r="AU21">
        <f t="shared" si="30"/>
        <v>0.84103553192602121</v>
      </c>
      <c r="AV21">
        <f t="shared" si="31"/>
        <v>0.84723066573059458</v>
      </c>
      <c r="AW21" s="11" t="str">
        <f t="shared" si="32"/>
        <v>DOWN</v>
      </c>
      <c r="AX21" s="11" t="str">
        <f t="shared" si="33"/>
        <v>DOWN</v>
      </c>
      <c r="AY21" s="6" t="str">
        <f t="shared" si="34"/>
        <v>NEGATIVE</v>
      </c>
      <c r="AZ21" s="12" cm="1">
        <f t="array" ref="AZ21">_xll.BDP($B21, "INTERVAL_RSI", "TECH_STUDIES_PARAM1_OVERRIDE", "5", "PERIODICITY_OVERRIDE", "W")</f>
        <v>12.497781840227162</v>
      </c>
      <c r="BA21" cm="1">
        <f t="array" ref="BA21">IFERROR(VALUE(_xll.BDP($B21,"INTERVAL_MAE_MOV_AVG","CALC_INTERVAL","520D","TECH_STUDIES_PARAM1_OVERRIDE",31,"USE_PREVIOUS_BUSINESS_DAY","N")),"")</f>
        <v>4874.7741935483873</v>
      </c>
      <c r="BB21" cm="1">
        <f t="array" ref="BB21">IFERROR(VALUE(_xll.BDP($B21,"INTERVAL_MAE_MOV_AVG","CALC_INTERVAL","760D","TECH_STUDIES_PARAM1_OVERRIDE",200,"USE_PREVIOUS_BUSINESS_DAY","N")),"")</f>
        <v>7210.41</v>
      </c>
      <c r="BC21" s="13">
        <f t="shared" si="35"/>
        <v>-0.22827194642597182</v>
      </c>
      <c r="BD21" s="13">
        <f t="shared" si="36"/>
        <v>-0.28193225502284769</v>
      </c>
      <c r="BE21" s="13">
        <f t="shared" si="37"/>
        <v>-0.47825435724182119</v>
      </c>
      <c r="BF21" s="14" cm="1">
        <f t="array" ref="BF21">VALUE(_xll.BDP($B21,"INTERVAL_DATE_OF_CALC_HI","CALC_INTERVAL","3M"))</f>
        <v>46020</v>
      </c>
      <c r="BG21" s="14" cm="1">
        <f t="array" ref="BG21">VALUE(_xll.BDP($B21,"INTERVAL_DATE_OF_CALC_LO","CALC_INTERVAL","3M"))</f>
        <v>46064</v>
      </c>
      <c r="BH21" s="14" cm="1">
        <f t="array" ref="BH21">VALUE(_xll.BDP($B21,"INTERVAL_DATE_OF_CALC_HI","CALC_INTERVAL","1M"))</f>
        <v>46034</v>
      </c>
      <c r="BI21" s="14" cm="1">
        <f t="array" ref="BI21">VALUE(_xll.BDP($B21,"INTERVAL_DATE_OF_CALC_LO","CALC_INTERVAL","1M"))</f>
        <v>46064</v>
      </c>
      <c r="BJ21" s="15">
        <f>$F21-MIN(_xll.BDP("NYA Index","RSI_14D"),_xll.BDP("RSP US Equity","RSI_14D"))</f>
        <v>-39.329023162795707</v>
      </c>
    </row>
    <row r="22" spans="1:62" x14ac:dyDescent="0.25">
      <c r="A22" s="11">
        <v>21</v>
      </c>
      <c r="B22" s="26" t="s">
        <v>557</v>
      </c>
      <c r="C22" s="1" t="s">
        <v>558</v>
      </c>
      <c r="D22" s="1" t="s">
        <v>552</v>
      </c>
      <c r="E22" s="11" t="s">
        <v>788</v>
      </c>
      <c r="F22">
        <f>IFERROR(VALUE((_xll.BDP($B22,"interval_rsi","tech_studies_param1_override",14))),"")</f>
        <v>59.46367389309215</v>
      </c>
      <c r="G22">
        <f t="shared" si="0"/>
        <v>52.525531939815814</v>
      </c>
      <c r="H22">
        <f t="shared" si="11"/>
        <v>0</v>
      </c>
      <c r="I22" cm="1">
        <f t="array" ref="I22">IFERROR(VALUE(_xll.BDP($B22,"px_last")),"")</f>
        <v>64.81</v>
      </c>
      <c r="J22">
        <f t="shared" si="1"/>
        <v>6941.47</v>
      </c>
      <c r="K22" cm="1">
        <f t="array" ref="K22">IFERROR(VALUE(_xll.BDP($B22,"PX_YEST_CLOSE")),"")</f>
        <v>64.63</v>
      </c>
      <c r="L22">
        <f t="shared" si="2"/>
        <v>6941.81</v>
      </c>
      <c r="M22">
        <f t="shared" si="12"/>
        <v>9.3366390692461391E-3</v>
      </c>
      <c r="N22">
        <f t="shared" si="13"/>
        <v>9.3102519371748849E-3</v>
      </c>
      <c r="O22" cm="1">
        <f t="array" ref="O22">IFERROR(VALUE(_xll.BDP($B22,"INTERVAL_MAE_MOV_AVG","CALC_INTERVAL","520D","TECH_STUDIES_PARAM1_OVERRIDE",50,"USE_PREVIOUS_BUSINESS_DAY","N")),"")</f>
        <v>59.770600000000002</v>
      </c>
      <c r="P22">
        <f t="shared" si="3"/>
        <v>6894.0953999999992</v>
      </c>
      <c r="Q22" cm="1">
        <f t="array" ref="Q22">IFERROR(VALUE(_xll.BDP($B22,"INTERVAL_MAE_MOV_AVG","CALC_INTERVAL","520D","TECH_STUDIES_PARAM1_OVERRIDE",50,"USE_PREVIOUS_BUSINESS_DAY","Y")),"")</f>
        <v>59.649000000000015</v>
      </c>
      <c r="R22">
        <f t="shared" si="4"/>
        <v>6892.2477999999992</v>
      </c>
      <c r="S22">
        <f t="shared" si="14"/>
        <v>8.6698249055271286E-3</v>
      </c>
      <c r="T22">
        <f t="shared" si="15"/>
        <v>8.6545060089104776E-3</v>
      </c>
      <c r="U22" s="11" t="str">
        <f t="shared" si="16"/>
        <v>NEGATIVE</v>
      </c>
      <c r="V22" s="11" t="str">
        <f t="shared" si="17"/>
        <v/>
      </c>
      <c r="W22" s="11" t="str">
        <f t="shared" si="18"/>
        <v>UP</v>
      </c>
      <c r="X22" s="6" t="str">
        <f t="shared" si="19"/>
        <v>POSITIVE</v>
      </c>
      <c r="Y22" cm="1">
        <f t="array" ref="Y22">IFERROR(VALUE(_xll.BDP($B22,"INTERVAL_MAE_MOV_AVG","CALC_INTERVAL","520D","TECH_STUDIES_PARAM1_OVERRIDE",65,"USE_PREVIOUS_BUSINESS_DAY","N")),"")</f>
        <v>59.661538461538463</v>
      </c>
      <c r="Z22">
        <f t="shared" si="5"/>
        <v>6856.0226153846133</v>
      </c>
      <c r="AA22" cm="1">
        <f t="array" ref="AA22">IFERROR(VALUE(_xll.BDP($B22,"INTERVAL_MAE_MOV_AVG","CALC_INTERVAL","520D","TECH_STUDIES_PARAM1_OVERRIDE",65,"USE_PREVIOUS_BUSINESS_DAY","Y")),"")</f>
        <v>59.581538461538464</v>
      </c>
      <c r="AB22">
        <f t="shared" si="6"/>
        <v>6852.6203076923057</v>
      </c>
      <c r="AC22">
        <f t="shared" si="20"/>
        <v>8.7020626693471801E-3</v>
      </c>
      <c r="AD22">
        <f t="shared" si="21"/>
        <v>8.6947088538753721E-3</v>
      </c>
      <c r="AE22" s="10" t="str">
        <f t="shared" si="22"/>
        <v>UP</v>
      </c>
      <c r="AF22" s="10" t="str">
        <f t="shared" si="23"/>
        <v>UP</v>
      </c>
      <c r="AG22" s="6" t="str">
        <f t="shared" si="24"/>
        <v>POSITIVE</v>
      </c>
      <c r="AH22" cm="1">
        <f t="array" ref="AH22">IFERROR(VALUE(_xll.BDP($B22,"INTERVAL_MAE_MOV_AVG","CALC_INTERVAL","65W","PERIODICITY_OVERRIDE","W","TECH_STUDIES_PARAM1_OVERRIDE",39,"USE_PREVIOUS_BUSINESS_DAY","N")),"")</f>
        <v>62.575128205128223</v>
      </c>
      <c r="AI22">
        <f t="shared" si="7"/>
        <v>6560.7735897435905</v>
      </c>
      <c r="AJ22" cm="1">
        <f t="array" ref="AJ22">IFERROR(VALUE(_xll.BDP($B22,"INTERVAL_MAE_MOV_AVG","CALC_INTERVAL","65W","PERIODICITY_OVERRIDE","W","TECH_STUDIES_PARAM1_OVERRIDE",39,"USE_PREVIOUS_BUSINESS_DAY","Y")),"")</f>
        <v>62.557948717948733</v>
      </c>
      <c r="AK22">
        <f t="shared" si="8"/>
        <v>6560.7823076923087</v>
      </c>
      <c r="AL22">
        <f t="shared" si="25"/>
        <v>9.537766751005013E-3</v>
      </c>
      <c r="AM22">
        <f t="shared" si="26"/>
        <v>9.5351355652513459E-3</v>
      </c>
      <c r="AN22" s="10" t="str">
        <f t="shared" si="27"/>
        <v>UP</v>
      </c>
      <c r="AO22" s="10" t="str">
        <f t="shared" si="28"/>
        <v>UP</v>
      </c>
      <c r="AP22" s="6" t="str">
        <f t="shared" si="29"/>
        <v>NEGATIVE</v>
      </c>
      <c r="AQ22" cm="1">
        <f t="array" ref="AQ22">IFERROR(VALUE(_xll.BDP($B22,"INTERVAL_exp_MOV_AVG","CALC_INTERVAL","520D","TECH_STUDIES_PARAM1_OVERRIDE",100,"USE_PREVIOUS_BUSINESS_DAY","N")),"")</f>
        <v>60.980297737013863</v>
      </c>
      <c r="AR22">
        <f t="shared" si="9"/>
        <v>6773.0064518682802</v>
      </c>
      <c r="AS22" cm="1">
        <f t="array" ref="AS22">IFERROR(VALUE(_xll.BDP($B22,"INTERVAL_exp_MOV_AVG","CALC_INTERVAL","520D","TECH_STUDIES_PARAM1_OVERRIDE",100,"USE_PREVIOUS_BUSINESS_DAY","Y")),"")</f>
        <v>60.906502018854532</v>
      </c>
      <c r="AT22">
        <f t="shared" si="10"/>
        <v>6769.6039787132295</v>
      </c>
      <c r="AU22">
        <f t="shared" si="30"/>
        <v>9.0034312192620054E-3</v>
      </c>
      <c r="AV22">
        <f t="shared" si="31"/>
        <v>8.997055397977901E-3</v>
      </c>
      <c r="AW22" s="11" t="str">
        <f t="shared" si="32"/>
        <v>UP</v>
      </c>
      <c r="AX22" s="11" t="str">
        <f t="shared" si="33"/>
        <v>UP</v>
      </c>
      <c r="AY22" s="6" t="str">
        <f t="shared" si="34"/>
        <v>POSITIVE</v>
      </c>
      <c r="AZ22" s="12" cm="1">
        <f t="array" ref="AZ22">_xll.BDP($B22, "INTERVAL_RSI", "TECH_STUDIES_PARAM1_OVERRIDE", "5", "PERIODICITY_OVERRIDE", "W")</f>
        <v>72.691028917371256</v>
      </c>
      <c r="BA22" cm="1">
        <f t="array" ref="BA22">IFERROR(VALUE(_xll.BDP($B22,"INTERVAL_MAE_MOV_AVG","CALC_INTERVAL","520D","TECH_STUDIES_PARAM1_OVERRIDE",31,"USE_PREVIOUS_BUSINESS_DAY","N")),"")</f>
        <v>60.932903225806456</v>
      </c>
      <c r="BB22" cm="1">
        <f t="array" ref="BB22">IFERROR(VALUE(_xll.BDP($B22,"INTERVAL_MAE_MOV_AVG","CALC_INTERVAL","760D","TECH_STUDIES_PARAM1_OVERRIDE",200,"USE_PREVIOUS_BUSINESS_DAY","N")),"")</f>
        <v>62.325200000000024</v>
      </c>
      <c r="BC22" s="13">
        <f t="shared" si="35"/>
        <v>6.3628951993731864E-2</v>
      </c>
      <c r="BD22" s="13">
        <f t="shared" si="36"/>
        <v>8.4312354234356013E-2</v>
      </c>
      <c r="BE22" s="13">
        <f t="shared" si="37"/>
        <v>3.9868303671708683E-2</v>
      </c>
      <c r="BF22" s="14" cm="1">
        <f t="array" ref="BF22">VALUE(_xll.BDP($B22,"INTERVAL_DATE_OF_CALC_HI","CALC_INTERVAL","3M"))</f>
        <v>46051</v>
      </c>
      <c r="BG22" s="14" cm="1">
        <f t="array" ref="BG22">VALUE(_xll.BDP($B22,"INTERVAL_DATE_OF_CALC_LO","CALC_INTERVAL","3M"))</f>
        <v>46007</v>
      </c>
      <c r="BH22" s="14" cm="1">
        <f t="array" ref="BH22">VALUE(_xll.BDP($B22,"INTERVAL_DATE_OF_CALC_HI","CALC_INTERVAL","1M"))</f>
        <v>46051</v>
      </c>
      <c r="BI22" s="14" cm="1">
        <f t="array" ref="BI22">VALUE(_xll.BDP($B22,"INTERVAL_DATE_OF_CALC_LO","CALC_INTERVAL","1M"))</f>
        <v>46037</v>
      </c>
      <c r="BJ22" s="15">
        <f>$F22-MIN(_xll.BDP("NYA Index","RSI_14D"),_xll.BDP("RSP US Equity","RSI_14D"))</f>
        <v>-6.8820902670641004</v>
      </c>
    </row>
    <row r="23" spans="1:62" x14ac:dyDescent="0.25">
      <c r="A23" s="11">
        <v>22</v>
      </c>
      <c r="B23" s="26" t="s">
        <v>559</v>
      </c>
      <c r="C23" s="1" t="s">
        <v>938</v>
      </c>
      <c r="D23" s="1" t="s">
        <v>552</v>
      </c>
      <c r="E23" s="11" t="s">
        <v>788</v>
      </c>
      <c r="F23">
        <f>IFERROR(VALUE((_xll.BDP($B23,"interval_rsi","tech_studies_param1_override",14))),"")</f>
        <v>59.646731495788529</v>
      </c>
      <c r="G23">
        <f t="shared" si="0"/>
        <v>52.525531939815814</v>
      </c>
      <c r="H23">
        <f t="shared" si="11"/>
        <v>0</v>
      </c>
      <c r="I23" cm="1">
        <f t="array" ref="I23">IFERROR(VALUE(_xll.BDP($B23,"px_last")),"")</f>
        <v>69.400000000000006</v>
      </c>
      <c r="J23">
        <f t="shared" si="1"/>
        <v>6941.47</v>
      </c>
      <c r="K23" cm="1">
        <f t="array" ref="K23">IFERROR(VALUE(_xll.BDP($B23,"PX_YEST_CLOSE")),"")</f>
        <v>69.400000000000006</v>
      </c>
      <c r="L23">
        <f t="shared" si="2"/>
        <v>6941.81</v>
      </c>
      <c r="M23">
        <f t="shared" si="12"/>
        <v>9.997882292943714E-3</v>
      </c>
      <c r="N23">
        <f t="shared" si="13"/>
        <v>9.9973926108608557E-3</v>
      </c>
      <c r="O23" cm="1">
        <f t="array" ref="O23">IFERROR(VALUE(_xll.BDP($B23,"INTERVAL_MAE_MOV_AVG","CALC_INTERVAL","520D","TECH_STUDIES_PARAM1_OVERRIDE",50,"USE_PREVIOUS_BUSINESS_DAY","N")),"")</f>
        <v>63.956799830517575</v>
      </c>
      <c r="P23">
        <f t="shared" si="3"/>
        <v>6894.0953999999992</v>
      </c>
      <c r="Q23" cm="1">
        <f t="array" ref="Q23">IFERROR(VALUE(_xll.BDP($B23,"INTERVAL_MAE_MOV_AVG","CALC_INTERVAL","520D","TECH_STUDIES_PARAM1_OVERRIDE",50,"USE_PREVIOUS_BUSINESS_DAY","Y")),"")</f>
        <v>63.832199799999998</v>
      </c>
      <c r="R23">
        <f t="shared" si="4"/>
        <v>6892.2477999999992</v>
      </c>
      <c r="S23">
        <f t="shared" si="14"/>
        <v>9.2770401509845047E-3</v>
      </c>
      <c r="T23">
        <f t="shared" si="15"/>
        <v>9.2614487540625002E-3</v>
      </c>
      <c r="U23" s="11" t="str">
        <f t="shared" si="16"/>
        <v>NEGATIVE</v>
      </c>
      <c r="V23" s="11" t="str">
        <f t="shared" si="17"/>
        <v/>
      </c>
      <c r="W23" s="11" t="str">
        <f t="shared" si="18"/>
        <v>UP</v>
      </c>
      <c r="X23" s="6" t="str">
        <f t="shared" si="19"/>
        <v>POSITIVE</v>
      </c>
      <c r="Y23" cm="1">
        <f t="array" ref="Y23">IFERROR(VALUE(_xll.BDP($B23,"INTERVAL_MAE_MOV_AVG","CALC_INTERVAL","520D","TECH_STUDIES_PARAM1_OVERRIDE",65,"USE_PREVIOUS_BUSINESS_DAY","N")),"")</f>
        <v>63.851384485013526</v>
      </c>
      <c r="Z23">
        <f t="shared" si="5"/>
        <v>6856.0226153846133</v>
      </c>
      <c r="AA23" cm="1">
        <f t="array" ref="AA23">IFERROR(VALUE(_xll.BDP($B23,"INTERVAL_MAE_MOV_AVG","CALC_INTERVAL","520D","TECH_STUDIES_PARAM1_OVERRIDE",65,"USE_PREVIOUS_BUSINESS_DAY","Y")),"")</f>
        <v>63.769230615384622</v>
      </c>
      <c r="AB23">
        <f t="shared" si="6"/>
        <v>6852.6203076923057</v>
      </c>
      <c r="AC23">
        <f t="shared" si="20"/>
        <v>9.3131817187612279E-3</v>
      </c>
      <c r="AD23">
        <f t="shared" si="21"/>
        <v>9.3058170089770527E-3</v>
      </c>
      <c r="AE23" s="10" t="str">
        <f t="shared" si="22"/>
        <v>UP</v>
      </c>
      <c r="AF23" s="10" t="str">
        <f t="shared" si="23"/>
        <v>UP</v>
      </c>
      <c r="AG23" s="6" t="str">
        <f t="shared" si="24"/>
        <v>POSITIVE</v>
      </c>
      <c r="AH23" cm="1">
        <f t="array" ref="AH23">IFERROR(VALUE(_xll.BDP($B23,"INTERVAL_MAE_MOV_AVG","CALC_INTERVAL","65W","PERIODICITY_OVERRIDE","W","TECH_STUDIES_PARAM1_OVERRIDE",39,"USE_PREVIOUS_BUSINESS_DAY","N")),"")</f>
        <v>66.137434910919978</v>
      </c>
      <c r="AI23">
        <f t="shared" si="7"/>
        <v>6560.7735897435905</v>
      </c>
      <c r="AJ23" cm="1">
        <f t="array" ref="AJ23">IFERROR(VALUE(_xll.BDP($B23,"INTERVAL_MAE_MOV_AVG","CALC_INTERVAL","65W","PERIODICITY_OVERRIDE","W","TECH_STUDIES_PARAM1_OVERRIDE",39,"USE_PREVIOUS_BUSINESS_DAY","Y")),"")</f>
        <v>66.122050256410262</v>
      </c>
      <c r="AK23">
        <f t="shared" si="8"/>
        <v>6560.7823076923087</v>
      </c>
      <c r="AL23">
        <f t="shared" si="25"/>
        <v>1.0080737279870799E-2</v>
      </c>
      <c r="AM23">
        <f t="shared" si="26"/>
        <v>1.0078378942536206E-2</v>
      </c>
      <c r="AN23" s="10" t="str">
        <f t="shared" si="27"/>
        <v>UP</v>
      </c>
      <c r="AO23" s="10" t="str">
        <f t="shared" si="28"/>
        <v>UP</v>
      </c>
      <c r="AP23" s="6" t="str">
        <f t="shared" si="29"/>
        <v>NEGATIVE</v>
      </c>
      <c r="AQ23" cm="1">
        <f t="array" ref="AQ23">IFERROR(VALUE(_xll.BDP($B23,"INTERVAL_exp_MOV_AVG","CALC_INTERVAL","520D","TECH_STUDIES_PARAM1_OVERRIDE",100,"USE_PREVIOUS_BUSINESS_DAY","N")),"")</f>
        <v>65.059023633114307</v>
      </c>
      <c r="AR23">
        <f t="shared" si="9"/>
        <v>6773.0064518682802</v>
      </c>
      <c r="AS23" cm="1">
        <f t="array" ref="AS23">IFERROR(VALUE(_xll.BDP($B23,"INTERVAL_exp_MOV_AVG","CALC_INTERVAL","520D","TECH_STUDIES_PARAM1_OVERRIDE",100,"USE_PREVIOUS_BUSINESS_DAY","Y")),"")</f>
        <v>64.971283017944486</v>
      </c>
      <c r="AT23">
        <f t="shared" si="10"/>
        <v>6769.6039787132295</v>
      </c>
      <c r="AU23">
        <f t="shared" si="30"/>
        <v>9.6056343804557121E-3</v>
      </c>
      <c r="AV23">
        <f t="shared" si="31"/>
        <v>9.5975013046914262E-3</v>
      </c>
      <c r="AW23" s="11" t="str">
        <f t="shared" si="32"/>
        <v>UP</v>
      </c>
      <c r="AX23" s="11" t="str">
        <f t="shared" si="33"/>
        <v>UP</v>
      </c>
      <c r="AY23" s="6" t="str">
        <f t="shared" si="34"/>
        <v>POSITIVE</v>
      </c>
      <c r="AZ23" s="12" cm="1">
        <f t="array" ref="AZ23">_xll.BDP($B23, "INTERVAL_RSI", "TECH_STUDIES_PARAM1_OVERRIDE", "5", "PERIODICITY_OVERRIDE", "W")</f>
        <v>69.913883129754666</v>
      </c>
      <c r="BA23" cm="1">
        <f t="array" ref="BA23">IFERROR(VALUE(_xll.BDP($B23,"INTERVAL_MAE_MOV_AVG","CALC_INTERVAL","520D","TECH_STUDIES_PARAM1_OVERRIDE",31,"USE_PREVIOUS_BUSINESS_DAY","N")),"")</f>
        <v>65.417741662125124</v>
      </c>
      <c r="BB23" cm="1">
        <f t="array" ref="BB23">IFERROR(VALUE(_xll.BDP($B23,"INTERVAL_MAE_MOV_AVG","CALC_INTERVAL","760D","TECH_STUDIES_PARAM1_OVERRIDE",200,"USE_PREVIOUS_BUSINESS_DAY","N")),"")</f>
        <v>65.972049557629418</v>
      </c>
      <c r="BC23" s="13">
        <f t="shared" si="35"/>
        <v>6.0874286343340467E-2</v>
      </c>
      <c r="BD23" s="13">
        <f t="shared" si="36"/>
        <v>8.5107450402563067E-2</v>
      </c>
      <c r="BE23" s="13">
        <f t="shared" si="37"/>
        <v>5.1960647961620809E-2</v>
      </c>
      <c r="BF23" s="14" cm="1">
        <f t="array" ref="BF23">VALUE(_xll.BDP($B23,"INTERVAL_DATE_OF_CALC_HI","CALC_INTERVAL","3M"))</f>
        <v>46051</v>
      </c>
      <c r="BG23" s="14" cm="1">
        <f t="array" ref="BG23">VALUE(_xll.BDP($B23,"INTERVAL_DATE_OF_CALC_LO","CALC_INTERVAL","3M"))</f>
        <v>46007</v>
      </c>
      <c r="BH23" s="14" cm="1">
        <f t="array" ref="BH23">VALUE(_xll.BDP($B23,"INTERVAL_DATE_OF_CALC_HI","CALC_INTERVAL","1M"))</f>
        <v>46051</v>
      </c>
      <c r="BI23" s="14" cm="1">
        <f t="array" ref="BI23">VALUE(_xll.BDP($B23,"INTERVAL_DATE_OF_CALC_LO","CALC_INTERVAL","1M"))</f>
        <v>46037</v>
      </c>
      <c r="BJ23" s="15">
        <f>$F23-MIN(_xll.BDP("NYA Index","RSI_14D"),_xll.BDP("RSP US Equity","RSI_14D"))</f>
        <v>-6.6990326643677207</v>
      </c>
    </row>
    <row r="24" spans="1:62" x14ac:dyDescent="0.25">
      <c r="A24" s="11">
        <v>23</v>
      </c>
      <c r="B24" s="26" t="s">
        <v>560</v>
      </c>
      <c r="C24" s="1" t="s">
        <v>561</v>
      </c>
      <c r="D24" s="1" t="s">
        <v>552</v>
      </c>
      <c r="E24" s="11" t="s">
        <v>788</v>
      </c>
      <c r="F24">
        <f>IFERROR(VALUE((_xll.BDP($B24,"interval_rsi","tech_studies_param1_override",14))),"")</f>
        <v>38.398376214720379</v>
      </c>
      <c r="G24">
        <f t="shared" si="0"/>
        <v>52.525531939815814</v>
      </c>
      <c r="H24">
        <f t="shared" si="11"/>
        <v>0</v>
      </c>
      <c r="I24" cm="1">
        <f t="array" ref="I24">IFERROR(VALUE(_xll.BDP($B24,"px_last")),"")</f>
        <v>61.99</v>
      </c>
      <c r="J24">
        <f t="shared" si="1"/>
        <v>6941.47</v>
      </c>
      <c r="K24" cm="1">
        <f t="array" ref="K24">IFERROR(VALUE(_xll.BDP($B24,"PX_YEST_CLOSE")),"")</f>
        <v>61.99</v>
      </c>
      <c r="L24">
        <f t="shared" si="2"/>
        <v>6941.81</v>
      </c>
      <c r="M24">
        <f t="shared" si="12"/>
        <v>8.9303850625299819E-3</v>
      </c>
      <c r="N24">
        <f t="shared" si="13"/>
        <v>8.9299476649461734E-3</v>
      </c>
      <c r="O24" cm="1">
        <f t="array" ref="O24">IFERROR(VALUE(_xll.BDP($B24,"INTERVAL_MAE_MOV_AVG","CALC_INTERVAL","520D","TECH_STUDIES_PARAM1_OVERRIDE",50,"USE_PREVIOUS_BUSINESS_DAY","N")),"")</f>
        <v>63.55360000000001</v>
      </c>
      <c r="P24">
        <f t="shared" si="3"/>
        <v>6894.0953999999992</v>
      </c>
      <c r="Q24" cm="1">
        <f t="array" ref="Q24">IFERROR(VALUE(_xll.BDP($B24,"INTERVAL_MAE_MOV_AVG","CALC_INTERVAL","520D","TECH_STUDIES_PARAM1_OVERRIDE",50,"USE_PREVIOUS_BUSINESS_DAY","Y")),"")</f>
        <v>63.57200000000001</v>
      </c>
      <c r="R24">
        <f t="shared" si="4"/>
        <v>6892.2477999999992</v>
      </c>
      <c r="S24">
        <f t="shared" si="14"/>
        <v>9.2185553452016362E-3</v>
      </c>
      <c r="T24">
        <f t="shared" si="15"/>
        <v>9.223696222878117E-3</v>
      </c>
      <c r="U24" s="11" t="str">
        <f t="shared" si="16"/>
        <v>NEGATIVE</v>
      </c>
      <c r="V24" s="11" t="str">
        <f t="shared" si="17"/>
        <v/>
      </c>
      <c r="W24" s="11" t="str">
        <f t="shared" si="18"/>
        <v>DOWN</v>
      </c>
      <c r="X24" s="6" t="str">
        <f t="shared" si="19"/>
        <v>NEGATIVE</v>
      </c>
      <c r="Y24" cm="1">
        <f t="array" ref="Y24">IFERROR(VALUE(_xll.BDP($B24,"INTERVAL_MAE_MOV_AVG","CALC_INTERVAL","520D","TECH_STUDIES_PARAM1_OVERRIDE",65,"USE_PREVIOUS_BUSINESS_DAY","N")),"")</f>
        <v>63.35369230769232</v>
      </c>
      <c r="Z24">
        <f t="shared" si="5"/>
        <v>6856.0226153846133</v>
      </c>
      <c r="AA24" cm="1">
        <f t="array" ref="AA24">IFERROR(VALUE(_xll.BDP($B24,"INTERVAL_MAE_MOV_AVG","CALC_INTERVAL","520D","TECH_STUDIES_PARAM1_OVERRIDE",65,"USE_PREVIOUS_BUSINESS_DAY","Y")),"")</f>
        <v>63.392923076923097</v>
      </c>
      <c r="AB24">
        <f t="shared" si="6"/>
        <v>6852.6203076923057</v>
      </c>
      <c r="AC24">
        <f t="shared" si="20"/>
        <v>9.2405897503210419E-3</v>
      </c>
      <c r="AD24">
        <f t="shared" si="21"/>
        <v>9.2509026081252933E-3</v>
      </c>
      <c r="AE24" s="10" t="str">
        <f t="shared" si="22"/>
        <v>DOWN</v>
      </c>
      <c r="AF24" s="10" t="str">
        <f t="shared" si="23"/>
        <v>DOWN</v>
      </c>
      <c r="AG24" s="6" t="str">
        <f t="shared" si="24"/>
        <v>NEGATIVE</v>
      </c>
      <c r="AH24" cm="1">
        <f t="array" ref="AH24">IFERROR(VALUE(_xll.BDP($B24,"INTERVAL_MAE_MOV_AVG","CALC_INTERVAL","65W","PERIODICITY_OVERRIDE","W","TECH_STUDIES_PARAM1_OVERRIDE",39,"USE_PREVIOUS_BUSINESS_DAY","N")),"")</f>
        <v>64.462819999999994</v>
      </c>
      <c r="AI24">
        <f t="shared" si="7"/>
        <v>6560.7735897435905</v>
      </c>
      <c r="AJ24" cm="1">
        <f t="array" ref="AJ24">IFERROR(VALUE(_xll.BDP($B24,"INTERVAL_MAE_MOV_AVG","CALC_INTERVAL","65W","PERIODICITY_OVERRIDE","W","TECH_STUDIES_PARAM1_OVERRIDE",39,"USE_PREVIOUS_BUSINESS_DAY","Y")),"")</f>
        <v>64.452563589743576</v>
      </c>
      <c r="AK24">
        <f t="shared" si="8"/>
        <v>6560.7823076923087</v>
      </c>
      <c r="AL24">
        <f t="shared" si="25"/>
        <v>9.8254907166396132E-3</v>
      </c>
      <c r="AM24">
        <f t="shared" si="26"/>
        <v>9.8239143698115074E-3</v>
      </c>
      <c r="AN24" s="10" t="str">
        <f t="shared" si="27"/>
        <v>UP</v>
      </c>
      <c r="AO24" s="10" t="str">
        <f t="shared" si="28"/>
        <v>UP</v>
      </c>
      <c r="AP24" s="6" t="str">
        <f t="shared" si="29"/>
        <v>NEGATIVE</v>
      </c>
      <c r="AQ24" cm="1">
        <f t="array" ref="AQ24">IFERROR(VALUE(_xll.BDP($B24,"INTERVAL_exp_MOV_AVG","CALC_INTERVAL","520D","TECH_STUDIES_PARAM1_OVERRIDE",100,"USE_PREVIOUS_BUSINESS_DAY","N")),"")</f>
        <v>63.818725746058455</v>
      </c>
      <c r="AR24">
        <f t="shared" si="9"/>
        <v>6773.0064518682802</v>
      </c>
      <c r="AS24" cm="1">
        <f t="array" ref="AS24">IFERROR(VALUE(_xll.BDP($B24,"INTERVAL_exp_MOV_AVG","CALC_INTERVAL","520D","TECH_STUDIES_PARAM1_OVERRIDE",100,"USE_PREVIOUS_BUSINESS_DAY","Y")),"")</f>
        <v>63.855616453612207</v>
      </c>
      <c r="AT24">
        <f t="shared" si="10"/>
        <v>6769.6039787132295</v>
      </c>
      <c r="AU24">
        <f t="shared" si="30"/>
        <v>9.4225106973660957E-3</v>
      </c>
      <c r="AV24">
        <f t="shared" si="31"/>
        <v>9.4326960121158994E-3</v>
      </c>
      <c r="AW24" s="11" t="str">
        <f t="shared" si="32"/>
        <v>DOWN</v>
      </c>
      <c r="AX24" s="11" t="str">
        <f t="shared" si="33"/>
        <v>DOWN</v>
      </c>
      <c r="AY24" s="6" t="str">
        <f t="shared" si="34"/>
        <v>NEGATIVE</v>
      </c>
      <c r="AZ24" s="12" cm="1">
        <f t="array" ref="AZ24">_xll.BDP($B24, "INTERVAL_RSI", "TECH_STUDIES_PARAM1_OVERRIDE", "5", "PERIODICITY_OVERRIDE", "W")</f>
        <v>36.891403084679098</v>
      </c>
      <c r="BA24" cm="1">
        <f t="array" ref="BA24">IFERROR(VALUE(_xll.BDP($B24,"INTERVAL_MAE_MOV_AVG","CALC_INTERVAL","520D","TECH_STUDIES_PARAM1_OVERRIDE",31,"USE_PREVIOUS_BUSINESS_DAY","N")),"")</f>
        <v>63.653870967741931</v>
      </c>
      <c r="BB24" cm="1">
        <f t="array" ref="BB24">IFERROR(VALUE(_xll.BDP($B24,"INTERVAL_MAE_MOV_AVG","CALC_INTERVAL","760D","TECH_STUDIES_PARAM1_OVERRIDE",200,"USE_PREVIOUS_BUSINESS_DAY","N")),"")</f>
        <v>64.79024960000001</v>
      </c>
      <c r="BC24" s="13">
        <f t="shared" si="35"/>
        <v>-2.6139352445433084E-2</v>
      </c>
      <c r="BD24" s="13">
        <f t="shared" si="36"/>
        <v>-2.460285491301839E-2</v>
      </c>
      <c r="BE24" s="13">
        <f t="shared" si="37"/>
        <v>-4.3220231705975776E-2</v>
      </c>
      <c r="BF24" s="14" cm="1">
        <f t="array" ref="BF24">VALUE(_xll.BDP($B24,"INTERVAL_DATE_OF_CALC_HI","CALC_INTERVAL","3M"))</f>
        <v>46028</v>
      </c>
      <c r="BG24" s="14" cm="1">
        <f t="array" ref="BG24">VALUE(_xll.BDP($B24,"INTERVAL_DATE_OF_CALC_LO","CALC_INTERVAL","3M"))</f>
        <v>46059</v>
      </c>
      <c r="BH24" s="14" cm="1">
        <f t="array" ref="BH24">VALUE(_xll.BDP($B24,"INTERVAL_DATE_OF_CALC_HI","CALC_INTERVAL","1M"))</f>
        <v>46036</v>
      </c>
      <c r="BI24" s="14" cm="1">
        <f t="array" ref="BI24">VALUE(_xll.BDP($B24,"INTERVAL_DATE_OF_CALC_LO","CALC_INTERVAL","1M"))</f>
        <v>46059</v>
      </c>
      <c r="BJ24" s="15">
        <f>$F24-MIN(_xll.BDP("NYA Index","RSI_14D"),_xll.BDP("RSP US Equity","RSI_14D"))</f>
        <v>-27.947387945435871</v>
      </c>
    </row>
    <row r="25" spans="1:62" x14ac:dyDescent="0.25">
      <c r="A25" s="11">
        <v>24</v>
      </c>
      <c r="B25" s="26" t="s">
        <v>562</v>
      </c>
      <c r="C25" s="1" t="s">
        <v>563</v>
      </c>
      <c r="D25" s="1" t="s">
        <v>552</v>
      </c>
      <c r="E25" s="11" t="s">
        <v>788</v>
      </c>
      <c r="F25">
        <f>IFERROR(VALUE((_xll.BDP($B25,"interval_rsi","tech_studies_param1_override",14))),"")</f>
        <v>51.53325484245272</v>
      </c>
      <c r="G25">
        <f t="shared" si="0"/>
        <v>52.525531939815814</v>
      </c>
      <c r="H25">
        <f t="shared" si="11"/>
        <v>0</v>
      </c>
      <c r="I25" cm="1">
        <f t="array" ref="I25">IFERROR(VALUE(_xll.BDP($B25,"px_last")),"")</f>
        <v>101700</v>
      </c>
      <c r="J25">
        <f t="shared" si="1"/>
        <v>6941.47</v>
      </c>
      <c r="K25" cm="1">
        <f t="array" ref="K25">IFERROR(VALUE(_xll.BDP($B25,"PX_YEST_CLOSE")),"")</f>
        <v>101450</v>
      </c>
      <c r="L25">
        <f t="shared" si="2"/>
        <v>6941.81</v>
      </c>
      <c r="M25">
        <f t="shared" si="12"/>
        <v>14.651075348593309</v>
      </c>
      <c r="N25">
        <f t="shared" si="13"/>
        <v>14.614344097576856</v>
      </c>
      <c r="O25" cm="1">
        <f t="array" ref="O25">IFERROR(VALUE(_xll.BDP($B25,"INTERVAL_MAE_MOV_AVG","CALC_INTERVAL","520D","TECH_STUDIES_PARAM1_OVERRIDE",50,"USE_PREVIOUS_BUSINESS_DAY","N")),"")</f>
        <v>98251.8</v>
      </c>
      <c r="P25">
        <f t="shared" si="3"/>
        <v>6894.0953999999992</v>
      </c>
      <c r="Q25" cm="1">
        <f t="array" ref="Q25">IFERROR(VALUE(_xll.BDP($B25,"INTERVAL_MAE_MOV_AVG","CALC_INTERVAL","520D","TECH_STUDIES_PARAM1_OVERRIDE",50,"USE_PREVIOUS_BUSINESS_DAY","Y")),"")</f>
        <v>98001.2</v>
      </c>
      <c r="R25">
        <f t="shared" si="4"/>
        <v>6892.2477999999992</v>
      </c>
      <c r="S25">
        <f t="shared" si="14"/>
        <v>14.25158694496743</v>
      </c>
      <c r="T25">
        <f t="shared" si="15"/>
        <v>14.21904766685841</v>
      </c>
      <c r="U25" s="11" t="str">
        <f t="shared" si="16"/>
        <v>NEGATIVE</v>
      </c>
      <c r="V25" s="11" t="str">
        <f t="shared" si="17"/>
        <v/>
      </c>
      <c r="W25" s="11" t="str">
        <f t="shared" si="18"/>
        <v>UP</v>
      </c>
      <c r="X25" s="6" t="str">
        <f t="shared" si="19"/>
        <v>POSITIVE</v>
      </c>
      <c r="Y25" cm="1">
        <f t="array" ref="Y25">IFERROR(VALUE(_xll.BDP($B25,"INTERVAL_MAE_MOV_AVG","CALC_INTERVAL","520D","TECH_STUDIES_PARAM1_OVERRIDE",65,"USE_PREVIOUS_BUSINESS_DAY","N")),"")</f>
        <v>95582.61538461539</v>
      </c>
      <c r="Z25">
        <f t="shared" si="5"/>
        <v>6856.0226153846133</v>
      </c>
      <c r="AA25" cm="1">
        <f t="array" ref="AA25">IFERROR(VALUE(_xll.BDP($B25,"INTERVAL_MAE_MOV_AVG","CALC_INTERVAL","520D","TECH_STUDIES_PARAM1_OVERRIDE",65,"USE_PREVIOUS_BUSINESS_DAY","Y")),"")</f>
        <v>95351.384615384624</v>
      </c>
      <c r="AB25">
        <f t="shared" si="6"/>
        <v>6852.6203076923057</v>
      </c>
      <c r="AC25">
        <f t="shared" si="20"/>
        <v>13.941408998583553</v>
      </c>
      <c r="AD25">
        <f t="shared" si="21"/>
        <v>13.914587462017904</v>
      </c>
      <c r="AE25" s="10" t="str">
        <f t="shared" si="22"/>
        <v>UP</v>
      </c>
      <c r="AF25" s="10" t="str">
        <f t="shared" si="23"/>
        <v>UP</v>
      </c>
      <c r="AG25" s="6" t="str">
        <f t="shared" si="24"/>
        <v>POSITIVE</v>
      </c>
      <c r="AH25" cm="1">
        <f t="array" ref="AH25">IFERROR(VALUE(_xll.BDP($B25,"INTERVAL_MAE_MOV_AVG","CALC_INTERVAL","65W","PERIODICITY_OVERRIDE","W","TECH_STUDIES_PARAM1_OVERRIDE",39,"USE_PREVIOUS_BUSINESS_DAY","N")),"")</f>
        <v>86252.051282051281</v>
      </c>
      <c r="AI25">
        <f t="shared" si="7"/>
        <v>6560.7735897435905</v>
      </c>
      <c r="AJ25" cm="1">
        <f t="array" ref="AJ25">IFERROR(VALUE(_xll.BDP($B25,"INTERVAL_MAE_MOV_AVG","CALC_INTERVAL","65W","PERIODICITY_OVERRIDE","W","TECH_STUDIES_PARAM1_OVERRIDE",39,"USE_PREVIOUS_BUSINESS_DAY","Y")),"")</f>
        <v>86253.589743589735</v>
      </c>
      <c r="AK25">
        <f t="shared" si="8"/>
        <v>6560.7823076923087</v>
      </c>
      <c r="AL25">
        <f t="shared" si="25"/>
        <v>13.146628229464964</v>
      </c>
      <c r="AM25">
        <f t="shared" si="26"/>
        <v>13.146845253874702</v>
      </c>
      <c r="AN25" s="10" t="str">
        <f t="shared" si="27"/>
        <v>DOWN</v>
      </c>
      <c r="AO25" s="10" t="str">
        <f t="shared" si="28"/>
        <v>DOWN</v>
      </c>
      <c r="AP25" s="6" t="str">
        <f t="shared" si="29"/>
        <v>POSITIVE</v>
      </c>
      <c r="AQ25" cm="1">
        <f t="array" ref="AQ25">IFERROR(VALUE(_xll.BDP($B25,"INTERVAL_exp_MOV_AVG","CALC_INTERVAL","520D","TECH_STUDIES_PARAM1_OVERRIDE",100,"USE_PREVIOUS_BUSINESS_DAY","N")),"")</f>
        <v>93381.832458554345</v>
      </c>
      <c r="AR25">
        <f t="shared" si="9"/>
        <v>6773.0064518682802</v>
      </c>
      <c r="AS25" cm="1">
        <f t="array" ref="AS25">IFERROR(VALUE(_xll.BDP($B25,"INTERVAL_exp_MOV_AVG","CALC_INTERVAL","520D","TECH_STUDIES_PARAM1_OVERRIDE",100,"USE_PREVIOUS_BUSINESS_DAY","Y")),"")</f>
        <v>93218.839174888781</v>
      </c>
      <c r="AT25">
        <f t="shared" si="10"/>
        <v>6769.6039787132295</v>
      </c>
      <c r="AU25">
        <f t="shared" si="30"/>
        <v>13.787353241453905</v>
      </c>
      <c r="AV25">
        <f t="shared" si="31"/>
        <v>13.770205682343013</v>
      </c>
      <c r="AW25" s="11" t="str">
        <f t="shared" si="32"/>
        <v>UP</v>
      </c>
      <c r="AX25" s="11" t="str">
        <f t="shared" si="33"/>
        <v>UP</v>
      </c>
      <c r="AY25" s="6" t="str">
        <f t="shared" si="34"/>
        <v>POSITIVE</v>
      </c>
      <c r="AZ25" s="12" cm="1">
        <f t="array" ref="AZ25">_xll.BDP($B25, "INTERVAL_RSI", "TECH_STUDIES_PARAM1_OVERRIDE", "5", "PERIODICITY_OVERRIDE", "W")</f>
        <v>58.35187370852713</v>
      </c>
      <c r="BA25" cm="1">
        <f t="array" ref="BA25">IFERROR(VALUE(_xll.BDP($B25,"INTERVAL_MAE_MOV_AVG","CALC_INTERVAL","520D","TECH_STUDIES_PARAM1_OVERRIDE",31,"USE_PREVIOUS_BUSINESS_DAY","N")),"")</f>
        <v>101701.6129032258</v>
      </c>
      <c r="BB25" cm="1">
        <f t="array" ref="BB25">IFERROR(VALUE(_xll.BDP($B25,"INTERVAL_MAE_MOV_AVG","CALC_INTERVAL","760D","TECH_STUDIES_PARAM1_OVERRIDE",200,"USE_PREVIOUS_BUSINESS_DAY","N")),"")</f>
        <v>85245.05</v>
      </c>
      <c r="BC25" s="13">
        <f t="shared" si="35"/>
        <v>-1.5859170565346581E-5</v>
      </c>
      <c r="BD25" s="13">
        <f t="shared" si="36"/>
        <v>3.5095540234377332E-2</v>
      </c>
      <c r="BE25" s="13">
        <f t="shared" si="37"/>
        <v>0.19303114960927337</v>
      </c>
      <c r="BF25" s="14" cm="1">
        <f t="array" ref="BF25">VALUE(_xll.BDP($B25,"INTERVAL_DATE_OF_CALC_HI","CALC_INTERVAL","3M"))</f>
        <v>46052</v>
      </c>
      <c r="BG25" s="14" cm="1">
        <f t="array" ref="BG25">VALUE(_xll.BDP($B25,"INTERVAL_DATE_OF_CALC_LO","CALC_INTERVAL","3M"))</f>
        <v>45982</v>
      </c>
      <c r="BH25" s="14" cm="1">
        <f t="array" ref="BH25">VALUE(_xll.BDP($B25,"INTERVAL_DATE_OF_CALC_HI","CALC_INTERVAL","1M"))</f>
        <v>46052</v>
      </c>
      <c r="BI25" s="14" cm="1">
        <f t="array" ref="BI25">VALUE(_xll.BDP($B25,"INTERVAL_DATE_OF_CALC_LO","CALC_INTERVAL","1M"))</f>
        <v>46059</v>
      </c>
      <c r="BJ25" s="15">
        <f>$F25-MIN(_xll.BDP("NYA Index","RSI_14D"),_xll.BDP("RSP US Equity","RSI_14D"))</f>
        <v>-14.81250931770353</v>
      </c>
    </row>
    <row r="26" spans="1:62" x14ac:dyDescent="0.25">
      <c r="A26" s="11">
        <v>25</v>
      </c>
      <c r="B26" s="26" t="s">
        <v>564</v>
      </c>
      <c r="C26" s="1" t="s">
        <v>939</v>
      </c>
      <c r="D26" s="1" t="s">
        <v>552</v>
      </c>
      <c r="E26" s="11" t="s">
        <v>788</v>
      </c>
      <c r="F26">
        <f>IFERROR(VALUE((_xll.BDP($B26,"interval_rsi","tech_studies_param1_override",14))),"")</f>
        <v>39.75313308102232</v>
      </c>
      <c r="G26">
        <f t="shared" si="0"/>
        <v>52.525531939815814</v>
      </c>
      <c r="H26">
        <f t="shared" si="11"/>
        <v>0</v>
      </c>
      <c r="I26" cm="1">
        <f t="array" ref="I26">IFERROR(VALUE(_xll.BDP($B26,"px_last")),"")</f>
        <v>75.14</v>
      </c>
      <c r="J26">
        <f t="shared" si="1"/>
        <v>6941.47</v>
      </c>
      <c r="K26" cm="1">
        <f t="array" ref="K26">IFERROR(VALUE(_xll.BDP($B26,"PX_YEST_CLOSE")),"")</f>
        <v>75.140010000000004</v>
      </c>
      <c r="L26">
        <f t="shared" si="2"/>
        <v>6941.81</v>
      </c>
      <c r="M26">
        <f t="shared" si="12"/>
        <v>1.0824796476826954E-2</v>
      </c>
      <c r="N26">
        <f t="shared" si="13"/>
        <v>1.0824267734207648E-2</v>
      </c>
      <c r="O26" cm="1">
        <f t="array" ref="O26">IFERROR(VALUE(_xll.BDP($B26,"INTERVAL_MAE_MOV_AVG","CALC_INTERVAL","520D","TECH_STUDIES_PARAM1_OVERRIDE",50,"USE_PREVIOUS_BUSINESS_DAY","N")),"")</f>
        <v>80.42680274038085</v>
      </c>
      <c r="P26">
        <f t="shared" si="3"/>
        <v>6894.0953999999992</v>
      </c>
      <c r="Q26" cm="1">
        <f t="array" ref="Q26">IFERROR(VALUE(_xll.BDP($B26,"INTERVAL_MAE_MOV_AVG","CALC_INTERVAL","520D","TECH_STUDIES_PARAM1_OVERRIDE",50,"USE_PREVIOUS_BUSINESS_DAY","Y")),"")</f>
        <v>80.429802599999988</v>
      </c>
      <c r="R26">
        <f t="shared" si="4"/>
        <v>6892.2477999999992</v>
      </c>
      <c r="S26">
        <f t="shared" si="14"/>
        <v>1.1666041456342606E-2</v>
      </c>
      <c r="T26">
        <f t="shared" si="15"/>
        <v>1.1669604015108104E-2</v>
      </c>
      <c r="U26" s="11" t="str">
        <f t="shared" si="16"/>
        <v>NEGATIVE</v>
      </c>
      <c r="V26" s="11" t="str">
        <f t="shared" si="17"/>
        <v/>
      </c>
      <c r="W26" s="11" t="str">
        <f t="shared" si="18"/>
        <v>DOWN</v>
      </c>
      <c r="X26" s="6" t="str">
        <f t="shared" si="19"/>
        <v>NEGATIVE</v>
      </c>
      <c r="Y26" cm="1">
        <f t="array" ref="Y26">IFERROR(VALUE(_xll.BDP($B26,"INTERVAL_MAE_MOV_AVG","CALC_INTERVAL","520D","TECH_STUDIES_PARAM1_OVERRIDE",65,"USE_PREVIOUS_BUSINESS_DAY","N")),"")</f>
        <v>80.242773031062228</v>
      </c>
      <c r="Z26">
        <f t="shared" si="5"/>
        <v>6856.0226153846133</v>
      </c>
      <c r="AA26" cm="1">
        <f t="array" ref="AA26">IFERROR(VALUE(_xll.BDP($B26,"INTERVAL_MAE_MOV_AVG","CALC_INTERVAL","520D","TECH_STUDIES_PARAM1_OVERRIDE",65,"USE_PREVIOUS_BUSINESS_DAY","Y")),"")</f>
        <v>80.335234461538477</v>
      </c>
      <c r="AB26">
        <f t="shared" si="6"/>
        <v>6852.6203076923057</v>
      </c>
      <c r="AC26">
        <f t="shared" si="20"/>
        <v>1.1703983130248284E-2</v>
      </c>
      <c r="AD26">
        <f t="shared" si="21"/>
        <v>1.1723286984302831E-2</v>
      </c>
      <c r="AE26" s="10" t="str">
        <f t="shared" si="22"/>
        <v>DOWN</v>
      </c>
      <c r="AF26" s="10" t="str">
        <f t="shared" si="23"/>
        <v>DOWN</v>
      </c>
      <c r="AG26" s="6" t="str">
        <f t="shared" si="24"/>
        <v>NEGATIVE</v>
      </c>
      <c r="AH26" cm="1">
        <f t="array" ref="AH26">IFERROR(VALUE(_xll.BDP($B26,"INTERVAL_MAE_MOV_AVG","CALC_INTERVAL","65W","PERIODICITY_OVERRIDE","W","TECH_STUDIES_PARAM1_OVERRIDE",39,"USE_PREVIOUS_BUSINESS_DAY","N")),"")</f>
        <v>81.554105564590856</v>
      </c>
      <c r="AI26">
        <f t="shared" si="7"/>
        <v>6560.7735897435905</v>
      </c>
      <c r="AJ26" cm="1">
        <f t="array" ref="AJ26">IFERROR(VALUE(_xll.BDP($B26,"INTERVAL_MAE_MOV_AVG","CALC_INTERVAL","65W","PERIODICITY_OVERRIDE","W","TECH_STUDIES_PARAM1_OVERRIDE",39,"USE_PREVIOUS_BUSINESS_DAY","Y")),"")</f>
        <v>81.536413076923083</v>
      </c>
      <c r="AK26">
        <f t="shared" si="8"/>
        <v>6560.7823076923087</v>
      </c>
      <c r="AL26">
        <f t="shared" si="25"/>
        <v>1.2430562409909068E-2</v>
      </c>
      <c r="AM26">
        <f t="shared" si="26"/>
        <v>1.2427849188247601E-2</v>
      </c>
      <c r="AN26" s="10" t="str">
        <f t="shared" si="27"/>
        <v>UP</v>
      </c>
      <c r="AO26" s="10" t="str">
        <f t="shared" si="28"/>
        <v>UP</v>
      </c>
      <c r="AP26" s="6" t="str">
        <f t="shared" si="29"/>
        <v>NEGATIVE</v>
      </c>
      <c r="AQ26" cm="1">
        <f t="array" ref="AQ26">IFERROR(VALUE(_xll.BDP($B26,"INTERVAL_exp_MOV_AVG","CALC_INTERVAL","520D","TECH_STUDIES_PARAM1_OVERRIDE",100,"USE_PREVIOUS_BUSINESS_DAY","N")),"")</f>
        <v>82.077975374470725</v>
      </c>
      <c r="AR26">
        <f t="shared" si="9"/>
        <v>6773.0064518682802</v>
      </c>
      <c r="AS26" cm="1">
        <f t="array" ref="AS26">IFERROR(VALUE(_xll.BDP($B26,"INTERVAL_exp_MOV_AVG","CALC_INTERVAL","520D","TECH_STUDIES_PARAM1_OVERRIDE",100,"USE_PREVIOUS_BUSINESS_DAY","Y")),"")</f>
        <v>82.21813506909686</v>
      </c>
      <c r="AT26">
        <f t="shared" si="10"/>
        <v>6769.6039787132295</v>
      </c>
      <c r="AU26">
        <f t="shared" si="30"/>
        <v>1.2118396159482495E-2</v>
      </c>
      <c r="AV26">
        <f t="shared" si="31"/>
        <v>1.2145191258990742E-2</v>
      </c>
      <c r="AW26" s="11" t="str">
        <f t="shared" si="32"/>
        <v>DOWN</v>
      </c>
      <c r="AX26" s="11" t="str">
        <f t="shared" si="33"/>
        <v>DOWN</v>
      </c>
      <c r="AY26" s="6" t="str">
        <f t="shared" si="34"/>
        <v>NEGATIVE</v>
      </c>
      <c r="AZ26" s="12" cm="1">
        <f t="array" ref="AZ26">_xll.BDP($B26, "INTERVAL_RSI", "TECH_STUDIES_PARAM1_OVERRIDE", "5", "PERIODICITY_OVERRIDE", "W")</f>
        <v>36.296810927899237</v>
      </c>
      <c r="BA26" cm="1">
        <f t="array" ref="BA26">IFERROR(VALUE(_xll.BDP($B26,"INTERVAL_MAE_MOV_AVG","CALC_INTERVAL","520D","TECH_STUDIES_PARAM1_OVERRIDE",31,"USE_PREVIOUS_BUSINESS_DAY","N")),"")</f>
        <v>85.272582807065916</v>
      </c>
      <c r="BB26" cm="1">
        <f t="array" ref="BB26">IFERROR(VALUE(_xll.BDP($B26,"INTERVAL_MAE_MOV_AVG","CALC_INTERVAL","760D","TECH_STUDIES_PARAM1_OVERRIDE",200,"USE_PREVIOUS_BUSINESS_DAY","N")),"")</f>
        <v>81.524153585095235</v>
      </c>
      <c r="BC26" s="13">
        <f t="shared" si="35"/>
        <v>-0.1188257992606071</v>
      </c>
      <c r="BD26" s="13">
        <f t="shared" si="36"/>
        <v>-6.5734339302865763E-2</v>
      </c>
      <c r="BE26" s="13">
        <f t="shared" si="37"/>
        <v>-7.830996464662987E-2</v>
      </c>
      <c r="BF26" s="14" cm="1">
        <f t="array" ref="BF26">VALUE(_xll.BDP($B26,"INTERVAL_DATE_OF_CALC_HI","CALC_INTERVAL","3M"))</f>
        <v>46045</v>
      </c>
      <c r="BG26" s="14" cm="1">
        <f t="array" ref="BG26">VALUE(_xll.BDP($B26,"INTERVAL_DATE_OF_CALC_LO","CALC_INTERVAL","3M"))</f>
        <v>46001</v>
      </c>
      <c r="BH26" s="14" cm="1">
        <f t="array" ref="BH26">VALUE(_xll.BDP($B26,"INTERVAL_DATE_OF_CALC_HI","CALC_INTERVAL","1M"))</f>
        <v>46045</v>
      </c>
      <c r="BI26" s="14" cm="1">
        <f t="array" ref="BI26">VALUE(_xll.BDP($B26,"INTERVAL_DATE_OF_CALC_LO","CALC_INTERVAL","1M"))</f>
        <v>46063</v>
      </c>
      <c r="BJ26" s="15">
        <f>$F26-MIN(_xll.BDP("NYA Index","RSI_14D"),_xll.BDP("RSP US Equity","RSI_14D"))</f>
        <v>-26.59263107913393</v>
      </c>
    </row>
    <row r="27" spans="1:62" x14ac:dyDescent="0.25">
      <c r="A27" s="11">
        <v>26</v>
      </c>
      <c r="B27" s="26" t="s">
        <v>565</v>
      </c>
      <c r="C27" s="1" t="s">
        <v>566</v>
      </c>
      <c r="D27" s="1" t="s">
        <v>552</v>
      </c>
      <c r="E27" s="11" t="s">
        <v>788</v>
      </c>
      <c r="F27">
        <f>IFERROR(VALUE((_xll.BDP($B27,"interval_rsi","tech_studies_param1_override",14))),"")</f>
        <v>60.187208256236609</v>
      </c>
      <c r="G27">
        <f t="shared" si="0"/>
        <v>52.525531939815814</v>
      </c>
      <c r="H27">
        <f t="shared" si="11"/>
        <v>0</v>
      </c>
      <c r="I27" cm="1">
        <f t="array" ref="I27">IFERROR(VALUE(_xll.BDP($B27,"px_last")),"")</f>
        <v>5071.6000000000004</v>
      </c>
      <c r="J27">
        <f t="shared" si="1"/>
        <v>6941.47</v>
      </c>
      <c r="K27" cm="1">
        <f t="array" ref="K27">IFERROR(VALUE(_xll.BDP($B27,"PX_YEST_CLOSE")),"")</f>
        <v>5071.6000000000004</v>
      </c>
      <c r="L27">
        <f t="shared" si="2"/>
        <v>6941.81</v>
      </c>
      <c r="M27">
        <f t="shared" si="12"/>
        <v>0.73062334058924117</v>
      </c>
      <c r="N27">
        <f t="shared" si="13"/>
        <v>0.73058755569512857</v>
      </c>
      <c r="O27" cm="1">
        <f t="array" ref="O27">IFERROR(VALUE(_xll.BDP($B27,"INTERVAL_MAE_MOV_AVG","CALC_INTERVAL","520D","TECH_STUDIES_PARAM1_OVERRIDE",50,"USE_PREVIOUS_BUSINESS_DAY","N")),"")</f>
        <v>4580.5559999999996</v>
      </c>
      <c r="P27">
        <f t="shared" si="3"/>
        <v>6894.0953999999992</v>
      </c>
      <c r="Q27" cm="1">
        <f t="array" ref="Q27">IFERROR(VALUE(_xll.BDP($B27,"INTERVAL_MAE_MOV_AVG","CALC_INTERVAL","520D","TECH_STUDIES_PARAM1_OVERRIDE",50,"USE_PREVIOUS_BUSINESS_DAY","Y")),"")</f>
        <v>4563.49</v>
      </c>
      <c r="R27">
        <f t="shared" si="4"/>
        <v>6892.2477999999992</v>
      </c>
      <c r="S27">
        <f t="shared" si="14"/>
        <v>0.66441726350349029</v>
      </c>
      <c r="T27">
        <f t="shared" si="15"/>
        <v>0.66211925810328531</v>
      </c>
      <c r="U27" s="11" t="str">
        <f t="shared" si="16"/>
        <v>NEGATIVE</v>
      </c>
      <c r="V27" s="11" t="str">
        <f t="shared" si="17"/>
        <v/>
      </c>
      <c r="W27" s="11" t="str">
        <f t="shared" si="18"/>
        <v>UP</v>
      </c>
      <c r="X27" s="6" t="str">
        <f t="shared" si="19"/>
        <v>POSITIVE</v>
      </c>
      <c r="Y27" cm="1">
        <f t="array" ref="Y27">IFERROR(VALUE(_xll.BDP($B27,"INTERVAL_MAE_MOV_AVG","CALC_INTERVAL","520D","TECH_STUDIES_PARAM1_OVERRIDE",65,"USE_PREVIOUS_BUSINESS_DAY","N")),"")</f>
        <v>4473.2184615384613</v>
      </c>
      <c r="Z27">
        <f t="shared" si="5"/>
        <v>6856.0226153846133</v>
      </c>
      <c r="AA27" cm="1">
        <f t="array" ref="AA27">IFERROR(VALUE(_xll.BDP($B27,"INTERVAL_MAE_MOV_AVG","CALC_INTERVAL","520D","TECH_STUDIES_PARAM1_OVERRIDE",65,"USE_PREVIOUS_BUSINESS_DAY","Y")),"")</f>
        <v>4456.5938461538453</v>
      </c>
      <c r="AB27">
        <f t="shared" si="6"/>
        <v>6852.6203076923057</v>
      </c>
      <c r="AC27">
        <f t="shared" si="20"/>
        <v>0.6524509489657685</v>
      </c>
      <c r="AD27">
        <f t="shared" si="21"/>
        <v>0.65034886598797292</v>
      </c>
      <c r="AE27" s="10" t="str">
        <f t="shared" si="22"/>
        <v>UP</v>
      </c>
      <c r="AF27" s="10" t="str">
        <f t="shared" si="23"/>
        <v>UP</v>
      </c>
      <c r="AG27" s="6" t="str">
        <f t="shared" si="24"/>
        <v>POSITIVE</v>
      </c>
      <c r="AH27" cm="1">
        <f t="array" ref="AH27">IFERROR(VALUE(_xll.BDP($B27,"INTERVAL_MAE_MOV_AVG","CALC_INTERVAL","65W","PERIODICITY_OVERRIDE","W","TECH_STUDIES_PARAM1_OVERRIDE",39,"USE_PREVIOUS_BUSINESS_DAY","N")),"")</f>
        <v>3904.9256410256412</v>
      </c>
      <c r="AI27">
        <f t="shared" si="7"/>
        <v>6560.7735897435905</v>
      </c>
      <c r="AJ27" cm="1">
        <f t="array" ref="AJ27">IFERROR(VALUE(_xll.BDP($B27,"INTERVAL_MAE_MOV_AVG","CALC_INTERVAL","65W","PERIODICITY_OVERRIDE","W","TECH_STUDIES_PARAM1_OVERRIDE",39,"USE_PREVIOUS_BUSINESS_DAY","Y")),"")</f>
        <v>3903.1871794871799</v>
      </c>
      <c r="AK27">
        <f t="shared" si="8"/>
        <v>6560.7823076923087</v>
      </c>
      <c r="AL27">
        <f t="shared" si="25"/>
        <v>0.59519286675738714</v>
      </c>
      <c r="AM27">
        <f t="shared" si="26"/>
        <v>0.59492709808566835</v>
      </c>
      <c r="AN27" s="10" t="str">
        <f t="shared" si="27"/>
        <v>UP</v>
      </c>
      <c r="AO27" s="10" t="str">
        <f t="shared" si="28"/>
        <v>UP</v>
      </c>
      <c r="AP27" s="6" t="str">
        <f t="shared" si="29"/>
        <v>POSITIVE</v>
      </c>
      <c r="AQ27" cm="1">
        <f t="array" ref="AQ27">IFERROR(VALUE(_xll.BDP($B27,"INTERVAL_exp_MOV_AVG","CALC_INTERVAL","520D","TECH_STUDIES_PARAM1_OVERRIDE",100,"USE_PREVIOUS_BUSINESS_DAY","N")),"")</f>
        <v>4342.2714944130648</v>
      </c>
      <c r="AR27">
        <f t="shared" si="9"/>
        <v>6773.0064518682802</v>
      </c>
      <c r="AS27" cm="1">
        <f t="array" ref="AS27">IFERROR(VALUE(_xll.BDP($B27,"INTERVAL_exp_MOV_AVG","CALC_INTERVAL","520D","TECH_STUDIES_PARAM1_OVERRIDE",100,"USE_PREVIOUS_BUSINESS_DAY","Y")),"")</f>
        <v>4327.5370388496722</v>
      </c>
      <c r="AT27">
        <f t="shared" si="10"/>
        <v>6769.6039787132295</v>
      </c>
      <c r="AU27">
        <f t="shared" si="30"/>
        <v>0.64111433013846952</v>
      </c>
      <c r="AV27">
        <f t="shared" si="31"/>
        <v>0.63925999991394666</v>
      </c>
      <c r="AW27" s="11" t="str">
        <f t="shared" si="32"/>
        <v>UP</v>
      </c>
      <c r="AX27" s="11" t="str">
        <f t="shared" si="33"/>
        <v>UP</v>
      </c>
      <c r="AY27" s="6" t="str">
        <f t="shared" si="34"/>
        <v>POSITIVE</v>
      </c>
      <c r="AZ27" s="12" cm="1">
        <f t="array" ref="AZ27">_xll.BDP($B27, "INTERVAL_RSI", "TECH_STUDIES_PARAM1_OVERRIDE", "5", "PERIODICITY_OVERRIDE", "W")</f>
        <v>74.872017699996121</v>
      </c>
      <c r="BA27" cm="1">
        <f t="array" ref="BA27">IFERROR(VALUE(_xll.BDP($B27,"INTERVAL_MAE_MOV_AVG","CALC_INTERVAL","520D","TECH_STUDIES_PARAM1_OVERRIDE",31,"USE_PREVIOUS_BUSINESS_DAY","N")),"")</f>
        <v>4748.558064516129</v>
      </c>
      <c r="BB27" cm="1">
        <f t="array" ref="BB27">IFERROR(VALUE(_xll.BDP($B27,"INTERVAL_MAE_MOV_AVG","CALC_INTERVAL","760D","TECH_STUDIES_PARAM1_OVERRIDE",200,"USE_PREVIOUS_BUSINESS_DAY","N")),"")</f>
        <v>3839.0220000000008</v>
      </c>
      <c r="BC27" s="13">
        <f t="shared" si="35"/>
        <v>6.8029479916823732E-2</v>
      </c>
      <c r="BD27" s="13">
        <f t="shared" si="36"/>
        <v>0.10720183313990717</v>
      </c>
      <c r="BE27" s="13">
        <f t="shared" si="37"/>
        <v>0.3210656255681783</v>
      </c>
      <c r="BF27" s="14" cm="1">
        <f t="array" ref="BF27">VALUE(_xll.BDP($B27,"INTERVAL_DATE_OF_CALC_HI","CALC_INTERVAL","3M"))</f>
        <v>46051</v>
      </c>
      <c r="BG27" s="14" cm="1">
        <f t="array" ref="BG27">VALUE(_xll.BDP($B27,"INTERVAL_DATE_OF_CALC_LO","CALC_INTERVAL","3M"))</f>
        <v>45981</v>
      </c>
      <c r="BH27" s="14" cm="1">
        <f t="array" ref="BH27">VALUE(_xll.BDP($B27,"INTERVAL_DATE_OF_CALC_HI","CALC_INTERVAL","1M"))</f>
        <v>46051</v>
      </c>
      <c r="BI27" s="14" cm="1">
        <f t="array" ref="BI27">VALUE(_xll.BDP($B27,"INTERVAL_DATE_OF_CALC_LO","CALC_INTERVAL","1M"))</f>
        <v>46038</v>
      </c>
      <c r="BJ27" s="15">
        <f>$F27-MIN(_xll.BDP("NYA Index","RSI_14D"),_xll.BDP("RSP US Equity","RSI_14D"))</f>
        <v>-6.1585559039196411</v>
      </c>
    </row>
    <row r="28" spans="1:62" x14ac:dyDescent="0.25">
      <c r="A28" s="11">
        <v>27</v>
      </c>
      <c r="B28" s="26" t="s">
        <v>567</v>
      </c>
      <c r="C28" s="1" t="s">
        <v>563</v>
      </c>
      <c r="D28" s="1" t="s">
        <v>552</v>
      </c>
      <c r="E28" s="11" t="s">
        <v>788</v>
      </c>
      <c r="F28">
        <f>IFERROR(VALUE((_xll.BDP($B28,"interval_rsi","tech_studies_param1_override",14))),"")</f>
        <v>53.80130582511682</v>
      </c>
      <c r="G28">
        <f t="shared" si="0"/>
        <v>52.525531939815814</v>
      </c>
      <c r="H28">
        <f t="shared" si="11"/>
        <v>0</v>
      </c>
      <c r="I28" cm="1">
        <f t="array" ref="I28">IFERROR(VALUE(_xll.BDP($B28,"px_last")),"")</f>
        <v>598.35</v>
      </c>
      <c r="J28">
        <f t="shared" si="1"/>
        <v>6941.47</v>
      </c>
      <c r="K28" cm="1">
        <f t="array" ref="K28">IFERROR(VALUE(_xll.BDP($B28,"PX_YEST_CLOSE")),"")</f>
        <v>596.55000000000007</v>
      </c>
      <c r="L28">
        <f t="shared" si="2"/>
        <v>6941.81</v>
      </c>
      <c r="M28">
        <f t="shared" si="12"/>
        <v>8.6199320893124945E-2</v>
      </c>
      <c r="N28">
        <f t="shared" si="13"/>
        <v>8.5935800605317636E-2</v>
      </c>
      <c r="O28" cm="1">
        <f t="array" ref="O28">IFERROR(VALUE(_xll.BDP($B28,"INTERVAL_MAE_MOV_AVG","CALC_INTERVAL","520D","TECH_STUDIES_PARAM1_OVERRIDE",50,"USE_PREVIOUS_BUSINESS_DAY","N")),"")</f>
        <v>569.28499999999997</v>
      </c>
      <c r="P28">
        <f t="shared" si="3"/>
        <v>6894.0953999999992</v>
      </c>
      <c r="Q28" cm="1">
        <f t="array" ref="Q28">IFERROR(VALUE(_xll.BDP($B28,"INTERVAL_MAE_MOV_AVG","CALC_INTERVAL","520D","TECH_STUDIES_PARAM1_OVERRIDE",50,"USE_PREVIOUS_BUSINESS_DAY","Y")),"")</f>
        <v>567.72499999999991</v>
      </c>
      <c r="R28">
        <f t="shared" si="4"/>
        <v>6892.2477999999992</v>
      </c>
      <c r="S28">
        <f t="shared" si="14"/>
        <v>8.2575735752075607E-2</v>
      </c>
      <c r="T28">
        <f t="shared" si="15"/>
        <v>8.2371530518679265E-2</v>
      </c>
      <c r="U28" s="11" t="str">
        <f t="shared" si="16"/>
        <v>NEGATIVE</v>
      </c>
      <c r="V28" s="11" t="str">
        <f t="shared" si="17"/>
        <v/>
      </c>
      <c r="W28" s="11" t="str">
        <f t="shared" si="18"/>
        <v>UP</v>
      </c>
      <c r="X28" s="6" t="str">
        <f t="shared" si="19"/>
        <v>POSITIVE</v>
      </c>
      <c r="Y28" cm="1">
        <f t="array" ref="Y28">IFERROR(VALUE(_xll.BDP($B28,"INTERVAL_MAE_MOV_AVG","CALC_INTERVAL","520D","TECH_STUDIES_PARAM1_OVERRIDE",65,"USE_PREVIOUS_BUSINESS_DAY","N")),"")</f>
        <v>554.2930769230768</v>
      </c>
      <c r="Z28">
        <f t="shared" si="5"/>
        <v>6856.0226153846133</v>
      </c>
      <c r="AA28" cm="1">
        <f t="array" ref="AA28">IFERROR(VALUE(_xll.BDP($B28,"INTERVAL_MAE_MOV_AVG","CALC_INTERVAL","520D","TECH_STUDIES_PARAM1_OVERRIDE",65,"USE_PREVIOUS_BUSINESS_DAY","Y")),"")</f>
        <v>552.7576923076922</v>
      </c>
      <c r="AB28">
        <f t="shared" si="6"/>
        <v>6852.6203076923057</v>
      </c>
      <c r="AC28">
        <f t="shared" si="20"/>
        <v>8.0847615012130725E-2</v>
      </c>
      <c r="AD28">
        <f t="shared" si="21"/>
        <v>8.0663697605892801E-2</v>
      </c>
      <c r="AE28" s="10" t="str">
        <f t="shared" si="22"/>
        <v>UP</v>
      </c>
      <c r="AF28" s="10" t="str">
        <f t="shared" si="23"/>
        <v>UP</v>
      </c>
      <c r="AG28" s="6" t="str">
        <f t="shared" si="24"/>
        <v>POSITIVE</v>
      </c>
      <c r="AH28" cm="1">
        <f t="array" ref="AH28">IFERROR(VALUE(_xll.BDP($B28,"INTERVAL_MAE_MOV_AVG","CALC_INTERVAL","65W","PERIODICITY_OVERRIDE","W","TECH_STUDIES_PARAM1_OVERRIDE",39,"USE_PREVIOUS_BUSINESS_DAY","N")),"")</f>
        <v>513.33717948717947</v>
      </c>
      <c r="AI28">
        <f t="shared" si="7"/>
        <v>6560.7735897435905</v>
      </c>
      <c r="AJ28" cm="1">
        <f t="array" ref="AJ28">IFERROR(VALUE(_xll.BDP($B28,"INTERVAL_MAE_MOV_AVG","CALC_INTERVAL","65W","PERIODICITY_OVERRIDE","W","TECH_STUDIES_PARAM1_OVERRIDE",39,"USE_PREVIOUS_BUSINESS_DAY","Y")),"")</f>
        <v>513.20384615384603</v>
      </c>
      <c r="AK28">
        <f t="shared" si="8"/>
        <v>6560.7823076923087</v>
      </c>
      <c r="AL28">
        <f t="shared" si="25"/>
        <v>7.8243391951472882E-2</v>
      </c>
      <c r="AM28">
        <f t="shared" si="26"/>
        <v>7.8222965202203218E-2</v>
      </c>
      <c r="AN28" s="10" t="str">
        <f t="shared" si="27"/>
        <v>UP</v>
      </c>
      <c r="AO28" s="10" t="str">
        <f t="shared" si="28"/>
        <v>UP</v>
      </c>
      <c r="AP28" s="6" t="str">
        <f t="shared" si="29"/>
        <v>POSITIVE</v>
      </c>
      <c r="AQ28" cm="1">
        <f t="array" ref="AQ28">IFERROR(VALUE(_xll.BDP($B28,"INTERVAL_exp_MOV_AVG","CALC_INTERVAL","520D","TECH_STUDIES_PARAM1_OVERRIDE",100,"USE_PREVIOUS_BUSINESS_DAY","N")),"")</f>
        <v>544.87502248573298</v>
      </c>
      <c r="AR28">
        <f t="shared" si="9"/>
        <v>6773.0064518682802</v>
      </c>
      <c r="AS28" cm="1">
        <f t="array" ref="AS28">IFERROR(VALUE(_xll.BDP($B28,"INTERVAL_exp_MOV_AVG","CALC_INTERVAL","520D","TECH_STUDIES_PARAM1_OVERRIDE",100,"USE_PREVIOUS_BUSINESS_DAY","Y")),"")</f>
        <v>543.83081499640718</v>
      </c>
      <c r="AT28">
        <f t="shared" si="10"/>
        <v>6769.6039787132295</v>
      </c>
      <c r="AU28">
        <f t="shared" si="30"/>
        <v>8.0448029447164268E-2</v>
      </c>
      <c r="AV28">
        <f t="shared" si="31"/>
        <v>8.0334214040653357E-2</v>
      </c>
      <c r="AW28" s="11" t="str">
        <f t="shared" si="32"/>
        <v>UP</v>
      </c>
      <c r="AX28" s="11" t="str">
        <f t="shared" si="33"/>
        <v>UP</v>
      </c>
      <c r="AY28" s="6" t="str">
        <f t="shared" si="34"/>
        <v>POSITIVE</v>
      </c>
      <c r="AZ28" s="12" cm="1">
        <f t="array" ref="AZ28">_xll.BDP($B28, "INTERVAL_RSI", "TECH_STUDIES_PARAM1_OVERRIDE", "5", "PERIODICITY_OVERRIDE", "W")</f>
        <v>73.974311581293023</v>
      </c>
      <c r="BA28" cm="1">
        <f t="array" ref="BA28">IFERROR(VALUE(_xll.BDP($B28,"INTERVAL_MAE_MOV_AVG","CALC_INTERVAL","520D","TECH_STUDIES_PARAM1_OVERRIDE",31,"USE_PREVIOUS_BUSINESS_DAY","N")),"")</f>
        <v>589.408064516129</v>
      </c>
      <c r="BB28" cm="1">
        <f t="array" ref="BB28">IFERROR(VALUE(_xll.BDP($B28,"INTERVAL_MAE_MOV_AVG","CALC_INTERVAL","760D","TECH_STUDIES_PARAM1_OVERRIDE",200,"USE_PREVIOUS_BUSINESS_DAY","N")),"")</f>
        <v>508.22175000000033</v>
      </c>
      <c r="BC28" s="13">
        <f t="shared" si="35"/>
        <v>1.51710436660073E-2</v>
      </c>
      <c r="BD28" s="13">
        <f t="shared" si="36"/>
        <v>5.1055271085660214E-2</v>
      </c>
      <c r="BE28" s="13">
        <f t="shared" si="37"/>
        <v>0.17734040308192167</v>
      </c>
      <c r="BF28" s="14" cm="1">
        <f t="array" ref="BF28">VALUE(_xll.BDP($B28,"INTERVAL_DATE_OF_CALC_HI","CALC_INTERVAL","3M"))</f>
        <v>46051</v>
      </c>
      <c r="BG28" s="14" cm="1">
        <f t="array" ref="BG28">VALUE(_xll.BDP($B28,"INTERVAL_DATE_OF_CALC_LO","CALC_INTERVAL","3M"))</f>
        <v>45985</v>
      </c>
      <c r="BH28" s="14" cm="1">
        <f t="array" ref="BH28">VALUE(_xll.BDP($B28,"INTERVAL_DATE_OF_CALC_HI","CALC_INTERVAL","1M"))</f>
        <v>46051</v>
      </c>
      <c r="BI28" s="14" cm="1">
        <f t="array" ref="BI28">VALUE(_xll.BDP($B28,"INTERVAL_DATE_OF_CALC_LO","CALC_INTERVAL","1M"))</f>
        <v>46043</v>
      </c>
      <c r="BJ28" s="15">
        <f>$F28-MIN(_xll.BDP("NYA Index","RSI_14D"),_xll.BDP("RSP US Equity","RSI_14D"))</f>
        <v>-12.54445833503943</v>
      </c>
    </row>
    <row r="29" spans="1:62" x14ac:dyDescent="0.25">
      <c r="A29" s="11">
        <v>28</v>
      </c>
      <c r="B29" s="26" t="s">
        <v>572</v>
      </c>
      <c r="C29" s="1" t="s">
        <v>573</v>
      </c>
      <c r="D29" s="1" t="s">
        <v>552</v>
      </c>
      <c r="E29" s="11" t="s">
        <v>788</v>
      </c>
      <c r="F29">
        <f>IFERROR(VALUE((_xll.BDP($B29,"interval_rsi","tech_studies_param1_override",14))),"")</f>
        <v>48.811040069258382</v>
      </c>
      <c r="G29">
        <f t="shared" si="0"/>
        <v>52.525531939815814</v>
      </c>
      <c r="H29">
        <f t="shared" si="11"/>
        <v>0</v>
      </c>
      <c r="I29" cm="1">
        <f t="array" ref="I29">IFERROR(VALUE(_xll.BDP($B29,"px_last")),"")</f>
        <v>808</v>
      </c>
      <c r="J29">
        <f t="shared" si="1"/>
        <v>6941.47</v>
      </c>
      <c r="K29" cm="1">
        <f t="array" ref="K29">IFERROR(VALUE(_xll.BDP($B29,"PX_YEST_CLOSE")),"")</f>
        <v>808</v>
      </c>
      <c r="L29">
        <f t="shared" si="2"/>
        <v>6941.81</v>
      </c>
      <c r="M29">
        <f t="shared" si="12"/>
        <v>0.11640185724349453</v>
      </c>
      <c r="N29">
        <f t="shared" si="13"/>
        <v>0.11639615604575751</v>
      </c>
      <c r="O29" cm="1">
        <f t="array" ref="O29">IFERROR(VALUE(_xll.BDP($B29,"INTERVAL_MAE_MOV_AVG","CALC_INTERVAL","520D","TECH_STUDIES_PARAM1_OVERRIDE",50,"USE_PREVIOUS_BUSINESS_DAY","N")),"")</f>
        <v>804.83</v>
      </c>
      <c r="P29">
        <f t="shared" si="3"/>
        <v>6894.0953999999992</v>
      </c>
      <c r="Q29" cm="1">
        <f t="array" ref="Q29">IFERROR(VALUE(_xll.BDP($B29,"INTERVAL_MAE_MOV_AVG","CALC_INTERVAL","520D","TECH_STUDIES_PARAM1_OVERRIDE",50,"USE_PREVIOUS_BUSINESS_DAY","Y")),"")</f>
        <v>804.43000000000006</v>
      </c>
      <c r="R29">
        <f t="shared" si="4"/>
        <v>6892.2477999999992</v>
      </c>
      <c r="S29">
        <f t="shared" si="14"/>
        <v>0.116741929622848</v>
      </c>
      <c r="T29">
        <f t="shared" si="15"/>
        <v>0.11671518833086648</v>
      </c>
      <c r="U29" s="11" t="str">
        <f t="shared" si="16"/>
        <v>NEGATIVE</v>
      </c>
      <c r="V29" s="11" t="str">
        <f t="shared" si="17"/>
        <v/>
      </c>
      <c r="W29" s="11" t="str">
        <f t="shared" si="18"/>
        <v>UP</v>
      </c>
      <c r="X29" s="6" t="str">
        <f t="shared" si="19"/>
        <v>NEGATIVE</v>
      </c>
      <c r="Y29" cm="1">
        <f t="array" ref="Y29">IFERROR(VALUE(_xll.BDP($B29,"INTERVAL_MAE_MOV_AVG","CALC_INTERVAL","520D","TECH_STUDIES_PARAM1_OVERRIDE",65,"USE_PREVIOUS_BUSINESS_DAY","N")),"")</f>
        <v>804.42307692307702</v>
      </c>
      <c r="Z29">
        <f t="shared" si="5"/>
        <v>6856.0226153846133</v>
      </c>
      <c r="AA29" cm="1">
        <f t="array" ref="AA29">IFERROR(VALUE(_xll.BDP($B29,"INTERVAL_MAE_MOV_AVG","CALC_INTERVAL","520D","TECH_STUDIES_PARAM1_OVERRIDE",65,"USE_PREVIOUS_BUSINESS_DAY","Y")),"")</f>
        <v>804.29230769230776</v>
      </c>
      <c r="AB29">
        <f t="shared" si="6"/>
        <v>6852.6203076923057</v>
      </c>
      <c r="AC29">
        <f t="shared" si="20"/>
        <v>0.11733086689620699</v>
      </c>
      <c r="AD29">
        <f t="shared" si="21"/>
        <v>0.11737003825959269</v>
      </c>
      <c r="AE29" s="10" t="str">
        <f t="shared" si="22"/>
        <v>UP</v>
      </c>
      <c r="AF29" s="10" t="str">
        <f t="shared" si="23"/>
        <v>DOWN</v>
      </c>
      <c r="AG29" s="6" t="str">
        <f t="shared" si="24"/>
        <v>NEGATIVE</v>
      </c>
      <c r="AH29" cm="1">
        <f t="array" ref="AH29">IFERROR(VALUE(_xll.BDP($B29,"INTERVAL_MAE_MOV_AVG","CALC_INTERVAL","65W","PERIODICITY_OVERRIDE","W","TECH_STUDIES_PARAM1_OVERRIDE",39,"USE_PREVIOUS_BUSINESS_DAY","N")),"")</f>
        <v>794.43589743589746</v>
      </c>
      <c r="AI29">
        <f t="shared" si="7"/>
        <v>6560.7735897435905</v>
      </c>
      <c r="AJ29" cm="1">
        <f t="array" ref="AJ29">IFERROR(VALUE(_xll.BDP($B29,"INTERVAL_MAE_MOV_AVG","CALC_INTERVAL","65W","PERIODICITY_OVERRIDE","W","TECH_STUDIES_PARAM1_OVERRIDE",39,"USE_PREVIOUS_BUSINESS_DAY","Y")),"")</f>
        <v>794.43589743589746</v>
      </c>
      <c r="AK29">
        <f t="shared" si="8"/>
        <v>6560.7823076923087</v>
      </c>
      <c r="AL29">
        <f t="shared" si="25"/>
        <v>0.12108875372224905</v>
      </c>
      <c r="AM29">
        <f t="shared" si="26"/>
        <v>0.12108859281986031</v>
      </c>
      <c r="AN29" s="10" t="str">
        <f t="shared" si="27"/>
        <v/>
      </c>
      <c r="AO29" s="10" t="str">
        <f t="shared" si="28"/>
        <v>UP</v>
      </c>
      <c r="AP29" s="6" t="str">
        <f t="shared" si="29"/>
        <v>NEGATIVE</v>
      </c>
      <c r="AQ29" cm="1">
        <f t="array" ref="AQ29">IFERROR(VALUE(_xll.BDP($B29,"INTERVAL_exp_MOV_AVG","CALC_INTERVAL","520D","TECH_STUDIES_PARAM1_OVERRIDE",100,"USE_PREVIOUS_BUSINESS_DAY","N")),"")</f>
        <v>804.52522680296238</v>
      </c>
      <c r="AR29">
        <f t="shared" si="9"/>
        <v>6773.0064518682802</v>
      </c>
      <c r="AS29" cm="1">
        <f t="array" ref="AS29">IFERROR(VALUE(_xll.BDP($B29,"INTERVAL_exp_MOV_AVG","CALC_INTERVAL","520D","TECH_STUDIES_PARAM1_OVERRIDE",100,"USE_PREVIOUS_BUSINESS_DAY","Y")),"")</f>
        <v>804.45502936463845</v>
      </c>
      <c r="AT29">
        <f t="shared" si="10"/>
        <v>6769.6039787132295</v>
      </c>
      <c r="AU29">
        <f t="shared" si="30"/>
        <v>0.11878406325466299</v>
      </c>
      <c r="AV29">
        <f t="shared" si="31"/>
        <v>0.11883339585213813</v>
      </c>
      <c r="AW29" s="11" t="str">
        <f t="shared" si="32"/>
        <v>UP</v>
      </c>
      <c r="AX29" s="11" t="str">
        <f t="shared" si="33"/>
        <v>DOWN</v>
      </c>
      <c r="AY29" s="6" t="str">
        <f t="shared" si="34"/>
        <v>NEGATIVE</v>
      </c>
      <c r="AZ29" s="12" cm="1">
        <f t="array" ref="AZ29">_xll.BDP($B29, "INTERVAL_RSI", "TECH_STUDIES_PARAM1_OVERRIDE", "5", "PERIODICITY_OVERRIDE", "W")</f>
        <v>49.909640437134755</v>
      </c>
      <c r="BA29" cm="1">
        <f t="array" ref="BA29">IFERROR(VALUE(_xll.BDP($B29,"INTERVAL_MAE_MOV_AVG","CALC_INTERVAL","520D","TECH_STUDIES_PARAM1_OVERRIDE",31,"USE_PREVIOUS_BUSINESS_DAY","N")),"")</f>
        <v>814.95161290322574</v>
      </c>
      <c r="BB29" cm="1">
        <f t="array" ref="BB29">IFERROR(VALUE(_xll.BDP($B29,"INTERVAL_MAE_MOV_AVG","CALC_INTERVAL","760D","TECH_STUDIES_PARAM1_OVERRIDE",200,"USE_PREVIOUS_BUSINESS_DAY","N")),"")</f>
        <v>791.03250000000003</v>
      </c>
      <c r="BC29" s="13">
        <f t="shared" si="35"/>
        <v>-8.5300928216596184E-3</v>
      </c>
      <c r="BD29" s="13">
        <f t="shared" si="36"/>
        <v>3.9387199781319993E-3</v>
      </c>
      <c r="BE29" s="13">
        <f t="shared" si="37"/>
        <v>2.144981400890611E-2</v>
      </c>
      <c r="BF29" s="14" cm="1">
        <f t="array" ref="BF29">VALUE(_xll.BDP($B29,"INTERVAL_DATE_OF_CALC_HI","CALC_INTERVAL","3M"))</f>
        <v>46034</v>
      </c>
      <c r="BG29" s="14" cm="1">
        <f t="array" ref="BG29">VALUE(_xll.BDP($B29,"INTERVAL_DATE_OF_CALC_LO","CALC_INTERVAL","3M"))</f>
        <v>46001</v>
      </c>
      <c r="BH29" s="14" cm="1">
        <f t="array" ref="BH29">VALUE(_xll.BDP($B29,"INTERVAL_DATE_OF_CALC_HI","CALC_INTERVAL","1M"))</f>
        <v>46034</v>
      </c>
      <c r="BI29" s="14" cm="1">
        <f t="array" ref="BI29">VALUE(_xll.BDP($B29,"INTERVAL_DATE_OF_CALC_LO","CALC_INTERVAL","1M"))</f>
        <v>46044</v>
      </c>
      <c r="BJ29" s="15">
        <f>$F29-MIN(_xll.BDP("NYA Index","RSI_14D"),_xll.BDP("RSP US Equity","RSI_14D"))</f>
        <v>-17.534724090897868</v>
      </c>
    </row>
    <row r="30" spans="1:62" x14ac:dyDescent="0.25">
      <c r="A30" s="11">
        <v>29</v>
      </c>
      <c r="B30" s="26" t="s">
        <v>568</v>
      </c>
      <c r="C30" s="1" t="s">
        <v>569</v>
      </c>
      <c r="D30" s="1" t="s">
        <v>552</v>
      </c>
      <c r="E30" s="11" t="s">
        <v>788</v>
      </c>
      <c r="F30">
        <f>IFERROR(VALUE((_xll.BDP($B30,"interval_rsi","tech_studies_param1_override",14))),"")</f>
        <v>25.215089599576373</v>
      </c>
      <c r="G30">
        <f t="shared" si="0"/>
        <v>52.525531939815814</v>
      </c>
      <c r="H30">
        <f t="shared" si="11"/>
        <v>0</v>
      </c>
      <c r="I30" cm="1">
        <f t="array" ref="I30">IFERROR(VALUE(_xll.BDP($B30,"px_last")),"")</f>
        <v>294.8</v>
      </c>
      <c r="J30">
        <f t="shared" si="1"/>
        <v>6941.47</v>
      </c>
      <c r="K30" cm="1">
        <f t="array" ref="K30">IFERROR(VALUE(_xll.BDP($B30,"PX_YEST_CLOSE")),"")</f>
        <v>294.8</v>
      </c>
      <c r="L30">
        <f t="shared" si="2"/>
        <v>6941.81</v>
      </c>
      <c r="M30">
        <f t="shared" si="12"/>
        <v>4.2469390489334395E-2</v>
      </c>
      <c r="N30">
        <f t="shared" si="13"/>
        <v>4.2467310398872915E-2</v>
      </c>
      <c r="O30" cm="1">
        <f t="array" ref="O30">IFERROR(VALUE(_xll.BDP($B30,"INTERVAL_MAE_MOV_AVG","CALC_INTERVAL","520D","TECH_STUDIES_PARAM1_OVERRIDE",50,"USE_PREVIOUS_BUSINESS_DAY","N")),"")</f>
        <v>357.15600000000006</v>
      </c>
      <c r="P30">
        <f t="shared" si="3"/>
        <v>6894.0953999999992</v>
      </c>
      <c r="Q30" cm="1">
        <f t="array" ref="Q30">IFERROR(VALUE(_xll.BDP($B30,"INTERVAL_MAE_MOV_AVG","CALC_INTERVAL","520D","TECH_STUDIES_PARAM1_OVERRIDE",50,"USE_PREVIOUS_BUSINESS_DAY","Y")),"")</f>
        <v>359.5200000000001</v>
      </c>
      <c r="R30">
        <f t="shared" si="4"/>
        <v>6892.2477999999992</v>
      </c>
      <c r="S30">
        <f t="shared" si="14"/>
        <v>5.180607161310824E-2</v>
      </c>
      <c r="T30">
        <f t="shared" si="15"/>
        <v>5.216295328209182E-2</v>
      </c>
      <c r="U30" s="11" t="str">
        <f t="shared" si="16"/>
        <v>NEGATIVE</v>
      </c>
      <c r="V30" s="11" t="str">
        <f t="shared" si="17"/>
        <v/>
      </c>
      <c r="W30" s="11" t="str">
        <f t="shared" si="18"/>
        <v>DOWN</v>
      </c>
      <c r="X30" s="6" t="str">
        <f t="shared" si="19"/>
        <v>NEGATIVE</v>
      </c>
      <c r="Y30" cm="1">
        <f t="array" ref="Y30">IFERROR(VALUE(_xll.BDP($B30,"INTERVAL_MAE_MOV_AVG","CALC_INTERVAL","520D","TECH_STUDIES_PARAM1_OVERRIDE",65,"USE_PREVIOUS_BUSINESS_DAY","N")),"")</f>
        <v>368.97307692307697</v>
      </c>
      <c r="Z30">
        <f t="shared" si="5"/>
        <v>6856.0226153846133</v>
      </c>
      <c r="AA30" cm="1">
        <f t="array" ref="AA30">IFERROR(VALUE(_xll.BDP($B30,"INTERVAL_MAE_MOV_AVG","CALC_INTERVAL","520D","TECH_STUDIES_PARAM1_OVERRIDE",65,"USE_PREVIOUS_BUSINESS_DAY","Y")),"")</f>
        <v>370.54153846153855</v>
      </c>
      <c r="AB30">
        <f t="shared" si="6"/>
        <v>6852.6203076923057</v>
      </c>
      <c r="AC30">
        <f t="shared" si="20"/>
        <v>5.3817365785100768E-2</v>
      </c>
      <c r="AD30">
        <f t="shared" si="21"/>
        <v>5.4072970896343511E-2</v>
      </c>
      <c r="AE30" s="10" t="str">
        <f t="shared" si="22"/>
        <v>DOWN</v>
      </c>
      <c r="AF30" s="10" t="str">
        <f t="shared" si="23"/>
        <v>DOWN</v>
      </c>
      <c r="AG30" s="6" t="str">
        <f t="shared" si="24"/>
        <v>NEGATIVE</v>
      </c>
      <c r="AH30" cm="1">
        <f t="array" ref="AH30">IFERROR(VALUE(_xll.BDP($B30,"INTERVAL_MAE_MOV_AVG","CALC_INTERVAL","65W","PERIODICITY_OVERRIDE","W","TECH_STUDIES_PARAM1_OVERRIDE",39,"USE_PREVIOUS_BUSINESS_DAY","N")),"")</f>
        <v>356.59871794871793</v>
      </c>
      <c r="AI30">
        <f t="shared" si="7"/>
        <v>6560.7735897435905</v>
      </c>
      <c r="AJ30" cm="1">
        <f t="array" ref="AJ30">IFERROR(VALUE(_xll.BDP($B30,"INTERVAL_MAE_MOV_AVG","CALC_INTERVAL","65W","PERIODICITY_OVERRIDE","W","TECH_STUDIES_PARAM1_OVERRIDE",39,"USE_PREVIOUS_BUSINESS_DAY","Y")),"")</f>
        <v>356.58333333333331</v>
      </c>
      <c r="AK30">
        <f t="shared" si="8"/>
        <v>6560.7823076923087</v>
      </c>
      <c r="AL30">
        <f t="shared" si="25"/>
        <v>5.4353151053129788E-2</v>
      </c>
      <c r="AM30">
        <f t="shared" si="26"/>
        <v>5.4350733892702202E-2</v>
      </c>
      <c r="AN30" s="10" t="str">
        <f t="shared" si="27"/>
        <v>UP</v>
      </c>
      <c r="AO30" s="10" t="str">
        <f t="shared" si="28"/>
        <v>UP</v>
      </c>
      <c r="AP30" s="6" t="str">
        <f t="shared" si="29"/>
        <v>NEGATIVE</v>
      </c>
      <c r="AQ30" cm="1">
        <f t="array" ref="AQ30">IFERROR(VALUE(_xll.BDP($B30,"INTERVAL_exp_MOV_AVG","CALC_INTERVAL","520D","TECH_STUDIES_PARAM1_OVERRIDE",100,"USE_PREVIOUS_BUSINESS_DAY","N")),"")</f>
        <v>361.29360040781251</v>
      </c>
      <c r="AR30">
        <f t="shared" si="9"/>
        <v>6773.0064518682802</v>
      </c>
      <c r="AS30" cm="1">
        <f t="array" ref="AS30">IFERROR(VALUE(_xll.BDP($B30,"INTERVAL_exp_MOV_AVG","CALC_INTERVAL","520D","TECH_STUDIES_PARAM1_OVERRIDE",100,"USE_PREVIOUS_BUSINESS_DAY","Y")),"")</f>
        <v>362.6368012878151</v>
      </c>
      <c r="AT30">
        <f t="shared" si="10"/>
        <v>6769.6039787132295</v>
      </c>
      <c r="AU30">
        <f t="shared" si="30"/>
        <v>5.3343164955667884E-2</v>
      </c>
      <c r="AV30">
        <f t="shared" si="31"/>
        <v>5.3568392246889654E-2</v>
      </c>
      <c r="AW30" s="11" t="str">
        <f t="shared" si="32"/>
        <v>DOWN</v>
      </c>
      <c r="AX30" s="11" t="str">
        <f t="shared" si="33"/>
        <v>DOWN</v>
      </c>
      <c r="AY30" s="6" t="str">
        <f t="shared" si="34"/>
        <v>NEGATIVE</v>
      </c>
      <c r="AZ30" s="12" cm="1">
        <f t="array" ref="AZ30">_xll.BDP($B30, "INTERVAL_RSI", "TECH_STUDIES_PARAM1_OVERRIDE", "5", "PERIODICITY_OVERRIDE", "W")</f>
        <v>11.230201505452825</v>
      </c>
      <c r="BA30" cm="1">
        <f t="array" ref="BA30">IFERROR(VALUE(_xll.BDP($B30,"INTERVAL_MAE_MOV_AVG","CALC_INTERVAL","520D","TECH_STUDIES_PARAM1_OVERRIDE",31,"USE_PREVIOUS_BUSINESS_DAY","N")),"")</f>
        <v>342.91612903225808</v>
      </c>
      <c r="BB30" cm="1">
        <f t="array" ref="BB30">IFERROR(VALUE(_xll.BDP($B30,"INTERVAL_MAE_MOV_AVG","CALC_INTERVAL","760D","TECH_STUDIES_PARAM1_OVERRIDE",200,"USE_PREVIOUS_BUSINESS_DAY","N")),"")</f>
        <v>361.81099999999992</v>
      </c>
      <c r="BC30" s="13">
        <f t="shared" si="35"/>
        <v>-0.14031456953642385</v>
      </c>
      <c r="BD30" s="13">
        <f t="shared" si="36"/>
        <v>-0.17459037507419739</v>
      </c>
      <c r="BE30" s="13">
        <f t="shared" si="37"/>
        <v>-0.18520995768508952</v>
      </c>
      <c r="BF30" s="14" cm="1">
        <f t="array" ref="BF30">VALUE(_xll.BDP($B30,"INTERVAL_DATE_OF_CALC_HI","CALC_INTERVAL","3M"))</f>
        <v>45972</v>
      </c>
      <c r="BG30" s="14" cm="1">
        <f t="array" ref="BG30">VALUE(_xll.BDP($B30,"INTERVAL_DATE_OF_CALC_LO","CALC_INTERVAL","3M"))</f>
        <v>46063</v>
      </c>
      <c r="BH30" s="14" cm="1">
        <f t="array" ref="BH30">VALUE(_xll.BDP($B30,"INTERVAL_DATE_OF_CALC_HI","CALC_INTERVAL","1M"))</f>
        <v>46049</v>
      </c>
      <c r="BI30" s="14" cm="1">
        <f t="array" ref="BI30">VALUE(_xll.BDP($B30,"INTERVAL_DATE_OF_CALC_LO","CALC_INTERVAL","1M"))</f>
        <v>46063</v>
      </c>
      <c r="BJ30" s="15">
        <f>$F30-MIN(_xll.BDP("NYA Index","RSI_14D"),_xll.BDP("RSP US Equity","RSI_14D"))</f>
        <v>-41.130674560579877</v>
      </c>
    </row>
    <row r="31" spans="1:62" x14ac:dyDescent="0.25">
      <c r="A31" s="11">
        <v>30</v>
      </c>
      <c r="B31" s="26" t="s">
        <v>570</v>
      </c>
      <c r="C31" s="1" t="s">
        <v>571</v>
      </c>
      <c r="D31" s="1" t="s">
        <v>552</v>
      </c>
      <c r="E31" s="11" t="s">
        <v>788</v>
      </c>
      <c r="F31">
        <f>IFERROR(VALUE((_xll.BDP($B31,"interval_rsi","tech_studies_param1_override",14))),"")</f>
        <v>64.236423739375539</v>
      </c>
      <c r="G31">
        <f t="shared" si="0"/>
        <v>52.525531939815814</v>
      </c>
      <c r="H31">
        <f t="shared" si="11"/>
        <v>1</v>
      </c>
      <c r="I31" cm="1">
        <f t="array" ref="I31">IFERROR(VALUE(_xll.BDP($B31,"px_last")),"")</f>
        <v>242.35000000000002</v>
      </c>
      <c r="J31">
        <f t="shared" si="1"/>
        <v>6941.47</v>
      </c>
      <c r="K31" cm="1">
        <f t="array" ref="K31">IFERROR(VALUE(_xll.BDP($B31,"PX_YEST_CLOSE")),"")</f>
        <v>242.35000000000002</v>
      </c>
      <c r="L31">
        <f t="shared" si="2"/>
        <v>6941.81</v>
      </c>
      <c r="M31">
        <f t="shared" si="12"/>
        <v>3.4913354087822895E-2</v>
      </c>
      <c r="N31">
        <f t="shared" si="13"/>
        <v>3.4911644081298682E-2</v>
      </c>
      <c r="O31" cm="1">
        <f t="array" ref="O31">IFERROR(VALUE(_xll.BDP($B31,"INTERVAL_MAE_MOV_AVG","CALC_INTERVAL","520D","TECH_STUDIES_PARAM1_OVERRIDE",50,"USE_PREVIOUS_BUSINESS_DAY","N")),"")</f>
        <v>232.316</v>
      </c>
      <c r="P31">
        <f t="shared" si="3"/>
        <v>6894.0953999999992</v>
      </c>
      <c r="Q31" cm="1">
        <f t="array" ref="Q31">IFERROR(VALUE(_xll.BDP($B31,"INTERVAL_MAE_MOV_AVG","CALC_INTERVAL","520D","TECH_STUDIES_PARAM1_OVERRIDE",50,"USE_PREVIOUS_BUSINESS_DAY","Y")),"")</f>
        <v>231.78049999999999</v>
      </c>
      <c r="R31">
        <f t="shared" si="4"/>
        <v>6892.2477999999992</v>
      </c>
      <c r="S31">
        <f t="shared" si="14"/>
        <v>3.3697822052186868E-2</v>
      </c>
      <c r="T31">
        <f t="shared" si="15"/>
        <v>3.3629159415887518E-2</v>
      </c>
      <c r="U31" s="11" t="str">
        <f t="shared" si="16"/>
        <v>POSITIVE</v>
      </c>
      <c r="V31" s="11" t="str">
        <f t="shared" si="17"/>
        <v/>
      </c>
      <c r="W31" s="11" t="str">
        <f t="shared" si="18"/>
        <v>UP</v>
      </c>
      <c r="X31" s="6" t="str">
        <f t="shared" si="19"/>
        <v>POSITIVE</v>
      </c>
      <c r="Y31" cm="1">
        <f t="array" ref="Y31">IFERROR(VALUE(_xll.BDP($B31,"INTERVAL_MAE_MOV_AVG","CALC_INTERVAL","520D","TECH_STUDIES_PARAM1_OVERRIDE",65,"USE_PREVIOUS_BUSINESS_DAY","N")),"")</f>
        <v>228.98307692307694</v>
      </c>
      <c r="Z31">
        <f t="shared" si="5"/>
        <v>6856.0226153846133</v>
      </c>
      <c r="AA31" cm="1">
        <f t="array" ref="AA31">IFERROR(VALUE(_xll.BDP($B31,"INTERVAL_MAE_MOV_AVG","CALC_INTERVAL","520D","TECH_STUDIES_PARAM1_OVERRIDE",65,"USE_PREVIOUS_BUSINESS_DAY","Y")),"")</f>
        <v>228.62038461538461</v>
      </c>
      <c r="AB31">
        <f t="shared" si="6"/>
        <v>6852.6203076923057</v>
      </c>
      <c r="AC31">
        <f t="shared" si="20"/>
        <v>3.3398821703016113E-2</v>
      </c>
      <c r="AD31">
        <f t="shared" si="21"/>
        <v>3.3362476592895457E-2</v>
      </c>
      <c r="AE31" s="10" t="str">
        <f t="shared" si="22"/>
        <v>UP</v>
      </c>
      <c r="AF31" s="10" t="str">
        <f t="shared" si="23"/>
        <v>UP</v>
      </c>
      <c r="AG31" s="6" t="str">
        <f t="shared" si="24"/>
        <v>POSITIVE</v>
      </c>
      <c r="AH31" cm="1">
        <f t="array" ref="AH31">IFERROR(VALUE(_xll.BDP($B31,"INTERVAL_MAE_MOV_AVG","CALC_INTERVAL","65W","PERIODICITY_OVERRIDE","W","TECH_STUDIES_PARAM1_OVERRIDE",39,"USE_PREVIOUS_BUSINESS_DAY","N")),"")</f>
        <v>229.47051282051277</v>
      </c>
      <c r="AI31">
        <f t="shared" si="7"/>
        <v>6560.7735897435905</v>
      </c>
      <c r="AJ31" cm="1">
        <f t="array" ref="AJ31">IFERROR(VALUE(_xll.BDP($B31,"INTERVAL_MAE_MOV_AVG","CALC_INTERVAL","65W","PERIODICITY_OVERRIDE","W","TECH_STUDIES_PARAM1_OVERRIDE",39,"USE_PREVIOUS_BUSINESS_DAY","Y")),"")</f>
        <v>229.38717948717945</v>
      </c>
      <c r="AK31">
        <f t="shared" si="8"/>
        <v>6560.7823076923087</v>
      </c>
      <c r="AL31">
        <f t="shared" si="25"/>
        <v>3.4976136530491211E-2</v>
      </c>
      <c r="AM31">
        <f t="shared" si="26"/>
        <v>3.4963388317004553E-2</v>
      </c>
      <c r="AN31" s="10" t="str">
        <f t="shared" si="27"/>
        <v>UP</v>
      </c>
      <c r="AO31" s="10" t="str">
        <f t="shared" si="28"/>
        <v>UP</v>
      </c>
      <c r="AP31" s="6" t="str">
        <f t="shared" si="29"/>
        <v>NEGATIVE</v>
      </c>
      <c r="AQ31" cm="1">
        <f t="array" ref="AQ31">IFERROR(VALUE(_xll.BDP($B31,"INTERVAL_exp_MOV_AVG","CALC_INTERVAL","520D","TECH_STUDIES_PARAM1_OVERRIDE",100,"USE_PREVIOUS_BUSINESS_DAY","N")),"")</f>
        <v>231.04736453997546</v>
      </c>
      <c r="AR31">
        <f t="shared" si="9"/>
        <v>6773.0064518682802</v>
      </c>
      <c r="AS31" cm="1">
        <f t="array" ref="AS31">IFERROR(VALUE(_xll.BDP($B31,"INTERVAL_exp_MOV_AVG","CALC_INTERVAL","520D","TECH_STUDIES_PARAM1_OVERRIDE",100,"USE_PREVIOUS_BUSINESS_DAY","Y")),"")</f>
        <v>230.8189821684133</v>
      </c>
      <c r="AT31">
        <f t="shared" si="10"/>
        <v>6769.6039787132295</v>
      </c>
      <c r="AU31">
        <f t="shared" si="30"/>
        <v>3.4112969798846551E-2</v>
      </c>
      <c r="AV31">
        <f t="shared" si="31"/>
        <v>3.4096378886300453E-2</v>
      </c>
      <c r="AW31" s="11" t="str">
        <f t="shared" si="32"/>
        <v>UP</v>
      </c>
      <c r="AX31" s="11" t="str">
        <f t="shared" si="33"/>
        <v>UP</v>
      </c>
      <c r="AY31" s="6" t="str">
        <f t="shared" si="34"/>
        <v>POSITIVE</v>
      </c>
      <c r="AZ31" s="12" cm="1">
        <f t="array" ref="AZ31">_xll.BDP($B31, "INTERVAL_RSI", "TECH_STUDIES_PARAM1_OVERRIDE", "5", "PERIODICITY_OVERRIDE", "W")</f>
        <v>80.273900708225469</v>
      </c>
      <c r="BA31" cm="1">
        <f t="array" ref="BA31">IFERROR(VALUE(_xll.BDP($B31,"INTERVAL_MAE_MOV_AVG","CALC_INTERVAL","520D","TECH_STUDIES_PARAM1_OVERRIDE",31,"USE_PREVIOUS_BUSINESS_DAY","N")),"")</f>
        <v>235.65403225806446</v>
      </c>
      <c r="BB31" cm="1">
        <f t="array" ref="BB31">IFERROR(VALUE(_xll.BDP($B31,"INTERVAL_MAE_MOV_AVG","CALC_INTERVAL","760D","TECH_STUDIES_PARAM1_OVERRIDE",200,"USE_PREVIOUS_BUSINESS_DAY","N")),"")</f>
        <v>228.00550000000007</v>
      </c>
      <c r="BC31" s="13">
        <f t="shared" si="35"/>
        <v>2.8414399184151451E-2</v>
      </c>
      <c r="BD31" s="13">
        <f t="shared" si="36"/>
        <v>4.3191170646877719E-2</v>
      </c>
      <c r="BE31" s="13">
        <f t="shared" si="37"/>
        <v>6.2912956047112667E-2</v>
      </c>
      <c r="BF31" s="14" cm="1">
        <f t="array" ref="BF31">VALUE(_xll.BDP($B31,"INTERVAL_DATE_OF_CALC_HI","CALC_INTERVAL","3M"))</f>
        <v>46064</v>
      </c>
      <c r="BG31" s="14" cm="1">
        <f t="array" ref="BG31">VALUE(_xll.BDP($B31,"INTERVAL_DATE_OF_CALC_LO","CALC_INTERVAL","3M"))</f>
        <v>45986</v>
      </c>
      <c r="BH31" s="14" cm="1">
        <f t="array" ref="BH31">VALUE(_xll.BDP($B31,"INTERVAL_DATE_OF_CALC_HI","CALC_INTERVAL","1M"))</f>
        <v>46064</v>
      </c>
      <c r="BI31" s="14" cm="1">
        <f t="array" ref="BI31">VALUE(_xll.BDP($B31,"INTERVAL_DATE_OF_CALC_LO","CALC_INTERVAL","1M"))</f>
        <v>46038</v>
      </c>
      <c r="BJ31" s="15">
        <f>$F31-MIN(_xll.BDP("NYA Index","RSI_14D"),_xll.BDP("RSP US Equity","RSI_14D"))</f>
        <v>-2.1093404207807112</v>
      </c>
    </row>
    <row r="32" spans="1:62" x14ac:dyDescent="0.25">
      <c r="A32" s="11">
        <v>31</v>
      </c>
      <c r="B32" s="26" t="s">
        <v>574</v>
      </c>
      <c r="C32" s="1" t="s">
        <v>575</v>
      </c>
      <c r="D32" s="1" t="s">
        <v>552</v>
      </c>
      <c r="E32" s="11" t="s">
        <v>788</v>
      </c>
      <c r="F32">
        <f>IFERROR(VALUE((_xll.BDP($B32,"interval_rsi","tech_studies_param1_override",14))),"")</f>
        <v>42.042865940135663</v>
      </c>
      <c r="G32">
        <f t="shared" si="0"/>
        <v>52.525531939815814</v>
      </c>
      <c r="H32">
        <f t="shared" si="11"/>
        <v>0</v>
      </c>
      <c r="I32" cm="1">
        <f t="array" ref="I32">IFERROR(VALUE(_xll.BDP($B32,"px_last")),"")</f>
        <v>3.2170000000000001</v>
      </c>
      <c r="J32">
        <f t="shared" si="1"/>
        <v>6941.47</v>
      </c>
      <c r="K32" cm="1">
        <f t="array" ref="K32">IFERROR(VALUE(_xll.BDP($B32,"PX_YEST_CLOSE")),"")</f>
        <v>3.1590000000000003</v>
      </c>
      <c r="L32">
        <f t="shared" si="2"/>
        <v>6941.81</v>
      </c>
      <c r="M32">
        <f t="shared" si="12"/>
        <v>4.6344650340633897E-4</v>
      </c>
      <c r="N32">
        <f t="shared" si="13"/>
        <v>4.5506863483731188E-4</v>
      </c>
      <c r="O32" cm="1">
        <f t="array" ref="O32">IFERROR(VALUE(_xll.BDP($B32,"INTERVAL_MAE_MOV_AVG","CALC_INTERVAL","520D","TECH_STUDIES_PARAM1_OVERRIDE",50,"USE_PREVIOUS_BUSINESS_DAY","N")),"")</f>
        <v>4.1677599999999995</v>
      </c>
      <c r="P32">
        <f t="shared" si="3"/>
        <v>6894.0953999999992</v>
      </c>
      <c r="Q32" cm="1">
        <f t="array" ref="Q32">IFERROR(VALUE(_xll.BDP($B32,"INTERVAL_MAE_MOV_AVG","CALC_INTERVAL","520D","TECH_STUDIES_PARAM1_OVERRIDE",50,"USE_PREVIOUS_BUSINESS_DAY","Y")),"")</f>
        <v>4.201579999999999</v>
      </c>
      <c r="R32">
        <f t="shared" si="4"/>
        <v>6892.2477999999992</v>
      </c>
      <c r="S32">
        <f t="shared" si="14"/>
        <v>6.0454051738245457E-4</v>
      </c>
      <c r="T32">
        <f t="shared" si="15"/>
        <v>6.0960953841502903E-4</v>
      </c>
      <c r="U32" s="11" t="str">
        <f t="shared" si="16"/>
        <v>NEGATIVE</v>
      </c>
      <c r="V32" s="11" t="str">
        <f t="shared" si="17"/>
        <v/>
      </c>
      <c r="W32" s="11" t="str">
        <f t="shared" si="18"/>
        <v>DOWN</v>
      </c>
      <c r="X32" s="6" t="str">
        <f t="shared" si="19"/>
        <v>NEGATIVE</v>
      </c>
      <c r="Y32" cm="1">
        <f t="array" ref="Y32">IFERROR(VALUE(_xll.BDP($B32,"INTERVAL_MAE_MOV_AVG","CALC_INTERVAL","520D","TECH_STUDIES_PARAM1_OVERRIDE",65,"USE_PREVIOUS_BUSINESS_DAY","N")),"")</f>
        <v>4.2472000000000003</v>
      </c>
      <c r="Z32">
        <f t="shared" si="5"/>
        <v>6856.0226153846133</v>
      </c>
      <c r="AA32" cm="1">
        <f t="array" ref="AA32">IFERROR(VALUE(_xll.BDP($B32,"INTERVAL_MAE_MOV_AVG","CALC_INTERVAL","520D","TECH_STUDIES_PARAM1_OVERRIDE",65,"USE_PREVIOUS_BUSINESS_DAY","Y")),"")</f>
        <v>4.2656307692307696</v>
      </c>
      <c r="AB32">
        <f t="shared" si="6"/>
        <v>6852.6203076923057</v>
      </c>
      <c r="AC32">
        <f t="shared" si="20"/>
        <v>6.1948453764861715E-4</v>
      </c>
      <c r="AD32">
        <f t="shared" si="21"/>
        <v>6.2248170447185729E-4</v>
      </c>
      <c r="AE32" s="10" t="str">
        <f t="shared" si="22"/>
        <v>DOWN</v>
      </c>
      <c r="AF32" s="10" t="str">
        <f t="shared" si="23"/>
        <v>DOWN</v>
      </c>
      <c r="AG32" s="6" t="str">
        <f t="shared" si="24"/>
        <v>NEGATIVE</v>
      </c>
      <c r="AH32" cm="1">
        <f t="array" ref="AH32">IFERROR(VALUE(_xll.BDP($B32,"INTERVAL_MAE_MOV_AVG","CALC_INTERVAL","65W","PERIODICITY_OVERRIDE","W","TECH_STUDIES_PARAM1_OVERRIDE",39,"USE_PREVIOUS_BUSINESS_DAY","N")),"")</f>
        <v>3.6039743589743582</v>
      </c>
      <c r="AI32">
        <f t="shared" si="7"/>
        <v>6560.7735897435905</v>
      </c>
      <c r="AJ32" cm="1">
        <f t="array" ref="AJ32">IFERROR(VALUE(_xll.BDP($B32,"INTERVAL_MAE_MOV_AVG","CALC_INTERVAL","65W","PERIODICITY_OVERRIDE","W","TECH_STUDIES_PARAM1_OVERRIDE",39,"USE_PREVIOUS_BUSINESS_DAY","Y")),"")</f>
        <v>3.6028461538461527</v>
      </c>
      <c r="AK32">
        <f t="shared" si="8"/>
        <v>6560.7823076923087</v>
      </c>
      <c r="AL32">
        <f t="shared" si="25"/>
        <v>5.4932155631897208E-4</v>
      </c>
      <c r="AM32">
        <f t="shared" si="26"/>
        <v>5.491488644001997E-4</v>
      </c>
      <c r="AN32" s="10" t="str">
        <f t="shared" si="27"/>
        <v>UP</v>
      </c>
      <c r="AO32" s="10" t="str">
        <f t="shared" si="28"/>
        <v>UP</v>
      </c>
      <c r="AP32" s="6" t="str">
        <f t="shared" si="29"/>
        <v>NEGATIVE</v>
      </c>
      <c r="AQ32" cm="1">
        <f t="array" ref="AQ32">IFERROR(VALUE(_xll.BDP($B32,"INTERVAL_exp_MOV_AVG","CALC_INTERVAL","520D","TECH_STUDIES_PARAM1_OVERRIDE",100,"USE_PREVIOUS_BUSINESS_DAY","N")),"")</f>
        <v>3.9373181023009161</v>
      </c>
      <c r="AR32">
        <f t="shared" si="9"/>
        <v>6773.0064518682802</v>
      </c>
      <c r="AS32" cm="1">
        <f t="array" ref="AS32">IFERROR(VALUE(_xll.BDP($B32,"INTERVAL_exp_MOV_AVG","CALC_INTERVAL","520D","TECH_STUDIES_PARAM1_OVERRIDE",100,"USE_PREVIOUS_BUSINESS_DAY","Y")),"")</f>
        <v>3.9530429967737519</v>
      </c>
      <c r="AT32">
        <f t="shared" si="10"/>
        <v>6769.6039787132295</v>
      </c>
      <c r="AU32">
        <f t="shared" si="30"/>
        <v>5.8132501870197361E-4</v>
      </c>
      <c r="AV32">
        <f t="shared" si="31"/>
        <v>5.8394006639146841E-4</v>
      </c>
      <c r="AW32" s="11" t="str">
        <f t="shared" si="32"/>
        <v>DOWN</v>
      </c>
      <c r="AX32" s="11" t="str">
        <f t="shared" si="33"/>
        <v>DOWN</v>
      </c>
      <c r="AY32" s="6" t="str">
        <f t="shared" si="34"/>
        <v>NEGATIVE</v>
      </c>
      <c r="AZ32" s="12" cm="1">
        <f t="array" ref="AZ32">_xll.BDP($B32, "INTERVAL_RSI", "TECH_STUDIES_PARAM1_OVERRIDE", "5", "PERIODICITY_OVERRIDE", "W")</f>
        <v>38.166377335685489</v>
      </c>
      <c r="BA32" cm="1">
        <f t="array" ref="BA32">IFERROR(VALUE(_xll.BDP($B32,"INTERVAL_MAE_MOV_AVG","CALC_INTERVAL","520D","TECH_STUDIES_PARAM1_OVERRIDE",31,"USE_PREVIOUS_BUSINESS_DAY","N")),"")</f>
        <v>4.0019354838709669</v>
      </c>
      <c r="BB32" cm="1">
        <f t="array" ref="BB32">IFERROR(VALUE(_xll.BDP($B32,"INTERVAL_MAE_MOV_AVG","CALC_INTERVAL","760D","TECH_STUDIES_PARAM1_OVERRIDE",200,"USE_PREVIOUS_BUSINESS_DAY","N")),"")</f>
        <v>3.6117050000000019</v>
      </c>
      <c r="BC32" s="13">
        <f t="shared" si="35"/>
        <v>-0.19613896501692707</v>
      </c>
      <c r="BD32" s="13">
        <f t="shared" si="36"/>
        <v>-0.22812254064533455</v>
      </c>
      <c r="BE32" s="13">
        <f t="shared" si="37"/>
        <v>-0.10928494990593129</v>
      </c>
      <c r="BF32" s="14" cm="1">
        <f t="array" ref="BF32">VALUE(_xll.BDP($B32,"INTERVAL_DATE_OF_CALC_HI","CALC_INTERVAL","3M"))</f>
        <v>46050</v>
      </c>
      <c r="BG32" s="14" cm="1">
        <f t="array" ref="BG32">VALUE(_xll.BDP($B32,"INTERVAL_DATE_OF_CALC_LO","CALC_INTERVAL","3M"))</f>
        <v>46038</v>
      </c>
      <c r="BH32" s="14" cm="1">
        <f t="array" ref="BH32">VALUE(_xll.BDP($B32,"INTERVAL_DATE_OF_CALC_HI","CALC_INTERVAL","1M"))</f>
        <v>46050</v>
      </c>
      <c r="BI32" s="14" cm="1">
        <f t="array" ref="BI32">VALUE(_xll.BDP($B32,"INTERVAL_DATE_OF_CALC_LO","CALC_INTERVAL","1M"))</f>
        <v>46038</v>
      </c>
      <c r="BJ32" s="15">
        <f>$F32-MIN(_xll.BDP("NYA Index","RSI_14D"),_xll.BDP("RSP US Equity","RSI_14D"))</f>
        <v>-24.302898220020587</v>
      </c>
    </row>
    <row r="33" spans="1:62" x14ac:dyDescent="0.25">
      <c r="A33" s="11">
        <v>32</v>
      </c>
      <c r="B33" s="26" t="s">
        <v>576</v>
      </c>
      <c r="C33" s="1" t="s">
        <v>940</v>
      </c>
      <c r="D33" s="1" t="s">
        <v>552</v>
      </c>
      <c r="E33" s="11" t="s">
        <v>788</v>
      </c>
      <c r="F33">
        <f>IFERROR(VALUE((_xll.BDP($B33,"interval_rsi","tech_studies_param1_override",14))),"")</f>
        <v>46.918570104218823</v>
      </c>
      <c r="G33">
        <f t="shared" si="0"/>
        <v>52.525531939815814</v>
      </c>
      <c r="H33">
        <f t="shared" si="11"/>
        <v>0</v>
      </c>
      <c r="I33" cm="1">
        <f t="array" ref="I33">IFERROR(VALUE(_xll.BDP($B33,"px_last")),"")</f>
        <v>1728.5</v>
      </c>
      <c r="J33">
        <f t="shared" si="1"/>
        <v>6941.47</v>
      </c>
      <c r="K33" cm="1">
        <f t="array" ref="K33">IFERROR(VALUE(_xll.BDP($B33,"PX_YEST_CLOSE")),"")</f>
        <v>1742</v>
      </c>
      <c r="L33">
        <f t="shared" si="2"/>
        <v>6941.81</v>
      </c>
      <c r="M33">
        <f t="shared" si="12"/>
        <v>0.24901065624428254</v>
      </c>
      <c r="N33">
        <f t="shared" si="13"/>
        <v>0.25094319781152175</v>
      </c>
      <c r="O33" cm="1">
        <f t="array" ref="O33">IFERROR(VALUE(_xll.BDP($B33,"INTERVAL_MAE_MOV_AVG","CALC_INTERVAL","520D","TECH_STUDIES_PARAM1_OVERRIDE",50,"USE_PREVIOUS_BUSINESS_DAY","N")),"")</f>
        <v>1747.3659999999995</v>
      </c>
      <c r="P33">
        <f t="shared" si="3"/>
        <v>6894.0953999999992</v>
      </c>
      <c r="Q33" cm="1">
        <f t="array" ref="Q33">IFERROR(VALUE(_xll.BDP($B33,"INTERVAL_MAE_MOV_AVG","CALC_INTERVAL","520D","TECH_STUDIES_PARAM1_OVERRIDE",50,"USE_PREVIOUS_BUSINESS_DAY","Y")),"")</f>
        <v>1741.8979999999999</v>
      </c>
      <c r="R33">
        <f t="shared" si="4"/>
        <v>6892.2477999999992</v>
      </c>
      <c r="S33">
        <f t="shared" si="14"/>
        <v>0.25345834349782853</v>
      </c>
      <c r="T33">
        <f t="shared" si="15"/>
        <v>0.25273293278863246</v>
      </c>
      <c r="U33" s="11" t="str">
        <f t="shared" si="16"/>
        <v>NEGATIVE</v>
      </c>
      <c r="V33" s="11" t="str">
        <f t="shared" si="17"/>
        <v/>
      </c>
      <c r="W33" s="11" t="str">
        <f t="shared" si="18"/>
        <v>UP</v>
      </c>
      <c r="X33" s="6" t="str">
        <f t="shared" si="19"/>
        <v>NEGATIVE</v>
      </c>
      <c r="Y33" cm="1">
        <f t="array" ref="Y33">IFERROR(VALUE(_xll.BDP($B33,"INTERVAL_MAE_MOV_AVG","CALC_INTERVAL","520D","TECH_STUDIES_PARAM1_OVERRIDE",65,"USE_PREVIOUS_BUSINESS_DAY","N")),"")</f>
        <v>1674.2461538461534</v>
      </c>
      <c r="Z33">
        <f t="shared" si="5"/>
        <v>6856.0226153846133</v>
      </c>
      <c r="AA33" cm="1">
        <f t="array" ref="AA33">IFERROR(VALUE(_xll.BDP($B33,"INTERVAL_MAE_MOV_AVG","CALC_INTERVAL","520D","TECH_STUDIES_PARAM1_OVERRIDE",65,"USE_PREVIOUS_BUSINESS_DAY","Y")),"")</f>
        <v>1668.9061538461535</v>
      </c>
      <c r="AB33">
        <f t="shared" si="6"/>
        <v>6852.6203076923057</v>
      </c>
      <c r="AC33">
        <f t="shared" si="20"/>
        <v>0.24420079217492935</v>
      </c>
      <c r="AD33">
        <f t="shared" si="21"/>
        <v>0.24354277326189341</v>
      </c>
      <c r="AE33" s="10" t="str">
        <f t="shared" si="22"/>
        <v>UP</v>
      </c>
      <c r="AF33" s="10" t="str">
        <f t="shared" si="23"/>
        <v>UP</v>
      </c>
      <c r="AG33" s="6" t="str">
        <f t="shared" si="24"/>
        <v>POSITIVE</v>
      </c>
      <c r="AH33" cm="1">
        <f t="array" ref="AH33">IFERROR(VALUE(_xll.BDP($B33,"INTERVAL_MAE_MOV_AVG","CALC_INTERVAL","65W","PERIODICITY_OVERRIDE","W","TECH_STUDIES_PARAM1_OVERRIDE",39,"USE_PREVIOUS_BUSINESS_DAY","N")),"")</f>
        <v>1384.2256410256409</v>
      </c>
      <c r="AI33">
        <f t="shared" si="7"/>
        <v>6560.7735897435905</v>
      </c>
      <c r="AJ33" cm="1">
        <f t="array" ref="AJ33">IFERROR(VALUE(_xll.BDP($B33,"INTERVAL_MAE_MOV_AVG","CALC_INTERVAL","65W","PERIODICITY_OVERRIDE","W","TECH_STUDIES_PARAM1_OVERRIDE",39,"USE_PREVIOUS_BUSINESS_DAY","Y")),"")</f>
        <v>1383.9128205128204</v>
      </c>
      <c r="AK33">
        <f t="shared" si="8"/>
        <v>6560.7823076923087</v>
      </c>
      <c r="AL33">
        <f t="shared" si="25"/>
        <v>0.21098512577687345</v>
      </c>
      <c r="AM33">
        <f t="shared" si="26"/>
        <v>0.21093716505274479</v>
      </c>
      <c r="AN33" s="10" t="str">
        <f t="shared" si="27"/>
        <v>UP</v>
      </c>
      <c r="AO33" s="10" t="str">
        <f t="shared" si="28"/>
        <v>UP</v>
      </c>
      <c r="AP33" s="6" t="str">
        <f t="shared" si="29"/>
        <v>POSITIVE</v>
      </c>
      <c r="AQ33" cm="1">
        <f t="array" ref="AQ33">IFERROR(VALUE(_xll.BDP($B33,"INTERVAL_exp_MOV_AVG","CALC_INTERVAL","520D","TECH_STUDIES_PARAM1_OVERRIDE",100,"USE_PREVIOUS_BUSINESS_DAY","N")),"")</f>
        <v>1604.5773493561862</v>
      </c>
      <c r="AR33">
        <f t="shared" si="9"/>
        <v>6773.0064518682802</v>
      </c>
      <c r="AS33" cm="1">
        <f t="array" ref="AS33">IFERROR(VALUE(_xll.BDP($B33,"INTERVAL_exp_MOV_AVG","CALC_INTERVAL","520D","TECH_STUDIES_PARAM1_OVERRIDE",100,"USE_PREVIOUS_BUSINESS_DAY","Y")),"")</f>
        <v>1601.8003100220703</v>
      </c>
      <c r="AT33">
        <f t="shared" si="10"/>
        <v>6769.6039787132295</v>
      </c>
      <c r="AU33">
        <f t="shared" si="30"/>
        <v>0.23690769538741194</v>
      </c>
      <c r="AV33">
        <f t="shared" si="31"/>
        <v>0.23661654582142064</v>
      </c>
      <c r="AW33" s="11" t="str">
        <f t="shared" si="32"/>
        <v>UP</v>
      </c>
      <c r="AX33" s="11" t="str">
        <f t="shared" si="33"/>
        <v>UP</v>
      </c>
      <c r="AY33" s="6" t="str">
        <f t="shared" si="34"/>
        <v>POSITIVE</v>
      </c>
      <c r="AZ33" s="12" cm="1">
        <f t="array" ref="AZ33">_xll.BDP($B33, "INTERVAL_RSI", "TECH_STUDIES_PARAM1_OVERRIDE", "5", "PERIODICITY_OVERRIDE", "W")</f>
        <v>49.427063177922143</v>
      </c>
      <c r="BA33" cm="1">
        <f t="array" ref="BA33">IFERROR(VALUE(_xll.BDP($B33,"INTERVAL_MAE_MOV_AVG","CALC_INTERVAL","520D","TECH_STUDIES_PARAM1_OVERRIDE",31,"USE_PREVIOUS_BUSINESS_DAY","N")),"")</f>
        <v>1829.6064516129031</v>
      </c>
      <c r="BB33" cm="1">
        <f t="array" ref="BB33">IFERROR(VALUE(_xll.BDP($B33,"INTERVAL_MAE_MOV_AVG","CALC_INTERVAL","760D","TECH_STUDIES_PARAM1_OVERRIDE",200,"USE_PREVIOUS_BUSINESS_DAY","N")),"")</f>
        <v>1344.0329999999997</v>
      </c>
      <c r="BC33" s="13">
        <f t="shared" si="35"/>
        <v>-5.5261311263836044E-2</v>
      </c>
      <c r="BD33" s="13">
        <f t="shared" si="36"/>
        <v>-1.0796822188367861E-2</v>
      </c>
      <c r="BE33" s="13">
        <f t="shared" si="37"/>
        <v>0.28605473228707967</v>
      </c>
      <c r="BF33" s="14" cm="1">
        <f t="array" ref="BF33">VALUE(_xll.BDP($B33,"INTERVAL_DATE_OF_CALC_HI","CALC_INTERVAL","3M"))</f>
        <v>46048</v>
      </c>
      <c r="BG33" s="14" cm="1">
        <f t="array" ref="BG33">VALUE(_xll.BDP($B33,"INTERVAL_DATE_OF_CALC_LO","CALC_INTERVAL","3M"))</f>
        <v>45981</v>
      </c>
      <c r="BH33" s="14" cm="1">
        <f t="array" ref="BH33">VALUE(_xll.BDP($B33,"INTERVAL_DATE_OF_CALC_HI","CALC_INTERVAL","1M"))</f>
        <v>46048</v>
      </c>
      <c r="BI33" s="14" cm="1">
        <f t="array" ref="BI33">VALUE(_xll.BDP($B33,"INTERVAL_DATE_OF_CALC_LO","CALC_INTERVAL","1M"))</f>
        <v>46058</v>
      </c>
      <c r="BJ33" s="15">
        <f>$F33-MIN(_xll.BDP("NYA Index","RSI_14D"),_xll.BDP("RSP US Equity","RSI_14D"))</f>
        <v>-19.427194055937427</v>
      </c>
    </row>
    <row r="34" spans="1:62" x14ac:dyDescent="0.25">
      <c r="A34" s="11">
        <v>33</v>
      </c>
      <c r="B34" s="26" t="s">
        <v>577</v>
      </c>
      <c r="C34" s="1" t="s">
        <v>941</v>
      </c>
      <c r="D34" s="1" t="s">
        <v>552</v>
      </c>
      <c r="E34" s="11" t="s">
        <v>788</v>
      </c>
      <c r="F34">
        <f>IFERROR(VALUE((_xll.BDP($B34,"interval_rsi","tech_studies_param1_override",14))),"")</f>
        <v>46.009717963717378</v>
      </c>
      <c r="G34">
        <f t="shared" si="0"/>
        <v>52.525531939815814</v>
      </c>
      <c r="H34">
        <f t="shared" si="11"/>
        <v>0</v>
      </c>
      <c r="I34" cm="1">
        <f t="array" ref="I34">IFERROR(VALUE(_xll.BDP($B34,"px_last")),"")</f>
        <v>2136.5</v>
      </c>
      <c r="J34">
        <f t="shared" si="1"/>
        <v>6941.47</v>
      </c>
      <c r="K34" cm="1">
        <f t="array" ref="K34">IFERROR(VALUE(_xll.BDP($B34,"PX_YEST_CLOSE")),"")</f>
        <v>2145.7000000000003</v>
      </c>
      <c r="L34">
        <f t="shared" si="2"/>
        <v>6941.81</v>
      </c>
      <c r="M34">
        <f t="shared" si="12"/>
        <v>0.30778783168406693</v>
      </c>
      <c r="N34">
        <f t="shared" si="13"/>
        <v>0.3090980594398291</v>
      </c>
      <c r="O34" cm="1">
        <f t="array" ref="O34">IFERROR(VALUE(_xll.BDP($B34,"INTERVAL_MAE_MOV_AVG","CALC_INTERVAL","520D","TECH_STUDIES_PARAM1_OVERRIDE",50,"USE_PREVIOUS_BUSINESS_DAY","N")),"")</f>
        <v>2143.4339999999997</v>
      </c>
      <c r="P34">
        <f t="shared" si="3"/>
        <v>6894.0953999999992</v>
      </c>
      <c r="Q34" cm="1">
        <f t="array" ref="Q34">IFERROR(VALUE(_xll.BDP($B34,"INTERVAL_MAE_MOV_AVG","CALC_INTERVAL","520D","TECH_STUDIES_PARAM1_OVERRIDE",50,"USE_PREVIOUS_BUSINESS_DAY","Y")),"")</f>
        <v>2134.2199999999993</v>
      </c>
      <c r="R34">
        <f t="shared" si="4"/>
        <v>6892.2477999999992</v>
      </c>
      <c r="S34">
        <f t="shared" si="14"/>
        <v>0.31090866540663187</v>
      </c>
      <c r="T34">
        <f t="shared" si="15"/>
        <v>0.30965514617741974</v>
      </c>
      <c r="U34" s="11" t="str">
        <f t="shared" si="16"/>
        <v>NEGATIVE</v>
      </c>
      <c r="V34" s="11" t="str">
        <f t="shared" si="17"/>
        <v/>
      </c>
      <c r="W34" s="11" t="str">
        <f t="shared" si="18"/>
        <v>UP</v>
      </c>
      <c r="X34" s="6" t="str">
        <f t="shared" si="19"/>
        <v>NEGATIVE</v>
      </c>
      <c r="Y34" cm="1">
        <f t="array" ref="Y34">IFERROR(VALUE(_xll.BDP($B34,"INTERVAL_MAE_MOV_AVG","CALC_INTERVAL","520D","TECH_STUDIES_PARAM1_OVERRIDE",65,"USE_PREVIOUS_BUSINESS_DAY","N")),"")</f>
        <v>2012.7538461538459</v>
      </c>
      <c r="Z34">
        <f t="shared" si="5"/>
        <v>6856.0226153846133</v>
      </c>
      <c r="AA34" cm="1">
        <f t="array" ref="AA34">IFERROR(VALUE(_xll.BDP($B34,"INTERVAL_MAE_MOV_AVG","CALC_INTERVAL","520D","TECH_STUDIES_PARAM1_OVERRIDE",65,"USE_PREVIOUS_BUSINESS_DAY","Y")),"")</f>
        <v>2003.3984615384611</v>
      </c>
      <c r="AB34">
        <f t="shared" si="6"/>
        <v>6852.6203076923057</v>
      </c>
      <c r="AC34">
        <f t="shared" si="20"/>
        <v>0.29357456342651417</v>
      </c>
      <c r="AD34">
        <f t="shared" si="21"/>
        <v>0.29235509507065149</v>
      </c>
      <c r="AE34" s="10" t="str">
        <f t="shared" si="22"/>
        <v>UP</v>
      </c>
      <c r="AF34" s="10" t="str">
        <f t="shared" si="23"/>
        <v>UP</v>
      </c>
      <c r="AG34" s="6" t="str">
        <f t="shared" si="24"/>
        <v>POSITIVE</v>
      </c>
      <c r="AH34" cm="1">
        <f t="array" ref="AH34">IFERROR(VALUE(_xll.BDP($B34,"INTERVAL_MAE_MOV_AVG","CALC_INTERVAL","65W","PERIODICITY_OVERRIDE","W","TECH_STUDIES_PARAM1_OVERRIDE",39,"USE_PREVIOUS_BUSINESS_DAY","N")),"")</f>
        <v>1624.5</v>
      </c>
      <c r="AI34">
        <f t="shared" si="7"/>
        <v>6560.7735897435905</v>
      </c>
      <c r="AJ34" cm="1">
        <f t="array" ref="AJ34">IFERROR(VALUE(_xll.BDP($B34,"INTERVAL_MAE_MOV_AVG","CALC_INTERVAL","65W","PERIODICITY_OVERRIDE","W","TECH_STUDIES_PARAM1_OVERRIDE",39,"USE_PREVIOUS_BUSINESS_DAY","Y")),"")</f>
        <v>1623.3410256410257</v>
      </c>
      <c r="AK34">
        <f t="shared" si="8"/>
        <v>6560.7823076923087</v>
      </c>
      <c r="AL34">
        <f t="shared" si="25"/>
        <v>0.24760799588322466</v>
      </c>
      <c r="AM34">
        <f t="shared" si="26"/>
        <v>0.24743101500833367</v>
      </c>
      <c r="AN34" s="10" t="str">
        <f t="shared" si="27"/>
        <v>UP</v>
      </c>
      <c r="AO34" s="10" t="str">
        <f t="shared" si="28"/>
        <v>UP</v>
      </c>
      <c r="AP34" s="6" t="str">
        <f t="shared" si="29"/>
        <v>POSITIVE</v>
      </c>
      <c r="AQ34" cm="1">
        <f t="array" ref="AQ34">IFERROR(VALUE(_xll.BDP($B34,"INTERVAL_exp_MOV_AVG","CALC_INTERVAL","520D","TECH_STUDIES_PARAM1_OVERRIDE",100,"USE_PREVIOUS_BUSINESS_DAY","N")),"")</f>
        <v>1929.8874803419812</v>
      </c>
      <c r="AR34">
        <f t="shared" si="9"/>
        <v>6773.0064518682802</v>
      </c>
      <c r="AS34" cm="1">
        <f t="array" ref="AS34">IFERROR(VALUE(_xll.BDP($B34,"INTERVAL_exp_MOV_AVG","CALC_INTERVAL","520D","TECH_STUDIES_PARAM1_OVERRIDE",100,"USE_PREVIOUS_BUSINESS_DAY","Y")),"")</f>
        <v>1925.5272656768673</v>
      </c>
      <c r="AT34">
        <f t="shared" si="10"/>
        <v>6769.6039787132295</v>
      </c>
      <c r="AU34">
        <f t="shared" si="30"/>
        <v>0.28493808385634078</v>
      </c>
      <c r="AV34">
        <f t="shared" si="31"/>
        <v>0.28443720958147878</v>
      </c>
      <c r="AW34" s="11" t="str">
        <f t="shared" si="32"/>
        <v>UP</v>
      </c>
      <c r="AX34" s="11" t="str">
        <f t="shared" si="33"/>
        <v>UP</v>
      </c>
      <c r="AY34" s="6" t="str">
        <f t="shared" si="34"/>
        <v>POSITIVE</v>
      </c>
      <c r="AZ34" s="12" cm="1">
        <f t="array" ref="AZ34">_xll.BDP($B34, "INTERVAL_RSI", "TECH_STUDIES_PARAM1_OVERRIDE", "5", "PERIODICITY_OVERRIDE", "W")</f>
        <v>49.479973021046938</v>
      </c>
      <c r="BA34" cm="1">
        <f t="array" ref="BA34">IFERROR(VALUE(_xll.BDP($B34,"INTERVAL_MAE_MOV_AVG","CALC_INTERVAL","520D","TECH_STUDIES_PARAM1_OVERRIDE",31,"USE_PREVIOUS_BUSINESS_DAY","N")),"")</f>
        <v>2311.9838709677424</v>
      </c>
      <c r="BB34" cm="1">
        <f t="array" ref="BB34">IFERROR(VALUE(_xll.BDP($B34,"INTERVAL_MAE_MOV_AVG","CALC_INTERVAL","760D","TECH_STUDIES_PARAM1_OVERRIDE",200,"USE_PREVIOUS_BUSINESS_DAY","N")),"")</f>
        <v>1563.5365000000011</v>
      </c>
      <c r="BC34" s="13">
        <f t="shared" si="35"/>
        <v>-7.5901857781684678E-2</v>
      </c>
      <c r="BD34" s="13">
        <f t="shared" si="36"/>
        <v>-3.2349958057956707E-3</v>
      </c>
      <c r="BE34" s="13">
        <f t="shared" si="37"/>
        <v>0.36645354937348662</v>
      </c>
      <c r="BF34" s="14" cm="1">
        <f t="array" ref="BF34">VALUE(_xll.BDP($B34,"INTERVAL_DATE_OF_CALC_HI","CALC_INTERVAL","3M"))</f>
        <v>46048</v>
      </c>
      <c r="BG34" s="14" cm="1">
        <f t="array" ref="BG34">VALUE(_xll.BDP($B34,"INTERVAL_DATE_OF_CALC_LO","CALC_INTERVAL","3M"))</f>
        <v>45981</v>
      </c>
      <c r="BH34" s="14" cm="1">
        <f t="array" ref="BH34">VALUE(_xll.BDP($B34,"INTERVAL_DATE_OF_CALC_HI","CALC_INTERVAL","1M"))</f>
        <v>46048</v>
      </c>
      <c r="BI34" s="14" cm="1">
        <f t="array" ref="BI34">VALUE(_xll.BDP($B34,"INTERVAL_DATE_OF_CALC_LO","CALC_INTERVAL","1M"))</f>
        <v>46058</v>
      </c>
      <c r="BJ34" s="15">
        <f>$F34-MIN(_xll.BDP("NYA Index","RSI_14D"),_xll.BDP("RSP US Equity","RSI_14D"))</f>
        <v>-20.336046196438872</v>
      </c>
    </row>
    <row r="35" spans="1:62" x14ac:dyDescent="0.25">
      <c r="A35" s="11">
        <v>34</v>
      </c>
      <c r="B35" s="26" t="s">
        <v>578</v>
      </c>
      <c r="C35" s="1" t="s">
        <v>579</v>
      </c>
      <c r="D35" s="1" t="s">
        <v>552</v>
      </c>
      <c r="E35" s="11" t="s">
        <v>788</v>
      </c>
      <c r="F35">
        <f>IFERROR(VALUE((_xll.BDP($B35,"interval_rsi","tech_studies_param1_override",14))),"")</f>
        <v>63.923288802385663</v>
      </c>
      <c r="G35">
        <f t="shared" si="0"/>
        <v>52.525531939815814</v>
      </c>
      <c r="H35">
        <f t="shared" si="11"/>
        <v>1</v>
      </c>
      <c r="I35" cm="1">
        <f t="array" ref="I35">IFERROR(VALUE(_xll.BDP($B35,"px_last")),"")</f>
        <v>11.135</v>
      </c>
      <c r="J35">
        <f t="shared" si="1"/>
        <v>6941.47</v>
      </c>
      <c r="K35" cm="1">
        <f t="array" ref="K35">IFERROR(VALUE(_xll.BDP($B35,"PX_YEST_CLOSE")),"")</f>
        <v>11.135</v>
      </c>
      <c r="L35">
        <f t="shared" si="2"/>
        <v>6941.81</v>
      </c>
      <c r="M35">
        <f t="shared" si="12"/>
        <v>1.6041270797107817E-3</v>
      </c>
      <c r="N35">
        <f t="shared" si="13"/>
        <v>1.6040485118434529E-3</v>
      </c>
      <c r="O35" cm="1">
        <f t="array" ref="O35">IFERROR(VALUE(_xll.BDP($B35,"INTERVAL_MAE_MOV_AVG","CALC_INTERVAL","520D","TECH_STUDIES_PARAM1_OVERRIDE",50,"USE_PREVIOUS_BUSINESS_DAY","N")),"")</f>
        <v>10.289300000000001</v>
      </c>
      <c r="P35">
        <f t="shared" si="3"/>
        <v>6894.0953999999992</v>
      </c>
      <c r="Q35" cm="1">
        <f t="array" ref="Q35">IFERROR(VALUE(_xll.BDP($B35,"INTERVAL_MAE_MOV_AVG","CALC_INTERVAL","520D","TECH_STUDIES_PARAM1_OVERRIDE",50,"USE_PREVIOUS_BUSINESS_DAY","Y")),"")</f>
        <v>10.268100000000002</v>
      </c>
      <c r="R35">
        <f t="shared" si="4"/>
        <v>6892.2477999999992</v>
      </c>
      <c r="S35">
        <f t="shared" si="14"/>
        <v>1.4924800721498577E-3</v>
      </c>
      <c r="T35">
        <f t="shared" si="15"/>
        <v>1.4898042406426542E-3</v>
      </c>
      <c r="U35" s="11" t="str">
        <f t="shared" si="16"/>
        <v>POSITIVE</v>
      </c>
      <c r="V35" s="11" t="str">
        <f t="shared" si="17"/>
        <v/>
      </c>
      <c r="W35" s="11" t="str">
        <f t="shared" si="18"/>
        <v>UP</v>
      </c>
      <c r="X35" s="6" t="str">
        <f t="shared" si="19"/>
        <v>POSITIVE</v>
      </c>
      <c r="Y35" cm="1">
        <f t="array" ref="Y35">IFERROR(VALUE(_xll.BDP($B35,"INTERVAL_MAE_MOV_AVG","CALC_INTERVAL","520D","TECH_STUDIES_PARAM1_OVERRIDE",65,"USE_PREVIOUS_BUSINESS_DAY","N")),"")</f>
        <v>10.271769230769232</v>
      </c>
      <c r="Z35">
        <f t="shared" si="5"/>
        <v>6856.0226153846133</v>
      </c>
      <c r="AA35" cm="1">
        <f t="array" ref="AA35">IFERROR(VALUE(_xll.BDP($B35,"INTERVAL_MAE_MOV_AVG","CALC_INTERVAL","520D","TECH_STUDIES_PARAM1_OVERRIDE",65,"USE_PREVIOUS_BUSINESS_DAY","Y")),"")</f>
        <v>10.254538461538463</v>
      </c>
      <c r="AB35">
        <f t="shared" si="6"/>
        <v>6852.6203076923057</v>
      </c>
      <c r="AC35">
        <f t="shared" si="20"/>
        <v>1.4982111067895012E-3</v>
      </c>
      <c r="AD35">
        <f t="shared" si="21"/>
        <v>1.4964404856967466E-3</v>
      </c>
      <c r="AE35" s="10" t="str">
        <f t="shared" si="22"/>
        <v>UP</v>
      </c>
      <c r="AF35" s="10" t="str">
        <f t="shared" si="23"/>
        <v>UP</v>
      </c>
      <c r="AG35" s="6" t="str">
        <f t="shared" si="24"/>
        <v>POSITIVE</v>
      </c>
      <c r="AH35" cm="1">
        <f t="array" ref="AH35">IFERROR(VALUE(_xll.BDP($B35,"INTERVAL_MAE_MOV_AVG","CALC_INTERVAL","65W","PERIODICITY_OVERRIDE","W","TECH_STUDIES_PARAM1_OVERRIDE",39,"USE_PREVIOUS_BUSINESS_DAY","N")),"")</f>
        <v>11.391282051282053</v>
      </c>
      <c r="AI35">
        <f t="shared" si="7"/>
        <v>6560.7735897435905</v>
      </c>
      <c r="AJ35" cm="1">
        <f t="array" ref="AJ35">IFERROR(VALUE(_xll.BDP($B35,"INTERVAL_MAE_MOV_AVG","CALC_INTERVAL","65W","PERIODICITY_OVERRIDE","W","TECH_STUDIES_PARAM1_OVERRIDE",39,"USE_PREVIOUS_BUSINESS_DAY","Y")),"")</f>
        <v>11.393717948717949</v>
      </c>
      <c r="AK35">
        <f t="shared" si="8"/>
        <v>6560.7823076923087</v>
      </c>
      <c r="AL35">
        <f t="shared" si="25"/>
        <v>1.7362711722120636E-3</v>
      </c>
      <c r="AM35">
        <f t="shared" si="26"/>
        <v>1.736640146611659E-3</v>
      </c>
      <c r="AN35" s="10" t="str">
        <f t="shared" si="27"/>
        <v>DOWN</v>
      </c>
      <c r="AO35" s="10" t="str">
        <f t="shared" si="28"/>
        <v>DOWN</v>
      </c>
      <c r="AP35" s="6" t="str">
        <f t="shared" si="29"/>
        <v>NEGATIVE</v>
      </c>
      <c r="AQ35" cm="1">
        <f t="array" ref="AQ35">IFERROR(VALUE(_xll.BDP($B35,"INTERVAL_exp_MOV_AVG","CALC_INTERVAL","520D","TECH_STUDIES_PARAM1_OVERRIDE",100,"USE_PREVIOUS_BUSINESS_DAY","N")),"")</f>
        <v>10.719561673017493</v>
      </c>
      <c r="AR35">
        <f t="shared" si="9"/>
        <v>6773.0064518682802</v>
      </c>
      <c r="AS35" cm="1">
        <f t="array" ref="AS35">IFERROR(VALUE(_xll.BDP($B35,"INTERVAL_exp_MOV_AVG","CALC_INTERVAL","520D","TECH_STUDIES_PARAM1_OVERRIDE",100,"USE_PREVIOUS_BUSINESS_DAY","Y")),"")</f>
        <v>10.711168516526474</v>
      </c>
      <c r="AT35">
        <f t="shared" si="10"/>
        <v>6769.6039787132295</v>
      </c>
      <c r="AU35">
        <f t="shared" si="30"/>
        <v>1.5826888323811632E-3</v>
      </c>
      <c r="AV35">
        <f t="shared" si="31"/>
        <v>1.5822444784373427E-3</v>
      </c>
      <c r="AW35" s="11" t="str">
        <f t="shared" si="32"/>
        <v>UP</v>
      </c>
      <c r="AX35" s="11" t="str">
        <f t="shared" si="33"/>
        <v>UP</v>
      </c>
      <c r="AY35" s="6" t="str">
        <f t="shared" si="34"/>
        <v>POSITIVE</v>
      </c>
      <c r="AZ35" s="12" cm="1">
        <f t="array" ref="AZ35">_xll.BDP($B35, "INTERVAL_RSI", "TECH_STUDIES_PARAM1_OVERRIDE", "5", "PERIODICITY_OVERRIDE", "W")</f>
        <v>74.337909553406774</v>
      </c>
      <c r="BA35" cm="1">
        <f t="array" ref="BA35">IFERROR(VALUE(_xll.BDP($B35,"INTERVAL_MAE_MOV_AVG","CALC_INTERVAL","520D","TECH_STUDIES_PARAM1_OVERRIDE",31,"USE_PREVIOUS_BUSINESS_DAY","N")),"")</f>
        <v>10.548064516129033</v>
      </c>
      <c r="BB35" cm="1">
        <f t="array" ref="BB35">IFERROR(VALUE(_xll.BDP($B35,"INTERVAL_MAE_MOV_AVG","CALC_INTERVAL","760D","TECH_STUDIES_PARAM1_OVERRIDE",200,"USE_PREVIOUS_BUSINESS_DAY","N")),"")</f>
        <v>11.506075000000001</v>
      </c>
      <c r="BC35" s="13">
        <f t="shared" si="35"/>
        <v>5.5643903483286961E-2</v>
      </c>
      <c r="BD35" s="13">
        <f t="shared" si="36"/>
        <v>8.2192180226059897E-2</v>
      </c>
      <c r="BE35" s="13">
        <f t="shared" si="37"/>
        <v>-3.225035470392823E-2</v>
      </c>
      <c r="BF35" s="14" cm="1">
        <f t="array" ref="BF35">VALUE(_xll.BDP($B35,"INTERVAL_DATE_OF_CALC_HI","CALC_INTERVAL","3M"))</f>
        <v>46058</v>
      </c>
      <c r="BG35" s="14" cm="1">
        <f t="array" ref="BG35">VALUE(_xll.BDP($B35,"INTERVAL_DATE_OF_CALC_LO","CALC_INTERVAL","3M"))</f>
        <v>46008</v>
      </c>
      <c r="BH35" s="14" cm="1">
        <f t="array" ref="BH35">VALUE(_xll.BDP($B35,"INTERVAL_DATE_OF_CALC_HI","CALC_INTERVAL","1M"))</f>
        <v>46058</v>
      </c>
      <c r="BI35" s="14" cm="1">
        <f t="array" ref="BI35">VALUE(_xll.BDP($B35,"INTERVAL_DATE_OF_CALC_LO","CALC_INTERVAL","1M"))</f>
        <v>46034</v>
      </c>
      <c r="BJ35" s="15">
        <f>$F35-MIN(_xll.BDP("NYA Index","RSI_14D"),_xll.BDP("RSP US Equity","RSI_14D"))</f>
        <v>-2.4224753577705869</v>
      </c>
    </row>
    <row r="36" spans="1:62" x14ac:dyDescent="0.25">
      <c r="A36" s="11">
        <v>35</v>
      </c>
      <c r="B36" s="26" t="s">
        <v>580</v>
      </c>
      <c r="C36" s="1" t="s">
        <v>942</v>
      </c>
      <c r="D36" s="1" t="s">
        <v>552</v>
      </c>
      <c r="E36" s="11" t="s">
        <v>788</v>
      </c>
      <c r="F36">
        <f>IFERROR(VALUE((_xll.BDP($B36,"interval_rsi","tech_studies_param1_override",14))),"")</f>
        <v>70.693504856416922</v>
      </c>
      <c r="G36">
        <f t="shared" si="0"/>
        <v>52.525531939815814</v>
      </c>
      <c r="H36">
        <f t="shared" si="11"/>
        <v>1</v>
      </c>
      <c r="I36" cm="1">
        <f t="array" ref="I36">IFERROR(VALUE(_xll.BDP($B36,"px_last")),"")</f>
        <v>1124</v>
      </c>
      <c r="J36">
        <f t="shared" si="1"/>
        <v>6941.47</v>
      </c>
      <c r="K36" cm="1">
        <f t="array" ref="K36">IFERROR(VALUE(_xll.BDP($B36,"PX_YEST_CLOSE")),"")</f>
        <v>1124</v>
      </c>
      <c r="L36">
        <f t="shared" si="2"/>
        <v>6941.81</v>
      </c>
      <c r="M36">
        <f t="shared" si="12"/>
        <v>0.16192535586842555</v>
      </c>
      <c r="N36">
        <f t="shared" si="13"/>
        <v>0.16191742499434583</v>
      </c>
      <c r="O36" cm="1">
        <f t="array" ref="O36">IFERROR(VALUE(_xll.BDP($B36,"INTERVAL_MAE_MOV_AVG","CALC_INTERVAL","520D","TECH_STUDIES_PARAM1_OVERRIDE",50,"USE_PREVIOUS_BUSINESS_DAY","N")),"")</f>
        <v>1070.8050000000001</v>
      </c>
      <c r="P36">
        <f t="shared" si="3"/>
        <v>6894.0953999999992</v>
      </c>
      <c r="Q36" cm="1">
        <f t="array" ref="Q36">IFERROR(VALUE(_xll.BDP($B36,"INTERVAL_MAE_MOV_AVG","CALC_INTERVAL","520D","TECH_STUDIES_PARAM1_OVERRIDE",50,"USE_PREVIOUS_BUSINESS_DAY","Y")),"")</f>
        <v>1071.08</v>
      </c>
      <c r="R36">
        <f t="shared" si="4"/>
        <v>6892.2477999999992</v>
      </c>
      <c r="S36">
        <f t="shared" si="14"/>
        <v>0.15532204558701063</v>
      </c>
      <c r="T36">
        <f t="shared" si="15"/>
        <v>0.15540358255836362</v>
      </c>
      <c r="U36" s="11" t="str">
        <f t="shared" si="16"/>
        <v>POSITIVE</v>
      </c>
      <c r="V36" s="11" t="str">
        <f t="shared" si="17"/>
        <v/>
      </c>
      <c r="W36" s="11" t="str">
        <f t="shared" si="18"/>
        <v>DOWN</v>
      </c>
      <c r="X36" s="6" t="str">
        <f t="shared" si="19"/>
        <v>POSITIVE</v>
      </c>
      <c r="Y36" cm="1">
        <f t="array" ref="Y36">IFERROR(VALUE(_xll.BDP($B36,"INTERVAL_MAE_MOV_AVG","CALC_INTERVAL","520D","TECH_STUDIES_PARAM1_OVERRIDE",65,"USE_PREVIOUS_BUSINESS_DAY","N")),"")</f>
        <v>1083.8192307692309</v>
      </c>
      <c r="Z36">
        <f t="shared" si="5"/>
        <v>6856.0226153846133</v>
      </c>
      <c r="AA36" cm="1">
        <f t="array" ref="AA36">IFERROR(VALUE(_xll.BDP($B36,"INTERVAL_MAE_MOV_AVG","CALC_INTERVAL","520D","TECH_STUDIES_PARAM1_OVERRIDE",65,"USE_PREVIOUS_BUSINESS_DAY","Y")),"")</f>
        <v>1083.323076923077</v>
      </c>
      <c r="AB36">
        <f t="shared" si="6"/>
        <v>6852.6203076923057</v>
      </c>
      <c r="AC36">
        <f t="shared" si="20"/>
        <v>0.15808279691744134</v>
      </c>
      <c r="AD36">
        <f t="shared" si="21"/>
        <v>0.15808888108203062</v>
      </c>
      <c r="AE36" s="10" t="str">
        <f t="shared" si="22"/>
        <v>UP</v>
      </c>
      <c r="AF36" s="10" t="str">
        <f t="shared" si="23"/>
        <v>DOWN</v>
      </c>
      <c r="AG36" s="6" t="str">
        <f t="shared" si="24"/>
        <v>POSITIVE</v>
      </c>
      <c r="AH36" cm="1">
        <f t="array" ref="AH36">IFERROR(VALUE(_xll.BDP($B36,"INTERVAL_MAE_MOV_AVG","CALC_INTERVAL","65W","PERIODICITY_OVERRIDE","W","TECH_STUDIES_PARAM1_OVERRIDE",39,"USE_PREVIOUS_BUSINESS_DAY","N")),"")</f>
        <v>1050.4358974358975</v>
      </c>
      <c r="AI36">
        <f t="shared" si="7"/>
        <v>6560.7735897435905</v>
      </c>
      <c r="AJ36" cm="1">
        <f t="array" ref="AJ36">IFERROR(VALUE(_xll.BDP($B36,"INTERVAL_MAE_MOV_AVG","CALC_INTERVAL","65W","PERIODICITY_OVERRIDE","W","TECH_STUDIES_PARAM1_OVERRIDE",39,"USE_PREVIOUS_BUSINESS_DAY","Y")),"")</f>
        <v>1050.3974358974358</v>
      </c>
      <c r="AK36">
        <f t="shared" si="8"/>
        <v>6560.7823076923087</v>
      </c>
      <c r="AL36">
        <f t="shared" si="25"/>
        <v>0.16010854254718318</v>
      </c>
      <c r="AM36">
        <f t="shared" si="26"/>
        <v>0.16010246745512013</v>
      </c>
      <c r="AN36" s="10" t="str">
        <f t="shared" si="27"/>
        <v>UP</v>
      </c>
      <c r="AO36" s="10" t="str">
        <f t="shared" si="28"/>
        <v>UP</v>
      </c>
      <c r="AP36" s="6" t="str">
        <f t="shared" si="29"/>
        <v>POSITIVE</v>
      </c>
      <c r="AQ36" cm="1">
        <f t="array" ref="AQ36">IFERROR(VALUE(_xll.BDP($B36,"INTERVAL_exp_MOV_AVG","CALC_INTERVAL","520D","TECH_STUDIES_PARAM1_OVERRIDE",100,"USE_PREVIOUS_BUSINESS_DAY","N")),"")</f>
        <v>1066.2337639384423</v>
      </c>
      <c r="AR36">
        <f t="shared" si="9"/>
        <v>6773.0064518682802</v>
      </c>
      <c r="AS36" cm="1">
        <f t="array" ref="AS36">IFERROR(VALUE(_xll.BDP($B36,"INTERVAL_exp_MOV_AVG","CALC_INTERVAL","520D","TECH_STUDIES_PARAM1_OVERRIDE",100,"USE_PREVIOUS_BUSINESS_DAY","Y")),"")</f>
        <v>1065.0671512592498</v>
      </c>
      <c r="AT36">
        <f t="shared" si="10"/>
        <v>6769.6039787132295</v>
      </c>
      <c r="AU36">
        <f t="shared" si="30"/>
        <v>0.15742399944773863</v>
      </c>
      <c r="AV36">
        <f t="shared" si="31"/>
        <v>0.15733079137395839</v>
      </c>
      <c r="AW36" s="11" t="str">
        <f t="shared" si="32"/>
        <v>UP</v>
      </c>
      <c r="AX36" s="11" t="str">
        <f t="shared" si="33"/>
        <v>UP</v>
      </c>
      <c r="AY36" s="6" t="str">
        <f t="shared" si="34"/>
        <v>POSITIVE</v>
      </c>
      <c r="AZ36" s="12" cm="1">
        <f t="array" ref="AZ36">_xll.BDP($B36, "INTERVAL_RSI", "TECH_STUDIES_PARAM1_OVERRIDE", "5", "PERIODICITY_OVERRIDE", "W")</f>
        <v>76.335798199951427</v>
      </c>
      <c r="BA36" cm="1">
        <f t="array" ref="BA36">IFERROR(VALUE(_xll.BDP($B36,"INTERVAL_MAE_MOV_AVG","CALC_INTERVAL","520D","TECH_STUDIES_PARAM1_OVERRIDE",31,"USE_PREVIOUS_BUSINESS_DAY","N")),"")</f>
        <v>1063.983870967742</v>
      </c>
      <c r="BB36" cm="1">
        <f t="array" ref="BB36">IFERROR(VALUE(_xll.BDP($B36,"INTERVAL_MAE_MOV_AVG","CALC_INTERVAL","760D","TECH_STUDIES_PARAM1_OVERRIDE",200,"USE_PREVIOUS_BUSINESS_DAY","N")),"")</f>
        <v>1048.0875000000001</v>
      </c>
      <c r="BC36" s="13">
        <f t="shared" si="35"/>
        <v>5.6406991374475135E-2</v>
      </c>
      <c r="BD36" s="13">
        <f t="shared" si="36"/>
        <v>4.9677579017654905E-2</v>
      </c>
      <c r="BE36" s="13">
        <f t="shared" si="37"/>
        <v>7.242954428900239E-2</v>
      </c>
      <c r="BF36" s="14" cm="1">
        <f t="array" ref="BF36">VALUE(_xll.BDP($B36,"INTERVAL_DATE_OF_CALC_HI","CALC_INTERVAL","3M"))</f>
        <v>45978</v>
      </c>
      <c r="BG36" s="14" cm="1">
        <f t="array" ref="BG36">VALUE(_xll.BDP($B36,"INTERVAL_DATE_OF_CALC_LO","CALC_INTERVAL","3M"))</f>
        <v>46035</v>
      </c>
      <c r="BH36" s="14" cm="1">
        <f t="array" ref="BH36">VALUE(_xll.BDP($B36,"INTERVAL_DATE_OF_CALC_HI","CALC_INTERVAL","1M"))</f>
        <v>46064</v>
      </c>
      <c r="BI36" s="14" cm="1">
        <f t="array" ref="BI36">VALUE(_xll.BDP($B36,"INTERVAL_DATE_OF_CALC_LO","CALC_INTERVAL","1M"))</f>
        <v>46035</v>
      </c>
      <c r="BJ36" s="15">
        <f>$F36-MIN(_xll.BDP("NYA Index","RSI_14D"),_xll.BDP("RSP US Equity","RSI_14D"))</f>
        <v>4.3477406962606722</v>
      </c>
    </row>
    <row r="37" spans="1:62" x14ac:dyDescent="0.25">
      <c r="A37" s="11">
        <v>36</v>
      </c>
      <c r="B37" s="26" t="s">
        <v>581</v>
      </c>
      <c r="C37" s="1" t="s">
        <v>582</v>
      </c>
      <c r="D37" s="1" t="s">
        <v>552</v>
      </c>
      <c r="E37" s="11" t="s">
        <v>788</v>
      </c>
      <c r="F37">
        <f>IFERROR(VALUE((_xll.BDP($B37,"interval_rsi","tech_studies_param1_override",14))),"")</f>
        <v>35.468780514661816</v>
      </c>
      <c r="G37">
        <f t="shared" si="0"/>
        <v>52.525531939815814</v>
      </c>
      <c r="H37">
        <f t="shared" si="11"/>
        <v>0</v>
      </c>
      <c r="I37" cm="1">
        <f t="array" ref="I37">IFERROR(VALUE(_xll.BDP($B37,"px_last")),"")</f>
        <v>13.84</v>
      </c>
      <c r="J37">
        <f t="shared" si="1"/>
        <v>6941.47</v>
      </c>
      <c r="K37" cm="1">
        <f t="array" ref="K37">IFERROR(VALUE(_xll.BDP($B37,"PX_YEST_CLOSE")),"")</f>
        <v>13.84</v>
      </c>
      <c r="L37">
        <f t="shared" si="2"/>
        <v>6941.81</v>
      </c>
      <c r="M37">
        <f t="shared" si="12"/>
        <v>1.9938139904083717E-3</v>
      </c>
      <c r="N37">
        <f t="shared" si="13"/>
        <v>1.9937163362293117E-3</v>
      </c>
      <c r="O37" cm="1">
        <f t="array" ref="O37">IFERROR(VALUE(_xll.BDP($B37,"INTERVAL_MAE_MOV_AVG","CALC_INTERVAL","520D","TECH_STUDIES_PARAM1_OVERRIDE",50,"USE_PREVIOUS_BUSINESS_DAY","N")),"")</f>
        <v>14.752600000000003</v>
      </c>
      <c r="P37">
        <f t="shared" si="3"/>
        <v>6894.0953999999992</v>
      </c>
      <c r="Q37" cm="1">
        <f t="array" ref="Q37">IFERROR(VALUE(_xll.BDP($B37,"INTERVAL_MAE_MOV_AVG","CALC_INTERVAL","520D","TECH_STUDIES_PARAM1_OVERRIDE",50,"USE_PREVIOUS_BUSINESS_DAY","Y")),"")</f>
        <v>14.780000000000003</v>
      </c>
      <c r="R37">
        <f t="shared" si="4"/>
        <v>6892.2477999999992</v>
      </c>
      <c r="S37">
        <f t="shared" si="14"/>
        <v>2.1398891579017029E-3</v>
      </c>
      <c r="T37">
        <f t="shared" si="15"/>
        <v>2.1444382774513716E-3</v>
      </c>
      <c r="U37" s="11" t="str">
        <f t="shared" si="16"/>
        <v>NEGATIVE</v>
      </c>
      <c r="V37" s="11" t="str">
        <f t="shared" si="17"/>
        <v/>
      </c>
      <c r="W37" s="11" t="str">
        <f t="shared" si="18"/>
        <v>DOWN</v>
      </c>
      <c r="X37" s="6" t="str">
        <f t="shared" si="19"/>
        <v>NEGATIVE</v>
      </c>
      <c r="Y37" cm="1">
        <f t="array" ref="Y37">IFERROR(VALUE(_xll.BDP($B37,"INTERVAL_MAE_MOV_AVG","CALC_INTERVAL","520D","TECH_STUDIES_PARAM1_OVERRIDE",65,"USE_PREVIOUS_BUSINESS_DAY","N")),"")</f>
        <v>14.735076923076926</v>
      </c>
      <c r="Z37">
        <f t="shared" si="5"/>
        <v>6856.0226153846133</v>
      </c>
      <c r="AA37" cm="1">
        <f t="array" ref="AA37">IFERROR(VALUE(_xll.BDP($B37,"INTERVAL_MAE_MOV_AVG","CALC_INTERVAL","520D","TECH_STUDIES_PARAM1_OVERRIDE",65,"USE_PREVIOUS_BUSINESS_DAY","Y")),"")</f>
        <v>14.740461538461542</v>
      </c>
      <c r="AB37">
        <f t="shared" si="6"/>
        <v>6852.6203076923057</v>
      </c>
      <c r="AC37">
        <f t="shared" si="20"/>
        <v>2.1492164990838947E-3</v>
      </c>
      <c r="AD37">
        <f t="shared" si="21"/>
        <v>2.1510693539980408E-3</v>
      </c>
      <c r="AE37" s="10" t="str">
        <f t="shared" si="22"/>
        <v>DOWN</v>
      </c>
      <c r="AF37" s="10" t="str">
        <f t="shared" si="23"/>
        <v>DOWN</v>
      </c>
      <c r="AG37" s="6" t="str">
        <f t="shared" si="24"/>
        <v>NEGATIVE</v>
      </c>
      <c r="AH37" cm="1">
        <f t="array" ref="AH37">IFERROR(VALUE(_xll.BDP($B37,"INTERVAL_MAE_MOV_AVG","CALC_INTERVAL","65W","PERIODICITY_OVERRIDE","W","TECH_STUDIES_PARAM1_OVERRIDE",39,"USE_PREVIOUS_BUSINESS_DAY","N")),"")</f>
        <v>15.567435897435896</v>
      </c>
      <c r="AI37">
        <f t="shared" si="7"/>
        <v>6560.7735897435905</v>
      </c>
      <c r="AJ37" cm="1">
        <f t="array" ref="AJ37">IFERROR(VALUE(_xll.BDP($B37,"INTERVAL_MAE_MOV_AVG","CALC_INTERVAL","65W","PERIODICITY_OVERRIDE","W","TECH_STUDIES_PARAM1_OVERRIDE",39,"USE_PREVIOUS_BUSINESS_DAY","Y")),"")</f>
        <v>15.574615384615383</v>
      </c>
      <c r="AK37">
        <f t="shared" si="8"/>
        <v>6560.7823076923087</v>
      </c>
      <c r="AL37">
        <f t="shared" si="25"/>
        <v>2.372804926811124E-3</v>
      </c>
      <c r="AM37">
        <f t="shared" si="26"/>
        <v>2.3738960773556899E-3</v>
      </c>
      <c r="AN37" s="10" t="str">
        <f t="shared" si="27"/>
        <v>DOWN</v>
      </c>
      <c r="AO37" s="10" t="str">
        <f t="shared" si="28"/>
        <v>DOWN</v>
      </c>
      <c r="AP37" s="6" t="str">
        <f t="shared" si="29"/>
        <v>NEGATIVE</v>
      </c>
      <c r="AQ37" cm="1">
        <f t="array" ref="AQ37">IFERROR(VALUE(_xll.BDP($B37,"INTERVAL_exp_MOV_AVG","CALC_INTERVAL","520D","TECH_STUDIES_PARAM1_OVERRIDE",100,"USE_PREVIOUS_BUSINESS_DAY","N")),"")</f>
        <v>15.055858948045291</v>
      </c>
      <c r="AR37">
        <f t="shared" si="9"/>
        <v>6773.0064518682802</v>
      </c>
      <c r="AS37" cm="1">
        <f t="array" ref="AS37">IFERROR(VALUE(_xll.BDP($B37,"INTERVAL_exp_MOV_AVG","CALC_INTERVAL","520D","TECH_STUDIES_PARAM1_OVERRIDE",100,"USE_PREVIOUS_BUSINESS_DAY","Y")),"")</f>
        <v>15.080447220990978</v>
      </c>
      <c r="AT37">
        <f t="shared" si="10"/>
        <v>6769.6039787132295</v>
      </c>
      <c r="AU37">
        <f t="shared" si="30"/>
        <v>2.2229210993726799E-3</v>
      </c>
      <c r="AV37">
        <f t="shared" si="31"/>
        <v>2.2276705208178925E-3</v>
      </c>
      <c r="AW37" s="11" t="str">
        <f t="shared" si="32"/>
        <v>DOWN</v>
      </c>
      <c r="AX37" s="11" t="str">
        <f t="shared" si="33"/>
        <v>DOWN</v>
      </c>
      <c r="AY37" s="6" t="str">
        <f t="shared" si="34"/>
        <v>NEGATIVE</v>
      </c>
      <c r="AZ37" s="12" cm="1">
        <f t="array" ref="AZ37">_xll.BDP($B37, "INTERVAL_RSI", "TECH_STUDIES_PARAM1_OVERRIDE", "5", "PERIODICITY_OVERRIDE", "W")</f>
        <v>22.877112220276601</v>
      </c>
      <c r="BA37" cm="1">
        <f t="array" ref="BA37">IFERROR(VALUE(_xll.BDP($B37,"INTERVAL_MAE_MOV_AVG","CALC_INTERVAL","520D","TECH_STUDIES_PARAM1_OVERRIDE",31,"USE_PREVIOUS_BUSINESS_DAY","N")),"")</f>
        <v>14.659677419354837</v>
      </c>
      <c r="BB37" cm="1">
        <f t="array" ref="BB37">IFERROR(VALUE(_xll.BDP($B37,"INTERVAL_MAE_MOV_AVG","CALC_INTERVAL","760D","TECH_STUDIES_PARAM1_OVERRIDE",200,"USE_PREVIOUS_BUSINESS_DAY","N")),"")</f>
        <v>15.759950000000003</v>
      </c>
      <c r="BC37" s="13">
        <f t="shared" si="35"/>
        <v>-5.5913741885795898E-2</v>
      </c>
      <c r="BD37" s="13">
        <f t="shared" si="36"/>
        <v>-6.1860282255331467E-2</v>
      </c>
      <c r="BE37" s="13">
        <f t="shared" si="37"/>
        <v>-0.12182462507812541</v>
      </c>
      <c r="BF37" s="14" cm="1">
        <f t="array" ref="BF37">VALUE(_xll.BDP($B37,"INTERVAL_DATE_OF_CALC_HI","CALC_INTERVAL","3M"))</f>
        <v>46015</v>
      </c>
      <c r="BG37" s="14" cm="1">
        <f t="array" ref="BG37">VALUE(_xll.BDP($B37,"INTERVAL_DATE_OF_CALC_LO","CALC_INTERVAL","3M"))</f>
        <v>46064</v>
      </c>
      <c r="BH37" s="14" cm="1">
        <f t="array" ref="BH37">VALUE(_xll.BDP($B37,"INTERVAL_DATE_OF_CALC_HI","CALC_INTERVAL","1M"))</f>
        <v>46038</v>
      </c>
      <c r="BI37" s="14" cm="1">
        <f t="array" ref="BI37">VALUE(_xll.BDP($B37,"INTERVAL_DATE_OF_CALC_LO","CALC_INTERVAL","1M"))</f>
        <v>46064</v>
      </c>
      <c r="BJ37" s="15">
        <f>$F37-MIN(_xll.BDP("NYA Index","RSI_14D"),_xll.BDP("RSP US Equity","RSI_14D"))</f>
        <v>-30.876983645494434</v>
      </c>
    </row>
    <row r="38" spans="1:62" x14ac:dyDescent="0.25">
      <c r="A38" s="11">
        <v>37</v>
      </c>
      <c r="B38" s="26" t="s">
        <v>583</v>
      </c>
      <c r="C38" s="1" t="s">
        <v>584</v>
      </c>
      <c r="D38" s="1" t="s">
        <v>552</v>
      </c>
      <c r="E38" s="11" t="s">
        <v>788</v>
      </c>
      <c r="F38">
        <f>IFERROR(VALUE((_xll.BDP($B38,"interval_rsi","tech_studies_param1_override",14))),"")</f>
        <v>49.429790763511377</v>
      </c>
      <c r="G38">
        <f t="shared" si="0"/>
        <v>52.525531939815814</v>
      </c>
      <c r="H38">
        <f t="shared" si="11"/>
        <v>0</v>
      </c>
      <c r="I38" cm="1">
        <f t="array" ref="I38">IFERROR(VALUE(_xll.BDP($B38,"px_last")),"")</f>
        <v>83.724999999999994</v>
      </c>
      <c r="J38">
        <f t="shared" si="1"/>
        <v>6941.47</v>
      </c>
      <c r="K38" cm="1">
        <f t="array" ref="K38">IFERROR(VALUE(_xll.BDP($B38,"PX_YEST_CLOSE")),"")</f>
        <v>83.92</v>
      </c>
      <c r="L38">
        <f t="shared" si="2"/>
        <v>6941.81</v>
      </c>
      <c r="M38">
        <f t="shared" si="12"/>
        <v>1.2061566210039083E-2</v>
      </c>
      <c r="N38">
        <f t="shared" si="13"/>
        <v>1.2089066108118775E-2</v>
      </c>
      <c r="O38" cm="1">
        <f t="array" ref="O38">IFERROR(VALUE(_xll.BDP($B38,"INTERVAL_MAE_MOV_AVG","CALC_INTERVAL","520D","TECH_STUDIES_PARAM1_OVERRIDE",50,"USE_PREVIOUS_BUSINESS_DAY","N")),"")</f>
        <v>77.662040000000005</v>
      </c>
      <c r="P38">
        <f t="shared" si="3"/>
        <v>6894.0953999999992</v>
      </c>
      <c r="Q38" cm="1">
        <f t="array" ref="Q38">IFERROR(VALUE(_xll.BDP($B38,"INTERVAL_MAE_MOV_AVG","CALC_INTERVAL","520D","TECH_STUDIES_PARAM1_OVERRIDE",50,"USE_PREVIOUS_BUSINESS_DAY","Y")),"")</f>
        <v>77.112560000000002</v>
      </c>
      <c r="R38">
        <f t="shared" si="4"/>
        <v>6892.2477999999992</v>
      </c>
      <c r="S38">
        <f t="shared" si="14"/>
        <v>1.1265008024112927E-2</v>
      </c>
      <c r="T38">
        <f t="shared" si="15"/>
        <v>1.1188303473360318E-2</v>
      </c>
      <c r="U38" s="11" t="str">
        <f t="shared" si="16"/>
        <v>NEGATIVE</v>
      </c>
      <c r="V38" s="11" t="str">
        <f t="shared" si="17"/>
        <v/>
      </c>
      <c r="W38" s="11" t="str">
        <f t="shared" si="18"/>
        <v>UP</v>
      </c>
      <c r="X38" s="6" t="str">
        <f t="shared" si="19"/>
        <v>POSITIVE</v>
      </c>
      <c r="Y38" cm="1">
        <f t="array" ref="Y38">IFERROR(VALUE(_xll.BDP($B38,"INTERVAL_MAE_MOV_AVG","CALC_INTERVAL","520D","TECH_STUDIES_PARAM1_OVERRIDE",65,"USE_PREVIOUS_BUSINESS_DAY","N")),"")</f>
        <v>71.57793846153848</v>
      </c>
      <c r="Z38">
        <f t="shared" si="5"/>
        <v>6856.0226153846133</v>
      </c>
      <c r="AA38" cm="1">
        <f t="array" ref="AA38">IFERROR(VALUE(_xll.BDP($B38,"INTERVAL_MAE_MOV_AVG","CALC_INTERVAL","520D","TECH_STUDIES_PARAM1_OVERRIDE",65,"USE_PREVIOUS_BUSINESS_DAY","Y")),"")</f>
        <v>71.02455384615385</v>
      </c>
      <c r="AB38">
        <f t="shared" si="6"/>
        <v>6852.6203076923057</v>
      </c>
      <c r="AC38">
        <f t="shared" si="20"/>
        <v>1.0440154952365638E-2</v>
      </c>
      <c r="AD38">
        <f t="shared" si="21"/>
        <v>1.0364583277206576E-2</v>
      </c>
      <c r="AE38" s="10" t="str">
        <f t="shared" si="22"/>
        <v>UP</v>
      </c>
      <c r="AF38" s="10" t="str">
        <f t="shared" si="23"/>
        <v>UP</v>
      </c>
      <c r="AG38" s="6" t="str">
        <f t="shared" si="24"/>
        <v>POSITIVE</v>
      </c>
      <c r="AH38" cm="1">
        <f t="array" ref="AH38">IFERROR(VALUE(_xll.BDP($B38,"INTERVAL_MAE_MOV_AVG","CALC_INTERVAL","65W","PERIODICITY_OVERRIDE","W","TECH_STUDIES_PARAM1_OVERRIDE",39,"USE_PREVIOUS_BUSINESS_DAY","N")),"")</f>
        <v>51.736512820512822</v>
      </c>
      <c r="AI38">
        <f t="shared" si="7"/>
        <v>6560.7735897435905</v>
      </c>
      <c r="AJ38" cm="1">
        <f t="array" ref="AJ38">IFERROR(VALUE(_xll.BDP($B38,"INTERVAL_MAE_MOV_AVG","CALC_INTERVAL","65W","PERIODICITY_OVERRIDE","W","TECH_STUDIES_PARAM1_OVERRIDE",39,"USE_PREVIOUS_BUSINESS_DAY","Y")),"")</f>
        <v>51.645846153846158</v>
      </c>
      <c r="AK38">
        <f t="shared" si="8"/>
        <v>6560.7823076923087</v>
      </c>
      <c r="AL38">
        <f t="shared" si="25"/>
        <v>7.885733612480109E-3</v>
      </c>
      <c r="AM38">
        <f t="shared" si="26"/>
        <v>7.8719036437610562E-3</v>
      </c>
      <c r="AN38" s="10" t="str">
        <f t="shared" si="27"/>
        <v>UP</v>
      </c>
      <c r="AO38" s="10" t="str">
        <f t="shared" si="28"/>
        <v>UP</v>
      </c>
      <c r="AP38" s="6" t="str">
        <f t="shared" si="29"/>
        <v>POSITIVE</v>
      </c>
      <c r="AQ38" cm="1">
        <f t="array" ref="AQ38">IFERROR(VALUE(_xll.BDP($B38,"INTERVAL_exp_MOV_AVG","CALC_INTERVAL","520D","TECH_STUDIES_PARAM1_OVERRIDE",100,"USE_PREVIOUS_BUSINESS_DAY","N")),"")</f>
        <v>67.601712477689688</v>
      </c>
      <c r="AR38">
        <f t="shared" si="9"/>
        <v>6773.0064518682802</v>
      </c>
      <c r="AS38" cm="1">
        <f t="array" ref="AS38">IFERROR(VALUE(_xll.BDP($B38,"INTERVAL_exp_MOV_AVG","CALC_INTERVAL","520D","TECH_STUDIES_PARAM1_OVERRIDE",100,"USE_PREVIOUS_BUSINESS_DAY","Y")),"")</f>
        <v>67.272023989363831</v>
      </c>
      <c r="AT38">
        <f t="shared" si="10"/>
        <v>6769.6039787132295</v>
      </c>
      <c r="AU38">
        <f t="shared" si="30"/>
        <v>9.9810494730951105E-3</v>
      </c>
      <c r="AV38">
        <f t="shared" si="31"/>
        <v>9.9373647558850167E-3</v>
      </c>
      <c r="AW38" s="11" t="str">
        <f t="shared" si="32"/>
        <v>UP</v>
      </c>
      <c r="AX38" s="11" t="str">
        <f t="shared" si="33"/>
        <v>UP</v>
      </c>
      <c r="AY38" s="6" t="str">
        <f t="shared" si="34"/>
        <v>POSITIVE</v>
      </c>
      <c r="AZ38" s="12" cm="1">
        <f t="array" ref="AZ38">_xll.BDP($B38, "INTERVAL_RSI", "TECH_STUDIES_PARAM1_OVERRIDE", "5", "PERIODICITY_OVERRIDE", "W")</f>
        <v>58.36712854801722</v>
      </c>
      <c r="BA38" cm="1">
        <f t="array" ref="BA38">IFERROR(VALUE(_xll.BDP($B38,"INTERVAL_MAE_MOV_AVG","CALC_INTERVAL","520D","TECH_STUDIES_PARAM1_OVERRIDE",31,"USE_PREVIOUS_BUSINESS_DAY","N")),"")</f>
        <v>86.473258064516131</v>
      </c>
      <c r="BB38" cm="1">
        <f t="array" ref="BB38">IFERROR(VALUE(_xll.BDP($B38,"INTERVAL_MAE_MOV_AVG","CALC_INTERVAL","760D","TECH_STUDIES_PARAM1_OVERRIDE",200,"USE_PREVIOUS_BUSINESS_DAY","N")),"")</f>
        <v>50.018780000000014</v>
      </c>
      <c r="BC38" s="13">
        <f t="shared" si="35"/>
        <v>-3.1781594981256656E-2</v>
      </c>
      <c r="BD38" s="13">
        <f t="shared" si="36"/>
        <v>7.8068513265940442E-2</v>
      </c>
      <c r="BE38" s="13">
        <f t="shared" si="37"/>
        <v>0.67387129394199485</v>
      </c>
      <c r="BF38" s="14" cm="1">
        <f t="array" ref="BF38">VALUE(_xll.BDP($B38,"INTERVAL_DATE_OF_CALC_HI","CALC_INTERVAL","3M"))</f>
        <v>46048</v>
      </c>
      <c r="BG38" s="14" cm="1">
        <f t="array" ref="BG38">VALUE(_xll.BDP($B38,"INTERVAL_DATE_OF_CALC_LO","CALC_INTERVAL","3M"))</f>
        <v>45982</v>
      </c>
      <c r="BH38" s="14" cm="1">
        <f t="array" ref="BH38">VALUE(_xll.BDP($B38,"INTERVAL_DATE_OF_CALC_HI","CALC_INTERVAL","1M"))</f>
        <v>46048</v>
      </c>
      <c r="BI38" s="14" cm="1">
        <f t="array" ref="BI38">VALUE(_xll.BDP($B38,"INTERVAL_DATE_OF_CALC_LO","CALC_INTERVAL","1M"))</f>
        <v>46058</v>
      </c>
      <c r="BJ38" s="15">
        <f>$F38-MIN(_xll.BDP("NYA Index","RSI_14D"),_xll.BDP("RSP US Equity","RSI_14D"))</f>
        <v>-16.915973396644873</v>
      </c>
    </row>
    <row r="39" spans="1:62" x14ac:dyDescent="0.25">
      <c r="A39" s="11">
        <v>38</v>
      </c>
      <c r="B39" s="26" t="s">
        <v>585</v>
      </c>
      <c r="C39" s="1" t="s">
        <v>586</v>
      </c>
      <c r="D39" s="1" t="s">
        <v>552</v>
      </c>
      <c r="E39" s="11" t="s">
        <v>788</v>
      </c>
      <c r="F39">
        <f>IFERROR(VALUE((_xll.BDP($B39,"interval_rsi","tech_studies_param1_override",14))),"")</f>
        <v>58.99926504143756</v>
      </c>
      <c r="G39">
        <f t="shared" si="0"/>
        <v>52.525531939815814</v>
      </c>
      <c r="H39">
        <f t="shared" si="11"/>
        <v>0</v>
      </c>
      <c r="I39" cm="1">
        <f t="array" ref="I39">IFERROR(VALUE(_xll.BDP($B39,"px_last")),"")</f>
        <v>537.25</v>
      </c>
      <c r="J39">
        <f t="shared" si="1"/>
        <v>6941.47</v>
      </c>
      <c r="K39" cm="1">
        <f t="array" ref="K39">IFERROR(VALUE(_xll.BDP($B39,"PX_YEST_CLOSE")),"")</f>
        <v>537.25</v>
      </c>
      <c r="L39">
        <f t="shared" si="2"/>
        <v>6941.81</v>
      </c>
      <c r="M39">
        <f t="shared" si="12"/>
        <v>7.7397150747608209E-2</v>
      </c>
      <c r="N39">
        <f t="shared" si="13"/>
        <v>7.7393359945028745E-2</v>
      </c>
      <c r="O39" cm="1">
        <f t="array" ref="O39">IFERROR(VALUE(_xll.BDP($B39,"INTERVAL_MAE_MOV_AVG","CALC_INTERVAL","520D","TECH_STUDIES_PARAM1_OVERRIDE",50,"USE_PREVIOUS_BUSINESS_DAY","N")),"")</f>
        <v>522.54</v>
      </c>
      <c r="P39">
        <f t="shared" si="3"/>
        <v>6894.0953999999992</v>
      </c>
      <c r="Q39" cm="1">
        <f t="array" ref="Q39">IFERROR(VALUE(_xll.BDP($B39,"INTERVAL_MAE_MOV_AVG","CALC_INTERVAL","520D","TECH_STUDIES_PARAM1_OVERRIDE",50,"USE_PREVIOUS_BUSINESS_DAY","Y")),"")</f>
        <v>522.41499999999996</v>
      </c>
      <c r="R39">
        <f t="shared" si="4"/>
        <v>6892.2477999999992</v>
      </c>
      <c r="S39">
        <f t="shared" si="14"/>
        <v>7.5795295783113184E-2</v>
      </c>
      <c r="T39">
        <f t="shared" si="15"/>
        <v>7.5797477856208245E-2</v>
      </c>
      <c r="U39" s="11" t="str">
        <f t="shared" si="16"/>
        <v>NEGATIVE</v>
      </c>
      <c r="V39" s="11" t="str">
        <f t="shared" si="17"/>
        <v/>
      </c>
      <c r="W39" s="11" t="str">
        <f t="shared" si="18"/>
        <v>DOWN</v>
      </c>
      <c r="X39" s="6" t="str">
        <f t="shared" si="19"/>
        <v>POSITIVE</v>
      </c>
      <c r="Y39" cm="1">
        <f t="array" ref="Y39">IFERROR(VALUE(_xll.BDP($B39,"INTERVAL_MAE_MOV_AVG","CALC_INTERVAL","520D","TECH_STUDIES_PARAM1_OVERRIDE",65,"USE_PREVIOUS_BUSINESS_DAY","N")),"")</f>
        <v>524.86923076923085</v>
      </c>
      <c r="Z39">
        <f t="shared" si="5"/>
        <v>6856.0226153846133</v>
      </c>
      <c r="AA39" cm="1">
        <f t="array" ref="AA39">IFERROR(VALUE(_xll.BDP($B39,"INTERVAL_MAE_MOV_AVG","CALC_INTERVAL","520D","TECH_STUDIES_PARAM1_OVERRIDE",65,"USE_PREVIOUS_BUSINESS_DAY","Y")),"")</f>
        <v>524.84230769230771</v>
      </c>
      <c r="AB39">
        <f t="shared" si="6"/>
        <v>6852.6203076923057</v>
      </c>
      <c r="AC39">
        <f t="shared" si="20"/>
        <v>7.6555936322533033E-2</v>
      </c>
      <c r="AD39">
        <f t="shared" si="21"/>
        <v>7.6590017267285898E-2</v>
      </c>
      <c r="AE39" s="10" t="str">
        <f t="shared" si="22"/>
        <v>UP</v>
      </c>
      <c r="AF39" s="10" t="str">
        <f t="shared" si="23"/>
        <v>DOWN</v>
      </c>
      <c r="AG39" s="6" t="str">
        <f t="shared" si="24"/>
        <v>POSITIVE</v>
      </c>
      <c r="AH39" cm="1">
        <f t="array" ref="AH39">IFERROR(VALUE(_xll.BDP($B39,"INTERVAL_MAE_MOV_AVG","CALC_INTERVAL","65W","PERIODICITY_OVERRIDE","W","TECH_STUDIES_PARAM1_OVERRIDE",39,"USE_PREVIOUS_BUSINESS_DAY","N")),"")</f>
        <v>525.67307692307691</v>
      </c>
      <c r="AI39">
        <f t="shared" si="7"/>
        <v>6560.7735897435905</v>
      </c>
      <c r="AJ39" cm="1">
        <f t="array" ref="AJ39">IFERROR(VALUE(_xll.BDP($B39,"INTERVAL_MAE_MOV_AVG","CALC_INTERVAL","65W","PERIODICITY_OVERRIDE","W","TECH_STUDIES_PARAM1_OVERRIDE",39,"USE_PREVIOUS_BUSINESS_DAY","Y")),"")</f>
        <v>525.44230769230762</v>
      </c>
      <c r="AK39">
        <f t="shared" si="8"/>
        <v>6560.7823076923087</v>
      </c>
      <c r="AL39">
        <f t="shared" si="25"/>
        <v>8.0123642392546171E-2</v>
      </c>
      <c r="AM39">
        <f t="shared" si="26"/>
        <v>8.0088361882735118E-2</v>
      </c>
      <c r="AN39" s="10" t="str">
        <f t="shared" si="27"/>
        <v>UP</v>
      </c>
      <c r="AO39" s="10" t="str">
        <f t="shared" si="28"/>
        <v>UP</v>
      </c>
      <c r="AP39" s="6" t="str">
        <f t="shared" si="29"/>
        <v>NEGATIVE</v>
      </c>
      <c r="AQ39" cm="1">
        <f t="array" ref="AQ39">IFERROR(VALUE(_xll.BDP($B39,"INTERVAL_exp_MOV_AVG","CALC_INTERVAL","520D","TECH_STUDIES_PARAM1_OVERRIDE",100,"USE_PREVIOUS_BUSINESS_DAY","N")),"")</f>
        <v>523.42161253493543</v>
      </c>
      <c r="AR39">
        <f t="shared" si="9"/>
        <v>6773.0064518682802</v>
      </c>
      <c r="AS39" cm="1">
        <f t="array" ref="AS39">IFERROR(VALUE(_xll.BDP($B39,"INTERVAL_exp_MOV_AVG","CALC_INTERVAL","520D","TECH_STUDIES_PARAM1_OVERRIDE",100,"USE_PREVIOUS_BUSINESS_DAY","Y")),"")</f>
        <v>523.14310775276442</v>
      </c>
      <c r="AT39">
        <f t="shared" si="10"/>
        <v>6769.6039787132295</v>
      </c>
      <c r="AU39">
        <f t="shared" si="30"/>
        <v>7.7280542437775726E-2</v>
      </c>
      <c r="AV39">
        <f t="shared" si="31"/>
        <v>7.7278243956037704E-2</v>
      </c>
      <c r="AW39" s="11" t="str">
        <f t="shared" si="32"/>
        <v>UP</v>
      </c>
      <c r="AX39" s="11" t="str">
        <f t="shared" si="33"/>
        <v>UP</v>
      </c>
      <c r="AY39" s="6" t="str">
        <f t="shared" si="34"/>
        <v>POSITIVE</v>
      </c>
      <c r="AZ39" s="12" cm="1">
        <f t="array" ref="AZ39">_xll.BDP($B39, "INTERVAL_RSI", "TECH_STUDIES_PARAM1_OVERRIDE", "5", "PERIODICITY_OVERRIDE", "W")</f>
        <v>63.757226792099665</v>
      </c>
      <c r="BA39" cm="1">
        <f t="array" ref="BA39">IFERROR(VALUE(_xll.BDP($B39,"INTERVAL_MAE_MOV_AVG","CALC_INTERVAL","520D","TECH_STUDIES_PARAM1_OVERRIDE",31,"USE_PREVIOUS_BUSINESS_DAY","N")),"")</f>
        <v>520.74193548387098</v>
      </c>
      <c r="BB39" cm="1">
        <f t="array" ref="BB39">IFERROR(VALUE(_xll.BDP($B39,"INTERVAL_MAE_MOV_AVG","CALC_INTERVAL","760D","TECH_STUDIES_PARAM1_OVERRIDE",200,"USE_PREVIOUS_BUSINESS_DAY","N")),"")</f>
        <v>523.86</v>
      </c>
      <c r="BC39" s="13">
        <f t="shared" si="35"/>
        <v>3.1701046893390261E-2</v>
      </c>
      <c r="BD39" s="13">
        <f t="shared" si="36"/>
        <v>2.8150954950817209E-2</v>
      </c>
      <c r="BE39" s="13">
        <f t="shared" si="37"/>
        <v>2.5560264192723281E-2</v>
      </c>
      <c r="BF39" s="14" cm="1">
        <f t="array" ref="BF39">VALUE(_xll.BDP($B39,"INTERVAL_DATE_OF_CALC_HI","CALC_INTERVAL","3M"))</f>
        <v>45979</v>
      </c>
      <c r="BG39" s="14" cm="1">
        <f t="array" ref="BG39">VALUE(_xll.BDP($B39,"INTERVAL_DATE_OF_CALC_LO","CALC_INTERVAL","3M"))</f>
        <v>46008</v>
      </c>
      <c r="BH39" s="14" cm="1">
        <f t="array" ref="BH39">VALUE(_xll.BDP($B39,"INTERVAL_DATE_OF_CALC_HI","CALC_INTERVAL","1M"))</f>
        <v>46051</v>
      </c>
      <c r="BI39" s="14" cm="1">
        <f t="array" ref="BI39">VALUE(_xll.BDP($B39,"INTERVAL_DATE_OF_CALC_LO","CALC_INTERVAL","1M"))</f>
        <v>46043</v>
      </c>
      <c r="BJ39" s="15">
        <f>$F39-MIN(_xll.BDP("NYA Index","RSI_14D"),_xll.BDP("RSP US Equity","RSI_14D"))</f>
        <v>-7.3464991187186897</v>
      </c>
    </row>
    <row r="40" spans="1:62" x14ac:dyDescent="0.25">
      <c r="A40" s="11">
        <v>39</v>
      </c>
      <c r="B40" s="26" t="s">
        <v>587</v>
      </c>
      <c r="C40" s="1" t="s">
        <v>588</v>
      </c>
      <c r="D40" s="1" t="s">
        <v>552</v>
      </c>
      <c r="E40" s="11" t="s">
        <v>788</v>
      </c>
      <c r="F40">
        <f>IFERROR(VALUE((_xll.BDP($B40,"interval_rsi","tech_studies_param1_override",14))),"")</f>
        <v>62.752514148689514</v>
      </c>
      <c r="G40">
        <f t="shared" si="0"/>
        <v>52.525531939815814</v>
      </c>
      <c r="H40">
        <f t="shared" si="11"/>
        <v>1</v>
      </c>
      <c r="I40" cm="1">
        <f t="array" ref="I40">IFERROR(VALUE(_xll.BDP($B40,"px_last")),"")</f>
        <v>197.27</v>
      </c>
      <c r="J40">
        <f t="shared" si="1"/>
        <v>6941.47</v>
      </c>
      <c r="K40" cm="1">
        <f t="array" ref="K40">IFERROR(VALUE(_xll.BDP($B40,"PX_YEST_CLOSE")),"")</f>
        <v>197.89000000000001</v>
      </c>
      <c r="L40">
        <f t="shared" si="2"/>
        <v>6941.81</v>
      </c>
      <c r="M40">
        <f t="shared" si="12"/>
        <v>2.8419052448544761E-2</v>
      </c>
      <c r="N40">
        <f t="shared" si="13"/>
        <v>2.8506974405810587E-2</v>
      </c>
      <c r="O40" cm="1">
        <f t="array" ref="O40">IFERROR(VALUE(_xll.BDP($B40,"INTERVAL_MAE_MOV_AVG","CALC_INTERVAL","520D","TECH_STUDIES_PARAM1_OVERRIDE",50,"USE_PREVIOUS_BUSINESS_DAY","N")),"")</f>
        <v>180.63719999999998</v>
      </c>
      <c r="P40">
        <f t="shared" si="3"/>
        <v>6894.0953999999992</v>
      </c>
      <c r="Q40" cm="1">
        <f t="array" ref="Q40">IFERROR(VALUE(_xll.BDP($B40,"INTERVAL_MAE_MOV_AVG","CALC_INTERVAL","520D","TECH_STUDIES_PARAM1_OVERRIDE",50,"USE_PREVIOUS_BUSINESS_DAY","Y")),"")</f>
        <v>180.47119999999998</v>
      </c>
      <c r="R40">
        <f t="shared" si="4"/>
        <v>6892.2477999999992</v>
      </c>
      <c r="S40">
        <f t="shared" si="14"/>
        <v>2.620172619021199E-2</v>
      </c>
      <c r="T40">
        <f t="shared" si="15"/>
        <v>2.618466503772543E-2</v>
      </c>
      <c r="U40" s="11" t="str">
        <f t="shared" si="16"/>
        <v>POSITIVE</v>
      </c>
      <c r="V40" s="11" t="str">
        <f t="shared" si="17"/>
        <v/>
      </c>
      <c r="W40" s="11" t="str">
        <f t="shared" si="18"/>
        <v>UP</v>
      </c>
      <c r="X40" s="6" t="str">
        <f t="shared" si="19"/>
        <v>POSITIVE</v>
      </c>
      <c r="Y40" cm="1">
        <f t="array" ref="Y40">IFERROR(VALUE(_xll.BDP($B40,"INTERVAL_MAE_MOV_AVG","CALC_INTERVAL","520D","TECH_STUDIES_PARAM1_OVERRIDE",65,"USE_PREVIOUS_BUSINESS_DAY","N")),"")</f>
        <v>183.73953846153847</v>
      </c>
      <c r="Z40">
        <f t="shared" si="5"/>
        <v>6856.0226153846133</v>
      </c>
      <c r="AA40" cm="1">
        <f t="array" ref="AA40">IFERROR(VALUE(_xll.BDP($B40,"INTERVAL_MAE_MOV_AVG","CALC_INTERVAL","520D","TECH_STUDIES_PARAM1_OVERRIDE",65,"USE_PREVIOUS_BUSINESS_DAY","Y")),"")</f>
        <v>183.71907692307693</v>
      </c>
      <c r="AB40">
        <f t="shared" si="6"/>
        <v>6852.6203076923057</v>
      </c>
      <c r="AC40">
        <f t="shared" si="20"/>
        <v>2.6799727592676698E-2</v>
      </c>
      <c r="AD40">
        <f t="shared" si="21"/>
        <v>2.6810047642191095E-2</v>
      </c>
      <c r="AE40" s="10" t="str">
        <f t="shared" si="22"/>
        <v>UP</v>
      </c>
      <c r="AF40" s="10" t="str">
        <f t="shared" si="23"/>
        <v>DOWN</v>
      </c>
      <c r="AG40" s="6" t="str">
        <f t="shared" si="24"/>
        <v>POSITIVE</v>
      </c>
      <c r="AH40" cm="1">
        <f t="array" ref="AH40">IFERROR(VALUE(_xll.BDP($B40,"INTERVAL_MAE_MOV_AVG","CALC_INTERVAL","65W","PERIODICITY_OVERRIDE","W","TECH_STUDIES_PARAM1_OVERRIDE",39,"USE_PREVIOUS_BUSINESS_DAY","N")),"")</f>
        <v>197.7833333333333</v>
      </c>
      <c r="AI40">
        <f t="shared" si="7"/>
        <v>6560.7735897435905</v>
      </c>
      <c r="AJ40" cm="1">
        <f t="array" ref="AJ40">IFERROR(VALUE(_xll.BDP($B40,"INTERVAL_MAE_MOV_AVG","CALC_INTERVAL","65W","PERIODICITY_OVERRIDE","W","TECH_STUDIES_PARAM1_OVERRIDE",39,"USE_PREVIOUS_BUSINESS_DAY","Y")),"")</f>
        <v>197.7328205128205</v>
      </c>
      <c r="AK40">
        <f t="shared" si="8"/>
        <v>6560.7823076923087</v>
      </c>
      <c r="AL40">
        <f t="shared" si="25"/>
        <v>3.0146343358430559E-2</v>
      </c>
      <c r="AM40">
        <f t="shared" si="26"/>
        <v>3.0138604093140699E-2</v>
      </c>
      <c r="AN40" s="10" t="str">
        <f t="shared" si="27"/>
        <v>UP</v>
      </c>
      <c r="AO40" s="10" t="str">
        <f t="shared" si="28"/>
        <v>UP</v>
      </c>
      <c r="AP40" s="6" t="str">
        <f t="shared" si="29"/>
        <v>NEGATIVE</v>
      </c>
      <c r="AQ40" cm="1">
        <f t="array" ref="AQ40">IFERROR(VALUE(_xll.BDP($B40,"INTERVAL_exp_MOV_AVG","CALC_INTERVAL","520D","TECH_STUDIES_PARAM1_OVERRIDE",100,"USE_PREVIOUS_BUSINESS_DAY","N")),"")</f>
        <v>188.39731323420301</v>
      </c>
      <c r="AR40">
        <f t="shared" si="9"/>
        <v>6773.0064518682802</v>
      </c>
      <c r="AS40" cm="1">
        <f t="array" ref="AS40">IFERROR(VALUE(_xll.BDP($B40,"INTERVAL_exp_MOV_AVG","CALC_INTERVAL","520D","TECH_STUDIES_PARAM1_OVERRIDE",100,"USE_PREVIOUS_BUSINESS_DAY","Y")),"")</f>
        <v>188.20553530215614</v>
      </c>
      <c r="AT40">
        <f t="shared" si="10"/>
        <v>6769.6039787132295</v>
      </c>
      <c r="AU40">
        <f t="shared" si="30"/>
        <v>2.7815906359019503E-2</v>
      </c>
      <c r="AV40">
        <f t="shared" si="31"/>
        <v>2.7801557652997355E-2</v>
      </c>
      <c r="AW40" s="11" t="str">
        <f t="shared" si="32"/>
        <v>UP</v>
      </c>
      <c r="AX40" s="11" t="str">
        <f t="shared" si="33"/>
        <v>UP</v>
      </c>
      <c r="AY40" s="6" t="str">
        <f t="shared" si="34"/>
        <v>POSITIVE</v>
      </c>
      <c r="AZ40" s="12" cm="1">
        <f t="array" ref="AZ40">_xll.BDP($B40, "INTERVAL_RSI", "TECH_STUDIES_PARAM1_OVERRIDE", "5", "PERIODICITY_OVERRIDE", "W")</f>
        <v>79.644453854825812</v>
      </c>
      <c r="BA40" cm="1">
        <f t="array" ref="BA40">IFERROR(VALUE(_xll.BDP($B40,"INTERVAL_MAE_MOV_AVG","CALC_INTERVAL","520D","TECH_STUDIES_PARAM1_OVERRIDE",31,"USE_PREVIOUS_BUSINESS_DAY","N")),"")</f>
        <v>183.23612903225808</v>
      </c>
      <c r="BB40" cm="1">
        <f t="array" ref="BB40">IFERROR(VALUE(_xll.BDP($B40,"INTERVAL_MAE_MOV_AVG","CALC_INTERVAL","760D","TECH_STUDIES_PARAM1_OVERRIDE",200,"USE_PREVIOUS_BUSINESS_DAY","N")),"")</f>
        <v>198.70735000000002</v>
      </c>
      <c r="BC40" s="13">
        <f t="shared" si="35"/>
        <v>7.6588994986197978E-2</v>
      </c>
      <c r="BD40" s="13">
        <f t="shared" si="36"/>
        <v>9.207848660187401E-2</v>
      </c>
      <c r="BE40" s="13">
        <f t="shared" si="37"/>
        <v>-7.2335019313578552E-3</v>
      </c>
      <c r="BF40" s="14" cm="1">
        <f t="array" ref="BF40">VALUE(_xll.BDP($B40,"INTERVAL_DATE_OF_CALC_HI","CALC_INTERVAL","3M"))</f>
        <v>45972</v>
      </c>
      <c r="BG40" s="14" cm="1">
        <f t="array" ref="BG40">VALUE(_xll.BDP($B40,"INTERVAL_DATE_OF_CALC_LO","CALC_INTERVAL","3M"))</f>
        <v>46007</v>
      </c>
      <c r="BH40" s="14" cm="1">
        <f t="array" ref="BH40">VALUE(_xll.BDP($B40,"INTERVAL_DATE_OF_CALC_HI","CALC_INTERVAL","1M"))</f>
        <v>46062</v>
      </c>
      <c r="BI40" s="14" cm="1">
        <f t="array" ref="BI40">VALUE(_xll.BDP($B40,"INTERVAL_DATE_OF_CALC_LO","CALC_INTERVAL","1M"))</f>
        <v>46037</v>
      </c>
      <c r="BJ40" s="15">
        <f>$F40-MIN(_xll.BDP("NYA Index","RSI_14D"),_xll.BDP("RSP US Equity","RSI_14D"))</f>
        <v>-3.5932500114667363</v>
      </c>
    </row>
    <row r="41" spans="1:62" x14ac:dyDescent="0.25">
      <c r="A41" s="11">
        <v>40</v>
      </c>
      <c r="B41" s="26" t="s">
        <v>589</v>
      </c>
      <c r="C41" s="1" t="s">
        <v>590</v>
      </c>
      <c r="D41" s="1" t="s">
        <v>552</v>
      </c>
      <c r="E41" s="11" t="s">
        <v>788</v>
      </c>
      <c r="F41">
        <f>IFERROR(VALUE((_xll.BDP($B41,"interval_rsi","tech_studies_param1_override",14))),"")</f>
        <v>49.723292820649256</v>
      </c>
      <c r="G41">
        <f t="shared" si="0"/>
        <v>52.525531939815814</v>
      </c>
      <c r="H41">
        <f t="shared" si="11"/>
        <v>0</v>
      </c>
      <c r="I41" cm="1">
        <f t="array" ref="I41">IFERROR(VALUE(_xll.BDP($B41,"px_last")),"")</f>
        <v>24585</v>
      </c>
      <c r="J41">
        <f t="shared" si="1"/>
        <v>6941.47</v>
      </c>
      <c r="K41" cm="1">
        <f t="array" ref="K41">IFERROR(VALUE(_xll.BDP($B41,"PX_YEST_CLOSE")),"")</f>
        <v>24445</v>
      </c>
      <c r="L41">
        <f t="shared" si="2"/>
        <v>6941.81</v>
      </c>
      <c r="M41">
        <f t="shared" si="12"/>
        <v>3.5417570053605361</v>
      </c>
      <c r="N41">
        <f t="shared" si="13"/>
        <v>3.5214158843298793</v>
      </c>
      <c r="O41" cm="1">
        <f t="array" ref="O41">IFERROR(VALUE(_xll.BDP($B41,"INTERVAL_MAE_MOV_AVG","CALC_INTERVAL","520D","TECH_STUDIES_PARAM1_OVERRIDE",50,"USE_PREVIOUS_BUSINESS_DAY","N")),"")</f>
        <v>23903.3</v>
      </c>
      <c r="P41">
        <f t="shared" si="3"/>
        <v>6894.0953999999992</v>
      </c>
      <c r="Q41" cm="1">
        <f t="array" ref="Q41">IFERROR(VALUE(_xll.BDP($B41,"INTERVAL_MAE_MOV_AVG","CALC_INTERVAL","520D","TECH_STUDIES_PARAM1_OVERRIDE",50,"USE_PREVIOUS_BUSINESS_DAY","Y")),"")</f>
        <v>23864.5</v>
      </c>
      <c r="R41">
        <f t="shared" si="4"/>
        <v>6892.2477999999992</v>
      </c>
      <c r="S41">
        <f t="shared" si="14"/>
        <v>3.4672134069975304</v>
      </c>
      <c r="T41">
        <f t="shared" si="15"/>
        <v>3.4625133472421004</v>
      </c>
      <c r="U41" s="11" t="str">
        <f t="shared" si="16"/>
        <v>NEGATIVE</v>
      </c>
      <c r="V41" s="11" t="str">
        <f t="shared" si="17"/>
        <v/>
      </c>
      <c r="W41" s="11" t="str">
        <f t="shared" si="18"/>
        <v>UP</v>
      </c>
      <c r="X41" s="6" t="str">
        <f t="shared" si="19"/>
        <v>POSITIVE</v>
      </c>
      <c r="Y41" cm="1">
        <f t="array" ref="Y41">IFERROR(VALUE(_xll.BDP($B41,"INTERVAL_MAE_MOV_AVG","CALC_INTERVAL","520D","TECH_STUDIES_PARAM1_OVERRIDE",65,"USE_PREVIOUS_BUSINESS_DAY","N")),"")</f>
        <v>23568.692307692309</v>
      </c>
      <c r="Z41">
        <f t="shared" si="5"/>
        <v>6856.0226153846133</v>
      </c>
      <c r="AA41" cm="1">
        <f t="array" ref="AA41">IFERROR(VALUE(_xll.BDP($B41,"INTERVAL_MAE_MOV_AVG","CALC_INTERVAL","520D","TECH_STUDIES_PARAM1_OVERRIDE",65,"USE_PREVIOUS_BUSINESS_DAY","Y")),"")</f>
        <v>23540</v>
      </c>
      <c r="AB41">
        <f t="shared" si="6"/>
        <v>6852.6203076923057</v>
      </c>
      <c r="AC41">
        <f t="shared" si="20"/>
        <v>3.4376625676241499</v>
      </c>
      <c r="AD41">
        <f t="shared" si="21"/>
        <v>3.4351823015169143</v>
      </c>
      <c r="AE41" s="10" t="str">
        <f t="shared" si="22"/>
        <v>UP</v>
      </c>
      <c r="AF41" s="10" t="str">
        <f t="shared" si="23"/>
        <v>UP</v>
      </c>
      <c r="AG41" s="6" t="str">
        <f t="shared" si="24"/>
        <v>POSITIVE</v>
      </c>
      <c r="AH41" cm="1">
        <f t="array" ref="AH41">IFERROR(VALUE(_xll.BDP($B41,"INTERVAL_MAE_MOV_AVG","CALC_INTERVAL","65W","PERIODICITY_OVERRIDE","W","TECH_STUDIES_PARAM1_OVERRIDE",39,"USE_PREVIOUS_BUSINESS_DAY","N")),"")</f>
        <v>22794.74358974359</v>
      </c>
      <c r="AI41">
        <f t="shared" si="7"/>
        <v>6560.7735897435905</v>
      </c>
      <c r="AJ41" cm="1">
        <f t="array" ref="AJ41">IFERROR(VALUE(_xll.BDP($B41,"INTERVAL_MAE_MOV_AVG","CALC_INTERVAL","65W","PERIODICITY_OVERRIDE","W","TECH_STUDIES_PARAM1_OVERRIDE",39,"USE_PREVIOUS_BUSINESS_DAY","Y")),"")</f>
        <v>22793.205128205129</v>
      </c>
      <c r="AK41">
        <f t="shared" si="8"/>
        <v>6560.7823076923087</v>
      </c>
      <c r="AL41">
        <f t="shared" si="25"/>
        <v>3.474398754649672</v>
      </c>
      <c r="AM41">
        <f t="shared" si="26"/>
        <v>3.4741596442669374</v>
      </c>
      <c r="AN41" s="10" t="str">
        <f t="shared" si="27"/>
        <v>UP</v>
      </c>
      <c r="AO41" s="10" t="str">
        <f t="shared" si="28"/>
        <v>UP</v>
      </c>
      <c r="AP41" s="6" t="str">
        <f t="shared" si="29"/>
        <v>POSITIVE</v>
      </c>
      <c r="AQ41" cm="1">
        <f t="array" ref="AQ41">IFERROR(VALUE(_xll.BDP($B41,"INTERVAL_exp_MOV_AVG","CALC_INTERVAL","520D","TECH_STUDIES_PARAM1_OVERRIDE",100,"USE_PREVIOUS_BUSINESS_DAY","N")),"")</f>
        <v>23481.291051998822</v>
      </c>
      <c r="AR41">
        <f t="shared" si="9"/>
        <v>6773.0064518682802</v>
      </c>
      <c r="AS41" cm="1">
        <f t="array" ref="AS41">IFERROR(VALUE(_xll.BDP($B41,"INTERVAL_exp_MOV_AVG","CALC_INTERVAL","520D","TECH_STUDIES_PARAM1_OVERRIDE",100,"USE_PREVIOUS_BUSINESS_DAY","Y")),"")</f>
        <v>23461.822184362434</v>
      </c>
      <c r="AT41">
        <f t="shared" si="10"/>
        <v>6769.6039787132295</v>
      </c>
      <c r="AU41">
        <f t="shared" si="30"/>
        <v>3.4668933536187159</v>
      </c>
      <c r="AV41">
        <f t="shared" si="31"/>
        <v>3.4657599260070855</v>
      </c>
      <c r="AW41" s="11" t="str">
        <f t="shared" si="32"/>
        <v>UP</v>
      </c>
      <c r="AX41" s="11" t="str">
        <f t="shared" si="33"/>
        <v>UP</v>
      </c>
      <c r="AY41" s="6" t="str">
        <f t="shared" si="34"/>
        <v>POSITIVE</v>
      </c>
      <c r="AZ41" s="12" cm="1">
        <f t="array" ref="AZ41">_xll.BDP($B41, "INTERVAL_RSI", "TECH_STUDIES_PARAM1_OVERRIDE", "5", "PERIODICITY_OVERRIDE", "W")</f>
        <v>53.329507922188213</v>
      </c>
      <c r="BA41" cm="1">
        <f t="array" ref="BA41">IFERROR(VALUE(_xll.BDP($B41,"INTERVAL_MAE_MOV_AVG","CALC_INTERVAL","520D","TECH_STUDIES_PARAM1_OVERRIDE",31,"USE_PREVIOUS_BUSINESS_DAY","N")),"")</f>
        <v>24433.06451612903</v>
      </c>
      <c r="BB41" cm="1">
        <f t="array" ref="BB41">IFERROR(VALUE(_xll.BDP($B41,"INTERVAL_MAE_MOV_AVG","CALC_INTERVAL","760D","TECH_STUDIES_PARAM1_OVERRIDE",200,"USE_PREVIOUS_BUSINESS_DAY","N")),"")</f>
        <v>22742.725000000002</v>
      </c>
      <c r="BC41" s="13">
        <f t="shared" si="35"/>
        <v>6.2184374690563704E-3</v>
      </c>
      <c r="BD41" s="13">
        <f t="shared" si="36"/>
        <v>2.8519074772102693E-2</v>
      </c>
      <c r="BE41" s="13">
        <f t="shared" si="37"/>
        <v>8.1005024683717508E-2</v>
      </c>
      <c r="BF41" s="14" cm="1">
        <f t="array" ref="BF41">VALUE(_xll.BDP($B41,"INTERVAL_DATE_OF_CALC_HI","CALC_INTERVAL","3M"))</f>
        <v>46052</v>
      </c>
      <c r="BG41" s="14" cm="1">
        <f t="array" ref="BG41">VALUE(_xll.BDP($B41,"INTERVAL_DATE_OF_CALC_LO","CALC_INTERVAL","3M"))</f>
        <v>45986</v>
      </c>
      <c r="BH41" s="14" cm="1">
        <f t="array" ref="BH41">VALUE(_xll.BDP($B41,"INTERVAL_DATE_OF_CALC_HI","CALC_INTERVAL","1M"))</f>
        <v>46052</v>
      </c>
      <c r="BI41" s="14" cm="1">
        <f t="array" ref="BI41">VALUE(_xll.BDP($B41,"INTERVAL_DATE_OF_CALC_LO","CALC_INTERVAL","1M"))</f>
        <v>46034</v>
      </c>
      <c r="BJ41" s="15">
        <f>$F41-MIN(_xll.BDP("NYA Index","RSI_14D"),_xll.BDP("RSP US Equity","RSI_14D"))</f>
        <v>-16.622471339506994</v>
      </c>
    </row>
    <row r="42" spans="1:62" x14ac:dyDescent="0.25">
      <c r="A42" s="11">
        <v>41</v>
      </c>
      <c r="B42" s="26" t="s">
        <v>548</v>
      </c>
      <c r="C42" s="1" t="s">
        <v>549</v>
      </c>
      <c r="D42" s="1" t="s">
        <v>541</v>
      </c>
      <c r="E42" s="11" t="s">
        <v>541</v>
      </c>
      <c r="F42">
        <f>IFERROR(VALUE((_xll.BDP($B42,"interval_rsi","tech_studies_param1_override",14))),"")</f>
        <v>31.648</v>
      </c>
      <c r="G42">
        <f t="shared" si="0"/>
        <v>52.525531939815814</v>
      </c>
      <c r="H42">
        <f t="shared" ref="H42:H104" si="38">IF(AND(F42-G42&gt;10,G42&lt;65),1,0)</f>
        <v>0</v>
      </c>
      <c r="I42" cm="1">
        <f t="array" ref="I42">IFERROR(VALUE(_xll.BDP($B42,"px_last")),"")</f>
        <v>0.25609999999999999</v>
      </c>
      <c r="J42">
        <f t="shared" si="1"/>
        <v>6941.47</v>
      </c>
      <c r="K42" cm="1">
        <f t="array" ref="K42">IFERROR(VALUE(_xll.BDP($B42,"PX_YEST_CLOSE")),"")</f>
        <v>0.25829999999999997</v>
      </c>
      <c r="L42">
        <f t="shared" si="2"/>
        <v>6941.81</v>
      </c>
      <c r="M42">
        <f t="shared" ref="M42:M104" si="39">I42/J42</f>
        <v>3.6894202524825431E-5</v>
      </c>
      <c r="N42">
        <f t="shared" ref="N42:N104" si="40">K42/L42</f>
        <v>3.7209315726013817E-5</v>
      </c>
      <c r="O42" cm="1">
        <f t="array" ref="O42">IFERROR(VALUE(_xll.BDP($B42,"INTERVAL_MAE_MOV_AVG","CALC_INTERVAL","520D","TECH_STUDIES_PARAM1_OVERRIDE",50,"USE_PREVIOUS_BUSINESS_DAY","N")),"")</f>
        <v>0.3503</v>
      </c>
      <c r="P42">
        <f t="shared" si="3"/>
        <v>6894.0953999999992</v>
      </c>
      <c r="Q42" cm="1">
        <f t="array" ref="Q42">IFERROR(VALUE(_xll.BDP($B42,"INTERVAL_MAE_MOV_AVG","CALC_INTERVAL","520D","TECH_STUDIES_PARAM1_OVERRIDE",50,"USE_PREVIOUS_BUSINESS_DAY","Y")),"")</f>
        <v>0.35239999999999999</v>
      </c>
      <c r="R42">
        <f t="shared" si="4"/>
        <v>6892.2477999999992</v>
      </c>
      <c r="S42">
        <f t="shared" ref="S42:S104" si="41">O42/P42</f>
        <v>5.0811597414216233E-5</v>
      </c>
      <c r="T42">
        <f t="shared" ref="T42:T104" si="42">Q42/R42</f>
        <v>5.1129908590924433E-5</v>
      </c>
      <c r="U42" s="11" t="str">
        <f t="shared" ref="U42:U104" si="43">IF(H42=1,"POSITIVE","NEGATIVE")</f>
        <v>NEGATIVE</v>
      </c>
      <c r="V42" s="11" t="str">
        <f t="shared" ref="V42:V104" si="44">IF(AND(K42&lt;Q42,I42&gt;O42),"UP","")</f>
        <v/>
      </c>
      <c r="W42" s="11" t="str">
        <f t="shared" ref="W42:W104" si="45">IF(S42&gt;T42,"UP",IF(S42&lt;T42,"DOWN",""))</f>
        <v>DOWN</v>
      </c>
      <c r="X42" s="6" t="str">
        <f t="shared" ref="X42:X104" si="46">IF(AND(N42&lt;T42,M42&gt;S42),"BUY",IF(AND(N42&gt;T42,M42&lt;S42),"SELL",IF(M42&gt;S42,"POSITIVE","NEGATIVE")))</f>
        <v>NEGATIVE</v>
      </c>
      <c r="Y42" cm="1">
        <f t="array" ref="Y42">IFERROR(VALUE(_xll.BDP($B42,"INTERVAL_MAE_MOV_AVG","CALC_INTERVAL","520D","TECH_STUDIES_PARAM1_OVERRIDE",65,"USE_PREVIOUS_BUSINESS_DAY","N")),"")</f>
        <v>0.36030000000000001</v>
      </c>
      <c r="Z42">
        <f t="shared" si="5"/>
        <v>6856.0226153846133</v>
      </c>
      <c r="AA42" cm="1">
        <f t="array" ref="AA42">IFERROR(VALUE(_xll.BDP($B42,"INTERVAL_MAE_MOV_AVG","CALC_INTERVAL","520D","TECH_STUDIES_PARAM1_OVERRIDE",65,"USE_PREVIOUS_BUSINESS_DAY","Y")),"")</f>
        <v>0.36299999999999999</v>
      </c>
      <c r="AB42">
        <f t="shared" si="6"/>
        <v>6852.6203076923057</v>
      </c>
      <c r="AC42">
        <f t="shared" ref="AC42:AC104" si="47">Y42/Z42</f>
        <v>5.2552335400922199E-5</v>
      </c>
      <c r="AD42">
        <f t="shared" ref="AD42:AD104" si="48">AA42/AB42</f>
        <v>5.2972437359840266E-5</v>
      </c>
      <c r="AE42" s="10" t="str">
        <f t="shared" ref="AE42:AE104" si="49">IF(Y42&gt;AA42,"UP",IF(Y42&lt;AA42,"DOWN",""))</f>
        <v>DOWN</v>
      </c>
      <c r="AF42" s="10" t="str">
        <f t="shared" ref="AF42:AF104" si="50">IF(AC42&gt;AD42,"UP",IF(AC42&lt;AD42,"DOWN",""))</f>
        <v>DOWN</v>
      </c>
      <c r="AG42" s="6" t="str">
        <f t="shared" ref="AG42:AG104" si="51">IF(AND(N42&lt;AD42,M42&gt;AC42),"BUY",IF(AND(N42&gt;AD42,M42&lt;AC42),"SELL",IF(M42&gt;AC42,"POSITIVE","NEGATIVE")))</f>
        <v>NEGATIVE</v>
      </c>
      <c r="AH42" cm="1">
        <f t="array" ref="AH42">IFERROR(VALUE(_xll.BDP($B42,"INTERVAL_MAE_MOV_AVG","CALC_INTERVAL","65W","PERIODICITY_OVERRIDE","W","TECH_STUDIES_PARAM1_OVERRIDE",39,"USE_PREVIOUS_BUSINESS_DAY","N")),"")</f>
        <v>0.6079</v>
      </c>
      <c r="AI42">
        <f t="shared" si="7"/>
        <v>6560.7735897435905</v>
      </c>
      <c r="AJ42" cm="1">
        <f t="array" ref="AJ42">IFERROR(VALUE(_xll.BDP($B42,"INTERVAL_MAE_MOV_AVG","CALC_INTERVAL","65W","PERIODICITY_OVERRIDE","W","TECH_STUDIES_PARAM1_OVERRIDE",39,"USE_PREVIOUS_BUSINESS_DAY","Y")),"")</f>
        <v>0.60799999999999998</v>
      </c>
      <c r="AK42">
        <f t="shared" si="8"/>
        <v>6560.7823076923087</v>
      </c>
      <c r="AL42">
        <f t="shared" ref="AL42:AL104" si="52">AH42/AI42</f>
        <v>9.265675635420884E-5</v>
      </c>
      <c r="AM42">
        <f t="shared" ref="AM42:AM104" si="53">AJ42/AK42</f>
        <v>9.2671875316932754E-5</v>
      </c>
      <c r="AN42" s="10" t="str">
        <f t="shared" ref="AN42:AN104" si="54">IF(AH42&gt;AJ42,"UP",IF(AH42&lt;AJ42,"DOWN",""))</f>
        <v>DOWN</v>
      </c>
      <c r="AO42" s="10" t="str">
        <f t="shared" ref="AO42:AO104" si="55">IF(AL42&gt;AM42,"UP",IF(AL42&lt;AM42,"DOWN",""))</f>
        <v>DOWN</v>
      </c>
      <c r="AP42" s="6" t="str">
        <f t="shared" ref="AP42:AP104" si="56">IF(AND(N42&lt;AM42,M42&gt;AL42),"BUY",IF(AND(N42&gt;AM42,M42&lt;AL42),"SELL",IF(M42&gt;AL42,"POSITIVE","NEGATIVE")))</f>
        <v>NEGATIVE</v>
      </c>
      <c r="AQ42" cm="1">
        <f t="array" ref="AQ42">IFERROR(VALUE(_xll.BDP($B42,"INTERVAL_exp_MOV_AVG","CALC_INTERVAL","520D","TECH_STUDIES_PARAM1_OVERRIDE",100,"USE_PREVIOUS_BUSINESS_DAY","N")),"")</f>
        <v>0.41599999999999998</v>
      </c>
      <c r="AR42">
        <f t="shared" si="9"/>
        <v>6773.0064518682802</v>
      </c>
      <c r="AS42" cm="1">
        <f t="array" ref="AS42">IFERROR(VALUE(_xll.BDP($B42,"INTERVAL_exp_MOV_AVG","CALC_INTERVAL","520D","TECH_STUDIES_PARAM1_OVERRIDE",100,"USE_PREVIOUS_BUSINESS_DAY","Y")),"")</f>
        <v>0.41920000000000002</v>
      </c>
      <c r="AT42">
        <f t="shared" si="10"/>
        <v>6769.6039787132295</v>
      </c>
      <c r="AU42">
        <f t="shared" ref="AU42:AU104" si="57">AQ42/AR42</f>
        <v>6.1420286981307931E-5</v>
      </c>
      <c r="AV42">
        <f t="shared" ref="AV42:AV104" si="58">AS42/AT42</f>
        <v>6.1923858665611606E-5</v>
      </c>
      <c r="AW42" s="11" t="str">
        <f t="shared" ref="AW42:AW104" si="59">IF(AQ42&gt;AS42,"UP",IF(AQ42&lt;AS42,"DOWN",""))</f>
        <v>DOWN</v>
      </c>
      <c r="AX42" s="11" t="str">
        <f t="shared" ref="AX42:AX104" si="60">IF(AU42&gt;AV42,"UP",IF(AU42&lt;AV42,"DOWN",""))</f>
        <v>DOWN</v>
      </c>
      <c r="AY42" s="6" t="str">
        <f t="shared" ref="AY42:AY104" si="61">IF(AND(N42&lt;AV42,M42&gt;AU42),"BUY",IF(AND(N42&gt;AV42,M42&lt;AU42),"SELL",IF(M42&gt;AU42,"POSITIVE","NEGATIVE")))</f>
        <v>NEGATIVE</v>
      </c>
      <c r="AZ42" s="12" cm="1">
        <f t="array" ref="AZ42">_xll.BDP($B42, "INTERVAL_RSI", "TECH_STUDIES_PARAM1_OVERRIDE", "5", "PERIODICITY_OVERRIDE", "W")</f>
        <v>10.656000000000001</v>
      </c>
      <c r="BA42" cm="1">
        <f t="array" ref="BA42">IFERROR(VALUE(_xll.BDP($B42,"INTERVAL_MAE_MOV_AVG","CALC_INTERVAL","520D","TECH_STUDIES_PARAM1_OVERRIDE",31,"USE_PREVIOUS_BUSINESS_DAY","N")),"")</f>
        <v>0.33360000000000001</v>
      </c>
      <c r="BB42" cm="1">
        <f t="array" ref="BB42">IFERROR(VALUE(_xll.BDP($B42,"INTERVAL_MAE_MOV_AVG","CALC_INTERVAL","760D","TECH_STUDIES_PARAM1_OVERRIDE",200,"USE_PREVIOUS_BUSINESS_DAY","N")),"")</f>
        <v>0.59470000000000001</v>
      </c>
      <c r="BC42" s="13">
        <f t="shared" ref="BC42:BC104" si="62">-1+(I42/BA42)</f>
        <v>-0.23231414868105515</v>
      </c>
      <c r="BD42" s="13">
        <f t="shared" ref="BD42:BD104" si="63">-1+(I42/O42)</f>
        <v>-0.26891236083357128</v>
      </c>
      <c r="BE42" s="13">
        <f t="shared" ref="BE42:BE104" si="64">-1+(I42/BB42)</f>
        <v>-0.56936270388431143</v>
      </c>
      <c r="BF42" s="14" cm="1">
        <f t="array" ref="BF42">VALUE(_xll.BDP($B42,"INTERVAL_DATE_OF_CALC_HI","CALC_INTERVAL","3M"))</f>
        <v>45972</v>
      </c>
      <c r="BG42" s="14" cm="1">
        <f t="array" ref="BG42">VALUE(_xll.BDP($B42,"INTERVAL_DATE_OF_CALC_LO","CALC_INTERVAL","3M"))</f>
        <v>46058</v>
      </c>
      <c r="BH42" s="14" cm="1">
        <f t="array" ref="BH42">VALUE(_xll.BDP($B42,"INTERVAL_DATE_OF_CALC_HI","CALC_INTERVAL","1M"))</f>
        <v>46036</v>
      </c>
      <c r="BI42" s="14" cm="1">
        <f t="array" ref="BI42">VALUE(_xll.BDP($B42,"INTERVAL_DATE_OF_CALC_LO","CALC_INTERVAL","1M"))</f>
        <v>46058</v>
      </c>
      <c r="BJ42" s="15">
        <f>$F42-MIN(_xll.BDP("NYA Index","RSI_14D"),_xll.BDP("RSP US Equity","RSI_14D"))</f>
        <v>-34.697764160156254</v>
      </c>
    </row>
    <row r="43" spans="1:62" x14ac:dyDescent="0.25">
      <c r="A43" s="11">
        <v>42</v>
      </c>
      <c r="B43" s="26" t="s">
        <v>539</v>
      </c>
      <c r="C43" s="1" t="s">
        <v>540</v>
      </c>
      <c r="D43" s="1" t="s">
        <v>541</v>
      </c>
      <c r="E43" s="11" t="s">
        <v>541</v>
      </c>
      <c r="F43">
        <f>IFERROR(VALUE((_xll.BDP($B43,"interval_rsi","tech_studies_param1_override",14))),"")</f>
        <v>30.978999999999999</v>
      </c>
      <c r="G43">
        <f t="shared" si="0"/>
        <v>52.525531939815814</v>
      </c>
      <c r="H43">
        <f t="shared" si="38"/>
        <v>0</v>
      </c>
      <c r="I43" cm="1">
        <f t="array" ref="I43">IFERROR(VALUE(_xll.BDP($B43,"px_last")),"")</f>
        <v>67243.199999999997</v>
      </c>
      <c r="J43">
        <f t="shared" si="1"/>
        <v>6941.47</v>
      </c>
      <c r="K43" cm="1">
        <f t="array" ref="K43">IFERROR(VALUE(_xll.BDP($B43,"PX_YEST_CLOSE")),"")</f>
        <v>67757.23</v>
      </c>
      <c r="L43">
        <f t="shared" si="2"/>
        <v>6941.81</v>
      </c>
      <c r="M43">
        <f t="shared" si="39"/>
        <v>9.6871700086581072</v>
      </c>
      <c r="N43">
        <f t="shared" si="40"/>
        <v>9.7607439558270812</v>
      </c>
      <c r="O43" cm="1">
        <f t="array" ref="O43">IFERROR(VALUE(_xll.BDP($B43,"INTERVAL_MAE_MOV_AVG","CALC_INTERVAL","520D","TECH_STUDIES_PARAM1_OVERRIDE",50,"USE_PREVIOUS_BUSINESS_DAY","N")),"")</f>
        <v>85796.74</v>
      </c>
      <c r="P43">
        <f t="shared" si="3"/>
        <v>6894.0953999999992</v>
      </c>
      <c r="Q43" cm="1">
        <f t="array" ref="Q43">IFERROR(VALUE(_xll.BDP($B43,"INTERVAL_MAE_MOV_AVG","CALC_INTERVAL","520D","TECH_STUDIES_PARAM1_OVERRIDE",50,"USE_PREVIOUS_BUSINESS_DAY","Y")),"")</f>
        <v>86194.83</v>
      </c>
      <c r="R43">
        <f t="shared" si="4"/>
        <v>6892.2477999999992</v>
      </c>
      <c r="S43">
        <f t="shared" si="41"/>
        <v>12.444959783991386</v>
      </c>
      <c r="T43">
        <f t="shared" si="42"/>
        <v>12.506054991232325</v>
      </c>
      <c r="U43" s="11" t="str">
        <f t="shared" si="43"/>
        <v>NEGATIVE</v>
      </c>
      <c r="V43" s="11" t="str">
        <f t="shared" si="44"/>
        <v/>
      </c>
      <c r="W43" s="11" t="str">
        <f t="shared" si="45"/>
        <v>DOWN</v>
      </c>
      <c r="X43" s="6" t="str">
        <f t="shared" si="46"/>
        <v>NEGATIVE</v>
      </c>
      <c r="Y43" cm="1">
        <f t="array" ref="Y43">IFERROR(VALUE(_xll.BDP($B43,"INTERVAL_MAE_MOV_AVG","CALC_INTERVAL","520D","TECH_STUDIES_PARAM1_OVERRIDE",65,"USE_PREVIOUS_BUSINESS_DAY","N")),"")</f>
        <v>86494.03</v>
      </c>
      <c r="Z43">
        <f t="shared" si="5"/>
        <v>6856.0226153846133</v>
      </c>
      <c r="AA43" cm="1">
        <f t="array" ref="AA43">IFERROR(VALUE(_xll.BDP($B43,"INTERVAL_MAE_MOV_AVG","CALC_INTERVAL","520D","TECH_STUDIES_PARAM1_OVERRIDE",65,"USE_PREVIOUS_BUSINESS_DAY","Y")),"")</f>
        <v>86856.72</v>
      </c>
      <c r="AB43">
        <f t="shared" si="6"/>
        <v>6852.6203076923057</v>
      </c>
      <c r="AC43">
        <f t="shared" si="47"/>
        <v>12.615773729496048</v>
      </c>
      <c r="AD43">
        <f t="shared" si="48"/>
        <v>12.674964626669933</v>
      </c>
      <c r="AE43" s="10" t="str">
        <f t="shared" si="49"/>
        <v>DOWN</v>
      </c>
      <c r="AF43" s="10" t="str">
        <f t="shared" si="50"/>
        <v>DOWN</v>
      </c>
      <c r="AG43" s="6" t="str">
        <f t="shared" si="51"/>
        <v>NEGATIVE</v>
      </c>
      <c r="AH43" cm="1">
        <f t="array" ref="AH43">IFERROR(VALUE(_xll.BDP($B43,"INTERVAL_MAE_MOV_AVG","CALC_INTERVAL","65W","PERIODICITY_OVERRIDE","W","TECH_STUDIES_PARAM1_OVERRIDE",39,"USE_PREVIOUS_BUSINESS_DAY","N")),"")</f>
        <v>102597.7</v>
      </c>
      <c r="AI43">
        <f t="shared" si="7"/>
        <v>6560.7735897435905</v>
      </c>
      <c r="AJ43" cm="1">
        <f t="array" ref="AJ43">IFERROR(VALUE(_xll.BDP($B43,"INTERVAL_MAE_MOV_AVG","CALC_INTERVAL","65W","PERIODICITY_OVERRIDE","W","TECH_STUDIES_PARAM1_OVERRIDE",39,"USE_PREVIOUS_BUSINESS_DAY","Y")),"")</f>
        <v>102619.7</v>
      </c>
      <c r="AK43">
        <f t="shared" si="8"/>
        <v>6560.7823076923087</v>
      </c>
      <c r="AL43">
        <f t="shared" si="52"/>
        <v>15.638049171577912</v>
      </c>
      <c r="AM43">
        <f t="shared" si="53"/>
        <v>15.641381650429349</v>
      </c>
      <c r="AN43" s="10" t="str">
        <f t="shared" si="54"/>
        <v>DOWN</v>
      </c>
      <c r="AO43" s="10" t="str">
        <f t="shared" si="55"/>
        <v>DOWN</v>
      </c>
      <c r="AP43" s="6" t="str">
        <f t="shared" si="56"/>
        <v>NEGATIVE</v>
      </c>
      <c r="AQ43" cm="1">
        <f t="array" ref="AQ43">IFERROR(VALUE(_xll.BDP($B43,"INTERVAL_exp_MOV_AVG","CALC_INTERVAL","520D","TECH_STUDIES_PARAM1_OVERRIDE",100,"USE_PREVIOUS_BUSINESS_DAY","N")),"")</f>
        <v>89453.31</v>
      </c>
      <c r="AR43">
        <f t="shared" si="9"/>
        <v>6773.0064518682802</v>
      </c>
      <c r="AS43" cm="1">
        <f t="array" ref="AS43">IFERROR(VALUE(_xll.BDP($B43,"INTERVAL_exp_MOV_AVG","CALC_INTERVAL","520D","TECH_STUDIES_PARAM1_OVERRIDE",100,"USE_PREVIOUS_BUSINESS_DAY","Y")),"")</f>
        <v>89891.6</v>
      </c>
      <c r="AT43">
        <f t="shared" si="10"/>
        <v>6769.6039787132295</v>
      </c>
      <c r="AU43">
        <f t="shared" si="57"/>
        <v>13.207326854874767</v>
      </c>
      <c r="AV43">
        <f t="shared" si="58"/>
        <v>13.278708811129992</v>
      </c>
      <c r="AW43" s="11" t="str">
        <f t="shared" si="59"/>
        <v>DOWN</v>
      </c>
      <c r="AX43" s="11" t="str">
        <f t="shared" si="60"/>
        <v>DOWN</v>
      </c>
      <c r="AY43" s="6" t="str">
        <f t="shared" si="61"/>
        <v>NEGATIVE</v>
      </c>
      <c r="AZ43" s="12" cm="1">
        <f t="array" ref="AZ43">_xll.BDP($B43, "INTERVAL_RSI", "TECH_STUDIES_PARAM1_OVERRIDE", "5", "PERIODICITY_OVERRIDE", "W")</f>
        <v>14.561999999999999</v>
      </c>
      <c r="BA43" cm="1">
        <f t="array" ref="BA43">IFERROR(VALUE(_xll.BDP($B43,"INTERVAL_MAE_MOV_AVG","CALC_INTERVAL","520D","TECH_STUDIES_PARAM1_OVERRIDE",31,"USE_PREVIOUS_BUSINESS_DAY","N")),"")</f>
        <v>83476.77</v>
      </c>
      <c r="BB43" cm="1">
        <f t="array" ref="BB43">IFERROR(VALUE(_xll.BDP($B43,"INTERVAL_MAE_MOV_AVG","CALC_INTERVAL","760D","TECH_STUDIES_PARAM1_OVERRIDE",200,"USE_PREVIOUS_BUSINESS_DAY","N")),"")</f>
        <v>101557.6</v>
      </c>
      <c r="BC43" s="13">
        <f t="shared" si="62"/>
        <v>-0.19446811370396822</v>
      </c>
      <c r="BD43" s="13">
        <f t="shared" si="63"/>
        <v>-0.21624994143134113</v>
      </c>
      <c r="BE43" s="13">
        <f t="shared" si="64"/>
        <v>-0.33788116300503368</v>
      </c>
      <c r="BF43" s="14" cm="1">
        <f t="array" ref="BF43">VALUE(_xll.BDP($B43,"INTERVAL_DATE_OF_CALC_HI","CALC_INTERVAL","3M"))</f>
        <v>45972</v>
      </c>
      <c r="BG43" s="14" cm="1">
        <f t="array" ref="BG43">VALUE(_xll.BDP($B43,"INTERVAL_DATE_OF_CALC_LO","CALC_INTERVAL","3M"))</f>
        <v>46058</v>
      </c>
      <c r="BH43" s="14" cm="1">
        <f t="array" ref="BH43">VALUE(_xll.BDP($B43,"INTERVAL_DATE_OF_CALC_HI","CALC_INTERVAL","1M"))</f>
        <v>46036</v>
      </c>
      <c r="BI43" s="14" cm="1">
        <f t="array" ref="BI43">VALUE(_xll.BDP($B43,"INTERVAL_DATE_OF_CALC_LO","CALC_INTERVAL","1M"))</f>
        <v>46058</v>
      </c>
      <c r="BJ43" s="15">
        <f>$F43-MIN(_xll.BDP("NYA Index","RSI_14D"),_xll.BDP("RSP US Equity","RSI_14D"))</f>
        <v>-35.366764160156251</v>
      </c>
    </row>
    <row r="44" spans="1:62" x14ac:dyDescent="0.25">
      <c r="A44" s="11">
        <v>43</v>
      </c>
      <c r="B44" s="26" t="s">
        <v>542</v>
      </c>
      <c r="C44" s="1" t="s">
        <v>543</v>
      </c>
      <c r="D44" s="1" t="s">
        <v>541</v>
      </c>
      <c r="E44" s="11" t="s">
        <v>541</v>
      </c>
      <c r="F44">
        <f>IFERROR(VALUE((_xll.BDP($B44,"interval_rsi","tech_studies_param1_override",14))),"")</f>
        <v>28.927</v>
      </c>
      <c r="G44">
        <f t="shared" si="0"/>
        <v>52.525531939815814</v>
      </c>
      <c r="H44">
        <f t="shared" si="38"/>
        <v>0</v>
      </c>
      <c r="I44" cm="1">
        <f t="array" ref="I44">IFERROR(VALUE(_xll.BDP($B44,"px_last")),"")</f>
        <v>1946.578</v>
      </c>
      <c r="J44">
        <f t="shared" si="1"/>
        <v>6941.47</v>
      </c>
      <c r="K44" cm="1">
        <f t="array" ref="K44">IFERROR(VALUE(_xll.BDP($B44,"PX_YEST_CLOSE")),"")</f>
        <v>1969.17</v>
      </c>
      <c r="L44">
        <f t="shared" si="2"/>
        <v>6941.81</v>
      </c>
      <c r="M44">
        <f t="shared" si="39"/>
        <v>0.28042734464025632</v>
      </c>
      <c r="N44">
        <f t="shared" si="40"/>
        <v>0.28366809232750534</v>
      </c>
      <c r="O44" cm="1">
        <f t="array" ref="O44">IFERROR(VALUE(_xll.BDP($B44,"INTERVAL_MAE_MOV_AVG","CALC_INTERVAL","520D","TECH_STUDIES_PARAM1_OVERRIDE",50,"USE_PREVIOUS_BUSINESS_DAY","N")),"")</f>
        <v>2838.28</v>
      </c>
      <c r="P44">
        <f t="shared" si="3"/>
        <v>6894.0953999999992</v>
      </c>
      <c r="Q44" cm="1">
        <f t="array" ref="Q44">IFERROR(VALUE(_xll.BDP($B44,"INTERVAL_MAE_MOV_AVG","CALC_INTERVAL","520D","TECH_STUDIES_PARAM1_OVERRIDE",50,"USE_PREVIOUS_BUSINESS_DAY","Y")),"")</f>
        <v>2858.357</v>
      </c>
      <c r="R44">
        <f t="shared" si="4"/>
        <v>6892.2477999999992</v>
      </c>
      <c r="S44">
        <f t="shared" si="41"/>
        <v>0.41169723296837474</v>
      </c>
      <c r="T44">
        <f t="shared" si="42"/>
        <v>0.41472057925717648</v>
      </c>
      <c r="U44" s="11" t="str">
        <f t="shared" si="43"/>
        <v>NEGATIVE</v>
      </c>
      <c r="V44" s="11" t="str">
        <f t="shared" si="44"/>
        <v/>
      </c>
      <c r="W44" s="11" t="str">
        <f t="shared" si="45"/>
        <v>DOWN</v>
      </c>
      <c r="X44" s="6" t="str">
        <f t="shared" si="46"/>
        <v>NEGATIVE</v>
      </c>
      <c r="Y44" cm="1">
        <f t="array" ref="Y44">IFERROR(VALUE(_xll.BDP($B44,"INTERVAL_MAE_MOV_AVG","CALC_INTERVAL","520D","TECH_STUDIES_PARAM1_OVERRIDE",65,"USE_PREVIOUS_BUSINESS_DAY","N")),"")</f>
        <v>2884.8449999999998</v>
      </c>
      <c r="Z44">
        <f t="shared" si="5"/>
        <v>6856.0226153846133</v>
      </c>
      <c r="AA44" cm="1">
        <f t="array" ref="AA44">IFERROR(VALUE(_xll.BDP($B44,"INTERVAL_MAE_MOV_AVG","CALC_INTERVAL","520D","TECH_STUDIES_PARAM1_OVERRIDE",65,"USE_PREVIOUS_BUSINESS_DAY","Y")),"")</f>
        <v>2902.9760000000001</v>
      </c>
      <c r="AB44">
        <f t="shared" si="6"/>
        <v>6852.6203076923057</v>
      </c>
      <c r="AC44">
        <f t="shared" si="47"/>
        <v>0.42077530396800827</v>
      </c>
      <c r="AD44">
        <f t="shared" si="48"/>
        <v>0.42363006698931038</v>
      </c>
      <c r="AE44" s="10" t="str">
        <f t="shared" si="49"/>
        <v>DOWN</v>
      </c>
      <c r="AF44" s="10" t="str">
        <f t="shared" si="50"/>
        <v>DOWN</v>
      </c>
      <c r="AG44" s="6" t="str">
        <f t="shared" si="51"/>
        <v>NEGATIVE</v>
      </c>
      <c r="AH44" cm="1">
        <f t="array" ref="AH44">IFERROR(VALUE(_xll.BDP($B44,"INTERVAL_MAE_MOV_AVG","CALC_INTERVAL","65W","PERIODICITY_OVERRIDE","W","TECH_STUDIES_PARAM1_OVERRIDE",39,"USE_PREVIOUS_BUSINESS_DAY","N")),"")</f>
        <v>3349.2849999999999</v>
      </c>
      <c r="AI44">
        <f t="shared" si="7"/>
        <v>6560.7735897435905</v>
      </c>
      <c r="AJ44" cm="1">
        <f t="array" ref="AJ44">IFERROR(VALUE(_xll.BDP($B44,"INTERVAL_MAE_MOV_AVG","CALC_INTERVAL","65W","PERIODICITY_OVERRIDE","W","TECH_STUDIES_PARAM1_OVERRIDE",39,"USE_PREVIOUS_BUSINESS_DAY","Y")),"")</f>
        <v>3350.2739999999999</v>
      </c>
      <c r="AK44">
        <f t="shared" si="8"/>
        <v>6560.7823076923087</v>
      </c>
      <c r="AL44">
        <f t="shared" si="52"/>
        <v>0.51050153677546695</v>
      </c>
      <c r="AM44">
        <f t="shared" si="53"/>
        <v>0.51065160264072629</v>
      </c>
      <c r="AN44" s="10" t="str">
        <f t="shared" si="54"/>
        <v>DOWN</v>
      </c>
      <c r="AO44" s="10" t="str">
        <f t="shared" si="55"/>
        <v>DOWN</v>
      </c>
      <c r="AP44" s="6" t="str">
        <f t="shared" si="56"/>
        <v>NEGATIVE</v>
      </c>
      <c r="AQ44" cm="1">
        <f t="array" ref="AQ44">IFERROR(VALUE(_xll.BDP($B44,"INTERVAL_exp_MOV_AVG","CALC_INTERVAL","520D","TECH_STUDIES_PARAM1_OVERRIDE",100,"USE_PREVIOUS_BUSINESS_DAY","N")),"")</f>
        <v>2981.1979999999999</v>
      </c>
      <c r="AR44">
        <f t="shared" si="9"/>
        <v>6773.0064518682802</v>
      </c>
      <c r="AS44" cm="1">
        <f t="array" ref="AS44">IFERROR(VALUE(_xll.BDP($B44,"INTERVAL_exp_MOV_AVG","CALC_INTERVAL","520D","TECH_STUDIES_PARAM1_OVERRIDE",100,"USE_PREVIOUS_BUSINESS_DAY","Y")),"")</f>
        <v>3001.6419999999998</v>
      </c>
      <c r="AT44">
        <f t="shared" si="10"/>
        <v>6769.6039787132295</v>
      </c>
      <c r="AU44">
        <f t="shared" si="57"/>
        <v>0.44015874208678185</v>
      </c>
      <c r="AV44">
        <f t="shared" si="58"/>
        <v>0.44339994029762342</v>
      </c>
      <c r="AW44" s="11" t="str">
        <f t="shared" si="59"/>
        <v>DOWN</v>
      </c>
      <c r="AX44" s="11" t="str">
        <f t="shared" si="60"/>
        <v>DOWN</v>
      </c>
      <c r="AY44" s="6" t="str">
        <f t="shared" si="61"/>
        <v>NEGATIVE</v>
      </c>
      <c r="AZ44" s="12" cm="1">
        <f t="array" ref="AZ44">_xll.BDP($B44, "INTERVAL_RSI", "TECH_STUDIES_PARAM1_OVERRIDE", "5", "PERIODICITY_OVERRIDE", "W")</f>
        <v>15.518000000000001</v>
      </c>
      <c r="BA44" cm="1">
        <f t="array" ref="BA44">IFERROR(VALUE(_xll.BDP($B44,"INTERVAL_MAE_MOV_AVG","CALC_INTERVAL","520D","TECH_STUDIES_PARAM1_OVERRIDE",31,"USE_PREVIOUS_BUSINESS_DAY","N")),"")</f>
        <v>2706.9760000000001</v>
      </c>
      <c r="BB44" cm="1">
        <f t="array" ref="BB44">IFERROR(VALUE(_xll.BDP($B44,"INTERVAL_MAE_MOV_AVG","CALC_INTERVAL","760D","TECH_STUDIES_PARAM1_OVERRIDE",200,"USE_PREVIOUS_BUSINESS_DAY","N")),"")</f>
        <v>3580.3760000000002</v>
      </c>
      <c r="BC44" s="13">
        <f t="shared" si="62"/>
        <v>-0.28090311846133842</v>
      </c>
      <c r="BD44" s="13">
        <f t="shared" si="63"/>
        <v>-0.31416984934537828</v>
      </c>
      <c r="BE44" s="13">
        <f t="shared" si="64"/>
        <v>-0.4563202300540502</v>
      </c>
      <c r="BF44" s="14" cm="1">
        <f t="array" ref="BF44">VALUE(_xll.BDP($B44,"INTERVAL_DATE_OF_CALC_HI","CALC_INTERVAL","3M"))</f>
        <v>45973</v>
      </c>
      <c r="BG44" s="14" cm="1">
        <f t="array" ref="BG44">VALUE(_xll.BDP($B44,"INTERVAL_DATE_OF_CALC_LO","CALC_INTERVAL","3M"))</f>
        <v>46058</v>
      </c>
      <c r="BH44" s="14" cm="1">
        <f t="array" ref="BH44">VALUE(_xll.BDP($B44,"INTERVAL_DATE_OF_CALC_HI","CALC_INTERVAL","1M"))</f>
        <v>46036</v>
      </c>
      <c r="BI44" s="14" cm="1">
        <f t="array" ref="BI44">VALUE(_xll.BDP($B44,"INTERVAL_DATE_OF_CALC_LO","CALC_INTERVAL","1M"))</f>
        <v>46058</v>
      </c>
      <c r="BJ44" s="15">
        <f>$F44-MIN(_xll.BDP("NYA Index","RSI_14D"),_xll.BDP("RSP US Equity","RSI_14D"))</f>
        <v>-37.41876416015625</v>
      </c>
    </row>
    <row r="45" spans="1:62" x14ac:dyDescent="0.25">
      <c r="A45" s="11">
        <v>44</v>
      </c>
      <c r="B45" s="26" t="s">
        <v>544</v>
      </c>
      <c r="C45" s="1" t="s">
        <v>545</v>
      </c>
      <c r="D45" s="1" t="s">
        <v>541</v>
      </c>
      <c r="E45" s="11" t="s">
        <v>541</v>
      </c>
      <c r="F45">
        <f>IFERROR(VALUE((_xll.BDP($B45,"interval_rsi","tech_studies_param1_override",14))),"")</f>
        <v>34.636000000000003</v>
      </c>
      <c r="G45">
        <f t="shared" si="0"/>
        <v>52.525531939815814</v>
      </c>
      <c r="H45">
        <f t="shared" si="38"/>
        <v>0</v>
      </c>
      <c r="I45" cm="1">
        <f t="array" ref="I45">IFERROR(VALUE(_xll.BDP($B45,"px_last")),"")</f>
        <v>1.3676999999999999</v>
      </c>
      <c r="J45">
        <f t="shared" si="1"/>
        <v>6941.47</v>
      </c>
      <c r="K45" cm="1">
        <f t="array" ref="K45">IFERROR(VALUE(_xll.BDP($B45,"PX_YEST_CLOSE")),"")</f>
        <v>1.3823000000000001</v>
      </c>
      <c r="L45">
        <f t="shared" si="2"/>
        <v>6941.81</v>
      </c>
      <c r="M45">
        <f t="shared" si="39"/>
        <v>1.9703319325733597E-4</v>
      </c>
      <c r="N45">
        <f t="shared" si="40"/>
        <v>1.9912674072035969E-4</v>
      </c>
      <c r="O45" cm="1">
        <f t="array" ref="O45">IFERROR(VALUE(_xll.BDP($B45,"INTERVAL_MAE_MOV_AVG","CALC_INTERVAL","520D","TECH_STUDIES_PARAM1_OVERRIDE",50,"USE_PREVIOUS_BUSINESS_DAY","N")),"")</f>
        <v>1.8593</v>
      </c>
      <c r="P45">
        <f t="shared" si="3"/>
        <v>6894.0953999999992</v>
      </c>
      <c r="Q45" cm="1">
        <f t="array" ref="Q45">IFERROR(VALUE(_xll.BDP($B45,"INTERVAL_MAE_MOV_AVG","CALC_INTERVAL","520D","TECH_STUDIES_PARAM1_OVERRIDE",50,"USE_PREVIOUS_BUSINESS_DAY","Y")),"")</f>
        <v>1.8693</v>
      </c>
      <c r="R45">
        <f t="shared" si="4"/>
        <v>6892.2477999999992</v>
      </c>
      <c r="S45">
        <f t="shared" si="41"/>
        <v>2.6969455630103411E-4</v>
      </c>
      <c r="T45">
        <f t="shared" si="42"/>
        <v>2.712177585953889E-4</v>
      </c>
      <c r="U45" s="11" t="str">
        <f t="shared" si="43"/>
        <v>NEGATIVE</v>
      </c>
      <c r="V45" s="11" t="str">
        <f t="shared" si="44"/>
        <v/>
      </c>
      <c r="W45" s="11" t="str">
        <f t="shared" si="45"/>
        <v>DOWN</v>
      </c>
      <c r="X45" s="6" t="str">
        <f t="shared" si="46"/>
        <v>NEGATIVE</v>
      </c>
      <c r="Y45" cm="1">
        <f t="array" ref="Y45">IFERROR(VALUE(_xll.BDP($B45,"INTERVAL_MAE_MOV_AVG","CALC_INTERVAL","520D","TECH_STUDIES_PARAM1_OVERRIDE",65,"USE_PREVIOUS_BUSINESS_DAY","N")),"")</f>
        <v>1.8797999999999999</v>
      </c>
      <c r="Z45">
        <f t="shared" si="5"/>
        <v>6856.0226153846133</v>
      </c>
      <c r="AA45" cm="1">
        <f t="array" ref="AA45">IFERROR(VALUE(_xll.BDP($B45,"INTERVAL_MAE_MOV_AVG","CALC_INTERVAL","520D","TECH_STUDIES_PARAM1_OVERRIDE",65,"USE_PREVIOUS_BUSINESS_DAY","Y")),"")</f>
        <v>1.8907</v>
      </c>
      <c r="AB45">
        <f t="shared" si="6"/>
        <v>6852.6203076923057</v>
      </c>
      <c r="AC45">
        <f t="shared" si="47"/>
        <v>2.741822927745033E-4</v>
      </c>
      <c r="AD45">
        <f t="shared" si="48"/>
        <v>2.7590905596763083E-4</v>
      </c>
      <c r="AE45" s="10" t="str">
        <f t="shared" si="49"/>
        <v>DOWN</v>
      </c>
      <c r="AF45" s="10" t="str">
        <f t="shared" si="50"/>
        <v>DOWN</v>
      </c>
      <c r="AG45" s="6" t="str">
        <f t="shared" si="51"/>
        <v>NEGATIVE</v>
      </c>
      <c r="AH45" cm="1">
        <f t="array" ref="AH45">IFERROR(VALUE(_xll.BDP($B45,"INTERVAL_MAE_MOV_AVG","CALC_INTERVAL","65W","PERIODICITY_OVERRIDE","W","TECH_STUDIES_PARAM1_OVERRIDE",39,"USE_PREVIOUS_BUSINESS_DAY","N")),"")</f>
        <v>2.4049</v>
      </c>
      <c r="AI45">
        <f t="shared" si="7"/>
        <v>6560.7735897435905</v>
      </c>
      <c r="AJ45" cm="1">
        <f t="array" ref="AJ45">IFERROR(VALUE(_xll.BDP($B45,"INTERVAL_MAE_MOV_AVG","CALC_INTERVAL","65W","PERIODICITY_OVERRIDE","W","TECH_STUDIES_PARAM1_OVERRIDE",39,"USE_PREVIOUS_BUSINESS_DAY","Y")),"")</f>
        <v>2.4051999999999998</v>
      </c>
      <c r="AK45">
        <f t="shared" si="8"/>
        <v>6560.7823076923087</v>
      </c>
      <c r="AL45">
        <f t="shared" si="52"/>
        <v>3.6655738337923482E-4</v>
      </c>
      <c r="AM45">
        <f t="shared" si="53"/>
        <v>3.6660262255310303E-4</v>
      </c>
      <c r="AN45" s="10" t="str">
        <f t="shared" si="54"/>
        <v>DOWN</v>
      </c>
      <c r="AO45" s="10" t="str">
        <f t="shared" si="55"/>
        <v>DOWN</v>
      </c>
      <c r="AP45" s="6" t="str">
        <f t="shared" si="56"/>
        <v>NEGATIVE</v>
      </c>
      <c r="AQ45" cm="1">
        <f t="array" ref="AQ45">IFERROR(VALUE(_xll.BDP($B45,"INTERVAL_exp_MOV_AVG","CALC_INTERVAL","520D","TECH_STUDIES_PARAM1_OVERRIDE",100,"USE_PREVIOUS_BUSINESS_DAY","N")),"")</f>
        <v>1.9901</v>
      </c>
      <c r="AR45">
        <f t="shared" si="9"/>
        <v>6773.0064518682802</v>
      </c>
      <c r="AS45" cm="1">
        <f t="array" ref="AS45">IFERROR(VALUE(_xll.BDP($B45,"INTERVAL_exp_MOV_AVG","CALC_INTERVAL","520D","TECH_STUDIES_PARAM1_OVERRIDE",100,"USE_PREVIOUS_BUSINESS_DAY","Y")),"")</f>
        <v>2.0024000000000002</v>
      </c>
      <c r="AT45">
        <f t="shared" si="10"/>
        <v>6769.6039787132295</v>
      </c>
      <c r="AU45">
        <f t="shared" si="57"/>
        <v>2.9382815654206956E-4</v>
      </c>
      <c r="AV45">
        <f t="shared" si="58"/>
        <v>2.9579278290081272E-4</v>
      </c>
      <c r="AW45" s="11" t="str">
        <f t="shared" si="59"/>
        <v>DOWN</v>
      </c>
      <c r="AX45" s="11" t="str">
        <f t="shared" si="60"/>
        <v>DOWN</v>
      </c>
      <c r="AY45" s="6" t="str">
        <f t="shared" si="61"/>
        <v>NEGATIVE</v>
      </c>
      <c r="AZ45" s="12" cm="1">
        <f t="array" ref="AZ45">_xll.BDP($B45, "INTERVAL_RSI", "TECH_STUDIES_PARAM1_OVERRIDE", "5", "PERIODICITY_OVERRIDE", "W")</f>
        <v>13.052</v>
      </c>
      <c r="BA45" cm="1">
        <f t="array" ref="BA45">IFERROR(VALUE(_xll.BDP($B45,"INTERVAL_MAE_MOV_AVG","CALC_INTERVAL","520D","TECH_STUDIES_PARAM1_OVERRIDE",31,"USE_PREVIOUS_BUSINESS_DAY","N")),"")</f>
        <v>1.772</v>
      </c>
      <c r="BB45" cm="1">
        <f t="array" ref="BB45">IFERROR(VALUE(_xll.BDP($B45,"INTERVAL_MAE_MOV_AVG","CALC_INTERVAL","760D","TECH_STUDIES_PARAM1_OVERRIDE",200,"USE_PREVIOUS_BUSINESS_DAY","N")),"")</f>
        <v>2.4217</v>
      </c>
      <c r="BC45" s="13">
        <f t="shared" si="62"/>
        <v>-0.22816027088036128</v>
      </c>
      <c r="BD45" s="13">
        <f t="shared" si="63"/>
        <v>-0.26440058086376594</v>
      </c>
      <c r="BE45" s="13">
        <f t="shared" si="64"/>
        <v>-0.43523144898212007</v>
      </c>
      <c r="BF45" s="14" cm="1">
        <f t="array" ref="BF45">VALUE(_xll.BDP($B45,"INTERVAL_DATE_OF_CALC_HI","CALC_INTERVAL","3M"))</f>
        <v>45973</v>
      </c>
      <c r="BG45" s="14" cm="1">
        <f t="array" ref="BG45">VALUE(_xll.BDP($B45,"INTERVAL_DATE_OF_CALC_LO","CALC_INTERVAL","3M"))</f>
        <v>46058</v>
      </c>
      <c r="BH45" s="14" cm="1">
        <f t="array" ref="BH45">VALUE(_xll.BDP($B45,"INTERVAL_DATE_OF_CALC_HI","CALC_INTERVAL","1M"))</f>
        <v>46036</v>
      </c>
      <c r="BI45" s="14" cm="1">
        <f t="array" ref="BI45">VALUE(_xll.BDP($B45,"INTERVAL_DATE_OF_CALC_LO","CALC_INTERVAL","1M"))</f>
        <v>46058</v>
      </c>
      <c r="BJ45" s="15">
        <f>$F45-MIN(_xll.BDP("NYA Index","RSI_14D"),_xll.BDP("RSP US Equity","RSI_14D"))</f>
        <v>-31.709764160156247</v>
      </c>
    </row>
    <row r="46" spans="1:62" x14ac:dyDescent="0.25">
      <c r="A46" s="11">
        <v>45</v>
      </c>
      <c r="B46" s="26" t="s">
        <v>546</v>
      </c>
      <c r="C46" s="1" t="s">
        <v>547</v>
      </c>
      <c r="D46" s="1" t="s">
        <v>541</v>
      </c>
      <c r="E46" s="11" t="s">
        <v>541</v>
      </c>
      <c r="F46">
        <f>IFERROR(VALUE((_xll.BDP($B46,"interval_rsi","tech_studies_param1_override",14))),"")</f>
        <v>26.885999999999999</v>
      </c>
      <c r="G46">
        <f t="shared" si="0"/>
        <v>52.525531939815814</v>
      </c>
      <c r="H46">
        <f t="shared" si="38"/>
        <v>0</v>
      </c>
      <c r="I46" cm="1">
        <f t="array" ref="I46">IFERROR(VALUE(_xll.BDP($B46,"px_last")),"")</f>
        <v>79.387799999999999</v>
      </c>
      <c r="J46">
        <f t="shared" si="1"/>
        <v>6941.47</v>
      </c>
      <c r="K46" cm="1">
        <f t="array" ref="K46">IFERROR(VALUE(_xll.BDP($B46,"PX_YEST_CLOSE")),"")</f>
        <v>80.124700000000004</v>
      </c>
      <c r="L46">
        <f t="shared" si="2"/>
        <v>6941.81</v>
      </c>
      <c r="M46">
        <f t="shared" si="39"/>
        <v>1.1436741785241454E-2</v>
      </c>
      <c r="N46">
        <f t="shared" si="40"/>
        <v>1.1542335500395431E-2</v>
      </c>
      <c r="O46" cm="1">
        <f t="array" ref="O46">IFERROR(VALUE(_xll.BDP($B46,"INTERVAL_MAE_MOV_AVG","CALC_INTERVAL","520D","TECH_STUDIES_PARAM1_OVERRIDE",50,"USE_PREVIOUS_BUSINESS_DAY","N")),"")</f>
        <v>121.50069999999999</v>
      </c>
      <c r="P46">
        <f t="shared" si="3"/>
        <v>6894.0953999999992</v>
      </c>
      <c r="Q46" cm="1">
        <f t="array" ref="Q46">IFERROR(VALUE(_xll.BDP($B46,"INTERVAL_MAE_MOV_AVG","CALC_INTERVAL","520D","TECH_STUDIES_PARAM1_OVERRIDE",50,"USE_PREVIOUS_BUSINESS_DAY","Y")),"")</f>
        <v>122.3828</v>
      </c>
      <c r="R46">
        <f t="shared" si="4"/>
        <v>6892.2477999999992</v>
      </c>
      <c r="S46">
        <f t="shared" si="41"/>
        <v>1.7623878543949364E-2</v>
      </c>
      <c r="T46">
        <f t="shared" si="42"/>
        <v>1.7756587335702005E-2</v>
      </c>
      <c r="U46" s="11" t="str">
        <f t="shared" si="43"/>
        <v>NEGATIVE</v>
      </c>
      <c r="V46" s="11" t="str">
        <f t="shared" si="44"/>
        <v/>
      </c>
      <c r="W46" s="11" t="str">
        <f t="shared" si="45"/>
        <v>DOWN</v>
      </c>
      <c r="X46" s="6" t="str">
        <f t="shared" si="46"/>
        <v>NEGATIVE</v>
      </c>
      <c r="Y46" cm="1">
        <f t="array" ref="Y46">IFERROR(VALUE(_xll.BDP($B46,"INTERVAL_MAE_MOV_AVG","CALC_INTERVAL","520D","TECH_STUDIES_PARAM1_OVERRIDE",65,"USE_PREVIOUS_BUSINESS_DAY","N")),"")</f>
        <v>123.1656</v>
      </c>
      <c r="Z46">
        <f t="shared" si="5"/>
        <v>6856.0226153846133</v>
      </c>
      <c r="AA46" cm="1">
        <f t="array" ref="AA46">IFERROR(VALUE(_xll.BDP($B46,"INTERVAL_MAE_MOV_AVG","CALC_INTERVAL","520D","TECH_STUDIES_PARAM1_OVERRIDE",65,"USE_PREVIOUS_BUSINESS_DAY","Y")),"")</f>
        <v>124.0027</v>
      </c>
      <c r="AB46">
        <f t="shared" si="6"/>
        <v>6852.6203076923057</v>
      </c>
      <c r="AC46">
        <f t="shared" si="47"/>
        <v>1.7964584848892098E-2</v>
      </c>
      <c r="AD46">
        <f t="shared" si="48"/>
        <v>1.8095661868322493E-2</v>
      </c>
      <c r="AE46" s="10" t="str">
        <f t="shared" si="49"/>
        <v>DOWN</v>
      </c>
      <c r="AF46" s="10" t="str">
        <f t="shared" si="50"/>
        <v>DOWN</v>
      </c>
      <c r="AG46" s="6" t="str">
        <f t="shared" si="51"/>
        <v>NEGATIVE</v>
      </c>
      <c r="AH46" cm="1">
        <f t="array" ref="AH46">IFERROR(VALUE(_xll.BDP($B46,"INTERVAL_MAE_MOV_AVG","CALC_INTERVAL","65W","PERIODICITY_OVERRIDE","W","TECH_STUDIES_PARAM1_OVERRIDE",39,"USE_PREVIOUS_BUSINESS_DAY","N")),"")</f>
        <v>161.86840000000001</v>
      </c>
      <c r="AI46">
        <f t="shared" si="7"/>
        <v>6560.7735897435905</v>
      </c>
      <c r="AJ46" cm="1">
        <f t="array" ref="AJ46">IFERROR(VALUE(_xll.BDP($B46,"INTERVAL_MAE_MOV_AVG","CALC_INTERVAL","65W","PERIODICITY_OVERRIDE","W","TECH_STUDIES_PARAM1_OVERRIDE",39,"USE_PREVIOUS_BUSINESS_DAY","Y")),"")</f>
        <v>161.92699999999999</v>
      </c>
      <c r="AK46">
        <f t="shared" si="8"/>
        <v>6560.7823076923087</v>
      </c>
      <c r="AL46">
        <f t="shared" si="52"/>
        <v>2.467215150558582E-2</v>
      </c>
      <c r="AM46">
        <f t="shared" si="53"/>
        <v>2.4681050582968701E-2</v>
      </c>
      <c r="AN46" s="10" t="str">
        <f t="shared" si="54"/>
        <v>DOWN</v>
      </c>
      <c r="AO46" s="10" t="str">
        <f t="shared" si="55"/>
        <v>DOWN</v>
      </c>
      <c r="AP46" s="6" t="str">
        <f t="shared" si="56"/>
        <v>NEGATIVE</v>
      </c>
      <c r="AQ46" cm="1">
        <f t="array" ref="AQ46">IFERROR(VALUE(_xll.BDP($B46,"INTERVAL_exp_MOV_AVG","CALC_INTERVAL","520D","TECH_STUDIES_PARAM1_OVERRIDE",100,"USE_PREVIOUS_BUSINESS_DAY","N")),"")</f>
        <v>132.19409999999999</v>
      </c>
      <c r="AR46">
        <f t="shared" si="9"/>
        <v>6773.0064518682802</v>
      </c>
      <c r="AS46" cm="1">
        <f t="array" ref="AS46">IFERROR(VALUE(_xll.BDP($B46,"INTERVAL_exp_MOV_AVG","CALC_INTERVAL","520D","TECH_STUDIES_PARAM1_OVERRIDE",100,"USE_PREVIOUS_BUSINESS_DAY","Y")),"")</f>
        <v>133.24590000000001</v>
      </c>
      <c r="AT46">
        <f t="shared" si="10"/>
        <v>6769.6039787132295</v>
      </c>
      <c r="AU46">
        <f t="shared" si="57"/>
        <v>1.9517787402008942E-2</v>
      </c>
      <c r="AV46">
        <f t="shared" si="58"/>
        <v>1.9682968223693267E-2</v>
      </c>
      <c r="AW46" s="11" t="str">
        <f t="shared" si="59"/>
        <v>DOWN</v>
      </c>
      <c r="AX46" s="11" t="str">
        <f t="shared" si="60"/>
        <v>DOWN</v>
      </c>
      <c r="AY46" s="6" t="str">
        <f t="shared" si="61"/>
        <v>NEGATIVE</v>
      </c>
      <c r="AZ46" s="12" cm="1">
        <f t="array" ref="AZ46">_xll.BDP($B46, "INTERVAL_RSI", "TECH_STUDIES_PARAM1_OVERRIDE", "5", "PERIODICITY_OVERRIDE", "W")</f>
        <v>13.048</v>
      </c>
      <c r="BA46" cm="1">
        <f t="array" ref="BA46">IFERROR(VALUE(_xll.BDP($B46,"INTERVAL_MAE_MOV_AVG","CALC_INTERVAL","520D","TECH_STUDIES_PARAM1_OVERRIDE",31,"USE_PREVIOUS_BUSINESS_DAY","N")),"")</f>
        <v>116.0929</v>
      </c>
      <c r="BB46" cm="1">
        <f t="array" ref="BB46">IFERROR(VALUE(_xll.BDP($B46,"INTERVAL_MAE_MOV_AVG","CALC_INTERVAL","760D","TECH_STUDIES_PARAM1_OVERRIDE",200,"USE_PREVIOUS_BUSINESS_DAY","N")),"")</f>
        <v>165.149</v>
      </c>
      <c r="BC46" s="13">
        <f t="shared" si="62"/>
        <v>-0.31617006724786789</v>
      </c>
      <c r="BD46" s="13">
        <f t="shared" si="63"/>
        <v>-0.34660623354433351</v>
      </c>
      <c r="BE46" s="13">
        <f t="shared" si="64"/>
        <v>-0.5192959085431943</v>
      </c>
      <c r="BF46" s="14" cm="1">
        <f t="array" ref="BF46">VALUE(_xll.BDP($B46,"INTERVAL_DATE_OF_CALC_HI","CALC_INTERVAL","3M"))</f>
        <v>45972</v>
      </c>
      <c r="BG46" s="14" cm="1">
        <f t="array" ref="BG46">VALUE(_xll.BDP($B46,"INTERVAL_DATE_OF_CALC_LO","CALC_INTERVAL","3M"))</f>
        <v>46058</v>
      </c>
      <c r="BH46" s="14" cm="1">
        <f t="array" ref="BH46">VALUE(_xll.BDP($B46,"INTERVAL_DATE_OF_CALC_HI","CALC_INTERVAL","1M"))</f>
        <v>46036</v>
      </c>
      <c r="BI46" s="14" cm="1">
        <f t="array" ref="BI46">VALUE(_xll.BDP($B46,"INTERVAL_DATE_OF_CALC_LO","CALC_INTERVAL","1M"))</f>
        <v>46058</v>
      </c>
      <c r="BJ46" s="15">
        <f>$F46-MIN(_xll.BDP("NYA Index","RSI_14D"),_xll.BDP("RSP US Equity","RSI_14D"))</f>
        <v>-39.459764160156254</v>
      </c>
    </row>
    <row r="47" spans="1:62" x14ac:dyDescent="0.25">
      <c r="A47" s="11">
        <v>46</v>
      </c>
      <c r="B47" s="26" t="s">
        <v>591</v>
      </c>
      <c r="C47" s="1" t="s">
        <v>592</v>
      </c>
      <c r="D47" s="1" t="s">
        <v>593</v>
      </c>
      <c r="E47" s="11" t="s">
        <v>960</v>
      </c>
      <c r="F47">
        <f>IFERROR(VALUE((_xll.BDP($B47,"interval_rsi","tech_studies_param1_override",14))),"")</f>
        <v>74.813000000000002</v>
      </c>
      <c r="G47">
        <f t="shared" si="0"/>
        <v>52.525531939815814</v>
      </c>
      <c r="H47">
        <f t="shared" si="38"/>
        <v>1</v>
      </c>
      <c r="I47" cm="1">
        <f t="array" ref="I47">IFERROR(VALUE(_xll.BDP($B47,"px_last")),"")</f>
        <v>0.60029999999999994</v>
      </c>
      <c r="J47">
        <f t="shared" si="1"/>
        <v>6941.47</v>
      </c>
      <c r="K47" cm="1">
        <f t="array" ref="K47">IFERROR(VALUE(_xll.BDP($B47,"PX_YEST_CLOSE")),"")</f>
        <v>0.60040000000000004</v>
      </c>
      <c r="L47">
        <f t="shared" si="2"/>
        <v>6941.81</v>
      </c>
      <c r="M47">
        <f t="shared" si="39"/>
        <v>8.6480241216918021E-5</v>
      </c>
      <c r="N47">
        <f t="shared" si="40"/>
        <v>8.6490411002317839E-5</v>
      </c>
      <c r="O47" cm="1">
        <f t="array" ref="O47">IFERROR(VALUE(_xll.BDP($B47,"INTERVAL_MAE_MOV_AVG","CALC_INTERVAL","520D","TECH_STUDIES_PARAM1_OVERRIDE",50,"USE_PREVIOUS_BUSINESS_DAY","N")),"")</f>
        <v>0.57630000000000003</v>
      </c>
      <c r="P47">
        <f t="shared" si="3"/>
        <v>6894.0953999999992</v>
      </c>
      <c r="Q47" cm="1">
        <f t="array" ref="Q47">IFERROR(VALUE(_xll.BDP($B47,"INTERVAL_MAE_MOV_AVG","CALC_INTERVAL","520D","TECH_STUDIES_PARAM1_OVERRIDE",50,"USE_PREVIOUS_BUSINESS_DAY","Y")),"")</f>
        <v>0.5756</v>
      </c>
      <c r="R47">
        <f t="shared" si="4"/>
        <v>6892.2477999999992</v>
      </c>
      <c r="S47">
        <f t="shared" si="41"/>
        <v>8.3593273165323488E-5</v>
      </c>
      <c r="T47">
        <f t="shared" si="42"/>
        <v>8.3514118572463412E-5</v>
      </c>
      <c r="U47" s="11" t="str">
        <f t="shared" si="43"/>
        <v>POSITIVE</v>
      </c>
      <c r="V47" s="11" t="str">
        <f t="shared" si="44"/>
        <v/>
      </c>
      <c r="W47" s="11" t="str">
        <f t="shared" si="45"/>
        <v>UP</v>
      </c>
      <c r="X47" s="6" t="str">
        <f t="shared" si="46"/>
        <v>POSITIVE</v>
      </c>
      <c r="Y47" cm="1">
        <f t="array" ref="Y47">IFERROR(VALUE(_xll.BDP($B47,"INTERVAL_MAE_MOV_AVG","CALC_INTERVAL","520D","TECH_STUDIES_PARAM1_OVERRIDE",65,"USE_PREVIOUS_BUSINESS_DAY","N")),"")</f>
        <v>0.57310000000000005</v>
      </c>
      <c r="Z47">
        <f t="shared" si="5"/>
        <v>6856.0226153846133</v>
      </c>
      <c r="AA47" cm="1">
        <f t="array" ref="AA47">IFERROR(VALUE(_xll.BDP($B47,"INTERVAL_MAE_MOV_AVG","CALC_INTERVAL","520D","TECH_STUDIES_PARAM1_OVERRIDE",65,"USE_PREVIOUS_BUSINESS_DAY","Y")),"")</f>
        <v>0.57250000000000001</v>
      </c>
      <c r="AB47">
        <f t="shared" si="6"/>
        <v>6852.6203076923057</v>
      </c>
      <c r="AC47">
        <f t="shared" si="47"/>
        <v>8.3590739434550419E-5</v>
      </c>
      <c r="AD47">
        <f t="shared" si="48"/>
        <v>8.3544684265863777E-5</v>
      </c>
      <c r="AE47" s="10" t="str">
        <f t="shared" si="49"/>
        <v>UP</v>
      </c>
      <c r="AF47" s="10" t="str">
        <f t="shared" si="50"/>
        <v>UP</v>
      </c>
      <c r="AG47" s="6" t="str">
        <f t="shared" si="51"/>
        <v>POSITIVE</v>
      </c>
      <c r="AH47" cm="1">
        <f t="array" ref="AH47">IFERROR(VALUE(_xll.BDP($B47,"INTERVAL_MAE_MOV_AVG","CALC_INTERVAL","65W","PERIODICITY_OVERRIDE","W","TECH_STUDIES_PARAM1_OVERRIDE",39,"USE_PREVIOUS_BUSINESS_DAY","N")),"")</f>
        <v>0.56599999999999995</v>
      </c>
      <c r="AI47">
        <f t="shared" si="7"/>
        <v>6560.7735897435905</v>
      </c>
      <c r="AJ47" cm="1">
        <f t="array" ref="AJ47">IFERROR(VALUE(_xll.BDP($B47,"INTERVAL_MAE_MOV_AVG","CALC_INTERVAL","65W","PERIODICITY_OVERRIDE","W","TECH_STUDIES_PARAM1_OVERRIDE",39,"USE_PREVIOUS_BUSINESS_DAY","Y")),"")</f>
        <v>0.56579999999999997</v>
      </c>
      <c r="AK47">
        <f t="shared" si="8"/>
        <v>6560.7823076923087</v>
      </c>
      <c r="AL47">
        <f t="shared" si="52"/>
        <v>8.6270314355127824E-5</v>
      </c>
      <c r="AM47">
        <f t="shared" si="53"/>
        <v>8.6239715549869328E-5</v>
      </c>
      <c r="AN47" s="10" t="str">
        <f t="shared" si="54"/>
        <v>UP</v>
      </c>
      <c r="AO47" s="10" t="str">
        <f t="shared" si="55"/>
        <v>UP</v>
      </c>
      <c r="AP47" s="6" t="str">
        <f t="shared" si="56"/>
        <v>POSITIVE</v>
      </c>
      <c r="AQ47" cm="1">
        <f t="array" ref="AQ47">IFERROR(VALUE(_xll.BDP($B47,"INTERVAL_exp_MOV_AVG","CALC_INTERVAL","520D","TECH_STUDIES_PARAM1_OVERRIDE",100,"USE_PREVIOUS_BUSINESS_DAY","N")),"")</f>
        <v>0.57320000000000004</v>
      </c>
      <c r="AR47">
        <f t="shared" si="9"/>
        <v>6773.0064518682802</v>
      </c>
      <c r="AS47" cm="1">
        <f t="array" ref="AS47">IFERROR(VALUE(_xll.BDP($B47,"INTERVAL_exp_MOV_AVG","CALC_INTERVAL","520D","TECH_STUDIES_PARAM1_OVERRIDE",100,"USE_PREVIOUS_BUSINESS_DAY","Y")),"")</f>
        <v>0.5726</v>
      </c>
      <c r="AT47">
        <f t="shared" si="10"/>
        <v>6769.6039787132295</v>
      </c>
      <c r="AU47">
        <f t="shared" si="57"/>
        <v>8.4630068504052197E-5</v>
      </c>
      <c r="AV47">
        <f t="shared" si="58"/>
        <v>8.4583972976930348E-5</v>
      </c>
      <c r="AW47" s="11" t="str">
        <f t="shared" si="59"/>
        <v>UP</v>
      </c>
      <c r="AX47" s="11" t="str">
        <f t="shared" si="60"/>
        <v>UP</v>
      </c>
      <c r="AY47" s="6" t="str">
        <f t="shared" si="61"/>
        <v>POSITIVE</v>
      </c>
      <c r="AZ47" s="12" cm="1">
        <f t="array" ref="AZ47">_xll.BDP($B47, "INTERVAL_RSI", "TECH_STUDIES_PARAM1_OVERRIDE", "5", "PERIODICITY_OVERRIDE", "W")</f>
        <v>94.13</v>
      </c>
      <c r="BA47" cm="1">
        <f t="array" ref="BA47">IFERROR(VALUE(_xll.BDP($B47,"INTERVAL_MAE_MOV_AVG","CALC_INTERVAL","520D","TECH_STUDIES_PARAM1_OVERRIDE",31,"USE_PREVIOUS_BUSINESS_DAY","N")),"")</f>
        <v>0.58169999999999999</v>
      </c>
      <c r="BB47" cm="1">
        <f t="array" ref="BB47">IFERROR(VALUE(_xll.BDP($B47,"INTERVAL_MAE_MOV_AVG","CALC_INTERVAL","760D","TECH_STUDIES_PARAM1_OVERRIDE",200,"USE_PREVIOUS_BUSINESS_DAY","N")),"")</f>
        <v>0.56599999999999995</v>
      </c>
      <c r="BC47" s="13">
        <f t="shared" si="62"/>
        <v>3.1975244971634842E-2</v>
      </c>
      <c r="BD47" s="13">
        <f t="shared" si="63"/>
        <v>4.1644976574700454E-2</v>
      </c>
      <c r="BE47" s="13">
        <f t="shared" si="64"/>
        <v>6.0600706713780816E-2</v>
      </c>
      <c r="BF47" s="14" cm="1">
        <f t="array" ref="BF47">VALUE(_xll.BDP($B47,"INTERVAL_DATE_OF_CALC_HI","CALC_INTERVAL","3M"))</f>
        <v>46064</v>
      </c>
      <c r="BG47" s="14" cm="1">
        <f t="array" ref="BG47">VALUE(_xll.BDP($B47,"INTERVAL_DATE_OF_CALC_LO","CALC_INTERVAL","3M"))</f>
        <v>45981</v>
      </c>
      <c r="BH47" s="14" cm="1">
        <f t="array" ref="BH47">VALUE(_xll.BDP($B47,"INTERVAL_DATE_OF_CALC_HI","CALC_INTERVAL","1M"))</f>
        <v>46064</v>
      </c>
      <c r="BI47" s="14" cm="1">
        <f t="array" ref="BI47">VALUE(_xll.BDP($B47,"INTERVAL_DATE_OF_CALC_LO","CALC_INTERVAL","1M"))</f>
        <v>46035</v>
      </c>
      <c r="BJ47" s="15">
        <f>$F47-MIN(_xll.BDP("NYA Index","RSI_14D"),_xll.BDP("RSP US Equity","RSI_14D"))</f>
        <v>8.4672358398437524</v>
      </c>
    </row>
    <row r="48" spans="1:62" x14ac:dyDescent="0.25">
      <c r="A48" s="11">
        <v>47</v>
      </c>
      <c r="B48" s="26" t="s">
        <v>594</v>
      </c>
      <c r="C48" s="1" t="s">
        <v>595</v>
      </c>
      <c r="D48" s="1" t="s">
        <v>593</v>
      </c>
      <c r="E48" s="11" t="s">
        <v>787</v>
      </c>
      <c r="F48">
        <f>IFERROR(VALUE((_xll.BDP($B48,"interval_rsi","tech_studies_param1_override",14))),"")</f>
        <v>60.404000000000003</v>
      </c>
      <c r="G48">
        <f t="shared" si="0"/>
        <v>52.525531939815814</v>
      </c>
      <c r="H48">
        <f t="shared" si="38"/>
        <v>0</v>
      </c>
      <c r="I48" cm="1">
        <f t="array" ref="I48">IFERROR(VALUE(_xll.BDP($B48,"px_last")),"")</f>
        <v>109.197</v>
      </c>
      <c r="J48">
        <f t="shared" si="1"/>
        <v>6941.47</v>
      </c>
      <c r="K48" cm="1">
        <f t="array" ref="K48">IFERROR(VALUE(_xll.BDP($B48,"PX_YEST_CLOSE")),"")</f>
        <v>109.238</v>
      </c>
      <c r="L48">
        <f t="shared" si="2"/>
        <v>6941.81</v>
      </c>
      <c r="M48">
        <f t="shared" si="39"/>
        <v>1.5731105947299349E-2</v>
      </c>
      <c r="N48">
        <f t="shared" si="40"/>
        <v>1.5736241700651559E-2</v>
      </c>
      <c r="O48" cm="1">
        <f t="array" ref="O48">IFERROR(VALUE(_xll.BDP($B48,"INTERVAL_MAE_MOV_AVG","CALC_INTERVAL","520D","TECH_STUDIES_PARAM1_OVERRIDE",50,"USE_PREVIOUS_BUSINESS_DAY","N")),"")</f>
        <v>105.83799999999999</v>
      </c>
      <c r="P48">
        <f t="shared" si="3"/>
        <v>6894.0953999999992</v>
      </c>
      <c r="Q48" cm="1">
        <f t="array" ref="Q48">IFERROR(VALUE(_xll.BDP($B48,"INTERVAL_MAE_MOV_AVG","CALC_INTERVAL","520D","TECH_STUDIES_PARAM1_OVERRIDE",50,"USE_PREVIOUS_BUSINESS_DAY","Y")),"")</f>
        <v>105.703</v>
      </c>
      <c r="R48">
        <f t="shared" si="4"/>
        <v>6892.2477999999992</v>
      </c>
      <c r="S48">
        <f t="shared" si="41"/>
        <v>1.5351977867901278E-2</v>
      </c>
      <c r="T48">
        <f t="shared" si="42"/>
        <v>1.5336506037986622E-2</v>
      </c>
      <c r="U48" s="11" t="str">
        <f t="shared" si="43"/>
        <v>NEGATIVE</v>
      </c>
      <c r="V48" s="11" t="str">
        <f t="shared" si="44"/>
        <v/>
      </c>
      <c r="W48" s="11" t="str">
        <f t="shared" si="45"/>
        <v>UP</v>
      </c>
      <c r="X48" s="6" t="str">
        <f t="shared" si="46"/>
        <v>POSITIVE</v>
      </c>
      <c r="Y48" cm="1">
        <f t="array" ref="Y48">IFERROR(VALUE(_xll.BDP($B48,"INTERVAL_MAE_MOV_AVG","CALC_INTERVAL","520D","TECH_STUDIES_PARAM1_OVERRIDE",65,"USE_PREVIOUS_BUSINESS_DAY","N")),"")</f>
        <v>104.85299999999999</v>
      </c>
      <c r="Z48">
        <f t="shared" si="5"/>
        <v>6856.0226153846133</v>
      </c>
      <c r="AA48" cm="1">
        <f t="array" ref="AA48">IFERROR(VALUE(_xll.BDP($B48,"INTERVAL_MAE_MOV_AVG","CALC_INTERVAL","520D","TECH_STUDIES_PARAM1_OVERRIDE",65,"USE_PREVIOUS_BUSINESS_DAY","Y")),"")</f>
        <v>104.73</v>
      </c>
      <c r="AB48">
        <f t="shared" si="6"/>
        <v>6852.6203076923057</v>
      </c>
      <c r="AC48">
        <f t="shared" si="47"/>
        <v>1.5293560987490688E-2</v>
      </c>
      <c r="AD48">
        <f t="shared" si="48"/>
        <v>1.5283204861421684E-2</v>
      </c>
      <c r="AE48" s="10" t="str">
        <f t="shared" si="49"/>
        <v>UP</v>
      </c>
      <c r="AF48" s="10" t="str">
        <f t="shared" si="50"/>
        <v>UP</v>
      </c>
      <c r="AG48" s="6" t="str">
        <f t="shared" si="51"/>
        <v>POSITIVE</v>
      </c>
      <c r="AH48" cm="1">
        <f t="array" ref="AH48">IFERROR(VALUE(_xll.BDP($B48,"INTERVAL_MAE_MOV_AVG","CALC_INTERVAL","65W","PERIODICITY_OVERRIDE","W","TECH_STUDIES_PARAM1_OVERRIDE",39,"USE_PREVIOUS_BUSINESS_DAY","N")),"")</f>
        <v>99.507999999999996</v>
      </c>
      <c r="AI48">
        <f t="shared" si="7"/>
        <v>6560.7735897435905</v>
      </c>
      <c r="AJ48" cm="1">
        <f t="array" ref="AJ48">IFERROR(VALUE(_xll.BDP($B48,"INTERVAL_MAE_MOV_AVG","CALC_INTERVAL","65W","PERIODICITY_OVERRIDE","W","TECH_STUDIES_PARAM1_OVERRIDE",39,"USE_PREVIOUS_BUSINESS_DAY","Y")),"")</f>
        <v>99.507999999999996</v>
      </c>
      <c r="AK48">
        <f t="shared" si="8"/>
        <v>6560.7823076923087</v>
      </c>
      <c r="AL48">
        <f t="shared" si="52"/>
        <v>1.5167113853091978E-2</v>
      </c>
      <c r="AM48">
        <f t="shared" si="53"/>
        <v>1.5167093699074579E-2</v>
      </c>
      <c r="AN48" s="10" t="str">
        <f t="shared" si="54"/>
        <v/>
      </c>
      <c r="AO48" s="10" t="str">
        <f t="shared" si="55"/>
        <v>UP</v>
      </c>
      <c r="AP48" s="6" t="str">
        <f t="shared" si="56"/>
        <v>POSITIVE</v>
      </c>
      <c r="AQ48" cm="1">
        <f t="array" ref="AQ48">IFERROR(VALUE(_xll.BDP($B48,"INTERVAL_exp_MOV_AVG","CALC_INTERVAL","520D","TECH_STUDIES_PARAM1_OVERRIDE",100,"USE_PREVIOUS_BUSINESS_DAY","N")),"")</f>
        <v>103.56699999999999</v>
      </c>
      <c r="AR48">
        <f t="shared" si="9"/>
        <v>6773.0064518682802</v>
      </c>
      <c r="AS48" cm="1">
        <f t="array" ref="AS48">IFERROR(VALUE(_xll.BDP($B48,"INTERVAL_exp_MOV_AVG","CALC_INTERVAL","520D","TECH_STUDIES_PARAM1_OVERRIDE",100,"USE_PREVIOUS_BUSINESS_DAY","Y")),"")</f>
        <v>103.453</v>
      </c>
      <c r="AT48">
        <f t="shared" si="10"/>
        <v>6769.6039787132295</v>
      </c>
      <c r="AU48">
        <f t="shared" si="57"/>
        <v>1.5291141494694996E-2</v>
      </c>
      <c r="AV48">
        <f t="shared" si="58"/>
        <v>1.5281987000318504E-2</v>
      </c>
      <c r="AW48" s="11" t="str">
        <f t="shared" si="59"/>
        <v>UP</v>
      </c>
      <c r="AX48" s="11" t="str">
        <f t="shared" si="60"/>
        <v>UP</v>
      </c>
      <c r="AY48" s="6" t="str">
        <f t="shared" si="61"/>
        <v>POSITIVE</v>
      </c>
      <c r="AZ48" s="12" cm="1">
        <f t="array" ref="AZ48">_xll.BDP($B48, "INTERVAL_RSI", "TECH_STUDIES_PARAM1_OVERRIDE", "5", "PERIODICITY_OVERRIDE", "W")</f>
        <v>78.525999999999996</v>
      </c>
      <c r="BA48" cm="1">
        <f t="array" ref="BA48">IFERROR(VALUE(_xll.BDP($B48,"INTERVAL_MAE_MOV_AVG","CALC_INTERVAL","520D","TECH_STUDIES_PARAM1_OVERRIDE",31,"USE_PREVIOUS_BUSINESS_DAY","N")),"")</f>
        <v>107.06</v>
      </c>
      <c r="BB48" cm="1">
        <f t="array" ref="BB48">IFERROR(VALUE(_xll.BDP($B48,"INTERVAL_MAE_MOV_AVG","CALC_INTERVAL","760D","TECH_STUDIES_PARAM1_OVERRIDE",200,"USE_PREVIOUS_BUSINESS_DAY","N")),"")</f>
        <v>99.120999999999995</v>
      </c>
      <c r="BC48" s="13">
        <f t="shared" si="62"/>
        <v>1.9960769661871769E-2</v>
      </c>
      <c r="BD48" s="13">
        <f t="shared" si="63"/>
        <v>3.1737183242313893E-2</v>
      </c>
      <c r="BE48" s="13">
        <f t="shared" si="64"/>
        <v>0.10165353456886028</v>
      </c>
      <c r="BF48" s="14" cm="1">
        <f t="array" ref="BF48">VALUE(_xll.BDP($B48,"INTERVAL_DATE_OF_CALC_HI","CALC_INTERVAL","3M"))</f>
        <v>46062</v>
      </c>
      <c r="BG48" s="14" cm="1">
        <f t="array" ref="BG48">VALUE(_xll.BDP($B48,"INTERVAL_DATE_OF_CALC_LO","CALC_INTERVAL","3M"))</f>
        <v>45972</v>
      </c>
      <c r="BH48" s="14" cm="1">
        <f t="array" ref="BH48">VALUE(_xll.BDP($B48,"INTERVAL_DATE_OF_CALC_HI","CALC_INTERVAL","1M"))</f>
        <v>46062</v>
      </c>
      <c r="BI48" s="14" cm="1">
        <f t="array" ref="BI48">VALUE(_xll.BDP($B48,"INTERVAL_DATE_OF_CALC_LO","CALC_INTERVAL","1M"))</f>
        <v>46038</v>
      </c>
      <c r="BJ48" s="15">
        <f>$F48-MIN(_xll.BDP("NYA Index","RSI_14D"),_xll.BDP("RSP US Equity","RSI_14D"))</f>
        <v>-5.9417641601562465</v>
      </c>
    </row>
    <row r="49" spans="1:62" x14ac:dyDescent="0.25">
      <c r="A49" s="11">
        <v>48</v>
      </c>
      <c r="B49" s="26" t="s">
        <v>596</v>
      </c>
      <c r="C49" s="1" t="s">
        <v>597</v>
      </c>
      <c r="D49" s="1" t="s">
        <v>593</v>
      </c>
      <c r="E49" s="11" t="s">
        <v>959</v>
      </c>
      <c r="F49">
        <f>IFERROR(VALUE((_xll.BDP($B49,"interval_rsi","tech_studies_param1_override",14))),"")</f>
        <v>70.503</v>
      </c>
      <c r="G49">
        <f t="shared" si="0"/>
        <v>52.525531939815814</v>
      </c>
      <c r="H49">
        <f t="shared" si="38"/>
        <v>1</v>
      </c>
      <c r="I49" cm="1">
        <f t="array" ref="I49">IFERROR(VALUE(_xll.BDP($B49,"px_last")),"")</f>
        <v>0.71289999999999998</v>
      </c>
      <c r="J49">
        <f t="shared" si="1"/>
        <v>6941.47</v>
      </c>
      <c r="K49" cm="1">
        <f t="array" ref="K49">IFERROR(VALUE(_xll.BDP($B49,"PX_YEST_CLOSE")),"")</f>
        <v>0.7127</v>
      </c>
      <c r="L49">
        <f t="shared" si="2"/>
        <v>6941.81</v>
      </c>
      <c r="M49">
        <f t="shared" si="39"/>
        <v>1.0270158914466244E-4</v>
      </c>
      <c r="N49">
        <f t="shared" si="40"/>
        <v>1.0266774803689527E-4</v>
      </c>
      <c r="O49" cm="1">
        <f t="array" ref="O49">IFERROR(VALUE(_xll.BDP($B49,"INTERVAL_MAE_MOV_AVG","CALC_INTERVAL","520D","TECH_STUDIES_PARAM1_OVERRIDE",50,"USE_PREVIOUS_BUSINESS_DAY","N")),"")</f>
        <v>0.67730000000000001</v>
      </c>
      <c r="P49">
        <f t="shared" si="3"/>
        <v>6894.0953999999992</v>
      </c>
      <c r="Q49" cm="1">
        <f t="array" ref="Q49">IFERROR(VALUE(_xll.BDP($B49,"INTERVAL_MAE_MOV_AVG","CALC_INTERVAL","520D","TECH_STUDIES_PARAM1_OVERRIDE",50,"USE_PREVIOUS_BUSINESS_DAY","Y")),"")</f>
        <v>0.67630000000000001</v>
      </c>
      <c r="R49">
        <f t="shared" si="4"/>
        <v>6892.2477999999992</v>
      </c>
      <c r="S49">
        <f t="shared" si="41"/>
        <v>9.8243491089490878E-5</v>
      </c>
      <c r="T49">
        <f t="shared" si="42"/>
        <v>9.8124736606249139E-5</v>
      </c>
      <c r="U49" s="11" t="str">
        <f t="shared" si="43"/>
        <v>POSITIVE</v>
      </c>
      <c r="V49" s="11" t="str">
        <f t="shared" si="44"/>
        <v/>
      </c>
      <c r="W49" s="11" t="str">
        <f t="shared" si="45"/>
        <v>UP</v>
      </c>
      <c r="X49" s="6" t="str">
        <f t="shared" si="46"/>
        <v>POSITIVE</v>
      </c>
      <c r="Y49" cm="1">
        <f t="array" ref="Y49">IFERROR(VALUE(_xll.BDP($B49,"INTERVAL_MAE_MOV_AVG","CALC_INTERVAL","520D","TECH_STUDIES_PARAM1_OVERRIDE",65,"USE_PREVIOUS_BUSINESS_DAY","N")),"")</f>
        <v>0.67130000000000001</v>
      </c>
      <c r="Z49">
        <f t="shared" si="5"/>
        <v>6856.0226153846133</v>
      </c>
      <c r="AA49" cm="1">
        <f t="array" ref="AA49">IFERROR(VALUE(_xll.BDP($B49,"INTERVAL_MAE_MOV_AVG","CALC_INTERVAL","520D","TECH_STUDIES_PARAM1_OVERRIDE",65,"USE_PREVIOUS_BUSINESS_DAY","Y")),"")</f>
        <v>0.6704</v>
      </c>
      <c r="AB49">
        <f t="shared" si="6"/>
        <v>6852.6203076923057</v>
      </c>
      <c r="AC49">
        <f t="shared" si="47"/>
        <v>9.7913912724504777E-5</v>
      </c>
      <c r="AD49">
        <f t="shared" si="48"/>
        <v>9.7831190099275248E-5</v>
      </c>
      <c r="AE49" s="10" t="str">
        <f t="shared" si="49"/>
        <v>UP</v>
      </c>
      <c r="AF49" s="10" t="str">
        <f t="shared" si="50"/>
        <v>UP</v>
      </c>
      <c r="AG49" s="6" t="str">
        <f t="shared" si="51"/>
        <v>POSITIVE</v>
      </c>
      <c r="AH49" cm="1">
        <f t="array" ref="AH49">IFERROR(VALUE(_xll.BDP($B49,"INTERVAL_MAE_MOV_AVG","CALC_INTERVAL","65W","PERIODICITY_OVERRIDE","W","TECH_STUDIES_PARAM1_OVERRIDE",39,"USE_PREVIOUS_BUSINESS_DAY","N")),"")</f>
        <v>0.65980000000000005</v>
      </c>
      <c r="AI49">
        <f t="shared" si="7"/>
        <v>6560.7735897435905</v>
      </c>
      <c r="AJ49" cm="1">
        <f t="array" ref="AJ49">IFERROR(VALUE(_xll.BDP($B49,"INTERVAL_MAE_MOV_AVG","CALC_INTERVAL","65W","PERIODICITY_OVERRIDE","W","TECH_STUDIES_PARAM1_OVERRIDE",39,"USE_PREVIOUS_BUSINESS_DAY","Y")),"")</f>
        <v>0.65959999999999996</v>
      </c>
      <c r="AK49">
        <f t="shared" si="8"/>
        <v>6560.7823076923087</v>
      </c>
      <c r="AL49">
        <f t="shared" si="52"/>
        <v>1.0056740885426385E-4</v>
      </c>
      <c r="AM49">
        <f t="shared" si="53"/>
        <v>1.0053679105106718E-4</v>
      </c>
      <c r="AN49" s="10" t="str">
        <f t="shared" si="54"/>
        <v>UP</v>
      </c>
      <c r="AO49" s="10" t="str">
        <f t="shared" si="55"/>
        <v>UP</v>
      </c>
      <c r="AP49" s="6" t="str">
        <f t="shared" si="56"/>
        <v>POSITIVE</v>
      </c>
      <c r="AQ49" cm="1">
        <f t="array" ref="AQ49">IFERROR(VALUE(_xll.BDP($B49,"INTERVAL_exp_MOV_AVG","CALC_INTERVAL","520D","TECH_STUDIES_PARAM1_OVERRIDE",100,"USE_PREVIOUS_BUSINESS_DAY","N")),"")</f>
        <v>0.67059999999999997</v>
      </c>
      <c r="AR49">
        <f t="shared" si="9"/>
        <v>6773.0064518682802</v>
      </c>
      <c r="AS49" cm="1">
        <f t="array" ref="AS49">IFERROR(VALUE(_xll.BDP($B49,"INTERVAL_exp_MOV_AVG","CALC_INTERVAL","520D","TECH_STUDIES_PARAM1_OVERRIDE",100,"USE_PREVIOUS_BUSINESS_DAY","Y")),"")</f>
        <v>0.66969999999999996</v>
      </c>
      <c r="AT49">
        <f t="shared" si="10"/>
        <v>6769.6039787132295</v>
      </c>
      <c r="AU49">
        <f t="shared" si="57"/>
        <v>9.9010683773233417E-5</v>
      </c>
      <c r="AV49">
        <f t="shared" si="58"/>
        <v>9.892750035391242E-5</v>
      </c>
      <c r="AW49" s="11" t="str">
        <f t="shared" si="59"/>
        <v>UP</v>
      </c>
      <c r="AX49" s="11" t="str">
        <f t="shared" si="60"/>
        <v>UP</v>
      </c>
      <c r="AY49" s="6" t="str">
        <f t="shared" si="61"/>
        <v>POSITIVE</v>
      </c>
      <c r="AZ49" s="12" cm="1">
        <f t="array" ref="AZ49">_xll.BDP($B49, "INTERVAL_RSI", "TECH_STUDIES_PARAM1_OVERRIDE", "5", "PERIODICITY_OVERRIDE", "W")</f>
        <v>92.623999999999995</v>
      </c>
      <c r="BA49" cm="1">
        <f t="array" ref="BA49">IFERROR(VALUE(_xll.BDP($B49,"INTERVAL_MAE_MOV_AVG","CALC_INTERVAL","520D","TECH_STUDIES_PARAM1_OVERRIDE",31,"USE_PREVIOUS_BUSINESS_DAY","N")),"")</f>
        <v>0.6845</v>
      </c>
      <c r="BB49" cm="1">
        <f t="array" ref="BB49">IFERROR(VALUE(_xll.BDP($B49,"INTERVAL_MAE_MOV_AVG","CALC_INTERVAL","760D","TECH_STUDIES_PARAM1_OVERRIDE",200,"USE_PREVIOUS_BUSINESS_DAY","N")),"")</f>
        <v>0.6583</v>
      </c>
      <c r="BC49" s="13">
        <f t="shared" si="62"/>
        <v>4.1490138787436015E-2</v>
      </c>
      <c r="BD49" s="13">
        <f t="shared" si="63"/>
        <v>5.2561641813081206E-2</v>
      </c>
      <c r="BE49" s="13">
        <f t="shared" si="64"/>
        <v>8.2940908400425339E-2</v>
      </c>
      <c r="BF49" s="14" cm="1">
        <f t="array" ref="BF49">VALUE(_xll.BDP($B49,"INTERVAL_DATE_OF_CALC_HI","CALC_INTERVAL","3M"))</f>
        <v>46064</v>
      </c>
      <c r="BG49" s="14" cm="1">
        <f t="array" ref="BG49">VALUE(_xll.BDP($B49,"INTERVAL_DATE_OF_CALC_LO","CALC_INTERVAL","3M"))</f>
        <v>45981</v>
      </c>
      <c r="BH49" s="14" cm="1">
        <f t="array" ref="BH49">VALUE(_xll.BDP($B49,"INTERVAL_DATE_OF_CALC_HI","CALC_INTERVAL","1M"))</f>
        <v>46064</v>
      </c>
      <c r="BI49" s="14" cm="1">
        <f t="array" ref="BI49">VALUE(_xll.BDP($B49,"INTERVAL_DATE_OF_CALC_LO","CALC_INTERVAL","1M"))</f>
        <v>46035</v>
      </c>
      <c r="BJ49" s="15">
        <f>$F49-MIN(_xll.BDP("NYA Index","RSI_14D"),_xll.BDP("RSP US Equity","RSI_14D"))</f>
        <v>4.1572358398437501</v>
      </c>
    </row>
    <row r="50" spans="1:62" x14ac:dyDescent="0.25">
      <c r="A50" s="11">
        <v>49</v>
      </c>
      <c r="B50" s="26" t="s">
        <v>598</v>
      </c>
      <c r="C50" s="1" t="s">
        <v>599</v>
      </c>
      <c r="D50" s="1" t="s">
        <v>593</v>
      </c>
      <c r="E50" s="11" t="s">
        <v>960</v>
      </c>
      <c r="F50">
        <f>IFERROR(VALUE((_xll.BDP($B50,"interval_rsi","tech_studies_param1_override",14))),"")</f>
        <v>51.518999999999998</v>
      </c>
      <c r="G50">
        <f t="shared" si="0"/>
        <v>52.525531939815814</v>
      </c>
      <c r="H50">
        <f t="shared" si="38"/>
        <v>0</v>
      </c>
      <c r="I50" cm="1">
        <f t="array" ref="I50">IFERROR(VALUE(_xll.BDP($B50,"px_last")),"")</f>
        <v>0.51129199999999997</v>
      </c>
      <c r="J50">
        <f t="shared" si="1"/>
        <v>6941.47</v>
      </c>
      <c r="K50" cm="1">
        <f t="array" ref="K50">IFERROR(VALUE(_xll.BDP($B50,"PX_YEST_CLOSE")),"")</f>
        <v>0.51129199999999997</v>
      </c>
      <c r="L50">
        <f t="shared" si="2"/>
        <v>6941.81</v>
      </c>
      <c r="M50">
        <f t="shared" si="39"/>
        <v>7.3657597021956439E-5</v>
      </c>
      <c r="N50">
        <f t="shared" si="40"/>
        <v>7.3653989377410207E-5</v>
      </c>
      <c r="O50" cm="1">
        <f t="array" ref="O50">IFERROR(VALUE(_xll.BDP($B50,"INTERVAL_MAE_MOV_AVG","CALC_INTERVAL","520D","TECH_STUDIES_PARAM1_OVERRIDE",50,"USE_PREVIOUS_BUSINESS_DAY","N")),"")</f>
        <v>0.51126300000000002</v>
      </c>
      <c r="P50">
        <f t="shared" si="3"/>
        <v>6894.0953999999992</v>
      </c>
      <c r="Q50" cm="1">
        <f t="array" ref="Q50">IFERROR(VALUE(_xll.BDP($B50,"INTERVAL_MAE_MOV_AVG","CALC_INTERVAL","520D","TECH_STUDIES_PARAM1_OVERRIDE",50,"USE_PREVIOUS_BUSINESS_DAY","Y")),"")</f>
        <v>0.51126099999999997</v>
      </c>
      <c r="R50">
        <f t="shared" si="4"/>
        <v>6892.2477999999992</v>
      </c>
      <c r="S50">
        <f t="shared" si="41"/>
        <v>7.4159548183797989E-5</v>
      </c>
      <c r="T50">
        <f t="shared" si="42"/>
        <v>7.4179137900410379E-5</v>
      </c>
      <c r="U50" s="11" t="str">
        <f t="shared" si="43"/>
        <v>NEGATIVE</v>
      </c>
      <c r="V50" s="11" t="str">
        <f t="shared" si="44"/>
        <v/>
      </c>
      <c r="W50" s="11" t="str">
        <f t="shared" si="45"/>
        <v>DOWN</v>
      </c>
      <c r="X50" s="6" t="str">
        <f t="shared" si="46"/>
        <v>NEGATIVE</v>
      </c>
      <c r="Y50" cm="1">
        <f t="array" ref="Y50">IFERROR(VALUE(_xll.BDP($B50,"INTERVAL_MAE_MOV_AVG","CALC_INTERVAL","520D","TECH_STUDIES_PARAM1_OVERRIDE",65,"USE_PREVIOUS_BUSINESS_DAY","N")),"")</f>
        <v>0.51126300000000002</v>
      </c>
      <c r="Z50">
        <f t="shared" si="5"/>
        <v>6856.0226153846133</v>
      </c>
      <c r="AA50" cm="1">
        <f t="array" ref="AA50">IFERROR(VALUE(_xll.BDP($B50,"INTERVAL_MAE_MOV_AVG","CALC_INTERVAL","520D","TECH_STUDIES_PARAM1_OVERRIDE",65,"USE_PREVIOUS_BUSINESS_DAY","Y")),"")</f>
        <v>0.51126300000000002</v>
      </c>
      <c r="AB50">
        <f t="shared" si="6"/>
        <v>6852.6203076923057</v>
      </c>
      <c r="AC50">
        <f t="shared" si="47"/>
        <v>7.4571370119571711E-5</v>
      </c>
      <c r="AD50">
        <f t="shared" si="48"/>
        <v>7.4608394605796187E-5</v>
      </c>
      <c r="AE50" s="10" t="str">
        <f t="shared" si="49"/>
        <v/>
      </c>
      <c r="AF50" s="10" t="str">
        <f t="shared" si="50"/>
        <v>DOWN</v>
      </c>
      <c r="AG50" s="6" t="str">
        <f t="shared" si="51"/>
        <v>NEGATIVE</v>
      </c>
      <c r="AH50" cm="1">
        <f t="array" ref="AH50">IFERROR(VALUE(_xll.BDP($B50,"INTERVAL_MAE_MOV_AVG","CALC_INTERVAL","65W","PERIODICITY_OVERRIDE","W","TECH_STUDIES_PARAM1_OVERRIDE",39,"USE_PREVIOUS_BUSINESS_DAY","N")),"")</f>
        <v>0.51126199999999999</v>
      </c>
      <c r="AI50">
        <f t="shared" si="7"/>
        <v>6560.7735897435905</v>
      </c>
      <c r="AJ50" cm="1">
        <f t="array" ref="AJ50">IFERROR(VALUE(_xll.BDP($B50,"INTERVAL_MAE_MOV_AVG","CALC_INTERVAL","65W","PERIODICITY_OVERRIDE","W","TECH_STUDIES_PARAM1_OVERRIDE",39,"USE_PREVIOUS_BUSINESS_DAY","Y")),"")</f>
        <v>0.51126199999999999</v>
      </c>
      <c r="AK50">
        <f t="shared" si="8"/>
        <v>6560.7823076923087</v>
      </c>
      <c r="AL50">
        <f t="shared" si="52"/>
        <v>7.7927090914896394E-5</v>
      </c>
      <c r="AM50">
        <f t="shared" si="53"/>
        <v>7.7926987365601442E-5</v>
      </c>
      <c r="AN50" s="10" t="str">
        <f t="shared" si="54"/>
        <v/>
      </c>
      <c r="AO50" s="10" t="str">
        <f t="shared" si="55"/>
        <v>UP</v>
      </c>
      <c r="AP50" s="6" t="str">
        <f t="shared" si="56"/>
        <v>NEGATIVE</v>
      </c>
      <c r="AQ50" cm="1">
        <f t="array" ref="AQ50">IFERROR(VALUE(_xll.BDP($B50,"INTERVAL_exp_MOV_AVG","CALC_INTERVAL","520D","TECH_STUDIES_PARAM1_OVERRIDE",100,"USE_PREVIOUS_BUSINESS_DAY","N")),"")</f>
        <v>0.51127100000000003</v>
      </c>
      <c r="AR50">
        <f t="shared" si="9"/>
        <v>6773.0064518682802</v>
      </c>
      <c r="AS50" cm="1">
        <f t="array" ref="AS50">IFERROR(VALUE(_xll.BDP($B50,"INTERVAL_exp_MOV_AVG","CALC_INTERVAL","520D","TECH_STUDIES_PARAM1_OVERRIDE",100,"USE_PREVIOUS_BUSINESS_DAY","Y")),"")</f>
        <v>0.51127100000000003</v>
      </c>
      <c r="AT50">
        <f t="shared" si="10"/>
        <v>6769.6039787132295</v>
      </c>
      <c r="AU50">
        <f t="shared" si="57"/>
        <v>7.5486566214471863E-5</v>
      </c>
      <c r="AV50">
        <f t="shared" si="58"/>
        <v>7.5524506545386234E-5</v>
      </c>
      <c r="AW50" s="11" t="str">
        <f t="shared" si="59"/>
        <v/>
      </c>
      <c r="AX50" s="11" t="str">
        <f t="shared" si="60"/>
        <v>DOWN</v>
      </c>
      <c r="AY50" s="6" t="str">
        <f t="shared" si="61"/>
        <v>NEGATIVE</v>
      </c>
      <c r="AZ50" s="12" cm="1">
        <f t="array" ref="AZ50">_xll.BDP($B50, "INTERVAL_RSI", "TECH_STUDIES_PARAM1_OVERRIDE", "5", "PERIODICITY_OVERRIDE", "W")</f>
        <v>46.860999999999997</v>
      </c>
      <c r="BA50" cm="1">
        <f t="array" ref="BA50">IFERROR(VALUE(_xll.BDP($B50,"INTERVAL_MAE_MOV_AVG","CALC_INTERVAL","520D","TECH_STUDIES_PARAM1_OVERRIDE",31,"USE_PREVIOUS_BUSINESS_DAY","N")),"")</f>
        <v>0.51128300000000004</v>
      </c>
      <c r="BB50" cm="1">
        <f t="array" ref="BB50">IFERROR(VALUE(_xll.BDP($B50,"INTERVAL_MAE_MOV_AVG","CALC_INTERVAL","760D","TECH_STUDIES_PARAM1_OVERRIDE",200,"USE_PREVIOUS_BUSINESS_DAY","N")),"")</f>
        <v>0.51125500000000001</v>
      </c>
      <c r="BC50" s="13">
        <f t="shared" si="62"/>
        <v>1.760277576190461E-5</v>
      </c>
      <c r="BD50" s="13">
        <f t="shared" si="63"/>
        <v>5.672227405462138E-5</v>
      </c>
      <c r="BE50" s="13">
        <f t="shared" si="64"/>
        <v>7.2370930357612551E-5</v>
      </c>
      <c r="BF50" s="14" cm="1">
        <f t="array" ref="BF50">VALUE(_xll.BDP($B50,"INTERVAL_DATE_OF_CALC_HI","CALC_INTERVAL","3M"))</f>
        <v>46000</v>
      </c>
      <c r="BG50" s="14" cm="1">
        <f t="array" ref="BG50">VALUE(_xll.BDP($B50,"INTERVAL_DATE_OF_CALC_LO","CALC_INTERVAL","3M"))</f>
        <v>46016</v>
      </c>
      <c r="BH50" s="14" cm="1">
        <f t="array" ref="BH50">VALUE(_xll.BDP($B50,"INTERVAL_DATE_OF_CALC_HI","CALC_INTERVAL","1M"))</f>
        <v>46034</v>
      </c>
      <c r="BI50" s="14" cm="1">
        <f t="array" ref="BI50">VALUE(_xll.BDP($B50,"INTERVAL_DATE_OF_CALC_LO","CALC_INTERVAL","1M"))</f>
        <v>46034</v>
      </c>
      <c r="BJ50" s="15">
        <f>$F50-MIN(_xll.BDP("NYA Index","RSI_14D"),_xll.BDP("RSP US Equity","RSI_14D"))</f>
        <v>-14.826764160156252</v>
      </c>
    </row>
    <row r="51" spans="1:62" x14ac:dyDescent="0.25">
      <c r="A51" s="11">
        <v>50</v>
      </c>
      <c r="B51" s="26" t="s">
        <v>600</v>
      </c>
      <c r="C51" s="1" t="s">
        <v>601</v>
      </c>
      <c r="D51" s="1" t="s">
        <v>593</v>
      </c>
      <c r="E51" s="11" t="s">
        <v>959</v>
      </c>
      <c r="F51">
        <f>IFERROR(VALUE((_xll.BDP($B51,"interval_rsi","tech_studies_param1_override",14))),"")</f>
        <v>56.048000000000002</v>
      </c>
      <c r="G51">
        <f t="shared" si="0"/>
        <v>52.525531939815814</v>
      </c>
      <c r="H51">
        <f t="shared" si="38"/>
        <v>0</v>
      </c>
      <c r="I51" cm="1">
        <f t="array" ref="I51">IFERROR(VALUE(_xll.BDP($B51,"px_last")),"")</f>
        <v>0.60709999999999997</v>
      </c>
      <c r="J51">
        <f t="shared" si="1"/>
        <v>6941.47</v>
      </c>
      <c r="K51" cm="1">
        <f t="array" ref="K51">IFERROR(VALUE(_xll.BDP($B51,"PX_YEST_CLOSE")),"")</f>
        <v>0.60699999999999998</v>
      </c>
      <c r="L51">
        <f t="shared" si="2"/>
        <v>6941.81</v>
      </c>
      <c r="M51">
        <f t="shared" si="39"/>
        <v>8.745986080758109E-5</v>
      </c>
      <c r="N51">
        <f t="shared" si="40"/>
        <v>8.7441171682889617E-5</v>
      </c>
      <c r="O51" cm="1">
        <f t="array" ref="O51">IFERROR(VALUE(_xll.BDP($B51,"INTERVAL_MAE_MOV_AVG","CALC_INTERVAL","520D","TECH_STUDIES_PARAM1_OVERRIDE",50,"USE_PREVIOUS_BUSINESS_DAY","N")),"")</f>
        <v>0.6008</v>
      </c>
      <c r="P51">
        <f t="shared" si="3"/>
        <v>6894.0953999999992</v>
      </c>
      <c r="Q51" cm="1">
        <f t="array" ref="Q51">IFERROR(VALUE(_xll.BDP($B51,"INTERVAL_MAE_MOV_AVG","CALC_INTERVAL","520D","TECH_STUDIES_PARAM1_OVERRIDE",50,"USE_PREVIOUS_BUSINESS_DAY","Y")),"")</f>
        <v>0.60060000000000002</v>
      </c>
      <c r="R51">
        <f t="shared" si="4"/>
        <v>6892.2477999999992</v>
      </c>
      <c r="S51">
        <f t="shared" si="41"/>
        <v>8.7147038899403688E-5</v>
      </c>
      <c r="T51">
        <f t="shared" si="42"/>
        <v>8.7141382235270194E-5</v>
      </c>
      <c r="U51" s="11" t="str">
        <f t="shared" si="43"/>
        <v>NEGATIVE</v>
      </c>
      <c r="V51" s="11" t="str">
        <f t="shared" si="44"/>
        <v/>
      </c>
      <c r="W51" s="11" t="str">
        <f t="shared" si="45"/>
        <v>UP</v>
      </c>
      <c r="X51" s="6" t="str">
        <f t="shared" si="46"/>
        <v>POSITIVE</v>
      </c>
      <c r="Y51" cm="1">
        <f t="array" ref="Y51">IFERROR(VALUE(_xll.BDP($B51,"INTERVAL_MAE_MOV_AVG","CALC_INTERVAL","520D","TECH_STUDIES_PARAM1_OVERRIDE",65,"USE_PREVIOUS_BUSINESS_DAY","N")),"")</f>
        <v>0.59889999999999999</v>
      </c>
      <c r="Z51">
        <f t="shared" si="5"/>
        <v>6856.0226153846133</v>
      </c>
      <c r="AA51" cm="1">
        <f t="array" ref="AA51">IFERROR(VALUE(_xll.BDP($B51,"INTERVAL_MAE_MOV_AVG","CALC_INTERVAL","520D","TECH_STUDIES_PARAM1_OVERRIDE",65,"USE_PREVIOUS_BUSINESS_DAY","Y")),"")</f>
        <v>0.59870000000000001</v>
      </c>
      <c r="AB51">
        <f t="shared" si="6"/>
        <v>6852.6203076923057</v>
      </c>
      <c r="AC51">
        <f t="shared" si="47"/>
        <v>8.7353854209304204E-5</v>
      </c>
      <c r="AD51">
        <f t="shared" si="48"/>
        <v>8.7368039248860517E-5</v>
      </c>
      <c r="AE51" s="10" t="str">
        <f t="shared" si="49"/>
        <v>UP</v>
      </c>
      <c r="AF51" s="10" t="str">
        <f t="shared" si="50"/>
        <v>DOWN</v>
      </c>
      <c r="AG51" s="6" t="str">
        <f t="shared" si="51"/>
        <v>POSITIVE</v>
      </c>
      <c r="AH51" cm="1">
        <f t="array" ref="AH51">IFERROR(VALUE(_xll.BDP($B51,"INTERVAL_MAE_MOV_AVG","CALC_INTERVAL","65W","PERIODICITY_OVERRIDE","W","TECH_STUDIES_PARAM1_OVERRIDE",39,"USE_PREVIOUS_BUSINESS_DAY","N")),"")</f>
        <v>0.59599999999999997</v>
      </c>
      <c r="AI51">
        <f t="shared" si="7"/>
        <v>6560.7735897435905</v>
      </c>
      <c r="AJ51" cm="1">
        <f t="array" ref="AJ51">IFERROR(VALUE(_xll.BDP($B51,"INTERVAL_MAE_MOV_AVG","CALC_INTERVAL","65W","PERIODICITY_OVERRIDE","W","TECH_STUDIES_PARAM1_OVERRIDE",39,"USE_PREVIOUS_BUSINESS_DAY","Y")),"")</f>
        <v>0.59599999999999997</v>
      </c>
      <c r="AK51">
        <f t="shared" si="8"/>
        <v>6560.7823076923087</v>
      </c>
      <c r="AL51">
        <f t="shared" si="52"/>
        <v>9.0842945858049797E-5</v>
      </c>
      <c r="AM51">
        <f t="shared" si="53"/>
        <v>9.0842825146203815E-5</v>
      </c>
      <c r="AN51" s="10" t="str">
        <f t="shared" si="54"/>
        <v/>
      </c>
      <c r="AO51" s="10" t="str">
        <f t="shared" si="55"/>
        <v>UP</v>
      </c>
      <c r="AP51" s="6" t="str">
        <f t="shared" si="56"/>
        <v>NEGATIVE</v>
      </c>
      <c r="AQ51" cm="1">
        <f t="array" ref="AQ51">IFERROR(VALUE(_xll.BDP($B51,"INTERVAL_exp_MOV_AVG","CALC_INTERVAL","520D","TECH_STUDIES_PARAM1_OVERRIDE",100,"USE_PREVIOUS_BUSINESS_DAY","N")),"")</f>
        <v>0.59809999999999997</v>
      </c>
      <c r="AR51">
        <f t="shared" si="9"/>
        <v>6773.0064518682802</v>
      </c>
      <c r="AS51" cm="1">
        <f t="array" ref="AS51">IFERROR(VALUE(_xll.BDP($B51,"INTERVAL_exp_MOV_AVG","CALC_INTERVAL","520D","TECH_STUDIES_PARAM1_OVERRIDE",100,"USE_PREVIOUS_BUSINESS_DAY","Y")),"")</f>
        <v>0.59799999999999998</v>
      </c>
      <c r="AT51">
        <f t="shared" si="10"/>
        <v>6769.6039787132295</v>
      </c>
      <c r="AU51">
        <f t="shared" si="57"/>
        <v>8.8306427027692969E-5</v>
      </c>
      <c r="AV51">
        <f t="shared" si="58"/>
        <v>8.8336038840734112E-5</v>
      </c>
      <c r="AW51" s="11" t="str">
        <f t="shared" si="59"/>
        <v>UP</v>
      </c>
      <c r="AX51" s="11" t="str">
        <f t="shared" si="60"/>
        <v>DOWN</v>
      </c>
      <c r="AY51" s="6" t="str">
        <f t="shared" si="61"/>
        <v>NEGATIVE</v>
      </c>
      <c r="AZ51" s="12" cm="1">
        <f t="array" ref="AZ51">_xll.BDP($B51, "INTERVAL_RSI", "TECH_STUDIES_PARAM1_OVERRIDE", "5", "PERIODICITY_OVERRIDE", "W")</f>
        <v>69.042000000000002</v>
      </c>
      <c r="BA51" cm="1">
        <f t="array" ref="BA51">IFERROR(VALUE(_xll.BDP($B51,"INTERVAL_MAE_MOV_AVG","CALC_INTERVAL","520D","TECH_STUDIES_PARAM1_OVERRIDE",31,"USE_PREVIOUS_BUSINESS_DAY","N")),"")</f>
        <v>0.60160000000000002</v>
      </c>
      <c r="BB51" cm="1">
        <f t="array" ref="BB51">IFERROR(VALUE(_xll.BDP($B51,"INTERVAL_MAE_MOV_AVG","CALC_INTERVAL","760D","TECH_STUDIES_PARAM1_OVERRIDE",200,"USE_PREVIOUS_BUSINESS_DAY","N")),"")</f>
        <v>0.59470000000000001</v>
      </c>
      <c r="BC51" s="13">
        <f t="shared" si="62"/>
        <v>9.1422872340425343E-3</v>
      </c>
      <c r="BD51" s="13">
        <f t="shared" si="63"/>
        <v>1.0486018641810979E-2</v>
      </c>
      <c r="BE51" s="13">
        <f t="shared" si="64"/>
        <v>2.0850849167647567E-2</v>
      </c>
      <c r="BF51" s="14" cm="1">
        <f t="array" ref="BF51">VALUE(_xll.BDP($B51,"INTERVAL_DATE_OF_CALC_HI","CALC_INTERVAL","3M"))</f>
        <v>46049</v>
      </c>
      <c r="BG51" s="14" cm="1">
        <f t="array" ref="BG51">VALUE(_xll.BDP($B51,"INTERVAL_DATE_OF_CALC_LO","CALC_INTERVAL","3M"))</f>
        <v>45982</v>
      </c>
      <c r="BH51" s="14" cm="1">
        <f t="array" ref="BH51">VALUE(_xll.BDP($B51,"INTERVAL_DATE_OF_CALC_HI","CALC_INTERVAL","1M"))</f>
        <v>46049</v>
      </c>
      <c r="BI51" s="14" cm="1">
        <f t="array" ref="BI51">VALUE(_xll.BDP($B51,"INTERVAL_DATE_OF_CALC_LO","CALC_INTERVAL","1M"))</f>
        <v>46038</v>
      </c>
      <c r="BJ51" s="15">
        <f>$F51-MIN(_xll.BDP("NYA Index","RSI_14D"),_xll.BDP("RSP US Equity","RSI_14D"))</f>
        <v>-10.297764160156248</v>
      </c>
    </row>
    <row r="52" spans="1:62" x14ac:dyDescent="0.25">
      <c r="A52" s="11">
        <v>51</v>
      </c>
      <c r="B52" s="26" t="s">
        <v>602</v>
      </c>
      <c r="C52" s="1" t="s">
        <v>603</v>
      </c>
      <c r="D52" s="1" t="s">
        <v>593</v>
      </c>
      <c r="E52" s="11" t="s">
        <v>960</v>
      </c>
      <c r="F52">
        <f>IFERROR(VALUE((_xll.BDP($B52,"interval_rsi","tech_studies_param1_override",14))),"")</f>
        <v>62.591999999999999</v>
      </c>
      <c r="G52">
        <f t="shared" si="0"/>
        <v>52.525531939815814</v>
      </c>
      <c r="H52">
        <f t="shared" si="38"/>
        <v>1</v>
      </c>
      <c r="I52" cm="1">
        <f t="array" ref="I52">IFERROR(VALUE(_xll.BDP($B52,"px_last")),"")</f>
        <v>0.16247</v>
      </c>
      <c r="J52">
        <f t="shared" si="1"/>
        <v>6941.47</v>
      </c>
      <c r="K52" cm="1">
        <f t="array" ref="K52">IFERROR(VALUE(_xll.BDP($B52,"PX_YEST_CLOSE")),"")</f>
        <v>0.16247</v>
      </c>
      <c r="L52">
        <f t="shared" si="2"/>
        <v>6941.81</v>
      </c>
      <c r="M52">
        <f t="shared" si="39"/>
        <v>2.3405705131621977E-5</v>
      </c>
      <c r="N52">
        <f t="shared" si="40"/>
        <v>2.3404558753408693E-5</v>
      </c>
      <c r="O52" cm="1">
        <f t="array" ref="O52">IFERROR(VALUE(_xll.BDP($B52,"INTERVAL_MAE_MOV_AVG","CALC_INTERVAL","520D","TECH_STUDIES_PARAM1_OVERRIDE",50,"USE_PREVIOUS_BUSINESS_DAY","N")),"")</f>
        <v>0.15828</v>
      </c>
      <c r="P52">
        <f t="shared" si="3"/>
        <v>6894.0953999999992</v>
      </c>
      <c r="Q52" cm="1">
        <f t="array" ref="Q52">IFERROR(VALUE(_xll.BDP($B52,"INTERVAL_MAE_MOV_AVG","CALC_INTERVAL","520D","TECH_STUDIES_PARAM1_OVERRIDE",50,"USE_PREVIOUS_BUSINESS_DAY","Y")),"")</f>
        <v>0.15826000000000001</v>
      </c>
      <c r="R52">
        <f t="shared" si="4"/>
        <v>6892.2477999999992</v>
      </c>
      <c r="S52">
        <f t="shared" si="41"/>
        <v>2.2958777158784317E-5</v>
      </c>
      <c r="T52">
        <f t="shared" si="42"/>
        <v>2.2962029891032071E-5</v>
      </c>
      <c r="U52" s="11" t="str">
        <f t="shared" si="43"/>
        <v>POSITIVE</v>
      </c>
      <c r="V52" s="11" t="str">
        <f t="shared" si="44"/>
        <v/>
      </c>
      <c r="W52" s="11" t="str">
        <f t="shared" si="45"/>
        <v>DOWN</v>
      </c>
      <c r="X52" s="6" t="str">
        <f t="shared" si="46"/>
        <v>POSITIVE</v>
      </c>
      <c r="Y52" cm="1">
        <f t="array" ref="Y52">IFERROR(VALUE(_xll.BDP($B52,"INTERVAL_MAE_MOV_AVG","CALC_INTERVAL","520D","TECH_STUDIES_PARAM1_OVERRIDE",65,"USE_PREVIOUS_BUSINESS_DAY","N")),"")</f>
        <v>0.15905</v>
      </c>
      <c r="Z52">
        <f t="shared" si="5"/>
        <v>6856.0226153846133</v>
      </c>
      <c r="AA52" cm="1">
        <f t="array" ref="AA52">IFERROR(VALUE(_xll.BDP($B52,"INTERVAL_MAE_MOV_AVG","CALC_INTERVAL","520D","TECH_STUDIES_PARAM1_OVERRIDE",65,"USE_PREVIOUS_BUSINESS_DAY","Y")),"")</f>
        <v>0.15906000000000001</v>
      </c>
      <c r="AB52">
        <f t="shared" si="6"/>
        <v>6852.6203076923057</v>
      </c>
      <c r="AC52">
        <f t="shared" si="47"/>
        <v>2.3198581586224465E-5</v>
      </c>
      <c r="AD52">
        <f t="shared" si="48"/>
        <v>2.3211558915857283E-5</v>
      </c>
      <c r="AE52" s="10" t="str">
        <f t="shared" si="49"/>
        <v>DOWN</v>
      </c>
      <c r="AF52" s="10" t="str">
        <f t="shared" si="50"/>
        <v>DOWN</v>
      </c>
      <c r="AG52" s="6" t="str">
        <f t="shared" si="51"/>
        <v>POSITIVE</v>
      </c>
      <c r="AH52" cm="1">
        <f t="array" ref="AH52">IFERROR(VALUE(_xll.BDP($B52,"INTERVAL_MAE_MOV_AVG","CALC_INTERVAL","65W","PERIODICITY_OVERRIDE","W","TECH_STUDIES_PARAM1_OVERRIDE",39,"USE_PREVIOUS_BUSINESS_DAY","N")),"")</f>
        <v>0.15806000000000001</v>
      </c>
      <c r="AI52">
        <f t="shared" si="7"/>
        <v>6560.7735897435905</v>
      </c>
      <c r="AJ52" cm="1">
        <f t="array" ref="AJ52">IFERROR(VALUE(_xll.BDP($B52,"INTERVAL_MAE_MOV_AVG","CALC_INTERVAL","65W","PERIODICITY_OVERRIDE","W","TECH_STUDIES_PARAM1_OVERRIDE",39,"USE_PREVIOUS_BUSINESS_DAY","Y")),"")</f>
        <v>0.15805</v>
      </c>
      <c r="AK52">
        <f t="shared" si="8"/>
        <v>6560.7823076923087</v>
      </c>
      <c r="AL52">
        <f t="shared" si="52"/>
        <v>2.4091671178394885E-5</v>
      </c>
      <c r="AM52">
        <f t="shared" si="53"/>
        <v>2.4090114956975693E-5</v>
      </c>
      <c r="AN52" s="10" t="str">
        <f t="shared" si="54"/>
        <v>UP</v>
      </c>
      <c r="AO52" s="10" t="str">
        <f t="shared" si="55"/>
        <v>UP</v>
      </c>
      <c r="AP52" s="6" t="str">
        <f t="shared" si="56"/>
        <v>NEGATIVE</v>
      </c>
      <c r="AQ52" cm="1">
        <f t="array" ref="AQ52">IFERROR(VALUE(_xll.BDP($B52,"INTERVAL_exp_MOV_AVG","CALC_INTERVAL","520D","TECH_STUDIES_PARAM1_OVERRIDE",100,"USE_PREVIOUS_BUSINESS_DAY","N")),"")</f>
        <v>0.15917000000000001</v>
      </c>
      <c r="AR52">
        <f t="shared" si="9"/>
        <v>6773.0064518682802</v>
      </c>
      <c r="AS52" cm="1">
        <f t="array" ref="AS52">IFERROR(VALUE(_xll.BDP($B52,"INTERVAL_exp_MOV_AVG","CALC_INTERVAL","520D","TECH_STUDIES_PARAM1_OVERRIDE",100,"USE_PREVIOUS_BUSINESS_DAY","Y")),"")</f>
        <v>0.15909999999999999</v>
      </c>
      <c r="AT52">
        <f t="shared" si="10"/>
        <v>6769.6039787132295</v>
      </c>
      <c r="AU52">
        <f t="shared" si="57"/>
        <v>2.3500642016381693E-5</v>
      </c>
      <c r="AV52">
        <f t="shared" si="58"/>
        <v>2.3502113343747151E-5</v>
      </c>
      <c r="AW52" s="11" t="str">
        <f t="shared" si="59"/>
        <v>UP</v>
      </c>
      <c r="AX52" s="11" t="str">
        <f t="shared" si="60"/>
        <v>DOWN</v>
      </c>
      <c r="AY52" s="6" t="str">
        <f t="shared" si="61"/>
        <v>NEGATIVE</v>
      </c>
      <c r="AZ52" s="12" cm="1">
        <f t="array" ref="AZ52">_xll.BDP($B52, "INTERVAL_RSI", "TECH_STUDIES_PARAM1_OVERRIDE", "5", "PERIODICITY_OVERRIDE", "W")</f>
        <v>73.305000000000007</v>
      </c>
      <c r="BA52" cm="1">
        <f t="array" ref="BA52">IFERROR(VALUE(_xll.BDP($B52,"INTERVAL_MAE_MOV_AVG","CALC_INTERVAL","520D","TECH_STUDIES_PARAM1_OVERRIDE",31,"USE_PREVIOUS_BUSINESS_DAY","N")),"")</f>
        <v>0.15992999999999999</v>
      </c>
      <c r="BB52" cm="1">
        <f t="array" ref="BB52">IFERROR(VALUE(_xll.BDP($B52,"INTERVAL_MAE_MOV_AVG","CALC_INTERVAL","760D","TECH_STUDIES_PARAM1_OVERRIDE",200,"USE_PREVIOUS_BUSINESS_DAY","N")),"")</f>
        <v>0.15812999999999999</v>
      </c>
      <c r="BC52" s="13">
        <f t="shared" si="62"/>
        <v>1.5881948352404196E-2</v>
      </c>
      <c r="BD52" s="13">
        <f t="shared" si="63"/>
        <v>2.6472074804144485E-2</v>
      </c>
      <c r="BE52" s="13">
        <f t="shared" si="64"/>
        <v>2.7445772465692908E-2</v>
      </c>
      <c r="BF52" s="14" cm="1">
        <f t="array" ref="BF52">VALUE(_xll.BDP($B52,"INTERVAL_DATE_OF_CALC_HI","CALC_INTERVAL","3M"))</f>
        <v>45972</v>
      </c>
      <c r="BG52" s="14" cm="1">
        <f t="array" ref="BG52">VALUE(_xll.BDP($B52,"INTERVAL_DATE_OF_CALC_LO","CALC_INTERVAL","3M"))</f>
        <v>46013</v>
      </c>
      <c r="BH52" s="14" cm="1">
        <f t="array" ref="BH52">VALUE(_xll.BDP($B52,"INTERVAL_DATE_OF_CALC_HI","CALC_INTERVAL","1M"))</f>
        <v>46064</v>
      </c>
      <c r="BI52" s="14" cm="1">
        <f t="array" ref="BI52">VALUE(_xll.BDP($B52,"INTERVAL_DATE_OF_CALC_LO","CALC_INTERVAL","1M"))</f>
        <v>46042</v>
      </c>
      <c r="BJ52" s="15">
        <f>$F52-MIN(_xll.BDP("NYA Index","RSI_14D"),_xll.BDP("RSP US Equity","RSI_14D"))</f>
        <v>-3.7537641601562513</v>
      </c>
    </row>
    <row r="53" spans="1:62" x14ac:dyDescent="0.25">
      <c r="A53" s="11">
        <v>52</v>
      </c>
      <c r="B53" s="26" t="s">
        <v>604</v>
      </c>
      <c r="C53" s="1" t="s">
        <v>605</v>
      </c>
      <c r="D53" s="1" t="s">
        <v>593</v>
      </c>
      <c r="E53" s="11" t="s">
        <v>959</v>
      </c>
      <c r="F53">
        <f>IFERROR(VALUE((_xll.BDP($B53,"interval_rsi","tech_studies_param1_override",14))),"")</f>
        <v>65.992999999999995</v>
      </c>
      <c r="G53">
        <f t="shared" si="0"/>
        <v>52.525531939815814</v>
      </c>
      <c r="H53">
        <f t="shared" si="38"/>
        <v>1</v>
      </c>
      <c r="I53" cm="1">
        <f t="array" ref="I53">IFERROR(VALUE(_xll.BDP($B53,"px_last")),"")</f>
        <v>0.19289999999999999</v>
      </c>
      <c r="J53">
        <f t="shared" si="1"/>
        <v>6941.47</v>
      </c>
      <c r="K53" cm="1">
        <f t="array" ref="K53">IFERROR(VALUE(_xll.BDP($B53,"PX_YEST_CLOSE")),"")</f>
        <v>0.19289999999999999</v>
      </c>
      <c r="L53">
        <f t="shared" si="2"/>
        <v>6941.81</v>
      </c>
      <c r="M53">
        <f t="shared" si="39"/>
        <v>2.7789502799839223E-5</v>
      </c>
      <c r="N53">
        <f t="shared" si="40"/>
        <v>2.7788141709438891E-5</v>
      </c>
      <c r="O53" cm="1">
        <f t="array" ref="O53">IFERROR(VALUE(_xll.BDP($B53,"INTERVAL_MAE_MOV_AVG","CALC_INTERVAL","520D","TECH_STUDIES_PARAM1_OVERRIDE",50,"USE_PREVIOUS_BUSINESS_DAY","N")),"")</f>
        <v>0.18629999999999999</v>
      </c>
      <c r="P53">
        <f t="shared" si="3"/>
        <v>6894.0953999999992</v>
      </c>
      <c r="Q53" cm="1">
        <f t="array" ref="Q53">IFERROR(VALUE(_xll.BDP($B53,"INTERVAL_MAE_MOV_AVG","CALC_INTERVAL","520D","TECH_STUDIES_PARAM1_OVERRIDE",50,"USE_PREVIOUS_BUSINESS_DAY","Y")),"")</f>
        <v>0.18609999999999999</v>
      </c>
      <c r="R53">
        <f t="shared" si="4"/>
        <v>6892.2477999999992</v>
      </c>
      <c r="S53">
        <f t="shared" si="41"/>
        <v>2.7023124745271152E-5</v>
      </c>
      <c r="T53">
        <f t="shared" si="42"/>
        <v>2.7001350705933703E-5</v>
      </c>
      <c r="U53" s="11" t="str">
        <f t="shared" si="43"/>
        <v>POSITIVE</v>
      </c>
      <c r="V53" s="11" t="str">
        <f t="shared" si="44"/>
        <v/>
      </c>
      <c r="W53" s="11" t="str">
        <f t="shared" si="45"/>
        <v>UP</v>
      </c>
      <c r="X53" s="6" t="str">
        <f t="shared" si="46"/>
        <v>POSITIVE</v>
      </c>
      <c r="Y53" cm="1">
        <f t="array" ref="Y53">IFERROR(VALUE(_xll.BDP($B53,"INTERVAL_MAE_MOV_AVG","CALC_INTERVAL","520D","TECH_STUDIES_PARAM1_OVERRIDE",65,"USE_PREVIOUS_BUSINESS_DAY","N")),"")</f>
        <v>0.18659999999999999</v>
      </c>
      <c r="Z53">
        <f t="shared" si="5"/>
        <v>6856.0226153846133</v>
      </c>
      <c r="AA53" cm="1">
        <f t="array" ref="AA53">IFERROR(VALUE(_xll.BDP($B53,"INTERVAL_MAE_MOV_AVG","CALC_INTERVAL","520D","TECH_STUDIES_PARAM1_OVERRIDE",65,"USE_PREVIOUS_BUSINESS_DAY","Y")),"")</f>
        <v>0.1865</v>
      </c>
      <c r="AB53">
        <f t="shared" si="6"/>
        <v>6852.6203076923057</v>
      </c>
      <c r="AC53">
        <f t="shared" si="47"/>
        <v>2.7216946394149546E-5</v>
      </c>
      <c r="AD53">
        <f t="shared" si="48"/>
        <v>2.7215866577438594E-5</v>
      </c>
      <c r="AE53" s="10" t="str">
        <f t="shared" si="49"/>
        <v>UP</v>
      </c>
      <c r="AF53" s="10" t="str">
        <f t="shared" si="50"/>
        <v>UP</v>
      </c>
      <c r="AG53" s="6" t="str">
        <f t="shared" si="51"/>
        <v>POSITIVE</v>
      </c>
      <c r="AH53" cm="1">
        <f t="array" ref="AH53">IFERROR(VALUE(_xll.BDP($B53,"INTERVAL_MAE_MOV_AVG","CALC_INTERVAL","65W","PERIODICITY_OVERRIDE","W","TECH_STUDIES_PARAM1_OVERRIDE",39,"USE_PREVIOUS_BUSINESS_DAY","N")),"")</f>
        <v>0.18429999999999999</v>
      </c>
      <c r="AI53">
        <f t="shared" si="7"/>
        <v>6560.7735897435905</v>
      </c>
      <c r="AJ53" cm="1">
        <f t="array" ref="AJ53">IFERROR(VALUE(_xll.BDP($B53,"INTERVAL_MAE_MOV_AVG","CALC_INTERVAL","65W","PERIODICITY_OVERRIDE","W","TECH_STUDIES_PARAM1_OVERRIDE",39,"USE_PREVIOUS_BUSINESS_DAY","Y")),"")</f>
        <v>0.18429999999999999</v>
      </c>
      <c r="AK53">
        <f t="shared" si="8"/>
        <v>6560.7823076923087</v>
      </c>
      <c r="AL53">
        <f t="shared" si="52"/>
        <v>2.8091199532950634E-5</v>
      </c>
      <c r="AM53">
        <f t="shared" si="53"/>
        <v>2.8091162205445242E-5</v>
      </c>
      <c r="AN53" s="10" t="str">
        <f t="shared" si="54"/>
        <v/>
      </c>
      <c r="AO53" s="10" t="str">
        <f t="shared" si="55"/>
        <v>UP</v>
      </c>
      <c r="AP53" s="6" t="str">
        <f t="shared" si="56"/>
        <v>NEGATIVE</v>
      </c>
      <c r="AQ53" cm="1">
        <f t="array" ref="AQ53">IFERROR(VALUE(_xll.BDP($B53,"INTERVAL_exp_MOV_AVG","CALC_INTERVAL","520D","TECH_STUDIES_PARAM1_OVERRIDE",100,"USE_PREVIOUS_BUSINESS_DAY","N")),"")</f>
        <v>0.1862</v>
      </c>
      <c r="AR53">
        <f t="shared" si="9"/>
        <v>6773.0064518682802</v>
      </c>
      <c r="AS53" cm="1">
        <f t="array" ref="AS53">IFERROR(VALUE(_xll.BDP($B53,"INTERVAL_exp_MOV_AVG","CALC_INTERVAL","520D","TECH_STUDIES_PARAM1_OVERRIDE",100,"USE_PREVIOUS_BUSINESS_DAY","Y")),"")</f>
        <v>0.18609999999999999</v>
      </c>
      <c r="AT53">
        <f t="shared" si="10"/>
        <v>6769.6039787132295</v>
      </c>
      <c r="AU53">
        <f t="shared" si="57"/>
        <v>2.7491484220960429E-5</v>
      </c>
      <c r="AV53">
        <f t="shared" si="58"/>
        <v>2.7490529813144843E-5</v>
      </c>
      <c r="AW53" s="11" t="str">
        <f t="shared" si="59"/>
        <v>UP</v>
      </c>
      <c r="AX53" s="11" t="str">
        <f t="shared" si="60"/>
        <v>UP</v>
      </c>
      <c r="AY53" s="6" t="str">
        <f t="shared" si="61"/>
        <v>POSITIVE</v>
      </c>
      <c r="AZ53" s="12" cm="1">
        <f t="array" ref="AZ53">_xll.BDP($B53, "INTERVAL_RSI", "TECH_STUDIES_PARAM1_OVERRIDE", "5", "PERIODICITY_OVERRIDE", "W")</f>
        <v>81.460999999999999</v>
      </c>
      <c r="BA53" cm="1">
        <f t="array" ref="BA53">IFERROR(VALUE(_xll.BDP($B53,"INTERVAL_MAE_MOV_AVG","CALC_INTERVAL","520D","TECH_STUDIES_PARAM1_OVERRIDE",31,"USE_PREVIOUS_BUSINESS_DAY","N")),"")</f>
        <v>0.18820000000000001</v>
      </c>
      <c r="BB53" cm="1">
        <f t="array" ref="BB53">IFERROR(VALUE(_xll.BDP($B53,"INTERVAL_MAE_MOV_AVG","CALC_INTERVAL","760D","TECH_STUDIES_PARAM1_OVERRIDE",200,"USE_PREVIOUS_BUSINESS_DAY","N")),"")</f>
        <v>0.18379999999999999</v>
      </c>
      <c r="BC53" s="13">
        <f t="shared" si="62"/>
        <v>2.4973432518597072E-2</v>
      </c>
      <c r="BD53" s="13">
        <f t="shared" si="63"/>
        <v>3.5426731078904927E-2</v>
      </c>
      <c r="BE53" s="13">
        <f t="shared" si="64"/>
        <v>4.9510337323177334E-2</v>
      </c>
      <c r="BF53" s="14" cm="1">
        <f t="array" ref="BF53">VALUE(_xll.BDP($B53,"INTERVAL_DATE_OF_CALC_HI","CALC_INTERVAL","3M"))</f>
        <v>46049</v>
      </c>
      <c r="BG53" s="14" cm="1">
        <f t="array" ref="BG53">VALUE(_xll.BDP($B53,"INTERVAL_DATE_OF_CALC_LO","CALC_INTERVAL","3M"))</f>
        <v>46013</v>
      </c>
      <c r="BH53" s="14" cm="1">
        <f t="array" ref="BH53">VALUE(_xll.BDP($B53,"INTERVAL_DATE_OF_CALC_HI","CALC_INTERVAL","1M"))</f>
        <v>46049</v>
      </c>
      <c r="BI53" s="14" cm="1">
        <f t="array" ref="BI53">VALUE(_xll.BDP($B53,"INTERVAL_DATE_OF_CALC_LO","CALC_INTERVAL","1M"))</f>
        <v>46036</v>
      </c>
      <c r="BJ53" s="15">
        <f>$F53-MIN(_xll.BDP("NYA Index","RSI_14D"),_xll.BDP("RSP US Equity","RSI_14D"))</f>
        <v>-0.352764160156255</v>
      </c>
    </row>
    <row r="54" spans="1:62" x14ac:dyDescent="0.25">
      <c r="A54" s="11">
        <v>53</v>
      </c>
      <c r="B54" s="26" t="s">
        <v>606</v>
      </c>
      <c r="C54" s="1" t="s">
        <v>607</v>
      </c>
      <c r="D54" s="1" t="s">
        <v>593</v>
      </c>
      <c r="E54" s="11" t="s">
        <v>960</v>
      </c>
      <c r="F54">
        <f>IFERROR(VALUE((_xll.BDP($B54,"interval_rsi","tech_studies_param1_override",14))),"")</f>
        <v>56.332999999999998</v>
      </c>
      <c r="G54">
        <f t="shared" si="0"/>
        <v>52.525531939815814</v>
      </c>
      <c r="H54">
        <f t="shared" si="38"/>
        <v>0</v>
      </c>
      <c r="I54" cm="1">
        <f t="array" ref="I54">IFERROR(VALUE(_xll.BDP($B54,"px_last")),"")</f>
        <v>0.62060000000000004</v>
      </c>
      <c r="J54">
        <f t="shared" si="1"/>
        <v>6941.47</v>
      </c>
      <c r="K54" cm="1">
        <f t="array" ref="K54">IFERROR(VALUE(_xll.BDP($B54,"PX_YEST_CLOSE")),"")</f>
        <v>0.62050000000000005</v>
      </c>
      <c r="L54">
        <f t="shared" si="2"/>
        <v>6941.81</v>
      </c>
      <c r="M54">
        <f t="shared" si="39"/>
        <v>8.9404693818456328E-5</v>
      </c>
      <c r="N54">
        <f t="shared" si="40"/>
        <v>8.9385909438604636E-5</v>
      </c>
      <c r="O54" cm="1">
        <f t="array" ref="O54">IFERROR(VALUE(_xll.BDP($B54,"INTERVAL_MAE_MOV_AVG","CALC_INTERVAL","520D","TECH_STUDIES_PARAM1_OVERRIDE",50,"USE_PREVIOUS_BUSINESS_DAY","N")),"")</f>
        <v>0.61899999999999999</v>
      </c>
      <c r="P54">
        <f t="shared" si="3"/>
        <v>6894.0953999999992</v>
      </c>
      <c r="Q54" cm="1">
        <f t="array" ref="Q54">IFERROR(VALUE(_xll.BDP($B54,"INTERVAL_MAE_MOV_AVG","CALC_INTERVAL","520D","TECH_STUDIES_PARAM1_OVERRIDE",50,"USE_PREVIOUS_BUSINESS_DAY","Y")),"")</f>
        <v>0.61890000000000001</v>
      </c>
      <c r="R54">
        <f t="shared" si="4"/>
        <v>6892.2477999999992</v>
      </c>
      <c r="S54">
        <f t="shared" si="41"/>
        <v>8.9786979159006138E-5</v>
      </c>
      <c r="T54">
        <f t="shared" si="42"/>
        <v>8.9796539236444754E-5</v>
      </c>
      <c r="U54" s="11" t="str">
        <f t="shared" si="43"/>
        <v>NEGATIVE</v>
      </c>
      <c r="V54" s="11" t="str">
        <f t="shared" si="44"/>
        <v/>
      </c>
      <c r="W54" s="11" t="str">
        <f t="shared" si="45"/>
        <v>DOWN</v>
      </c>
      <c r="X54" s="6" t="str">
        <f t="shared" si="46"/>
        <v>NEGATIVE</v>
      </c>
      <c r="Y54" cm="1">
        <f t="array" ref="Y54">IFERROR(VALUE(_xll.BDP($B54,"INTERVAL_MAE_MOV_AVG","CALC_INTERVAL","520D","TECH_STUDIES_PARAM1_OVERRIDE",65,"USE_PREVIOUS_BUSINESS_DAY","N")),"")</f>
        <v>0.61809999999999998</v>
      </c>
      <c r="Z54">
        <f t="shared" si="5"/>
        <v>6856.0226153846133</v>
      </c>
      <c r="AA54" cm="1">
        <f t="array" ref="AA54">IFERROR(VALUE(_xll.BDP($B54,"INTERVAL_MAE_MOV_AVG","CALC_INTERVAL","520D","TECH_STUDIES_PARAM1_OVERRIDE",65,"USE_PREVIOUS_BUSINESS_DAY","Y")),"")</f>
        <v>0.61799999999999999</v>
      </c>
      <c r="AB54">
        <f t="shared" si="6"/>
        <v>6852.6203076923057</v>
      </c>
      <c r="AC54">
        <f t="shared" si="47"/>
        <v>9.0154311716097722E-5</v>
      </c>
      <c r="AD54">
        <f t="shared" si="48"/>
        <v>9.0184480133281782E-5</v>
      </c>
      <c r="AE54" s="10" t="str">
        <f t="shared" si="49"/>
        <v>UP</v>
      </c>
      <c r="AF54" s="10" t="str">
        <f t="shared" si="50"/>
        <v>DOWN</v>
      </c>
      <c r="AG54" s="6" t="str">
        <f t="shared" si="51"/>
        <v>NEGATIVE</v>
      </c>
      <c r="AH54" cm="1">
        <f t="array" ref="AH54">IFERROR(VALUE(_xll.BDP($B54,"INTERVAL_MAE_MOV_AVG","CALC_INTERVAL","65W","PERIODICITY_OVERRIDE","W","TECH_STUDIES_PARAM1_OVERRIDE",39,"USE_PREVIOUS_BUSINESS_DAY","N")),"")</f>
        <v>0.62139999999999995</v>
      </c>
      <c r="AI54">
        <f t="shared" si="7"/>
        <v>6560.7735897435905</v>
      </c>
      <c r="AJ54" cm="1">
        <f t="array" ref="AJ54">IFERROR(VALUE(_xll.BDP($B54,"INTERVAL_MAE_MOV_AVG","CALC_INTERVAL","65W","PERIODICITY_OVERRIDE","W","TECH_STUDIES_PARAM1_OVERRIDE",39,"USE_PREVIOUS_BUSINESS_DAY","Y")),"")</f>
        <v>0.62139999999999995</v>
      </c>
      <c r="AK54">
        <f t="shared" si="8"/>
        <v>6560.7823076923087</v>
      </c>
      <c r="AL54">
        <f t="shared" si="52"/>
        <v>9.4714440530523723E-5</v>
      </c>
      <c r="AM54">
        <f t="shared" si="53"/>
        <v>9.4714314674246731E-5</v>
      </c>
      <c r="AN54" s="10" t="str">
        <f t="shared" si="54"/>
        <v/>
      </c>
      <c r="AO54" s="10" t="str">
        <f t="shared" si="55"/>
        <v>UP</v>
      </c>
      <c r="AP54" s="6" t="str">
        <f t="shared" si="56"/>
        <v>NEGATIVE</v>
      </c>
      <c r="AQ54" cm="1">
        <f t="array" ref="AQ54">IFERROR(VALUE(_xll.BDP($B54,"INTERVAL_exp_MOV_AVG","CALC_INTERVAL","520D","TECH_STUDIES_PARAM1_OVERRIDE",100,"USE_PREVIOUS_BUSINESS_DAY","N")),"")</f>
        <v>0.61909999999999998</v>
      </c>
      <c r="AR54">
        <f t="shared" si="9"/>
        <v>6773.0064518682802</v>
      </c>
      <c r="AS54" cm="1">
        <f t="array" ref="AS54">IFERROR(VALUE(_xll.BDP($B54,"INTERVAL_exp_MOV_AVG","CALC_INTERVAL","520D","TECH_STUDIES_PARAM1_OVERRIDE",100,"USE_PREVIOUS_BUSINESS_DAY","Y")),"")</f>
        <v>0.61909999999999998</v>
      </c>
      <c r="AT54">
        <f t="shared" si="10"/>
        <v>6769.6039787132295</v>
      </c>
      <c r="AU54">
        <f t="shared" si="57"/>
        <v>9.1406970360883997E-5</v>
      </c>
      <c r="AV54">
        <f t="shared" si="58"/>
        <v>9.1452912452004163E-5</v>
      </c>
      <c r="AW54" s="11" t="str">
        <f t="shared" si="59"/>
        <v/>
      </c>
      <c r="AX54" s="11" t="str">
        <f t="shared" si="60"/>
        <v>DOWN</v>
      </c>
      <c r="AY54" s="6" t="str">
        <f t="shared" si="61"/>
        <v>NEGATIVE</v>
      </c>
      <c r="AZ54" s="12" cm="1">
        <f t="array" ref="AZ54">_xll.BDP($B54, "INTERVAL_RSI", "TECH_STUDIES_PARAM1_OVERRIDE", "5", "PERIODICITY_OVERRIDE", "W")</f>
        <v>58.484999999999999</v>
      </c>
      <c r="BA54" cm="1">
        <f t="array" ref="BA54">IFERROR(VALUE(_xll.BDP($B54,"INTERVAL_MAE_MOV_AVG","CALC_INTERVAL","520D","TECH_STUDIES_PARAM1_OVERRIDE",31,"USE_PREVIOUS_BUSINESS_DAY","N")),"")</f>
        <v>0.61870000000000003</v>
      </c>
      <c r="BB54" cm="1">
        <f t="array" ref="BB54">IFERROR(VALUE(_xll.BDP($B54,"INTERVAL_MAE_MOV_AVG","CALC_INTERVAL","760D","TECH_STUDIES_PARAM1_OVERRIDE",200,"USE_PREVIOUS_BUSINESS_DAY","N")),"")</f>
        <v>0.62219999999999998</v>
      </c>
      <c r="BC54" s="13">
        <f t="shared" si="62"/>
        <v>3.0709552287053743E-3</v>
      </c>
      <c r="BD54" s="13">
        <f t="shared" si="63"/>
        <v>2.5848142164781596E-3</v>
      </c>
      <c r="BE54" s="13">
        <f t="shared" si="64"/>
        <v>-2.5715204114431511E-3</v>
      </c>
      <c r="BF54" s="14" cm="1">
        <f t="array" ref="BF54">VALUE(_xll.BDP($B54,"INTERVAL_DATE_OF_CALC_HI","CALC_INTERVAL","3M"))</f>
        <v>45996</v>
      </c>
      <c r="BG54" s="14" cm="1">
        <f t="array" ref="BG54">VALUE(_xll.BDP($B54,"INTERVAL_DATE_OF_CALC_LO","CALC_INTERVAL","3M"))</f>
        <v>46049</v>
      </c>
      <c r="BH54" s="14" cm="1">
        <f t="array" ref="BH54">VALUE(_xll.BDP($B54,"INTERVAL_DATE_OF_CALC_HI","CALC_INTERVAL","1M"))</f>
        <v>46064</v>
      </c>
      <c r="BI54" s="14" cm="1">
        <f t="array" ref="BI54">VALUE(_xll.BDP($B54,"INTERVAL_DATE_OF_CALC_LO","CALC_INTERVAL","1M"))</f>
        <v>46049</v>
      </c>
      <c r="BJ54" s="15">
        <f>$F54-MIN(_xll.BDP("NYA Index","RSI_14D"),_xll.BDP("RSP US Equity","RSI_14D"))</f>
        <v>-10.012764160156252</v>
      </c>
    </row>
    <row r="55" spans="1:62" x14ac:dyDescent="0.25">
      <c r="A55" s="11">
        <v>54</v>
      </c>
      <c r="B55" s="26" t="s">
        <v>608</v>
      </c>
      <c r="C55" s="1" t="s">
        <v>609</v>
      </c>
      <c r="D55" s="1" t="s">
        <v>593</v>
      </c>
      <c r="E55" s="11" t="s">
        <v>787</v>
      </c>
      <c r="F55">
        <f>IFERROR(VALUE((_xll.BDP($B55,"interval_rsi","tech_studies_param1_override",14))),"")</f>
        <v>42.656999999999996</v>
      </c>
      <c r="G55">
        <f t="shared" si="0"/>
        <v>52.525531939815814</v>
      </c>
      <c r="H55">
        <f t="shared" si="38"/>
        <v>0</v>
      </c>
      <c r="I55" cm="1">
        <f t="array" ref="I55">IFERROR(VALUE(_xll.BDP($B55,"px_last")),"")</f>
        <v>112.881</v>
      </c>
      <c r="J55">
        <f t="shared" si="1"/>
        <v>6941.47</v>
      </c>
      <c r="K55" cm="1">
        <f t="array" ref="K55">IFERROR(VALUE(_xll.BDP($B55,"PX_YEST_CLOSE")),"")</f>
        <v>112.898</v>
      </c>
      <c r="L55">
        <f t="shared" si="2"/>
        <v>6941.81</v>
      </c>
      <c r="M55">
        <f t="shared" si="39"/>
        <v>1.6261829266711516E-2</v>
      </c>
      <c r="N55">
        <f t="shared" si="40"/>
        <v>1.6263481714423184E-2</v>
      </c>
      <c r="O55" cm="1">
        <f t="array" ref="O55">IFERROR(VALUE(_xll.BDP($B55,"INTERVAL_MAE_MOV_AVG","CALC_INTERVAL","520D","TECH_STUDIES_PARAM1_OVERRIDE",50,"USE_PREVIOUS_BUSINESS_DAY","N")),"")</f>
        <v>113.66800000000001</v>
      </c>
      <c r="P55">
        <f t="shared" si="3"/>
        <v>6894.0953999999992</v>
      </c>
      <c r="Q55" cm="1">
        <f t="array" ref="Q55">IFERROR(VALUE(_xll.BDP($B55,"INTERVAL_MAE_MOV_AVG","CALC_INTERVAL","520D","TECH_STUDIES_PARAM1_OVERRIDE",50,"USE_PREVIOUS_BUSINESS_DAY","Y")),"")</f>
        <v>113.636</v>
      </c>
      <c r="R55">
        <f t="shared" si="4"/>
        <v>6892.2477999999992</v>
      </c>
      <c r="S55">
        <f t="shared" si="41"/>
        <v>1.648773238618079E-2</v>
      </c>
      <c r="T55">
        <f t="shared" si="42"/>
        <v>1.648750934346847E-2</v>
      </c>
      <c r="U55" s="11" t="str">
        <f t="shared" si="43"/>
        <v>NEGATIVE</v>
      </c>
      <c r="V55" s="11" t="str">
        <f t="shared" si="44"/>
        <v/>
      </c>
      <c r="W55" s="11" t="str">
        <f t="shared" si="45"/>
        <v>UP</v>
      </c>
      <c r="X55" s="6" t="str">
        <f t="shared" si="46"/>
        <v>NEGATIVE</v>
      </c>
      <c r="Y55" cm="1">
        <f t="array" ref="Y55">IFERROR(VALUE(_xll.BDP($B55,"INTERVAL_MAE_MOV_AVG","CALC_INTERVAL","520D","TECH_STUDIES_PARAM1_OVERRIDE",65,"USE_PREVIOUS_BUSINESS_DAY","N")),"")</f>
        <v>113.08</v>
      </c>
      <c r="Z55">
        <f t="shared" si="5"/>
        <v>6856.0226153846133</v>
      </c>
      <c r="AA55" cm="1">
        <f t="array" ref="AA55">IFERROR(VALUE(_xll.BDP($B55,"INTERVAL_MAE_MOV_AVG","CALC_INTERVAL","520D","TECH_STUDIES_PARAM1_OVERRIDE",65,"USE_PREVIOUS_BUSINESS_DAY","Y")),"")</f>
        <v>113.044</v>
      </c>
      <c r="AB55">
        <f t="shared" si="6"/>
        <v>6852.6203076923057</v>
      </c>
      <c r="AC55">
        <f t="shared" si="47"/>
        <v>1.6493527857719351E-2</v>
      </c>
      <c r="AD55">
        <f t="shared" si="48"/>
        <v>1.649646338541538E-2</v>
      </c>
      <c r="AE55" s="10" t="str">
        <f t="shared" si="49"/>
        <v>UP</v>
      </c>
      <c r="AF55" s="10" t="str">
        <f t="shared" si="50"/>
        <v>DOWN</v>
      </c>
      <c r="AG55" s="6" t="str">
        <f t="shared" si="51"/>
        <v>NEGATIVE</v>
      </c>
      <c r="AH55" cm="1">
        <f t="array" ref="AH55">IFERROR(VALUE(_xll.BDP($B55,"INTERVAL_MAE_MOV_AVG","CALC_INTERVAL","65W","PERIODICITY_OVERRIDE","W","TECH_STUDIES_PARAM1_OVERRIDE",39,"USE_PREVIOUS_BUSINESS_DAY","N")),"")</f>
        <v>109.175</v>
      </c>
      <c r="AI55">
        <f t="shared" si="7"/>
        <v>6560.7735897435905</v>
      </c>
      <c r="AJ55" cm="1">
        <f t="array" ref="AJ55">IFERROR(VALUE(_xll.BDP($B55,"INTERVAL_MAE_MOV_AVG","CALC_INTERVAL","65W","PERIODICITY_OVERRIDE","W","TECH_STUDIES_PARAM1_OVERRIDE",39,"USE_PREVIOUS_BUSINESS_DAY","Y")),"")</f>
        <v>109.203</v>
      </c>
      <c r="AK55">
        <f t="shared" si="8"/>
        <v>6560.7823076923087</v>
      </c>
      <c r="AL55">
        <f t="shared" si="52"/>
        <v>1.6640568144383534E-2</v>
      </c>
      <c r="AM55">
        <f t="shared" si="53"/>
        <v>1.6644813816176E-2</v>
      </c>
      <c r="AN55" s="10" t="str">
        <f t="shared" si="54"/>
        <v>DOWN</v>
      </c>
      <c r="AO55" s="10" t="str">
        <f t="shared" si="55"/>
        <v>DOWN</v>
      </c>
      <c r="AP55" s="6" t="str">
        <f t="shared" si="56"/>
        <v>NEGATIVE</v>
      </c>
      <c r="AQ55" cm="1">
        <f t="array" ref="AQ55">IFERROR(VALUE(_xll.BDP($B55,"INTERVAL_exp_MOV_AVG","CALC_INTERVAL","520D","TECH_STUDIES_PARAM1_OVERRIDE",100,"USE_PREVIOUS_BUSINESS_DAY","N")),"")</f>
        <v>111.824</v>
      </c>
      <c r="AR55">
        <f t="shared" si="9"/>
        <v>6773.0064518682802</v>
      </c>
      <c r="AS55" cm="1">
        <f t="array" ref="AS55">IFERROR(VALUE(_xll.BDP($B55,"INTERVAL_exp_MOV_AVG","CALC_INTERVAL","520D","TECH_STUDIES_PARAM1_OVERRIDE",100,"USE_PREVIOUS_BUSINESS_DAY","Y")),"")</f>
        <v>111.80200000000001</v>
      </c>
      <c r="AT55">
        <f t="shared" si="10"/>
        <v>6769.6039787132295</v>
      </c>
      <c r="AU55">
        <f t="shared" si="57"/>
        <v>1.6510245604321582E-2</v>
      </c>
      <c r="AV55">
        <f t="shared" si="58"/>
        <v>1.6515294004133371E-2</v>
      </c>
      <c r="AW55" s="11" t="str">
        <f t="shared" si="59"/>
        <v>UP</v>
      </c>
      <c r="AX55" s="11" t="str">
        <f t="shared" si="60"/>
        <v>DOWN</v>
      </c>
      <c r="AY55" s="6" t="str">
        <f t="shared" si="61"/>
        <v>NEGATIVE</v>
      </c>
      <c r="AZ55" s="12" cm="1">
        <f t="array" ref="AZ55">_xll.BDP($B55, "INTERVAL_RSI", "TECH_STUDIES_PARAM1_OVERRIDE", "5", "PERIODICITY_OVERRIDE", "W")</f>
        <v>42.582999999999998</v>
      </c>
      <c r="BA55" cm="1">
        <f t="array" ref="BA55">IFERROR(VALUE(_xll.BDP($B55,"INTERVAL_MAE_MOV_AVG","CALC_INTERVAL","520D","TECH_STUDIES_PARAM1_OVERRIDE",31,"USE_PREVIOUS_BUSINESS_DAY","N")),"")</f>
        <v>113.88200000000001</v>
      </c>
      <c r="BB55" cm="1">
        <f t="array" ref="BB55">IFERROR(VALUE(_xll.BDP($B55,"INTERVAL_MAE_MOV_AVG","CALC_INTERVAL","760D","TECH_STUDIES_PARAM1_OVERRIDE",200,"USE_PREVIOUS_BUSINESS_DAY","N")),"")</f>
        <v>108.904</v>
      </c>
      <c r="BC55" s="13">
        <f t="shared" si="62"/>
        <v>-8.7897999683883565E-3</v>
      </c>
      <c r="BD55" s="13">
        <f t="shared" si="63"/>
        <v>-6.9236724495901347E-3</v>
      </c>
      <c r="BE55" s="13">
        <f t="shared" si="64"/>
        <v>3.6518401527951161E-2</v>
      </c>
      <c r="BF55" s="14" cm="1">
        <f t="array" ref="BF55">VALUE(_xll.BDP($B55,"INTERVAL_DATE_OF_CALC_HI","CALC_INTERVAL","3M"))</f>
        <v>46059</v>
      </c>
      <c r="BG55" s="14" cm="1">
        <f t="array" ref="BG55">VALUE(_xll.BDP($B55,"INTERVAL_DATE_OF_CALC_LO","CALC_INTERVAL","3M"))</f>
        <v>45972</v>
      </c>
      <c r="BH55" s="14" cm="1">
        <f t="array" ref="BH55">VALUE(_xll.BDP($B55,"INTERVAL_DATE_OF_CALC_HI","CALC_INTERVAL","1M"))</f>
        <v>46059</v>
      </c>
      <c r="BI55" s="14" cm="1">
        <f t="array" ref="BI55">VALUE(_xll.BDP($B55,"INTERVAL_DATE_OF_CALC_LO","CALC_INTERVAL","1M"))</f>
        <v>46049</v>
      </c>
      <c r="BJ55" s="15">
        <f>$F55-MIN(_xll.BDP("NYA Index","RSI_14D"),_xll.BDP("RSP US Equity","RSI_14D"))</f>
        <v>-23.688764160156254</v>
      </c>
    </row>
    <row r="56" spans="1:62" x14ac:dyDescent="0.25">
      <c r="A56" s="11">
        <v>55</v>
      </c>
      <c r="B56" s="26" t="s">
        <v>610</v>
      </c>
      <c r="C56" s="1" t="s">
        <v>611</v>
      </c>
      <c r="D56" s="1" t="s">
        <v>593</v>
      </c>
      <c r="E56" s="11" t="s">
        <v>959</v>
      </c>
      <c r="F56">
        <f>IFERROR(VALUE((_xll.BDP($B56,"interval_rsi","tech_studies_param1_override",14))),"")</f>
        <v>60.334000000000003</v>
      </c>
      <c r="G56">
        <f t="shared" si="0"/>
        <v>52.525531939815814</v>
      </c>
      <c r="H56">
        <f t="shared" si="38"/>
        <v>0</v>
      </c>
      <c r="I56" cm="1">
        <f t="array" ref="I56">IFERROR(VALUE(_xll.BDP($B56,"px_last")),"")</f>
        <v>0.73680000000000001</v>
      </c>
      <c r="J56">
        <f t="shared" si="1"/>
        <v>6941.47</v>
      </c>
      <c r="K56" cm="1">
        <f t="array" ref="K56">IFERROR(VALUE(_xll.BDP($B56,"PX_YEST_CLOSE")),"")</f>
        <v>0.73660000000000003</v>
      </c>
      <c r="L56">
        <f t="shared" si="2"/>
        <v>6941.81</v>
      </c>
      <c r="M56">
        <f t="shared" si="39"/>
        <v>1.0614466388243413E-4</v>
      </c>
      <c r="N56">
        <f t="shared" si="40"/>
        <v>1.061106541377537E-4</v>
      </c>
      <c r="O56" cm="1">
        <f t="array" ref="O56">IFERROR(VALUE(_xll.BDP($B56,"INTERVAL_MAE_MOV_AVG","CALC_INTERVAL","520D","TECH_STUDIES_PARAM1_OVERRIDE",50,"USE_PREVIOUS_BUSINESS_DAY","N")),"")</f>
        <v>0.72740000000000005</v>
      </c>
      <c r="P56">
        <f t="shared" si="3"/>
        <v>6894.0953999999992</v>
      </c>
      <c r="Q56" cm="1">
        <f t="array" ref="Q56">IFERROR(VALUE(_xll.BDP($B56,"INTERVAL_MAE_MOV_AVG","CALC_INTERVAL","520D","TECH_STUDIES_PARAM1_OVERRIDE",50,"USE_PREVIOUS_BUSINESS_DAY","Y")),"")</f>
        <v>0.72699999999999998</v>
      </c>
      <c r="R56">
        <f t="shared" si="4"/>
        <v>6892.2477999999992</v>
      </c>
      <c r="S56">
        <f t="shared" si="41"/>
        <v>1.0551057938652838E-4</v>
      </c>
      <c r="T56">
        <f t="shared" si="42"/>
        <v>1.0548082731442129E-4</v>
      </c>
      <c r="U56" s="11" t="str">
        <f t="shared" si="43"/>
        <v>NEGATIVE</v>
      </c>
      <c r="V56" s="11" t="str">
        <f t="shared" si="44"/>
        <v/>
      </c>
      <c r="W56" s="11" t="str">
        <f t="shared" si="45"/>
        <v>UP</v>
      </c>
      <c r="X56" s="6" t="str">
        <f t="shared" si="46"/>
        <v>POSITIVE</v>
      </c>
      <c r="Y56" cm="1">
        <f t="array" ref="Y56">IFERROR(VALUE(_xll.BDP($B56,"INTERVAL_MAE_MOV_AVG","CALC_INTERVAL","520D","TECH_STUDIES_PARAM1_OVERRIDE",65,"USE_PREVIOUS_BUSINESS_DAY","N")),"")</f>
        <v>0.72399999999999998</v>
      </c>
      <c r="Z56">
        <f t="shared" si="5"/>
        <v>6856.0226153846133</v>
      </c>
      <c r="AA56" cm="1">
        <f t="array" ref="AA56">IFERROR(VALUE(_xll.BDP($B56,"INTERVAL_MAE_MOV_AVG","CALC_INTERVAL","520D","TECH_STUDIES_PARAM1_OVERRIDE",65,"USE_PREVIOUS_BUSINESS_DAY","Y")),"")</f>
        <v>0.72360000000000002</v>
      </c>
      <c r="AB56">
        <f t="shared" si="6"/>
        <v>6852.6203076923057</v>
      </c>
      <c r="AC56">
        <f t="shared" si="47"/>
        <v>1.0560058515200574E-4</v>
      </c>
      <c r="AD56">
        <f t="shared" si="48"/>
        <v>1.0559464372887167E-4</v>
      </c>
      <c r="AE56" s="10" t="str">
        <f t="shared" si="49"/>
        <v>UP</v>
      </c>
      <c r="AF56" s="10" t="str">
        <f t="shared" si="50"/>
        <v>UP</v>
      </c>
      <c r="AG56" s="6" t="str">
        <f t="shared" si="51"/>
        <v>POSITIVE</v>
      </c>
      <c r="AH56" cm="1">
        <f t="array" ref="AH56">IFERROR(VALUE(_xll.BDP($B56,"INTERVAL_MAE_MOV_AVG","CALC_INTERVAL","65W","PERIODICITY_OVERRIDE","W","TECH_STUDIES_PARAM1_OVERRIDE",39,"USE_PREVIOUS_BUSINESS_DAY","N")),"")</f>
        <v>0.72430000000000005</v>
      </c>
      <c r="AI56">
        <f t="shared" si="7"/>
        <v>6560.7735897435905</v>
      </c>
      <c r="AJ56" cm="1">
        <f t="array" ref="AJ56">IFERROR(VALUE(_xll.BDP($B56,"INTERVAL_MAE_MOV_AVG","CALC_INTERVAL","65W","PERIODICITY_OVERRIDE","W","TECH_STUDIES_PARAM1_OVERRIDE",39,"USE_PREVIOUS_BUSINESS_DAY","Y")),"")</f>
        <v>0.72430000000000005</v>
      </c>
      <c r="AK56">
        <f t="shared" si="8"/>
        <v>6560.7823076923087</v>
      </c>
      <c r="AL56">
        <f t="shared" si="52"/>
        <v>1.1039856658554609E-4</v>
      </c>
      <c r="AM56">
        <f t="shared" si="53"/>
        <v>1.1039841988824738E-4</v>
      </c>
      <c r="AN56" s="10" t="str">
        <f t="shared" si="54"/>
        <v/>
      </c>
      <c r="AO56" s="10" t="str">
        <f t="shared" si="55"/>
        <v>UP</v>
      </c>
      <c r="AP56" s="6" t="str">
        <f t="shared" si="56"/>
        <v>NEGATIVE</v>
      </c>
      <c r="AQ56" cm="1">
        <f t="array" ref="AQ56">IFERROR(VALUE(_xll.BDP($B56,"INTERVAL_exp_MOV_AVG","CALC_INTERVAL","520D","TECH_STUDIES_PARAM1_OVERRIDE",100,"USE_PREVIOUS_BUSINESS_DAY","N")),"")</f>
        <v>0.72419999999999995</v>
      </c>
      <c r="AR56">
        <f t="shared" si="9"/>
        <v>6773.0064518682802</v>
      </c>
      <c r="AS56" cm="1">
        <f t="array" ref="AS56">IFERROR(VALUE(_xll.BDP($B56,"INTERVAL_exp_MOV_AVG","CALC_INTERVAL","520D","TECH_STUDIES_PARAM1_OVERRIDE",100,"USE_PREVIOUS_BUSINESS_DAY","Y")),"")</f>
        <v>0.72389999999999999</v>
      </c>
      <c r="AT56">
        <f t="shared" si="10"/>
        <v>6769.6039787132295</v>
      </c>
      <c r="AU56">
        <f t="shared" si="57"/>
        <v>1.0692445151890193E-4</v>
      </c>
      <c r="AV56">
        <f t="shared" si="58"/>
        <v>1.0693387711840705E-4</v>
      </c>
      <c r="AW56" s="11" t="str">
        <f t="shared" si="59"/>
        <v>UP</v>
      </c>
      <c r="AX56" s="11" t="str">
        <f t="shared" si="60"/>
        <v>DOWN</v>
      </c>
      <c r="AY56" s="6" t="str">
        <f t="shared" si="61"/>
        <v>NEGATIVE</v>
      </c>
      <c r="AZ56" s="12" cm="1">
        <f t="array" ref="AZ56">_xll.BDP($B56, "INTERVAL_RSI", "TECH_STUDIES_PARAM1_OVERRIDE", "5", "PERIODICITY_OVERRIDE", "W")</f>
        <v>69.837000000000003</v>
      </c>
      <c r="BA56" cm="1">
        <f t="array" ref="BA56">IFERROR(VALUE(_xll.BDP($B56,"INTERVAL_MAE_MOV_AVG","CALC_INTERVAL","520D","TECH_STUDIES_PARAM1_OVERRIDE",31,"USE_PREVIOUS_BUSINESS_DAY","N")),"")</f>
        <v>0.72799999999999998</v>
      </c>
      <c r="BB56" cm="1">
        <f t="array" ref="BB56">IFERROR(VALUE(_xll.BDP($B56,"INTERVAL_MAE_MOV_AVG","CALC_INTERVAL","760D","TECH_STUDIES_PARAM1_OVERRIDE",200,"USE_PREVIOUS_BUSINESS_DAY","N")),"")</f>
        <v>0.72360000000000002</v>
      </c>
      <c r="BC56" s="13">
        <f t="shared" si="62"/>
        <v>1.2087912087912045E-2</v>
      </c>
      <c r="BD56" s="13">
        <f t="shared" si="63"/>
        <v>1.292273852075887E-2</v>
      </c>
      <c r="BE56" s="13">
        <f t="shared" si="64"/>
        <v>1.8242122719734688E-2</v>
      </c>
      <c r="BF56" s="14" cm="1">
        <f t="array" ref="BF56">VALUE(_xll.BDP($B56,"INTERVAL_DATE_OF_CALC_HI","CALC_INTERVAL","3M"))</f>
        <v>46051</v>
      </c>
      <c r="BG56" s="14" cm="1">
        <f t="array" ref="BG56">VALUE(_xll.BDP($B56,"INTERVAL_DATE_OF_CALC_LO","CALC_INTERVAL","3M"))</f>
        <v>45985</v>
      </c>
      <c r="BH56" s="14" cm="1">
        <f t="array" ref="BH56">VALUE(_xll.BDP($B56,"INTERVAL_DATE_OF_CALC_HI","CALC_INTERVAL","1M"))</f>
        <v>46051</v>
      </c>
      <c r="BI56" s="14" cm="1">
        <f t="array" ref="BI56">VALUE(_xll.BDP($B56,"INTERVAL_DATE_OF_CALC_LO","CALC_INTERVAL","1M"))</f>
        <v>46038</v>
      </c>
      <c r="BJ56" s="15">
        <f>$F56-MIN(_xll.BDP("NYA Index","RSI_14D"),_xll.BDP("RSP US Equity","RSI_14D"))</f>
        <v>-6.0117641601562468</v>
      </c>
    </row>
    <row r="57" spans="1:62" x14ac:dyDescent="0.25">
      <c r="A57" s="11">
        <v>56</v>
      </c>
      <c r="B57" s="26" t="s">
        <v>612</v>
      </c>
      <c r="C57" s="1" t="s">
        <v>613</v>
      </c>
      <c r="D57" s="1" t="s">
        <v>593</v>
      </c>
      <c r="E57" s="11" t="s">
        <v>960</v>
      </c>
      <c r="F57">
        <f>IFERROR(VALUE((_xll.BDP($B57,"interval_rsi","tech_studies_param1_override",14))),"")</f>
        <v>60.040999999999997</v>
      </c>
      <c r="G57">
        <f t="shared" si="0"/>
        <v>52.525531939815814</v>
      </c>
      <c r="H57">
        <f t="shared" si="38"/>
        <v>0</v>
      </c>
      <c r="I57" cm="1">
        <f t="array" ref="I57">IFERROR(VALUE(_xll.BDP($B57,"px_last")),"")</f>
        <v>1.0919000000000001</v>
      </c>
      <c r="J57">
        <f t="shared" si="1"/>
        <v>6941.47</v>
      </c>
      <c r="K57" cm="1">
        <f t="array" ref="K57">IFERROR(VALUE(_xll.BDP($B57,"PX_YEST_CLOSE")),"")</f>
        <v>1.0914999999999999</v>
      </c>
      <c r="L57">
        <f t="shared" si="2"/>
        <v>6941.81</v>
      </c>
      <c r="M57">
        <f t="shared" si="39"/>
        <v>1.5730097515367783E-4</v>
      </c>
      <c r="N57">
        <f t="shared" si="40"/>
        <v>1.5723564891577266E-4</v>
      </c>
      <c r="O57" cm="1">
        <f t="array" ref="O57">IFERROR(VALUE(_xll.BDP($B57,"INTERVAL_MAE_MOV_AVG","CALC_INTERVAL","520D","TECH_STUDIES_PARAM1_OVERRIDE",50,"USE_PREVIOUS_BUSINESS_DAY","N")),"")</f>
        <v>1.0781000000000001</v>
      </c>
      <c r="P57">
        <f t="shared" si="3"/>
        <v>6894.0953999999992</v>
      </c>
      <c r="Q57" cm="1">
        <f t="array" ref="Q57">IFERROR(VALUE(_xll.BDP($B57,"INTERVAL_MAE_MOV_AVG","CALC_INTERVAL","520D","TECH_STUDIES_PARAM1_OVERRIDE",50,"USE_PREVIOUS_BUSINESS_DAY","Y")),"")</f>
        <v>1.0777000000000001</v>
      </c>
      <c r="R57">
        <f t="shared" si="4"/>
        <v>6892.2477999999992</v>
      </c>
      <c r="S57">
        <f t="shared" si="41"/>
        <v>1.5638019746579083E-4</v>
      </c>
      <c r="T57">
        <f t="shared" si="42"/>
        <v>1.563640819762749E-4</v>
      </c>
      <c r="U57" s="11" t="str">
        <f t="shared" si="43"/>
        <v>NEGATIVE</v>
      </c>
      <c r="V57" s="11" t="str">
        <f t="shared" si="44"/>
        <v/>
      </c>
      <c r="W57" s="11" t="str">
        <f t="shared" si="45"/>
        <v>UP</v>
      </c>
      <c r="X57" s="6" t="str">
        <f t="shared" si="46"/>
        <v>POSITIVE</v>
      </c>
      <c r="Y57" cm="1">
        <f t="array" ref="Y57">IFERROR(VALUE(_xll.BDP($B57,"INTERVAL_MAE_MOV_AVG","CALC_INTERVAL","520D","TECH_STUDIES_PARAM1_OVERRIDE",65,"USE_PREVIOUS_BUSINESS_DAY","N")),"")</f>
        <v>1.0774999999999999</v>
      </c>
      <c r="Z57">
        <f t="shared" si="5"/>
        <v>6856.0226153846133</v>
      </c>
      <c r="AA57" cm="1">
        <f t="array" ref="AA57">IFERROR(VALUE(_xll.BDP($B57,"INTERVAL_MAE_MOV_AVG","CALC_INTERVAL","520D","TECH_STUDIES_PARAM1_OVERRIDE",65,"USE_PREVIOUS_BUSINESS_DAY","Y")),"")</f>
        <v>1.0772999999999999</v>
      </c>
      <c r="AB57">
        <f t="shared" si="6"/>
        <v>6852.6203076923057</v>
      </c>
      <c r="AC57">
        <f t="shared" si="47"/>
        <v>1.5716109185260523E-4</v>
      </c>
      <c r="AD57">
        <f t="shared" si="48"/>
        <v>1.5720993599932758E-4</v>
      </c>
      <c r="AE57" s="10" t="str">
        <f t="shared" si="49"/>
        <v>UP</v>
      </c>
      <c r="AF57" s="10" t="str">
        <f t="shared" si="50"/>
        <v>DOWN</v>
      </c>
      <c r="AG57" s="6" t="str">
        <f t="shared" si="51"/>
        <v>POSITIVE</v>
      </c>
      <c r="AH57" cm="1">
        <f t="array" ref="AH57">IFERROR(VALUE(_xll.BDP($B57,"INTERVAL_MAE_MOV_AVG","CALC_INTERVAL","65W","PERIODICITY_OVERRIDE","W","TECH_STUDIES_PARAM1_OVERRIDE",39,"USE_PREVIOUS_BUSINESS_DAY","N")),"")</f>
        <v>1.0733999999999999</v>
      </c>
      <c r="AI57">
        <f t="shared" si="7"/>
        <v>6560.7735897435905</v>
      </c>
      <c r="AJ57" cm="1">
        <f t="array" ref="AJ57">IFERROR(VALUE(_xll.BDP($B57,"INTERVAL_MAE_MOV_AVG","CALC_INTERVAL","65W","PERIODICITY_OVERRIDE","W","TECH_STUDIES_PARAM1_OVERRIDE",39,"USE_PREVIOUS_BUSINESS_DAY","Y")),"")</f>
        <v>1.0734999999999999</v>
      </c>
      <c r="AK57">
        <f t="shared" si="8"/>
        <v>6560.7823076923087</v>
      </c>
      <c r="AL57">
        <f t="shared" si="52"/>
        <v>1.6360875517454807E-4</v>
      </c>
      <c r="AM57">
        <f t="shared" si="53"/>
        <v>1.6362377985645939E-4</v>
      </c>
      <c r="AN57" s="10" t="str">
        <f t="shared" si="54"/>
        <v>DOWN</v>
      </c>
      <c r="AO57" s="10" t="str">
        <f t="shared" si="55"/>
        <v>DOWN</v>
      </c>
      <c r="AP57" s="6" t="str">
        <f t="shared" si="56"/>
        <v>NEGATIVE</v>
      </c>
      <c r="AQ57" cm="1">
        <f t="array" ref="AQ57">IFERROR(VALUE(_xll.BDP($B57,"INTERVAL_exp_MOV_AVG","CALC_INTERVAL","520D","TECH_STUDIES_PARAM1_OVERRIDE",100,"USE_PREVIOUS_BUSINESS_DAY","N")),"")</f>
        <v>1.0775999999999999</v>
      </c>
      <c r="AR57">
        <f t="shared" si="9"/>
        <v>6773.0064518682802</v>
      </c>
      <c r="AS57" cm="1">
        <f t="array" ref="AS57">IFERROR(VALUE(_xll.BDP($B57,"INTERVAL_exp_MOV_AVG","CALC_INTERVAL","520D","TECH_STUDIES_PARAM1_OVERRIDE",100,"USE_PREVIOUS_BUSINESS_DAY","Y")),"")</f>
        <v>1.0772999999999999</v>
      </c>
      <c r="AT57">
        <f t="shared" si="10"/>
        <v>6769.6039787132295</v>
      </c>
      <c r="AU57">
        <f t="shared" si="57"/>
        <v>1.5910216646888804E-4</v>
      </c>
      <c r="AV57">
        <f t="shared" si="58"/>
        <v>1.5913781712896798E-4</v>
      </c>
      <c r="AW57" s="11" t="str">
        <f t="shared" si="59"/>
        <v>UP</v>
      </c>
      <c r="AX57" s="11" t="str">
        <f t="shared" si="60"/>
        <v>DOWN</v>
      </c>
      <c r="AY57" s="6" t="str">
        <f t="shared" si="61"/>
        <v>NEGATIVE</v>
      </c>
      <c r="AZ57" s="12" cm="1">
        <f t="array" ref="AZ57">_xll.BDP($B57, "INTERVAL_RSI", "TECH_STUDIES_PARAM1_OVERRIDE", "5", "PERIODICITY_OVERRIDE", "W")</f>
        <v>79.183999999999997</v>
      </c>
      <c r="BA57" cm="1">
        <f t="array" ref="BA57">IFERROR(VALUE(_xll.BDP($B57,"INTERVAL_MAE_MOV_AVG","CALC_INTERVAL","520D","TECH_STUDIES_PARAM1_OVERRIDE",31,"USE_PREVIOUS_BUSINESS_DAY","N")),"")</f>
        <v>1.0819000000000001</v>
      </c>
      <c r="BB57" cm="1">
        <f t="array" ref="BB57">IFERROR(VALUE(_xll.BDP($B57,"INTERVAL_MAE_MOV_AVG","CALC_INTERVAL","760D","TECH_STUDIES_PARAM1_OVERRIDE",200,"USE_PREVIOUS_BUSINESS_DAY","N")),"")</f>
        <v>1.0728</v>
      </c>
      <c r="BC57" s="13">
        <f t="shared" si="62"/>
        <v>9.2429984286903633E-3</v>
      </c>
      <c r="BD57" s="13">
        <f t="shared" si="63"/>
        <v>1.2800296818477053E-2</v>
      </c>
      <c r="BE57" s="13">
        <f t="shared" si="64"/>
        <v>1.7803877703206572E-2</v>
      </c>
      <c r="BF57" s="14" cm="1">
        <f t="array" ref="BF57">VALUE(_xll.BDP($B57,"INTERVAL_DATE_OF_CALC_HI","CALC_INTERVAL","3M"))</f>
        <v>46062</v>
      </c>
      <c r="BG57" s="14" cm="1">
        <f t="array" ref="BG57">VALUE(_xll.BDP($B57,"INTERVAL_DATE_OF_CALC_LO","CALC_INTERVAL","3M"))</f>
        <v>45999</v>
      </c>
      <c r="BH57" s="14" cm="1">
        <f t="array" ref="BH57">VALUE(_xll.BDP($B57,"INTERVAL_DATE_OF_CALC_HI","CALC_INTERVAL","1M"))</f>
        <v>46062</v>
      </c>
      <c r="BI57" s="14" cm="1">
        <f t="array" ref="BI57">VALUE(_xll.BDP($B57,"INTERVAL_DATE_OF_CALC_LO","CALC_INTERVAL","1M"))</f>
        <v>46035</v>
      </c>
      <c r="BJ57" s="15">
        <f>$F57-MIN(_xll.BDP("NYA Index","RSI_14D"),_xll.BDP("RSP US Equity","RSI_14D"))</f>
        <v>-6.3047641601562532</v>
      </c>
    </row>
    <row r="58" spans="1:62" x14ac:dyDescent="0.25">
      <c r="A58" s="11">
        <v>57</v>
      </c>
      <c r="B58" s="26" t="s">
        <v>614</v>
      </c>
      <c r="C58" s="1" t="s">
        <v>615</v>
      </c>
      <c r="D58" s="1" t="s">
        <v>593</v>
      </c>
      <c r="E58" s="11" t="s">
        <v>787</v>
      </c>
      <c r="F58">
        <f>IFERROR(VALUE((_xll.BDP($B58,"interval_rsi","tech_studies_param1_override",14))),"")</f>
        <v>46.098999999999997</v>
      </c>
      <c r="G58">
        <f t="shared" si="0"/>
        <v>52.525531939815814</v>
      </c>
      <c r="H58">
        <f t="shared" si="38"/>
        <v>0</v>
      </c>
      <c r="I58" cm="1">
        <f t="array" ref="I58">IFERROR(VALUE(_xll.BDP($B58,"px_last")),"")</f>
        <v>198.60900000000001</v>
      </c>
      <c r="J58">
        <f t="shared" si="1"/>
        <v>6941.47</v>
      </c>
      <c r="K58" cm="1">
        <f t="array" ref="K58">IFERROR(VALUE(_xll.BDP($B58,"PX_YEST_CLOSE")),"")</f>
        <v>198.602</v>
      </c>
      <c r="L58">
        <f t="shared" si="2"/>
        <v>6941.81</v>
      </c>
      <c r="M58">
        <f t="shared" si="39"/>
        <v>2.8611951070882682E-2</v>
      </c>
      <c r="N58">
        <f t="shared" si="40"/>
        <v>2.8609541315593484E-2</v>
      </c>
      <c r="O58" cm="1">
        <f t="array" ref="O58">IFERROR(VALUE(_xll.BDP($B58,"INTERVAL_MAE_MOV_AVG","CALC_INTERVAL","520D","TECH_STUDIES_PARAM1_OVERRIDE",50,"USE_PREVIOUS_BUSINESS_DAY","N")),"")</f>
        <v>197.983</v>
      </c>
      <c r="P58">
        <f t="shared" si="3"/>
        <v>6894.0953999999992</v>
      </c>
      <c r="Q58" cm="1">
        <f t="array" ref="Q58">IFERROR(VALUE(_xll.BDP($B58,"INTERVAL_MAE_MOV_AVG","CALC_INTERVAL","520D","TECH_STUDIES_PARAM1_OVERRIDE",50,"USE_PREVIOUS_BUSINESS_DAY","Y")),"")</f>
        <v>197.89500000000001</v>
      </c>
      <c r="R58">
        <f t="shared" si="4"/>
        <v>6892.2477999999992</v>
      </c>
      <c r="S58">
        <f t="shared" si="41"/>
        <v>2.871776331960826E-2</v>
      </c>
      <c r="T58">
        <f t="shared" si="42"/>
        <v>2.8712693702045947E-2</v>
      </c>
      <c r="U58" s="11" t="str">
        <f t="shared" si="43"/>
        <v>NEGATIVE</v>
      </c>
      <c r="V58" s="11" t="str">
        <f t="shared" si="44"/>
        <v/>
      </c>
      <c r="W58" s="11" t="str">
        <f t="shared" si="45"/>
        <v>UP</v>
      </c>
      <c r="X58" s="6" t="str">
        <f t="shared" si="46"/>
        <v>NEGATIVE</v>
      </c>
      <c r="Y58" cm="1">
        <f t="array" ref="Y58">IFERROR(VALUE(_xll.BDP($B58,"INTERVAL_MAE_MOV_AVG","CALC_INTERVAL","520D","TECH_STUDIES_PARAM1_OVERRIDE",65,"USE_PREVIOUS_BUSINESS_DAY","N")),"")</f>
        <v>197.143</v>
      </c>
      <c r="Z58">
        <f t="shared" si="5"/>
        <v>6856.0226153846133</v>
      </c>
      <c r="AA58" cm="1">
        <f t="array" ref="AA58">IFERROR(VALUE(_xll.BDP($B58,"INTERVAL_MAE_MOV_AVG","CALC_INTERVAL","520D","TECH_STUDIES_PARAM1_OVERRIDE",65,"USE_PREVIOUS_BUSINESS_DAY","Y")),"")</f>
        <v>197.07300000000001</v>
      </c>
      <c r="AB58">
        <f t="shared" si="6"/>
        <v>6852.6203076923057</v>
      </c>
      <c r="AC58">
        <f t="shared" si="47"/>
        <v>2.8754718451135176E-2</v>
      </c>
      <c r="AD58">
        <f t="shared" si="48"/>
        <v>2.8758780021531132E-2</v>
      </c>
      <c r="AE58" s="10" t="str">
        <f t="shared" si="49"/>
        <v>UP</v>
      </c>
      <c r="AF58" s="10" t="str">
        <f t="shared" si="50"/>
        <v>DOWN</v>
      </c>
      <c r="AG58" s="6" t="str">
        <f t="shared" si="51"/>
        <v>NEGATIVE</v>
      </c>
      <c r="AH58" cm="1">
        <f t="array" ref="AH58">IFERROR(VALUE(_xll.BDP($B58,"INTERVAL_MAE_MOV_AVG","CALC_INTERVAL","65W","PERIODICITY_OVERRIDE","W","TECH_STUDIES_PARAM1_OVERRIDE",39,"USE_PREVIOUS_BUSINESS_DAY","N")),"")</f>
        <v>188.69399999999999</v>
      </c>
      <c r="AI58">
        <f t="shared" si="7"/>
        <v>6560.7735897435905</v>
      </c>
      <c r="AJ58" cm="1">
        <f t="array" ref="AJ58">IFERROR(VALUE(_xll.BDP($B58,"INTERVAL_MAE_MOV_AVG","CALC_INTERVAL","65W","PERIODICITY_OVERRIDE","W","TECH_STUDIES_PARAM1_OVERRIDE",39,"USE_PREVIOUS_BUSINESS_DAY","Y")),"")</f>
        <v>188.756</v>
      </c>
      <c r="AK58">
        <f t="shared" si="8"/>
        <v>6560.7823076923087</v>
      </c>
      <c r="AL58">
        <f t="shared" si="52"/>
        <v>2.8760937627078601E-2</v>
      </c>
      <c r="AM58">
        <f t="shared" si="53"/>
        <v>2.877034950217592E-2</v>
      </c>
      <c r="AN58" s="10" t="str">
        <f t="shared" si="54"/>
        <v>DOWN</v>
      </c>
      <c r="AO58" s="10" t="str">
        <f t="shared" si="55"/>
        <v>DOWN</v>
      </c>
      <c r="AP58" s="6" t="str">
        <f t="shared" si="56"/>
        <v>NEGATIVE</v>
      </c>
      <c r="AQ58" cm="1">
        <f t="array" ref="AQ58">IFERROR(VALUE(_xll.BDP($B58,"INTERVAL_exp_MOV_AVG","CALC_INTERVAL","520D","TECH_STUDIES_PARAM1_OVERRIDE",100,"USE_PREVIOUS_BUSINESS_DAY","N")),"")</f>
        <v>194.68700000000001</v>
      </c>
      <c r="AR58">
        <f t="shared" si="9"/>
        <v>6773.0064518682802</v>
      </c>
      <c r="AS58" cm="1">
        <f t="array" ref="AS58">IFERROR(VALUE(_xll.BDP($B58,"INTERVAL_exp_MOV_AVG","CALC_INTERVAL","520D","TECH_STUDIES_PARAM1_OVERRIDE",100,"USE_PREVIOUS_BUSINESS_DAY","Y")),"")</f>
        <v>194.608</v>
      </c>
      <c r="AT58">
        <f t="shared" si="10"/>
        <v>6769.6039787132295</v>
      </c>
      <c r="AU58">
        <f t="shared" si="57"/>
        <v>2.8744546662331488E-2</v>
      </c>
      <c r="AV58">
        <f t="shared" si="58"/>
        <v>2.8747324158390607E-2</v>
      </c>
      <c r="AW58" s="11" t="str">
        <f t="shared" si="59"/>
        <v>UP</v>
      </c>
      <c r="AX58" s="11" t="str">
        <f t="shared" si="60"/>
        <v>DOWN</v>
      </c>
      <c r="AY58" s="6" t="str">
        <f t="shared" si="61"/>
        <v>NEGATIVE</v>
      </c>
      <c r="AZ58" s="12" cm="1">
        <f t="array" ref="AZ58">_xll.BDP($B58, "INTERVAL_RSI", "TECH_STUDIES_PARAM1_OVERRIDE", "5", "PERIODICITY_OVERRIDE", "W")</f>
        <v>51.058</v>
      </c>
      <c r="BA58" cm="1">
        <f t="array" ref="BA58">IFERROR(VALUE(_xll.BDP($B58,"INTERVAL_MAE_MOV_AVG","CALC_INTERVAL","520D","TECH_STUDIES_PARAM1_OVERRIDE",31,"USE_PREVIOUS_BUSINESS_DAY","N")),"")</f>
        <v>199.137</v>
      </c>
      <c r="BB58" cm="1">
        <f t="array" ref="BB58">IFERROR(VALUE(_xll.BDP($B58,"INTERVAL_MAE_MOV_AVG","CALC_INTERVAL","760D","TECH_STUDIES_PARAM1_OVERRIDE",200,"USE_PREVIOUS_BUSINESS_DAY","N")),"")</f>
        <v>187.86199999999999</v>
      </c>
      <c r="BC58" s="13">
        <f t="shared" si="62"/>
        <v>-2.6514409677759199E-3</v>
      </c>
      <c r="BD58" s="13">
        <f t="shared" si="63"/>
        <v>3.161887636817351E-3</v>
      </c>
      <c r="BE58" s="13">
        <f t="shared" si="64"/>
        <v>5.7206885905611626E-2</v>
      </c>
      <c r="BF58" s="14" cm="1">
        <f t="array" ref="BF58">VALUE(_xll.BDP($B58,"INTERVAL_DATE_OF_CALC_HI","CALC_INTERVAL","3M"))</f>
        <v>46062</v>
      </c>
      <c r="BG58" s="14" cm="1">
        <f t="array" ref="BG58">VALUE(_xll.BDP($B58,"INTERVAL_DATE_OF_CALC_LO","CALC_INTERVAL","3M"))</f>
        <v>45972</v>
      </c>
      <c r="BH58" s="14" cm="1">
        <f t="array" ref="BH58">VALUE(_xll.BDP($B58,"INTERVAL_DATE_OF_CALC_HI","CALC_INTERVAL","1M"))</f>
        <v>46062</v>
      </c>
      <c r="BI58" s="14" cm="1">
        <f t="array" ref="BI58">VALUE(_xll.BDP($B58,"INTERVAL_DATE_OF_CALC_LO","CALC_INTERVAL","1M"))</f>
        <v>46038</v>
      </c>
      <c r="BJ58" s="15">
        <f>$F58-MIN(_xll.BDP("NYA Index","RSI_14D"),_xll.BDP("RSP US Equity","RSI_14D"))</f>
        <v>-20.246764160156253</v>
      </c>
    </row>
    <row r="59" spans="1:62" x14ac:dyDescent="0.25">
      <c r="A59" s="11">
        <v>58</v>
      </c>
      <c r="B59" s="26" t="s">
        <v>616</v>
      </c>
      <c r="C59" s="1" t="s">
        <v>617</v>
      </c>
      <c r="D59" s="1" t="s">
        <v>593</v>
      </c>
      <c r="E59" s="11" t="s">
        <v>959</v>
      </c>
      <c r="F59">
        <f>IFERROR(VALUE((_xll.BDP($B59,"interval_rsi","tech_studies_param1_override",14))),"")</f>
        <v>57.968000000000004</v>
      </c>
      <c r="G59">
        <f t="shared" si="0"/>
        <v>52.525531939815814</v>
      </c>
      <c r="H59">
        <f t="shared" si="38"/>
        <v>0</v>
      </c>
      <c r="I59" cm="1">
        <f t="array" ref="I59">IFERROR(VALUE(_xll.BDP($B59,"px_last")),"")</f>
        <v>1.2966</v>
      </c>
      <c r="J59">
        <f t="shared" si="1"/>
        <v>6941.47</v>
      </c>
      <c r="K59" cm="1">
        <f t="array" ref="K59">IFERROR(VALUE(_xll.BDP($B59,"PX_YEST_CLOSE")),"")</f>
        <v>1.296</v>
      </c>
      <c r="L59">
        <f t="shared" si="2"/>
        <v>6941.81</v>
      </c>
      <c r="M59">
        <f t="shared" si="39"/>
        <v>1.8679040606672649E-4</v>
      </c>
      <c r="N59">
        <f t="shared" si="40"/>
        <v>1.8669482454864076E-4</v>
      </c>
      <c r="O59" cm="1">
        <f t="array" ref="O59">IFERROR(VALUE(_xll.BDP($B59,"INTERVAL_MAE_MOV_AVG","CALC_INTERVAL","520D","TECH_STUDIES_PARAM1_OVERRIDE",50,"USE_PREVIOUS_BUSINESS_DAY","N")),"")</f>
        <v>1.2670999999999999</v>
      </c>
      <c r="P59">
        <f t="shared" si="3"/>
        <v>6894.0953999999992</v>
      </c>
      <c r="Q59" cm="1">
        <f t="array" ref="Q59">IFERROR(VALUE(_xll.BDP($B59,"INTERVAL_MAE_MOV_AVG","CALC_INTERVAL","520D","TECH_STUDIES_PARAM1_OVERRIDE",50,"USE_PREVIOUS_BUSINESS_DAY","Y")),"")</f>
        <v>1.2662</v>
      </c>
      <c r="R59">
        <f t="shared" si="4"/>
        <v>6892.2477999999992</v>
      </c>
      <c r="S59">
        <f t="shared" si="41"/>
        <v>1.8379496170012384E-4</v>
      </c>
      <c r="T59">
        <f t="shared" si="42"/>
        <v>1.8371364999383803E-4</v>
      </c>
      <c r="U59" s="11" t="str">
        <f t="shared" si="43"/>
        <v>NEGATIVE</v>
      </c>
      <c r="V59" s="11" t="str">
        <f t="shared" si="44"/>
        <v/>
      </c>
      <c r="W59" s="11" t="str">
        <f t="shared" si="45"/>
        <v>UP</v>
      </c>
      <c r="X59" s="6" t="str">
        <f t="shared" si="46"/>
        <v>POSITIVE</v>
      </c>
      <c r="Y59" cm="1">
        <f t="array" ref="Y59">IFERROR(VALUE(_xll.BDP($B59,"INTERVAL_MAE_MOV_AVG","CALC_INTERVAL","520D","TECH_STUDIES_PARAM1_OVERRIDE",65,"USE_PREVIOUS_BUSINESS_DAY","N")),"")</f>
        <v>1.2622</v>
      </c>
      <c r="Z59">
        <f t="shared" si="5"/>
        <v>6856.0226153846133</v>
      </c>
      <c r="AA59" cm="1">
        <f t="array" ref="AA59">IFERROR(VALUE(_xll.BDP($B59,"INTERVAL_MAE_MOV_AVG","CALC_INTERVAL","520D","TECH_STUDIES_PARAM1_OVERRIDE",65,"USE_PREVIOUS_BUSINESS_DAY","Y")),"")</f>
        <v>1.2616000000000001</v>
      </c>
      <c r="AB59">
        <f t="shared" si="6"/>
        <v>6852.6203076923057</v>
      </c>
      <c r="AC59">
        <f t="shared" si="47"/>
        <v>1.8410090963931169E-4</v>
      </c>
      <c r="AD59">
        <f t="shared" si="48"/>
        <v>1.8410475750185807E-4</v>
      </c>
      <c r="AE59" s="10" t="str">
        <f t="shared" si="49"/>
        <v>UP</v>
      </c>
      <c r="AF59" s="10" t="str">
        <f t="shared" si="50"/>
        <v>DOWN</v>
      </c>
      <c r="AG59" s="6" t="str">
        <f t="shared" si="51"/>
        <v>POSITIVE</v>
      </c>
      <c r="AH59" cm="1">
        <f t="array" ref="AH59">IFERROR(VALUE(_xll.BDP($B59,"INTERVAL_MAE_MOV_AVG","CALC_INTERVAL","65W","PERIODICITY_OVERRIDE","W","TECH_STUDIES_PARAM1_OVERRIDE",39,"USE_PREVIOUS_BUSINESS_DAY","N")),"")</f>
        <v>1.2513000000000001</v>
      </c>
      <c r="AI59">
        <f t="shared" si="7"/>
        <v>6560.7735897435905</v>
      </c>
      <c r="AJ59" cm="1">
        <f t="array" ref="AJ59">IFERROR(VALUE(_xll.BDP($B59,"INTERVAL_MAE_MOV_AVG","CALC_INTERVAL","65W","PERIODICITY_OVERRIDE","W","TECH_STUDIES_PARAM1_OVERRIDE",39,"USE_PREVIOUS_BUSINESS_DAY","Y")),"")</f>
        <v>1.2515000000000001</v>
      </c>
      <c r="AK59">
        <f t="shared" si="8"/>
        <v>6560.7823076923087</v>
      </c>
      <c r="AL59">
        <f t="shared" si="52"/>
        <v>1.9072445998687536E-4</v>
      </c>
      <c r="AM59">
        <f t="shared" si="53"/>
        <v>1.9075469072227195E-4</v>
      </c>
      <c r="AN59" s="10" t="str">
        <f t="shared" si="54"/>
        <v>DOWN</v>
      </c>
      <c r="AO59" s="10" t="str">
        <f t="shared" si="55"/>
        <v>DOWN</v>
      </c>
      <c r="AP59" s="6" t="str">
        <f t="shared" si="56"/>
        <v>NEGATIVE</v>
      </c>
      <c r="AQ59" cm="1">
        <f t="array" ref="AQ59">IFERROR(VALUE(_xll.BDP($B59,"INTERVAL_exp_MOV_AVG","CALC_INTERVAL","520D","TECH_STUDIES_PARAM1_OVERRIDE",100,"USE_PREVIOUS_BUSINESS_DAY","N")),"")</f>
        <v>1.2607999999999999</v>
      </c>
      <c r="AR59">
        <f t="shared" si="9"/>
        <v>6773.0064518682802</v>
      </c>
      <c r="AS59" cm="1">
        <f t="array" ref="AS59">IFERROR(VALUE(_xll.BDP($B59,"INTERVAL_exp_MOV_AVG","CALC_INTERVAL","520D","TECH_STUDIES_PARAM1_OVERRIDE",100,"USE_PREVIOUS_BUSINESS_DAY","Y")),"")</f>
        <v>1.2601</v>
      </c>
      <c r="AT59">
        <f t="shared" si="10"/>
        <v>6769.6039787132295</v>
      </c>
      <c r="AU59">
        <f t="shared" si="57"/>
        <v>1.8615071592796405E-4</v>
      </c>
      <c r="AV59">
        <f t="shared" si="58"/>
        <v>1.8614087381807533E-4</v>
      </c>
      <c r="AW59" s="11" t="str">
        <f t="shared" si="59"/>
        <v>UP</v>
      </c>
      <c r="AX59" s="11" t="str">
        <f t="shared" si="60"/>
        <v>UP</v>
      </c>
      <c r="AY59" s="6" t="str">
        <f t="shared" si="61"/>
        <v>POSITIVE</v>
      </c>
      <c r="AZ59" s="12" cm="1">
        <f t="array" ref="AZ59">_xll.BDP($B59, "INTERVAL_RSI", "TECH_STUDIES_PARAM1_OVERRIDE", "5", "PERIODICITY_OVERRIDE", "W")</f>
        <v>74.698999999999998</v>
      </c>
      <c r="BA59" cm="1">
        <f t="array" ref="BA59">IFERROR(VALUE(_xll.BDP($B59,"INTERVAL_MAE_MOV_AVG","CALC_INTERVAL","520D","TECH_STUDIES_PARAM1_OVERRIDE",31,"USE_PREVIOUS_BUSINESS_DAY","N")),"")</f>
        <v>1.2732000000000001</v>
      </c>
      <c r="BB59" cm="1">
        <f t="array" ref="BB59">IFERROR(VALUE(_xll.BDP($B59,"INTERVAL_MAE_MOV_AVG","CALC_INTERVAL","760D","TECH_STUDIES_PARAM1_OVERRIDE",200,"USE_PREVIOUS_BUSINESS_DAY","N")),"")</f>
        <v>1.2478</v>
      </c>
      <c r="BC59" s="13">
        <f t="shared" si="62"/>
        <v>1.8378887841658642E-2</v>
      </c>
      <c r="BD59" s="13">
        <f t="shared" si="63"/>
        <v>2.328150895746206E-2</v>
      </c>
      <c r="BE59" s="13">
        <f t="shared" si="64"/>
        <v>3.9108831543516631E-2</v>
      </c>
      <c r="BF59" s="14" cm="1">
        <f t="array" ref="BF59">VALUE(_xll.BDP($B59,"INTERVAL_DATE_OF_CALC_HI","CALC_INTERVAL","3M"))</f>
        <v>46049</v>
      </c>
      <c r="BG59" s="14" cm="1">
        <f t="array" ref="BG59">VALUE(_xll.BDP($B59,"INTERVAL_DATE_OF_CALC_LO","CALC_INTERVAL","3M"))</f>
        <v>45985</v>
      </c>
      <c r="BH59" s="14" cm="1">
        <f t="array" ref="BH59">VALUE(_xll.BDP($B59,"INTERVAL_DATE_OF_CALC_HI","CALC_INTERVAL","1M"))</f>
        <v>46049</v>
      </c>
      <c r="BI59" s="14" cm="1">
        <f t="array" ref="BI59">VALUE(_xll.BDP($B59,"INTERVAL_DATE_OF_CALC_LO","CALC_INTERVAL","1M"))</f>
        <v>46037</v>
      </c>
      <c r="BJ59" s="15">
        <f>$F59-MIN(_xll.BDP("NYA Index","RSI_14D"),_xll.BDP("RSP US Equity","RSI_14D"))</f>
        <v>-8.3777641601562465</v>
      </c>
    </row>
    <row r="60" spans="1:62" x14ac:dyDescent="0.25">
      <c r="A60" s="11">
        <v>59</v>
      </c>
      <c r="B60" s="26" t="s">
        <v>618</v>
      </c>
      <c r="C60" s="1" t="s">
        <v>619</v>
      </c>
      <c r="D60" s="1" t="s">
        <v>593</v>
      </c>
      <c r="E60" s="11" t="s">
        <v>960</v>
      </c>
      <c r="F60">
        <f>IFERROR(VALUE((_xll.BDP($B60,"interval_rsi","tech_studies_param1_override",14))),"")</f>
        <v>61.728000000000002</v>
      </c>
      <c r="G60">
        <f t="shared" si="0"/>
        <v>52.525531939815814</v>
      </c>
      <c r="H60">
        <f t="shared" si="38"/>
        <v>0</v>
      </c>
      <c r="I60" cm="1">
        <f t="array" ref="I60">IFERROR(VALUE(_xll.BDP($B60,"px_last")),"")</f>
        <v>9.8599999999999993E-2</v>
      </c>
      <c r="J60">
        <f t="shared" si="1"/>
        <v>6941.47</v>
      </c>
      <c r="K60" cm="1">
        <f t="array" ref="K60">IFERROR(VALUE(_xll.BDP($B60,"PX_YEST_CLOSE")),"")</f>
        <v>9.8599999999999993E-2</v>
      </c>
      <c r="L60">
        <f t="shared" si="2"/>
        <v>6941.81</v>
      </c>
      <c r="M60">
        <f t="shared" si="39"/>
        <v>1.4204484064614554E-5</v>
      </c>
      <c r="N60">
        <f t="shared" si="40"/>
        <v>1.4203788349148131E-5</v>
      </c>
      <c r="O60" cm="1">
        <f t="array" ref="O60">IFERROR(VALUE(_xll.BDP($B60,"INTERVAL_MAE_MOV_AVG","CALC_INTERVAL","520D","TECH_STUDIES_PARAM1_OVERRIDE",50,"USE_PREVIOUS_BUSINESS_DAY","N")),"")</f>
        <v>9.5600000000000004E-2</v>
      </c>
      <c r="P60">
        <f t="shared" si="3"/>
        <v>6894.0953999999992</v>
      </c>
      <c r="Q60" cm="1">
        <f t="array" ref="Q60">IFERROR(VALUE(_xll.BDP($B60,"INTERVAL_MAE_MOV_AVG","CALC_INTERVAL","520D","TECH_STUDIES_PARAM1_OVERRIDE",50,"USE_PREVIOUS_BUSINESS_DAY","Y")),"")</f>
        <v>9.5500000000000002E-2</v>
      </c>
      <c r="R60">
        <f t="shared" si="4"/>
        <v>6892.2477999999992</v>
      </c>
      <c r="S60">
        <f t="shared" si="41"/>
        <v>1.3866938946043597E-5</v>
      </c>
      <c r="T60">
        <f t="shared" si="42"/>
        <v>1.3856147191921917E-5</v>
      </c>
      <c r="U60" s="11" t="str">
        <f t="shared" si="43"/>
        <v>NEGATIVE</v>
      </c>
      <c r="V60" s="11" t="str">
        <f t="shared" si="44"/>
        <v/>
      </c>
      <c r="W60" s="11" t="str">
        <f t="shared" si="45"/>
        <v>UP</v>
      </c>
      <c r="X60" s="6" t="str">
        <f t="shared" si="46"/>
        <v>POSITIVE</v>
      </c>
      <c r="Y60" cm="1">
        <f t="array" ref="Y60">IFERROR(VALUE(_xll.BDP($B60,"INTERVAL_MAE_MOV_AVG","CALC_INTERVAL","520D","TECH_STUDIES_PARAM1_OVERRIDE",65,"USE_PREVIOUS_BUSINESS_DAY","N")),"")</f>
        <v>9.4899999999999998E-2</v>
      </c>
      <c r="Z60">
        <f t="shared" si="5"/>
        <v>6856.0226153846133</v>
      </c>
      <c r="AA60" cm="1">
        <f t="array" ref="AA60">IFERROR(VALUE(_xll.BDP($B60,"INTERVAL_MAE_MOV_AVG","CALC_INTERVAL","520D","TECH_STUDIES_PARAM1_OVERRIDE",65,"USE_PREVIOUS_BUSINESS_DAY","Y")),"")</f>
        <v>9.4899999999999998E-2</v>
      </c>
      <c r="AB60">
        <f t="shared" si="6"/>
        <v>6852.6203076923057</v>
      </c>
      <c r="AC60">
        <f t="shared" si="47"/>
        <v>1.3841844655974233E-5</v>
      </c>
      <c r="AD60">
        <f t="shared" si="48"/>
        <v>1.3848717094900389E-5</v>
      </c>
      <c r="AE60" s="10" t="str">
        <f t="shared" si="49"/>
        <v/>
      </c>
      <c r="AF60" s="10" t="str">
        <f t="shared" si="50"/>
        <v>DOWN</v>
      </c>
      <c r="AG60" s="6" t="str">
        <f t="shared" si="51"/>
        <v>POSITIVE</v>
      </c>
      <c r="AH60" cm="1">
        <f t="array" ref="AH60">IFERROR(VALUE(_xll.BDP($B60,"INTERVAL_MAE_MOV_AVG","CALC_INTERVAL","65W","PERIODICITY_OVERRIDE","W","TECH_STUDIES_PARAM1_OVERRIDE",39,"USE_PREVIOUS_BUSINESS_DAY","N")),"")</f>
        <v>9.1999999999999998E-2</v>
      </c>
      <c r="AI60">
        <f t="shared" si="7"/>
        <v>6560.7735897435905</v>
      </c>
      <c r="AJ60" cm="1">
        <f t="array" ref="AJ60">IFERROR(VALUE(_xll.BDP($B60,"INTERVAL_MAE_MOV_AVG","CALC_INTERVAL","65W","PERIODICITY_OVERRIDE","W","TECH_STUDIES_PARAM1_OVERRIDE",39,"USE_PREVIOUS_BUSINESS_DAY","Y")),"")</f>
        <v>9.1999999999999998E-2</v>
      </c>
      <c r="AK60">
        <f t="shared" si="8"/>
        <v>6560.7823076923087</v>
      </c>
      <c r="AL60">
        <f t="shared" si="52"/>
        <v>1.4022736608960706E-5</v>
      </c>
      <c r="AM60">
        <f t="shared" si="53"/>
        <v>1.4022717975588508E-5</v>
      </c>
      <c r="AN60" s="10" t="str">
        <f t="shared" si="54"/>
        <v/>
      </c>
      <c r="AO60" s="10" t="str">
        <f t="shared" si="55"/>
        <v>UP</v>
      </c>
      <c r="AP60" s="6" t="str">
        <f t="shared" si="56"/>
        <v>POSITIVE</v>
      </c>
      <c r="AQ60" cm="1">
        <f t="array" ref="AQ60">IFERROR(VALUE(_xll.BDP($B60,"INTERVAL_exp_MOV_AVG","CALC_INTERVAL","520D","TECH_STUDIES_PARAM1_OVERRIDE",100,"USE_PREVIOUS_BUSINESS_DAY","N")),"")</f>
        <v>9.4299999999999995E-2</v>
      </c>
      <c r="AR60">
        <f t="shared" si="9"/>
        <v>6773.0064518682802</v>
      </c>
      <c r="AS60" cm="1">
        <f t="array" ref="AS60">IFERROR(VALUE(_xll.BDP($B60,"INTERVAL_exp_MOV_AVG","CALC_INTERVAL","520D","TECH_STUDIES_PARAM1_OVERRIDE",100,"USE_PREVIOUS_BUSINESS_DAY","Y")),"")</f>
        <v>9.4200000000000006E-2</v>
      </c>
      <c r="AT60">
        <f t="shared" si="10"/>
        <v>6769.6039787132295</v>
      </c>
      <c r="AU60">
        <f t="shared" si="57"/>
        <v>1.3922916015233986E-5</v>
      </c>
      <c r="AV60">
        <f t="shared" si="58"/>
        <v>1.3915141904343066E-5</v>
      </c>
      <c r="AW60" s="11" t="str">
        <f t="shared" si="59"/>
        <v>UP</v>
      </c>
      <c r="AX60" s="11" t="str">
        <f t="shared" si="60"/>
        <v>UP</v>
      </c>
      <c r="AY60" s="6" t="str">
        <f t="shared" si="61"/>
        <v>POSITIVE</v>
      </c>
      <c r="AZ60" s="12" cm="1">
        <f t="array" ref="AZ60">_xll.BDP($B60, "INTERVAL_RSI", "TECH_STUDIES_PARAM1_OVERRIDE", "5", "PERIODICITY_OVERRIDE", "W")</f>
        <v>77.756</v>
      </c>
      <c r="BA60" cm="1">
        <f t="array" ref="BA60">IFERROR(VALUE(_xll.BDP($B60,"INTERVAL_MAE_MOV_AVG","CALC_INTERVAL","520D","TECH_STUDIES_PARAM1_OVERRIDE",31,"USE_PREVIOUS_BUSINESS_DAY","N")),"")</f>
        <v>9.69E-2</v>
      </c>
      <c r="BB60" cm="1">
        <f t="array" ref="BB60">IFERROR(VALUE(_xll.BDP($B60,"INTERVAL_MAE_MOV_AVG","CALC_INTERVAL","760D","TECH_STUDIES_PARAM1_OVERRIDE",200,"USE_PREVIOUS_BUSINESS_DAY","N")),"")</f>
        <v>9.2100000000000001E-2</v>
      </c>
      <c r="BC60" s="13">
        <f t="shared" si="62"/>
        <v>1.754385964912264E-2</v>
      </c>
      <c r="BD60" s="13">
        <f t="shared" si="63"/>
        <v>3.1380753138075201E-2</v>
      </c>
      <c r="BE60" s="13">
        <f t="shared" si="64"/>
        <v>7.0575461454940092E-2</v>
      </c>
      <c r="BF60" s="14" cm="1">
        <f t="array" ref="BF60">VALUE(_xll.BDP($B60,"INTERVAL_DATE_OF_CALC_HI","CALC_INTERVAL","3M"))</f>
        <v>46059</v>
      </c>
      <c r="BG60" s="14" cm="1">
        <f t="array" ref="BG60">VALUE(_xll.BDP($B60,"INTERVAL_DATE_OF_CALC_LO","CALC_INTERVAL","3M"))</f>
        <v>45972</v>
      </c>
      <c r="BH60" s="14" cm="1">
        <f t="array" ref="BH60">VALUE(_xll.BDP($B60,"INTERVAL_DATE_OF_CALC_HI","CALC_INTERVAL","1M"))</f>
        <v>46059</v>
      </c>
      <c r="BI60" s="14" cm="1">
        <f t="array" ref="BI60">VALUE(_xll.BDP($B60,"INTERVAL_DATE_OF_CALC_LO","CALC_INTERVAL","1M"))</f>
        <v>46042</v>
      </c>
      <c r="BJ60" s="15">
        <f>$F60-MIN(_xll.BDP("NYA Index","RSI_14D"),_xll.BDP("RSP US Equity","RSI_14D"))</f>
        <v>-4.6177641601562485</v>
      </c>
    </row>
    <row r="61" spans="1:62" x14ac:dyDescent="0.25">
      <c r="A61" s="11">
        <v>60</v>
      </c>
      <c r="B61" s="26" t="s">
        <v>620</v>
      </c>
      <c r="C61" s="1" t="s">
        <v>621</v>
      </c>
      <c r="D61" s="1" t="s">
        <v>593</v>
      </c>
      <c r="E61" s="11" t="s">
        <v>959</v>
      </c>
      <c r="F61">
        <f>IFERROR(VALUE((_xll.BDP($B61,"interval_rsi","tech_studies_param1_override",14))),"")</f>
        <v>64.248999999999995</v>
      </c>
      <c r="G61">
        <f t="shared" si="0"/>
        <v>52.525531939815814</v>
      </c>
      <c r="H61">
        <f t="shared" si="38"/>
        <v>1</v>
      </c>
      <c r="I61" cm="1">
        <f t="array" ref="I61">IFERROR(VALUE(_xll.BDP($B61,"px_last")),"")</f>
        <v>0.11705</v>
      </c>
      <c r="J61">
        <f t="shared" si="1"/>
        <v>6941.47</v>
      </c>
      <c r="K61" cm="1">
        <f t="array" ref="K61">IFERROR(VALUE(_xll.BDP($B61,"PX_YEST_CLOSE")),"")</f>
        <v>0.11705</v>
      </c>
      <c r="L61">
        <f t="shared" si="2"/>
        <v>6941.81</v>
      </c>
      <c r="M61">
        <f t="shared" si="39"/>
        <v>1.6862422512810687E-5</v>
      </c>
      <c r="N61">
        <f t="shared" si="40"/>
        <v>1.6861596615291977E-5</v>
      </c>
      <c r="O61" cm="1">
        <f t="array" ref="O61">IFERROR(VALUE(_xll.BDP($B61,"INTERVAL_MAE_MOV_AVG","CALC_INTERVAL","520D","TECH_STUDIES_PARAM1_OVERRIDE",50,"USE_PREVIOUS_BUSINESS_DAY","N")),"")</f>
        <v>0.11222</v>
      </c>
      <c r="P61">
        <f t="shared" si="3"/>
        <v>6894.0953999999992</v>
      </c>
      <c r="Q61" cm="1">
        <f t="array" ref="Q61">IFERROR(VALUE(_xll.BDP($B61,"INTERVAL_MAE_MOV_AVG","CALC_INTERVAL","520D","TECH_STUDIES_PARAM1_OVERRIDE",50,"USE_PREVIOUS_BUSINESS_DAY","Y")),"")</f>
        <v>0.11203</v>
      </c>
      <c r="R61">
        <f t="shared" si="4"/>
        <v>6892.2477999999992</v>
      </c>
      <c r="S61">
        <f t="shared" si="41"/>
        <v>1.627769757871352E-5</v>
      </c>
      <c r="T61">
        <f t="shared" si="42"/>
        <v>1.6254493925769765E-5</v>
      </c>
      <c r="U61" s="11" t="str">
        <f t="shared" si="43"/>
        <v>POSITIVE</v>
      </c>
      <c r="V61" s="11" t="str">
        <f t="shared" si="44"/>
        <v/>
      </c>
      <c r="W61" s="11" t="str">
        <f t="shared" si="45"/>
        <v>UP</v>
      </c>
      <c r="X61" s="6" t="str">
        <f t="shared" si="46"/>
        <v>POSITIVE</v>
      </c>
      <c r="Y61" cm="1">
        <f t="array" ref="Y61">IFERROR(VALUE(_xll.BDP($B61,"INTERVAL_MAE_MOV_AVG","CALC_INTERVAL","520D","TECH_STUDIES_PARAM1_OVERRIDE",65,"USE_PREVIOUS_BUSINESS_DAY","N")),"")</f>
        <v>0.11111</v>
      </c>
      <c r="Z61">
        <f t="shared" si="5"/>
        <v>6856.0226153846133</v>
      </c>
      <c r="AA61" cm="1">
        <f t="array" ref="AA61">IFERROR(VALUE(_xll.BDP($B61,"INTERVAL_MAE_MOV_AVG","CALC_INTERVAL","520D","TECH_STUDIES_PARAM1_OVERRIDE",65,"USE_PREVIOUS_BUSINESS_DAY","Y")),"")</f>
        <v>0.11094</v>
      </c>
      <c r="AB61">
        <f t="shared" si="6"/>
        <v>6852.6203076923057</v>
      </c>
      <c r="AC61">
        <f t="shared" si="47"/>
        <v>1.6206189248949391E-5</v>
      </c>
      <c r="AD61">
        <f t="shared" si="48"/>
        <v>1.618942755013961E-5</v>
      </c>
      <c r="AE61" s="10" t="str">
        <f t="shared" si="49"/>
        <v>UP</v>
      </c>
      <c r="AF61" s="10" t="str">
        <f t="shared" si="50"/>
        <v>UP</v>
      </c>
      <c r="AG61" s="6" t="str">
        <f t="shared" si="51"/>
        <v>POSITIVE</v>
      </c>
      <c r="AH61" cm="1">
        <f t="array" ref="AH61">IFERROR(VALUE(_xll.BDP($B61,"INTERVAL_MAE_MOV_AVG","CALC_INTERVAL","65W","PERIODICITY_OVERRIDE","W","TECH_STUDIES_PARAM1_OVERRIDE",39,"USE_PREVIOUS_BUSINESS_DAY","N")),"")</f>
        <v>0.10723000000000001</v>
      </c>
      <c r="AI61">
        <f t="shared" si="7"/>
        <v>6560.7735897435905</v>
      </c>
      <c r="AJ61" cm="1">
        <f t="array" ref="AJ61">IFERROR(VALUE(_xll.BDP($B61,"INTERVAL_MAE_MOV_AVG","CALC_INTERVAL","65W","PERIODICITY_OVERRIDE","W","TECH_STUDIES_PARAM1_OVERRIDE",39,"USE_PREVIOUS_BUSINESS_DAY","Y")),"")</f>
        <v>0.10722</v>
      </c>
      <c r="AK61">
        <f t="shared" si="8"/>
        <v>6560.7823076923087</v>
      </c>
      <c r="AL61">
        <f t="shared" si="52"/>
        <v>1.6344109201944096E-5</v>
      </c>
      <c r="AM61">
        <f t="shared" si="53"/>
        <v>1.6342563275463043E-5</v>
      </c>
      <c r="AN61" s="10" t="str">
        <f t="shared" si="54"/>
        <v>UP</v>
      </c>
      <c r="AO61" s="10" t="str">
        <f t="shared" si="55"/>
        <v>UP</v>
      </c>
      <c r="AP61" s="6" t="str">
        <f t="shared" si="56"/>
        <v>POSITIVE</v>
      </c>
      <c r="AQ61" cm="1">
        <f t="array" ref="AQ61">IFERROR(VALUE(_xll.BDP($B61,"INTERVAL_exp_MOV_AVG","CALC_INTERVAL","520D","TECH_STUDIES_PARAM1_OVERRIDE",100,"USE_PREVIOUS_BUSINESS_DAY","N")),"")</f>
        <v>0.11026</v>
      </c>
      <c r="AR61">
        <f t="shared" si="9"/>
        <v>6773.0064518682802</v>
      </c>
      <c r="AS61" cm="1">
        <f t="array" ref="AS61">IFERROR(VALUE(_xll.BDP($B61,"INTERVAL_exp_MOV_AVG","CALC_INTERVAL","520D","TECH_STUDIES_PARAM1_OVERRIDE",100,"USE_PREVIOUS_BUSINESS_DAY","Y")),"")</f>
        <v>0.11013000000000001</v>
      </c>
      <c r="AT61">
        <f t="shared" si="10"/>
        <v>6769.6039787132295</v>
      </c>
      <c r="AU61">
        <f t="shared" si="57"/>
        <v>1.6279328948459164E-5</v>
      </c>
      <c r="AV61">
        <f t="shared" si="58"/>
        <v>1.6268307621287707E-5</v>
      </c>
      <c r="AW61" s="11" t="str">
        <f t="shared" si="59"/>
        <v>UP</v>
      </c>
      <c r="AX61" s="11" t="str">
        <f t="shared" si="60"/>
        <v>UP</v>
      </c>
      <c r="AY61" s="6" t="str">
        <f t="shared" si="61"/>
        <v>POSITIVE</v>
      </c>
      <c r="AZ61" s="12" cm="1">
        <f t="array" ref="AZ61">_xll.BDP($B61, "INTERVAL_RSI", "TECH_STUDIES_PARAM1_OVERRIDE", "5", "PERIODICITY_OVERRIDE", "W")</f>
        <v>86.460999999999999</v>
      </c>
      <c r="BA61" cm="1">
        <f t="array" ref="BA61">IFERROR(VALUE(_xll.BDP($B61,"INTERVAL_MAE_MOV_AVG","CALC_INTERVAL","520D","TECH_STUDIES_PARAM1_OVERRIDE",31,"USE_PREVIOUS_BUSINESS_DAY","N")),"")</f>
        <v>0.11403000000000001</v>
      </c>
      <c r="BB61" cm="1">
        <f t="array" ref="BB61">IFERROR(VALUE(_xll.BDP($B61,"INTERVAL_MAE_MOV_AVG","CALC_INTERVAL","760D","TECH_STUDIES_PARAM1_OVERRIDE",200,"USE_PREVIOUS_BUSINESS_DAY","N")),"")</f>
        <v>0.10703</v>
      </c>
      <c r="BC61" s="13">
        <f t="shared" si="62"/>
        <v>2.6484258528457483E-2</v>
      </c>
      <c r="BD61" s="13">
        <f t="shared" si="63"/>
        <v>4.3040456246658421E-2</v>
      </c>
      <c r="BE61" s="13">
        <f t="shared" si="64"/>
        <v>9.3618611604223023E-2</v>
      </c>
      <c r="BF61" s="14" cm="1">
        <f t="array" ref="BF61">VALUE(_xll.BDP($B61,"INTERVAL_DATE_OF_CALC_HI","CALC_INTERVAL","3M"))</f>
        <v>46062</v>
      </c>
      <c r="BG61" s="14" cm="1">
        <f t="array" ref="BG61">VALUE(_xll.BDP($B61,"INTERVAL_DATE_OF_CALC_LO","CALC_INTERVAL","3M"))</f>
        <v>45985</v>
      </c>
      <c r="BH61" s="14" cm="1">
        <f t="array" ref="BH61">VALUE(_xll.BDP($B61,"INTERVAL_DATE_OF_CALC_HI","CALC_INTERVAL","1M"))</f>
        <v>46062</v>
      </c>
      <c r="BI61" s="14" cm="1">
        <f t="array" ref="BI61">VALUE(_xll.BDP($B61,"INTERVAL_DATE_OF_CALC_LO","CALC_INTERVAL","1M"))</f>
        <v>46041</v>
      </c>
      <c r="BJ61" s="15">
        <f>$F61-MIN(_xll.BDP("NYA Index","RSI_14D"),_xll.BDP("RSP US Equity","RSI_14D"))</f>
        <v>-2.0967641601562548</v>
      </c>
    </row>
    <row r="62" spans="1:62" x14ac:dyDescent="0.25">
      <c r="A62" s="11">
        <v>61</v>
      </c>
      <c r="B62" s="26" t="s">
        <v>622</v>
      </c>
      <c r="C62" s="1" t="s">
        <v>623</v>
      </c>
      <c r="D62" s="1" t="s">
        <v>593</v>
      </c>
      <c r="E62" s="11" t="s">
        <v>960</v>
      </c>
      <c r="F62">
        <f>IFERROR(VALUE((_xll.BDP($B62,"interval_rsi","tech_studies_param1_override",14))),"")</f>
        <v>50.170999999999999</v>
      </c>
      <c r="G62">
        <f t="shared" si="0"/>
        <v>52.525531939815814</v>
      </c>
      <c r="H62">
        <f t="shared" si="38"/>
        <v>0</v>
      </c>
      <c r="I62" cm="1">
        <f t="array" ref="I62">IFERROR(VALUE(_xll.BDP($B62,"px_last")),"")</f>
        <v>0.122</v>
      </c>
      <c r="J62">
        <f t="shared" si="1"/>
        <v>6941.47</v>
      </c>
      <c r="K62" cm="1">
        <f t="array" ref="K62">IFERROR(VALUE(_xll.BDP($B62,"PX_YEST_CLOSE")),"")</f>
        <v>0.12189999999999999</v>
      </c>
      <c r="L62">
        <f t="shared" si="2"/>
        <v>6941.81</v>
      </c>
      <c r="M62">
        <f t="shared" si="39"/>
        <v>1.7575527950131601E-5</v>
      </c>
      <c r="N62">
        <f t="shared" si="40"/>
        <v>1.7560261660863662E-5</v>
      </c>
      <c r="O62" cm="1">
        <f t="array" ref="O62">IFERROR(VALUE(_xll.BDP($B62,"INTERVAL_MAE_MOV_AVG","CALC_INTERVAL","520D","TECH_STUDIES_PARAM1_OVERRIDE",50,"USE_PREVIOUS_BUSINESS_DAY","N")),"")</f>
        <v>0.12180000000000001</v>
      </c>
      <c r="P62">
        <f t="shared" si="3"/>
        <v>6894.0953999999992</v>
      </c>
      <c r="Q62" cm="1">
        <f t="array" ref="Q62">IFERROR(VALUE(_xll.BDP($B62,"INTERVAL_MAE_MOV_AVG","CALC_INTERVAL","520D","TECH_STUDIES_PARAM1_OVERRIDE",50,"USE_PREVIOUS_BUSINESS_DAY","Y")),"")</f>
        <v>0.12180000000000001</v>
      </c>
      <c r="R62">
        <f t="shared" si="4"/>
        <v>6892.2477999999992</v>
      </c>
      <c r="S62">
        <f t="shared" si="41"/>
        <v>1.7667292506570189E-5</v>
      </c>
      <c r="T62">
        <f t="shared" si="42"/>
        <v>1.7672028565194656E-5</v>
      </c>
      <c r="U62" s="11" t="str">
        <f t="shared" si="43"/>
        <v>NEGATIVE</v>
      </c>
      <c r="V62" s="11" t="str">
        <f t="shared" si="44"/>
        <v/>
      </c>
      <c r="W62" s="11" t="str">
        <f t="shared" si="45"/>
        <v>DOWN</v>
      </c>
      <c r="X62" s="6" t="str">
        <f t="shared" si="46"/>
        <v>NEGATIVE</v>
      </c>
      <c r="Y62" cm="1">
        <f t="array" ref="Y62">IFERROR(VALUE(_xll.BDP($B62,"INTERVAL_MAE_MOV_AVG","CALC_INTERVAL","520D","TECH_STUDIES_PARAM1_OVERRIDE",65,"USE_PREVIOUS_BUSINESS_DAY","N")),"")</f>
        <v>0.12180000000000001</v>
      </c>
      <c r="Z62">
        <f t="shared" si="5"/>
        <v>6856.0226153846133</v>
      </c>
      <c r="AA62" cm="1">
        <f t="array" ref="AA62">IFERROR(VALUE(_xll.BDP($B62,"INTERVAL_MAE_MOV_AVG","CALC_INTERVAL","520D","TECH_STUDIES_PARAM1_OVERRIDE",65,"USE_PREVIOUS_BUSINESS_DAY","Y")),"")</f>
        <v>0.12180000000000001</v>
      </c>
      <c r="AB62">
        <f t="shared" si="6"/>
        <v>6852.6203076923057</v>
      </c>
      <c r="AC62">
        <f t="shared" si="47"/>
        <v>1.7765402308721408E-5</v>
      </c>
      <c r="AD62">
        <f t="shared" si="48"/>
        <v>1.7774222783549712E-5</v>
      </c>
      <c r="AE62" s="10" t="str">
        <f t="shared" si="49"/>
        <v/>
      </c>
      <c r="AF62" s="10" t="str">
        <f t="shared" si="50"/>
        <v>DOWN</v>
      </c>
      <c r="AG62" s="6" t="str">
        <f t="shared" si="51"/>
        <v>NEGATIVE</v>
      </c>
      <c r="AH62" cm="1">
        <f t="array" ref="AH62">IFERROR(VALUE(_xll.BDP($B62,"INTERVAL_MAE_MOV_AVG","CALC_INTERVAL","65W","PERIODICITY_OVERRIDE","W","TECH_STUDIES_PARAM1_OVERRIDE",39,"USE_PREVIOUS_BUSINESS_DAY","N")),"")</f>
        <v>0.1208</v>
      </c>
      <c r="AI62">
        <f t="shared" si="7"/>
        <v>6560.7735897435905</v>
      </c>
      <c r="AJ62" cm="1">
        <f t="array" ref="AJ62">IFERROR(VALUE(_xll.BDP($B62,"INTERVAL_MAE_MOV_AVG","CALC_INTERVAL","65W","PERIODICITY_OVERRIDE","W","TECH_STUDIES_PARAM1_OVERRIDE",39,"USE_PREVIOUS_BUSINESS_DAY","Y")),"")</f>
        <v>0.1208</v>
      </c>
      <c r="AK62">
        <f t="shared" si="8"/>
        <v>6560.7823076923087</v>
      </c>
      <c r="AL62">
        <f t="shared" si="52"/>
        <v>1.8412462851765798E-5</v>
      </c>
      <c r="AM62">
        <f t="shared" si="53"/>
        <v>1.8412438385337955E-5</v>
      </c>
      <c r="AN62" s="10" t="str">
        <f t="shared" si="54"/>
        <v/>
      </c>
      <c r="AO62" s="10" t="str">
        <f t="shared" si="55"/>
        <v>UP</v>
      </c>
      <c r="AP62" s="6" t="str">
        <f t="shared" si="56"/>
        <v>NEGATIVE</v>
      </c>
      <c r="AQ62" cm="1">
        <f t="array" ref="AQ62">IFERROR(VALUE(_xll.BDP($B62,"INTERVAL_exp_MOV_AVG","CALC_INTERVAL","520D","TECH_STUDIES_PARAM1_OVERRIDE",100,"USE_PREVIOUS_BUSINESS_DAY","N")),"")</f>
        <v>0.1216</v>
      </c>
      <c r="AR62">
        <f t="shared" si="9"/>
        <v>6773.0064518682802</v>
      </c>
      <c r="AS62" cm="1">
        <f t="array" ref="AS62">IFERROR(VALUE(_xll.BDP($B62,"INTERVAL_exp_MOV_AVG","CALC_INTERVAL","520D","TECH_STUDIES_PARAM1_OVERRIDE",100,"USE_PREVIOUS_BUSINESS_DAY","Y")),"")</f>
        <v>0.1216</v>
      </c>
      <c r="AT62">
        <f t="shared" si="10"/>
        <v>6769.6039787132295</v>
      </c>
      <c r="AU62">
        <f t="shared" si="57"/>
        <v>1.7953622348382321E-5</v>
      </c>
      <c r="AV62">
        <f t="shared" si="58"/>
        <v>1.7962646025139242E-5</v>
      </c>
      <c r="AW62" s="11" t="str">
        <f t="shared" si="59"/>
        <v/>
      </c>
      <c r="AX62" s="11" t="str">
        <f t="shared" si="60"/>
        <v>DOWN</v>
      </c>
      <c r="AY62" s="6" t="str">
        <f t="shared" si="61"/>
        <v>NEGATIVE</v>
      </c>
      <c r="AZ62" s="12" cm="1">
        <f t="array" ref="AZ62">_xll.BDP($B62, "INTERVAL_RSI", "TECH_STUDIES_PARAM1_OVERRIDE", "5", "PERIODICITY_OVERRIDE", "W")</f>
        <v>48.603000000000002</v>
      </c>
      <c r="BA62" cm="1">
        <f t="array" ref="BA62">IFERROR(VALUE(_xll.BDP($B62,"INTERVAL_MAE_MOV_AVG","CALC_INTERVAL","520D","TECH_STUDIES_PARAM1_OVERRIDE",31,"USE_PREVIOUS_BUSINESS_DAY","N")),"")</f>
        <v>0.1222</v>
      </c>
      <c r="BB62" cm="1">
        <f t="array" ref="BB62">IFERROR(VALUE(_xll.BDP($B62,"INTERVAL_MAE_MOV_AVG","CALC_INTERVAL","760D","TECH_STUDIES_PARAM1_OVERRIDE",200,"USE_PREVIOUS_BUSINESS_DAY","N")),"")</f>
        <v>0.12089999999999999</v>
      </c>
      <c r="BC62" s="13">
        <f t="shared" si="62"/>
        <v>-1.6366612111293755E-3</v>
      </c>
      <c r="BD62" s="13">
        <f t="shared" si="63"/>
        <v>1.6420361247946325E-3</v>
      </c>
      <c r="BE62" s="13">
        <f t="shared" si="64"/>
        <v>9.0984284532671378E-3</v>
      </c>
      <c r="BF62" s="14" cm="1">
        <f t="array" ref="BF62">VALUE(_xll.BDP($B62,"INTERVAL_DATE_OF_CALC_HI","CALC_INTERVAL","3M"))</f>
        <v>46038</v>
      </c>
      <c r="BG62" s="14" cm="1">
        <f t="array" ref="BG62">VALUE(_xll.BDP($B62,"INTERVAL_DATE_OF_CALC_LO","CALC_INTERVAL","3M"))</f>
        <v>46049</v>
      </c>
      <c r="BH62" s="14" cm="1">
        <f t="array" ref="BH62">VALUE(_xll.BDP($B62,"INTERVAL_DATE_OF_CALC_HI","CALC_INTERVAL","1M"))</f>
        <v>46038</v>
      </c>
      <c r="BI62" s="14" cm="1">
        <f t="array" ref="BI62">VALUE(_xll.BDP($B62,"INTERVAL_DATE_OF_CALC_LO","CALC_INTERVAL","1M"))</f>
        <v>46049</v>
      </c>
      <c r="BJ62" s="15">
        <f>$F62-MIN(_xll.BDP("NYA Index","RSI_14D"),_xll.BDP("RSP US Equity","RSI_14D"))</f>
        <v>-16.174764160156251</v>
      </c>
    </row>
    <row r="63" spans="1:62" x14ac:dyDescent="0.25">
      <c r="A63" s="11">
        <v>62</v>
      </c>
      <c r="B63" s="26" t="s">
        <v>624</v>
      </c>
      <c r="C63" s="1" t="s">
        <v>625</v>
      </c>
      <c r="D63" s="1" t="s">
        <v>593</v>
      </c>
      <c r="E63" s="11" t="s">
        <v>787</v>
      </c>
      <c r="F63">
        <f>IFERROR(VALUE((_xll.BDP($B63,"interval_rsi","tech_studies_param1_override",14))),"")</f>
        <v>42.014000000000003</v>
      </c>
      <c r="G63">
        <f t="shared" si="0"/>
        <v>52.525531939815814</v>
      </c>
      <c r="H63">
        <f t="shared" si="38"/>
        <v>0</v>
      </c>
      <c r="I63" cm="1">
        <f t="array" ref="I63">IFERROR(VALUE(_xll.BDP($B63,"px_last")),"")</f>
        <v>22.175599999999999</v>
      </c>
      <c r="J63">
        <f t="shared" si="1"/>
        <v>6941.47</v>
      </c>
      <c r="K63" cm="1">
        <f t="array" ref="K63">IFERROR(VALUE(_xll.BDP($B63,"PX_YEST_CLOSE")),"")</f>
        <v>22.1814</v>
      </c>
      <c r="L63">
        <f t="shared" si="2"/>
        <v>6941.81</v>
      </c>
      <c r="M63">
        <f t="shared" si="39"/>
        <v>3.1946547345158877E-3</v>
      </c>
      <c r="N63">
        <f t="shared" si="40"/>
        <v>3.1953337818234726E-3</v>
      </c>
      <c r="O63" cm="1">
        <f t="array" ref="O63">IFERROR(VALUE(_xll.BDP($B63,"INTERVAL_MAE_MOV_AVG","CALC_INTERVAL","520D","TECH_STUDIES_PARAM1_OVERRIDE",50,"USE_PREVIOUS_BUSINESS_DAY","N")),"")</f>
        <v>22.369399999999999</v>
      </c>
      <c r="P63">
        <f t="shared" si="3"/>
        <v>6894.0953999999992</v>
      </c>
      <c r="Q63" cm="1">
        <f t="array" ref="Q63">IFERROR(VALUE(_xll.BDP($B63,"INTERVAL_MAE_MOV_AVG","CALC_INTERVAL","520D","TECH_STUDIES_PARAM1_OVERRIDE",50,"USE_PREVIOUS_BUSINESS_DAY","Y")),"")</f>
        <v>22.365600000000001</v>
      </c>
      <c r="R63">
        <f t="shared" si="4"/>
        <v>6892.2477999999992</v>
      </c>
      <c r="S63">
        <f t="shared" si="41"/>
        <v>3.2447186617115859E-3</v>
      </c>
      <c r="T63">
        <f t="shared" si="42"/>
        <v>3.2450371270748568E-3</v>
      </c>
      <c r="U63" s="11" t="str">
        <f t="shared" si="43"/>
        <v>NEGATIVE</v>
      </c>
      <c r="V63" s="11" t="str">
        <f t="shared" si="44"/>
        <v/>
      </c>
      <c r="W63" s="11" t="str">
        <f t="shared" si="45"/>
        <v>DOWN</v>
      </c>
      <c r="X63" s="6" t="str">
        <f t="shared" si="46"/>
        <v>NEGATIVE</v>
      </c>
      <c r="Y63" cm="1">
        <f t="array" ref="Y63">IFERROR(VALUE(_xll.BDP($B63,"INTERVAL_MAE_MOV_AVG","CALC_INTERVAL","520D","TECH_STUDIES_PARAM1_OVERRIDE",65,"USE_PREVIOUS_BUSINESS_DAY","N")),"")</f>
        <v>22.283000000000001</v>
      </c>
      <c r="Z63">
        <f t="shared" si="5"/>
        <v>6856.0226153846133</v>
      </c>
      <c r="AA63" cm="1">
        <f t="array" ref="AA63">IFERROR(VALUE(_xll.BDP($B63,"INTERVAL_MAE_MOV_AVG","CALC_INTERVAL","520D","TECH_STUDIES_PARAM1_OVERRIDE",65,"USE_PREVIOUS_BUSINESS_DAY","Y")),"")</f>
        <v>22.276599999999998</v>
      </c>
      <c r="AB63">
        <f t="shared" si="6"/>
        <v>6852.6203076923057</v>
      </c>
      <c r="AC63">
        <f t="shared" si="47"/>
        <v>3.2501351366604203E-3</v>
      </c>
      <c r="AD63">
        <f t="shared" si="48"/>
        <v>3.2508148707719492E-3</v>
      </c>
      <c r="AE63" s="10" t="str">
        <f t="shared" si="49"/>
        <v>UP</v>
      </c>
      <c r="AF63" s="10" t="str">
        <f t="shared" si="50"/>
        <v>DOWN</v>
      </c>
      <c r="AG63" s="6" t="str">
        <f t="shared" si="51"/>
        <v>NEGATIVE</v>
      </c>
      <c r="AH63" cm="1">
        <f t="array" ref="AH63">IFERROR(VALUE(_xll.BDP($B63,"INTERVAL_MAE_MOV_AVG","CALC_INTERVAL","65W","PERIODICITY_OVERRIDE","W","TECH_STUDIES_PARAM1_OVERRIDE",39,"USE_PREVIOUS_BUSINESS_DAY","N")),"")</f>
        <v>21.231100000000001</v>
      </c>
      <c r="AI63">
        <f t="shared" si="7"/>
        <v>6560.7735897435905</v>
      </c>
      <c r="AJ63" cm="1">
        <f t="array" ref="AJ63">IFERROR(VALUE(_xll.BDP($B63,"INTERVAL_MAE_MOV_AVG","CALC_INTERVAL","65W","PERIODICITY_OVERRIDE","W","TECH_STUDIES_PARAM1_OVERRIDE",39,"USE_PREVIOUS_BUSINESS_DAY","Y")),"")</f>
        <v>21.2349</v>
      </c>
      <c r="AK63">
        <f t="shared" si="8"/>
        <v>6560.7823076923087</v>
      </c>
      <c r="AL63">
        <f t="shared" si="52"/>
        <v>3.236066556722888E-3</v>
      </c>
      <c r="AM63">
        <f t="shared" si="53"/>
        <v>3.2366414558676567E-3</v>
      </c>
      <c r="AN63" s="10" t="str">
        <f t="shared" si="54"/>
        <v>DOWN</v>
      </c>
      <c r="AO63" s="10" t="str">
        <f t="shared" si="55"/>
        <v>DOWN</v>
      </c>
      <c r="AP63" s="6" t="str">
        <f t="shared" si="56"/>
        <v>NEGATIVE</v>
      </c>
      <c r="AQ63" cm="1">
        <f t="array" ref="AQ63">IFERROR(VALUE(_xll.BDP($B63,"INTERVAL_exp_MOV_AVG","CALC_INTERVAL","520D","TECH_STUDIES_PARAM1_OVERRIDE",100,"USE_PREVIOUS_BUSINESS_DAY","N")),"")</f>
        <v>21.962800000000001</v>
      </c>
      <c r="AR63">
        <f t="shared" si="9"/>
        <v>6773.0064518682802</v>
      </c>
      <c r="AS63" cm="1">
        <f t="array" ref="AS63">IFERROR(VALUE(_xll.BDP($B63,"INTERVAL_exp_MOV_AVG","CALC_INTERVAL","520D","TECH_STUDIES_PARAM1_OVERRIDE",100,"USE_PREVIOUS_BUSINESS_DAY","Y")),"")</f>
        <v>21.958400000000001</v>
      </c>
      <c r="AT63">
        <f t="shared" si="10"/>
        <v>6769.6039787132295</v>
      </c>
      <c r="AU63">
        <f t="shared" si="57"/>
        <v>3.2426958627718031E-3</v>
      </c>
      <c r="AV63">
        <f t="shared" si="58"/>
        <v>3.2436757111711971E-3</v>
      </c>
      <c r="AW63" s="11" t="str">
        <f t="shared" si="59"/>
        <v>UP</v>
      </c>
      <c r="AX63" s="11" t="str">
        <f t="shared" si="60"/>
        <v>DOWN</v>
      </c>
      <c r="AY63" s="6" t="str">
        <f t="shared" si="61"/>
        <v>NEGATIVE</v>
      </c>
      <c r="AZ63" s="12" cm="1">
        <f t="array" ref="AZ63">_xll.BDP($B63, "INTERVAL_RSI", "TECH_STUDIES_PARAM1_OVERRIDE", "5", "PERIODICITY_OVERRIDE", "W")</f>
        <v>43.012999999999998</v>
      </c>
      <c r="BA63" cm="1">
        <f t="array" ref="BA63">IFERROR(VALUE(_xll.BDP($B63,"INTERVAL_MAE_MOV_AVG","CALC_INTERVAL","520D","TECH_STUDIES_PARAM1_OVERRIDE",31,"USE_PREVIOUS_BUSINESS_DAY","N")),"")</f>
        <v>22.491599999999998</v>
      </c>
      <c r="BB63" cm="1">
        <f t="array" ref="BB63">IFERROR(VALUE(_xll.BDP($B63,"INTERVAL_MAE_MOV_AVG","CALC_INTERVAL","760D","TECH_STUDIES_PARAM1_OVERRIDE",200,"USE_PREVIOUS_BUSINESS_DAY","N")),"")</f>
        <v>21.173300000000001</v>
      </c>
      <c r="BC63" s="13">
        <f t="shared" si="62"/>
        <v>-1.4049689661918219E-2</v>
      </c>
      <c r="BD63" s="13">
        <f t="shared" si="63"/>
        <v>-8.6636208391820402E-3</v>
      </c>
      <c r="BE63" s="13">
        <f t="shared" si="64"/>
        <v>4.7337920872041694E-2</v>
      </c>
      <c r="BF63" s="14" cm="1">
        <f t="array" ref="BF63">VALUE(_xll.BDP($B63,"INTERVAL_DATE_OF_CALC_HI","CALC_INTERVAL","3M"))</f>
        <v>46035</v>
      </c>
      <c r="BG63" s="14" cm="1">
        <f t="array" ref="BG63">VALUE(_xll.BDP($B63,"INTERVAL_DATE_OF_CALC_LO","CALC_INTERVAL","3M"))</f>
        <v>45972</v>
      </c>
      <c r="BH63" s="14" cm="1">
        <f t="array" ref="BH63">VALUE(_xll.BDP($B63,"INTERVAL_DATE_OF_CALC_HI","CALC_INTERVAL","1M"))</f>
        <v>46035</v>
      </c>
      <c r="BI63" s="14" cm="1">
        <f t="array" ref="BI63">VALUE(_xll.BDP($B63,"INTERVAL_DATE_OF_CALC_LO","CALC_INTERVAL","1M"))</f>
        <v>46049</v>
      </c>
      <c r="BJ63" s="15">
        <f>$F63-MIN(_xll.BDP("NYA Index","RSI_14D"),_xll.BDP("RSP US Equity","RSI_14D"))</f>
        <v>-24.331764160156247</v>
      </c>
    </row>
    <row r="64" spans="1:62" x14ac:dyDescent="0.25">
      <c r="A64" s="11">
        <v>63</v>
      </c>
      <c r="B64" s="26" t="s">
        <v>626</v>
      </c>
      <c r="C64" s="1" t="s">
        <v>627</v>
      </c>
      <c r="D64" s="1" t="s">
        <v>593</v>
      </c>
      <c r="E64" s="11" t="s">
        <v>959</v>
      </c>
      <c r="F64">
        <f>IFERROR(VALUE((_xll.BDP($B64,"interval_rsi","tech_studies_param1_override",14))),"")</f>
        <v>72.766999999999996</v>
      </c>
      <c r="G64">
        <f t="shared" si="0"/>
        <v>52.525531939815814</v>
      </c>
      <c r="H64">
        <f t="shared" si="38"/>
        <v>1</v>
      </c>
      <c r="I64" cm="1">
        <f t="array" ref="I64">IFERROR(VALUE(_xll.BDP($B64,"px_last")),"")</f>
        <v>0.14480000000000001</v>
      </c>
      <c r="J64">
        <f t="shared" si="1"/>
        <v>6941.47</v>
      </c>
      <c r="K64" cm="1">
        <f t="array" ref="K64">IFERROR(VALUE(_xll.BDP($B64,"PX_YEST_CLOSE")),"")</f>
        <v>0.1447</v>
      </c>
      <c r="L64">
        <f t="shared" si="2"/>
        <v>6941.81</v>
      </c>
      <c r="M64">
        <f t="shared" si="39"/>
        <v>2.086013481294308E-5</v>
      </c>
      <c r="N64">
        <f t="shared" si="40"/>
        <v>2.0844707648293454E-5</v>
      </c>
      <c r="O64" cm="1">
        <f t="array" ref="O64">IFERROR(VALUE(_xll.BDP($B64,"INTERVAL_MAE_MOV_AVG","CALC_INTERVAL","520D","TECH_STUDIES_PARAM1_OVERRIDE",50,"USE_PREVIOUS_BUSINESS_DAY","N")),"")</f>
        <v>0.14319999999999999</v>
      </c>
      <c r="P64">
        <f t="shared" si="3"/>
        <v>6894.0953999999992</v>
      </c>
      <c r="Q64" cm="1">
        <f t="array" ref="Q64">IFERROR(VALUE(_xll.BDP($B64,"INTERVAL_MAE_MOV_AVG","CALC_INTERVAL","520D","TECH_STUDIES_PARAM1_OVERRIDE",50,"USE_PREVIOUS_BUSINESS_DAY","Y")),"")</f>
        <v>0.1431</v>
      </c>
      <c r="R64">
        <f t="shared" si="4"/>
        <v>6892.2477999999992</v>
      </c>
      <c r="S64">
        <f t="shared" si="41"/>
        <v>2.0771398086542292E-5</v>
      </c>
      <c r="T64">
        <f t="shared" si="42"/>
        <v>2.0762457205906034E-5</v>
      </c>
      <c r="U64" s="11" t="str">
        <f t="shared" si="43"/>
        <v>POSITIVE</v>
      </c>
      <c r="V64" s="11" t="str">
        <f t="shared" si="44"/>
        <v/>
      </c>
      <c r="W64" s="11" t="str">
        <f t="shared" si="45"/>
        <v>UP</v>
      </c>
      <c r="X64" s="6" t="str">
        <f t="shared" si="46"/>
        <v>POSITIVE</v>
      </c>
      <c r="Y64" cm="1">
        <f t="array" ref="Y64">IFERROR(VALUE(_xll.BDP($B64,"INTERVAL_MAE_MOV_AVG","CALC_INTERVAL","520D","TECH_STUDIES_PARAM1_OVERRIDE",65,"USE_PREVIOUS_BUSINESS_DAY","N")),"")</f>
        <v>0.14269999999999999</v>
      </c>
      <c r="Z64">
        <f t="shared" si="5"/>
        <v>6856.0226153846133</v>
      </c>
      <c r="AA64" cm="1">
        <f t="array" ref="AA64">IFERROR(VALUE(_xll.BDP($B64,"INTERVAL_MAE_MOV_AVG","CALC_INTERVAL","520D","TECH_STUDIES_PARAM1_OVERRIDE",65,"USE_PREVIOUS_BUSINESS_DAY","Y")),"")</f>
        <v>0.1426</v>
      </c>
      <c r="AB64">
        <f t="shared" si="6"/>
        <v>6852.6203076923057</v>
      </c>
      <c r="AC64">
        <f t="shared" si="47"/>
        <v>2.0813816990595607E-5</v>
      </c>
      <c r="AD64">
        <f t="shared" si="48"/>
        <v>2.0809558037226508E-5</v>
      </c>
      <c r="AE64" s="10" t="str">
        <f t="shared" si="49"/>
        <v>UP</v>
      </c>
      <c r="AF64" s="10" t="str">
        <f t="shared" si="50"/>
        <v>UP</v>
      </c>
      <c r="AG64" s="6" t="str">
        <f t="shared" si="51"/>
        <v>POSITIVE</v>
      </c>
      <c r="AH64" cm="1">
        <f t="array" ref="AH64">IFERROR(VALUE(_xll.BDP($B64,"INTERVAL_MAE_MOV_AVG","CALC_INTERVAL","65W","PERIODICITY_OVERRIDE","W","TECH_STUDIES_PARAM1_OVERRIDE",39,"USE_PREVIOUS_BUSINESS_DAY","N")),"")</f>
        <v>0.14080000000000001</v>
      </c>
      <c r="AI64">
        <f t="shared" si="7"/>
        <v>6560.7735897435905</v>
      </c>
      <c r="AJ64" cm="1">
        <f t="array" ref="AJ64">IFERROR(VALUE(_xll.BDP($B64,"INTERVAL_MAE_MOV_AVG","CALC_INTERVAL","65W","PERIODICITY_OVERRIDE","W","TECH_STUDIES_PARAM1_OVERRIDE",39,"USE_PREVIOUS_BUSINESS_DAY","Y")),"")</f>
        <v>0.14080000000000001</v>
      </c>
      <c r="AK64">
        <f t="shared" si="8"/>
        <v>6560.7823076923087</v>
      </c>
      <c r="AL64">
        <f t="shared" si="52"/>
        <v>2.1460883853713777E-5</v>
      </c>
      <c r="AM64">
        <f t="shared" si="53"/>
        <v>2.1460855336552851E-5</v>
      </c>
      <c r="AN64" s="10" t="str">
        <f t="shared" si="54"/>
        <v/>
      </c>
      <c r="AO64" s="10" t="str">
        <f t="shared" si="55"/>
        <v>UP</v>
      </c>
      <c r="AP64" s="6" t="str">
        <f t="shared" si="56"/>
        <v>NEGATIVE</v>
      </c>
      <c r="AQ64" cm="1">
        <f t="array" ref="AQ64">IFERROR(VALUE(_xll.BDP($B64,"INTERVAL_exp_MOV_AVG","CALC_INTERVAL","520D","TECH_STUDIES_PARAM1_OVERRIDE",100,"USE_PREVIOUS_BUSINESS_DAY","N")),"")</f>
        <v>0.14219999999999999</v>
      </c>
      <c r="AR64">
        <f t="shared" si="9"/>
        <v>6773.0064518682802</v>
      </c>
      <c r="AS64" cm="1">
        <f t="array" ref="AS64">IFERROR(VALUE(_xll.BDP($B64,"INTERVAL_exp_MOV_AVG","CALC_INTERVAL","520D","TECH_STUDIES_PARAM1_OVERRIDE",100,"USE_PREVIOUS_BUSINESS_DAY","Y")),"")</f>
        <v>0.14219999999999999</v>
      </c>
      <c r="AT64">
        <f t="shared" si="10"/>
        <v>6769.6039787132295</v>
      </c>
      <c r="AU64">
        <f t="shared" si="57"/>
        <v>2.0995107713322089E-5</v>
      </c>
      <c r="AV64">
        <f t="shared" si="58"/>
        <v>2.1005660072161188E-5</v>
      </c>
      <c r="AW64" s="11" t="str">
        <f t="shared" si="59"/>
        <v/>
      </c>
      <c r="AX64" s="11" t="str">
        <f t="shared" si="60"/>
        <v>DOWN</v>
      </c>
      <c r="AY64" s="6" t="str">
        <f t="shared" si="61"/>
        <v>NEGATIVE</v>
      </c>
      <c r="AZ64" s="12" cm="1">
        <f t="array" ref="AZ64">_xll.BDP($B64, "INTERVAL_RSI", "TECH_STUDIES_PARAM1_OVERRIDE", "5", "PERIODICITY_OVERRIDE", "W")</f>
        <v>88.519000000000005</v>
      </c>
      <c r="BA64" cm="1">
        <f t="array" ref="BA64">IFERROR(VALUE(_xll.BDP($B64,"INTERVAL_MAE_MOV_AVG","CALC_INTERVAL","520D","TECH_STUDIES_PARAM1_OVERRIDE",31,"USE_PREVIOUS_BUSINESS_DAY","N")),"")</f>
        <v>0.14380000000000001</v>
      </c>
      <c r="BB64" cm="1">
        <f t="array" ref="BB64">IFERROR(VALUE(_xll.BDP($B64,"INTERVAL_MAE_MOV_AVG","CALC_INTERVAL","760D","TECH_STUDIES_PARAM1_OVERRIDE",200,"USE_PREVIOUS_BUSINESS_DAY","N")),"")</f>
        <v>0.1406</v>
      </c>
      <c r="BC64" s="13">
        <f t="shared" si="62"/>
        <v>6.9541029207231819E-3</v>
      </c>
      <c r="BD64" s="13">
        <f t="shared" si="63"/>
        <v>1.1173184357541999E-2</v>
      </c>
      <c r="BE64" s="13">
        <f t="shared" si="64"/>
        <v>2.9871977240398362E-2</v>
      </c>
      <c r="BF64" s="14" cm="1">
        <f t="array" ref="BF64">VALUE(_xll.BDP($B64,"INTERVAL_DATE_OF_CALC_HI","CALC_INTERVAL","3M"))</f>
        <v>46063</v>
      </c>
      <c r="BG64" s="14" cm="1">
        <f t="array" ref="BG64">VALUE(_xll.BDP($B64,"INTERVAL_DATE_OF_CALC_LO","CALC_INTERVAL","3M"))</f>
        <v>45972</v>
      </c>
      <c r="BH64" s="14" cm="1">
        <f t="array" ref="BH64">VALUE(_xll.BDP($B64,"INTERVAL_DATE_OF_CALC_HI","CALC_INTERVAL","1M"))</f>
        <v>46063</v>
      </c>
      <c r="BI64" s="14" cm="1">
        <f t="array" ref="BI64">VALUE(_xll.BDP($B64,"INTERVAL_DATE_OF_CALC_LO","CALC_INTERVAL","1M"))</f>
        <v>46035</v>
      </c>
      <c r="BJ64" s="15">
        <f>$F64-MIN(_xll.BDP("NYA Index","RSI_14D"),_xll.BDP("RSP US Equity","RSI_14D"))</f>
        <v>6.4212358398437459</v>
      </c>
    </row>
    <row r="65" spans="1:62" x14ac:dyDescent="0.25">
      <c r="A65" s="11">
        <v>64</v>
      </c>
      <c r="B65" s="26" t="s">
        <v>628</v>
      </c>
      <c r="C65" s="1" t="s">
        <v>629</v>
      </c>
      <c r="D65" s="1" t="s">
        <v>593</v>
      </c>
      <c r="E65" s="11" t="s">
        <v>959</v>
      </c>
      <c r="F65">
        <f>IFERROR(VALUE((_xll.BDP($B65,"interval_rsi","tech_studies_param1_override",14))),"")</f>
        <v>80.843999999999994</v>
      </c>
      <c r="G65">
        <f t="shared" si="0"/>
        <v>52.525531939815814</v>
      </c>
      <c r="H65">
        <f t="shared" si="38"/>
        <v>1</v>
      </c>
      <c r="I65" cm="1">
        <f t="array" ref="I65">IFERROR(VALUE(_xll.BDP($B65,"px_last")),"")</f>
        <v>0.14468</v>
      </c>
      <c r="J65">
        <f t="shared" si="1"/>
        <v>6941.47</v>
      </c>
      <c r="K65" cm="1">
        <f t="array" ref="K65">IFERROR(VALUE(_xll.BDP($B65,"PX_YEST_CLOSE")),"")</f>
        <v>0.14468</v>
      </c>
      <c r="L65">
        <f t="shared" si="2"/>
        <v>6941.81</v>
      </c>
      <c r="M65">
        <f t="shared" si="39"/>
        <v>2.0842847408401965E-5</v>
      </c>
      <c r="N65">
        <f t="shared" si="40"/>
        <v>2.0841826555322026E-5</v>
      </c>
      <c r="O65" cm="1">
        <f t="array" ref="O65">IFERROR(VALUE(_xll.BDP($B65,"INTERVAL_MAE_MOV_AVG","CALC_INTERVAL","520D","TECH_STUDIES_PARAM1_OVERRIDE",50,"USE_PREVIOUS_BUSINESS_DAY","N")),"")</f>
        <v>0.14298</v>
      </c>
      <c r="P65">
        <f t="shared" si="3"/>
        <v>6894.0953999999992</v>
      </c>
      <c r="Q65" cm="1">
        <f t="array" ref="Q65">IFERROR(VALUE(_xll.BDP($B65,"INTERVAL_MAE_MOV_AVG","CALC_INTERVAL","520D","TECH_STUDIES_PARAM1_OVERRIDE",50,"USE_PREVIOUS_BUSINESS_DAY","Y")),"")</f>
        <v>0.14291000000000001</v>
      </c>
      <c r="R65">
        <f t="shared" si="4"/>
        <v>6892.2477999999992</v>
      </c>
      <c r="S65">
        <f t="shared" si="41"/>
        <v>2.0739486720766876E-5</v>
      </c>
      <c r="T65">
        <f t="shared" si="42"/>
        <v>2.0734890002068705E-5</v>
      </c>
      <c r="U65" s="11" t="str">
        <f t="shared" si="43"/>
        <v>POSITIVE</v>
      </c>
      <c r="V65" s="11" t="str">
        <f t="shared" si="44"/>
        <v/>
      </c>
      <c r="W65" s="11" t="str">
        <f t="shared" si="45"/>
        <v>UP</v>
      </c>
      <c r="X65" s="6" t="str">
        <f t="shared" si="46"/>
        <v>POSITIVE</v>
      </c>
      <c r="Y65" cm="1">
        <f t="array" ref="Y65">IFERROR(VALUE(_xll.BDP($B65,"INTERVAL_MAE_MOV_AVG","CALC_INTERVAL","520D","TECH_STUDIES_PARAM1_OVERRIDE",65,"USE_PREVIOUS_BUSINESS_DAY","N")),"")</f>
        <v>0.14249999999999999</v>
      </c>
      <c r="Z65">
        <f t="shared" si="5"/>
        <v>6856.0226153846133</v>
      </c>
      <c r="AA65" cm="1">
        <f t="array" ref="AA65">IFERROR(VALUE(_xll.BDP($B65,"INTERVAL_MAE_MOV_AVG","CALC_INTERVAL","520D","TECH_STUDIES_PARAM1_OVERRIDE",65,"USE_PREVIOUS_BUSINESS_DAY","Y")),"")</f>
        <v>0.14243</v>
      </c>
      <c r="AB65">
        <f t="shared" si="6"/>
        <v>6852.6203076923057</v>
      </c>
      <c r="AC65">
        <f t="shared" si="47"/>
        <v>2.0784645558233175E-5</v>
      </c>
      <c r="AD65">
        <f t="shared" si="48"/>
        <v>2.0784750008710881E-5</v>
      </c>
      <c r="AE65" s="10" t="str">
        <f t="shared" si="49"/>
        <v>UP</v>
      </c>
      <c r="AF65" s="10" t="str">
        <f t="shared" si="50"/>
        <v>DOWN</v>
      </c>
      <c r="AG65" s="6" t="str">
        <f t="shared" si="51"/>
        <v>POSITIVE</v>
      </c>
      <c r="AH65" cm="1">
        <f t="array" ref="AH65">IFERROR(VALUE(_xll.BDP($B65,"INTERVAL_MAE_MOV_AVG","CALC_INTERVAL","65W","PERIODICITY_OVERRIDE","W","TECH_STUDIES_PARAM1_OVERRIDE",39,"USE_PREVIOUS_BUSINESS_DAY","N")),"")</f>
        <v>0.14077999999999999</v>
      </c>
      <c r="AI65">
        <f t="shared" si="7"/>
        <v>6560.7735897435905</v>
      </c>
      <c r="AJ65" cm="1">
        <f t="array" ref="AJ65">IFERROR(VALUE(_xll.BDP($B65,"INTERVAL_MAE_MOV_AVG","CALC_INTERVAL","65W","PERIODICITY_OVERRIDE","W","TECH_STUDIES_PARAM1_OVERRIDE",39,"USE_PREVIOUS_BUSINESS_DAY","Y")),"")</f>
        <v>0.14077999999999999</v>
      </c>
      <c r="AK65">
        <f t="shared" si="8"/>
        <v>6560.7823076923087</v>
      </c>
      <c r="AL65">
        <f t="shared" si="52"/>
        <v>2.1457835432711828E-5</v>
      </c>
      <c r="AM65">
        <f t="shared" si="53"/>
        <v>2.1457806919601634E-5</v>
      </c>
      <c r="AN65" s="10" t="str">
        <f t="shared" si="54"/>
        <v/>
      </c>
      <c r="AO65" s="10" t="str">
        <f t="shared" si="55"/>
        <v>UP</v>
      </c>
      <c r="AP65" s="6" t="str">
        <f t="shared" si="56"/>
        <v>NEGATIVE</v>
      </c>
      <c r="AQ65" cm="1">
        <f t="array" ref="AQ65">IFERROR(VALUE(_xll.BDP($B65,"INTERVAL_exp_MOV_AVG","CALC_INTERVAL","520D","TECH_STUDIES_PARAM1_OVERRIDE",100,"USE_PREVIOUS_BUSINESS_DAY","N")),"")</f>
        <v>0.14208999999999999</v>
      </c>
      <c r="AR65">
        <f t="shared" si="9"/>
        <v>6773.0064518682802</v>
      </c>
      <c r="AS65" cm="1">
        <f t="array" ref="AS65">IFERROR(VALUE(_xll.BDP($B65,"INTERVAL_exp_MOV_AVG","CALC_INTERVAL","520D","TECH_STUDIES_PARAM1_OVERRIDE",100,"USE_PREVIOUS_BUSINESS_DAY","Y")),"")</f>
        <v>0.14204</v>
      </c>
      <c r="AT65">
        <f t="shared" si="10"/>
        <v>6769.6039787132295</v>
      </c>
      <c r="AU65">
        <f t="shared" si="57"/>
        <v>2.0978866772052991E-5</v>
      </c>
      <c r="AV65">
        <f t="shared" si="58"/>
        <v>2.0982025011601795E-5</v>
      </c>
      <c r="AW65" s="11" t="str">
        <f t="shared" si="59"/>
        <v>UP</v>
      </c>
      <c r="AX65" s="11" t="str">
        <f t="shared" si="60"/>
        <v>DOWN</v>
      </c>
      <c r="AY65" s="6" t="str">
        <f t="shared" si="61"/>
        <v>NEGATIVE</v>
      </c>
      <c r="AZ65" s="12" cm="1">
        <f t="array" ref="AZ65">_xll.BDP($B65, "INTERVAL_RSI", "TECH_STUDIES_PARAM1_OVERRIDE", "5", "PERIODICITY_OVERRIDE", "W")</f>
        <v>98.706000000000003</v>
      </c>
      <c r="BA65" cm="1">
        <f t="array" ref="BA65">IFERROR(VALUE(_xll.BDP($B65,"INTERVAL_MAE_MOV_AVG","CALC_INTERVAL","520D","TECH_STUDIES_PARAM1_OVERRIDE",31,"USE_PREVIOUS_BUSINESS_DAY","N")),"")</f>
        <v>0.14363999999999999</v>
      </c>
      <c r="BB65" cm="1">
        <f t="array" ref="BB65">IFERROR(VALUE(_xll.BDP($B65,"INTERVAL_MAE_MOV_AVG","CALC_INTERVAL","760D","TECH_STUDIES_PARAM1_OVERRIDE",200,"USE_PREVIOUS_BUSINESS_DAY","N")),"")</f>
        <v>0.14047999999999999</v>
      </c>
      <c r="BC65" s="13">
        <f t="shared" si="62"/>
        <v>7.2403230297968246E-3</v>
      </c>
      <c r="BD65" s="13">
        <f t="shared" si="63"/>
        <v>1.1889774793677477E-2</v>
      </c>
      <c r="BE65" s="13">
        <f t="shared" si="64"/>
        <v>2.9897494305239247E-2</v>
      </c>
      <c r="BF65" s="14" cm="1">
        <f t="array" ref="BF65">VALUE(_xll.BDP($B65,"INTERVAL_DATE_OF_CALC_HI","CALC_INTERVAL","3M"))</f>
        <v>46064</v>
      </c>
      <c r="BG65" s="14" cm="1">
        <f t="array" ref="BG65">VALUE(_xll.BDP($B65,"INTERVAL_DATE_OF_CALC_LO","CALC_INTERVAL","3M"))</f>
        <v>45972</v>
      </c>
      <c r="BH65" s="14" cm="1">
        <f t="array" ref="BH65">VALUE(_xll.BDP($B65,"INTERVAL_DATE_OF_CALC_HI","CALC_INTERVAL","1M"))</f>
        <v>46064</v>
      </c>
      <c r="BI65" s="14" cm="1">
        <f t="array" ref="BI65">VALUE(_xll.BDP($B65,"INTERVAL_DATE_OF_CALC_LO","CALC_INTERVAL","1M"))</f>
        <v>46035</v>
      </c>
      <c r="BJ65" s="15">
        <f>$F65-MIN(_xll.BDP("NYA Index","RSI_14D"),_xll.BDP("RSP US Equity","RSI_14D"))</f>
        <v>14.498235839843744</v>
      </c>
    </row>
    <row r="66" spans="1:62" x14ac:dyDescent="0.25">
      <c r="A66" s="11">
        <v>65</v>
      </c>
      <c r="B66" s="26" t="s">
        <v>630</v>
      </c>
      <c r="C66" s="1" t="s">
        <v>631</v>
      </c>
      <c r="D66" s="1" t="s">
        <v>593</v>
      </c>
      <c r="E66" s="11" t="s">
        <v>960</v>
      </c>
      <c r="F66">
        <f>IFERROR(VALUE((_xll.BDP($B66,"interval_rsi","tech_studies_param1_override",14))),"")</f>
        <v>52.018000000000001</v>
      </c>
      <c r="G66">
        <f t="shared" si="0"/>
        <v>52.525531939815814</v>
      </c>
      <c r="H66">
        <f t="shared" si="38"/>
        <v>0</v>
      </c>
      <c r="I66" cm="1">
        <f t="array" ref="I66">IFERROR(VALUE(_xll.BDP($B66,"px_last")),"")</f>
        <v>4.1200000000000001E-2</v>
      </c>
      <c r="J66">
        <f t="shared" si="1"/>
        <v>6941.47</v>
      </c>
      <c r="K66" cm="1">
        <f t="array" ref="K66">IFERROR(VALUE(_xll.BDP($B66,"PX_YEST_CLOSE")),"")</f>
        <v>4.1200000000000001E-2</v>
      </c>
      <c r="L66">
        <f t="shared" si="2"/>
        <v>6941.81</v>
      </c>
      <c r="M66">
        <f t="shared" si="39"/>
        <v>5.9353422257821467E-6</v>
      </c>
      <c r="N66">
        <f t="shared" si="40"/>
        <v>5.9350515211450611E-6</v>
      </c>
      <c r="O66" cm="1">
        <f t="array" ref="O66">IFERROR(VALUE(_xll.BDP($B66,"INTERVAL_MAE_MOV_AVG","CALC_INTERVAL","520D","TECH_STUDIES_PARAM1_OVERRIDE",50,"USE_PREVIOUS_BUSINESS_DAY","N")),"")</f>
        <v>4.1200000000000001E-2</v>
      </c>
      <c r="P66">
        <f t="shared" si="3"/>
        <v>6894.0953999999992</v>
      </c>
      <c r="Q66" cm="1">
        <f t="array" ref="Q66">IFERROR(VALUE(_xll.BDP($B66,"INTERVAL_MAE_MOV_AVG","CALC_INTERVAL","520D","TECH_STUDIES_PARAM1_OVERRIDE",50,"USE_PREVIOUS_BUSINESS_DAY","Y")),"")</f>
        <v>4.1200000000000001E-2</v>
      </c>
      <c r="R66">
        <f t="shared" si="4"/>
        <v>6892.2477999999992</v>
      </c>
      <c r="S66">
        <f t="shared" si="41"/>
        <v>5.9761284997593748E-6</v>
      </c>
      <c r="T66">
        <f t="shared" si="42"/>
        <v>5.9777305163055812E-6</v>
      </c>
      <c r="U66" s="11" t="str">
        <f t="shared" si="43"/>
        <v>NEGATIVE</v>
      </c>
      <c r="V66" s="11" t="str">
        <f t="shared" si="44"/>
        <v/>
      </c>
      <c r="W66" s="11" t="str">
        <f t="shared" si="45"/>
        <v>DOWN</v>
      </c>
      <c r="X66" s="6" t="str">
        <f t="shared" si="46"/>
        <v>NEGATIVE</v>
      </c>
      <c r="Y66" cm="1">
        <f t="array" ref="Y66">IFERROR(VALUE(_xll.BDP($B66,"INTERVAL_MAE_MOV_AVG","CALC_INTERVAL","520D","TECH_STUDIES_PARAM1_OVERRIDE",65,"USE_PREVIOUS_BUSINESS_DAY","N")),"")</f>
        <v>4.1200000000000001E-2</v>
      </c>
      <c r="Z66">
        <f t="shared" si="5"/>
        <v>6856.0226153846133</v>
      </c>
      <c r="AA66" cm="1">
        <f t="array" ref="AA66">IFERROR(VALUE(_xll.BDP($B66,"INTERVAL_MAE_MOV_AVG","CALC_INTERVAL","520D","TECH_STUDIES_PARAM1_OVERRIDE",65,"USE_PREVIOUS_BUSINESS_DAY","Y")),"")</f>
        <v>4.1200000000000001E-2</v>
      </c>
      <c r="AB66">
        <f t="shared" si="6"/>
        <v>6852.6203076923057</v>
      </c>
      <c r="AC66">
        <f t="shared" si="47"/>
        <v>6.0093150666611003E-6</v>
      </c>
      <c r="AD66">
        <f t="shared" si="48"/>
        <v>6.0122986755521185E-6</v>
      </c>
      <c r="AE66" s="10" t="str">
        <f t="shared" si="49"/>
        <v/>
      </c>
      <c r="AF66" s="10" t="str">
        <f t="shared" si="50"/>
        <v>DOWN</v>
      </c>
      <c r="AG66" s="6" t="str">
        <f t="shared" si="51"/>
        <v>NEGATIVE</v>
      </c>
      <c r="AH66" cm="1">
        <f t="array" ref="AH66">IFERROR(VALUE(_xll.BDP($B66,"INTERVAL_MAE_MOV_AVG","CALC_INTERVAL","65W","PERIODICITY_OVERRIDE","W","TECH_STUDIES_PARAM1_OVERRIDE",39,"USE_PREVIOUS_BUSINESS_DAY","N")),"")</f>
        <v>4.1000000000000002E-2</v>
      </c>
      <c r="AI66">
        <f t="shared" si="7"/>
        <v>6560.7735897435905</v>
      </c>
      <c r="AJ66" cm="1">
        <f t="array" ref="AJ66">IFERROR(VALUE(_xll.BDP($B66,"INTERVAL_MAE_MOV_AVG","CALC_INTERVAL","65W","PERIODICITY_OVERRIDE","W","TECH_STUDIES_PARAM1_OVERRIDE",39,"USE_PREVIOUS_BUSINESS_DAY","Y")),"")</f>
        <v>4.1000000000000002E-2</v>
      </c>
      <c r="AK66">
        <f t="shared" si="8"/>
        <v>6560.7823076923087</v>
      </c>
      <c r="AL66">
        <f t="shared" si="52"/>
        <v>6.2492630539933589E-6</v>
      </c>
      <c r="AM66">
        <f t="shared" si="53"/>
        <v>6.2492547499905319E-6</v>
      </c>
      <c r="AN66" s="10" t="str">
        <f t="shared" si="54"/>
        <v/>
      </c>
      <c r="AO66" s="10" t="str">
        <f t="shared" si="55"/>
        <v>UP</v>
      </c>
      <c r="AP66" s="6" t="str">
        <f t="shared" si="56"/>
        <v>NEGATIVE</v>
      </c>
      <c r="AQ66" cm="1">
        <f t="array" ref="AQ66">IFERROR(VALUE(_xll.BDP($B66,"INTERVAL_exp_MOV_AVG","CALC_INTERVAL","520D","TECH_STUDIES_PARAM1_OVERRIDE",100,"USE_PREVIOUS_BUSINESS_DAY","N")),"")</f>
        <v>4.1099999999999998E-2</v>
      </c>
      <c r="AR66">
        <f t="shared" si="9"/>
        <v>6773.0064518682802</v>
      </c>
      <c r="AS66" cm="1">
        <f t="array" ref="AS66">IFERROR(VALUE(_xll.BDP($B66,"INTERVAL_exp_MOV_AVG","CALC_INTERVAL","520D","TECH_STUDIES_PARAM1_OVERRIDE",100,"USE_PREVIOUS_BUSINESS_DAY","Y")),"")</f>
        <v>4.1099999999999998E-2</v>
      </c>
      <c r="AT66">
        <f t="shared" si="10"/>
        <v>6769.6039787132295</v>
      </c>
      <c r="AU66">
        <f t="shared" si="57"/>
        <v>6.0682062378167213E-6</v>
      </c>
      <c r="AV66">
        <f t="shared" si="58"/>
        <v>6.071256181194267E-6</v>
      </c>
      <c r="AW66" s="11" t="str">
        <f t="shared" si="59"/>
        <v/>
      </c>
      <c r="AX66" s="11" t="str">
        <f t="shared" si="60"/>
        <v>DOWN</v>
      </c>
      <c r="AY66" s="6" t="str">
        <f t="shared" si="61"/>
        <v>NEGATIVE</v>
      </c>
      <c r="AZ66" s="12" cm="1">
        <f t="array" ref="AZ66">_xll.BDP($B66, "INTERVAL_RSI", "TECH_STUDIES_PARAM1_OVERRIDE", "5", "PERIODICITY_OVERRIDE", "W")</f>
        <v>50.24</v>
      </c>
      <c r="BA66" cm="1">
        <f t="array" ref="BA66">IFERROR(VALUE(_xll.BDP($B66,"INTERVAL_MAE_MOV_AVG","CALC_INTERVAL","520D","TECH_STUDIES_PARAM1_OVERRIDE",31,"USE_PREVIOUS_BUSINESS_DAY","N")),"")</f>
        <v>4.1200000000000001E-2</v>
      </c>
      <c r="BB66" cm="1">
        <f t="array" ref="BB66">IFERROR(VALUE(_xll.BDP($B66,"INTERVAL_MAE_MOV_AVG","CALC_INTERVAL","760D","TECH_STUDIES_PARAM1_OVERRIDE",200,"USE_PREVIOUS_BUSINESS_DAY","N")),"")</f>
        <v>4.0899999999999999E-2</v>
      </c>
      <c r="BC66" s="13">
        <f t="shared" si="62"/>
        <v>0</v>
      </c>
      <c r="BD66" s="13">
        <f t="shared" si="63"/>
        <v>0</v>
      </c>
      <c r="BE66" s="13">
        <f t="shared" si="64"/>
        <v>7.3349633251833524E-3</v>
      </c>
      <c r="BF66" s="14" cm="1">
        <f t="array" ref="BF66">VALUE(_xll.BDP($B66,"INTERVAL_DATE_OF_CALC_HI","CALC_INTERVAL","3M"))</f>
        <v>45989</v>
      </c>
      <c r="BG66" s="14" cm="1">
        <f t="array" ref="BG66">VALUE(_xll.BDP($B66,"INTERVAL_DATE_OF_CALC_LO","CALC_INTERVAL","3M"))</f>
        <v>45999</v>
      </c>
      <c r="BH66" s="14" cm="1">
        <f t="array" ref="BH66">VALUE(_xll.BDP($B66,"INTERVAL_DATE_OF_CALC_HI","CALC_INTERVAL","1M"))</f>
        <v>46062</v>
      </c>
      <c r="BI66" s="14" cm="1">
        <f t="array" ref="BI66">VALUE(_xll.BDP($B66,"INTERVAL_DATE_OF_CALC_LO","CALC_INTERVAL","1M"))</f>
        <v>46034</v>
      </c>
      <c r="BJ66" s="15">
        <f>$F66-MIN(_xll.BDP("NYA Index","RSI_14D"),_xll.BDP("RSP US Equity","RSI_14D"))</f>
        <v>-14.327764160156249</v>
      </c>
    </row>
    <row r="67" spans="1:62" x14ac:dyDescent="0.25">
      <c r="A67" s="11">
        <v>66</v>
      </c>
      <c r="B67" s="26" t="s">
        <v>632</v>
      </c>
      <c r="C67" s="1" t="s">
        <v>633</v>
      </c>
      <c r="D67" s="1" t="s">
        <v>593</v>
      </c>
      <c r="E67" s="11" t="s">
        <v>959</v>
      </c>
      <c r="F67">
        <f>IFERROR(VALUE((_xll.BDP($B67,"interval_rsi","tech_studies_param1_override",14))),"")</f>
        <v>56.646000000000001</v>
      </c>
      <c r="G67">
        <f t="shared" si="0"/>
        <v>52.525531939815814</v>
      </c>
      <c r="H67">
        <f t="shared" si="38"/>
        <v>0</v>
      </c>
      <c r="I67" cm="1">
        <f t="array" ref="I67">IFERROR(VALUE(_xll.BDP($B67,"px_last")),"")</f>
        <v>4.8977E-2</v>
      </c>
      <c r="J67">
        <f t="shared" si="1"/>
        <v>6941.47</v>
      </c>
      <c r="K67" cm="1">
        <f t="array" ref="K67">IFERROR(VALUE(_xll.BDP($B67,"PX_YEST_CLOSE")),"")</f>
        <v>4.8973999999999997E-2</v>
      </c>
      <c r="L67">
        <f t="shared" si="2"/>
        <v>6941.81</v>
      </c>
      <c r="M67">
        <f t="shared" si="39"/>
        <v>7.0557101017507814E-6</v>
      </c>
      <c r="N67">
        <f t="shared" si="40"/>
        <v>7.0549323591397623E-6</v>
      </c>
      <c r="O67" cm="1">
        <f t="array" ref="O67">IFERROR(VALUE(_xll.BDP($B67,"INTERVAL_MAE_MOV_AVG","CALC_INTERVAL","520D","TECH_STUDIES_PARAM1_OVERRIDE",50,"USE_PREVIOUS_BUSINESS_DAY","N")),"")</f>
        <v>4.8419999999999998E-2</v>
      </c>
      <c r="P67">
        <f t="shared" si="3"/>
        <v>6894.0953999999992</v>
      </c>
      <c r="Q67" cm="1">
        <f t="array" ref="Q67">IFERROR(VALUE(_xll.BDP($B67,"INTERVAL_MAE_MOV_AVG","CALC_INTERVAL","520D","TECH_STUDIES_PARAM1_OVERRIDE",50,"USE_PREVIOUS_BUSINESS_DAY","Y")),"")</f>
        <v>4.8408E-2</v>
      </c>
      <c r="R67">
        <f t="shared" si="4"/>
        <v>6892.2477999999992</v>
      </c>
      <c r="S67">
        <f t="shared" si="41"/>
        <v>7.0234015038434199E-6</v>
      </c>
      <c r="T67">
        <f t="shared" si="42"/>
        <v>7.0235431755660334E-6</v>
      </c>
      <c r="U67" s="11" t="str">
        <f t="shared" si="43"/>
        <v>NEGATIVE</v>
      </c>
      <c r="V67" s="11" t="str">
        <f t="shared" si="44"/>
        <v/>
      </c>
      <c r="W67" s="11" t="str">
        <f t="shared" si="45"/>
        <v>DOWN</v>
      </c>
      <c r="X67" s="6" t="str">
        <f t="shared" si="46"/>
        <v>POSITIVE</v>
      </c>
      <c r="Y67" cm="1">
        <f t="array" ref="Y67">IFERROR(VALUE(_xll.BDP($B67,"INTERVAL_MAE_MOV_AVG","CALC_INTERVAL","520D","TECH_STUDIES_PARAM1_OVERRIDE",65,"USE_PREVIOUS_BUSINESS_DAY","N")),"")</f>
        <v>4.8311E-2</v>
      </c>
      <c r="Z67">
        <f t="shared" si="5"/>
        <v>6856.0226153846133</v>
      </c>
      <c r="AA67" cm="1">
        <f t="array" ref="AA67">IFERROR(VALUE(_xll.BDP($B67,"INTERVAL_MAE_MOV_AVG","CALC_INTERVAL","520D","TECH_STUDIES_PARAM1_OVERRIDE",65,"USE_PREVIOUS_BUSINESS_DAY","Y")),"")</f>
        <v>4.8293999999999997E-2</v>
      </c>
      <c r="AB67">
        <f t="shared" si="6"/>
        <v>6852.6203076923057</v>
      </c>
      <c r="AC67">
        <f t="shared" si="47"/>
        <v>7.0465053443073892E-6</v>
      </c>
      <c r="AD67">
        <f t="shared" si="48"/>
        <v>7.0475231125513107E-6</v>
      </c>
      <c r="AE67" s="10" t="str">
        <f t="shared" si="49"/>
        <v>UP</v>
      </c>
      <c r="AF67" s="10" t="str">
        <f t="shared" si="50"/>
        <v>DOWN</v>
      </c>
      <c r="AG67" s="6" t="str">
        <f t="shared" si="51"/>
        <v>POSITIVE</v>
      </c>
      <c r="AH67" cm="1">
        <f t="array" ref="AH67">IFERROR(VALUE(_xll.BDP($B67,"INTERVAL_MAE_MOV_AVG","CALC_INTERVAL","65W","PERIODICITY_OVERRIDE","W","TECH_STUDIES_PARAM1_OVERRIDE",39,"USE_PREVIOUS_BUSINESS_DAY","N")),"")</f>
        <v>4.7759999999999997E-2</v>
      </c>
      <c r="AI67">
        <f t="shared" si="7"/>
        <v>6560.7735897435905</v>
      </c>
      <c r="AJ67" cm="1">
        <f t="array" ref="AJ67">IFERROR(VALUE(_xll.BDP($B67,"INTERVAL_MAE_MOV_AVG","CALC_INTERVAL","65W","PERIODICITY_OVERRIDE","W","TECH_STUDIES_PARAM1_OVERRIDE",39,"USE_PREVIOUS_BUSINESS_DAY","Y")),"")</f>
        <v>4.7761999999999999E-2</v>
      </c>
      <c r="AK67">
        <f t="shared" si="8"/>
        <v>6560.7823076923087</v>
      </c>
      <c r="AL67">
        <f t="shared" si="52"/>
        <v>7.2796293526517752E-6</v>
      </c>
      <c r="AM67">
        <f t="shared" si="53"/>
        <v>7.279924521196287E-6</v>
      </c>
      <c r="AN67" s="10" t="str">
        <f t="shared" si="54"/>
        <v>DOWN</v>
      </c>
      <c r="AO67" s="10" t="str">
        <f t="shared" si="55"/>
        <v>DOWN</v>
      </c>
      <c r="AP67" s="6" t="str">
        <f t="shared" si="56"/>
        <v>NEGATIVE</v>
      </c>
      <c r="AQ67" cm="1">
        <f t="array" ref="AQ67">IFERROR(VALUE(_xll.BDP($B67,"INTERVAL_exp_MOV_AVG","CALC_INTERVAL","520D","TECH_STUDIES_PARAM1_OVERRIDE",100,"USE_PREVIOUS_BUSINESS_DAY","N")),"")</f>
        <v>4.8125000000000001E-2</v>
      </c>
      <c r="AR67">
        <f t="shared" si="9"/>
        <v>6773.0064518682802</v>
      </c>
      <c r="AS67" cm="1">
        <f t="array" ref="AS67">IFERROR(VALUE(_xll.BDP($B67,"INTERVAL_exp_MOV_AVG","CALC_INTERVAL","520D","TECH_STUDIES_PARAM1_OVERRIDE",100,"USE_PREVIOUS_BUSINESS_DAY","Y")),"")</f>
        <v>4.8107999999999998E-2</v>
      </c>
      <c r="AT67">
        <f t="shared" si="10"/>
        <v>6769.6039787132295</v>
      </c>
      <c r="AU67">
        <f t="shared" si="57"/>
        <v>7.1054118052294343E-6</v>
      </c>
      <c r="AV67">
        <f t="shared" si="58"/>
        <v>7.1064718336957133E-6</v>
      </c>
      <c r="AW67" s="11" t="str">
        <f t="shared" si="59"/>
        <v>UP</v>
      </c>
      <c r="AX67" s="11" t="str">
        <f t="shared" si="60"/>
        <v>DOWN</v>
      </c>
      <c r="AY67" s="6" t="str">
        <f t="shared" si="61"/>
        <v>NEGATIVE</v>
      </c>
      <c r="AZ67" s="12" cm="1">
        <f t="array" ref="AZ67">_xll.BDP($B67, "INTERVAL_RSI", "TECH_STUDIES_PARAM1_OVERRIDE", "5", "PERIODICITY_OVERRIDE", "W")</f>
        <v>72.123999999999995</v>
      </c>
      <c r="BA67" cm="1">
        <f t="array" ref="BA67">IFERROR(VALUE(_xll.BDP($B67,"INTERVAL_MAE_MOV_AVG","CALC_INTERVAL","520D","TECH_STUDIES_PARAM1_OVERRIDE",31,"USE_PREVIOUS_BUSINESS_DAY","N")),"")</f>
        <v>4.8494000000000002E-2</v>
      </c>
      <c r="BB67" cm="1">
        <f t="array" ref="BB67">IFERROR(VALUE(_xll.BDP($B67,"INTERVAL_MAE_MOV_AVG","CALC_INTERVAL","760D","TECH_STUDIES_PARAM1_OVERRIDE",200,"USE_PREVIOUS_BUSINESS_DAY","N")),"")</f>
        <v>4.7576E-2</v>
      </c>
      <c r="BC67" s="13">
        <f t="shared" si="62"/>
        <v>9.9599950509341451E-3</v>
      </c>
      <c r="BD67" s="13">
        <f t="shared" si="63"/>
        <v>1.1503510945890083E-2</v>
      </c>
      <c r="BE67" s="13">
        <f t="shared" si="64"/>
        <v>2.9447620649066808E-2</v>
      </c>
      <c r="BF67" s="14" cm="1">
        <f t="array" ref="BF67">VALUE(_xll.BDP($B67,"INTERVAL_DATE_OF_CALC_HI","CALC_INTERVAL","3M"))</f>
        <v>46049</v>
      </c>
      <c r="BG67" s="14" cm="1">
        <f t="array" ref="BG67">VALUE(_xll.BDP($B67,"INTERVAL_DATE_OF_CALC_LO","CALC_INTERVAL","3M"))</f>
        <v>45982</v>
      </c>
      <c r="BH67" s="14" cm="1">
        <f t="array" ref="BH67">VALUE(_xll.BDP($B67,"INTERVAL_DATE_OF_CALC_HI","CALC_INTERVAL","1M"))</f>
        <v>46049</v>
      </c>
      <c r="BI67" s="14" cm="1">
        <f t="array" ref="BI67">VALUE(_xll.BDP($B67,"INTERVAL_DATE_OF_CALC_LO","CALC_INTERVAL","1M"))</f>
        <v>46037</v>
      </c>
      <c r="BJ67" s="15">
        <f>$F67-MIN(_xll.BDP("NYA Index","RSI_14D"),_xll.BDP("RSP US Equity","RSI_14D"))</f>
        <v>-9.6997641601562492</v>
      </c>
    </row>
    <row r="68" spans="1:62" x14ac:dyDescent="0.25">
      <c r="A68" s="11">
        <v>67</v>
      </c>
      <c r="B68" s="26" t="s">
        <v>634</v>
      </c>
      <c r="C68" s="1" t="s">
        <v>635</v>
      </c>
      <c r="D68" s="1" t="s">
        <v>593</v>
      </c>
      <c r="E68" s="11" t="s">
        <v>960</v>
      </c>
      <c r="F68">
        <f>IFERROR(VALUE((_xll.BDP($B68,"interval_rsi","tech_studies_param1_override",14))),"")</f>
        <v>53.65</v>
      </c>
      <c r="G68">
        <f t="shared" si="0"/>
        <v>52.525531939815814</v>
      </c>
      <c r="H68">
        <f t="shared" si="38"/>
        <v>0</v>
      </c>
      <c r="I68" cm="1">
        <f t="array" ref="I68">IFERROR(VALUE(_xll.BDP($B68,"px_last")),"")</f>
        <v>0.13389999999999999</v>
      </c>
      <c r="J68">
        <f t="shared" si="1"/>
        <v>6941.47</v>
      </c>
      <c r="K68" cm="1">
        <f t="array" ref="K68">IFERROR(VALUE(_xll.BDP($B68,"PX_YEST_CLOSE")),"")</f>
        <v>0.13389999999999999</v>
      </c>
      <c r="L68">
        <f t="shared" si="2"/>
        <v>6941.81</v>
      </c>
      <c r="M68">
        <f t="shared" si="39"/>
        <v>1.9289862233791975E-5</v>
      </c>
      <c r="N68">
        <f t="shared" si="40"/>
        <v>1.9288917443721449E-5</v>
      </c>
      <c r="O68" cm="1">
        <f t="array" ref="O68">IFERROR(VALUE(_xll.BDP($B68,"INTERVAL_MAE_MOV_AVG","CALC_INTERVAL","520D","TECH_STUDIES_PARAM1_OVERRIDE",50,"USE_PREVIOUS_BUSINESS_DAY","N")),"")</f>
        <v>0.13389999999999999</v>
      </c>
      <c r="P68">
        <f t="shared" si="3"/>
        <v>6894.0953999999992</v>
      </c>
      <c r="Q68" cm="1">
        <f t="array" ref="Q68">IFERROR(VALUE(_xll.BDP($B68,"INTERVAL_MAE_MOV_AVG","CALC_INTERVAL","520D","TECH_STUDIES_PARAM1_OVERRIDE",50,"USE_PREVIOUS_BUSINESS_DAY","Y")),"")</f>
        <v>0.13389999999999999</v>
      </c>
      <c r="R68">
        <f t="shared" si="4"/>
        <v>6892.2477999999992</v>
      </c>
      <c r="S68">
        <f t="shared" si="41"/>
        <v>1.9422417624217965E-5</v>
      </c>
      <c r="T68">
        <f t="shared" si="42"/>
        <v>1.9427624177993138E-5</v>
      </c>
      <c r="U68" s="11" t="str">
        <f t="shared" si="43"/>
        <v>NEGATIVE</v>
      </c>
      <c r="V68" s="11" t="str">
        <f t="shared" si="44"/>
        <v/>
      </c>
      <c r="W68" s="11" t="str">
        <f t="shared" si="45"/>
        <v>DOWN</v>
      </c>
      <c r="X68" s="6" t="str">
        <f t="shared" si="46"/>
        <v>NEGATIVE</v>
      </c>
      <c r="Y68" cm="1">
        <f t="array" ref="Y68">IFERROR(VALUE(_xll.BDP($B68,"INTERVAL_MAE_MOV_AVG","CALC_INTERVAL","520D","TECH_STUDIES_PARAM1_OVERRIDE",65,"USE_PREVIOUS_BUSINESS_DAY","N")),"")</f>
        <v>0.13389999999999999</v>
      </c>
      <c r="Z68">
        <f t="shared" si="5"/>
        <v>6856.0226153846133</v>
      </c>
      <c r="AA68" cm="1">
        <f t="array" ref="AA68">IFERROR(VALUE(_xll.BDP($B68,"INTERVAL_MAE_MOV_AVG","CALC_INTERVAL","520D","TECH_STUDIES_PARAM1_OVERRIDE",65,"USE_PREVIOUS_BUSINESS_DAY","Y")),"")</f>
        <v>0.13389999999999999</v>
      </c>
      <c r="AB68">
        <f t="shared" si="6"/>
        <v>6852.6203076923057</v>
      </c>
      <c r="AC68">
        <f t="shared" si="47"/>
        <v>1.9530273966648576E-5</v>
      </c>
      <c r="AD68">
        <f t="shared" si="48"/>
        <v>1.9539970695544385E-5</v>
      </c>
      <c r="AE68" s="10" t="str">
        <f t="shared" si="49"/>
        <v/>
      </c>
      <c r="AF68" s="10" t="str">
        <f t="shared" si="50"/>
        <v>DOWN</v>
      </c>
      <c r="AG68" s="6" t="str">
        <f t="shared" si="51"/>
        <v>NEGATIVE</v>
      </c>
      <c r="AH68" cm="1">
        <f t="array" ref="AH68">IFERROR(VALUE(_xll.BDP($B68,"INTERVAL_MAE_MOV_AVG","CALC_INTERVAL","65W","PERIODICITY_OVERRIDE","W","TECH_STUDIES_PARAM1_OVERRIDE",39,"USE_PREVIOUS_BUSINESS_DAY","N")),"")</f>
        <v>0.13389999999999999</v>
      </c>
      <c r="AI68">
        <f t="shared" si="7"/>
        <v>6560.7735897435905</v>
      </c>
      <c r="AJ68" cm="1">
        <f t="array" ref="AJ68">IFERROR(VALUE(_xll.BDP($B68,"INTERVAL_MAE_MOV_AVG","CALC_INTERVAL","65W","PERIODICITY_OVERRIDE","W","TECH_STUDIES_PARAM1_OVERRIDE",39,"USE_PREVIOUS_BUSINESS_DAY","Y")),"")</f>
        <v>0.13389999999999999</v>
      </c>
      <c r="AK68">
        <f t="shared" si="8"/>
        <v>6560.7823076923087</v>
      </c>
      <c r="AL68">
        <f t="shared" si="52"/>
        <v>2.0409178608041725E-5</v>
      </c>
      <c r="AM68">
        <f t="shared" si="53"/>
        <v>2.0409151488383711E-5</v>
      </c>
      <c r="AN68" s="10" t="str">
        <f t="shared" si="54"/>
        <v/>
      </c>
      <c r="AO68" s="10" t="str">
        <f t="shared" si="55"/>
        <v>UP</v>
      </c>
      <c r="AP68" s="6" t="str">
        <f t="shared" si="56"/>
        <v>NEGATIVE</v>
      </c>
      <c r="AQ68" cm="1">
        <f t="array" ref="AQ68">IFERROR(VALUE(_xll.BDP($B68,"INTERVAL_exp_MOV_AVG","CALC_INTERVAL","520D","TECH_STUDIES_PARAM1_OVERRIDE",100,"USE_PREVIOUS_BUSINESS_DAY","N")),"")</f>
        <v>0.13389999999999999</v>
      </c>
      <c r="AR68">
        <f t="shared" si="9"/>
        <v>6773.0064518682802</v>
      </c>
      <c r="AS68" cm="1">
        <f t="array" ref="AS68">IFERROR(VALUE(_xll.BDP($B68,"INTERVAL_exp_MOV_AVG","CALC_INTERVAL","520D","TECH_STUDIES_PARAM1_OVERRIDE",100,"USE_PREVIOUS_BUSINESS_DAY","Y")),"")</f>
        <v>0.13389999999999999</v>
      </c>
      <c r="AT68">
        <f t="shared" si="10"/>
        <v>6769.6039787132295</v>
      </c>
      <c r="AU68">
        <f t="shared" si="57"/>
        <v>1.9769654872108493E-5</v>
      </c>
      <c r="AV68">
        <f t="shared" si="58"/>
        <v>1.9779591305642635E-5</v>
      </c>
      <c r="AW68" s="11" t="str">
        <f t="shared" si="59"/>
        <v/>
      </c>
      <c r="AX68" s="11" t="str">
        <f t="shared" si="60"/>
        <v>DOWN</v>
      </c>
      <c r="AY68" s="6" t="str">
        <f t="shared" si="61"/>
        <v>NEGATIVE</v>
      </c>
      <c r="AZ68" s="12" cm="1">
        <f t="array" ref="AZ68">_xll.BDP($B68, "INTERVAL_RSI", "TECH_STUDIES_PARAM1_OVERRIDE", "5", "PERIODICITY_OVERRIDE", "W")</f>
        <v>40.372999999999998</v>
      </c>
      <c r="BA68" cm="1">
        <f t="array" ref="BA68">IFERROR(VALUE(_xll.BDP($B68,"INTERVAL_MAE_MOV_AVG","CALC_INTERVAL","520D","TECH_STUDIES_PARAM1_OVERRIDE",31,"USE_PREVIOUS_BUSINESS_DAY","N")),"")</f>
        <v>0.13389999999999999</v>
      </c>
      <c r="BB68" cm="1">
        <f t="array" ref="BB68">IFERROR(VALUE(_xll.BDP($B68,"INTERVAL_MAE_MOV_AVG","CALC_INTERVAL","760D","TECH_STUDIES_PARAM1_OVERRIDE",200,"USE_PREVIOUS_BUSINESS_DAY","N")),"")</f>
        <v>0.13400000000000001</v>
      </c>
      <c r="BC68" s="13">
        <f t="shared" si="62"/>
        <v>0</v>
      </c>
      <c r="BD68" s="13">
        <f t="shared" si="63"/>
        <v>0</v>
      </c>
      <c r="BE68" s="13">
        <f t="shared" si="64"/>
        <v>-7.4626865671656439E-4</v>
      </c>
      <c r="BF68" s="14" cm="1">
        <f t="array" ref="BF68">VALUE(_xll.BDP($B68,"INTERVAL_DATE_OF_CALC_HI","CALC_INTERVAL","3M"))</f>
        <v>45972</v>
      </c>
      <c r="BG68" s="14" cm="1">
        <f t="array" ref="BG68">VALUE(_xll.BDP($B68,"INTERVAL_DATE_OF_CALC_LO","CALC_INTERVAL","3M"))</f>
        <v>46029</v>
      </c>
      <c r="BH68" s="14" cm="1">
        <f t="array" ref="BH68">VALUE(_xll.BDP($B68,"INTERVAL_DATE_OF_CALC_HI","CALC_INTERVAL","1M"))</f>
        <v>46036</v>
      </c>
      <c r="BI68" s="14" cm="1">
        <f t="array" ref="BI68">VALUE(_xll.BDP($B68,"INTERVAL_DATE_OF_CALC_LO","CALC_INTERVAL","1M"))</f>
        <v>46034</v>
      </c>
      <c r="BJ68" s="15">
        <f>$F68-MIN(_xll.BDP("NYA Index","RSI_14D"),_xll.BDP("RSP US Equity","RSI_14D"))</f>
        <v>-12.695764160156251</v>
      </c>
    </row>
    <row r="69" spans="1:62" x14ac:dyDescent="0.25">
      <c r="A69" s="11">
        <v>68</v>
      </c>
      <c r="B69" s="26" t="s">
        <v>636</v>
      </c>
      <c r="C69" s="1" t="s">
        <v>637</v>
      </c>
      <c r="D69" s="1" t="s">
        <v>593</v>
      </c>
      <c r="E69" s="11" t="s">
        <v>787</v>
      </c>
      <c r="F69">
        <f>IFERROR(VALUE((_xll.BDP($B69,"interval_rsi","tech_studies_param1_override",14))),"")</f>
        <v>39.252000000000002</v>
      </c>
      <c r="G69">
        <f t="shared" si="0"/>
        <v>52.525531939815814</v>
      </c>
      <c r="H69">
        <f t="shared" si="38"/>
        <v>0</v>
      </c>
      <c r="I69" cm="1">
        <f t="array" ref="I69">IFERROR(VALUE(_xll.BDP($B69,"px_last")),"")</f>
        <v>24.346900000000002</v>
      </c>
      <c r="J69">
        <f t="shared" si="1"/>
        <v>6941.47</v>
      </c>
      <c r="K69" cm="1">
        <f t="array" ref="K69">IFERROR(VALUE(_xll.BDP($B69,"PX_YEST_CLOSE")),"")</f>
        <v>24.3523</v>
      </c>
      <c r="L69">
        <f t="shared" si="2"/>
        <v>6941.81</v>
      </c>
      <c r="M69">
        <f t="shared" si="39"/>
        <v>3.5074559135168776E-3</v>
      </c>
      <c r="N69">
        <f t="shared" si="40"/>
        <v>3.5080620184073028E-3</v>
      </c>
      <c r="O69" cm="1">
        <f t="array" ref="O69">IFERROR(VALUE(_xll.BDP($B69,"INTERVAL_MAE_MOV_AVG","CALC_INTERVAL","520D","TECH_STUDIES_PARAM1_OVERRIDE",50,"USE_PREVIOUS_BUSINESS_DAY","N")),"")</f>
        <v>24.583500000000001</v>
      </c>
      <c r="P69">
        <f t="shared" si="3"/>
        <v>6894.0953999999992</v>
      </c>
      <c r="Q69" cm="1">
        <f t="array" ref="Q69">IFERROR(VALUE(_xll.BDP($B69,"INTERVAL_MAE_MOV_AVG","CALC_INTERVAL","520D","TECH_STUDIES_PARAM1_OVERRIDE",50,"USE_PREVIOUS_BUSINESS_DAY","Y")),"")</f>
        <v>24.581600000000002</v>
      </c>
      <c r="R69">
        <f t="shared" si="4"/>
        <v>6892.2477999999992</v>
      </c>
      <c r="S69">
        <f t="shared" si="41"/>
        <v>3.5658775479086064E-3</v>
      </c>
      <c r="T69">
        <f t="shared" si="42"/>
        <v>3.5665577781460503E-3</v>
      </c>
      <c r="U69" s="11" t="str">
        <f t="shared" si="43"/>
        <v>NEGATIVE</v>
      </c>
      <c r="V69" s="11" t="str">
        <f t="shared" si="44"/>
        <v/>
      </c>
      <c r="W69" s="11" t="str">
        <f t="shared" si="45"/>
        <v>DOWN</v>
      </c>
      <c r="X69" s="6" t="str">
        <f t="shared" si="46"/>
        <v>NEGATIVE</v>
      </c>
      <c r="Y69" cm="1">
        <f t="array" ref="Y69">IFERROR(VALUE(_xll.BDP($B69,"INTERVAL_MAE_MOV_AVG","CALC_INTERVAL","520D","TECH_STUDIES_PARAM1_OVERRIDE",65,"USE_PREVIOUS_BUSINESS_DAY","N")),"")</f>
        <v>24.4938</v>
      </c>
      <c r="Z69">
        <f t="shared" si="5"/>
        <v>6856.0226153846133</v>
      </c>
      <c r="AA69" cm="1">
        <f t="array" ref="AA69">IFERROR(VALUE(_xll.BDP($B69,"INTERVAL_MAE_MOV_AVG","CALC_INTERVAL","520D","TECH_STUDIES_PARAM1_OVERRIDE",65,"USE_PREVIOUS_BUSINESS_DAY","Y")),"")</f>
        <v>24.488900000000001</v>
      </c>
      <c r="AB69">
        <f t="shared" si="6"/>
        <v>6852.6203076923057</v>
      </c>
      <c r="AC69">
        <f t="shared" si="47"/>
        <v>3.5725961499947492E-3</v>
      </c>
      <c r="AD69">
        <f t="shared" si="48"/>
        <v>3.5736548795079681E-3</v>
      </c>
      <c r="AE69" s="10" t="str">
        <f t="shared" si="49"/>
        <v>UP</v>
      </c>
      <c r="AF69" s="10" t="str">
        <f t="shared" si="50"/>
        <v>DOWN</v>
      </c>
      <c r="AG69" s="6" t="str">
        <f t="shared" si="51"/>
        <v>NEGATIVE</v>
      </c>
      <c r="AH69" cm="1">
        <f t="array" ref="AH69">IFERROR(VALUE(_xll.BDP($B69,"INTERVAL_MAE_MOV_AVG","CALC_INTERVAL","65W","PERIODICITY_OVERRIDE","W","TECH_STUDIES_PARAM1_OVERRIDE",39,"USE_PREVIOUS_BUSINESS_DAY","N")),"")</f>
        <v>23.542200000000001</v>
      </c>
      <c r="AI69">
        <f t="shared" si="7"/>
        <v>6560.7735897435905</v>
      </c>
      <c r="AJ69" cm="1">
        <f t="array" ref="AJ69">IFERROR(VALUE(_xll.BDP($B69,"INTERVAL_MAE_MOV_AVG","CALC_INTERVAL","65W","PERIODICITY_OVERRIDE","W","TECH_STUDIES_PARAM1_OVERRIDE",39,"USE_PREVIOUS_BUSINESS_DAY","Y")),"")</f>
        <v>23.548100000000002</v>
      </c>
      <c r="AK69">
        <f t="shared" si="8"/>
        <v>6560.7823076923087</v>
      </c>
      <c r="AL69">
        <f t="shared" si="52"/>
        <v>3.5883268456029867E-3</v>
      </c>
      <c r="AM69">
        <f t="shared" si="53"/>
        <v>3.5892213604451716E-3</v>
      </c>
      <c r="AN69" s="10" t="str">
        <f t="shared" si="54"/>
        <v>DOWN</v>
      </c>
      <c r="AO69" s="10" t="str">
        <f t="shared" si="55"/>
        <v>DOWN</v>
      </c>
      <c r="AP69" s="6" t="str">
        <f t="shared" si="56"/>
        <v>NEGATIVE</v>
      </c>
      <c r="AQ69" cm="1">
        <f t="array" ref="AQ69">IFERROR(VALUE(_xll.BDP($B69,"INTERVAL_exp_MOV_AVG","CALC_INTERVAL","520D","TECH_STUDIES_PARAM1_OVERRIDE",100,"USE_PREVIOUS_BUSINESS_DAY","N")),"")</f>
        <v>24.188700000000001</v>
      </c>
      <c r="AR69">
        <f t="shared" si="9"/>
        <v>6773.0064518682802</v>
      </c>
      <c r="AS69" cm="1">
        <f t="array" ref="AS69">IFERROR(VALUE(_xll.BDP($B69,"INTERVAL_exp_MOV_AVG","CALC_INTERVAL","520D","TECH_STUDIES_PARAM1_OVERRIDE",100,"USE_PREVIOUS_BUSINESS_DAY","Y")),"")</f>
        <v>24.185400000000001</v>
      </c>
      <c r="AT69">
        <f t="shared" si="10"/>
        <v>6769.6039787132295</v>
      </c>
      <c r="AU69">
        <f t="shared" si="57"/>
        <v>3.5713386915979888E-3</v>
      </c>
      <c r="AV69">
        <f t="shared" si="58"/>
        <v>3.5726462103322591E-3</v>
      </c>
      <c r="AW69" s="11" t="str">
        <f t="shared" si="59"/>
        <v>UP</v>
      </c>
      <c r="AX69" s="11" t="str">
        <f t="shared" si="60"/>
        <v>DOWN</v>
      </c>
      <c r="AY69" s="6" t="str">
        <f t="shared" si="61"/>
        <v>NEGATIVE</v>
      </c>
      <c r="AZ69" s="12" cm="1">
        <f t="array" ref="AZ69">_xll.BDP($B69, "INTERVAL_RSI", "TECH_STUDIES_PARAM1_OVERRIDE", "5", "PERIODICITY_OVERRIDE", "W")</f>
        <v>40.274000000000001</v>
      </c>
      <c r="BA69" cm="1">
        <f t="array" ref="BA69">IFERROR(VALUE(_xll.BDP($B69,"INTERVAL_MAE_MOV_AVG","CALC_INTERVAL","520D","TECH_STUDIES_PARAM1_OVERRIDE",31,"USE_PREVIOUS_BUSINESS_DAY","N")),"")</f>
        <v>24.642399999999999</v>
      </c>
      <c r="BB69" cm="1">
        <f t="array" ref="BB69">IFERROR(VALUE(_xll.BDP($B69,"INTERVAL_MAE_MOV_AVG","CALC_INTERVAL","760D","TECH_STUDIES_PARAM1_OVERRIDE",200,"USE_PREVIOUS_BUSINESS_DAY","N")),"")</f>
        <v>23.453700000000001</v>
      </c>
      <c r="BC69" s="13">
        <f t="shared" si="62"/>
        <v>-1.1991526799337571E-2</v>
      </c>
      <c r="BD69" s="13">
        <f t="shared" si="63"/>
        <v>-9.624341529887892E-3</v>
      </c>
      <c r="BE69" s="13">
        <f t="shared" si="64"/>
        <v>3.808354332152275E-2</v>
      </c>
      <c r="BF69" s="14" cm="1">
        <f t="array" ref="BF69">VALUE(_xll.BDP($B69,"INTERVAL_DATE_OF_CALC_HI","CALC_INTERVAL","3M"))</f>
        <v>46044</v>
      </c>
      <c r="BG69" s="14" cm="1">
        <f t="array" ref="BG69">VALUE(_xll.BDP($B69,"INTERVAL_DATE_OF_CALC_LO","CALC_INTERVAL","3M"))</f>
        <v>45972</v>
      </c>
      <c r="BH69" s="14" cm="1">
        <f t="array" ref="BH69">VALUE(_xll.BDP($B69,"INTERVAL_DATE_OF_CALC_HI","CALC_INTERVAL","1M"))</f>
        <v>46044</v>
      </c>
      <c r="BI69" s="14" cm="1">
        <f t="array" ref="BI69">VALUE(_xll.BDP($B69,"INTERVAL_DATE_OF_CALC_LO","CALC_INTERVAL","1M"))</f>
        <v>46064</v>
      </c>
      <c r="BJ69" s="15">
        <f>$F69-MIN(_xll.BDP("NYA Index","RSI_14D"),_xll.BDP("RSP US Equity","RSI_14D"))</f>
        <v>-27.093764160156248</v>
      </c>
    </row>
    <row r="70" spans="1:62" x14ac:dyDescent="0.25">
      <c r="A70" s="11">
        <v>69</v>
      </c>
      <c r="B70" s="26" t="s">
        <v>638</v>
      </c>
      <c r="C70" s="1" t="s">
        <v>639</v>
      </c>
      <c r="D70" s="1" t="s">
        <v>593</v>
      </c>
      <c r="E70" s="11" t="s">
        <v>959</v>
      </c>
      <c r="F70">
        <f>IFERROR(VALUE((_xll.BDP($B70,"interval_rsi","tech_studies_param1_override",14))),"")</f>
        <v>55.761000000000003</v>
      </c>
      <c r="G70">
        <f t="shared" si="0"/>
        <v>52.525531939815814</v>
      </c>
      <c r="H70">
        <f t="shared" si="38"/>
        <v>0</v>
      </c>
      <c r="I70" cm="1">
        <f t="array" ref="I70">IFERROR(VALUE(_xll.BDP($B70,"px_last")),"")</f>
        <v>0.15890000000000001</v>
      </c>
      <c r="J70">
        <f t="shared" si="1"/>
        <v>6941.47</v>
      </c>
      <c r="K70" cm="1">
        <f t="array" ref="K70">IFERROR(VALUE(_xll.BDP($B70,"PX_YEST_CLOSE")),"")</f>
        <v>0.15890000000000001</v>
      </c>
      <c r="L70">
        <f t="shared" si="2"/>
        <v>6941.81</v>
      </c>
      <c r="M70">
        <f t="shared" si="39"/>
        <v>2.2891404846523864E-5</v>
      </c>
      <c r="N70">
        <f t="shared" si="40"/>
        <v>2.2890283658008502E-5</v>
      </c>
      <c r="O70" cm="1">
        <f t="array" ref="O70">IFERROR(VALUE(_xll.BDP($B70,"INTERVAL_MAE_MOV_AVG","CALC_INTERVAL","520D","TECH_STUDIES_PARAM1_OVERRIDE",50,"USE_PREVIOUS_BUSINESS_DAY","N")),"")</f>
        <v>0.1573</v>
      </c>
      <c r="P70">
        <f t="shared" si="3"/>
        <v>6894.0953999999992</v>
      </c>
      <c r="Q70" cm="1">
        <f t="array" ref="Q70">IFERROR(VALUE(_xll.BDP($B70,"INTERVAL_MAE_MOV_AVG","CALC_INTERVAL","520D","TECH_STUDIES_PARAM1_OVERRIDE",50,"USE_PREVIOUS_BUSINESS_DAY","Y")),"")</f>
        <v>0.1573</v>
      </c>
      <c r="R70">
        <f t="shared" si="4"/>
        <v>6892.2477999999992</v>
      </c>
      <c r="S70">
        <f t="shared" si="41"/>
        <v>2.2816626529421107E-5</v>
      </c>
      <c r="T70">
        <f t="shared" si="42"/>
        <v>2.2822742966380288E-5</v>
      </c>
      <c r="U70" s="11" t="str">
        <f t="shared" si="43"/>
        <v>NEGATIVE</v>
      </c>
      <c r="V70" s="11" t="str">
        <f t="shared" si="44"/>
        <v/>
      </c>
      <c r="W70" s="11" t="str">
        <f t="shared" si="45"/>
        <v>DOWN</v>
      </c>
      <c r="X70" s="6" t="str">
        <f t="shared" si="46"/>
        <v>POSITIVE</v>
      </c>
      <c r="Y70" cm="1">
        <f t="array" ref="Y70">IFERROR(VALUE(_xll.BDP($B70,"INTERVAL_MAE_MOV_AVG","CALC_INTERVAL","520D","TECH_STUDIES_PARAM1_OVERRIDE",65,"USE_PREVIOUS_BUSINESS_DAY","N")),"")</f>
        <v>0.15679999999999999</v>
      </c>
      <c r="Z70">
        <f t="shared" si="5"/>
        <v>6856.0226153846133</v>
      </c>
      <c r="AA70" cm="1">
        <f t="array" ref="AA70">IFERROR(VALUE(_xll.BDP($B70,"INTERVAL_MAE_MOV_AVG","CALC_INTERVAL","520D","TECH_STUDIES_PARAM1_OVERRIDE",65,"USE_PREVIOUS_BUSINESS_DAY","Y")),"")</f>
        <v>0.15679999999999999</v>
      </c>
      <c r="AB70">
        <f t="shared" si="6"/>
        <v>6852.6203076923057</v>
      </c>
      <c r="AC70">
        <f t="shared" si="47"/>
        <v>2.2870402972147099E-5</v>
      </c>
      <c r="AD70">
        <f t="shared" si="48"/>
        <v>2.2881758066178935E-5</v>
      </c>
      <c r="AE70" s="10" t="str">
        <f t="shared" si="49"/>
        <v/>
      </c>
      <c r="AF70" s="10" t="str">
        <f t="shared" si="50"/>
        <v>DOWN</v>
      </c>
      <c r="AG70" s="6" t="str">
        <f t="shared" si="51"/>
        <v>POSITIVE</v>
      </c>
      <c r="AH70" cm="1">
        <f t="array" ref="AH70">IFERROR(VALUE(_xll.BDP($B70,"INTERVAL_MAE_MOV_AVG","CALC_INTERVAL","65W","PERIODICITY_OVERRIDE","W","TECH_STUDIES_PARAM1_OVERRIDE",39,"USE_PREVIOUS_BUSINESS_DAY","N")),"")</f>
        <v>0.15609999999999999</v>
      </c>
      <c r="AI70">
        <f t="shared" si="7"/>
        <v>6560.7735897435905</v>
      </c>
      <c r="AJ70" cm="1">
        <f t="array" ref="AJ70">IFERROR(VALUE(_xll.BDP($B70,"INTERVAL_MAE_MOV_AVG","CALC_INTERVAL","65W","PERIODICITY_OVERRIDE","W","TECH_STUDIES_PARAM1_OVERRIDE",39,"USE_PREVIOUS_BUSINESS_DAY","Y")),"")</f>
        <v>0.15609999999999999</v>
      </c>
      <c r="AK70">
        <f t="shared" si="8"/>
        <v>6560.7823076923087</v>
      </c>
      <c r="AL70">
        <f t="shared" si="52"/>
        <v>2.3792925920203979E-5</v>
      </c>
      <c r="AM70">
        <f t="shared" si="53"/>
        <v>2.379289430423224E-5</v>
      </c>
      <c r="AN70" s="10" t="str">
        <f t="shared" si="54"/>
        <v/>
      </c>
      <c r="AO70" s="10" t="str">
        <f t="shared" si="55"/>
        <v>UP</v>
      </c>
      <c r="AP70" s="6" t="str">
        <f t="shared" si="56"/>
        <v>NEGATIVE</v>
      </c>
      <c r="AQ70" cm="1">
        <f t="array" ref="AQ70">IFERROR(VALUE(_xll.BDP($B70,"INTERVAL_exp_MOV_AVG","CALC_INTERVAL","520D","TECH_STUDIES_PARAM1_OVERRIDE",100,"USE_PREVIOUS_BUSINESS_DAY","N")),"")</f>
        <v>0.15659999999999999</v>
      </c>
      <c r="AR70">
        <f t="shared" si="9"/>
        <v>6773.0064518682802</v>
      </c>
      <c r="AS70" cm="1">
        <f t="array" ref="AS70">IFERROR(VALUE(_xll.BDP($B70,"INTERVAL_exp_MOV_AVG","CALC_INTERVAL","520D","TECH_STUDIES_PARAM1_OVERRIDE",100,"USE_PREVIOUS_BUSINESS_DAY","Y")),"")</f>
        <v>0.15659999999999999</v>
      </c>
      <c r="AT70">
        <f t="shared" si="10"/>
        <v>6769.6039787132295</v>
      </c>
      <c r="AU70">
        <f t="shared" si="57"/>
        <v>2.312119457036736E-5</v>
      </c>
      <c r="AV70">
        <f t="shared" si="58"/>
        <v>2.3132815522506623E-5</v>
      </c>
      <c r="AW70" s="11" t="str">
        <f t="shared" si="59"/>
        <v/>
      </c>
      <c r="AX70" s="11" t="str">
        <f t="shared" si="60"/>
        <v>DOWN</v>
      </c>
      <c r="AY70" s="6" t="str">
        <f t="shared" si="61"/>
        <v>NEGATIVE</v>
      </c>
      <c r="AZ70" s="12" cm="1">
        <f t="array" ref="AZ70">_xll.BDP($B70, "INTERVAL_RSI", "TECH_STUDIES_PARAM1_OVERRIDE", "5", "PERIODICITY_OVERRIDE", "W")</f>
        <v>68.295000000000002</v>
      </c>
      <c r="BA70" cm="1">
        <f t="array" ref="BA70">IFERROR(VALUE(_xll.BDP($B70,"INTERVAL_MAE_MOV_AVG","CALC_INTERVAL","520D","TECH_STUDIES_PARAM1_OVERRIDE",31,"USE_PREVIOUS_BUSINESS_DAY","N")),"")</f>
        <v>0.1575</v>
      </c>
      <c r="BB70" cm="1">
        <f t="array" ref="BB70">IFERROR(VALUE(_xll.BDP($B70,"INTERVAL_MAE_MOV_AVG","CALC_INTERVAL","760D","TECH_STUDIES_PARAM1_OVERRIDE",200,"USE_PREVIOUS_BUSINESS_DAY","N")),"")</f>
        <v>0.15579999999999999</v>
      </c>
      <c r="BC70" s="13">
        <f t="shared" si="62"/>
        <v>8.8888888888889461E-3</v>
      </c>
      <c r="BD70" s="13">
        <f t="shared" si="63"/>
        <v>1.0171646535283019E-2</v>
      </c>
      <c r="BE70" s="13">
        <f t="shared" si="64"/>
        <v>1.9897304236200286E-2</v>
      </c>
      <c r="BF70" s="14" cm="1">
        <f t="array" ref="BF70">VALUE(_xll.BDP($B70,"INTERVAL_DATE_OF_CALC_HI","CALC_INTERVAL","3M"))</f>
        <v>46049</v>
      </c>
      <c r="BG70" s="14" cm="1">
        <f t="array" ref="BG70">VALUE(_xll.BDP($B70,"INTERVAL_DATE_OF_CALC_LO","CALC_INTERVAL","3M"))</f>
        <v>45982</v>
      </c>
      <c r="BH70" s="14" cm="1">
        <f t="array" ref="BH70">VALUE(_xll.BDP($B70,"INTERVAL_DATE_OF_CALC_HI","CALC_INTERVAL","1M"))</f>
        <v>46049</v>
      </c>
      <c r="BI70" s="14" cm="1">
        <f t="array" ref="BI70">VALUE(_xll.BDP($B70,"INTERVAL_DATE_OF_CALC_LO","CALC_INTERVAL","1M"))</f>
        <v>46038</v>
      </c>
      <c r="BJ70" s="15">
        <f>$F70-MIN(_xll.BDP("NYA Index","RSI_14D"),_xll.BDP("RSP US Equity","RSI_14D"))</f>
        <v>-10.584764160156247</v>
      </c>
    </row>
    <row r="71" spans="1:62" x14ac:dyDescent="0.25">
      <c r="A71" s="11">
        <v>70</v>
      </c>
      <c r="B71" s="26" t="s">
        <v>640</v>
      </c>
      <c r="C71" s="1" t="s">
        <v>641</v>
      </c>
      <c r="D71" s="1" t="s">
        <v>593</v>
      </c>
      <c r="E71" s="11" t="s">
        <v>959</v>
      </c>
      <c r="F71">
        <f>IFERROR(VALUE((_xll.BDP($B71,"interval_rsi","tech_studies_param1_override",14))),"")</f>
        <v>56.02</v>
      </c>
      <c r="G71">
        <f t="shared" si="0"/>
        <v>52.525531939815814</v>
      </c>
      <c r="H71">
        <f t="shared" si="38"/>
        <v>0</v>
      </c>
      <c r="I71" cm="1">
        <f t="array" ref="I71">IFERROR(VALUE(_xll.BDP($B71,"px_last")),"")</f>
        <v>1.1874</v>
      </c>
      <c r="J71">
        <f t="shared" si="1"/>
        <v>6941.47</v>
      </c>
      <c r="K71" cm="1">
        <f t="array" ref="K71">IFERROR(VALUE(_xll.BDP($B71,"PX_YEST_CLOSE")),"")</f>
        <v>1.1872</v>
      </c>
      <c r="L71">
        <f t="shared" si="2"/>
        <v>6941.81</v>
      </c>
      <c r="M71">
        <f t="shared" si="39"/>
        <v>1.7105886793431361E-4</v>
      </c>
      <c r="N71">
        <f t="shared" si="40"/>
        <v>1.710216787840635E-4</v>
      </c>
      <c r="O71" cm="1">
        <f t="array" ref="O71">IFERROR(VALUE(_xll.BDP($B71,"INTERVAL_MAE_MOV_AVG","CALC_INTERVAL","520D","TECH_STUDIES_PARAM1_OVERRIDE",50,"USE_PREVIOUS_BUSINESS_DAY","N")),"")</f>
        <v>1.1752</v>
      </c>
      <c r="P71">
        <f t="shared" si="3"/>
        <v>6894.0953999999992</v>
      </c>
      <c r="Q71" cm="1">
        <f t="array" ref="Q71">IFERROR(VALUE(_xll.BDP($B71,"INTERVAL_MAE_MOV_AVG","CALC_INTERVAL","520D","TECH_STUDIES_PARAM1_OVERRIDE",50,"USE_PREVIOUS_BUSINESS_DAY","Y")),"")</f>
        <v>1.1748000000000001</v>
      </c>
      <c r="R71">
        <f t="shared" si="4"/>
        <v>6892.2477999999992</v>
      </c>
      <c r="S71">
        <f t="shared" si="41"/>
        <v>1.704647139057577E-4</v>
      </c>
      <c r="T71">
        <f t="shared" si="42"/>
        <v>1.7045237404261643E-4</v>
      </c>
      <c r="U71" s="11" t="str">
        <f t="shared" si="43"/>
        <v>NEGATIVE</v>
      </c>
      <c r="V71" s="11" t="str">
        <f t="shared" si="44"/>
        <v/>
      </c>
      <c r="W71" s="11" t="str">
        <f t="shared" si="45"/>
        <v>UP</v>
      </c>
      <c r="X71" s="6" t="str">
        <f t="shared" si="46"/>
        <v>POSITIVE</v>
      </c>
      <c r="Y71" cm="1">
        <f t="array" ref="Y71">IFERROR(VALUE(_xll.BDP($B71,"INTERVAL_MAE_MOV_AVG","CALC_INTERVAL","520D","TECH_STUDIES_PARAM1_OVERRIDE",65,"USE_PREVIOUS_BUSINESS_DAY","N")),"")</f>
        <v>1.1714</v>
      </c>
      <c r="Z71">
        <f t="shared" si="5"/>
        <v>6856.0226153846133</v>
      </c>
      <c r="AA71" cm="1">
        <f t="array" ref="AA71">IFERROR(VALUE(_xll.BDP($B71,"INTERVAL_MAE_MOV_AVG","CALC_INTERVAL","520D","TECH_STUDIES_PARAM1_OVERRIDE",65,"USE_PREVIOUS_BUSINESS_DAY","Y")),"")</f>
        <v>1.1709000000000001</v>
      </c>
      <c r="AB71">
        <f t="shared" si="6"/>
        <v>6852.6203076923057</v>
      </c>
      <c r="AC71">
        <f t="shared" si="47"/>
        <v>1.7085707934676731E-4</v>
      </c>
      <c r="AD71">
        <f t="shared" si="48"/>
        <v>1.7086894464087319E-4</v>
      </c>
      <c r="AE71" s="10" t="str">
        <f t="shared" si="49"/>
        <v>UP</v>
      </c>
      <c r="AF71" s="10" t="str">
        <f t="shared" si="50"/>
        <v>DOWN</v>
      </c>
      <c r="AG71" s="6" t="str">
        <f t="shared" si="51"/>
        <v>POSITIVE</v>
      </c>
      <c r="AH71" cm="1">
        <f t="array" ref="AH71">IFERROR(VALUE(_xll.BDP($B71,"INTERVAL_MAE_MOV_AVG","CALC_INTERVAL","65W","PERIODICITY_OVERRIDE","W","TECH_STUDIES_PARAM1_OVERRIDE",39,"USE_PREVIOUS_BUSINESS_DAY","N")),"")</f>
        <v>1.1657</v>
      </c>
      <c r="AI71">
        <f t="shared" si="7"/>
        <v>6560.7735897435905</v>
      </c>
      <c r="AJ71" cm="1">
        <f t="array" ref="AJ71">IFERROR(VALUE(_xll.BDP($B71,"INTERVAL_MAE_MOV_AVG","CALC_INTERVAL","65W","PERIODICITY_OVERRIDE","W","TECH_STUDIES_PARAM1_OVERRIDE",39,"USE_PREVIOUS_BUSINESS_DAY","Y")),"")</f>
        <v>1.1657999999999999</v>
      </c>
      <c r="AK71">
        <f t="shared" si="8"/>
        <v>6560.7823076923087</v>
      </c>
      <c r="AL71">
        <f t="shared" si="52"/>
        <v>1.7767721809853798E-4</v>
      </c>
      <c r="AM71">
        <f t="shared" si="53"/>
        <v>1.7769222408631612E-4</v>
      </c>
      <c r="AN71" s="10" t="str">
        <f t="shared" si="54"/>
        <v>DOWN</v>
      </c>
      <c r="AO71" s="10" t="str">
        <f t="shared" si="55"/>
        <v>DOWN</v>
      </c>
      <c r="AP71" s="6" t="str">
        <f t="shared" si="56"/>
        <v>NEGATIVE</v>
      </c>
      <c r="AQ71" cm="1">
        <f t="array" ref="AQ71">IFERROR(VALUE(_xll.BDP($B71,"INTERVAL_exp_MOV_AVG","CALC_INTERVAL","520D","TECH_STUDIES_PARAM1_OVERRIDE",100,"USE_PREVIOUS_BUSINESS_DAY","N")),"")</f>
        <v>1.1698999999999999</v>
      </c>
      <c r="AR71">
        <f t="shared" si="9"/>
        <v>6773.0064518682802</v>
      </c>
      <c r="AS71" cm="1">
        <f t="array" ref="AS71">IFERROR(VALUE(_xll.BDP($B71,"INTERVAL_exp_MOV_AVG","CALC_INTERVAL","520D","TECH_STUDIES_PARAM1_OVERRIDE",100,"USE_PREVIOUS_BUSINESS_DAY","Y")),"")</f>
        <v>1.1695</v>
      </c>
      <c r="AT71">
        <f t="shared" si="10"/>
        <v>6769.6039787132295</v>
      </c>
      <c r="AU71">
        <f t="shared" si="57"/>
        <v>1.7272979264286575E-4</v>
      </c>
      <c r="AV71">
        <f t="shared" si="58"/>
        <v>1.7275752077631863E-4</v>
      </c>
      <c r="AW71" s="11" t="str">
        <f t="shared" si="59"/>
        <v>UP</v>
      </c>
      <c r="AX71" s="11" t="str">
        <f t="shared" si="60"/>
        <v>DOWN</v>
      </c>
      <c r="AY71" s="6" t="str">
        <f t="shared" si="61"/>
        <v>NEGATIVE</v>
      </c>
      <c r="AZ71" s="12" cm="1">
        <f t="array" ref="AZ71">_xll.BDP($B71, "INTERVAL_RSI", "TECH_STUDIES_PARAM1_OVERRIDE", "5", "PERIODICITY_OVERRIDE", "W")</f>
        <v>69.018000000000001</v>
      </c>
      <c r="BA71" cm="1">
        <f t="array" ref="BA71">IFERROR(VALUE(_xll.BDP($B71,"INTERVAL_MAE_MOV_AVG","CALC_INTERVAL","520D","TECH_STUDIES_PARAM1_OVERRIDE",31,"USE_PREVIOUS_BUSINESS_DAY","N")),"")</f>
        <v>1.1767000000000001</v>
      </c>
      <c r="BB71" cm="1">
        <f t="array" ref="BB71">IFERROR(VALUE(_xll.BDP($B71,"INTERVAL_MAE_MOV_AVG","CALC_INTERVAL","760D","TECH_STUDIES_PARAM1_OVERRIDE",200,"USE_PREVIOUS_BUSINESS_DAY","N")),"")</f>
        <v>1.1631</v>
      </c>
      <c r="BC71" s="13">
        <f t="shared" si="62"/>
        <v>9.0932268207699618E-3</v>
      </c>
      <c r="BD71" s="13">
        <f t="shared" si="63"/>
        <v>1.0381211708645255E-2</v>
      </c>
      <c r="BE71" s="13">
        <f t="shared" si="64"/>
        <v>2.0892442610265682E-2</v>
      </c>
      <c r="BF71" s="14" cm="1">
        <f t="array" ref="BF71">VALUE(_xll.BDP($B71,"INTERVAL_DATE_OF_CALC_HI","CALC_INTERVAL","3M"))</f>
        <v>46049</v>
      </c>
      <c r="BG71" s="14" cm="1">
        <f t="array" ref="BG71">VALUE(_xll.BDP($B71,"INTERVAL_DATE_OF_CALC_LO","CALC_INTERVAL","3M"))</f>
        <v>45982</v>
      </c>
      <c r="BH71" s="14" cm="1">
        <f t="array" ref="BH71">VALUE(_xll.BDP($B71,"INTERVAL_DATE_OF_CALC_HI","CALC_INTERVAL","1M"))</f>
        <v>46049</v>
      </c>
      <c r="BI71" s="14" cm="1">
        <f t="array" ref="BI71">VALUE(_xll.BDP($B71,"INTERVAL_DATE_OF_CALC_LO","CALC_INTERVAL","1M"))</f>
        <v>46038</v>
      </c>
      <c r="BJ71" s="15">
        <f>$F71-MIN(_xll.BDP("NYA Index","RSI_14D"),_xll.BDP("RSP US Equity","RSI_14D"))</f>
        <v>-10.325764160156247</v>
      </c>
    </row>
    <row r="72" spans="1:62" x14ac:dyDescent="0.25">
      <c r="A72" s="11">
        <v>71</v>
      </c>
      <c r="B72" s="26" t="s">
        <v>642</v>
      </c>
      <c r="C72" s="1" t="s">
        <v>643</v>
      </c>
      <c r="D72" s="1" t="s">
        <v>593</v>
      </c>
      <c r="E72" s="11" t="s">
        <v>960</v>
      </c>
      <c r="F72">
        <f>IFERROR(VALUE((_xll.BDP($B72,"interval_rsi","tech_studies_param1_override",14))),"")</f>
        <v>45.100999999999999</v>
      </c>
      <c r="G72">
        <f t="shared" si="0"/>
        <v>52.525531939815814</v>
      </c>
      <c r="H72">
        <f t="shared" si="38"/>
        <v>0</v>
      </c>
      <c r="I72" cm="1">
        <f t="array" ref="I72">IFERROR(VALUE(_xll.BDP($B72,"px_last")),"")</f>
        <v>1.1474</v>
      </c>
      <c r="J72">
        <f t="shared" si="1"/>
        <v>6941.47</v>
      </c>
      <c r="K72" cm="1">
        <f t="array" ref="K72">IFERROR(VALUE(_xll.BDP($B72,"PX_YEST_CLOSE")),"")</f>
        <v>1.1478999999999999</v>
      </c>
      <c r="L72">
        <f t="shared" si="2"/>
        <v>6941.81</v>
      </c>
      <c r="M72">
        <f t="shared" si="39"/>
        <v>1.6529639975394259E-4</v>
      </c>
      <c r="N72">
        <f t="shared" si="40"/>
        <v>1.6536033109520426E-4</v>
      </c>
      <c r="O72" cm="1">
        <f t="array" ref="O72">IFERROR(VALUE(_xll.BDP($B72,"INTERVAL_MAE_MOV_AVG","CALC_INTERVAL","520D","TECH_STUDIES_PARAM1_OVERRIDE",50,"USE_PREVIOUS_BUSINESS_DAY","N")),"")</f>
        <v>1.1489</v>
      </c>
      <c r="P72">
        <f t="shared" si="3"/>
        <v>6894.0953999999992</v>
      </c>
      <c r="Q72" cm="1">
        <f t="array" ref="Q72">IFERROR(VALUE(_xll.BDP($B72,"INTERVAL_MAE_MOV_AVG","CALC_INTERVAL","520D","TECH_STUDIES_PARAM1_OVERRIDE",50,"USE_PREVIOUS_BUSINESS_DAY","Y")),"")</f>
        <v>1.1488</v>
      </c>
      <c r="R72">
        <f t="shared" si="4"/>
        <v>6892.2477999999992</v>
      </c>
      <c r="S72">
        <f t="shared" si="41"/>
        <v>1.6664985517896955E-4</v>
      </c>
      <c r="T72">
        <f t="shared" si="42"/>
        <v>1.6668001983329738E-4</v>
      </c>
      <c r="U72" s="11" t="str">
        <f t="shared" si="43"/>
        <v>NEGATIVE</v>
      </c>
      <c r="V72" s="11" t="str">
        <f t="shared" si="44"/>
        <v/>
      </c>
      <c r="W72" s="11" t="str">
        <f t="shared" si="45"/>
        <v>DOWN</v>
      </c>
      <c r="X72" s="6" t="str">
        <f t="shared" si="46"/>
        <v>NEGATIVE</v>
      </c>
      <c r="Y72" cm="1">
        <f t="array" ref="Y72">IFERROR(VALUE(_xll.BDP($B72,"INTERVAL_MAE_MOV_AVG","CALC_INTERVAL","520D","TECH_STUDIES_PARAM1_OVERRIDE",65,"USE_PREVIOUS_BUSINESS_DAY","N")),"")</f>
        <v>1.1462000000000001</v>
      </c>
      <c r="Z72">
        <f t="shared" si="5"/>
        <v>6856.0226153846133</v>
      </c>
      <c r="AA72" cm="1">
        <f t="array" ref="AA72">IFERROR(VALUE(_xll.BDP($B72,"INTERVAL_MAE_MOV_AVG","CALC_INTERVAL","520D","TECH_STUDIES_PARAM1_OVERRIDE",65,"USE_PREVIOUS_BUSINESS_DAY","Y")),"")</f>
        <v>1.1459999999999999</v>
      </c>
      <c r="AB72">
        <f t="shared" si="6"/>
        <v>6852.6203076923057</v>
      </c>
      <c r="AC72">
        <f t="shared" si="47"/>
        <v>1.6718147886910084E-4</v>
      </c>
      <c r="AD72">
        <f t="shared" si="48"/>
        <v>1.6723529811123124E-4</v>
      </c>
      <c r="AE72" s="10" t="str">
        <f t="shared" si="49"/>
        <v>UP</v>
      </c>
      <c r="AF72" s="10" t="str">
        <f t="shared" si="50"/>
        <v>DOWN</v>
      </c>
      <c r="AG72" s="6" t="str">
        <f t="shared" si="51"/>
        <v>NEGATIVE</v>
      </c>
      <c r="AH72" cm="1">
        <f t="array" ref="AH72">IFERROR(VALUE(_xll.BDP($B72,"INTERVAL_MAE_MOV_AVG","CALC_INTERVAL","65W","PERIODICITY_OVERRIDE","W","TECH_STUDIES_PARAM1_OVERRIDE",39,"USE_PREVIOUS_BUSINESS_DAY","N")),"")</f>
        <v>1.1533</v>
      </c>
      <c r="AI72">
        <f t="shared" si="7"/>
        <v>6560.7735897435905</v>
      </c>
      <c r="AJ72" cm="1">
        <f t="array" ref="AJ72">IFERROR(VALUE(_xll.BDP($B72,"INTERVAL_MAE_MOV_AVG","CALC_INTERVAL","65W","PERIODICITY_OVERRIDE","W","TECH_STUDIES_PARAM1_OVERRIDE",39,"USE_PREVIOUS_BUSINESS_DAY","Y")),"")</f>
        <v>1.1533</v>
      </c>
      <c r="AK72">
        <f t="shared" si="8"/>
        <v>6560.7823076923087</v>
      </c>
      <c r="AL72">
        <f t="shared" si="52"/>
        <v>1.7578719707733026E-4</v>
      </c>
      <c r="AM72">
        <f t="shared" si="53"/>
        <v>1.7578696349180683E-4</v>
      </c>
      <c r="AN72" s="10" t="str">
        <f t="shared" si="54"/>
        <v/>
      </c>
      <c r="AO72" s="10" t="str">
        <f t="shared" si="55"/>
        <v>UP</v>
      </c>
      <c r="AP72" s="6" t="str">
        <f t="shared" si="56"/>
        <v>NEGATIVE</v>
      </c>
      <c r="AQ72" cm="1">
        <f t="array" ref="AQ72">IFERROR(VALUE(_xll.BDP($B72,"INTERVAL_exp_MOV_AVG","CALC_INTERVAL","520D","TECH_STUDIES_PARAM1_OVERRIDE",100,"USE_PREVIOUS_BUSINESS_DAY","N")),"")</f>
        <v>1.1496</v>
      </c>
      <c r="AR72">
        <f t="shared" si="9"/>
        <v>6773.0064518682802</v>
      </c>
      <c r="AS72" cm="1">
        <f t="array" ref="AS72">IFERROR(VALUE(_xll.BDP($B72,"INTERVAL_exp_MOV_AVG","CALC_INTERVAL","520D","TECH_STUDIES_PARAM1_OVERRIDE",100,"USE_PREVIOUS_BUSINESS_DAY","Y")),"")</f>
        <v>1.1496</v>
      </c>
      <c r="AT72">
        <f t="shared" si="10"/>
        <v>6769.6039787132295</v>
      </c>
      <c r="AU72">
        <f t="shared" si="57"/>
        <v>1.6973260075411442E-4</v>
      </c>
      <c r="AV72">
        <f t="shared" si="58"/>
        <v>1.6981791011924402E-4</v>
      </c>
      <c r="AW72" s="11" t="str">
        <f t="shared" si="59"/>
        <v/>
      </c>
      <c r="AX72" s="11" t="str">
        <f t="shared" si="60"/>
        <v>DOWN</v>
      </c>
      <c r="AY72" s="6" t="str">
        <f t="shared" si="61"/>
        <v>NEGATIVE</v>
      </c>
      <c r="AZ72" s="12" cm="1">
        <f t="array" ref="AZ72">_xll.BDP($B72, "INTERVAL_RSI", "TECH_STUDIES_PARAM1_OVERRIDE", "5", "PERIODICITY_OVERRIDE", "W")</f>
        <v>41.27</v>
      </c>
      <c r="BA72" cm="1">
        <f t="array" ref="BA72">IFERROR(VALUE(_xll.BDP($B72,"INTERVAL_MAE_MOV_AVG","CALC_INTERVAL","520D","TECH_STUDIES_PARAM1_OVERRIDE",31,"USE_PREVIOUS_BUSINESS_DAY","N")),"")</f>
        <v>1.1519999999999999</v>
      </c>
      <c r="BB72" cm="1">
        <f t="array" ref="BB72">IFERROR(VALUE(_xll.BDP($B72,"INTERVAL_MAE_MOV_AVG","CALC_INTERVAL","760D","TECH_STUDIES_PARAM1_OVERRIDE",200,"USE_PREVIOUS_BUSINESS_DAY","N")),"")</f>
        <v>1.1553</v>
      </c>
      <c r="BC72" s="13">
        <f t="shared" si="62"/>
        <v>-3.9930555555555136E-3</v>
      </c>
      <c r="BD72" s="13">
        <f t="shared" si="63"/>
        <v>-1.305596657672603E-3</v>
      </c>
      <c r="BE72" s="13">
        <f t="shared" si="64"/>
        <v>-6.8380507227560061E-3</v>
      </c>
      <c r="BF72" s="14" cm="1">
        <f t="array" ref="BF72">VALUE(_xll.BDP($B72,"INTERVAL_DATE_OF_CALC_HI","CALC_INTERVAL","3M"))</f>
        <v>46055</v>
      </c>
      <c r="BG72" s="14" cm="1">
        <f t="array" ref="BG72">VALUE(_xll.BDP($B72,"INTERVAL_DATE_OF_CALC_LO","CALC_INTERVAL","3M"))</f>
        <v>45980</v>
      </c>
      <c r="BH72" s="14" cm="1">
        <f t="array" ref="BH72">VALUE(_xll.BDP($B72,"INTERVAL_DATE_OF_CALC_HI","CALC_INTERVAL","1M"))</f>
        <v>46055</v>
      </c>
      <c r="BI72" s="14" cm="1">
        <f t="array" ref="BI72">VALUE(_xll.BDP($B72,"INTERVAL_DATE_OF_CALC_LO","CALC_INTERVAL","1M"))</f>
        <v>46042</v>
      </c>
      <c r="BJ72" s="15">
        <f>$F72-MIN(_xll.BDP("NYA Index","RSI_14D"),_xll.BDP("RSP US Equity","RSI_14D"))</f>
        <v>-21.244764160156251</v>
      </c>
    </row>
    <row r="73" spans="1:62" x14ac:dyDescent="0.25">
      <c r="A73" s="11">
        <v>72</v>
      </c>
      <c r="B73" s="26" t="s">
        <v>644</v>
      </c>
      <c r="C73" s="1" t="s">
        <v>645</v>
      </c>
      <c r="D73" s="1" t="s">
        <v>593</v>
      </c>
      <c r="E73" s="11" t="s">
        <v>787</v>
      </c>
      <c r="F73">
        <f>IFERROR(VALUE((_xll.BDP($B73,"interval_rsi","tech_studies_param1_override",14))),"")</f>
        <v>38.823</v>
      </c>
      <c r="G73">
        <f t="shared" si="0"/>
        <v>52.525531939815814</v>
      </c>
      <c r="H73">
        <f t="shared" si="38"/>
        <v>0</v>
      </c>
      <c r="I73" cm="1">
        <f t="array" ref="I73">IFERROR(VALUE(_xll.BDP($B73,"px_last")),"")</f>
        <v>208.68799999999999</v>
      </c>
      <c r="J73">
        <f t="shared" si="1"/>
        <v>6941.47</v>
      </c>
      <c r="K73" cm="1">
        <f t="array" ref="K73">IFERROR(VALUE(_xll.BDP($B73,"PX_YEST_CLOSE")),"")</f>
        <v>208.863</v>
      </c>
      <c r="L73">
        <f t="shared" si="2"/>
        <v>6941.81</v>
      </c>
      <c r="M73">
        <f t="shared" si="39"/>
        <v>3.0063948990631664E-2</v>
      </c>
      <c r="N73">
        <f t="shared" si="40"/>
        <v>3.0087686064585461E-2</v>
      </c>
      <c r="O73" cm="1">
        <f t="array" ref="O73">IFERROR(VALUE(_xll.BDP($B73,"INTERVAL_MAE_MOV_AVG","CALC_INTERVAL","520D","TECH_STUDIES_PARAM1_OVERRIDE",50,"USE_PREVIOUS_BUSINESS_DAY","N")),"")</f>
        <v>210.976</v>
      </c>
      <c r="P73">
        <f t="shared" si="3"/>
        <v>6894.0953999999992</v>
      </c>
      <c r="Q73" cm="1">
        <f t="array" ref="Q73">IFERROR(VALUE(_xll.BDP($B73,"INTERVAL_MAE_MOV_AVG","CALC_INTERVAL","520D","TECH_STUDIES_PARAM1_OVERRIDE",50,"USE_PREVIOUS_BUSINESS_DAY","Y")),"")</f>
        <v>210.94499999999999</v>
      </c>
      <c r="R73">
        <f t="shared" si="4"/>
        <v>6892.2477999999992</v>
      </c>
      <c r="S73">
        <f t="shared" si="41"/>
        <v>3.0602419571971694E-2</v>
      </c>
      <c r="T73">
        <f t="shared" si="42"/>
        <v>3.0606125334031085E-2</v>
      </c>
      <c r="U73" s="11" t="str">
        <f t="shared" si="43"/>
        <v>NEGATIVE</v>
      </c>
      <c r="V73" s="11" t="str">
        <f t="shared" si="44"/>
        <v/>
      </c>
      <c r="W73" s="11" t="str">
        <f t="shared" si="45"/>
        <v>DOWN</v>
      </c>
      <c r="X73" s="6" t="str">
        <f t="shared" si="46"/>
        <v>NEGATIVE</v>
      </c>
      <c r="Y73" cm="1">
        <f t="array" ref="Y73">IFERROR(VALUE(_xll.BDP($B73,"INTERVAL_MAE_MOV_AVG","CALC_INTERVAL","520D","TECH_STUDIES_PARAM1_OVERRIDE",65,"USE_PREVIOUS_BUSINESS_DAY","N")),"")</f>
        <v>209.714</v>
      </c>
      <c r="Z73">
        <f t="shared" si="5"/>
        <v>6856.0226153846133</v>
      </c>
      <c r="AA73" cm="1">
        <f t="array" ref="AA73">IFERROR(VALUE(_xll.BDP($B73,"INTERVAL_MAE_MOV_AVG","CALC_INTERVAL","520D","TECH_STUDIES_PARAM1_OVERRIDE",65,"USE_PREVIOUS_BUSINESS_DAY","Y")),"")</f>
        <v>209.62799999999999</v>
      </c>
      <c r="AB73">
        <f t="shared" si="6"/>
        <v>6852.6203076923057</v>
      </c>
      <c r="AC73">
        <f t="shared" si="47"/>
        <v>3.0588288832275875E-2</v>
      </c>
      <c r="AD73">
        <f t="shared" si="48"/>
        <v>3.0590925892199985E-2</v>
      </c>
      <c r="AE73" s="10" t="str">
        <f t="shared" si="49"/>
        <v>UP</v>
      </c>
      <c r="AF73" s="10" t="str">
        <f t="shared" si="50"/>
        <v>DOWN</v>
      </c>
      <c r="AG73" s="6" t="str">
        <f t="shared" si="51"/>
        <v>NEGATIVE</v>
      </c>
      <c r="AH73" cm="1">
        <f t="array" ref="AH73">IFERROR(VALUE(_xll.BDP($B73,"INTERVAL_MAE_MOV_AVG","CALC_INTERVAL","65W","PERIODICITY_OVERRIDE","W","TECH_STUDIES_PARAM1_OVERRIDE",39,"USE_PREVIOUS_BUSINESS_DAY","N")),"")</f>
        <v>202.63800000000001</v>
      </c>
      <c r="AI73">
        <f t="shared" si="7"/>
        <v>6560.7735897435905</v>
      </c>
      <c r="AJ73" cm="1">
        <f t="array" ref="AJ73">IFERROR(VALUE(_xll.BDP($B73,"INTERVAL_MAE_MOV_AVG","CALC_INTERVAL","65W","PERIODICITY_OVERRIDE","W","TECH_STUDIES_PARAM1_OVERRIDE",39,"USE_PREVIOUS_BUSINESS_DAY","Y")),"")</f>
        <v>202.68299999999999</v>
      </c>
      <c r="AK73">
        <f t="shared" si="8"/>
        <v>6560.7823076923087</v>
      </c>
      <c r="AL73">
        <f t="shared" si="52"/>
        <v>3.0886296749636735E-2</v>
      </c>
      <c r="AM73">
        <f t="shared" si="53"/>
        <v>3.0893114646154411E-2</v>
      </c>
      <c r="AN73" s="10" t="str">
        <f t="shared" si="54"/>
        <v>DOWN</v>
      </c>
      <c r="AO73" s="10" t="str">
        <f t="shared" si="55"/>
        <v>DOWN</v>
      </c>
      <c r="AP73" s="6" t="str">
        <f t="shared" si="56"/>
        <v>NEGATIVE</v>
      </c>
      <c r="AQ73" cm="1">
        <f t="array" ref="AQ73">IFERROR(VALUE(_xll.BDP($B73,"INTERVAL_exp_MOV_AVG","CALC_INTERVAL","520D","TECH_STUDIES_PARAM1_OVERRIDE",100,"USE_PREVIOUS_BUSINESS_DAY","N")),"")</f>
        <v>207.64500000000001</v>
      </c>
      <c r="AR73">
        <f t="shared" si="9"/>
        <v>6773.0064518682802</v>
      </c>
      <c r="AS73" cm="1">
        <f t="array" ref="AS73">IFERROR(VALUE(_xll.BDP($B73,"INTERVAL_exp_MOV_AVG","CALC_INTERVAL","520D","TECH_STUDIES_PARAM1_OVERRIDE",100,"USE_PREVIOUS_BUSINESS_DAY","Y")),"")</f>
        <v>207.62100000000001</v>
      </c>
      <c r="AT73">
        <f t="shared" si="10"/>
        <v>6769.6039787132295</v>
      </c>
      <c r="AU73">
        <f t="shared" si="57"/>
        <v>3.0657729543830978E-2</v>
      </c>
      <c r="AV73">
        <f t="shared" si="58"/>
        <v>3.0669593177511802E-2</v>
      </c>
      <c r="AW73" s="11" t="str">
        <f t="shared" si="59"/>
        <v>UP</v>
      </c>
      <c r="AX73" s="11" t="str">
        <f t="shared" si="60"/>
        <v>DOWN</v>
      </c>
      <c r="AY73" s="6" t="str">
        <f t="shared" si="61"/>
        <v>NEGATIVE</v>
      </c>
      <c r="AZ73" s="12" cm="1">
        <f t="array" ref="AZ73">_xll.BDP($B73, "INTERVAL_RSI", "TECH_STUDIES_PARAM1_OVERRIDE", "5", "PERIODICITY_OVERRIDE", "W")</f>
        <v>38.323999999999998</v>
      </c>
      <c r="BA73" cm="1">
        <f t="array" ref="BA73">IFERROR(VALUE(_xll.BDP($B73,"INTERVAL_MAE_MOV_AVG","CALC_INTERVAL","520D","TECH_STUDIES_PARAM1_OVERRIDE",31,"USE_PREVIOUS_BUSINESS_DAY","N")),"")</f>
        <v>212.05500000000001</v>
      </c>
      <c r="BB73" cm="1">
        <f t="array" ref="BB73">IFERROR(VALUE(_xll.BDP($B73,"INTERVAL_MAE_MOV_AVG","CALC_INTERVAL","760D","TECH_STUDIES_PARAM1_OVERRIDE",200,"USE_PREVIOUS_BUSINESS_DAY","N")),"")</f>
        <v>202.19800000000001</v>
      </c>
      <c r="BC73" s="13">
        <f t="shared" si="62"/>
        <v>-1.5877956190611053E-2</v>
      </c>
      <c r="BD73" s="13">
        <f t="shared" si="63"/>
        <v>-1.0844835431518374E-2</v>
      </c>
      <c r="BE73" s="13">
        <f t="shared" si="64"/>
        <v>3.2097251209210587E-2</v>
      </c>
      <c r="BF73" s="14" cm="1">
        <f t="array" ref="BF73">VALUE(_xll.BDP($B73,"INTERVAL_DATE_OF_CALC_HI","CALC_INTERVAL","3M"))</f>
        <v>46057</v>
      </c>
      <c r="BG73" s="14" cm="1">
        <f t="array" ref="BG73">VALUE(_xll.BDP($B73,"INTERVAL_DATE_OF_CALC_LO","CALC_INTERVAL","3M"))</f>
        <v>45972</v>
      </c>
      <c r="BH73" s="14" cm="1">
        <f t="array" ref="BH73">VALUE(_xll.BDP($B73,"INTERVAL_DATE_OF_CALC_HI","CALC_INTERVAL","1M"))</f>
        <v>46057</v>
      </c>
      <c r="BI73" s="14" cm="1">
        <f t="array" ref="BI73">VALUE(_xll.BDP($B73,"INTERVAL_DATE_OF_CALC_LO","CALC_INTERVAL","1M"))</f>
        <v>46064</v>
      </c>
      <c r="BJ73" s="15">
        <f>$F73-MIN(_xll.BDP("NYA Index","RSI_14D"),_xll.BDP("RSP US Equity","RSI_14D"))</f>
        <v>-27.52276416015625</v>
      </c>
    </row>
    <row r="74" spans="1:62" x14ac:dyDescent="0.25">
      <c r="A74" s="11">
        <v>73</v>
      </c>
      <c r="B74" s="26" t="s">
        <v>646</v>
      </c>
      <c r="C74" s="1" t="s">
        <v>647</v>
      </c>
      <c r="D74" s="1" t="s">
        <v>593</v>
      </c>
      <c r="E74" s="11" t="s">
        <v>959</v>
      </c>
      <c r="F74">
        <f>IFERROR(VALUE((_xll.BDP($B74,"interval_rsi","tech_studies_param1_override",14))),"")</f>
        <v>53.07</v>
      </c>
      <c r="G74">
        <f t="shared" si="0"/>
        <v>52.525531939815814</v>
      </c>
      <c r="H74">
        <f t="shared" si="38"/>
        <v>0</v>
      </c>
      <c r="I74" cm="1">
        <f t="array" ref="I74">IFERROR(VALUE(_xll.BDP($B74,"px_last")),"")</f>
        <v>1.3624000000000001</v>
      </c>
      <c r="J74">
        <f t="shared" si="1"/>
        <v>6941.47</v>
      </c>
      <c r="K74" cm="1">
        <f t="array" ref="K74">IFERROR(VALUE(_xll.BDP($B74,"PX_YEST_CLOSE")),"")</f>
        <v>1.3628</v>
      </c>
      <c r="L74">
        <f t="shared" si="2"/>
        <v>6941.81</v>
      </c>
      <c r="M74">
        <f t="shared" si="39"/>
        <v>1.9626966622343682E-4</v>
      </c>
      <c r="N74">
        <f t="shared" si="40"/>
        <v>1.9631767507321578E-4</v>
      </c>
      <c r="O74" cm="1">
        <f t="array" ref="O74">IFERROR(VALUE(_xll.BDP($B74,"INTERVAL_MAE_MOV_AVG","CALC_INTERVAL","520D","TECH_STUDIES_PARAM1_OVERRIDE",50,"USE_PREVIOUS_BUSINESS_DAY","N")),"")</f>
        <v>1.3501000000000001</v>
      </c>
      <c r="P74">
        <f t="shared" si="3"/>
        <v>6894.0953999999992</v>
      </c>
      <c r="Q74" cm="1">
        <f t="array" ref="Q74">IFERROR(VALUE(_xll.BDP($B74,"INTERVAL_MAE_MOV_AVG","CALC_INTERVAL","520D","TECH_STUDIES_PARAM1_OVERRIDE",50,"USE_PREVIOUS_BUSINESS_DAY","Y")),"")</f>
        <v>1.3494999999999999</v>
      </c>
      <c r="R74">
        <f t="shared" si="4"/>
        <v>6892.2477999999992</v>
      </c>
      <c r="S74">
        <f t="shared" si="41"/>
        <v>1.9583424969721195E-4</v>
      </c>
      <c r="T74">
        <f t="shared" si="42"/>
        <v>1.9579969251831022E-4</v>
      </c>
      <c r="U74" s="11" t="str">
        <f t="shared" si="43"/>
        <v>NEGATIVE</v>
      </c>
      <c r="V74" s="11" t="str">
        <f t="shared" si="44"/>
        <v/>
      </c>
      <c r="W74" s="11" t="str">
        <f t="shared" si="45"/>
        <v>UP</v>
      </c>
      <c r="X74" s="6" t="str">
        <f t="shared" si="46"/>
        <v>POSITIVE</v>
      </c>
      <c r="Y74" cm="1">
        <f t="array" ref="Y74">IFERROR(VALUE(_xll.BDP($B74,"INTERVAL_MAE_MOV_AVG","CALC_INTERVAL","520D","TECH_STUDIES_PARAM1_OVERRIDE",65,"USE_PREVIOUS_BUSINESS_DAY","N")),"")</f>
        <v>1.3426</v>
      </c>
      <c r="Z74">
        <f t="shared" si="5"/>
        <v>6856.0226153846133</v>
      </c>
      <c r="AA74" cm="1">
        <f t="array" ref="AA74">IFERROR(VALUE(_xll.BDP($B74,"INTERVAL_MAE_MOV_AVG","CALC_INTERVAL","520D","TECH_STUDIES_PARAM1_OVERRIDE",65,"USE_PREVIOUS_BUSINESS_DAY","Y")),"")</f>
        <v>1.3419000000000001</v>
      </c>
      <c r="AB74">
        <f t="shared" si="6"/>
        <v>6852.6203076923057</v>
      </c>
      <c r="AC74">
        <f t="shared" si="47"/>
        <v>1.9582782544900955E-4</v>
      </c>
      <c r="AD74">
        <f t="shared" si="48"/>
        <v>1.9582290273600458E-4</v>
      </c>
      <c r="AE74" s="10" t="str">
        <f t="shared" si="49"/>
        <v>UP</v>
      </c>
      <c r="AF74" s="10" t="str">
        <f t="shared" si="50"/>
        <v>UP</v>
      </c>
      <c r="AG74" s="6" t="str">
        <f t="shared" si="51"/>
        <v>POSITIVE</v>
      </c>
      <c r="AH74" cm="1">
        <f t="array" ref="AH74">IFERROR(VALUE(_xll.BDP($B74,"INTERVAL_MAE_MOV_AVG","CALC_INTERVAL","65W","PERIODICITY_OVERRIDE","W","TECH_STUDIES_PARAM1_OVERRIDE",39,"USE_PREVIOUS_BUSINESS_DAY","N")),"")</f>
        <v>1.3443000000000001</v>
      </c>
      <c r="AI74">
        <f t="shared" si="7"/>
        <v>6560.7735897435905</v>
      </c>
      <c r="AJ74" cm="1">
        <f t="array" ref="AJ74">IFERROR(VALUE(_xll.BDP($B74,"INTERVAL_MAE_MOV_AVG","CALC_INTERVAL","65W","PERIODICITY_OVERRIDE","W","TECH_STUDIES_PARAM1_OVERRIDE",39,"USE_PREVIOUS_BUSINESS_DAY","Y")),"")</f>
        <v>1.3444</v>
      </c>
      <c r="AK74">
        <f t="shared" si="8"/>
        <v>6560.7823076923087</v>
      </c>
      <c r="AL74">
        <f t="shared" si="52"/>
        <v>2.0489961764593345E-4</v>
      </c>
      <c r="AM74">
        <f t="shared" si="53"/>
        <v>2.0491458746066513E-4</v>
      </c>
      <c r="AN74" s="10" t="str">
        <f t="shared" si="54"/>
        <v>DOWN</v>
      </c>
      <c r="AO74" s="10" t="str">
        <f t="shared" si="55"/>
        <v>DOWN</v>
      </c>
      <c r="AP74" s="6" t="str">
        <f t="shared" si="56"/>
        <v>NEGATIVE</v>
      </c>
      <c r="AQ74" cm="1">
        <f t="array" ref="AQ74">IFERROR(VALUE(_xll.BDP($B74,"INTERVAL_exp_MOV_AVG","CALC_INTERVAL","520D","TECH_STUDIES_PARAM1_OVERRIDE",100,"USE_PREVIOUS_BUSINESS_DAY","N")),"")</f>
        <v>1.3448</v>
      </c>
      <c r="AR74">
        <f t="shared" si="9"/>
        <v>6773.0064518682802</v>
      </c>
      <c r="AS74" cm="1">
        <f t="array" ref="AS74">IFERROR(VALUE(_xll.BDP($B74,"INTERVAL_exp_MOV_AVG","CALC_INTERVAL","520D","TECH_STUDIES_PARAM1_OVERRIDE",100,"USE_PREVIOUS_BUSINESS_DAY","Y")),"")</f>
        <v>1.3444</v>
      </c>
      <c r="AT74">
        <f t="shared" si="10"/>
        <v>6769.6039787132295</v>
      </c>
      <c r="AU74">
        <f t="shared" si="57"/>
        <v>1.9855288926072816E-4</v>
      </c>
      <c r="AV74">
        <f t="shared" si="58"/>
        <v>1.9859359635030592E-4</v>
      </c>
      <c r="AW74" s="11" t="str">
        <f t="shared" si="59"/>
        <v>UP</v>
      </c>
      <c r="AX74" s="11" t="str">
        <f t="shared" si="60"/>
        <v>DOWN</v>
      </c>
      <c r="AY74" s="6" t="str">
        <f t="shared" si="61"/>
        <v>NEGATIVE</v>
      </c>
      <c r="AZ74" s="12" cm="1">
        <f t="array" ref="AZ74">_xll.BDP($B74, "INTERVAL_RSI", "TECH_STUDIES_PARAM1_OVERRIDE", "5", "PERIODICITY_OVERRIDE", "W")</f>
        <v>67.188999999999993</v>
      </c>
      <c r="BA74" cm="1">
        <f t="array" ref="BA74">IFERROR(VALUE(_xll.BDP($B74,"INTERVAL_MAE_MOV_AVG","CALC_INTERVAL","520D","TECH_STUDIES_PARAM1_OVERRIDE",31,"USE_PREVIOUS_BUSINESS_DAY","N")),"")</f>
        <v>1.3554999999999999</v>
      </c>
      <c r="BB74" cm="1">
        <f t="array" ref="BB74">IFERROR(VALUE(_xll.BDP($B74,"INTERVAL_MAE_MOV_AVG","CALC_INTERVAL","760D","TECH_STUDIES_PARAM1_OVERRIDE",200,"USE_PREVIOUS_BUSINESS_DAY","N")),"")</f>
        <v>1.3434999999999999</v>
      </c>
      <c r="BC74" s="13">
        <f t="shared" si="62"/>
        <v>5.0903725562523316E-3</v>
      </c>
      <c r="BD74" s="13">
        <f t="shared" si="63"/>
        <v>9.1104362639804481E-3</v>
      </c>
      <c r="BE74" s="13">
        <f t="shared" si="64"/>
        <v>1.4067733531820004E-2</v>
      </c>
      <c r="BF74" s="14" cm="1">
        <f t="array" ref="BF74">VALUE(_xll.BDP($B74,"INTERVAL_DATE_OF_CALC_HI","CALC_INTERVAL","3M"))</f>
        <v>46049</v>
      </c>
      <c r="BG74" s="14" cm="1">
        <f t="array" ref="BG74">VALUE(_xll.BDP($B74,"INTERVAL_DATE_OF_CALC_LO","CALC_INTERVAL","3M"))</f>
        <v>45980</v>
      </c>
      <c r="BH74" s="14" cm="1">
        <f t="array" ref="BH74">VALUE(_xll.BDP($B74,"INTERVAL_DATE_OF_CALC_HI","CALC_INTERVAL","1M"))</f>
        <v>46049</v>
      </c>
      <c r="BI74" s="14" cm="1">
        <f t="array" ref="BI74">VALUE(_xll.BDP($B74,"INTERVAL_DATE_OF_CALC_LO","CALC_INTERVAL","1M"))</f>
        <v>46038</v>
      </c>
      <c r="BJ74" s="15">
        <f>$F74-MIN(_xll.BDP("NYA Index","RSI_14D"),_xll.BDP("RSP US Equity","RSI_14D"))</f>
        <v>-13.27576416015625</v>
      </c>
    </row>
    <row r="75" spans="1:62" x14ac:dyDescent="0.25">
      <c r="A75" s="11">
        <v>74</v>
      </c>
      <c r="B75" s="26" t="s">
        <v>648</v>
      </c>
      <c r="C75" s="1" t="s">
        <v>649</v>
      </c>
      <c r="D75" s="1" t="s">
        <v>593</v>
      </c>
      <c r="E75" s="11" t="s">
        <v>960</v>
      </c>
      <c r="F75">
        <f>IFERROR(VALUE((_xll.BDP($B75,"interval_rsi","tech_studies_param1_override",14))),"")</f>
        <v>41.424999999999997</v>
      </c>
      <c r="G75">
        <f t="shared" si="0"/>
        <v>52.525531939815814</v>
      </c>
      <c r="H75">
        <f t="shared" si="38"/>
        <v>0</v>
      </c>
      <c r="I75" cm="1">
        <f t="array" ref="I75">IFERROR(VALUE(_xll.BDP($B75,"px_last")),"")</f>
        <v>0.1077</v>
      </c>
      <c r="J75">
        <f t="shared" si="1"/>
        <v>6941.47</v>
      </c>
      <c r="K75" cm="1">
        <f t="array" ref="K75">IFERROR(VALUE(_xll.BDP($B75,"PX_YEST_CLOSE")),"")</f>
        <v>0.1077</v>
      </c>
      <c r="L75">
        <f t="shared" si="2"/>
        <v>6941.81</v>
      </c>
      <c r="M75">
        <f t="shared" si="39"/>
        <v>1.5515445575648961E-5</v>
      </c>
      <c r="N75">
        <f t="shared" si="40"/>
        <v>1.5514685651148621E-5</v>
      </c>
      <c r="O75" cm="1">
        <f t="array" ref="O75">IFERROR(VALUE(_xll.BDP($B75,"INTERVAL_MAE_MOV_AVG","CALC_INTERVAL","520D","TECH_STUDIES_PARAM1_OVERRIDE",50,"USE_PREVIOUS_BUSINESS_DAY","N")),"")</f>
        <v>0.10920000000000001</v>
      </c>
      <c r="P75">
        <f t="shared" si="3"/>
        <v>6894.0953999999992</v>
      </c>
      <c r="Q75" cm="1">
        <f t="array" ref="Q75">IFERROR(VALUE(_xll.BDP($B75,"INTERVAL_MAE_MOV_AVG","CALC_INTERVAL","520D","TECH_STUDIES_PARAM1_OVERRIDE",50,"USE_PREVIOUS_BUSINESS_DAY","Y")),"")</f>
        <v>0.10929999999999999</v>
      </c>
      <c r="R75">
        <f t="shared" si="4"/>
        <v>6892.2477999999992</v>
      </c>
      <c r="S75">
        <f t="shared" si="41"/>
        <v>1.5839641557614653E-5</v>
      </c>
      <c r="T75">
        <f t="shared" si="42"/>
        <v>1.5858396733791262E-5</v>
      </c>
      <c r="U75" s="11" t="str">
        <f t="shared" si="43"/>
        <v>NEGATIVE</v>
      </c>
      <c r="V75" s="11" t="str">
        <f t="shared" si="44"/>
        <v/>
      </c>
      <c r="W75" s="11" t="str">
        <f t="shared" si="45"/>
        <v>DOWN</v>
      </c>
      <c r="X75" s="6" t="str">
        <f t="shared" si="46"/>
        <v>NEGATIVE</v>
      </c>
      <c r="Y75" cm="1">
        <f t="array" ref="Y75">IFERROR(VALUE(_xll.BDP($B75,"INTERVAL_MAE_MOV_AVG","CALC_INTERVAL","520D","TECH_STUDIES_PARAM1_OVERRIDE",65,"USE_PREVIOUS_BUSINESS_DAY","N")),"")</f>
        <v>0.1096</v>
      </c>
      <c r="Z75">
        <f t="shared" si="5"/>
        <v>6856.0226153846133</v>
      </c>
      <c r="AA75" cm="1">
        <f t="array" ref="AA75">IFERROR(VALUE(_xll.BDP($B75,"INTERVAL_MAE_MOV_AVG","CALC_INTERVAL","520D","TECH_STUDIES_PARAM1_OVERRIDE",65,"USE_PREVIOUS_BUSINESS_DAY","Y")),"")</f>
        <v>0.10970000000000001</v>
      </c>
      <c r="AB75">
        <f t="shared" si="6"/>
        <v>6852.6203076923057</v>
      </c>
      <c r="AC75">
        <f t="shared" si="47"/>
        <v>1.5985944934613026E-5</v>
      </c>
      <c r="AD75">
        <f t="shared" si="48"/>
        <v>1.6008474871555035E-5</v>
      </c>
      <c r="AE75" s="10" t="str">
        <f t="shared" si="49"/>
        <v>DOWN</v>
      </c>
      <c r="AF75" s="10" t="str">
        <f t="shared" si="50"/>
        <v>DOWN</v>
      </c>
      <c r="AG75" s="6" t="str">
        <f t="shared" si="51"/>
        <v>NEGATIVE</v>
      </c>
      <c r="AH75" cm="1">
        <f t="array" ref="AH75">IFERROR(VALUE(_xll.BDP($B75,"INTERVAL_MAE_MOV_AVG","CALC_INTERVAL","65W","PERIODICITY_OVERRIDE","W","TECH_STUDIES_PARAM1_OVERRIDE",39,"USE_PREVIOUS_BUSINESS_DAY","N")),"")</f>
        <v>0.1099</v>
      </c>
      <c r="AI75">
        <f t="shared" si="7"/>
        <v>6560.7735897435905</v>
      </c>
      <c r="AJ75" cm="1">
        <f t="array" ref="AJ75">IFERROR(VALUE(_xll.BDP($B75,"INTERVAL_MAE_MOV_AVG","CALC_INTERVAL","65W","PERIODICITY_OVERRIDE","W","TECH_STUDIES_PARAM1_OVERRIDE",39,"USE_PREVIOUS_BUSINESS_DAY","Y")),"")</f>
        <v>0.1099</v>
      </c>
      <c r="AK75">
        <f t="shared" si="8"/>
        <v>6560.7823076923087</v>
      </c>
      <c r="AL75">
        <f t="shared" si="52"/>
        <v>1.6751073405704149E-5</v>
      </c>
      <c r="AM75">
        <f t="shared" si="53"/>
        <v>1.6751051146925839E-5</v>
      </c>
      <c r="AN75" s="10" t="str">
        <f t="shared" si="54"/>
        <v/>
      </c>
      <c r="AO75" s="10" t="str">
        <f t="shared" si="55"/>
        <v>UP</v>
      </c>
      <c r="AP75" s="6" t="str">
        <f t="shared" si="56"/>
        <v>NEGATIVE</v>
      </c>
      <c r="AQ75" cm="1">
        <f t="array" ref="AQ75">IFERROR(VALUE(_xll.BDP($B75,"INTERVAL_exp_MOV_AVG","CALC_INTERVAL","520D","TECH_STUDIES_PARAM1_OVERRIDE",100,"USE_PREVIOUS_BUSINESS_DAY","N")),"")</f>
        <v>0.10970000000000001</v>
      </c>
      <c r="AR75">
        <f t="shared" si="9"/>
        <v>6773.0064518682802</v>
      </c>
      <c r="AS75" cm="1">
        <f t="array" ref="AS75">IFERROR(VALUE(_xll.BDP($B75,"INTERVAL_exp_MOV_AVG","CALC_INTERVAL","520D","TECH_STUDIES_PARAM1_OVERRIDE",100,"USE_PREVIOUS_BUSINESS_DAY","Y")),"")</f>
        <v>0.10970000000000001</v>
      </c>
      <c r="AT75">
        <f t="shared" si="10"/>
        <v>6769.6039787132295</v>
      </c>
      <c r="AU75">
        <f t="shared" si="57"/>
        <v>1.6196647792907405E-5</v>
      </c>
      <c r="AV75">
        <f t="shared" si="58"/>
        <v>1.6204788396034335E-5</v>
      </c>
      <c r="AW75" s="11" t="str">
        <f t="shared" si="59"/>
        <v/>
      </c>
      <c r="AX75" s="11" t="str">
        <f t="shared" si="60"/>
        <v>DOWN</v>
      </c>
      <c r="AY75" s="6" t="str">
        <f t="shared" si="61"/>
        <v>NEGATIVE</v>
      </c>
      <c r="AZ75" s="12" cm="1">
        <f t="array" ref="AZ75">_xll.BDP($B75, "INTERVAL_RSI", "TECH_STUDIES_PARAM1_OVERRIDE", "5", "PERIODICITY_OVERRIDE", "W")</f>
        <v>27.489000000000001</v>
      </c>
      <c r="BA75" cm="1">
        <f t="array" ref="BA75">IFERROR(VALUE(_xll.BDP($B75,"INTERVAL_MAE_MOV_AVG","CALC_INTERVAL","520D","TECH_STUDIES_PARAM1_OVERRIDE",31,"USE_PREVIOUS_BUSINESS_DAY","N")),"")</f>
        <v>0.1089</v>
      </c>
      <c r="BB75" cm="1">
        <f t="array" ref="BB75">IFERROR(VALUE(_xll.BDP($B75,"INTERVAL_MAE_MOV_AVG","CALC_INTERVAL","760D","TECH_STUDIES_PARAM1_OVERRIDE",200,"USE_PREVIOUS_BUSINESS_DAY","N")),"")</f>
        <v>0.11020000000000001</v>
      </c>
      <c r="BC75" s="13">
        <f t="shared" si="62"/>
        <v>-1.1019283746556363E-2</v>
      </c>
      <c r="BD75" s="13">
        <f t="shared" si="63"/>
        <v>-1.3736263736263798E-2</v>
      </c>
      <c r="BE75" s="13">
        <f t="shared" si="64"/>
        <v>-2.268602540834852E-2</v>
      </c>
      <c r="BF75" s="14" cm="1">
        <f t="array" ref="BF75">VALUE(_xll.BDP($B75,"INTERVAL_DATE_OF_CALC_HI","CALC_INTERVAL","3M"))</f>
        <v>45982</v>
      </c>
      <c r="BG75" s="14" cm="1">
        <f t="array" ref="BG75">VALUE(_xll.BDP($B75,"INTERVAL_DATE_OF_CALC_LO","CALC_INTERVAL","3M"))</f>
        <v>46049</v>
      </c>
      <c r="BH75" s="14" cm="1">
        <f t="array" ref="BH75">VALUE(_xll.BDP($B75,"INTERVAL_DATE_OF_CALC_HI","CALC_INTERVAL","1M"))</f>
        <v>46037</v>
      </c>
      <c r="BI75" s="14" cm="1">
        <f t="array" ref="BI75">VALUE(_xll.BDP($B75,"INTERVAL_DATE_OF_CALC_LO","CALC_INTERVAL","1M"))</f>
        <v>46049</v>
      </c>
      <c r="BJ75" s="15">
        <f>$F75-MIN(_xll.BDP("NYA Index","RSI_14D"),_xll.BDP("RSP US Equity","RSI_14D"))</f>
        <v>-24.920764160156253</v>
      </c>
    </row>
    <row r="76" spans="1:62" x14ac:dyDescent="0.25">
      <c r="A76" s="11">
        <v>75</v>
      </c>
      <c r="B76" s="26" t="s">
        <v>650</v>
      </c>
      <c r="C76" s="1" t="s">
        <v>651</v>
      </c>
      <c r="D76" s="1" t="s">
        <v>593</v>
      </c>
      <c r="E76" s="11" t="s">
        <v>959</v>
      </c>
      <c r="F76">
        <f>IFERROR(VALUE((_xll.BDP($B76,"interval_rsi","tech_studies_param1_override",14))),"")</f>
        <v>25.283000000000001</v>
      </c>
      <c r="G76">
        <f t="shared" si="0"/>
        <v>52.525531939815814</v>
      </c>
      <c r="H76">
        <f t="shared" si="38"/>
        <v>0</v>
      </c>
      <c r="I76" cm="1">
        <f t="array" ref="I76">IFERROR(VALUE(_xll.BDP($B76,"px_last")),"")</f>
        <v>0.12794</v>
      </c>
      <c r="J76">
        <f t="shared" si="1"/>
        <v>6941.47</v>
      </c>
      <c r="K76" cm="1">
        <f t="array" ref="K76">IFERROR(VALUE(_xll.BDP($B76,"PX_YEST_CLOSE")),"")</f>
        <v>0.12791</v>
      </c>
      <c r="L76">
        <f t="shared" si="2"/>
        <v>6941.81</v>
      </c>
      <c r="M76">
        <f t="shared" si="39"/>
        <v>1.8431254474916694E-5</v>
      </c>
      <c r="N76">
        <f t="shared" si="40"/>
        <v>1.842603009877827E-5</v>
      </c>
      <c r="O76" cm="1">
        <f t="array" ref="O76">IFERROR(VALUE(_xll.BDP($B76,"INTERVAL_MAE_MOV_AVG","CALC_INTERVAL","520D","TECH_STUDIES_PARAM1_OVERRIDE",50,"USE_PREVIOUS_BUSINESS_DAY","N")),"")</f>
        <v>0.12833</v>
      </c>
      <c r="P76">
        <f t="shared" si="3"/>
        <v>6894.0953999999992</v>
      </c>
      <c r="Q76" cm="1">
        <f t="array" ref="Q76">IFERROR(VALUE(_xll.BDP($B76,"INTERVAL_MAE_MOV_AVG","CALC_INTERVAL","520D","TECH_STUDIES_PARAM1_OVERRIDE",50,"USE_PREVIOUS_BUSINESS_DAY","Y")),"")</f>
        <v>0.12834000000000001</v>
      </c>
      <c r="R76">
        <f t="shared" si="4"/>
        <v>6892.2477999999992</v>
      </c>
      <c r="S76">
        <f t="shared" si="41"/>
        <v>1.8614479863449529E-5</v>
      </c>
      <c r="T76">
        <f t="shared" si="42"/>
        <v>1.862092073938491E-5</v>
      </c>
      <c r="U76" s="11" t="str">
        <f t="shared" si="43"/>
        <v>NEGATIVE</v>
      </c>
      <c r="V76" s="11" t="str">
        <f t="shared" si="44"/>
        <v/>
      </c>
      <c r="W76" s="11" t="str">
        <f t="shared" si="45"/>
        <v>DOWN</v>
      </c>
      <c r="X76" s="6" t="str">
        <f t="shared" si="46"/>
        <v>NEGATIVE</v>
      </c>
      <c r="Y76" cm="1">
        <f t="array" ref="Y76">IFERROR(VALUE(_xll.BDP($B76,"INTERVAL_MAE_MOV_AVG","CALC_INTERVAL","520D","TECH_STUDIES_PARAM1_OVERRIDE",65,"USE_PREVIOUS_BUSINESS_DAY","N")),"")</f>
        <v>0.12837000000000001</v>
      </c>
      <c r="Z76">
        <f t="shared" si="5"/>
        <v>6856.0226153846133</v>
      </c>
      <c r="AA76" cm="1">
        <f t="array" ref="AA76">IFERROR(VALUE(_xll.BDP($B76,"INTERVAL_MAE_MOV_AVG","CALC_INTERVAL","520D","TECH_STUDIES_PARAM1_OVERRIDE",65,"USE_PREVIOUS_BUSINESS_DAY","Y")),"")</f>
        <v>0.12837999999999999</v>
      </c>
      <c r="AB76">
        <f t="shared" si="6"/>
        <v>6852.6203076923057</v>
      </c>
      <c r="AC76">
        <f t="shared" si="47"/>
        <v>1.8723683861827318E-5</v>
      </c>
      <c r="AD76">
        <f t="shared" si="48"/>
        <v>1.8734439416684002E-5</v>
      </c>
      <c r="AE76" s="10" t="str">
        <f t="shared" si="49"/>
        <v>DOWN</v>
      </c>
      <c r="AF76" s="10" t="str">
        <f t="shared" si="50"/>
        <v>DOWN</v>
      </c>
      <c r="AG76" s="6" t="str">
        <f t="shared" si="51"/>
        <v>NEGATIVE</v>
      </c>
      <c r="AH76" cm="1">
        <f t="array" ref="AH76">IFERROR(VALUE(_xll.BDP($B76,"INTERVAL_MAE_MOV_AVG","CALC_INTERVAL","65W","PERIODICITY_OVERRIDE","W","TECH_STUDIES_PARAM1_OVERRIDE",39,"USE_PREVIOUS_BUSINESS_DAY","N")),"")</f>
        <v>0.12809000000000001</v>
      </c>
      <c r="AI76">
        <f t="shared" si="7"/>
        <v>6560.7735897435905</v>
      </c>
      <c r="AJ76" cm="1">
        <f t="array" ref="AJ76">IFERROR(VALUE(_xll.BDP($B76,"INTERVAL_MAE_MOV_AVG","CALC_INTERVAL","65W","PERIODICITY_OVERRIDE","W","TECH_STUDIES_PARAM1_OVERRIDE",39,"USE_PREVIOUS_BUSINESS_DAY","Y")),"")</f>
        <v>0.12809000000000001</v>
      </c>
      <c r="AK76">
        <f t="shared" si="8"/>
        <v>6560.7823076923087</v>
      </c>
      <c r="AL76">
        <f t="shared" si="52"/>
        <v>1.9523612306975836E-5</v>
      </c>
      <c r="AM76">
        <f t="shared" si="53"/>
        <v>1.9523586364055786E-5</v>
      </c>
      <c r="AN76" s="10" t="str">
        <f t="shared" si="54"/>
        <v/>
      </c>
      <c r="AO76" s="10" t="str">
        <f t="shared" si="55"/>
        <v>UP</v>
      </c>
      <c r="AP76" s="6" t="str">
        <f t="shared" si="56"/>
        <v>NEGATIVE</v>
      </c>
      <c r="AQ76" cm="1">
        <f t="array" ref="AQ76">IFERROR(VALUE(_xll.BDP($B76,"INTERVAL_exp_MOV_AVG","CALC_INTERVAL","520D","TECH_STUDIES_PARAM1_OVERRIDE",100,"USE_PREVIOUS_BUSINESS_DAY","N")),"")</f>
        <v>0.1283</v>
      </c>
      <c r="AR76">
        <f t="shared" si="9"/>
        <v>6773.0064518682802</v>
      </c>
      <c r="AS76" cm="1">
        <f t="array" ref="AS76">IFERROR(VALUE(_xll.BDP($B76,"INTERVAL_exp_MOV_AVG","CALC_INTERVAL","520D","TECH_STUDIES_PARAM1_OVERRIDE",100,"USE_PREVIOUS_BUSINESS_DAY","Y")),"")</f>
        <v>0.12831000000000001</v>
      </c>
      <c r="AT76">
        <f t="shared" si="10"/>
        <v>6769.6039787132295</v>
      </c>
      <c r="AU76">
        <f t="shared" si="57"/>
        <v>1.8942843316590885E-5</v>
      </c>
      <c r="AV76">
        <f t="shared" si="58"/>
        <v>1.8953841377348821E-5</v>
      </c>
      <c r="AW76" s="11" t="str">
        <f t="shared" si="59"/>
        <v>DOWN</v>
      </c>
      <c r="AX76" s="11" t="str">
        <f t="shared" si="60"/>
        <v>DOWN</v>
      </c>
      <c r="AY76" s="6" t="str">
        <f t="shared" si="61"/>
        <v>NEGATIVE</v>
      </c>
      <c r="AZ76" s="12" cm="1">
        <f t="array" ref="AZ76">_xll.BDP($B76, "INTERVAL_RSI", "TECH_STUDIES_PARAM1_OVERRIDE", "5", "PERIODICITY_OVERRIDE", "W")</f>
        <v>14.609</v>
      </c>
      <c r="BA76" cm="1">
        <f t="array" ref="BA76">IFERROR(VALUE(_xll.BDP($B76,"INTERVAL_MAE_MOV_AVG","CALC_INTERVAL","520D","TECH_STUDIES_PARAM1_OVERRIDE",31,"USE_PREVIOUS_BUSINESS_DAY","N")),"")</f>
        <v>0.12820000000000001</v>
      </c>
      <c r="BB76" cm="1">
        <f t="array" ref="BB76">IFERROR(VALUE(_xll.BDP($B76,"INTERVAL_MAE_MOV_AVG","CALC_INTERVAL","760D","TECH_STUDIES_PARAM1_OVERRIDE",200,"USE_PREVIOUS_BUSINESS_DAY","N")),"")</f>
        <v>0.12809999999999999</v>
      </c>
      <c r="BC76" s="13">
        <f t="shared" si="62"/>
        <v>-2.0280811232450402E-3</v>
      </c>
      <c r="BD76" s="13">
        <f t="shared" si="63"/>
        <v>-3.0390399750642727E-3</v>
      </c>
      <c r="BE76" s="13">
        <f t="shared" si="64"/>
        <v>-1.2490241998438512E-3</v>
      </c>
      <c r="BF76" s="14" cm="1">
        <f t="array" ref="BF76">VALUE(_xll.BDP($B76,"INTERVAL_DATE_OF_CALC_HI","CALC_INTERVAL","3M"))</f>
        <v>45974</v>
      </c>
      <c r="BG76" s="14" cm="1">
        <f t="array" ref="BG76">VALUE(_xll.BDP($B76,"INTERVAL_DATE_OF_CALC_LO","CALC_INTERVAL","3M"))</f>
        <v>46063</v>
      </c>
      <c r="BH76" s="14" cm="1">
        <f t="array" ref="BH76">VALUE(_xll.BDP($B76,"INTERVAL_DATE_OF_CALC_HI","CALC_INTERVAL","1M"))</f>
        <v>46034</v>
      </c>
      <c r="BI76" s="14" cm="1">
        <f t="array" ref="BI76">VALUE(_xll.BDP($B76,"INTERVAL_DATE_OF_CALC_LO","CALC_INTERVAL","1M"))</f>
        <v>46063</v>
      </c>
      <c r="BJ76" s="15">
        <f>$F76-MIN(_xll.BDP("NYA Index","RSI_14D"),_xll.BDP("RSP US Equity","RSI_14D"))</f>
        <v>-41.062764160156249</v>
      </c>
    </row>
    <row r="77" spans="1:62" x14ac:dyDescent="0.25">
      <c r="A77" s="11">
        <v>76</v>
      </c>
      <c r="B77" s="26" t="s">
        <v>652</v>
      </c>
      <c r="C77" s="1" t="s">
        <v>653</v>
      </c>
      <c r="D77" s="1" t="s">
        <v>593</v>
      </c>
      <c r="E77" s="11" t="s">
        <v>960</v>
      </c>
      <c r="F77">
        <f>IFERROR(VALUE((_xll.BDP($B77,"interval_rsi","tech_studies_param1_override",14))),"")</f>
        <v>59.06</v>
      </c>
      <c r="G77">
        <f t="shared" si="0"/>
        <v>52.525531939815814</v>
      </c>
      <c r="H77">
        <f t="shared" si="38"/>
        <v>0</v>
      </c>
      <c r="I77" cm="1">
        <f t="array" ref="I77">IFERROR(VALUE(_xll.BDP($B77,"px_last")),"")</f>
        <v>0.2636</v>
      </c>
      <c r="J77">
        <f t="shared" si="1"/>
        <v>6941.47</v>
      </c>
      <c r="K77" cm="1">
        <f t="array" ref="K77">IFERROR(VALUE(_xll.BDP($B77,"PX_YEST_CLOSE")),"")</f>
        <v>0.2636</v>
      </c>
      <c r="L77">
        <f t="shared" si="2"/>
        <v>6941.81</v>
      </c>
      <c r="M77">
        <f t="shared" si="39"/>
        <v>3.7974665308644994E-5</v>
      </c>
      <c r="N77">
        <f t="shared" si="40"/>
        <v>3.7972805363442671E-5</v>
      </c>
      <c r="O77" cm="1">
        <f t="array" ref="O77">IFERROR(VALUE(_xll.BDP($B77,"INTERVAL_MAE_MOV_AVG","CALC_INTERVAL","520D","TECH_STUDIES_PARAM1_OVERRIDE",50,"USE_PREVIOUS_BUSINESS_DAY","N")),"")</f>
        <v>0.26050000000000001</v>
      </c>
      <c r="P77">
        <f t="shared" si="3"/>
        <v>6894.0953999999992</v>
      </c>
      <c r="Q77" cm="1">
        <f t="array" ref="Q77">IFERROR(VALUE(_xll.BDP($B77,"INTERVAL_MAE_MOV_AVG","CALC_INTERVAL","520D","TECH_STUDIES_PARAM1_OVERRIDE",50,"USE_PREVIOUS_BUSINESS_DAY","Y")),"")</f>
        <v>0.26050000000000001</v>
      </c>
      <c r="R77">
        <f t="shared" si="4"/>
        <v>6892.2477999999992</v>
      </c>
      <c r="S77">
        <f t="shared" si="41"/>
        <v>3.7785958111342649E-5</v>
      </c>
      <c r="T77">
        <f t="shared" si="42"/>
        <v>3.7796087366446694E-5</v>
      </c>
      <c r="U77" s="11" t="str">
        <f t="shared" si="43"/>
        <v>NEGATIVE</v>
      </c>
      <c r="V77" s="11" t="str">
        <f t="shared" si="44"/>
        <v/>
      </c>
      <c r="W77" s="11" t="str">
        <f t="shared" si="45"/>
        <v>DOWN</v>
      </c>
      <c r="X77" s="6" t="str">
        <f t="shared" si="46"/>
        <v>POSITIVE</v>
      </c>
      <c r="Y77" cm="1">
        <f t="array" ref="Y77">IFERROR(VALUE(_xll.BDP($B77,"INTERVAL_MAE_MOV_AVG","CALC_INTERVAL","520D","TECH_STUDIES_PARAM1_OVERRIDE",65,"USE_PREVIOUS_BUSINESS_DAY","N")),"")</f>
        <v>0.26069999999999999</v>
      </c>
      <c r="Z77">
        <f t="shared" si="5"/>
        <v>6856.0226153846133</v>
      </c>
      <c r="AA77" cm="1">
        <f t="array" ref="AA77">IFERROR(VALUE(_xll.BDP($B77,"INTERVAL_MAE_MOV_AVG","CALC_INTERVAL","520D","TECH_STUDIES_PARAM1_OVERRIDE",65,"USE_PREVIOUS_BUSINESS_DAY","Y")),"")</f>
        <v>0.26069999999999999</v>
      </c>
      <c r="AB77">
        <f t="shared" si="6"/>
        <v>6852.6203076923057</v>
      </c>
      <c r="AC77">
        <f t="shared" si="47"/>
        <v>3.80249620844308E-5</v>
      </c>
      <c r="AD77">
        <f t="shared" si="48"/>
        <v>3.8043841376612555E-5</v>
      </c>
      <c r="AE77" s="10" t="str">
        <f t="shared" si="49"/>
        <v/>
      </c>
      <c r="AF77" s="10" t="str">
        <f t="shared" si="50"/>
        <v>DOWN</v>
      </c>
      <c r="AG77" s="6" t="str">
        <f t="shared" si="51"/>
        <v>NEGATIVE</v>
      </c>
      <c r="AH77" cm="1">
        <f t="array" ref="AH77">IFERROR(VALUE(_xll.BDP($B77,"INTERVAL_MAE_MOV_AVG","CALC_INTERVAL","65W","PERIODICITY_OVERRIDE","W","TECH_STUDIES_PARAM1_OVERRIDE",39,"USE_PREVIOUS_BUSINESS_DAY","N")),"")</f>
        <v>0.25580000000000003</v>
      </c>
      <c r="AI77">
        <f t="shared" si="7"/>
        <v>6560.7735897435905</v>
      </c>
      <c r="AJ77" cm="1">
        <f t="array" ref="AJ77">IFERROR(VALUE(_xll.BDP($B77,"INTERVAL_MAE_MOV_AVG","CALC_INTERVAL","65W","PERIODICITY_OVERRIDE","W","TECH_STUDIES_PARAM1_OVERRIDE",39,"USE_PREVIOUS_BUSINESS_DAY","Y")),"")</f>
        <v>0.25580000000000003</v>
      </c>
      <c r="AK77">
        <f t="shared" si="8"/>
        <v>6560.7823076923087</v>
      </c>
      <c r="AL77">
        <f t="shared" si="52"/>
        <v>3.8989304614914668E-5</v>
      </c>
      <c r="AM77">
        <f t="shared" si="53"/>
        <v>3.8989252806038489E-5</v>
      </c>
      <c r="AN77" s="10" t="str">
        <f t="shared" si="54"/>
        <v/>
      </c>
      <c r="AO77" s="10" t="str">
        <f t="shared" si="55"/>
        <v>UP</v>
      </c>
      <c r="AP77" s="6" t="str">
        <f t="shared" si="56"/>
        <v>NEGATIVE</v>
      </c>
      <c r="AQ77" cm="1">
        <f t="array" ref="AQ77">IFERROR(VALUE(_xll.BDP($B77,"INTERVAL_exp_MOV_AVG","CALC_INTERVAL","520D","TECH_STUDIES_PARAM1_OVERRIDE",100,"USE_PREVIOUS_BUSINESS_DAY","N")),"")</f>
        <v>0.25919999999999999</v>
      </c>
      <c r="AR77">
        <f t="shared" si="9"/>
        <v>6773.0064518682802</v>
      </c>
      <c r="AS77" cm="1">
        <f t="array" ref="AS77">IFERROR(VALUE(_xll.BDP($B77,"INTERVAL_exp_MOV_AVG","CALC_INTERVAL","520D","TECH_STUDIES_PARAM1_OVERRIDE",100,"USE_PREVIOUS_BUSINESS_DAY","Y")),"")</f>
        <v>0.25919999999999999</v>
      </c>
      <c r="AT77">
        <f t="shared" si="10"/>
        <v>6769.6039787132295</v>
      </c>
      <c r="AU77">
        <f t="shared" si="57"/>
        <v>3.8269563426814944E-5</v>
      </c>
      <c r="AV77">
        <f t="shared" si="58"/>
        <v>3.8288798106217857E-5</v>
      </c>
      <c r="AW77" s="11" t="str">
        <f t="shared" si="59"/>
        <v/>
      </c>
      <c r="AX77" s="11" t="str">
        <f t="shared" si="60"/>
        <v>DOWN</v>
      </c>
      <c r="AY77" s="6" t="str">
        <f t="shared" si="61"/>
        <v>NEGATIVE</v>
      </c>
      <c r="AZ77" s="12" cm="1">
        <f t="array" ref="AZ77">_xll.BDP($B77, "INTERVAL_RSI", "TECH_STUDIES_PARAM1_OVERRIDE", "5", "PERIODICITY_OVERRIDE", "W")</f>
        <v>66.676000000000002</v>
      </c>
      <c r="BA77" cm="1">
        <f t="array" ref="BA77">IFERROR(VALUE(_xll.BDP($B77,"INTERVAL_MAE_MOV_AVG","CALC_INTERVAL","520D","TECH_STUDIES_PARAM1_OVERRIDE",31,"USE_PREVIOUS_BUSINESS_DAY","N")),"")</f>
        <v>0.26140000000000002</v>
      </c>
      <c r="BB77" cm="1">
        <f t="array" ref="BB77">IFERROR(VALUE(_xll.BDP($B77,"INTERVAL_MAE_MOV_AVG","CALC_INTERVAL","760D","TECH_STUDIES_PARAM1_OVERRIDE",200,"USE_PREVIOUS_BUSINESS_DAY","N")),"")</f>
        <v>0.25519999999999998</v>
      </c>
      <c r="BC77" s="13">
        <f t="shared" si="62"/>
        <v>8.4162203519508871E-3</v>
      </c>
      <c r="BD77" s="13">
        <f t="shared" si="63"/>
        <v>1.1900191938579718E-2</v>
      </c>
      <c r="BE77" s="13">
        <f t="shared" si="64"/>
        <v>3.2915360501567514E-2</v>
      </c>
      <c r="BF77" s="14" cm="1">
        <f t="array" ref="BF77">VALUE(_xll.BDP($B77,"INTERVAL_DATE_OF_CALC_HI","CALC_INTERVAL","3M"))</f>
        <v>46062</v>
      </c>
      <c r="BG77" s="14" cm="1">
        <f t="array" ref="BG77">VALUE(_xll.BDP($B77,"INTERVAL_DATE_OF_CALC_LO","CALC_INTERVAL","3M"))</f>
        <v>46014</v>
      </c>
      <c r="BH77" s="14" cm="1">
        <f t="array" ref="BH77">VALUE(_xll.BDP($B77,"INTERVAL_DATE_OF_CALC_HI","CALC_INTERVAL","1M"))</f>
        <v>46062</v>
      </c>
      <c r="BI77" s="14" cm="1">
        <f t="array" ref="BI77">VALUE(_xll.BDP($B77,"INTERVAL_DATE_OF_CALC_LO","CALC_INTERVAL","1M"))</f>
        <v>46034</v>
      </c>
      <c r="BJ77" s="15">
        <f>$F77-MIN(_xll.BDP("NYA Index","RSI_14D"),_xll.BDP("RSP US Equity","RSI_14D"))</f>
        <v>-7.2857641601562477</v>
      </c>
    </row>
    <row r="78" spans="1:62" x14ac:dyDescent="0.25">
      <c r="A78" s="11">
        <v>77</v>
      </c>
      <c r="B78" s="26" t="s">
        <v>654</v>
      </c>
      <c r="C78" s="1" t="s">
        <v>655</v>
      </c>
      <c r="D78" s="1" t="s">
        <v>593</v>
      </c>
      <c r="E78" s="11" t="s">
        <v>959</v>
      </c>
      <c r="F78">
        <f>IFERROR(VALUE((_xll.BDP($B78,"interval_rsi","tech_studies_param1_override",14))),"")</f>
        <v>58.082000000000001</v>
      </c>
      <c r="G78">
        <f t="shared" si="0"/>
        <v>52.525531939815814</v>
      </c>
      <c r="H78">
        <f t="shared" si="38"/>
        <v>0</v>
      </c>
      <c r="I78" cm="1">
        <f t="array" ref="I78">IFERROR(VALUE(_xll.BDP($B78,"px_last")),"")</f>
        <v>3.13E-3</v>
      </c>
      <c r="J78">
        <f t="shared" si="1"/>
        <v>6941.47</v>
      </c>
      <c r="K78" cm="1">
        <f t="array" ref="K78">IFERROR(VALUE(_xll.BDP($B78,"PX_YEST_CLOSE")),"")</f>
        <v>3.13E-3</v>
      </c>
      <c r="L78">
        <f t="shared" si="2"/>
        <v>6941.81</v>
      </c>
      <c r="M78">
        <f t="shared" si="39"/>
        <v>4.5091313511403202E-7</v>
      </c>
      <c r="N78">
        <f t="shared" si="40"/>
        <v>4.5089105002873886E-7</v>
      </c>
      <c r="O78" cm="1">
        <f t="array" ref="O78">IFERROR(VALUE(_xll.BDP($B78,"INTERVAL_MAE_MOV_AVG","CALC_INTERVAL","520D","TECH_STUDIES_PARAM1_OVERRIDE",50,"USE_PREVIOUS_BUSINESS_DAY","N")),"")</f>
        <v>3.0599999999999998E-3</v>
      </c>
      <c r="P78">
        <f t="shared" si="3"/>
        <v>6894.0953999999992</v>
      </c>
      <c r="Q78" cm="1">
        <f t="array" ref="Q78">IFERROR(VALUE(_xll.BDP($B78,"INTERVAL_MAE_MOV_AVG","CALC_INTERVAL","520D","TECH_STUDIES_PARAM1_OVERRIDE",50,"USE_PREVIOUS_BUSINESS_DAY","Y")),"")</f>
        <v>3.0599999999999998E-3</v>
      </c>
      <c r="R78">
        <f t="shared" si="4"/>
        <v>6892.2477999999992</v>
      </c>
      <c r="S78">
        <f t="shared" si="41"/>
        <v>4.4385808760348747E-7</v>
      </c>
      <c r="T78">
        <f t="shared" si="42"/>
        <v>4.439770723275504E-7</v>
      </c>
      <c r="U78" s="11" t="str">
        <f t="shared" si="43"/>
        <v>NEGATIVE</v>
      </c>
      <c r="V78" s="11" t="str">
        <f t="shared" si="44"/>
        <v/>
      </c>
      <c r="W78" s="11" t="str">
        <f t="shared" si="45"/>
        <v>DOWN</v>
      </c>
      <c r="X78" s="6" t="str">
        <f t="shared" si="46"/>
        <v>POSITIVE</v>
      </c>
      <c r="Y78" cm="1">
        <f t="array" ref="Y78">IFERROR(VALUE(_xll.BDP($B78,"INTERVAL_MAE_MOV_AVG","CALC_INTERVAL","520D","TECH_STUDIES_PARAM1_OVERRIDE",65,"USE_PREVIOUS_BUSINESS_DAY","N")),"")</f>
        <v>3.0500000000000002E-3</v>
      </c>
      <c r="Z78">
        <f t="shared" si="5"/>
        <v>6856.0226153846133</v>
      </c>
      <c r="AA78" cm="1">
        <f t="array" ref="AA78">IFERROR(VALUE(_xll.BDP($B78,"INTERVAL_MAE_MOV_AVG","CALC_INTERVAL","520D","TECH_STUDIES_PARAM1_OVERRIDE",65,"USE_PREVIOUS_BUSINESS_DAY","Y")),"")</f>
        <v>3.0500000000000002E-3</v>
      </c>
      <c r="AB78">
        <f t="shared" si="6"/>
        <v>6852.6203076923057</v>
      </c>
      <c r="AC78">
        <f t="shared" si="47"/>
        <v>4.4486434352709606E-7</v>
      </c>
      <c r="AD78">
        <f t="shared" si="48"/>
        <v>4.4508521748626122E-7</v>
      </c>
      <c r="AE78" s="10" t="str">
        <f t="shared" si="49"/>
        <v/>
      </c>
      <c r="AF78" s="10" t="str">
        <f t="shared" si="50"/>
        <v>DOWN</v>
      </c>
      <c r="AG78" s="6" t="str">
        <f t="shared" si="51"/>
        <v>POSITIVE</v>
      </c>
      <c r="AH78" cm="1">
        <f t="array" ref="AH78">IFERROR(VALUE(_xll.BDP($B78,"INTERVAL_MAE_MOV_AVG","CALC_INTERVAL","65W","PERIODICITY_OVERRIDE","W","TECH_STUDIES_PARAM1_OVERRIDE",39,"USE_PREVIOUS_BUSINESS_DAY","N")),"")</f>
        <v>2.98E-3</v>
      </c>
      <c r="AI78">
        <f t="shared" si="7"/>
        <v>6560.7735897435905</v>
      </c>
      <c r="AJ78" cm="1">
        <f t="array" ref="AJ78">IFERROR(VALUE(_xll.BDP($B78,"INTERVAL_MAE_MOV_AVG","CALC_INTERVAL","65W","PERIODICITY_OVERRIDE","W","TECH_STUDIES_PARAM1_OVERRIDE",39,"USE_PREVIOUS_BUSINESS_DAY","Y")),"")</f>
        <v>2.98E-3</v>
      </c>
      <c r="AK78">
        <f t="shared" si="8"/>
        <v>6560.7823076923087</v>
      </c>
      <c r="AL78">
        <f t="shared" si="52"/>
        <v>4.5421472929024896E-7</v>
      </c>
      <c r="AM78">
        <f t="shared" si="53"/>
        <v>4.542141257310191E-7</v>
      </c>
      <c r="AN78" s="10" t="str">
        <f t="shared" si="54"/>
        <v/>
      </c>
      <c r="AO78" s="10" t="str">
        <f t="shared" si="55"/>
        <v>UP</v>
      </c>
      <c r="AP78" s="6" t="str">
        <f t="shared" si="56"/>
        <v>NEGATIVE</v>
      </c>
      <c r="AQ78" cm="1">
        <f t="array" ref="AQ78">IFERROR(VALUE(_xll.BDP($B78,"INTERVAL_exp_MOV_AVG","CALC_INTERVAL","520D","TECH_STUDIES_PARAM1_OVERRIDE",100,"USE_PREVIOUS_BUSINESS_DAY","N")),"")</f>
        <v>3.0300000000000001E-3</v>
      </c>
      <c r="AR78">
        <f t="shared" si="9"/>
        <v>6773.0064518682802</v>
      </c>
      <c r="AS78" cm="1">
        <f t="array" ref="AS78">IFERROR(VALUE(_xll.BDP($B78,"INTERVAL_exp_MOV_AVG","CALC_INTERVAL","520D","TECH_STUDIES_PARAM1_OVERRIDE",100,"USE_PREVIOUS_BUSINESS_DAY","Y")),"")</f>
        <v>3.0300000000000001E-3</v>
      </c>
      <c r="AT78">
        <f t="shared" si="10"/>
        <v>6769.6039787132295</v>
      </c>
      <c r="AU78">
        <f t="shared" si="57"/>
        <v>4.4736410950327657E-7</v>
      </c>
      <c r="AV78">
        <f t="shared" si="58"/>
        <v>4.4758895934351901E-7</v>
      </c>
      <c r="AW78" s="11" t="str">
        <f t="shared" si="59"/>
        <v/>
      </c>
      <c r="AX78" s="11" t="str">
        <f t="shared" si="60"/>
        <v>DOWN</v>
      </c>
      <c r="AY78" s="6" t="str">
        <f t="shared" si="61"/>
        <v>POSITIVE</v>
      </c>
      <c r="AZ78" s="12" cm="1">
        <f t="array" ref="AZ78">_xll.BDP($B78, "INTERVAL_RSI", "TECH_STUDIES_PARAM1_OVERRIDE", "5", "PERIODICITY_OVERRIDE", "W")</f>
        <v>77.239000000000004</v>
      </c>
      <c r="BA78" cm="1">
        <f t="array" ref="BA78">IFERROR(VALUE(_xll.BDP($B78,"INTERVAL_MAE_MOV_AVG","CALC_INTERVAL","520D","TECH_STUDIES_PARAM1_OVERRIDE",31,"USE_PREVIOUS_BUSINESS_DAY","N")),"")</f>
        <v>3.0799999999999998E-3</v>
      </c>
      <c r="BB78" cm="1">
        <f t="array" ref="BB78">IFERROR(VALUE(_xll.BDP($B78,"INTERVAL_MAE_MOV_AVG","CALC_INTERVAL","760D","TECH_STUDIES_PARAM1_OVERRIDE",200,"USE_PREVIOUS_BUSINESS_DAY","N")),"")</f>
        <v>2.97E-3</v>
      </c>
      <c r="BC78" s="13">
        <f t="shared" si="62"/>
        <v>1.6233766233766378E-2</v>
      </c>
      <c r="BD78" s="13">
        <f t="shared" si="63"/>
        <v>2.2875816993464193E-2</v>
      </c>
      <c r="BE78" s="13">
        <f t="shared" si="64"/>
        <v>5.3872053872053849E-2</v>
      </c>
      <c r="BF78" s="14" cm="1">
        <f t="array" ref="BF78">VALUE(_xll.BDP($B78,"INTERVAL_DATE_OF_CALC_HI","CALC_INTERVAL","3M"))</f>
        <v>46049</v>
      </c>
      <c r="BG78" s="14" cm="1">
        <f t="array" ref="BG78">VALUE(_xll.BDP($B78,"INTERVAL_DATE_OF_CALC_LO","CALC_INTERVAL","3M"))</f>
        <v>45982</v>
      </c>
      <c r="BH78" s="14" cm="1">
        <f t="array" ref="BH78">VALUE(_xll.BDP($B78,"INTERVAL_DATE_OF_CALC_HI","CALC_INTERVAL","1M"))</f>
        <v>46049</v>
      </c>
      <c r="BI78" s="14" cm="1">
        <f t="array" ref="BI78">VALUE(_xll.BDP($B78,"INTERVAL_DATE_OF_CALC_LO","CALC_INTERVAL","1M"))</f>
        <v>46034</v>
      </c>
      <c r="BJ78" s="15">
        <f>$F78-MIN(_xll.BDP("NYA Index","RSI_14D"),_xll.BDP("RSP US Equity","RSI_14D"))</f>
        <v>-8.2637641601562493</v>
      </c>
    </row>
    <row r="79" spans="1:62" x14ac:dyDescent="0.25">
      <c r="A79" s="11">
        <v>78</v>
      </c>
      <c r="B79" s="26" t="s">
        <v>656</v>
      </c>
      <c r="C79" s="1" t="s">
        <v>657</v>
      </c>
      <c r="D79" s="1" t="s">
        <v>593</v>
      </c>
      <c r="E79" s="11" t="s">
        <v>959</v>
      </c>
      <c r="F79">
        <f>IFERROR(VALUE((_xll.BDP($B79,"interval_rsi","tech_studies_param1_override",14))),"")</f>
        <v>50.682000000000002</v>
      </c>
      <c r="G79">
        <f t="shared" si="0"/>
        <v>52.525531939815814</v>
      </c>
      <c r="H79">
        <f t="shared" si="38"/>
        <v>0</v>
      </c>
      <c r="I79" cm="1">
        <f t="array" ref="I79">IFERROR(VALUE(_xll.BDP($B79,"px_last")),"")</f>
        <v>1.1025E-2</v>
      </c>
      <c r="J79">
        <f t="shared" si="1"/>
        <v>6941.47</v>
      </c>
      <c r="K79" cm="1">
        <f t="array" ref="K79">IFERROR(VALUE(_xll.BDP($B79,"PX_YEST_CLOSE")),"")</f>
        <v>1.1025E-2</v>
      </c>
      <c r="L79">
        <f t="shared" si="2"/>
        <v>6941.81</v>
      </c>
      <c r="M79">
        <f t="shared" si="39"/>
        <v>1.5882802922147614E-6</v>
      </c>
      <c r="N79">
        <f t="shared" si="40"/>
        <v>1.5882025005005898E-6</v>
      </c>
      <c r="O79" cm="1">
        <f t="array" ref="O79">IFERROR(VALUE(_xll.BDP($B79,"INTERVAL_MAE_MOV_AVG","CALC_INTERVAL","520D","TECH_STUDIES_PARAM1_OVERRIDE",50,"USE_PREVIOUS_BUSINESS_DAY","N")),"")</f>
        <v>1.1056E-2</v>
      </c>
      <c r="P79">
        <f t="shared" si="3"/>
        <v>6894.0953999999992</v>
      </c>
      <c r="Q79" cm="1">
        <f t="array" ref="Q79">IFERROR(VALUE(_xll.BDP($B79,"INTERVAL_MAE_MOV_AVG","CALC_INTERVAL","520D","TECH_STUDIES_PARAM1_OVERRIDE",50,"USE_PREVIOUS_BUSINESS_DAY","Y")),"")</f>
        <v>1.1058999999999999E-2</v>
      </c>
      <c r="R79">
        <f t="shared" si="4"/>
        <v>6892.2477999999992</v>
      </c>
      <c r="S79">
        <f t="shared" si="41"/>
        <v>1.6036911818771758E-6</v>
      </c>
      <c r="T79">
        <f t="shared" si="42"/>
        <v>1.6045563538792092E-6</v>
      </c>
      <c r="U79" s="11" t="str">
        <f t="shared" si="43"/>
        <v>NEGATIVE</v>
      </c>
      <c r="V79" s="11" t="str">
        <f t="shared" si="44"/>
        <v/>
      </c>
      <c r="W79" s="11" t="str">
        <f t="shared" si="45"/>
        <v>DOWN</v>
      </c>
      <c r="X79" s="6" t="str">
        <f t="shared" si="46"/>
        <v>NEGATIVE</v>
      </c>
      <c r="Y79" cm="1">
        <f t="array" ref="Y79">IFERROR(VALUE(_xll.BDP($B79,"INTERVAL_MAE_MOV_AVG","CALC_INTERVAL","520D","TECH_STUDIES_PARAM1_OVERRIDE",65,"USE_PREVIOUS_BUSINESS_DAY","N")),"")</f>
        <v>1.11E-2</v>
      </c>
      <c r="Z79">
        <f t="shared" si="5"/>
        <v>6856.0226153846133</v>
      </c>
      <c r="AA79" cm="1">
        <f t="array" ref="AA79">IFERROR(VALUE(_xll.BDP($B79,"INTERVAL_MAE_MOV_AVG","CALC_INTERVAL","520D","TECH_STUDIES_PARAM1_OVERRIDE",65,"USE_PREVIOUS_BUSINESS_DAY","Y")),"")</f>
        <v>1.1103999999999999E-2</v>
      </c>
      <c r="AB79">
        <f t="shared" si="6"/>
        <v>6852.6203076923057</v>
      </c>
      <c r="AC79">
        <f t="shared" si="47"/>
        <v>1.6190144961150052E-6</v>
      </c>
      <c r="AD79">
        <f t="shared" si="48"/>
        <v>1.620402050808998E-6</v>
      </c>
      <c r="AE79" s="10" t="str">
        <f t="shared" si="49"/>
        <v>DOWN</v>
      </c>
      <c r="AF79" s="10" t="str">
        <f t="shared" si="50"/>
        <v>DOWN</v>
      </c>
      <c r="AG79" s="6" t="str">
        <f t="shared" si="51"/>
        <v>NEGATIVE</v>
      </c>
      <c r="AH79" cm="1">
        <f t="array" ref="AH79">IFERROR(VALUE(_xll.BDP($B79,"INTERVAL_MAE_MOV_AVG","CALC_INTERVAL","65W","PERIODICITY_OVERRIDE","W","TECH_STUDIES_PARAM1_OVERRIDE",39,"USE_PREVIOUS_BUSINESS_DAY","N")),"")</f>
        <v>1.1325999999999999E-2</v>
      </c>
      <c r="AI79">
        <f t="shared" si="7"/>
        <v>6560.7735897435905</v>
      </c>
      <c r="AJ79" cm="1">
        <f t="array" ref="AJ79">IFERROR(VALUE(_xll.BDP($B79,"INTERVAL_MAE_MOV_AVG","CALC_INTERVAL","65W","PERIODICITY_OVERRIDE","W","TECH_STUDIES_PARAM1_OVERRIDE",39,"USE_PREVIOUS_BUSINESS_DAY","Y")),"")</f>
        <v>1.1327E-2</v>
      </c>
      <c r="AK79">
        <f t="shared" si="8"/>
        <v>6560.7823076923087</v>
      </c>
      <c r="AL79">
        <f t="shared" si="52"/>
        <v>1.7263208134031408E-6</v>
      </c>
      <c r="AM79">
        <f t="shared" si="53"/>
        <v>1.7264709403205549E-6</v>
      </c>
      <c r="AN79" s="10" t="str">
        <f t="shared" si="54"/>
        <v>DOWN</v>
      </c>
      <c r="AO79" s="10" t="str">
        <f t="shared" si="55"/>
        <v>DOWN</v>
      </c>
      <c r="AP79" s="6" t="str">
        <f t="shared" si="56"/>
        <v>NEGATIVE</v>
      </c>
      <c r="AQ79" cm="1">
        <f t="array" ref="AQ79">IFERROR(VALUE(_xll.BDP($B79,"INTERVAL_exp_MOV_AVG","CALC_INTERVAL","520D","TECH_STUDIES_PARAM1_OVERRIDE",100,"USE_PREVIOUS_BUSINESS_DAY","N")),"")</f>
        <v>1.1162999999999999E-2</v>
      </c>
      <c r="AR79">
        <f t="shared" si="9"/>
        <v>6773.0064518682802</v>
      </c>
      <c r="AS79" cm="1">
        <f t="array" ref="AS79">IFERROR(VALUE(_xll.BDP($B79,"INTERVAL_exp_MOV_AVG","CALC_INTERVAL","520D","TECH_STUDIES_PARAM1_OVERRIDE",100,"USE_PREVIOUS_BUSINESS_DAY","Y")),"")</f>
        <v>1.1166000000000001E-2</v>
      </c>
      <c r="AT79">
        <f t="shared" si="10"/>
        <v>6769.6039787132295</v>
      </c>
      <c r="AU79">
        <f t="shared" si="57"/>
        <v>1.6481602489719724E-6</v>
      </c>
      <c r="AV79">
        <f t="shared" si="58"/>
        <v>1.6494317887886907E-6</v>
      </c>
      <c r="AW79" s="11" t="str">
        <f t="shared" si="59"/>
        <v>DOWN</v>
      </c>
      <c r="AX79" s="11" t="str">
        <f t="shared" si="60"/>
        <v>DOWN</v>
      </c>
      <c r="AY79" s="6" t="str">
        <f t="shared" si="61"/>
        <v>NEGATIVE</v>
      </c>
      <c r="AZ79" s="12" cm="1">
        <f t="array" ref="AZ79">_xll.BDP($B79, "INTERVAL_RSI", "TECH_STUDIES_PARAM1_OVERRIDE", "5", "PERIODICITY_OVERRIDE", "W")</f>
        <v>48.978999999999999</v>
      </c>
      <c r="BA79" cm="1">
        <f t="array" ref="BA79">IFERROR(VALUE(_xll.BDP($B79,"INTERVAL_MAE_MOV_AVG","CALC_INTERVAL","520D","TECH_STUDIES_PARAM1_OVERRIDE",31,"USE_PREVIOUS_BUSINESS_DAY","N")),"")</f>
        <v>1.1025999999999999E-2</v>
      </c>
      <c r="BB79" cm="1">
        <f t="array" ref="BB79">IFERROR(VALUE(_xll.BDP($B79,"INTERVAL_MAE_MOV_AVG","CALC_INTERVAL","760D","TECH_STUDIES_PARAM1_OVERRIDE",200,"USE_PREVIOUS_BUSINESS_DAY","N")),"")</f>
        <v>1.1377999999999999E-2</v>
      </c>
      <c r="BC79" s="13">
        <f t="shared" si="62"/>
        <v>-9.0694721567086134E-5</v>
      </c>
      <c r="BD79" s="13">
        <f t="shared" si="63"/>
        <v>-2.8039073806077619E-3</v>
      </c>
      <c r="BE79" s="13">
        <f t="shared" si="64"/>
        <v>-3.1024784672174288E-2</v>
      </c>
      <c r="BF79" s="14" cm="1">
        <f t="array" ref="BF79">VALUE(_xll.BDP($B79,"INTERVAL_DATE_OF_CALC_HI","CALC_INTERVAL","3M"))</f>
        <v>45972</v>
      </c>
      <c r="BG79" s="14" cm="1">
        <f t="array" ref="BG79">VALUE(_xll.BDP($B79,"INTERVAL_DATE_OF_CALC_LO","CALC_INTERVAL","3M"))</f>
        <v>46052</v>
      </c>
      <c r="BH79" s="14" cm="1">
        <f t="array" ref="BH79">VALUE(_xll.BDP($B79,"INTERVAL_DATE_OF_CALC_HI","CALC_INTERVAL","1M"))</f>
        <v>46034</v>
      </c>
      <c r="BI79" s="14" cm="1">
        <f t="array" ref="BI79">VALUE(_xll.BDP($B79,"INTERVAL_DATE_OF_CALC_LO","CALC_INTERVAL","1M"))</f>
        <v>46052</v>
      </c>
      <c r="BJ79" s="15">
        <f>$F79-MIN(_xll.BDP("NYA Index","RSI_14D"),_xll.BDP("RSP US Equity","RSI_14D"))</f>
        <v>-15.663764160156248</v>
      </c>
    </row>
    <row r="80" spans="1:62" x14ac:dyDescent="0.25">
      <c r="A80" s="11">
        <v>79</v>
      </c>
      <c r="B80" s="26" t="s">
        <v>658</v>
      </c>
      <c r="C80" s="1" t="s">
        <v>659</v>
      </c>
      <c r="D80" s="1" t="s">
        <v>593</v>
      </c>
      <c r="E80" s="11" t="s">
        <v>960</v>
      </c>
      <c r="F80">
        <f>IFERROR(VALUE((_xll.BDP($B80,"interval_rsi","tech_studies_param1_override",14))),"")</f>
        <v>60.756</v>
      </c>
      <c r="G80">
        <f t="shared" si="0"/>
        <v>52.525531939815814</v>
      </c>
      <c r="H80">
        <f t="shared" si="38"/>
        <v>0</v>
      </c>
      <c r="I80" cm="1">
        <f t="array" ref="I80">IFERROR(VALUE(_xll.BDP($B80,"px_last")),"")</f>
        <v>0.68879999999999997</v>
      </c>
      <c r="J80">
        <f t="shared" si="1"/>
        <v>6941.47</v>
      </c>
      <c r="K80" cm="1">
        <f t="array" ref="K80">IFERROR(VALUE(_xll.BDP($B80,"PX_YEST_CLOSE")),"")</f>
        <v>0.68879999999999997</v>
      </c>
      <c r="L80">
        <f t="shared" si="2"/>
        <v>6941.81</v>
      </c>
      <c r="M80">
        <f t="shared" si="39"/>
        <v>9.922970206598889E-5</v>
      </c>
      <c r="N80">
        <f t="shared" si="40"/>
        <v>9.922484193603685E-5</v>
      </c>
      <c r="O80" cm="1">
        <f t="array" ref="O80">IFERROR(VALUE(_xll.BDP($B80,"INTERVAL_MAE_MOV_AVG","CALC_INTERVAL","520D","TECH_STUDIES_PARAM1_OVERRIDE",50,"USE_PREVIOUS_BUSINESS_DAY","N")),"")</f>
        <v>0.68120000000000003</v>
      </c>
      <c r="P80">
        <f t="shared" si="3"/>
        <v>6894.0953999999992</v>
      </c>
      <c r="Q80" cm="1">
        <f t="array" ref="Q80">IFERROR(VALUE(_xll.BDP($B80,"INTERVAL_MAE_MOV_AVG","CALC_INTERVAL","520D","TECH_STUDIES_PARAM1_OVERRIDE",50,"USE_PREVIOUS_BUSINESS_DAY","Y")),"")</f>
        <v>0.68089999999999995</v>
      </c>
      <c r="R80">
        <f t="shared" si="4"/>
        <v>6892.2477999999992</v>
      </c>
      <c r="S80">
        <f t="shared" si="41"/>
        <v>9.8809192573691404E-5</v>
      </c>
      <c r="T80">
        <f t="shared" si="42"/>
        <v>9.8792153120205573E-5</v>
      </c>
      <c r="U80" s="11" t="str">
        <f t="shared" si="43"/>
        <v>NEGATIVE</v>
      </c>
      <c r="V80" s="11" t="str">
        <f t="shared" si="44"/>
        <v/>
      </c>
      <c r="W80" s="11" t="str">
        <f t="shared" si="45"/>
        <v>UP</v>
      </c>
      <c r="X80" s="6" t="str">
        <f t="shared" si="46"/>
        <v>POSITIVE</v>
      </c>
      <c r="Y80" cm="1">
        <f t="array" ref="Y80">IFERROR(VALUE(_xll.BDP($B80,"INTERVAL_MAE_MOV_AVG","CALC_INTERVAL","520D","TECH_STUDIES_PARAM1_OVERRIDE",65,"USE_PREVIOUS_BUSINESS_DAY","N")),"")</f>
        <v>0.68059999999999998</v>
      </c>
      <c r="Z80">
        <f t="shared" si="5"/>
        <v>6856.0226153846133</v>
      </c>
      <c r="AA80" cm="1">
        <f t="array" ref="AA80">IFERROR(VALUE(_xll.BDP($B80,"INTERVAL_MAE_MOV_AVG","CALC_INTERVAL","520D","TECH_STUDIES_PARAM1_OVERRIDE",65,"USE_PREVIOUS_BUSINESS_DAY","Y")),"")</f>
        <v>0.6804</v>
      </c>
      <c r="AB80">
        <f t="shared" si="6"/>
        <v>6852.6203076923057</v>
      </c>
      <c r="AC80">
        <f t="shared" si="47"/>
        <v>9.9270384329357879E-5</v>
      </c>
      <c r="AD80">
        <f t="shared" si="48"/>
        <v>9.9290485894312165E-5</v>
      </c>
      <c r="AE80" s="10" t="str">
        <f t="shared" si="49"/>
        <v>UP</v>
      </c>
      <c r="AF80" s="10" t="str">
        <f t="shared" si="50"/>
        <v>DOWN</v>
      </c>
      <c r="AG80" s="6" t="str">
        <f t="shared" si="51"/>
        <v>NEGATIVE</v>
      </c>
      <c r="AH80" cm="1">
        <f t="array" ref="AH80">IFERROR(VALUE(_xll.BDP($B80,"INTERVAL_MAE_MOV_AVG","CALC_INTERVAL","65W","PERIODICITY_OVERRIDE","W","TECH_STUDIES_PARAM1_OVERRIDE",39,"USE_PREVIOUS_BUSINESS_DAY","N")),"")</f>
        <v>0.69210000000000005</v>
      </c>
      <c r="AI80">
        <f t="shared" si="7"/>
        <v>6560.7735897435905</v>
      </c>
      <c r="AJ80" cm="1">
        <f t="array" ref="AJ80">IFERROR(VALUE(_xll.BDP($B80,"INTERVAL_MAE_MOV_AVG","CALC_INTERVAL","65W","PERIODICITY_OVERRIDE","W","TECH_STUDIES_PARAM1_OVERRIDE",39,"USE_PREVIOUS_BUSINESS_DAY","Y")),"")</f>
        <v>0.69220000000000004</v>
      </c>
      <c r="AK80">
        <f t="shared" si="8"/>
        <v>6560.7823076923087</v>
      </c>
      <c r="AL80">
        <f t="shared" si="52"/>
        <v>1.0549060877240985E-4</v>
      </c>
      <c r="AM80">
        <f t="shared" si="53"/>
        <v>1.0550571068154747E-4</v>
      </c>
      <c r="AN80" s="10" t="str">
        <f t="shared" si="54"/>
        <v>DOWN</v>
      </c>
      <c r="AO80" s="10" t="str">
        <f t="shared" si="55"/>
        <v>DOWN</v>
      </c>
      <c r="AP80" s="6" t="str">
        <f t="shared" si="56"/>
        <v>NEGATIVE</v>
      </c>
      <c r="AQ80" cm="1">
        <f t="array" ref="AQ80">IFERROR(VALUE(_xll.BDP($B80,"INTERVAL_exp_MOV_AVG","CALC_INTERVAL","520D","TECH_STUDIES_PARAM1_OVERRIDE",100,"USE_PREVIOUS_BUSINESS_DAY","N")),"")</f>
        <v>0.68630000000000002</v>
      </c>
      <c r="AR80">
        <f t="shared" si="9"/>
        <v>6773.0064518682802</v>
      </c>
      <c r="AS80" cm="1">
        <f t="array" ref="AS80">IFERROR(VALUE(_xll.BDP($B80,"INTERVAL_exp_MOV_AVG","CALC_INTERVAL","520D","TECH_STUDIES_PARAM1_OVERRIDE",100,"USE_PREVIOUS_BUSINESS_DAY","Y")),"")</f>
        <v>0.68620000000000003</v>
      </c>
      <c r="AT80">
        <f t="shared" si="10"/>
        <v>6769.6039787132295</v>
      </c>
      <c r="AU80">
        <f t="shared" si="57"/>
        <v>1.0132870902709529E-4</v>
      </c>
      <c r="AV80">
        <f t="shared" si="58"/>
        <v>1.0136486597409991E-4</v>
      </c>
      <c r="AW80" s="11" t="str">
        <f t="shared" si="59"/>
        <v>UP</v>
      </c>
      <c r="AX80" s="11" t="str">
        <f t="shared" si="60"/>
        <v>DOWN</v>
      </c>
      <c r="AY80" s="6" t="str">
        <f t="shared" si="61"/>
        <v>NEGATIVE</v>
      </c>
      <c r="AZ80" s="12" cm="1">
        <f t="array" ref="AZ80">_xll.BDP($B80, "INTERVAL_RSI", "TECH_STUDIES_PARAM1_OVERRIDE", "5", "PERIODICITY_OVERRIDE", "W")</f>
        <v>68.394999999999996</v>
      </c>
      <c r="BA80" cm="1">
        <f t="array" ref="BA80">IFERROR(VALUE(_xll.BDP($B80,"INTERVAL_MAE_MOV_AVG","CALC_INTERVAL","520D","TECH_STUDIES_PARAM1_OVERRIDE",31,"USE_PREVIOUS_BUSINESS_DAY","N")),"")</f>
        <v>0.68500000000000005</v>
      </c>
      <c r="BB80" cm="1">
        <f t="array" ref="BB80">IFERROR(VALUE(_xll.BDP($B80,"INTERVAL_MAE_MOV_AVG","CALC_INTERVAL","760D","TECH_STUDIES_PARAM1_OVERRIDE",200,"USE_PREVIOUS_BUSINESS_DAY","N")),"")</f>
        <v>0.69210000000000005</v>
      </c>
      <c r="BC80" s="13">
        <f t="shared" si="62"/>
        <v>5.5474452554742371E-3</v>
      </c>
      <c r="BD80" s="13">
        <f t="shared" si="63"/>
        <v>1.1156782149148503E-2</v>
      </c>
      <c r="BE80" s="13">
        <f t="shared" si="64"/>
        <v>-4.7680970957955093E-3</v>
      </c>
      <c r="BF80" s="14" cm="1">
        <f t="array" ref="BF80">VALUE(_xll.BDP($B80,"INTERVAL_DATE_OF_CALC_HI","CALC_INTERVAL","3M"))</f>
        <v>46058</v>
      </c>
      <c r="BG80" s="14" cm="1">
        <f t="array" ref="BG80">VALUE(_xll.BDP($B80,"INTERVAL_DATE_OF_CALC_LO","CALC_INTERVAL","3M"))</f>
        <v>45994</v>
      </c>
      <c r="BH80" s="14" cm="1">
        <f t="array" ref="BH80">VALUE(_xll.BDP($B80,"INTERVAL_DATE_OF_CALC_HI","CALC_INTERVAL","1M"))</f>
        <v>46058</v>
      </c>
      <c r="BI80" s="14" cm="1">
        <f t="array" ref="BI80">VALUE(_xll.BDP($B80,"INTERVAL_DATE_OF_CALC_LO","CALC_INTERVAL","1M"))</f>
        <v>46034</v>
      </c>
      <c r="BJ80" s="15">
        <f>$F80-MIN(_xll.BDP("NYA Index","RSI_14D"),_xll.BDP("RSP US Equity","RSI_14D"))</f>
        <v>-5.5897641601562498</v>
      </c>
    </row>
    <row r="81" spans="1:62" x14ac:dyDescent="0.25">
      <c r="A81" s="11">
        <v>80</v>
      </c>
      <c r="B81" s="26" t="s">
        <v>660</v>
      </c>
      <c r="C81" s="1" t="s">
        <v>661</v>
      </c>
      <c r="D81" s="1" t="s">
        <v>593</v>
      </c>
      <c r="E81" s="11" t="s">
        <v>959</v>
      </c>
      <c r="F81">
        <f>IFERROR(VALUE((_xll.BDP($B81,"interval_rsi","tech_studies_param1_override",14))),"")</f>
        <v>59.484000000000002</v>
      </c>
      <c r="G81">
        <f t="shared" si="0"/>
        <v>52.525531939815814</v>
      </c>
      <c r="H81">
        <f t="shared" si="38"/>
        <v>0</v>
      </c>
      <c r="I81" cm="1">
        <f t="array" ref="I81">IFERROR(VALUE(_xll.BDP($B81,"px_last")),"")</f>
        <v>8.1790000000000005E-3</v>
      </c>
      <c r="J81">
        <f t="shared" si="1"/>
        <v>6941.47</v>
      </c>
      <c r="K81" cm="1">
        <f t="array" ref="K81">IFERROR(VALUE(_xll.BDP($B81,"PX_YEST_CLOSE")),"")</f>
        <v>8.1770000000000002E-3</v>
      </c>
      <c r="L81">
        <f t="shared" si="2"/>
        <v>6941.81</v>
      </c>
      <c r="M81">
        <f t="shared" si="39"/>
        <v>1.1782806811813636E-6</v>
      </c>
      <c r="N81">
        <f t="shared" si="40"/>
        <v>1.177934861369009E-6</v>
      </c>
      <c r="O81" cm="1">
        <f t="array" ref="O81">IFERROR(VALUE(_xll.BDP($B81,"INTERVAL_MAE_MOV_AVG","CALC_INTERVAL","520D","TECH_STUDIES_PARAM1_OVERRIDE",50,"USE_PREVIOUS_BUSINESS_DAY","N")),"")</f>
        <v>7.9979999999999999E-3</v>
      </c>
      <c r="P81">
        <f t="shared" si="3"/>
        <v>6894.0953999999992</v>
      </c>
      <c r="Q81" cm="1">
        <f t="array" ref="Q81">IFERROR(VALUE(_xll.BDP($B81,"INTERVAL_MAE_MOV_AVG","CALC_INTERVAL","520D","TECH_STUDIES_PARAM1_OVERRIDE",50,"USE_PREVIOUS_BUSINESS_DAY","Y")),"")</f>
        <v>7.9909999999999998E-3</v>
      </c>
      <c r="R81">
        <f t="shared" si="4"/>
        <v>6892.2477999999992</v>
      </c>
      <c r="S81">
        <f t="shared" si="41"/>
        <v>1.1601231975989193E-6</v>
      </c>
      <c r="T81">
        <f t="shared" si="42"/>
        <v>1.1594185571795606E-6</v>
      </c>
      <c r="U81" s="11" t="str">
        <f t="shared" si="43"/>
        <v>NEGATIVE</v>
      </c>
      <c r="V81" s="11" t="str">
        <f t="shared" si="44"/>
        <v/>
      </c>
      <c r="W81" s="11" t="str">
        <f t="shared" si="45"/>
        <v>UP</v>
      </c>
      <c r="X81" s="6" t="str">
        <f t="shared" si="46"/>
        <v>POSITIVE</v>
      </c>
      <c r="Y81" cm="1">
        <f t="array" ref="Y81">IFERROR(VALUE(_xll.BDP($B81,"INTERVAL_MAE_MOV_AVG","CALC_INTERVAL","520D","TECH_STUDIES_PARAM1_OVERRIDE",65,"USE_PREVIOUS_BUSINESS_DAY","N")),"")</f>
        <v>7.9690000000000004E-3</v>
      </c>
      <c r="Z81">
        <f t="shared" si="5"/>
        <v>6856.0226153846133</v>
      </c>
      <c r="AA81" cm="1">
        <f t="array" ref="AA81">IFERROR(VALUE(_xll.BDP($B81,"INTERVAL_MAE_MOV_AVG","CALC_INTERVAL","520D","TECH_STUDIES_PARAM1_OVERRIDE",65,"USE_PREVIOUS_BUSINESS_DAY","Y")),"")</f>
        <v>7.9649999999999999E-3</v>
      </c>
      <c r="AB81">
        <f t="shared" si="6"/>
        <v>6852.6203076923057</v>
      </c>
      <c r="AC81">
        <f t="shared" si="47"/>
        <v>1.1623357224811241E-6</v>
      </c>
      <c r="AD81">
        <f t="shared" si="48"/>
        <v>1.1623291007469083E-6</v>
      </c>
      <c r="AE81" s="10" t="str">
        <f t="shared" si="49"/>
        <v>UP</v>
      </c>
      <c r="AF81" s="10" t="str">
        <f t="shared" si="50"/>
        <v>UP</v>
      </c>
      <c r="AG81" s="6" t="str">
        <f t="shared" si="51"/>
        <v>POSITIVE</v>
      </c>
      <c r="AH81" cm="1">
        <f t="array" ref="AH81">IFERROR(VALUE(_xll.BDP($B81,"INTERVAL_MAE_MOV_AVG","CALC_INTERVAL","65W","PERIODICITY_OVERRIDE","W","TECH_STUDIES_PARAM1_OVERRIDE",39,"USE_PREVIOUS_BUSINESS_DAY","N")),"")</f>
        <v>8.0689999999999998E-3</v>
      </c>
      <c r="AI81">
        <f t="shared" si="7"/>
        <v>6560.7735897435905</v>
      </c>
      <c r="AJ81" cm="1">
        <f t="array" ref="AJ81">IFERROR(VALUE(_xll.BDP($B81,"INTERVAL_MAE_MOV_AVG","CALC_INTERVAL","65W","PERIODICITY_OVERRIDE","W","TECH_STUDIES_PARAM1_OVERRIDE",39,"USE_PREVIOUS_BUSINESS_DAY","Y")),"")</f>
        <v>8.0689999999999998E-3</v>
      </c>
      <c r="AK81">
        <f t="shared" si="8"/>
        <v>6560.7823076923087</v>
      </c>
      <c r="AL81">
        <f t="shared" si="52"/>
        <v>1.2298854532359124E-6</v>
      </c>
      <c r="AM81">
        <f t="shared" si="53"/>
        <v>1.2298838189676488E-6</v>
      </c>
      <c r="AN81" s="10" t="str">
        <f t="shared" si="54"/>
        <v/>
      </c>
      <c r="AO81" s="10" t="str">
        <f t="shared" si="55"/>
        <v>UP</v>
      </c>
      <c r="AP81" s="6" t="str">
        <f t="shared" si="56"/>
        <v>NEGATIVE</v>
      </c>
      <c r="AQ81" cm="1">
        <f t="array" ref="AQ81">IFERROR(VALUE(_xll.BDP($B81,"INTERVAL_exp_MOV_AVG","CALC_INTERVAL","520D","TECH_STUDIES_PARAM1_OVERRIDE",100,"USE_PREVIOUS_BUSINESS_DAY","N")),"")</f>
        <v>8.0289999999999997E-3</v>
      </c>
      <c r="AR81">
        <f t="shared" si="9"/>
        <v>6773.0064518682802</v>
      </c>
      <c r="AS81" cm="1">
        <f t="array" ref="AS81">IFERROR(VALUE(_xll.BDP($B81,"INTERVAL_exp_MOV_AVG","CALC_INTERVAL","520D","TECH_STUDIES_PARAM1_OVERRIDE",100,"USE_PREVIOUS_BUSINESS_DAY","Y")),"")</f>
        <v>8.0260000000000001E-3</v>
      </c>
      <c r="AT81">
        <f t="shared" si="10"/>
        <v>6769.6039787132295</v>
      </c>
      <c r="AU81">
        <f t="shared" si="57"/>
        <v>1.1854410677233688E-6</v>
      </c>
      <c r="AV81">
        <f t="shared" si="58"/>
        <v>1.1855937253105885E-6</v>
      </c>
      <c r="AW81" s="11" t="str">
        <f t="shared" si="59"/>
        <v>UP</v>
      </c>
      <c r="AX81" s="11" t="str">
        <f t="shared" si="60"/>
        <v>DOWN</v>
      </c>
      <c r="AY81" s="6" t="str">
        <f t="shared" si="61"/>
        <v>NEGATIVE</v>
      </c>
      <c r="AZ81" s="12" cm="1">
        <f t="array" ref="AZ81">_xll.BDP($B81, "INTERVAL_RSI", "TECH_STUDIES_PARAM1_OVERRIDE", "5", "PERIODICITY_OVERRIDE", "W")</f>
        <v>76.378</v>
      </c>
      <c r="BA81" cm="1">
        <f t="array" ref="BA81">IFERROR(VALUE(_xll.BDP($B81,"INTERVAL_MAE_MOV_AVG","CALC_INTERVAL","520D","TECH_STUDIES_PARAM1_OVERRIDE",31,"USE_PREVIOUS_BUSINESS_DAY","N")),"")</f>
        <v>8.0610000000000005E-3</v>
      </c>
      <c r="BB81" cm="1">
        <f t="array" ref="BB81">IFERROR(VALUE(_xll.BDP($B81,"INTERVAL_MAE_MOV_AVG","CALC_INTERVAL","760D","TECH_STUDIES_PARAM1_OVERRIDE",200,"USE_PREVIOUS_BUSINESS_DAY","N")),"")</f>
        <v>8.0450000000000001E-3</v>
      </c>
      <c r="BC81" s="13">
        <f t="shared" si="62"/>
        <v>1.463838233469783E-2</v>
      </c>
      <c r="BD81" s="13">
        <f t="shared" si="63"/>
        <v>2.2630657664416187E-2</v>
      </c>
      <c r="BE81" s="13">
        <f t="shared" si="64"/>
        <v>1.6656308266003839E-2</v>
      </c>
      <c r="BF81" s="14" cm="1">
        <f t="array" ref="BF81">VALUE(_xll.BDP($B81,"INTERVAL_DATE_OF_CALC_HI","CALC_INTERVAL","3M"))</f>
        <v>46049</v>
      </c>
      <c r="BG81" s="14" cm="1">
        <f t="array" ref="BG81">VALUE(_xll.BDP($B81,"INTERVAL_DATE_OF_CALC_LO","CALC_INTERVAL","3M"))</f>
        <v>46000</v>
      </c>
      <c r="BH81" s="14" cm="1">
        <f t="array" ref="BH81">VALUE(_xll.BDP($B81,"INTERVAL_DATE_OF_CALC_HI","CALC_INTERVAL","1M"))</f>
        <v>46049</v>
      </c>
      <c r="BI81" s="14" cm="1">
        <f t="array" ref="BI81">VALUE(_xll.BDP($B81,"INTERVAL_DATE_OF_CALC_LO","CALC_INTERVAL","1M"))</f>
        <v>46038</v>
      </c>
      <c r="BJ81" s="15">
        <f>$F81-MIN(_xll.BDP("NYA Index","RSI_14D"),_xll.BDP("RSP US Equity","RSI_14D"))</f>
        <v>-6.8617641601562482</v>
      </c>
    </row>
    <row r="82" spans="1:62" x14ac:dyDescent="0.25">
      <c r="A82" s="11">
        <v>81</v>
      </c>
      <c r="B82" s="26" t="s">
        <v>662</v>
      </c>
      <c r="C82" s="1" t="s">
        <v>663</v>
      </c>
      <c r="D82" s="1" t="s">
        <v>593</v>
      </c>
      <c r="E82" s="11" t="s">
        <v>960</v>
      </c>
      <c r="F82">
        <f>IFERROR(VALUE((_xll.BDP($B82,"interval_rsi","tech_studies_param1_override",14))),"")</f>
        <v>60.613</v>
      </c>
      <c r="G82">
        <f t="shared" si="0"/>
        <v>52.525531939815814</v>
      </c>
      <c r="H82">
        <f t="shared" si="38"/>
        <v>0</v>
      </c>
      <c r="I82" cm="1">
        <f t="array" ref="I82">IFERROR(VALUE(_xll.BDP($B82,"px_last")),"")</f>
        <v>0.54976999999999998</v>
      </c>
      <c r="J82">
        <f t="shared" si="1"/>
        <v>6941.47</v>
      </c>
      <c r="K82" cm="1">
        <f t="array" ref="K82">IFERROR(VALUE(_xll.BDP($B82,"PX_YEST_CLOSE")),"")</f>
        <v>0.54957999999999996</v>
      </c>
      <c r="L82">
        <f t="shared" si="2"/>
        <v>6941.81</v>
      </c>
      <c r="M82">
        <f t="shared" si="39"/>
        <v>7.9200803288064335E-5</v>
      </c>
      <c r="N82">
        <f t="shared" si="40"/>
        <v>7.9169553761915108E-5</v>
      </c>
      <c r="O82" cm="1">
        <f t="array" ref="O82">IFERROR(VALUE(_xll.BDP($B82,"INTERVAL_MAE_MOV_AVG","CALC_INTERVAL","520D","TECH_STUDIES_PARAM1_OVERRIDE",50,"USE_PREVIOUS_BUSINESS_DAY","N")),"")</f>
        <v>0.54457</v>
      </c>
      <c r="P82">
        <f t="shared" si="3"/>
        <v>6894.0953999999992</v>
      </c>
      <c r="Q82" cm="1">
        <f t="array" ref="Q82">IFERROR(VALUE(_xll.BDP($B82,"INTERVAL_MAE_MOV_AVG","CALC_INTERVAL","520D","TECH_STUDIES_PARAM1_OVERRIDE",50,"USE_PREVIOUS_BUSINESS_DAY","Y")),"")</f>
        <v>0.54461999999999999</v>
      </c>
      <c r="R82">
        <f t="shared" si="4"/>
        <v>6892.2477999999992</v>
      </c>
      <c r="S82">
        <f t="shared" si="41"/>
        <v>7.8990783910533072E-5</v>
      </c>
      <c r="T82">
        <f t="shared" si="42"/>
        <v>7.901921344151324E-5</v>
      </c>
      <c r="U82" s="11" t="str">
        <f t="shared" si="43"/>
        <v>NEGATIVE</v>
      </c>
      <c r="V82" s="11" t="str">
        <f t="shared" si="44"/>
        <v/>
      </c>
      <c r="W82" s="11" t="str">
        <f t="shared" si="45"/>
        <v>DOWN</v>
      </c>
      <c r="X82" s="6" t="str">
        <f t="shared" si="46"/>
        <v>POSITIVE</v>
      </c>
      <c r="Y82" cm="1">
        <f t="array" ref="Y82">IFERROR(VALUE(_xll.BDP($B82,"INTERVAL_MAE_MOV_AVG","CALC_INTERVAL","520D","TECH_STUDIES_PARAM1_OVERRIDE",65,"USE_PREVIOUS_BUSINESS_DAY","N")),"")</f>
        <v>0.54661000000000004</v>
      </c>
      <c r="Z82">
        <f t="shared" si="5"/>
        <v>6856.0226153846133</v>
      </c>
      <c r="AA82" cm="1">
        <f t="array" ref="AA82">IFERROR(VALUE(_xll.BDP($B82,"INTERVAL_MAE_MOV_AVG","CALC_INTERVAL","520D","TECH_STUDIES_PARAM1_OVERRIDE",65,"USE_PREVIOUS_BUSINESS_DAY","Y")),"")</f>
        <v>0.54673000000000005</v>
      </c>
      <c r="AB82">
        <f t="shared" si="6"/>
        <v>6852.6203076923057</v>
      </c>
      <c r="AC82">
        <f t="shared" si="47"/>
        <v>7.9726983218146225E-5</v>
      </c>
      <c r="AD82">
        <f t="shared" si="48"/>
        <v>7.9784079002053645E-5</v>
      </c>
      <c r="AE82" s="10" t="str">
        <f t="shared" si="49"/>
        <v>DOWN</v>
      </c>
      <c r="AF82" s="10" t="str">
        <f t="shared" si="50"/>
        <v>DOWN</v>
      </c>
      <c r="AG82" s="6" t="str">
        <f t="shared" si="51"/>
        <v>NEGATIVE</v>
      </c>
      <c r="AH82" cm="1">
        <f t="array" ref="AH82">IFERROR(VALUE(_xll.BDP($B82,"INTERVAL_MAE_MOV_AVG","CALC_INTERVAL","65W","PERIODICITY_OVERRIDE","W","TECH_STUDIES_PARAM1_OVERRIDE",39,"USE_PREVIOUS_BUSINESS_DAY","N")),"")</f>
        <v>0.56969000000000003</v>
      </c>
      <c r="AI82">
        <f t="shared" si="7"/>
        <v>6560.7735897435905</v>
      </c>
      <c r="AJ82" cm="1">
        <f t="array" ref="AJ82">IFERROR(VALUE(_xll.BDP($B82,"INTERVAL_MAE_MOV_AVG","CALC_INTERVAL","65W","PERIODICITY_OVERRIDE","W","TECH_STUDIES_PARAM1_OVERRIDE",39,"USE_PREVIOUS_BUSINESS_DAY","Y")),"")</f>
        <v>0.56955999999999996</v>
      </c>
      <c r="AK82">
        <f t="shared" si="8"/>
        <v>6560.7823076923087</v>
      </c>
      <c r="AL82">
        <f t="shared" si="52"/>
        <v>8.6832748029987234E-5</v>
      </c>
      <c r="AM82">
        <f t="shared" si="53"/>
        <v>8.6812817936697724E-5</v>
      </c>
      <c r="AN82" s="10" t="str">
        <f t="shared" si="54"/>
        <v>UP</v>
      </c>
      <c r="AO82" s="10" t="str">
        <f t="shared" si="55"/>
        <v>UP</v>
      </c>
      <c r="AP82" s="6" t="str">
        <f t="shared" si="56"/>
        <v>NEGATIVE</v>
      </c>
      <c r="AQ82" cm="1">
        <f t="array" ref="AQ82">IFERROR(VALUE(_xll.BDP($B82,"INTERVAL_exp_MOV_AVG","CALC_INTERVAL","520D","TECH_STUDIES_PARAM1_OVERRIDE",100,"USE_PREVIOUS_BUSINESS_DAY","N")),"")</f>
        <v>0.55403999999999998</v>
      </c>
      <c r="AR82">
        <f t="shared" si="9"/>
        <v>6773.0064518682802</v>
      </c>
      <c r="AS82" cm="1">
        <f t="array" ref="AS82">IFERROR(VALUE(_xll.BDP($B82,"INTERVAL_exp_MOV_AVG","CALC_INTERVAL","520D","TECH_STUDIES_PARAM1_OVERRIDE",100,"USE_PREVIOUS_BUSINESS_DAY","Y")),"")</f>
        <v>0.55413000000000001</v>
      </c>
      <c r="AT82">
        <f t="shared" si="10"/>
        <v>6769.6039787132295</v>
      </c>
      <c r="AU82">
        <f t="shared" si="57"/>
        <v>8.1801191824816948E-5</v>
      </c>
      <c r="AV82">
        <f t="shared" si="58"/>
        <v>8.1855600673605333E-5</v>
      </c>
      <c r="AW82" s="11" t="str">
        <f t="shared" si="59"/>
        <v>DOWN</v>
      </c>
      <c r="AX82" s="11" t="str">
        <f t="shared" si="60"/>
        <v>DOWN</v>
      </c>
      <c r="AY82" s="6" t="str">
        <f t="shared" si="61"/>
        <v>NEGATIVE</v>
      </c>
      <c r="AZ82" s="12" cm="1">
        <f t="array" ref="AZ82">_xll.BDP($B82, "INTERVAL_RSI", "TECH_STUDIES_PARAM1_OVERRIDE", "5", "PERIODICITY_OVERRIDE", "W")</f>
        <v>59.28</v>
      </c>
      <c r="BA82" cm="1">
        <f t="array" ref="BA82">IFERROR(VALUE(_xll.BDP($B82,"INTERVAL_MAE_MOV_AVG","CALC_INTERVAL","520D","TECH_STUDIES_PARAM1_OVERRIDE",31,"USE_PREVIOUS_BUSINESS_DAY","N")),"")</f>
        <v>0.54325999999999997</v>
      </c>
      <c r="BB82" cm="1">
        <f t="array" ref="BB82">IFERROR(VALUE(_xll.BDP($B82,"INTERVAL_MAE_MOV_AVG","CALC_INTERVAL","760D","TECH_STUDIES_PARAM1_OVERRIDE",200,"USE_PREVIOUS_BUSINESS_DAY","N")),"")</f>
        <v>0.57194999999999996</v>
      </c>
      <c r="BC82" s="13">
        <f t="shared" si="62"/>
        <v>1.1983212458123171E-2</v>
      </c>
      <c r="BD82" s="13">
        <f t="shared" si="63"/>
        <v>9.5488183337311128E-3</v>
      </c>
      <c r="BE82" s="13">
        <f t="shared" si="64"/>
        <v>-3.8779613602587637E-2</v>
      </c>
      <c r="BF82" s="14" cm="1">
        <f t="array" ref="BF82">VALUE(_xll.BDP($B82,"INTERVAL_DATE_OF_CALC_HI","CALC_INTERVAL","3M"))</f>
        <v>45972</v>
      </c>
      <c r="BG82" s="14" cm="1">
        <f t="array" ref="BG82">VALUE(_xll.BDP($B82,"INTERVAL_DATE_OF_CALC_LO","CALC_INTERVAL","3M"))</f>
        <v>46044</v>
      </c>
      <c r="BH82" s="14" cm="1">
        <f t="array" ref="BH82">VALUE(_xll.BDP($B82,"INTERVAL_DATE_OF_CALC_HI","CALC_INTERVAL","1M"))</f>
        <v>46064</v>
      </c>
      <c r="BI82" s="14" cm="1">
        <f t="array" ref="BI82">VALUE(_xll.BDP($B82,"INTERVAL_DATE_OF_CALC_LO","CALC_INTERVAL","1M"))</f>
        <v>46044</v>
      </c>
      <c r="BJ82" s="15">
        <f>$F82-MIN(_xll.BDP("NYA Index","RSI_14D"),_xll.BDP("RSP US Equity","RSI_14D"))</f>
        <v>-5.7327641601562505</v>
      </c>
    </row>
    <row r="83" spans="1:62" x14ac:dyDescent="0.25">
      <c r="A83" s="11">
        <v>82</v>
      </c>
      <c r="B83" s="26" t="s">
        <v>664</v>
      </c>
      <c r="C83" s="1" t="s">
        <v>665</v>
      </c>
      <c r="D83" s="1" t="s">
        <v>593</v>
      </c>
      <c r="E83" s="11" t="s">
        <v>959</v>
      </c>
      <c r="F83">
        <f>IFERROR(VALUE((_xll.BDP($B83,"interval_rsi","tech_studies_param1_override",14))),"")</f>
        <v>62.351999999999997</v>
      </c>
      <c r="G83">
        <f t="shared" si="0"/>
        <v>52.525531939815814</v>
      </c>
      <c r="H83">
        <f t="shared" si="38"/>
        <v>0</v>
      </c>
      <c r="I83" cm="1">
        <f t="array" ref="I83">IFERROR(VALUE(_xll.BDP($B83,"px_last")),"")</f>
        <v>6.5279999999999999E-3</v>
      </c>
      <c r="J83">
        <f t="shared" si="1"/>
        <v>6941.47</v>
      </c>
      <c r="K83" cm="1">
        <f t="array" ref="K83">IFERROR(VALUE(_xll.BDP($B83,"PX_YEST_CLOSE")),"")</f>
        <v>6.5250000000000004E-3</v>
      </c>
      <c r="L83">
        <f t="shared" si="2"/>
        <v>6941.81</v>
      </c>
      <c r="M83">
        <f t="shared" si="39"/>
        <v>9.4043480703654987E-7</v>
      </c>
      <c r="N83">
        <f t="shared" si="40"/>
        <v>9.3995658192892054E-7</v>
      </c>
      <c r="O83" cm="1">
        <f t="array" ref="O83">IFERROR(VALUE(_xll.BDP($B83,"INTERVAL_MAE_MOV_AVG","CALC_INTERVAL","520D","TECH_STUDIES_PARAM1_OVERRIDE",50,"USE_PREVIOUS_BUSINESS_DAY","N")),"")</f>
        <v>6.4000000000000003E-3</v>
      </c>
      <c r="P83">
        <f t="shared" si="3"/>
        <v>6894.0953999999992</v>
      </c>
      <c r="Q83" cm="1">
        <f t="array" ref="Q83">IFERROR(VALUE(_xll.BDP($B83,"INTERVAL_MAE_MOV_AVG","CALC_INTERVAL","520D","TECH_STUDIES_PARAM1_OVERRIDE",50,"USE_PREVIOUS_BUSINESS_DAY","Y")),"")</f>
        <v>6.398E-3</v>
      </c>
      <c r="R83">
        <f t="shared" si="4"/>
        <v>6892.2477999999992</v>
      </c>
      <c r="S83">
        <f t="shared" si="41"/>
        <v>9.2833064073932037E-7</v>
      </c>
      <c r="T83">
        <f t="shared" si="42"/>
        <v>9.2828931658551234E-7</v>
      </c>
      <c r="U83" s="11" t="str">
        <f t="shared" si="43"/>
        <v>NEGATIVE</v>
      </c>
      <c r="V83" s="11" t="str">
        <f t="shared" si="44"/>
        <v/>
      </c>
      <c r="W83" s="11" t="str">
        <f t="shared" si="45"/>
        <v>UP</v>
      </c>
      <c r="X83" s="6" t="str">
        <f t="shared" si="46"/>
        <v>POSITIVE</v>
      </c>
      <c r="Y83" cm="1">
        <f t="array" ref="Y83">IFERROR(VALUE(_xll.BDP($B83,"INTERVAL_MAE_MOV_AVG","CALC_INTERVAL","520D","TECH_STUDIES_PARAM1_OVERRIDE",65,"USE_PREVIOUS_BUSINESS_DAY","N")),"")</f>
        <v>6.4029999999999998E-3</v>
      </c>
      <c r="Z83">
        <f t="shared" si="5"/>
        <v>6856.0226153846133</v>
      </c>
      <c r="AA83" cm="1">
        <f t="array" ref="AA83">IFERROR(VALUE(_xll.BDP($B83,"INTERVAL_MAE_MOV_AVG","CALC_INTERVAL","520D","TECH_STUDIES_PARAM1_OVERRIDE",65,"USE_PREVIOUS_BUSINESS_DAY","Y")),"")</f>
        <v>6.4019999999999997E-3</v>
      </c>
      <c r="AB83">
        <f t="shared" si="6"/>
        <v>6852.6203076923057</v>
      </c>
      <c r="AC83">
        <f t="shared" si="47"/>
        <v>9.3392340708327727E-7</v>
      </c>
      <c r="AD83">
        <f t="shared" si="48"/>
        <v>9.3424116798263734E-7</v>
      </c>
      <c r="AE83" s="10" t="str">
        <f t="shared" si="49"/>
        <v>UP</v>
      </c>
      <c r="AF83" s="10" t="str">
        <f t="shared" si="50"/>
        <v>DOWN</v>
      </c>
      <c r="AG83" s="6" t="str">
        <f t="shared" si="51"/>
        <v>POSITIVE</v>
      </c>
      <c r="AH83" cm="1">
        <f t="array" ref="AH83">IFERROR(VALUE(_xll.BDP($B83,"INTERVAL_MAE_MOV_AVG","CALC_INTERVAL","65W","PERIODICITY_OVERRIDE","W","TECH_STUDIES_PARAM1_OVERRIDE",39,"USE_PREVIOUS_BUSINESS_DAY","N")),"")</f>
        <v>6.6400000000000001E-3</v>
      </c>
      <c r="AI83">
        <f t="shared" si="7"/>
        <v>6560.7735897435905</v>
      </c>
      <c r="AJ83" cm="1">
        <f t="array" ref="AJ83">IFERROR(VALUE(_xll.BDP($B83,"INTERVAL_MAE_MOV_AVG","CALC_INTERVAL","65W","PERIODICITY_OVERRIDE","W","TECH_STUDIES_PARAM1_OVERRIDE",39,"USE_PREVIOUS_BUSINESS_DAY","Y")),"")</f>
        <v>6.6389999999999999E-3</v>
      </c>
      <c r="AK83">
        <f t="shared" si="8"/>
        <v>6560.7823076923087</v>
      </c>
      <c r="AL83">
        <f t="shared" si="52"/>
        <v>1.0120757726467294E-6</v>
      </c>
      <c r="AM83">
        <f t="shared" si="53"/>
        <v>1.0119220069557839E-6</v>
      </c>
      <c r="AN83" s="10" t="str">
        <f t="shared" si="54"/>
        <v>UP</v>
      </c>
      <c r="AO83" s="10" t="str">
        <f t="shared" si="55"/>
        <v>UP</v>
      </c>
      <c r="AP83" s="6" t="str">
        <f t="shared" si="56"/>
        <v>NEGATIVE</v>
      </c>
      <c r="AQ83" cm="1">
        <f t="array" ref="AQ83">IFERROR(VALUE(_xll.BDP($B83,"INTERVAL_exp_MOV_AVG","CALC_INTERVAL","520D","TECH_STUDIES_PARAM1_OVERRIDE",100,"USE_PREVIOUS_BUSINESS_DAY","N")),"")</f>
        <v>6.4799999999999996E-3</v>
      </c>
      <c r="AR83">
        <f t="shared" si="9"/>
        <v>6773.0064518682802</v>
      </c>
      <c r="AS83" cm="1">
        <f t="array" ref="AS83">IFERROR(VALUE(_xll.BDP($B83,"INTERVAL_exp_MOV_AVG","CALC_INTERVAL","520D","TECH_STUDIES_PARAM1_OVERRIDE",100,"USE_PREVIOUS_BUSINESS_DAY","Y")),"")</f>
        <v>6.4790000000000004E-3</v>
      </c>
      <c r="AT83">
        <f t="shared" si="10"/>
        <v>6769.6039787132295</v>
      </c>
      <c r="AU83">
        <f t="shared" si="57"/>
        <v>9.5673908567037352E-7</v>
      </c>
      <c r="AV83">
        <f t="shared" si="58"/>
        <v>9.5707223352695029E-7</v>
      </c>
      <c r="AW83" s="11" t="str">
        <f t="shared" si="59"/>
        <v>UP</v>
      </c>
      <c r="AX83" s="11" t="str">
        <f t="shared" si="60"/>
        <v>DOWN</v>
      </c>
      <c r="AY83" s="6" t="str">
        <f t="shared" si="61"/>
        <v>NEGATIVE</v>
      </c>
      <c r="AZ83" s="12" cm="1">
        <f t="array" ref="AZ83">_xll.BDP($B83, "INTERVAL_RSI", "TECH_STUDIES_PARAM1_OVERRIDE", "5", "PERIODICITY_OVERRIDE", "W")</f>
        <v>65.760999999999996</v>
      </c>
      <c r="BA83" cm="1">
        <f t="array" ref="BA83">IFERROR(VALUE(_xll.BDP($B83,"INTERVAL_MAE_MOV_AVG","CALC_INTERVAL","520D","TECH_STUDIES_PARAM1_OVERRIDE",31,"USE_PREVIOUS_BUSINESS_DAY","N")),"")</f>
        <v>6.3930000000000002E-3</v>
      </c>
      <c r="BB83" cm="1">
        <f t="array" ref="BB83">IFERROR(VALUE(_xll.BDP($B83,"INTERVAL_MAE_MOV_AVG","CALC_INTERVAL","760D","TECH_STUDIES_PARAM1_OVERRIDE",200,"USE_PREVIOUS_BUSINESS_DAY","N")),"")</f>
        <v>6.6499999999999997E-3</v>
      </c>
      <c r="BC83" s="13">
        <f t="shared" si="62"/>
        <v>2.1116846550915058E-2</v>
      </c>
      <c r="BD83" s="13">
        <f t="shared" si="63"/>
        <v>2.0000000000000018E-2</v>
      </c>
      <c r="BE83" s="13">
        <f t="shared" si="64"/>
        <v>-1.834586466165411E-2</v>
      </c>
      <c r="BF83" s="14" cm="1">
        <f t="array" ref="BF83">VALUE(_xll.BDP($B83,"INTERVAL_DATE_OF_CALC_HI","CALC_INTERVAL","3M"))</f>
        <v>46049</v>
      </c>
      <c r="BG83" s="14" cm="1">
        <f t="array" ref="BG83">VALUE(_xll.BDP($B83,"INTERVAL_DATE_OF_CALC_LO","CALC_INTERVAL","3M"))</f>
        <v>46035</v>
      </c>
      <c r="BH83" s="14" cm="1">
        <f t="array" ref="BH83">VALUE(_xll.BDP($B83,"INTERVAL_DATE_OF_CALC_HI","CALC_INTERVAL","1M"))</f>
        <v>46049</v>
      </c>
      <c r="BI83" s="14" cm="1">
        <f t="array" ref="BI83">VALUE(_xll.BDP($B83,"INTERVAL_DATE_OF_CALC_LO","CALC_INTERVAL","1M"))</f>
        <v>46035</v>
      </c>
      <c r="BJ83" s="15">
        <f>$F83-MIN(_xll.BDP("NYA Index","RSI_14D"),_xll.BDP("RSP US Equity","RSI_14D"))</f>
        <v>-3.9937641601562532</v>
      </c>
    </row>
    <row r="84" spans="1:62" x14ac:dyDescent="0.25">
      <c r="A84" s="11">
        <v>83</v>
      </c>
      <c r="B84" s="26" t="s">
        <v>666</v>
      </c>
      <c r="C84" s="1" t="s">
        <v>667</v>
      </c>
      <c r="D84" s="1" t="s">
        <v>593</v>
      </c>
      <c r="E84" s="11" t="s">
        <v>959</v>
      </c>
      <c r="F84">
        <f>IFERROR(VALUE((_xll.BDP($B84,"interval_rsi","tech_studies_param1_override",14))),"")</f>
        <v>55.997999999999998</v>
      </c>
      <c r="G84">
        <f t="shared" si="0"/>
        <v>52.525531939815814</v>
      </c>
      <c r="H84">
        <f t="shared" si="38"/>
        <v>0</v>
      </c>
      <c r="I84" cm="1">
        <f t="array" ref="I84">IFERROR(VALUE(_xll.BDP($B84,"px_last")),"")</f>
        <v>6.9120000000000001E-2</v>
      </c>
      <c r="J84">
        <f t="shared" si="1"/>
        <v>6941.47</v>
      </c>
      <c r="K84" cm="1">
        <f t="array" ref="K84">IFERROR(VALUE(_xll.BDP($B84,"PX_YEST_CLOSE")),"")</f>
        <v>6.9120000000000001E-2</v>
      </c>
      <c r="L84">
        <f t="shared" si="2"/>
        <v>6941.81</v>
      </c>
      <c r="M84">
        <f t="shared" si="39"/>
        <v>9.9575450156811164E-6</v>
      </c>
      <c r="N84">
        <f t="shared" si="40"/>
        <v>9.9570573092608404E-6</v>
      </c>
      <c r="O84" cm="1">
        <f t="array" ref="O84">IFERROR(VALUE(_xll.BDP($B84,"INTERVAL_MAE_MOV_AVG","CALC_INTERVAL","520D","TECH_STUDIES_PARAM1_OVERRIDE",50,"USE_PREVIOUS_BUSINESS_DAY","N")),"")</f>
        <v>6.8510000000000001E-2</v>
      </c>
      <c r="P84">
        <f t="shared" si="3"/>
        <v>6894.0953999999992</v>
      </c>
      <c r="Q84" cm="1">
        <f t="array" ref="Q84">IFERROR(VALUE(_xll.BDP($B84,"INTERVAL_MAE_MOV_AVG","CALC_INTERVAL","520D","TECH_STUDIES_PARAM1_OVERRIDE",50,"USE_PREVIOUS_BUSINESS_DAY","Y")),"")</f>
        <v>6.8489999999999995E-2</v>
      </c>
      <c r="R84">
        <f t="shared" si="4"/>
        <v>6892.2477999999992</v>
      </c>
      <c r="S84">
        <f t="shared" si="41"/>
        <v>9.937489405789193E-6</v>
      </c>
      <c r="T84">
        <f t="shared" si="42"/>
        <v>9.9372515306254668E-6</v>
      </c>
      <c r="U84" s="11" t="str">
        <f t="shared" si="43"/>
        <v>NEGATIVE</v>
      </c>
      <c r="V84" s="11" t="str">
        <f t="shared" si="44"/>
        <v/>
      </c>
      <c r="W84" s="11" t="str">
        <f t="shared" si="45"/>
        <v>UP</v>
      </c>
      <c r="X84" s="6" t="str">
        <f t="shared" si="46"/>
        <v>POSITIVE</v>
      </c>
      <c r="Y84" cm="1">
        <f t="array" ref="Y84">IFERROR(VALUE(_xll.BDP($B84,"INTERVAL_MAE_MOV_AVG","CALC_INTERVAL","520D","TECH_STUDIES_PARAM1_OVERRIDE",65,"USE_PREVIOUS_BUSINESS_DAY","N")),"")</f>
        <v>6.8430000000000005E-2</v>
      </c>
      <c r="Z84">
        <f t="shared" si="5"/>
        <v>6856.0226153846133</v>
      </c>
      <c r="AA84" cm="1">
        <f t="array" ref="AA84">IFERROR(VALUE(_xll.BDP($B84,"INTERVAL_MAE_MOV_AVG","CALC_INTERVAL","520D","TECH_STUDIES_PARAM1_OVERRIDE",65,"USE_PREVIOUS_BUSINESS_DAY","Y")),"")</f>
        <v>6.8419999999999995E-2</v>
      </c>
      <c r="AB84">
        <f t="shared" si="6"/>
        <v>6852.6203076923057</v>
      </c>
      <c r="AC84">
        <f t="shared" si="47"/>
        <v>9.9810055828062898E-6</v>
      </c>
      <c r="AD84">
        <f t="shared" si="48"/>
        <v>9.984501829642619E-6</v>
      </c>
      <c r="AE84" s="10" t="str">
        <f t="shared" si="49"/>
        <v>UP</v>
      </c>
      <c r="AF84" s="10" t="str">
        <f t="shared" si="50"/>
        <v>DOWN</v>
      </c>
      <c r="AG84" s="6" t="str">
        <f t="shared" si="51"/>
        <v>NEGATIVE</v>
      </c>
      <c r="AH84" cm="1">
        <f t="array" ref="AH84">IFERROR(VALUE(_xll.BDP($B84,"INTERVAL_MAE_MOV_AVG","CALC_INTERVAL","65W","PERIODICITY_OVERRIDE","W","TECH_STUDIES_PARAM1_OVERRIDE",39,"USE_PREVIOUS_BUSINESS_DAY","N")),"")</f>
        <v>7.059E-2</v>
      </c>
      <c r="AI84">
        <f t="shared" si="7"/>
        <v>6560.7735897435905</v>
      </c>
      <c r="AJ84" cm="1">
        <f t="array" ref="AJ84">IFERROR(VALUE(_xll.BDP($B84,"INTERVAL_MAE_MOV_AVG","CALC_INTERVAL","65W","PERIODICITY_OVERRIDE","W","TECH_STUDIES_PARAM1_OVERRIDE",39,"USE_PREVIOUS_BUSINESS_DAY","Y")),"")</f>
        <v>7.0580000000000004E-2</v>
      </c>
      <c r="AK84">
        <f t="shared" si="8"/>
        <v>6560.7823076923087</v>
      </c>
      <c r="AL84">
        <f t="shared" si="52"/>
        <v>1.0759401926375394E-5</v>
      </c>
      <c r="AM84">
        <f t="shared" si="53"/>
        <v>1.0757863420837359E-5</v>
      </c>
      <c r="AN84" s="10" t="str">
        <f t="shared" si="54"/>
        <v>UP</v>
      </c>
      <c r="AO84" s="10" t="str">
        <f t="shared" si="55"/>
        <v>UP</v>
      </c>
      <c r="AP84" s="6" t="str">
        <f t="shared" si="56"/>
        <v>NEGATIVE</v>
      </c>
      <c r="AQ84" cm="1">
        <f t="array" ref="AQ84">IFERROR(VALUE(_xll.BDP($B84,"INTERVAL_exp_MOV_AVG","CALC_INTERVAL","520D","TECH_STUDIES_PARAM1_OVERRIDE",100,"USE_PREVIOUS_BUSINESS_DAY","N")),"")</f>
        <v>6.9190000000000002E-2</v>
      </c>
      <c r="AR84">
        <f t="shared" si="9"/>
        <v>6773.0064518682802</v>
      </c>
      <c r="AS84" cm="1">
        <f t="array" ref="AS84">IFERROR(VALUE(_xll.BDP($B84,"INTERVAL_exp_MOV_AVG","CALC_INTERVAL","520D","TECH_STUDIES_PARAM1_OVERRIDE",100,"USE_PREVIOUS_BUSINESS_DAY","Y")),"")</f>
        <v>6.9190000000000002E-2</v>
      </c>
      <c r="AT84">
        <f t="shared" si="10"/>
        <v>6769.6039787132295</v>
      </c>
      <c r="AU84">
        <f t="shared" si="57"/>
        <v>1.0215552058261289E-5</v>
      </c>
      <c r="AV84">
        <f t="shared" si="58"/>
        <v>1.0220686500652832E-5</v>
      </c>
      <c r="AW84" s="11" t="str">
        <f t="shared" si="59"/>
        <v/>
      </c>
      <c r="AX84" s="11" t="str">
        <f t="shared" si="60"/>
        <v>DOWN</v>
      </c>
      <c r="AY84" s="6" t="str">
        <f t="shared" si="61"/>
        <v>NEGATIVE</v>
      </c>
      <c r="AZ84" s="12" cm="1">
        <f t="array" ref="AZ84">_xll.BDP($B84, "INTERVAL_RSI", "TECH_STUDIES_PARAM1_OVERRIDE", "5", "PERIODICITY_OVERRIDE", "W")</f>
        <v>57.506999999999998</v>
      </c>
      <c r="BA84" cm="1">
        <f t="array" ref="BA84">IFERROR(VALUE(_xll.BDP($B84,"INTERVAL_MAE_MOV_AVG","CALC_INTERVAL","520D","TECH_STUDIES_PARAM1_OVERRIDE",31,"USE_PREVIOUS_BUSINESS_DAY","N")),"")</f>
        <v>6.8709999999999993E-2</v>
      </c>
      <c r="BB84" cm="1">
        <f t="array" ref="BB84">IFERROR(VALUE(_xll.BDP($B84,"INTERVAL_MAE_MOV_AVG","CALC_INTERVAL","760D","TECH_STUDIES_PARAM1_OVERRIDE",200,"USE_PREVIOUS_BUSINESS_DAY","N")),"")</f>
        <v>7.0699999999999999E-2</v>
      </c>
      <c r="BC84" s="13">
        <f t="shared" si="62"/>
        <v>5.967108135642718E-3</v>
      </c>
      <c r="BD84" s="13">
        <f t="shared" si="63"/>
        <v>8.9038096628228924E-3</v>
      </c>
      <c r="BE84" s="13">
        <f t="shared" si="64"/>
        <v>-2.234794908062232E-2</v>
      </c>
      <c r="BF84" s="14" cm="1">
        <f t="array" ref="BF84">VALUE(_xll.BDP($B84,"INTERVAL_DATE_OF_CALC_HI","CALC_INTERVAL","3M"))</f>
        <v>46051</v>
      </c>
      <c r="BG84" s="14" cm="1">
        <f t="array" ref="BG84">VALUE(_xll.BDP($B84,"INTERVAL_DATE_OF_CALC_LO","CALC_INTERVAL","3M"))</f>
        <v>46014</v>
      </c>
      <c r="BH84" s="14" cm="1">
        <f t="array" ref="BH84">VALUE(_xll.BDP($B84,"INTERVAL_DATE_OF_CALC_HI","CALC_INTERVAL","1M"))</f>
        <v>46051</v>
      </c>
      <c r="BI84" s="14" cm="1">
        <f t="array" ref="BI84">VALUE(_xll.BDP($B84,"INTERVAL_DATE_OF_CALC_LO","CALC_INTERVAL","1M"))</f>
        <v>46042</v>
      </c>
      <c r="BJ84" s="15">
        <f>$F84-MIN(_xll.BDP("NYA Index","RSI_14D"),_xll.BDP("RSP US Equity","RSI_14D"))</f>
        <v>-10.347764160156252</v>
      </c>
    </row>
    <row r="85" spans="1:62" x14ac:dyDescent="0.25">
      <c r="A85" s="11">
        <v>84</v>
      </c>
      <c r="B85" s="26" t="s">
        <v>668</v>
      </c>
      <c r="C85" s="1" t="s">
        <v>669</v>
      </c>
      <c r="D85" s="1" t="s">
        <v>593</v>
      </c>
      <c r="E85" s="11" t="s">
        <v>960</v>
      </c>
      <c r="F85">
        <f>IFERROR(VALUE((_xll.BDP($B85,"interval_rsi","tech_studies_param1_override",14))),"")</f>
        <v>59.360999999999997</v>
      </c>
      <c r="G85">
        <f t="shared" si="0"/>
        <v>52.525531939815814</v>
      </c>
      <c r="H85">
        <f t="shared" si="38"/>
        <v>0</v>
      </c>
      <c r="I85" cm="1">
        <f t="array" ref="I85">IFERROR(VALUE(_xll.BDP($B85,"px_last")),"")</f>
        <v>4.9000000000000002E-2</v>
      </c>
      <c r="J85">
        <f t="shared" si="1"/>
        <v>6941.47</v>
      </c>
      <c r="K85" cm="1">
        <f t="array" ref="K85">IFERROR(VALUE(_xll.BDP($B85,"PX_YEST_CLOSE")),"")</f>
        <v>4.9000000000000002E-2</v>
      </c>
      <c r="L85">
        <f t="shared" si="2"/>
        <v>6941.81</v>
      </c>
      <c r="M85">
        <f t="shared" si="39"/>
        <v>7.0590235209544955E-6</v>
      </c>
      <c r="N85">
        <f t="shared" si="40"/>
        <v>7.0586777800026217E-6</v>
      </c>
      <c r="O85" cm="1">
        <f t="array" ref="O85">IFERROR(VALUE(_xll.BDP($B85,"INTERVAL_MAE_MOV_AVG","CALC_INTERVAL","520D","TECH_STUDIES_PARAM1_OVERRIDE",50,"USE_PREVIOUS_BUSINESS_DAY","N")),"")</f>
        <v>4.8000000000000001E-2</v>
      </c>
      <c r="P85">
        <f t="shared" si="3"/>
        <v>6894.0953999999992</v>
      </c>
      <c r="Q85" cm="1">
        <f t="array" ref="Q85">IFERROR(VALUE(_xll.BDP($B85,"INTERVAL_MAE_MOV_AVG","CALC_INTERVAL","520D","TECH_STUDIES_PARAM1_OVERRIDE",50,"USE_PREVIOUS_BUSINESS_DAY","Y")),"")</f>
        <v>4.7899999999999998E-2</v>
      </c>
      <c r="R85">
        <f t="shared" si="4"/>
        <v>6892.2477999999992</v>
      </c>
      <c r="S85">
        <f t="shared" si="41"/>
        <v>6.9624798055449024E-6</v>
      </c>
      <c r="T85">
        <f t="shared" si="42"/>
        <v>6.9498371779377989E-6</v>
      </c>
      <c r="U85" s="11" t="str">
        <f t="shared" si="43"/>
        <v>NEGATIVE</v>
      </c>
      <c r="V85" s="11" t="str">
        <f t="shared" si="44"/>
        <v/>
      </c>
      <c r="W85" s="11" t="str">
        <f t="shared" si="45"/>
        <v>UP</v>
      </c>
      <c r="X85" s="6" t="str">
        <f t="shared" si="46"/>
        <v>POSITIVE</v>
      </c>
      <c r="Y85" cm="1">
        <f t="array" ref="Y85">IFERROR(VALUE(_xll.BDP($B85,"INTERVAL_MAE_MOV_AVG","CALC_INTERVAL","520D","TECH_STUDIES_PARAM1_OVERRIDE",65,"USE_PREVIOUS_BUSINESS_DAY","N")),"")</f>
        <v>4.7699999999999999E-2</v>
      </c>
      <c r="Z85">
        <f t="shared" si="5"/>
        <v>6856.0226153846133</v>
      </c>
      <c r="AA85" cm="1">
        <f t="array" ref="AA85">IFERROR(VALUE(_xll.BDP($B85,"INTERVAL_MAE_MOV_AVG","CALC_INTERVAL","520D","TECH_STUDIES_PARAM1_OVERRIDE",65,"USE_PREVIOUS_BUSINESS_DAY","Y")),"")</f>
        <v>4.7699999999999999E-2</v>
      </c>
      <c r="AB85">
        <f t="shared" si="6"/>
        <v>6852.6203076923057</v>
      </c>
      <c r="AC85">
        <f t="shared" si="47"/>
        <v>6.9573866184401573E-6</v>
      </c>
      <c r="AD85">
        <f t="shared" si="48"/>
        <v>6.9608409423261178E-6</v>
      </c>
      <c r="AE85" s="10" t="str">
        <f t="shared" si="49"/>
        <v/>
      </c>
      <c r="AF85" s="10" t="str">
        <f t="shared" si="50"/>
        <v>DOWN</v>
      </c>
      <c r="AG85" s="6" t="str">
        <f t="shared" si="51"/>
        <v>POSITIVE</v>
      </c>
      <c r="AH85" cm="1">
        <f t="array" ref="AH85">IFERROR(VALUE(_xll.BDP($B85,"INTERVAL_MAE_MOV_AVG","CALC_INTERVAL","65W","PERIODICITY_OVERRIDE","W","TECH_STUDIES_PARAM1_OVERRIDE",39,"USE_PREVIOUS_BUSINESS_DAY","N")),"")</f>
        <v>4.6699999999999998E-2</v>
      </c>
      <c r="AI85">
        <f t="shared" si="7"/>
        <v>6560.7735897435905</v>
      </c>
      <c r="AJ85" cm="1">
        <f t="array" ref="AJ85">IFERROR(VALUE(_xll.BDP($B85,"INTERVAL_MAE_MOV_AVG","CALC_INTERVAL","65W","PERIODICITY_OVERRIDE","W","TECH_STUDIES_PARAM1_OVERRIDE",39,"USE_PREVIOUS_BUSINESS_DAY","Y")),"")</f>
        <v>4.6699999999999998E-2</v>
      </c>
      <c r="AK85">
        <f t="shared" si="8"/>
        <v>6560.7823076923087</v>
      </c>
      <c r="AL85">
        <f t="shared" si="52"/>
        <v>7.1180630395485326E-6</v>
      </c>
      <c r="AM85">
        <f t="shared" si="53"/>
        <v>7.1180535810867757E-6</v>
      </c>
      <c r="AN85" s="10" t="str">
        <f t="shared" si="54"/>
        <v/>
      </c>
      <c r="AO85" s="10" t="str">
        <f t="shared" si="55"/>
        <v>UP</v>
      </c>
      <c r="AP85" s="6" t="str">
        <f t="shared" si="56"/>
        <v>NEGATIVE</v>
      </c>
      <c r="AQ85" cm="1">
        <f t="array" ref="AQ85">IFERROR(VALUE(_xll.BDP($B85,"INTERVAL_exp_MOV_AVG","CALC_INTERVAL","520D","TECH_STUDIES_PARAM1_OVERRIDE",100,"USE_PREVIOUS_BUSINESS_DAY","N")),"")</f>
        <v>4.7500000000000001E-2</v>
      </c>
      <c r="AR85">
        <f t="shared" si="9"/>
        <v>6773.0064518682802</v>
      </c>
      <c r="AS85" cm="1">
        <f t="array" ref="AS85">IFERROR(VALUE(_xll.BDP($B85,"INTERVAL_exp_MOV_AVG","CALC_INTERVAL","520D","TECH_STUDIES_PARAM1_OVERRIDE",100,"USE_PREVIOUS_BUSINESS_DAY","Y")),"")</f>
        <v>4.7500000000000001E-2</v>
      </c>
      <c r="AT85">
        <f t="shared" si="10"/>
        <v>6769.6039787132295</v>
      </c>
      <c r="AU85">
        <f t="shared" si="57"/>
        <v>7.0131337298368437E-6</v>
      </c>
      <c r="AV85">
        <f t="shared" si="58"/>
        <v>7.0166586035700167E-6</v>
      </c>
      <c r="AW85" s="11" t="str">
        <f t="shared" si="59"/>
        <v/>
      </c>
      <c r="AX85" s="11" t="str">
        <f t="shared" si="60"/>
        <v>DOWN</v>
      </c>
      <c r="AY85" s="6" t="str">
        <f t="shared" si="61"/>
        <v>POSITIVE</v>
      </c>
      <c r="AZ85" s="12" cm="1">
        <f t="array" ref="AZ85">_xll.BDP($B85, "INTERVAL_RSI", "TECH_STUDIES_PARAM1_OVERRIDE", "5", "PERIODICITY_OVERRIDE", "W")</f>
        <v>76.277000000000001</v>
      </c>
      <c r="BA85" cm="1">
        <f t="array" ref="BA85">IFERROR(VALUE(_xll.BDP($B85,"INTERVAL_MAE_MOV_AVG","CALC_INTERVAL","520D","TECH_STUDIES_PARAM1_OVERRIDE",31,"USE_PREVIOUS_BUSINESS_DAY","N")),"")</f>
        <v>4.8399999999999999E-2</v>
      </c>
      <c r="BB85" cm="1">
        <f t="array" ref="BB85">IFERROR(VALUE(_xll.BDP($B85,"INTERVAL_MAE_MOV_AVG","CALC_INTERVAL","760D","TECH_STUDIES_PARAM1_OVERRIDE",200,"USE_PREVIOUS_BUSINESS_DAY","N")),"")</f>
        <v>4.6600000000000003E-2</v>
      </c>
      <c r="BC85" s="13">
        <f t="shared" si="62"/>
        <v>1.2396694214876103E-2</v>
      </c>
      <c r="BD85" s="13">
        <f t="shared" si="63"/>
        <v>2.0833333333333259E-2</v>
      </c>
      <c r="BE85" s="13">
        <f t="shared" si="64"/>
        <v>5.1502145922746712E-2</v>
      </c>
      <c r="BF85" s="14" cm="1">
        <f t="array" ref="BF85">VALUE(_xll.BDP($B85,"INTERVAL_DATE_OF_CALC_HI","CALC_INTERVAL","3M"))</f>
        <v>46056</v>
      </c>
      <c r="BG85" s="14" cm="1">
        <f t="array" ref="BG85">VALUE(_xll.BDP($B85,"INTERVAL_DATE_OF_CALC_LO","CALC_INTERVAL","3M"))</f>
        <v>45978</v>
      </c>
      <c r="BH85" s="14" cm="1">
        <f t="array" ref="BH85">VALUE(_xll.BDP($B85,"INTERVAL_DATE_OF_CALC_HI","CALC_INTERVAL","1M"))</f>
        <v>46056</v>
      </c>
      <c r="BI85" s="14" cm="1">
        <f t="array" ref="BI85">VALUE(_xll.BDP($B85,"INTERVAL_DATE_OF_CALC_LO","CALC_INTERVAL","1M"))</f>
        <v>46034</v>
      </c>
      <c r="BJ85" s="15">
        <f>$F85-MIN(_xll.BDP("NYA Index","RSI_14D"),_xll.BDP("RSP US Equity","RSI_14D"))</f>
        <v>-6.9847641601562529</v>
      </c>
    </row>
    <row r="86" spans="1:62" x14ac:dyDescent="0.25">
      <c r="A86" s="11">
        <v>85</v>
      </c>
      <c r="B86" s="26" t="s">
        <v>670</v>
      </c>
      <c r="C86" s="1" t="s">
        <v>671</v>
      </c>
      <c r="D86" s="1" t="s">
        <v>593</v>
      </c>
      <c r="E86" s="11" t="s">
        <v>959</v>
      </c>
      <c r="F86">
        <f>IFERROR(VALUE((_xll.BDP($B86,"interval_rsi","tech_studies_param1_override",14))),"")</f>
        <v>63.459000000000003</v>
      </c>
      <c r="G86">
        <f t="shared" si="0"/>
        <v>52.525531939815814</v>
      </c>
      <c r="H86">
        <f t="shared" si="38"/>
        <v>1</v>
      </c>
      <c r="I86" cm="1">
        <f t="array" ref="I86">IFERROR(VALUE(_xll.BDP($B86,"px_last")),"")</f>
        <v>5.8169999999999999E-2</v>
      </c>
      <c r="J86">
        <f t="shared" si="1"/>
        <v>6941.47</v>
      </c>
      <c r="K86" cm="1">
        <f t="array" ref="K86">IFERROR(VALUE(_xll.BDP($B86,"PX_YEST_CLOSE")),"")</f>
        <v>5.8200000000000002E-2</v>
      </c>
      <c r="L86">
        <f t="shared" si="2"/>
        <v>6941.81</v>
      </c>
      <c r="M86">
        <f t="shared" si="39"/>
        <v>8.3800693513045498E-6</v>
      </c>
      <c r="N86">
        <f t="shared" si="40"/>
        <v>8.383980546860256E-6</v>
      </c>
      <c r="O86" cm="1">
        <f t="array" ref="O86">IFERROR(VALUE(_xll.BDP($B86,"INTERVAL_MAE_MOV_AVG","CALC_INTERVAL","520D","TECH_STUDIES_PARAM1_OVERRIDE",50,"USE_PREVIOUS_BUSINESS_DAY","N")),"")</f>
        <v>5.636E-2</v>
      </c>
      <c r="P86">
        <f t="shared" si="3"/>
        <v>6894.0953999999992</v>
      </c>
      <c r="Q86" cm="1">
        <f t="array" ref="Q86">IFERROR(VALUE(_xll.BDP($B86,"INTERVAL_MAE_MOV_AVG","CALC_INTERVAL","520D","TECH_STUDIES_PARAM1_OVERRIDE",50,"USE_PREVIOUS_BUSINESS_DAY","Y")),"")</f>
        <v>5.629E-2</v>
      </c>
      <c r="R86">
        <f t="shared" si="4"/>
        <v>6892.2477999999992</v>
      </c>
      <c r="S86">
        <f t="shared" si="41"/>
        <v>8.175111705010639E-6</v>
      </c>
      <c r="T86">
        <f t="shared" si="42"/>
        <v>8.1671468631757563E-6</v>
      </c>
      <c r="U86" s="11" t="str">
        <f t="shared" si="43"/>
        <v>POSITIVE</v>
      </c>
      <c r="V86" s="11" t="str">
        <f t="shared" si="44"/>
        <v/>
      </c>
      <c r="W86" s="11" t="str">
        <f t="shared" si="45"/>
        <v>UP</v>
      </c>
      <c r="X86" s="6" t="str">
        <f t="shared" si="46"/>
        <v>POSITIVE</v>
      </c>
      <c r="Y86" cm="1">
        <f t="array" ref="Y86">IFERROR(VALUE(_xll.BDP($B86,"INTERVAL_MAE_MOV_AVG","CALC_INTERVAL","520D","TECH_STUDIES_PARAM1_OVERRIDE",65,"USE_PREVIOUS_BUSINESS_DAY","N")),"")</f>
        <v>5.5919999999999997E-2</v>
      </c>
      <c r="Z86">
        <f t="shared" si="5"/>
        <v>6856.0226153846133</v>
      </c>
      <c r="AA86" cm="1">
        <f t="array" ref="AA86">IFERROR(VALUE(_xll.BDP($B86,"INTERVAL_MAE_MOV_AVG","CALC_INTERVAL","520D","TECH_STUDIES_PARAM1_OVERRIDE",65,"USE_PREVIOUS_BUSINESS_DAY","Y")),"")</f>
        <v>5.5870000000000003E-2</v>
      </c>
      <c r="AB86">
        <f t="shared" si="6"/>
        <v>6852.6203076923057</v>
      </c>
      <c r="AC86">
        <f t="shared" si="47"/>
        <v>8.1563324885361349E-6</v>
      </c>
      <c r="AD86">
        <f t="shared" si="48"/>
        <v>8.1530856068712839E-6</v>
      </c>
      <c r="AE86" s="10" t="str">
        <f t="shared" si="49"/>
        <v>UP</v>
      </c>
      <c r="AF86" s="10" t="str">
        <f t="shared" si="50"/>
        <v>UP</v>
      </c>
      <c r="AG86" s="6" t="str">
        <f t="shared" si="51"/>
        <v>POSITIVE</v>
      </c>
      <c r="AH86" cm="1">
        <f t="array" ref="AH86">IFERROR(VALUE(_xll.BDP($B86,"INTERVAL_MAE_MOV_AVG","CALC_INTERVAL","65W","PERIODICITY_OVERRIDE","W","TECH_STUDIES_PARAM1_OVERRIDE",39,"USE_PREVIOUS_BUSINESS_DAY","N")),"")</f>
        <v>5.4399999999999997E-2</v>
      </c>
      <c r="AI86">
        <f t="shared" si="7"/>
        <v>6560.7735897435905</v>
      </c>
      <c r="AJ86" cm="1">
        <f t="array" ref="AJ86">IFERROR(VALUE(_xll.BDP($B86,"INTERVAL_MAE_MOV_AVG","CALC_INTERVAL","65W","PERIODICITY_OVERRIDE","W","TECH_STUDIES_PARAM1_OVERRIDE",39,"USE_PREVIOUS_BUSINESS_DAY","Y")),"")</f>
        <v>5.4399999999999997E-2</v>
      </c>
      <c r="AK86">
        <f t="shared" si="8"/>
        <v>6560.7823076923087</v>
      </c>
      <c r="AL86">
        <f t="shared" si="52"/>
        <v>8.291705125298505E-6</v>
      </c>
      <c r="AM86">
        <f t="shared" si="53"/>
        <v>8.2916941073045097E-6</v>
      </c>
      <c r="AN86" s="10" t="str">
        <f t="shared" si="54"/>
        <v/>
      </c>
      <c r="AO86" s="10" t="str">
        <f t="shared" si="55"/>
        <v>UP</v>
      </c>
      <c r="AP86" s="6" t="str">
        <f t="shared" si="56"/>
        <v>POSITIVE</v>
      </c>
      <c r="AQ86" cm="1">
        <f t="array" ref="AQ86">IFERROR(VALUE(_xll.BDP($B86,"INTERVAL_exp_MOV_AVG","CALC_INTERVAL","520D","TECH_STUDIES_PARAM1_OVERRIDE",100,"USE_PREVIOUS_BUSINESS_DAY","N")),"")</f>
        <v>5.561E-2</v>
      </c>
      <c r="AR86">
        <f t="shared" si="9"/>
        <v>6773.0064518682802</v>
      </c>
      <c r="AS86" cm="1">
        <f t="array" ref="AS86">IFERROR(VALUE(_xll.BDP($B86,"INTERVAL_exp_MOV_AVG","CALC_INTERVAL","520D","TECH_STUDIES_PARAM1_OVERRIDE",100,"USE_PREVIOUS_BUSINESS_DAY","Y")),"")</f>
        <v>5.5559999999999998E-2</v>
      </c>
      <c r="AT86">
        <f t="shared" si="10"/>
        <v>6769.6039787132295</v>
      </c>
      <c r="AU86">
        <f t="shared" si="57"/>
        <v>8.2105340361310917E-6</v>
      </c>
      <c r="AV86">
        <f t="shared" si="58"/>
        <v>8.2072747792494769E-6</v>
      </c>
      <c r="AW86" s="11" t="str">
        <f t="shared" si="59"/>
        <v>UP</v>
      </c>
      <c r="AX86" s="11" t="str">
        <f t="shared" si="60"/>
        <v>UP</v>
      </c>
      <c r="AY86" s="6" t="str">
        <f t="shared" si="61"/>
        <v>POSITIVE</v>
      </c>
      <c r="AZ86" s="12" cm="1">
        <f t="array" ref="AZ86">_xll.BDP($B86, "INTERVAL_RSI", "TECH_STUDIES_PARAM1_OVERRIDE", "5", "PERIODICITY_OVERRIDE", "W")</f>
        <v>84.661000000000001</v>
      </c>
      <c r="BA86" cm="1">
        <f t="array" ref="BA86">IFERROR(VALUE(_xll.BDP($B86,"INTERVAL_MAE_MOV_AVG","CALC_INTERVAL","520D","TECH_STUDIES_PARAM1_OVERRIDE",31,"USE_PREVIOUS_BUSINESS_DAY","N")),"")</f>
        <v>5.6930000000000001E-2</v>
      </c>
      <c r="BB86" cm="1">
        <f t="array" ref="BB86">IFERROR(VALUE(_xll.BDP($B86,"INTERVAL_MAE_MOV_AVG","CALC_INTERVAL","760D","TECH_STUDIES_PARAM1_OVERRIDE",200,"USE_PREVIOUS_BUSINESS_DAY","N")),"")</f>
        <v>5.4199999999999998E-2</v>
      </c>
      <c r="BC86" s="13">
        <f t="shared" si="62"/>
        <v>2.1781134726857498E-2</v>
      </c>
      <c r="BD86" s="13">
        <f t="shared" si="63"/>
        <v>3.2114975159687642E-2</v>
      </c>
      <c r="BE86" s="13">
        <f t="shared" si="64"/>
        <v>7.3247232472324786E-2</v>
      </c>
      <c r="BF86" s="14" cm="1">
        <f t="array" ref="BF86">VALUE(_xll.BDP($B86,"INTERVAL_DATE_OF_CALC_HI","CALC_INTERVAL","3M"))</f>
        <v>46049</v>
      </c>
      <c r="BG86" s="14" cm="1">
        <f t="array" ref="BG86">VALUE(_xll.BDP($B86,"INTERVAL_DATE_OF_CALC_LO","CALC_INTERVAL","3M"))</f>
        <v>45985</v>
      </c>
      <c r="BH86" s="14" cm="1">
        <f t="array" ref="BH86">VALUE(_xll.BDP($B86,"INTERVAL_DATE_OF_CALC_HI","CALC_INTERVAL","1M"))</f>
        <v>46049</v>
      </c>
      <c r="BI86" s="14" cm="1">
        <f t="array" ref="BI86">VALUE(_xll.BDP($B86,"INTERVAL_DATE_OF_CALC_LO","CALC_INTERVAL","1M"))</f>
        <v>46034</v>
      </c>
      <c r="BJ86" s="15">
        <f>$F86-MIN(_xll.BDP("NYA Index","RSI_14D"),_xll.BDP("RSP US Equity","RSI_14D"))</f>
        <v>-2.8867641601562468</v>
      </c>
    </row>
    <row r="87" spans="1:62" x14ac:dyDescent="0.25">
      <c r="A87" s="11">
        <v>86</v>
      </c>
      <c r="B87" s="26" t="s">
        <v>672</v>
      </c>
      <c r="C87" s="1" t="s">
        <v>673</v>
      </c>
      <c r="D87" s="1" t="s">
        <v>593</v>
      </c>
      <c r="E87" s="11" t="s">
        <v>959</v>
      </c>
      <c r="F87">
        <f>IFERROR(VALUE((_xll.BDP($B87,"interval_rsi","tech_studies_param1_override",14))),"")</f>
        <v>74.402000000000001</v>
      </c>
      <c r="G87">
        <f t="shared" si="0"/>
        <v>52.525531939815814</v>
      </c>
      <c r="H87">
        <f t="shared" si="38"/>
        <v>1</v>
      </c>
      <c r="I87" cm="1">
        <f t="array" ref="I87">IFERROR(VALUE(_xll.BDP($B87,"px_last")),"")</f>
        <v>0.2555</v>
      </c>
      <c r="J87">
        <f t="shared" si="1"/>
        <v>6941.47</v>
      </c>
      <c r="K87" cm="1">
        <f t="array" ref="K87">IFERROR(VALUE(_xll.BDP($B87,"PX_YEST_CLOSE")),"")</f>
        <v>0.2555</v>
      </c>
      <c r="L87">
        <f t="shared" si="2"/>
        <v>6941.81</v>
      </c>
      <c r="M87">
        <f t="shared" si="39"/>
        <v>3.6807765502119865E-5</v>
      </c>
      <c r="N87">
        <f t="shared" si="40"/>
        <v>3.6805962710013668E-5</v>
      </c>
      <c r="O87" cm="1">
        <f t="array" ref="O87">IFERROR(VALUE(_xll.BDP($B87,"INTERVAL_MAE_MOV_AVG","CALC_INTERVAL","520D","TECH_STUDIES_PARAM1_OVERRIDE",50,"USE_PREVIOUS_BUSINESS_DAY","N")),"")</f>
        <v>0.24759999999999999</v>
      </c>
      <c r="P87">
        <f t="shared" si="3"/>
        <v>6894.0953999999992</v>
      </c>
      <c r="Q87" cm="1">
        <f t="array" ref="Q87">IFERROR(VALUE(_xll.BDP($B87,"INTERVAL_MAE_MOV_AVG","CALC_INTERVAL","520D","TECH_STUDIES_PARAM1_OVERRIDE",50,"USE_PREVIOUS_BUSINESS_DAY","Y")),"")</f>
        <v>0.24729999999999999</v>
      </c>
      <c r="R87">
        <f t="shared" si="4"/>
        <v>6892.2477999999992</v>
      </c>
      <c r="S87">
        <f t="shared" si="41"/>
        <v>3.5914791663602453E-5</v>
      </c>
      <c r="T87">
        <f t="shared" si="42"/>
        <v>3.588089215248471E-5</v>
      </c>
      <c r="U87" s="11" t="str">
        <f t="shared" si="43"/>
        <v>POSITIVE</v>
      </c>
      <c r="V87" s="11" t="str">
        <f t="shared" si="44"/>
        <v/>
      </c>
      <c r="W87" s="11" t="str">
        <f t="shared" si="45"/>
        <v>UP</v>
      </c>
      <c r="X87" s="6" t="str">
        <f t="shared" si="46"/>
        <v>POSITIVE</v>
      </c>
      <c r="Y87" cm="1">
        <f t="array" ref="Y87">IFERROR(VALUE(_xll.BDP($B87,"INTERVAL_MAE_MOV_AVG","CALC_INTERVAL","520D","TECH_STUDIES_PARAM1_OVERRIDE",65,"USE_PREVIOUS_BUSINESS_DAY","N")),"")</f>
        <v>0.2462</v>
      </c>
      <c r="Z87">
        <f t="shared" si="5"/>
        <v>6856.0226153846133</v>
      </c>
      <c r="AA87" cm="1">
        <f t="array" ref="AA87">IFERROR(VALUE(_xll.BDP($B87,"INTERVAL_MAE_MOV_AVG","CALC_INTERVAL","520D","TECH_STUDIES_PARAM1_OVERRIDE",65,"USE_PREVIOUS_BUSINESS_DAY","Y")),"")</f>
        <v>0.24590000000000001</v>
      </c>
      <c r="AB87">
        <f t="shared" si="6"/>
        <v>6852.6203076923057</v>
      </c>
      <c r="AC87">
        <f t="shared" si="47"/>
        <v>3.5910033238154443E-5</v>
      </c>
      <c r="AD87">
        <f t="shared" si="48"/>
        <v>3.5884083599957913E-5</v>
      </c>
      <c r="AE87" s="10" t="str">
        <f t="shared" si="49"/>
        <v>UP</v>
      </c>
      <c r="AF87" s="10" t="str">
        <f t="shared" si="50"/>
        <v>UP</v>
      </c>
      <c r="AG87" s="6" t="str">
        <f t="shared" si="51"/>
        <v>POSITIVE</v>
      </c>
      <c r="AH87" cm="1">
        <f t="array" ref="AH87">IFERROR(VALUE(_xll.BDP($B87,"INTERVAL_MAE_MOV_AVG","CALC_INTERVAL","65W","PERIODICITY_OVERRIDE","W","TECH_STUDIES_PARAM1_OVERRIDE",39,"USE_PREVIOUS_BUSINESS_DAY","N")),"")</f>
        <v>0.2402</v>
      </c>
      <c r="AI87">
        <f t="shared" si="7"/>
        <v>6560.7735897435905</v>
      </c>
      <c r="AJ87" cm="1">
        <f t="array" ref="AJ87">IFERROR(VALUE(_xll.BDP($B87,"INTERVAL_MAE_MOV_AVG","CALC_INTERVAL","65W","PERIODICITY_OVERRIDE","W","TECH_STUDIES_PARAM1_OVERRIDE",39,"USE_PREVIOUS_BUSINESS_DAY","Y")),"")</f>
        <v>0.2402</v>
      </c>
      <c r="AK87">
        <f t="shared" si="8"/>
        <v>6560.7823076923087</v>
      </c>
      <c r="AL87">
        <f t="shared" si="52"/>
        <v>3.6611536233395238E-5</v>
      </c>
      <c r="AM87">
        <f t="shared" si="53"/>
        <v>3.6611487584090865E-5</v>
      </c>
      <c r="AN87" s="10" t="str">
        <f t="shared" si="54"/>
        <v/>
      </c>
      <c r="AO87" s="10" t="str">
        <f t="shared" si="55"/>
        <v>UP</v>
      </c>
      <c r="AP87" s="6" t="str">
        <f t="shared" si="56"/>
        <v>POSITIVE</v>
      </c>
      <c r="AQ87" cm="1">
        <f t="array" ref="AQ87">IFERROR(VALUE(_xll.BDP($B87,"INTERVAL_exp_MOV_AVG","CALC_INTERVAL","520D","TECH_STUDIES_PARAM1_OVERRIDE",100,"USE_PREVIOUS_BUSINESS_DAY","N")),"")</f>
        <v>0.24460000000000001</v>
      </c>
      <c r="AR87">
        <f t="shared" si="9"/>
        <v>6773.0064518682802</v>
      </c>
      <c r="AS87" cm="1">
        <f t="array" ref="AS87">IFERROR(VALUE(_xll.BDP($B87,"INTERVAL_exp_MOV_AVG","CALC_INTERVAL","520D","TECH_STUDIES_PARAM1_OVERRIDE",100,"USE_PREVIOUS_BUSINESS_DAY","Y")),"")</f>
        <v>0.24429999999999999</v>
      </c>
      <c r="AT87">
        <f t="shared" si="10"/>
        <v>6769.6039787132295</v>
      </c>
      <c r="AU87">
        <f t="shared" si="57"/>
        <v>3.6113947585644043E-5</v>
      </c>
      <c r="AV87">
        <f t="shared" si="58"/>
        <v>3.6087783091624317E-5</v>
      </c>
      <c r="AW87" s="11" t="str">
        <f t="shared" si="59"/>
        <v>UP</v>
      </c>
      <c r="AX87" s="11" t="str">
        <f t="shared" si="60"/>
        <v>UP</v>
      </c>
      <c r="AY87" s="6" t="str">
        <f t="shared" si="61"/>
        <v>POSITIVE</v>
      </c>
      <c r="AZ87" s="12" cm="1">
        <f t="array" ref="AZ87">_xll.BDP($B87, "INTERVAL_RSI", "TECH_STUDIES_PARAM1_OVERRIDE", "5", "PERIODICITY_OVERRIDE", "W")</f>
        <v>92.486999999999995</v>
      </c>
      <c r="BA87" cm="1">
        <f t="array" ref="BA87">IFERROR(VALUE(_xll.BDP($B87,"INTERVAL_MAE_MOV_AVG","CALC_INTERVAL","520D","TECH_STUDIES_PARAM1_OVERRIDE",31,"USE_PREVIOUS_BUSINESS_DAY","N")),"")</f>
        <v>0.2495</v>
      </c>
      <c r="BB87" cm="1">
        <f t="array" ref="BB87">IFERROR(VALUE(_xll.BDP($B87,"INTERVAL_MAE_MOV_AVG","CALC_INTERVAL","760D","TECH_STUDIES_PARAM1_OVERRIDE",200,"USE_PREVIOUS_BUSINESS_DAY","N")),"")</f>
        <v>0.2394</v>
      </c>
      <c r="BC87" s="13">
        <f t="shared" si="62"/>
        <v>2.4048096192384794E-2</v>
      </c>
      <c r="BD87" s="13">
        <f t="shared" si="63"/>
        <v>3.1906300484652705E-2</v>
      </c>
      <c r="BE87" s="13">
        <f t="shared" si="64"/>
        <v>6.7251461988304007E-2</v>
      </c>
      <c r="BF87" s="14" cm="1">
        <f t="array" ref="BF87">VALUE(_xll.BDP($B87,"INTERVAL_DATE_OF_CALC_HI","CALC_INTERVAL","3M"))</f>
        <v>46064</v>
      </c>
      <c r="BG87" s="14" cm="1">
        <f t="array" ref="BG87">VALUE(_xll.BDP($B87,"INTERVAL_DATE_OF_CALC_LO","CALC_INTERVAL","3M"))</f>
        <v>45979</v>
      </c>
      <c r="BH87" s="14" cm="1">
        <f t="array" ref="BH87">VALUE(_xll.BDP($B87,"INTERVAL_DATE_OF_CALC_HI","CALC_INTERVAL","1M"))</f>
        <v>46064</v>
      </c>
      <c r="BI87" s="14" cm="1">
        <f t="array" ref="BI87">VALUE(_xll.BDP($B87,"INTERVAL_DATE_OF_CALC_LO","CALC_INTERVAL","1M"))</f>
        <v>46034</v>
      </c>
      <c r="BJ87" s="15">
        <f>$F87-MIN(_xll.BDP("NYA Index","RSI_14D"),_xll.BDP("RSP US Equity","RSI_14D"))</f>
        <v>8.056235839843751</v>
      </c>
    </row>
    <row r="88" spans="1:62" x14ac:dyDescent="0.25">
      <c r="A88" s="11">
        <v>87</v>
      </c>
      <c r="B88" s="26" t="s">
        <v>674</v>
      </c>
      <c r="C88" s="1" t="s">
        <v>675</v>
      </c>
      <c r="D88" s="1" t="s">
        <v>593</v>
      </c>
      <c r="E88" s="11" t="s">
        <v>960</v>
      </c>
      <c r="F88">
        <f>IFERROR(VALUE((_xll.BDP($B88,"interval_rsi","tech_studies_param1_override",14))),"")</f>
        <v>70.647999999999996</v>
      </c>
      <c r="G88">
        <f t="shared" si="0"/>
        <v>52.525531939815814</v>
      </c>
      <c r="H88">
        <f t="shared" si="38"/>
        <v>1</v>
      </c>
      <c r="I88" cm="1">
        <f t="array" ref="I88">IFERROR(VALUE(_xll.BDP($B88,"px_last")),"")</f>
        <v>8.8800000000000004E-2</v>
      </c>
      <c r="J88">
        <f t="shared" si="1"/>
        <v>6941.47</v>
      </c>
      <c r="K88" cm="1">
        <f t="array" ref="K88">IFERROR(VALUE(_xll.BDP($B88,"PX_YEST_CLOSE")),"")</f>
        <v>8.8800000000000004E-2</v>
      </c>
      <c r="L88">
        <f t="shared" si="2"/>
        <v>6941.81</v>
      </c>
      <c r="M88">
        <f t="shared" si="39"/>
        <v>1.2792679360423657E-5</v>
      </c>
      <c r="N88">
        <f t="shared" si="40"/>
        <v>1.2792052793147609E-5</v>
      </c>
      <c r="O88" cm="1">
        <f t="array" ref="O88">IFERROR(VALUE(_xll.BDP($B88,"INTERVAL_MAE_MOV_AVG","CALC_INTERVAL","520D","TECH_STUDIES_PARAM1_OVERRIDE",50,"USE_PREVIOUS_BUSINESS_DAY","N")),"")</f>
        <v>8.5500000000000007E-2</v>
      </c>
      <c r="P88">
        <f t="shared" si="3"/>
        <v>6894.0953999999992</v>
      </c>
      <c r="Q88" cm="1">
        <f t="array" ref="Q88">IFERROR(VALUE(_xll.BDP($B88,"INTERVAL_MAE_MOV_AVG","CALC_INTERVAL","520D","TECH_STUDIES_PARAM1_OVERRIDE",50,"USE_PREVIOUS_BUSINESS_DAY","Y")),"")</f>
        <v>8.5500000000000007E-2</v>
      </c>
      <c r="R88">
        <f t="shared" si="4"/>
        <v>6892.2477999999992</v>
      </c>
      <c r="S88">
        <f t="shared" si="41"/>
        <v>1.2401917153626857E-5</v>
      </c>
      <c r="T88">
        <f t="shared" si="42"/>
        <v>1.2405241726799204E-5</v>
      </c>
      <c r="U88" s="11" t="str">
        <f t="shared" si="43"/>
        <v>POSITIVE</v>
      </c>
      <c r="V88" s="11" t="str">
        <f t="shared" si="44"/>
        <v/>
      </c>
      <c r="W88" s="11" t="str">
        <f t="shared" si="45"/>
        <v>DOWN</v>
      </c>
      <c r="X88" s="6" t="str">
        <f t="shared" si="46"/>
        <v>POSITIVE</v>
      </c>
      <c r="Y88" cm="1">
        <f t="array" ref="Y88">IFERROR(VALUE(_xll.BDP($B88,"INTERVAL_MAE_MOV_AVG","CALC_INTERVAL","520D","TECH_STUDIES_PARAM1_OVERRIDE",65,"USE_PREVIOUS_BUSINESS_DAY","N")),"")</f>
        <v>8.5400000000000004E-2</v>
      </c>
      <c r="Z88">
        <f t="shared" si="5"/>
        <v>6856.0226153846133</v>
      </c>
      <c r="AA88" cm="1">
        <f t="array" ref="AA88">IFERROR(VALUE(_xll.BDP($B88,"INTERVAL_MAE_MOV_AVG","CALC_INTERVAL","520D","TECH_STUDIES_PARAM1_OVERRIDE",65,"USE_PREVIOUS_BUSINESS_DAY","Y")),"")</f>
        <v>8.5400000000000004E-2</v>
      </c>
      <c r="AB88">
        <f t="shared" si="6"/>
        <v>6852.6203076923057</v>
      </c>
      <c r="AC88">
        <f t="shared" si="47"/>
        <v>1.245620161875869E-5</v>
      </c>
      <c r="AD88">
        <f t="shared" si="48"/>
        <v>1.2462386089615315E-5</v>
      </c>
      <c r="AE88" s="10" t="str">
        <f t="shared" si="49"/>
        <v/>
      </c>
      <c r="AF88" s="10" t="str">
        <f t="shared" si="50"/>
        <v>DOWN</v>
      </c>
      <c r="AG88" s="6" t="str">
        <f t="shared" si="51"/>
        <v>POSITIVE</v>
      </c>
      <c r="AH88" cm="1">
        <f t="array" ref="AH88">IFERROR(VALUE(_xll.BDP($B88,"INTERVAL_MAE_MOV_AVG","CALC_INTERVAL","65W","PERIODICITY_OVERRIDE","W","TECH_STUDIES_PARAM1_OVERRIDE",39,"USE_PREVIOUS_BUSINESS_DAY","N")),"")</f>
        <v>8.5400000000000004E-2</v>
      </c>
      <c r="AI88">
        <f t="shared" si="7"/>
        <v>6560.7735897435905</v>
      </c>
      <c r="AJ88" cm="1">
        <f t="array" ref="AJ88">IFERROR(VALUE(_xll.BDP($B88,"INTERVAL_MAE_MOV_AVG","CALC_INTERVAL","65W","PERIODICITY_OVERRIDE","W","TECH_STUDIES_PARAM1_OVERRIDE",39,"USE_PREVIOUS_BUSINESS_DAY","Y")),"")</f>
        <v>8.5400000000000004E-2</v>
      </c>
      <c r="AK88">
        <f t="shared" si="8"/>
        <v>6560.7823076923087</v>
      </c>
      <c r="AL88">
        <f t="shared" si="52"/>
        <v>1.3016757678317873E-5</v>
      </c>
      <c r="AM88">
        <f t="shared" si="53"/>
        <v>1.3016740381687596E-5</v>
      </c>
      <c r="AN88" s="10" t="str">
        <f t="shared" si="54"/>
        <v/>
      </c>
      <c r="AO88" s="10" t="str">
        <f t="shared" si="55"/>
        <v>UP</v>
      </c>
      <c r="AP88" s="6" t="str">
        <f t="shared" si="56"/>
        <v>NEGATIVE</v>
      </c>
      <c r="AQ88" cm="1">
        <f t="array" ref="AQ88">IFERROR(VALUE(_xll.BDP($B88,"INTERVAL_exp_MOV_AVG","CALC_INTERVAL","520D","TECH_STUDIES_PARAM1_OVERRIDE",100,"USE_PREVIOUS_BUSINESS_DAY","N")),"")</f>
        <v>8.5699999999999998E-2</v>
      </c>
      <c r="AR88">
        <f t="shared" si="9"/>
        <v>6773.0064518682802</v>
      </c>
      <c r="AS88" cm="1">
        <f t="array" ref="AS88">IFERROR(VALUE(_xll.BDP($B88,"INTERVAL_exp_MOV_AVG","CALC_INTERVAL","520D","TECH_STUDIES_PARAM1_OVERRIDE",100,"USE_PREVIOUS_BUSINESS_DAY","Y")),"")</f>
        <v>8.5599999999999996E-2</v>
      </c>
      <c r="AT88">
        <f t="shared" si="10"/>
        <v>6769.6039787132295</v>
      </c>
      <c r="AU88">
        <f t="shared" si="57"/>
        <v>1.2653169697831947E-5</v>
      </c>
      <c r="AV88">
        <f t="shared" si="58"/>
        <v>1.2644757399275651E-5</v>
      </c>
      <c r="AW88" s="11" t="str">
        <f t="shared" si="59"/>
        <v>UP</v>
      </c>
      <c r="AX88" s="11" t="str">
        <f t="shared" si="60"/>
        <v>UP</v>
      </c>
      <c r="AY88" s="6" t="str">
        <f t="shared" si="61"/>
        <v>POSITIVE</v>
      </c>
      <c r="AZ88" s="12" cm="1">
        <f t="array" ref="AZ88">_xll.BDP($B88, "INTERVAL_RSI", "TECH_STUDIES_PARAM1_OVERRIDE", "5", "PERIODICITY_OVERRIDE", "W")</f>
        <v>89.515000000000001</v>
      </c>
      <c r="BA88" cm="1">
        <f t="array" ref="BA88">IFERROR(VALUE(_xll.BDP($B88,"INTERVAL_MAE_MOV_AVG","CALC_INTERVAL","520D","TECH_STUDIES_PARAM1_OVERRIDE",31,"USE_PREVIOUS_BUSINESS_DAY","N")),"")</f>
        <v>8.6199999999999999E-2</v>
      </c>
      <c r="BB88" cm="1">
        <f t="array" ref="BB88">IFERROR(VALUE(_xll.BDP($B88,"INTERVAL_MAE_MOV_AVG","CALC_INTERVAL","760D","TECH_STUDIES_PARAM1_OVERRIDE",200,"USE_PREVIOUS_BUSINESS_DAY","N")),"")</f>
        <v>8.5400000000000004E-2</v>
      </c>
      <c r="BC88" s="13">
        <f t="shared" si="62"/>
        <v>3.0162412993039567E-2</v>
      </c>
      <c r="BD88" s="13">
        <f t="shared" si="63"/>
        <v>3.8596491228070073E-2</v>
      </c>
      <c r="BE88" s="13">
        <f t="shared" si="64"/>
        <v>3.9812646370023463E-2</v>
      </c>
      <c r="BF88" s="14" cm="1">
        <f t="array" ref="BF88">VALUE(_xll.BDP($B88,"INTERVAL_DATE_OF_CALC_HI","CALC_INTERVAL","3M"))</f>
        <v>46064</v>
      </c>
      <c r="BG88" s="14" cm="1">
        <f t="array" ref="BG88">VALUE(_xll.BDP($B88,"INTERVAL_DATE_OF_CALC_LO","CALC_INTERVAL","3M"))</f>
        <v>46008</v>
      </c>
      <c r="BH88" s="14" cm="1">
        <f t="array" ref="BH88">VALUE(_xll.BDP($B88,"INTERVAL_DATE_OF_CALC_HI","CALC_INTERVAL","1M"))</f>
        <v>46064</v>
      </c>
      <c r="BI88" s="14" cm="1">
        <f t="array" ref="BI88">VALUE(_xll.BDP($B88,"INTERVAL_DATE_OF_CALC_LO","CALC_INTERVAL","1M"))</f>
        <v>46035</v>
      </c>
      <c r="BJ88" s="15">
        <f>$F88-MIN(_xll.BDP("NYA Index","RSI_14D"),_xll.BDP("RSP US Equity","RSI_14D"))</f>
        <v>4.3022358398437461</v>
      </c>
    </row>
    <row r="89" spans="1:62" x14ac:dyDescent="0.25">
      <c r="A89" s="11">
        <v>88</v>
      </c>
      <c r="B89" s="26" t="s">
        <v>676</v>
      </c>
      <c r="C89" s="1" t="s">
        <v>677</v>
      </c>
      <c r="D89" s="1" t="s">
        <v>593</v>
      </c>
      <c r="E89" s="11" t="s">
        <v>959</v>
      </c>
      <c r="F89">
        <f>IFERROR(VALUE((_xll.BDP($B89,"interval_rsi","tech_studies_param1_override",14))),"")</f>
        <v>67.537999999999997</v>
      </c>
      <c r="G89">
        <f t="shared" si="0"/>
        <v>52.525531939815814</v>
      </c>
      <c r="H89">
        <f t="shared" si="38"/>
        <v>1</v>
      </c>
      <c r="I89" cm="1">
        <f t="array" ref="I89">IFERROR(VALUE(_xll.BDP($B89,"px_last")),"")</f>
        <v>0.10539999999999999</v>
      </c>
      <c r="J89">
        <f t="shared" si="1"/>
        <v>6941.47</v>
      </c>
      <c r="K89" cm="1">
        <f t="array" ref="K89">IFERROR(VALUE(_xll.BDP($B89,"PX_YEST_CLOSE")),"")</f>
        <v>0.10539999999999999</v>
      </c>
      <c r="L89">
        <f t="shared" si="2"/>
        <v>6941.81</v>
      </c>
      <c r="M89">
        <f t="shared" si="39"/>
        <v>1.5184103655277626E-5</v>
      </c>
      <c r="N89">
        <f t="shared" si="40"/>
        <v>1.518335995943421E-5</v>
      </c>
      <c r="O89" cm="1">
        <f t="array" ref="O89">IFERROR(VALUE(_xll.BDP($B89,"INTERVAL_MAE_MOV_AVG","CALC_INTERVAL","520D","TECH_STUDIES_PARAM1_OVERRIDE",50,"USE_PREVIOUS_BUSINESS_DAY","N")),"")</f>
        <v>0.10050000000000001</v>
      </c>
      <c r="P89">
        <f t="shared" si="3"/>
        <v>6894.0953999999992</v>
      </c>
      <c r="Q89" cm="1">
        <f t="array" ref="Q89">IFERROR(VALUE(_xll.BDP($B89,"INTERVAL_MAE_MOV_AVG","CALC_INTERVAL","520D","TECH_STUDIES_PARAM1_OVERRIDE",50,"USE_PREVIOUS_BUSINESS_DAY","Y")),"")</f>
        <v>0.1004</v>
      </c>
      <c r="R89">
        <f t="shared" si="4"/>
        <v>6892.2477999999992</v>
      </c>
      <c r="S89">
        <f t="shared" si="41"/>
        <v>1.457769209285964E-5</v>
      </c>
      <c r="T89">
        <f t="shared" si="42"/>
        <v>1.4567090869832048E-5</v>
      </c>
      <c r="U89" s="11" t="str">
        <f t="shared" si="43"/>
        <v>POSITIVE</v>
      </c>
      <c r="V89" s="11" t="str">
        <f t="shared" si="44"/>
        <v/>
      </c>
      <c r="W89" s="11" t="str">
        <f t="shared" si="45"/>
        <v>UP</v>
      </c>
      <c r="X89" s="6" t="str">
        <f t="shared" si="46"/>
        <v>POSITIVE</v>
      </c>
      <c r="Y89" cm="1">
        <f t="array" ref="Y89">IFERROR(VALUE(_xll.BDP($B89,"INTERVAL_MAE_MOV_AVG","CALC_INTERVAL","520D","TECH_STUDIES_PARAM1_OVERRIDE",65,"USE_PREVIOUS_BUSINESS_DAY","N")),"")</f>
        <v>0.1</v>
      </c>
      <c r="Z89">
        <f t="shared" si="5"/>
        <v>6856.0226153846133</v>
      </c>
      <c r="AA89" cm="1">
        <f t="array" ref="AA89">IFERROR(VALUE(_xll.BDP($B89,"INTERVAL_MAE_MOV_AVG","CALC_INTERVAL","520D","TECH_STUDIES_PARAM1_OVERRIDE",65,"USE_PREVIOUS_BUSINESS_DAY","Y")),"")</f>
        <v>0.1</v>
      </c>
      <c r="AB89">
        <f t="shared" si="6"/>
        <v>6852.6203076923057</v>
      </c>
      <c r="AC89">
        <f t="shared" si="47"/>
        <v>1.4585716181216264E-5</v>
      </c>
      <c r="AD89">
        <f t="shared" si="48"/>
        <v>1.459295795036922E-5</v>
      </c>
      <c r="AE89" s="10" t="str">
        <f t="shared" si="49"/>
        <v/>
      </c>
      <c r="AF89" s="10" t="str">
        <f t="shared" si="50"/>
        <v>DOWN</v>
      </c>
      <c r="AG89" s="6" t="str">
        <f t="shared" si="51"/>
        <v>POSITIVE</v>
      </c>
      <c r="AH89" cm="1">
        <f t="array" ref="AH89">IFERROR(VALUE(_xll.BDP($B89,"INTERVAL_MAE_MOV_AVG","CALC_INTERVAL","65W","PERIODICITY_OVERRIDE","W","TECH_STUDIES_PARAM1_OVERRIDE",39,"USE_PREVIOUS_BUSINESS_DAY","N")),"")</f>
        <v>9.9500000000000005E-2</v>
      </c>
      <c r="AI89">
        <f t="shared" si="7"/>
        <v>6560.7735897435905</v>
      </c>
      <c r="AJ89" cm="1">
        <f t="array" ref="AJ89">IFERROR(VALUE(_xll.BDP($B89,"INTERVAL_MAE_MOV_AVG","CALC_INTERVAL","65W","PERIODICITY_OVERRIDE","W","TECH_STUDIES_PARAM1_OVERRIDE",39,"USE_PREVIOUS_BUSINESS_DAY","Y")),"")</f>
        <v>9.9500000000000005E-2</v>
      </c>
      <c r="AK89">
        <f t="shared" si="8"/>
        <v>6560.7823076923087</v>
      </c>
      <c r="AL89">
        <f t="shared" si="52"/>
        <v>1.5165894484691201E-5</v>
      </c>
      <c r="AM89">
        <f t="shared" si="53"/>
        <v>1.5165874332294095E-5</v>
      </c>
      <c r="AN89" s="10" t="str">
        <f t="shared" si="54"/>
        <v/>
      </c>
      <c r="AO89" s="10" t="str">
        <f t="shared" si="55"/>
        <v>UP</v>
      </c>
      <c r="AP89" s="6" t="str">
        <f t="shared" si="56"/>
        <v>POSITIVE</v>
      </c>
      <c r="AQ89" cm="1">
        <f t="array" ref="AQ89">IFERROR(VALUE(_xll.BDP($B89,"INTERVAL_exp_MOV_AVG","CALC_INTERVAL","520D","TECH_STUDIES_PARAM1_OVERRIDE",100,"USE_PREVIOUS_BUSINESS_DAY","N")),"")</f>
        <v>0.1002</v>
      </c>
      <c r="AR89">
        <f t="shared" si="9"/>
        <v>6773.0064518682802</v>
      </c>
      <c r="AS89" cm="1">
        <f t="array" ref="AS89">IFERROR(VALUE(_xll.BDP($B89,"INTERVAL_exp_MOV_AVG","CALC_INTERVAL","520D","TECH_STUDIES_PARAM1_OVERRIDE",100,"USE_PREVIOUS_BUSINESS_DAY","Y")),"")</f>
        <v>0.10009999999999999</v>
      </c>
      <c r="AT89">
        <f t="shared" si="10"/>
        <v>6769.6039787132295</v>
      </c>
      <c r="AU89">
        <f t="shared" si="57"/>
        <v>1.4794021046940037E-5</v>
      </c>
      <c r="AV89">
        <f t="shared" si="58"/>
        <v>1.4786684762470709E-5</v>
      </c>
      <c r="AW89" s="11" t="str">
        <f t="shared" si="59"/>
        <v>UP</v>
      </c>
      <c r="AX89" s="11" t="str">
        <f t="shared" si="60"/>
        <v>UP</v>
      </c>
      <c r="AY89" s="6" t="str">
        <f t="shared" si="61"/>
        <v>POSITIVE</v>
      </c>
      <c r="AZ89" s="12" cm="1">
        <f t="array" ref="AZ89">_xll.BDP($B89, "INTERVAL_RSI", "TECH_STUDIES_PARAM1_OVERRIDE", "5", "PERIODICITY_OVERRIDE", "W")</f>
        <v>85.061000000000007</v>
      </c>
      <c r="BA89" cm="1">
        <f t="array" ref="BA89">IFERROR(VALUE(_xll.BDP($B89,"INTERVAL_MAE_MOV_AVG","CALC_INTERVAL","520D","TECH_STUDIES_PARAM1_OVERRIDE",31,"USE_PREVIOUS_BUSINESS_DAY","N")),"")</f>
        <v>0.1014</v>
      </c>
      <c r="BB89" cm="1">
        <f t="array" ref="BB89">IFERROR(VALUE(_xll.BDP($B89,"INTERVAL_MAE_MOV_AVG","CALC_INTERVAL","760D","TECH_STUDIES_PARAM1_OVERRIDE",200,"USE_PREVIOUS_BUSINESS_DAY","N")),"")</f>
        <v>9.9299999999999999E-2</v>
      </c>
      <c r="BC89" s="13">
        <f t="shared" si="62"/>
        <v>3.9447731755424043E-2</v>
      </c>
      <c r="BD89" s="13">
        <f t="shared" si="63"/>
        <v>4.8756218905472437E-2</v>
      </c>
      <c r="BE89" s="13">
        <f t="shared" si="64"/>
        <v>6.1430010070493424E-2</v>
      </c>
      <c r="BF89" s="14" cm="1">
        <f t="array" ref="BF89">VALUE(_xll.BDP($B89,"INTERVAL_DATE_OF_CALC_HI","CALC_INTERVAL","3M"))</f>
        <v>46064</v>
      </c>
      <c r="BG89" s="14" cm="1">
        <f t="array" ref="BG89">VALUE(_xll.BDP($B89,"INTERVAL_DATE_OF_CALC_LO","CALC_INTERVAL","3M"))</f>
        <v>45982</v>
      </c>
      <c r="BH89" s="14" cm="1">
        <f t="array" ref="BH89">VALUE(_xll.BDP($B89,"INTERVAL_DATE_OF_CALC_HI","CALC_INTERVAL","1M"))</f>
        <v>46064</v>
      </c>
      <c r="BI89" s="14" cm="1">
        <f t="array" ref="BI89">VALUE(_xll.BDP($B89,"INTERVAL_DATE_OF_CALC_LO","CALC_INTERVAL","1M"))</f>
        <v>46037</v>
      </c>
      <c r="BJ89" s="15">
        <f>$F89-MIN(_xll.BDP("NYA Index","RSI_14D"),_xll.BDP("RSP US Equity","RSI_14D"))</f>
        <v>1.1922358398437467</v>
      </c>
    </row>
    <row r="90" spans="1:62" x14ac:dyDescent="0.25">
      <c r="A90" s="11">
        <v>89</v>
      </c>
      <c r="B90" s="26" t="s">
        <v>678</v>
      </c>
      <c r="C90" s="1" t="s">
        <v>679</v>
      </c>
      <c r="D90" s="1" t="s">
        <v>593</v>
      </c>
      <c r="E90" s="11" t="s">
        <v>960</v>
      </c>
      <c r="F90">
        <f>IFERROR(VALUE((_xll.BDP($B90,"interval_rsi","tech_studies_param1_override",14))),"")</f>
        <v>64.004999999999995</v>
      </c>
      <c r="G90">
        <f t="shared" si="0"/>
        <v>52.525531939815814</v>
      </c>
      <c r="H90">
        <f t="shared" si="38"/>
        <v>1</v>
      </c>
      <c r="I90" cm="1">
        <f t="array" ref="I90">IFERROR(VALUE(_xll.BDP($B90,"px_last")),"")</f>
        <v>0.50949999999999995</v>
      </c>
      <c r="J90">
        <f t="shared" si="1"/>
        <v>6941.47</v>
      </c>
      <c r="K90" cm="1">
        <f t="array" ref="K90">IFERROR(VALUE(_xll.BDP($B90,"PX_YEST_CLOSE")),"")</f>
        <v>0.50939999999999996</v>
      </c>
      <c r="L90">
        <f t="shared" si="2"/>
        <v>6941.81</v>
      </c>
      <c r="M90">
        <f t="shared" si="39"/>
        <v>7.3399438447475815E-5</v>
      </c>
      <c r="N90">
        <f t="shared" si="40"/>
        <v>7.3381437982312955E-5</v>
      </c>
      <c r="O90" cm="1">
        <f t="array" ref="O90">IFERROR(VALUE(_xll.BDP($B90,"INTERVAL_MAE_MOV_AVG","CALC_INTERVAL","520D","TECH_STUDIES_PARAM1_OVERRIDE",50,"USE_PREVIOUS_BUSINESS_DAY","N")),"")</f>
        <v>0.49809999999999999</v>
      </c>
      <c r="P90">
        <f t="shared" si="3"/>
        <v>6894.0953999999992</v>
      </c>
      <c r="Q90" cm="1">
        <f t="array" ref="Q90">IFERROR(VALUE(_xll.BDP($B90,"INTERVAL_MAE_MOV_AVG","CALC_INTERVAL","520D","TECH_STUDIES_PARAM1_OVERRIDE",50,"USE_PREVIOUS_BUSINESS_DAY","Y")),"")</f>
        <v>0.49780000000000002</v>
      </c>
      <c r="R90">
        <f t="shared" si="4"/>
        <v>6892.2477999999992</v>
      </c>
      <c r="S90">
        <f t="shared" si="41"/>
        <v>7.2250233148789914E-5</v>
      </c>
      <c r="T90">
        <f t="shared" si="42"/>
        <v>7.2226074053808695E-5</v>
      </c>
      <c r="U90" s="11" t="str">
        <f t="shared" si="43"/>
        <v>POSITIVE</v>
      </c>
      <c r="V90" s="11" t="str">
        <f t="shared" si="44"/>
        <v/>
      </c>
      <c r="W90" s="11" t="str">
        <f t="shared" si="45"/>
        <v>UP</v>
      </c>
      <c r="X90" s="6" t="str">
        <f t="shared" si="46"/>
        <v>POSITIVE</v>
      </c>
      <c r="Y90" cm="1">
        <f t="array" ref="Y90">IFERROR(VALUE(_xll.BDP($B90,"INTERVAL_MAE_MOV_AVG","CALC_INTERVAL","520D","TECH_STUDIES_PARAM1_OVERRIDE",65,"USE_PREVIOUS_BUSINESS_DAY","N")),"")</f>
        <v>0.49609999999999999</v>
      </c>
      <c r="Z90">
        <f t="shared" si="5"/>
        <v>6856.0226153846133</v>
      </c>
      <c r="AA90" cm="1">
        <f t="array" ref="AA90">IFERROR(VALUE(_xll.BDP($B90,"INTERVAL_MAE_MOV_AVG","CALC_INTERVAL","520D","TECH_STUDIES_PARAM1_OVERRIDE",65,"USE_PREVIOUS_BUSINESS_DAY","Y")),"")</f>
        <v>0.49580000000000002</v>
      </c>
      <c r="AB90">
        <f t="shared" si="6"/>
        <v>6852.6203076923057</v>
      </c>
      <c r="AC90">
        <f t="shared" si="47"/>
        <v>7.2359737975013878E-5</v>
      </c>
      <c r="AD90">
        <f t="shared" si="48"/>
        <v>7.2351885517930588E-5</v>
      </c>
      <c r="AE90" s="10" t="str">
        <f t="shared" si="49"/>
        <v>UP</v>
      </c>
      <c r="AF90" s="10" t="str">
        <f t="shared" si="50"/>
        <v>UP</v>
      </c>
      <c r="AG90" s="6" t="str">
        <f t="shared" si="51"/>
        <v>POSITIVE</v>
      </c>
      <c r="AH90" cm="1">
        <f t="array" ref="AH90">IFERROR(VALUE(_xll.BDP($B90,"INTERVAL_MAE_MOV_AVG","CALC_INTERVAL","65W","PERIODICITY_OVERRIDE","W","TECH_STUDIES_PARAM1_OVERRIDE",39,"USE_PREVIOUS_BUSINESS_DAY","N")),"")</f>
        <v>0.50360000000000005</v>
      </c>
      <c r="AI90">
        <f t="shared" si="7"/>
        <v>6560.7735897435905</v>
      </c>
      <c r="AJ90" cm="1">
        <f t="array" ref="AJ90">IFERROR(VALUE(_xll.BDP($B90,"INTERVAL_MAE_MOV_AVG","CALC_INTERVAL","65W","PERIODICITY_OVERRIDE","W","TECH_STUDIES_PARAM1_OVERRIDE",39,"USE_PREVIOUS_BUSINESS_DAY","Y")),"")</f>
        <v>0.50360000000000005</v>
      </c>
      <c r="AK90">
        <f t="shared" si="8"/>
        <v>6560.7823076923087</v>
      </c>
      <c r="AL90">
        <f t="shared" si="52"/>
        <v>7.6759240829050131E-5</v>
      </c>
      <c r="AM90">
        <f t="shared" si="53"/>
        <v>7.6759138831591027E-5</v>
      </c>
      <c r="AN90" s="10" t="str">
        <f t="shared" si="54"/>
        <v/>
      </c>
      <c r="AO90" s="10" t="str">
        <f t="shared" si="55"/>
        <v>UP</v>
      </c>
      <c r="AP90" s="6" t="str">
        <f t="shared" si="56"/>
        <v>NEGATIVE</v>
      </c>
      <c r="AQ90" cm="1">
        <f t="array" ref="AQ90">IFERROR(VALUE(_xll.BDP($B90,"INTERVAL_exp_MOV_AVG","CALC_INTERVAL","520D","TECH_STUDIES_PARAM1_OVERRIDE",100,"USE_PREVIOUS_BUSINESS_DAY","N")),"")</f>
        <v>0.49959999999999999</v>
      </c>
      <c r="AR90">
        <f t="shared" si="9"/>
        <v>6773.0064518682802</v>
      </c>
      <c r="AS90" cm="1">
        <f t="array" ref="AS90">IFERROR(VALUE(_xll.BDP($B90,"INTERVAL_exp_MOV_AVG","CALC_INTERVAL","520D","TECH_STUDIES_PARAM1_OVERRIDE",100,"USE_PREVIOUS_BUSINESS_DAY","Y")),"")</f>
        <v>0.49940000000000001</v>
      </c>
      <c r="AT90">
        <f t="shared" si="10"/>
        <v>6769.6039787132295</v>
      </c>
      <c r="AU90">
        <f t="shared" si="57"/>
        <v>7.3763402345820782E-5</v>
      </c>
      <c r="AV90">
        <f t="shared" si="58"/>
        <v>7.3770932771007711E-5</v>
      </c>
      <c r="AW90" s="11" t="str">
        <f t="shared" si="59"/>
        <v>UP</v>
      </c>
      <c r="AX90" s="11" t="str">
        <f t="shared" si="60"/>
        <v>DOWN</v>
      </c>
      <c r="AY90" s="6" t="str">
        <f t="shared" si="61"/>
        <v>NEGATIVE</v>
      </c>
      <c r="AZ90" s="12" cm="1">
        <f t="array" ref="AZ90">_xll.BDP($B90, "INTERVAL_RSI", "TECH_STUDIES_PARAM1_OVERRIDE", "5", "PERIODICITY_OVERRIDE", "W")</f>
        <v>82.796000000000006</v>
      </c>
      <c r="BA90" cm="1">
        <f t="array" ref="BA90">IFERROR(VALUE(_xll.BDP($B90,"INTERVAL_MAE_MOV_AVG","CALC_INTERVAL","520D","TECH_STUDIES_PARAM1_OVERRIDE",31,"USE_PREVIOUS_BUSINESS_DAY","N")),"")</f>
        <v>0.50039999999999996</v>
      </c>
      <c r="BB90" cm="1">
        <f t="array" ref="BB90">IFERROR(VALUE(_xll.BDP($B90,"INTERVAL_MAE_MOV_AVG","CALC_INTERVAL","760D","TECH_STUDIES_PARAM1_OVERRIDE",200,"USE_PREVIOUS_BUSINESS_DAY","N")),"")</f>
        <v>0.50480000000000003</v>
      </c>
      <c r="BC90" s="13">
        <f t="shared" si="62"/>
        <v>1.818545163868901E-2</v>
      </c>
      <c r="BD90" s="13">
        <f t="shared" si="63"/>
        <v>2.2886970487853819E-2</v>
      </c>
      <c r="BE90" s="13">
        <f t="shared" si="64"/>
        <v>9.3106180665609717E-3</v>
      </c>
      <c r="BF90" s="14" cm="1">
        <f t="array" ref="BF90">VALUE(_xll.BDP($B90,"INTERVAL_DATE_OF_CALC_HI","CALC_INTERVAL","3M"))</f>
        <v>46056</v>
      </c>
      <c r="BG90" s="14" cm="1">
        <f t="array" ref="BG90">VALUE(_xll.BDP($B90,"INTERVAL_DATE_OF_CALC_LO","CALC_INTERVAL","3M"))</f>
        <v>45981</v>
      </c>
      <c r="BH90" s="14" cm="1">
        <f t="array" ref="BH90">VALUE(_xll.BDP($B90,"INTERVAL_DATE_OF_CALC_HI","CALC_INTERVAL","1M"))</f>
        <v>46056</v>
      </c>
      <c r="BI90" s="14" cm="1">
        <f t="array" ref="BI90">VALUE(_xll.BDP($B90,"INTERVAL_DATE_OF_CALC_LO","CALC_INTERVAL","1M"))</f>
        <v>46035</v>
      </c>
      <c r="BJ90" s="15">
        <f>$F90-MIN(_xll.BDP("NYA Index","RSI_14D"),_xll.BDP("RSP US Equity","RSI_14D"))</f>
        <v>-2.3407641601562545</v>
      </c>
    </row>
    <row r="91" spans="1:62" x14ac:dyDescent="0.25">
      <c r="A91" s="11">
        <v>90</v>
      </c>
      <c r="B91" s="26" t="s">
        <v>680</v>
      </c>
      <c r="C91" s="1" t="s">
        <v>681</v>
      </c>
      <c r="D91" s="1" t="s">
        <v>593</v>
      </c>
      <c r="E91" s="11" t="s">
        <v>787</v>
      </c>
      <c r="F91">
        <f>IFERROR(VALUE((_xll.BDP($B91,"interval_rsi","tech_studies_param1_override",14))),"")</f>
        <v>50.927</v>
      </c>
      <c r="G91">
        <f t="shared" si="0"/>
        <v>52.525531939815814</v>
      </c>
      <c r="H91">
        <f t="shared" si="38"/>
        <v>0</v>
      </c>
      <c r="I91" cm="1">
        <f t="array" ref="I91">IFERROR(VALUE(_xll.BDP($B91,"px_last")),"")</f>
        <v>92.683999999999997</v>
      </c>
      <c r="J91">
        <f t="shared" si="1"/>
        <v>6941.47</v>
      </c>
      <c r="K91" cm="1">
        <f t="array" ref="K91">IFERROR(VALUE(_xll.BDP($B91,"PX_YEST_CLOSE")),"")</f>
        <v>92.67</v>
      </c>
      <c r="L91">
        <f t="shared" si="2"/>
        <v>6941.81</v>
      </c>
      <c r="M91">
        <f t="shared" si="39"/>
        <v>1.3352215020737681E-2</v>
      </c>
      <c r="N91">
        <f t="shared" si="40"/>
        <v>1.3349544283119243E-2</v>
      </c>
      <c r="O91" cm="1">
        <f t="array" ref="O91">IFERROR(VALUE(_xll.BDP($B91,"INTERVAL_MAE_MOV_AVG","CALC_INTERVAL","520D","TECH_STUDIES_PARAM1_OVERRIDE",50,"USE_PREVIOUS_BUSINESS_DAY","N")),"")</f>
        <v>91.453999999999994</v>
      </c>
      <c r="P91">
        <f t="shared" si="3"/>
        <v>6894.0953999999992</v>
      </c>
      <c r="Q91" cm="1">
        <f t="array" ref="Q91">IFERROR(VALUE(_xll.BDP($B91,"INTERVAL_MAE_MOV_AVG","CALC_INTERVAL","520D","TECH_STUDIES_PARAM1_OVERRIDE",50,"USE_PREVIOUS_BUSINESS_DAY","Y")),"")</f>
        <v>91.393000000000001</v>
      </c>
      <c r="R91">
        <f t="shared" si="4"/>
        <v>6892.2477999999992</v>
      </c>
      <c r="S91">
        <f t="shared" si="41"/>
        <v>1.3265554752839656E-2</v>
      </c>
      <c r="T91">
        <f t="shared" si="42"/>
        <v>1.3260260317396019E-2</v>
      </c>
      <c r="U91" s="11" t="str">
        <f t="shared" si="43"/>
        <v>NEGATIVE</v>
      </c>
      <c r="V91" s="11" t="str">
        <f t="shared" si="44"/>
        <v/>
      </c>
      <c r="W91" s="11" t="str">
        <f t="shared" si="45"/>
        <v>UP</v>
      </c>
      <c r="X91" s="6" t="str">
        <f t="shared" si="46"/>
        <v>POSITIVE</v>
      </c>
      <c r="Y91" cm="1">
        <f t="array" ref="Y91">IFERROR(VALUE(_xll.BDP($B91,"INTERVAL_MAE_MOV_AVG","CALC_INTERVAL","520D","TECH_STUDIES_PARAM1_OVERRIDE",65,"USE_PREVIOUS_BUSINESS_DAY","N")),"")</f>
        <v>90.760999999999996</v>
      </c>
      <c r="Z91">
        <f t="shared" si="5"/>
        <v>6856.0226153846133</v>
      </c>
      <c r="AA91" cm="1">
        <f t="array" ref="AA91">IFERROR(VALUE(_xll.BDP($B91,"INTERVAL_MAE_MOV_AVG","CALC_INTERVAL","520D","TECH_STUDIES_PARAM1_OVERRIDE",65,"USE_PREVIOUS_BUSINESS_DAY","Y")),"")</f>
        <v>90.685000000000002</v>
      </c>
      <c r="AB91">
        <f t="shared" si="6"/>
        <v>6852.6203076923057</v>
      </c>
      <c r="AC91">
        <f t="shared" si="47"/>
        <v>1.3238141863233691E-2</v>
      </c>
      <c r="AD91">
        <f t="shared" si="48"/>
        <v>1.3233623917292327E-2</v>
      </c>
      <c r="AE91" s="10" t="str">
        <f t="shared" si="49"/>
        <v>UP</v>
      </c>
      <c r="AF91" s="10" t="str">
        <f t="shared" si="50"/>
        <v>UP</v>
      </c>
      <c r="AG91" s="6" t="str">
        <f t="shared" si="51"/>
        <v>POSITIVE</v>
      </c>
      <c r="AH91" cm="1">
        <f t="array" ref="AH91">IFERROR(VALUE(_xll.BDP($B91,"INTERVAL_MAE_MOV_AVG","CALC_INTERVAL","65W","PERIODICITY_OVERRIDE","W","TECH_STUDIES_PARAM1_OVERRIDE",39,"USE_PREVIOUS_BUSINESS_DAY","N")),"")</f>
        <v>88.462999999999994</v>
      </c>
      <c r="AI91">
        <f t="shared" si="7"/>
        <v>6560.7735897435905</v>
      </c>
      <c r="AJ91" cm="1">
        <f t="array" ref="AJ91">IFERROR(VALUE(_xll.BDP($B91,"INTERVAL_MAE_MOV_AVG","CALC_INTERVAL","65W","PERIODICITY_OVERRIDE","W","TECH_STUDIES_PARAM1_OVERRIDE",39,"USE_PREVIOUS_BUSINESS_DAY","Y")),"")</f>
        <v>88.478999999999999</v>
      </c>
      <c r="AK91">
        <f t="shared" si="8"/>
        <v>6560.7823076923087</v>
      </c>
      <c r="AL91">
        <f t="shared" si="52"/>
        <v>1.3483623354766206E-2</v>
      </c>
      <c r="AM91">
        <f t="shared" si="53"/>
        <v>1.3486044171327127E-2</v>
      </c>
      <c r="AN91" s="10" t="str">
        <f t="shared" si="54"/>
        <v>DOWN</v>
      </c>
      <c r="AO91" s="10" t="str">
        <f t="shared" si="55"/>
        <v>DOWN</v>
      </c>
      <c r="AP91" s="6" t="str">
        <f t="shared" si="56"/>
        <v>NEGATIVE</v>
      </c>
      <c r="AQ91" cm="1">
        <f t="array" ref="AQ91">IFERROR(VALUE(_xll.BDP($B91,"INTERVAL_exp_MOV_AVG","CALC_INTERVAL","520D","TECH_STUDIES_PARAM1_OVERRIDE",100,"USE_PREVIOUS_BUSINESS_DAY","N")),"")</f>
        <v>90.218999999999994</v>
      </c>
      <c r="AR91">
        <f t="shared" si="9"/>
        <v>6773.0064518682802</v>
      </c>
      <c r="AS91" cm="1">
        <f t="array" ref="AS91">IFERROR(VALUE(_xll.BDP($B91,"INTERVAL_exp_MOV_AVG","CALC_INTERVAL","520D","TECH_STUDIES_PARAM1_OVERRIDE",100,"USE_PREVIOUS_BUSINESS_DAY","Y")),"")</f>
        <v>90.168999999999997</v>
      </c>
      <c r="AT91">
        <f t="shared" si="10"/>
        <v>6769.6039787132295</v>
      </c>
      <c r="AU91">
        <f t="shared" si="57"/>
        <v>1.3320377094150531E-2</v>
      </c>
      <c r="AV91">
        <f t="shared" si="58"/>
        <v>1.3319686097374838E-2</v>
      </c>
      <c r="AW91" s="11" t="str">
        <f t="shared" si="59"/>
        <v>UP</v>
      </c>
      <c r="AX91" s="11" t="str">
        <f t="shared" si="60"/>
        <v>UP</v>
      </c>
      <c r="AY91" s="6" t="str">
        <f t="shared" si="61"/>
        <v>POSITIVE</v>
      </c>
      <c r="AZ91" s="12" cm="1">
        <f t="array" ref="AZ91">_xll.BDP($B91, "INTERVAL_RSI", "TECH_STUDIES_PARAM1_OVERRIDE", "5", "PERIODICITY_OVERRIDE", "W")</f>
        <v>58.386000000000003</v>
      </c>
      <c r="BA91" cm="1">
        <f t="array" ref="BA91">IFERROR(VALUE(_xll.BDP($B91,"INTERVAL_MAE_MOV_AVG","CALC_INTERVAL","520D","TECH_STUDIES_PARAM1_OVERRIDE",31,"USE_PREVIOUS_BUSINESS_DAY","N")),"")</f>
        <v>92.096000000000004</v>
      </c>
      <c r="BB91" cm="1">
        <f t="array" ref="BB91">IFERROR(VALUE(_xll.BDP($B91,"INTERVAL_MAE_MOV_AVG","CALC_INTERVAL","760D","TECH_STUDIES_PARAM1_OVERRIDE",200,"USE_PREVIOUS_BUSINESS_DAY","N")),"")</f>
        <v>88.316999999999993</v>
      </c>
      <c r="BC91" s="13">
        <f t="shared" si="62"/>
        <v>6.3846421125781649E-3</v>
      </c>
      <c r="BD91" s="13">
        <f t="shared" si="63"/>
        <v>1.3449384389966568E-2</v>
      </c>
      <c r="BE91" s="13">
        <f t="shared" si="64"/>
        <v>4.9446878856845178E-2</v>
      </c>
      <c r="BF91" s="14" cm="1">
        <f t="array" ref="BF91">VALUE(_xll.BDP($B91,"INTERVAL_DATE_OF_CALC_HI","CALC_INTERVAL","3M"))</f>
        <v>46059</v>
      </c>
      <c r="BG91" s="14" cm="1">
        <f t="array" ref="BG91">VALUE(_xll.BDP($B91,"INTERVAL_DATE_OF_CALC_LO","CALC_INTERVAL","3M"))</f>
        <v>45972</v>
      </c>
      <c r="BH91" s="14" cm="1">
        <f t="array" ref="BH91">VALUE(_xll.BDP($B91,"INTERVAL_DATE_OF_CALC_HI","CALC_INTERVAL","1M"))</f>
        <v>46059</v>
      </c>
      <c r="BI91" s="14" cm="1">
        <f t="array" ref="BI91">VALUE(_xll.BDP($B91,"INTERVAL_DATE_OF_CALC_LO","CALC_INTERVAL","1M"))</f>
        <v>46038</v>
      </c>
      <c r="BJ91" s="15">
        <f>$F91-MIN(_xll.BDP("NYA Index","RSI_14D"),_xll.BDP("RSP US Equity","RSI_14D"))</f>
        <v>-15.41876416015625</v>
      </c>
    </row>
    <row r="92" spans="1:62" x14ac:dyDescent="0.25">
      <c r="A92" s="11">
        <v>91</v>
      </c>
      <c r="B92" s="26" t="s">
        <v>682</v>
      </c>
      <c r="C92" s="1" t="s">
        <v>683</v>
      </c>
      <c r="D92" s="1" t="s">
        <v>593</v>
      </c>
      <c r="E92" s="11" t="s">
        <v>959</v>
      </c>
      <c r="F92">
        <f>IFERROR(VALUE((_xll.BDP($B92,"interval_rsi","tech_studies_param1_override",14))),"")</f>
        <v>63.499000000000002</v>
      </c>
      <c r="G92">
        <f t="shared" si="0"/>
        <v>52.525531939815814</v>
      </c>
      <c r="H92">
        <f t="shared" si="38"/>
        <v>1</v>
      </c>
      <c r="I92" cm="1">
        <f t="array" ref="I92">IFERROR(VALUE(_xll.BDP($B92,"px_last")),"")</f>
        <v>0.60509999999999997</v>
      </c>
      <c r="J92">
        <f t="shared" si="1"/>
        <v>6941.47</v>
      </c>
      <c r="K92" cm="1">
        <f t="array" ref="K92">IFERROR(VALUE(_xll.BDP($B92,"PX_YEST_CLOSE")),"")</f>
        <v>0.6048</v>
      </c>
      <c r="L92">
        <f t="shared" si="2"/>
        <v>6941.81</v>
      </c>
      <c r="M92">
        <f t="shared" si="39"/>
        <v>8.717173739856255E-5</v>
      </c>
      <c r="N92">
        <f t="shared" si="40"/>
        <v>8.7124251456032362E-5</v>
      </c>
      <c r="O92" cm="1">
        <f t="array" ref="O92">IFERROR(VALUE(_xll.BDP($B92,"INTERVAL_MAE_MOV_AVG","CALC_INTERVAL","520D","TECH_STUDIES_PARAM1_OVERRIDE",50,"USE_PREVIOUS_BUSINESS_DAY","N")),"")</f>
        <v>0.58540000000000003</v>
      </c>
      <c r="P92">
        <f t="shared" si="3"/>
        <v>6894.0953999999992</v>
      </c>
      <c r="Q92" cm="1">
        <f t="array" ref="Q92">IFERROR(VALUE(_xll.BDP($B92,"INTERVAL_MAE_MOV_AVG","CALC_INTERVAL","520D","TECH_STUDIES_PARAM1_OVERRIDE",50,"USE_PREVIOUS_BUSINESS_DAY","Y")),"")</f>
        <v>0.58489999999999998</v>
      </c>
      <c r="R92">
        <f t="shared" si="4"/>
        <v>6892.2477999999992</v>
      </c>
      <c r="S92">
        <f t="shared" si="41"/>
        <v>8.4913243295124707E-5</v>
      </c>
      <c r="T92">
        <f t="shared" si="42"/>
        <v>8.4863460655027528E-5</v>
      </c>
      <c r="U92" s="11" t="str">
        <f t="shared" si="43"/>
        <v>POSITIVE</v>
      </c>
      <c r="V92" s="11" t="str">
        <f t="shared" si="44"/>
        <v/>
      </c>
      <c r="W92" s="11" t="str">
        <f t="shared" si="45"/>
        <v>UP</v>
      </c>
      <c r="X92" s="6" t="str">
        <f t="shared" si="46"/>
        <v>POSITIVE</v>
      </c>
      <c r="Y92" cm="1">
        <f t="array" ref="Y92">IFERROR(VALUE(_xll.BDP($B92,"INTERVAL_MAE_MOV_AVG","CALC_INTERVAL","520D","TECH_STUDIES_PARAM1_OVERRIDE",65,"USE_PREVIOUS_BUSINESS_DAY","N")),"")</f>
        <v>0.58120000000000005</v>
      </c>
      <c r="Z92">
        <f t="shared" si="5"/>
        <v>6856.0226153846133</v>
      </c>
      <c r="AA92" cm="1">
        <f t="array" ref="AA92">IFERROR(VALUE(_xll.BDP($B92,"INTERVAL_MAE_MOV_AVG","CALC_INTERVAL","520D","TECH_STUDIES_PARAM1_OVERRIDE",65,"USE_PREVIOUS_BUSINESS_DAY","Y")),"")</f>
        <v>0.5806</v>
      </c>
      <c r="AB92">
        <f t="shared" si="6"/>
        <v>6852.6203076923057</v>
      </c>
      <c r="AC92">
        <f t="shared" si="47"/>
        <v>8.4772182445228935E-5</v>
      </c>
      <c r="AD92">
        <f t="shared" si="48"/>
        <v>8.4726713859843689E-5</v>
      </c>
      <c r="AE92" s="10" t="str">
        <f t="shared" si="49"/>
        <v>UP</v>
      </c>
      <c r="AF92" s="10" t="str">
        <f t="shared" si="50"/>
        <v>UP</v>
      </c>
      <c r="AG92" s="6" t="str">
        <f t="shared" si="51"/>
        <v>POSITIVE</v>
      </c>
      <c r="AH92" cm="1">
        <f t="array" ref="AH92">IFERROR(VALUE(_xll.BDP($B92,"INTERVAL_MAE_MOV_AVG","CALC_INTERVAL","65W","PERIODICITY_OVERRIDE","W","TECH_STUDIES_PARAM1_OVERRIDE",39,"USE_PREVIOUS_BUSINESS_DAY","N")),"")</f>
        <v>0.58699999999999997</v>
      </c>
      <c r="AI92">
        <f t="shared" si="7"/>
        <v>6560.7735897435905</v>
      </c>
      <c r="AJ92" cm="1">
        <f t="array" ref="AJ92">IFERROR(VALUE(_xll.BDP($B92,"INTERVAL_MAE_MOV_AVG","CALC_INTERVAL","65W","PERIODICITY_OVERRIDE","W","TECH_STUDIES_PARAM1_OVERRIDE",39,"USE_PREVIOUS_BUSINESS_DAY","Y")),"")</f>
        <v>0.58699999999999997</v>
      </c>
      <c r="AK92">
        <f t="shared" si="8"/>
        <v>6560.7823076923087</v>
      </c>
      <c r="AL92">
        <f t="shared" si="52"/>
        <v>8.9471156407173194E-5</v>
      </c>
      <c r="AM92">
        <f t="shared" si="53"/>
        <v>8.9471037518157117E-5</v>
      </c>
      <c r="AN92" s="10" t="str">
        <f t="shared" si="54"/>
        <v/>
      </c>
      <c r="AO92" s="10" t="str">
        <f t="shared" si="55"/>
        <v>UP</v>
      </c>
      <c r="AP92" s="6" t="str">
        <f t="shared" si="56"/>
        <v>NEGATIVE</v>
      </c>
      <c r="AQ92" cm="1">
        <f t="array" ref="AQ92">IFERROR(VALUE(_xll.BDP($B92,"INTERVAL_exp_MOV_AVG","CALC_INTERVAL","520D","TECH_STUDIES_PARAM1_OVERRIDE",100,"USE_PREVIOUS_BUSINESS_DAY","N")),"")</f>
        <v>0.58450000000000002</v>
      </c>
      <c r="AR92">
        <f t="shared" si="9"/>
        <v>6773.0064518682802</v>
      </c>
      <c r="AS92" cm="1">
        <f t="array" ref="AS92">IFERROR(VALUE(_xll.BDP($B92,"INTERVAL_exp_MOV_AVG","CALC_INTERVAL","520D","TECH_STUDIES_PARAM1_OVERRIDE",100,"USE_PREVIOUS_BUSINESS_DAY","Y")),"")</f>
        <v>0.58409999999999995</v>
      </c>
      <c r="AT92">
        <f t="shared" si="10"/>
        <v>6769.6039787132295</v>
      </c>
      <c r="AU92">
        <f t="shared" si="57"/>
        <v>8.6298456107150224E-5</v>
      </c>
      <c r="AV92">
        <f t="shared" si="58"/>
        <v>8.6282742954636775E-5</v>
      </c>
      <c r="AW92" s="11" t="str">
        <f t="shared" si="59"/>
        <v>UP</v>
      </c>
      <c r="AX92" s="11" t="str">
        <f t="shared" si="60"/>
        <v>UP</v>
      </c>
      <c r="AY92" s="6" t="str">
        <f t="shared" si="61"/>
        <v>POSITIVE</v>
      </c>
      <c r="AZ92" s="12" cm="1">
        <f t="array" ref="AZ92">_xll.BDP($B92, "INTERVAL_RSI", "TECH_STUDIES_PARAM1_OVERRIDE", "5", "PERIODICITY_OVERRIDE", "W")</f>
        <v>80.138999999999996</v>
      </c>
      <c r="BA92" cm="1">
        <f t="array" ref="BA92">IFERROR(VALUE(_xll.BDP($B92,"INTERVAL_MAE_MOV_AVG","CALC_INTERVAL","520D","TECH_STUDIES_PARAM1_OVERRIDE",31,"USE_PREVIOUS_BUSINESS_DAY","N")),"")</f>
        <v>0.58889999999999998</v>
      </c>
      <c r="BB92" cm="1">
        <f t="array" ref="BB92">IFERROR(VALUE(_xll.BDP($B92,"INTERVAL_MAE_MOV_AVG","CALC_INTERVAL","760D","TECH_STUDIES_PARAM1_OVERRIDE",200,"USE_PREVIOUS_BUSINESS_DAY","N")),"")</f>
        <v>0.58709999999999996</v>
      </c>
      <c r="BC92" s="13">
        <f t="shared" si="62"/>
        <v>2.7508914926133388E-2</v>
      </c>
      <c r="BD92" s="13">
        <f t="shared" si="63"/>
        <v>3.3652203621455268E-2</v>
      </c>
      <c r="BE92" s="13">
        <f t="shared" si="64"/>
        <v>3.0659172202350593E-2</v>
      </c>
      <c r="BF92" s="14" cm="1">
        <f t="array" ref="BF92">VALUE(_xll.BDP($B92,"INTERVAL_DATE_OF_CALC_HI","CALC_INTERVAL","3M"))</f>
        <v>46051</v>
      </c>
      <c r="BG92" s="14" cm="1">
        <f t="array" ref="BG92">VALUE(_xll.BDP($B92,"INTERVAL_DATE_OF_CALC_LO","CALC_INTERVAL","3M"))</f>
        <v>45981</v>
      </c>
      <c r="BH92" s="14" cm="1">
        <f t="array" ref="BH92">VALUE(_xll.BDP($B92,"INTERVAL_DATE_OF_CALC_HI","CALC_INTERVAL","1M"))</f>
        <v>46051</v>
      </c>
      <c r="BI92" s="14" cm="1">
        <f t="array" ref="BI92">VALUE(_xll.BDP($B92,"INTERVAL_DATE_OF_CALC_LO","CALC_INTERVAL","1M"))</f>
        <v>46035</v>
      </c>
      <c r="BJ92" s="15">
        <f>$F92-MIN(_xll.BDP("NYA Index","RSI_14D"),_xll.BDP("RSP US Equity","RSI_14D"))</f>
        <v>-2.8467641601562477</v>
      </c>
    </row>
    <row r="93" spans="1:62" x14ac:dyDescent="0.25">
      <c r="A93" s="11">
        <v>92</v>
      </c>
      <c r="B93" s="26" t="s">
        <v>684</v>
      </c>
      <c r="C93" s="1" t="s">
        <v>685</v>
      </c>
      <c r="D93" s="1" t="s">
        <v>593</v>
      </c>
      <c r="E93" s="11" t="s">
        <v>959</v>
      </c>
      <c r="F93">
        <f>IFERROR(VALUE((_xll.BDP($B93,"interval_rsi","tech_studies_param1_override",14))),"")</f>
        <v>69.063999999999993</v>
      </c>
      <c r="G93">
        <f t="shared" si="0"/>
        <v>52.525531939815814</v>
      </c>
      <c r="H93">
        <f t="shared" si="38"/>
        <v>1</v>
      </c>
      <c r="I93" cm="1">
        <f t="array" ref="I93">IFERROR(VALUE(_xll.BDP($B93,"px_last")),"")</f>
        <v>1.7155E-2</v>
      </c>
      <c r="J93">
        <f t="shared" si="1"/>
        <v>6941.47</v>
      </c>
      <c r="K93" cm="1">
        <f t="array" ref="K93">IFERROR(VALUE(_xll.BDP($B93,"PX_YEST_CLOSE")),"")</f>
        <v>1.7155E-2</v>
      </c>
      <c r="L93">
        <f t="shared" si="2"/>
        <v>6941.81</v>
      </c>
      <c r="M93">
        <f t="shared" si="39"/>
        <v>2.4713785408566195E-6</v>
      </c>
      <c r="N93">
        <f t="shared" si="40"/>
        <v>2.4712574962437747E-6</v>
      </c>
      <c r="O93" cm="1">
        <f t="array" ref="O93">IFERROR(VALUE(_xll.BDP($B93,"INTERVAL_MAE_MOV_AVG","CALC_INTERVAL","520D","TECH_STUDIES_PARAM1_OVERRIDE",50,"USE_PREVIOUS_BUSINESS_DAY","N")),"")</f>
        <v>1.6955999999999999E-2</v>
      </c>
      <c r="P93">
        <f t="shared" si="3"/>
        <v>6894.0953999999992</v>
      </c>
      <c r="Q93" cm="1">
        <f t="array" ref="Q93">IFERROR(VALUE(_xll.BDP($B93,"INTERVAL_MAE_MOV_AVG","CALC_INTERVAL","520D","TECH_STUDIES_PARAM1_OVERRIDE",50,"USE_PREVIOUS_BUSINESS_DAY","Y")),"")</f>
        <v>1.6951999999999998E-2</v>
      </c>
      <c r="R93">
        <f t="shared" si="4"/>
        <v>6892.2477999999992</v>
      </c>
      <c r="S93">
        <f t="shared" si="41"/>
        <v>2.4594959913087366E-6</v>
      </c>
      <c r="T93">
        <f t="shared" si="42"/>
        <v>2.4595749444760243E-6</v>
      </c>
      <c r="U93" s="11" t="str">
        <f t="shared" si="43"/>
        <v>POSITIVE</v>
      </c>
      <c r="V93" s="11" t="str">
        <f t="shared" si="44"/>
        <v/>
      </c>
      <c r="W93" s="11" t="str">
        <f t="shared" si="45"/>
        <v>DOWN</v>
      </c>
      <c r="X93" s="6" t="str">
        <f t="shared" si="46"/>
        <v>POSITIVE</v>
      </c>
      <c r="Y93" cm="1">
        <f t="array" ref="Y93">IFERROR(VALUE(_xll.BDP($B93,"INTERVAL_MAE_MOV_AVG","CALC_INTERVAL","520D","TECH_STUDIES_PARAM1_OVERRIDE",65,"USE_PREVIOUS_BUSINESS_DAY","N")),"")</f>
        <v>1.6964E-2</v>
      </c>
      <c r="Z93">
        <f t="shared" si="5"/>
        <v>6856.0226153846133</v>
      </c>
      <c r="AA93" cm="1">
        <f t="array" ref="AA93">IFERROR(VALUE(_xll.BDP($B93,"INTERVAL_MAE_MOV_AVG","CALC_INTERVAL","520D","TECH_STUDIES_PARAM1_OVERRIDE",65,"USE_PREVIOUS_BUSINESS_DAY","Y")),"")</f>
        <v>1.6959999999999999E-2</v>
      </c>
      <c r="AB93">
        <f t="shared" si="6"/>
        <v>6852.6203076923057</v>
      </c>
      <c r="AC93">
        <f t="shared" si="47"/>
        <v>2.4743208929815267E-6</v>
      </c>
      <c r="AD93">
        <f t="shared" si="48"/>
        <v>2.4749656683826196E-6</v>
      </c>
      <c r="AE93" s="10" t="str">
        <f t="shared" si="49"/>
        <v>UP</v>
      </c>
      <c r="AF93" s="10" t="str">
        <f t="shared" si="50"/>
        <v>DOWN</v>
      </c>
      <c r="AG93" s="6" t="str">
        <f t="shared" si="51"/>
        <v>NEGATIVE</v>
      </c>
      <c r="AH93" cm="1">
        <f t="array" ref="AH93">IFERROR(VALUE(_xll.BDP($B93,"INTERVAL_MAE_MOV_AVG","CALC_INTERVAL","65W","PERIODICITY_OVERRIDE","W","TECH_STUDIES_PARAM1_OVERRIDE",39,"USE_PREVIOUS_BUSINESS_DAY","N")),"")</f>
        <v>1.7302999999999999E-2</v>
      </c>
      <c r="AI93">
        <f t="shared" si="7"/>
        <v>6560.7735897435905</v>
      </c>
      <c r="AJ93" cm="1">
        <f t="array" ref="AJ93">IFERROR(VALUE(_xll.BDP($B93,"INTERVAL_MAE_MOV_AVG","CALC_INTERVAL","65W","PERIODICITY_OVERRIDE","W","TECH_STUDIES_PARAM1_OVERRIDE",39,"USE_PREVIOUS_BUSINESS_DAY","Y")),"")</f>
        <v>1.7302000000000001E-2</v>
      </c>
      <c r="AK93">
        <f t="shared" si="8"/>
        <v>6560.7823076923087</v>
      </c>
      <c r="AL93">
        <f t="shared" si="52"/>
        <v>2.6373414298352943E-6</v>
      </c>
      <c r="AM93">
        <f t="shared" si="53"/>
        <v>2.6371855044960046E-6</v>
      </c>
      <c r="AN93" s="10" t="str">
        <f t="shared" si="54"/>
        <v>UP</v>
      </c>
      <c r="AO93" s="10" t="str">
        <f t="shared" si="55"/>
        <v>UP</v>
      </c>
      <c r="AP93" s="6" t="str">
        <f t="shared" si="56"/>
        <v>NEGATIVE</v>
      </c>
      <c r="AQ93" cm="1">
        <f t="array" ref="AQ93">IFERROR(VALUE(_xll.BDP($B93,"INTERVAL_exp_MOV_AVG","CALC_INTERVAL","520D","TECH_STUDIES_PARAM1_OVERRIDE",100,"USE_PREVIOUS_BUSINESS_DAY","N")),"")</f>
        <v>1.7061E-2</v>
      </c>
      <c r="AR93">
        <f t="shared" si="9"/>
        <v>6773.0064518682802</v>
      </c>
      <c r="AS93" cm="1">
        <f t="array" ref="AS93">IFERROR(VALUE(_xll.BDP($B93,"INTERVAL_exp_MOV_AVG","CALC_INTERVAL","520D","TECH_STUDIES_PARAM1_OVERRIDE",100,"USE_PREVIOUS_BUSINESS_DAY","Y")),"")</f>
        <v>1.7059000000000001E-2</v>
      </c>
      <c r="AT93">
        <f t="shared" si="10"/>
        <v>6769.6039787132295</v>
      </c>
      <c r="AU93">
        <f t="shared" si="57"/>
        <v>2.5189699908367662E-6</v>
      </c>
      <c r="AV93">
        <f t="shared" si="58"/>
        <v>2.5199406130168615E-6</v>
      </c>
      <c r="AW93" s="11" t="str">
        <f t="shared" si="59"/>
        <v>UP</v>
      </c>
      <c r="AX93" s="11" t="str">
        <f t="shared" si="60"/>
        <v>DOWN</v>
      </c>
      <c r="AY93" s="6" t="str">
        <f t="shared" si="61"/>
        <v>NEGATIVE</v>
      </c>
      <c r="AZ93" s="12" cm="1">
        <f t="array" ref="AZ93">_xll.BDP($B93, "INTERVAL_RSI", "TECH_STUDIES_PARAM1_OVERRIDE", "5", "PERIODICITY_OVERRIDE", "W")</f>
        <v>74.605999999999995</v>
      </c>
      <c r="BA93" cm="1">
        <f t="array" ref="BA93">IFERROR(VALUE(_xll.BDP($B93,"INTERVAL_MAE_MOV_AVG","CALC_INTERVAL","520D","TECH_STUDIES_PARAM1_OVERRIDE",31,"USE_PREVIOUS_BUSINESS_DAY","N")),"")</f>
        <v>1.6938999999999999E-2</v>
      </c>
      <c r="BB93" cm="1">
        <f t="array" ref="BB93">IFERROR(VALUE(_xll.BDP($B93,"INTERVAL_MAE_MOV_AVG","CALC_INTERVAL","760D","TECH_STUDIES_PARAM1_OVERRIDE",200,"USE_PREVIOUS_BUSINESS_DAY","N")),"")</f>
        <v>1.7333000000000001E-2</v>
      </c>
      <c r="BC93" s="13">
        <f t="shared" si="62"/>
        <v>1.2751638231300655E-2</v>
      </c>
      <c r="BD93" s="13">
        <f t="shared" si="63"/>
        <v>1.1736258551545253E-2</v>
      </c>
      <c r="BE93" s="13">
        <f t="shared" si="64"/>
        <v>-1.0269428258235846E-2</v>
      </c>
      <c r="BF93" s="14" cm="1">
        <f t="array" ref="BF93">VALUE(_xll.BDP($B93,"INTERVAL_DATE_OF_CALC_HI","CALC_INTERVAL","3M"))</f>
        <v>46064</v>
      </c>
      <c r="BG93" s="14" cm="1">
        <f t="array" ref="BG93">VALUE(_xll.BDP($B93,"INTERVAL_DATE_OF_CALC_LO","CALC_INTERVAL","3M"))</f>
        <v>46037</v>
      </c>
      <c r="BH93" s="14" cm="1">
        <f t="array" ref="BH93">VALUE(_xll.BDP($B93,"INTERVAL_DATE_OF_CALC_HI","CALC_INTERVAL","1M"))</f>
        <v>46064</v>
      </c>
      <c r="BI93" s="14" cm="1">
        <f t="array" ref="BI93">VALUE(_xll.BDP($B93,"INTERVAL_DATE_OF_CALC_LO","CALC_INTERVAL","1M"))</f>
        <v>46037</v>
      </c>
      <c r="BJ93" s="15">
        <f>$F93-MIN(_xll.BDP("NYA Index","RSI_14D"),_xll.BDP("RSP US Equity","RSI_14D"))</f>
        <v>2.718235839843743</v>
      </c>
    </row>
    <row r="94" spans="1:62" x14ac:dyDescent="0.25">
      <c r="A94" s="11">
        <v>93</v>
      </c>
      <c r="B94" s="26" t="s">
        <v>686</v>
      </c>
      <c r="C94" s="1" t="s">
        <v>687</v>
      </c>
      <c r="D94" s="1" t="s">
        <v>593</v>
      </c>
      <c r="E94" s="11" t="s">
        <v>960</v>
      </c>
      <c r="F94">
        <f>IFERROR(VALUE((_xll.BDP($B94,"interval_rsi","tech_studies_param1_override",14))),"")</f>
        <v>50.066000000000003</v>
      </c>
      <c r="G94">
        <f t="shared" si="0"/>
        <v>52.525531939815814</v>
      </c>
      <c r="H94">
        <f t="shared" si="38"/>
        <v>0</v>
      </c>
      <c r="I94" cm="1">
        <f t="array" ref="I94">IFERROR(VALUE(_xll.BDP($B94,"px_last")),"")</f>
        <v>0.23719999999999999</v>
      </c>
      <c r="J94">
        <f t="shared" si="1"/>
        <v>6941.47</v>
      </c>
      <c r="K94" cm="1">
        <f t="array" ref="K94">IFERROR(VALUE(_xll.BDP($B94,"PX_YEST_CLOSE")),"")</f>
        <v>0.23724000000000001</v>
      </c>
      <c r="L94">
        <f t="shared" si="2"/>
        <v>6941.81</v>
      </c>
      <c r="M94">
        <f t="shared" si="39"/>
        <v>3.4171436309600125E-5</v>
      </c>
      <c r="N94">
        <f t="shared" si="40"/>
        <v>3.417552482709841E-5</v>
      </c>
      <c r="O94" cm="1">
        <f t="array" ref="O94">IFERROR(VALUE(_xll.BDP($B94,"INTERVAL_MAE_MOV_AVG","CALC_INTERVAL","520D","TECH_STUDIES_PARAM1_OVERRIDE",50,"USE_PREVIOUS_BUSINESS_DAY","N")),"")</f>
        <v>0.23718</v>
      </c>
      <c r="P94">
        <f t="shared" si="3"/>
        <v>6894.0953999999992</v>
      </c>
      <c r="Q94" cm="1">
        <f t="array" ref="Q94">IFERROR(VALUE(_xll.BDP($B94,"INTERVAL_MAE_MOV_AVG","CALC_INTERVAL","520D","TECH_STUDIES_PARAM1_OVERRIDE",50,"USE_PREVIOUS_BUSINESS_DAY","Y")),"")</f>
        <v>0.23716999999999999</v>
      </c>
      <c r="R94">
        <f t="shared" si="4"/>
        <v>6892.2477999999992</v>
      </c>
      <c r="S94">
        <f t="shared" si="41"/>
        <v>3.4403353339148748E-5</v>
      </c>
      <c r="T94">
        <f t="shared" si="42"/>
        <v>3.4411124916315403E-5</v>
      </c>
      <c r="U94" s="11" t="str">
        <f t="shared" si="43"/>
        <v>NEGATIVE</v>
      </c>
      <c r="V94" s="11" t="str">
        <f t="shared" si="44"/>
        <v/>
      </c>
      <c r="W94" s="11" t="str">
        <f t="shared" si="45"/>
        <v>DOWN</v>
      </c>
      <c r="X94" s="6" t="str">
        <f t="shared" si="46"/>
        <v>NEGATIVE</v>
      </c>
      <c r="Y94" cm="1">
        <f t="array" ref="Y94">IFERROR(VALUE(_xll.BDP($B94,"INTERVAL_MAE_MOV_AVG","CALC_INTERVAL","520D","TECH_STUDIES_PARAM1_OVERRIDE",65,"USE_PREVIOUS_BUSINESS_DAY","N")),"")</f>
        <v>0.23698</v>
      </c>
      <c r="Z94">
        <f t="shared" si="5"/>
        <v>6856.0226153846133</v>
      </c>
      <c r="AA94" cm="1">
        <f t="array" ref="AA94">IFERROR(VALUE(_xll.BDP($B94,"INTERVAL_MAE_MOV_AVG","CALC_INTERVAL","520D","TECH_STUDIES_PARAM1_OVERRIDE",65,"USE_PREVIOUS_BUSINESS_DAY","Y")),"")</f>
        <v>0.23696999999999999</v>
      </c>
      <c r="AB94">
        <f t="shared" si="6"/>
        <v>6852.6203076923057</v>
      </c>
      <c r="AC94">
        <f t="shared" si="47"/>
        <v>3.4565230206246303E-5</v>
      </c>
      <c r="AD94">
        <f t="shared" si="48"/>
        <v>3.4580932454989935E-5</v>
      </c>
      <c r="AE94" s="10" t="str">
        <f t="shared" si="49"/>
        <v>UP</v>
      </c>
      <c r="AF94" s="10" t="str">
        <f t="shared" si="50"/>
        <v>DOWN</v>
      </c>
      <c r="AG94" s="6" t="str">
        <f t="shared" si="51"/>
        <v>NEGATIVE</v>
      </c>
      <c r="AH94" cm="1">
        <f t="array" ref="AH94">IFERROR(VALUE(_xll.BDP($B94,"INTERVAL_MAE_MOV_AVG","CALC_INTERVAL","65W","PERIODICITY_OVERRIDE","W","TECH_STUDIES_PARAM1_OVERRIDE",39,"USE_PREVIOUS_BUSINESS_DAY","N")),"")</f>
        <v>0.23568</v>
      </c>
      <c r="AI94">
        <f t="shared" si="7"/>
        <v>6560.7735897435905</v>
      </c>
      <c r="AJ94" cm="1">
        <f t="array" ref="AJ94">IFERROR(VALUE(_xll.BDP($B94,"INTERVAL_MAE_MOV_AVG","CALC_INTERVAL","65W","PERIODICITY_OVERRIDE","W","TECH_STUDIES_PARAM1_OVERRIDE",39,"USE_PREVIOUS_BUSINESS_DAY","Y")),"")</f>
        <v>0.23566999999999999</v>
      </c>
      <c r="AK94">
        <f t="shared" si="8"/>
        <v>6560.7823076923087</v>
      </c>
      <c r="AL94">
        <f t="shared" si="52"/>
        <v>3.5922593086954994E-5</v>
      </c>
      <c r="AM94">
        <f t="shared" si="53"/>
        <v>3.5921021144640696E-5</v>
      </c>
      <c r="AN94" s="10" t="str">
        <f t="shared" si="54"/>
        <v>UP</v>
      </c>
      <c r="AO94" s="10" t="str">
        <f t="shared" si="55"/>
        <v>UP</v>
      </c>
      <c r="AP94" s="6" t="str">
        <f t="shared" si="56"/>
        <v>NEGATIVE</v>
      </c>
      <c r="AQ94" cm="1">
        <f t="array" ref="AQ94">IFERROR(VALUE(_xll.BDP($B94,"INTERVAL_exp_MOV_AVG","CALC_INTERVAL","520D","TECH_STUDIES_PARAM1_OVERRIDE",100,"USE_PREVIOUS_BUSINESS_DAY","N")),"")</f>
        <v>0.23658999999999999</v>
      </c>
      <c r="AR94">
        <f t="shared" si="9"/>
        <v>6773.0064518682802</v>
      </c>
      <c r="AS94" cm="1">
        <f t="array" ref="AS94">IFERROR(VALUE(_xll.BDP($B94,"INTERVAL_exp_MOV_AVG","CALC_INTERVAL","520D","TECH_STUDIES_PARAM1_OVERRIDE",100,"USE_PREVIOUS_BUSINESS_DAY","Y")),"")</f>
        <v>0.23658000000000001</v>
      </c>
      <c r="AT94">
        <f t="shared" si="10"/>
        <v>6769.6039787132295</v>
      </c>
      <c r="AU94">
        <f t="shared" si="57"/>
        <v>3.4931311771412609E-5</v>
      </c>
      <c r="AV94">
        <f t="shared" si="58"/>
        <v>3.4947391419633572E-5</v>
      </c>
      <c r="AW94" s="11" t="str">
        <f t="shared" si="59"/>
        <v>UP</v>
      </c>
      <c r="AX94" s="11" t="str">
        <f t="shared" si="60"/>
        <v>DOWN</v>
      </c>
      <c r="AY94" s="6" t="str">
        <f t="shared" si="61"/>
        <v>NEGATIVE</v>
      </c>
      <c r="AZ94" s="12" cm="1">
        <f t="array" ref="AZ94">_xll.BDP($B94, "INTERVAL_RSI", "TECH_STUDIES_PARAM1_OVERRIDE", "5", "PERIODICITY_OVERRIDE", "W")</f>
        <v>54.984000000000002</v>
      </c>
      <c r="BA94" cm="1">
        <f t="array" ref="BA94">IFERROR(VALUE(_xll.BDP($B94,"INTERVAL_MAE_MOV_AVG","CALC_INTERVAL","520D","TECH_STUDIES_PARAM1_OVERRIDE",31,"USE_PREVIOUS_BUSINESS_DAY","N")),"")</f>
        <v>0.23734</v>
      </c>
      <c r="BB94" cm="1">
        <f t="array" ref="BB94">IFERROR(VALUE(_xll.BDP($B94,"INTERVAL_MAE_MOV_AVG","CALC_INTERVAL","760D","TECH_STUDIES_PARAM1_OVERRIDE",200,"USE_PREVIOUS_BUSINESS_DAY","N")),"")</f>
        <v>0.23566000000000001</v>
      </c>
      <c r="BC94" s="13">
        <f t="shared" si="62"/>
        <v>-5.8987107103736225E-4</v>
      </c>
      <c r="BD94" s="13">
        <f t="shared" si="63"/>
        <v>8.432414200187921E-5</v>
      </c>
      <c r="BE94" s="13">
        <f t="shared" si="64"/>
        <v>6.5348383264023369E-3</v>
      </c>
      <c r="BF94" s="14" cm="1">
        <f t="array" ref="BF94">VALUE(_xll.BDP($B94,"INTERVAL_DATE_OF_CALC_HI","CALC_INTERVAL","3M"))</f>
        <v>46044</v>
      </c>
      <c r="BG94" s="14" cm="1">
        <f t="array" ref="BG94">VALUE(_xll.BDP($B94,"INTERVAL_DATE_OF_CALC_LO","CALC_INTERVAL","3M"))</f>
        <v>45979</v>
      </c>
      <c r="BH94" s="14" cm="1">
        <f t="array" ref="BH94">VALUE(_xll.BDP($B94,"INTERVAL_DATE_OF_CALC_HI","CALC_INTERVAL","1M"))</f>
        <v>46044</v>
      </c>
      <c r="BI94" s="14" cm="1">
        <f t="array" ref="BI94">VALUE(_xll.BDP($B94,"INTERVAL_DATE_OF_CALC_LO","CALC_INTERVAL","1M"))</f>
        <v>46058</v>
      </c>
      <c r="BJ94" s="15">
        <f>$F94-MIN(_xll.BDP("NYA Index","RSI_14D"),_xll.BDP("RSP US Equity","RSI_14D"))</f>
        <v>-16.279764160156247</v>
      </c>
    </row>
    <row r="95" spans="1:62" x14ac:dyDescent="0.25">
      <c r="A95" s="11">
        <v>94</v>
      </c>
      <c r="B95" s="26" t="s">
        <v>688</v>
      </c>
      <c r="C95" s="1" t="s">
        <v>689</v>
      </c>
      <c r="D95" s="1" t="s">
        <v>593</v>
      </c>
      <c r="E95" s="11" t="s">
        <v>959</v>
      </c>
      <c r="F95">
        <f>IFERROR(VALUE((_xll.BDP($B95,"interval_rsi","tech_studies_param1_override",14))),"")</f>
        <v>55.191000000000003</v>
      </c>
      <c r="G95">
        <f t="shared" si="0"/>
        <v>52.525531939815814</v>
      </c>
      <c r="H95">
        <f t="shared" si="38"/>
        <v>0</v>
      </c>
      <c r="I95" cm="1">
        <f t="array" ref="I95">IFERROR(VALUE(_xll.BDP($B95,"px_last")),"")</f>
        <v>0.28170000000000001</v>
      </c>
      <c r="J95">
        <f t="shared" si="1"/>
        <v>6941.47</v>
      </c>
      <c r="K95" cm="1">
        <f t="array" ref="K95">IFERROR(VALUE(_xll.BDP($B95,"PX_YEST_CLOSE")),"")</f>
        <v>0.28170000000000001</v>
      </c>
      <c r="L95">
        <f t="shared" si="2"/>
        <v>6941.81</v>
      </c>
      <c r="M95">
        <f t="shared" si="39"/>
        <v>4.0582182160262886E-5</v>
      </c>
      <c r="N95">
        <f t="shared" si="40"/>
        <v>4.0580194502586503E-5</v>
      </c>
      <c r="O95" cm="1">
        <f t="array" ref="O95">IFERROR(VALUE(_xll.BDP($B95,"INTERVAL_MAE_MOV_AVG","CALC_INTERVAL","520D","TECH_STUDIES_PARAM1_OVERRIDE",50,"USE_PREVIOUS_BUSINESS_DAY","N")),"")</f>
        <v>0.2787</v>
      </c>
      <c r="P95">
        <f t="shared" si="3"/>
        <v>6894.0953999999992</v>
      </c>
      <c r="Q95" cm="1">
        <f t="array" ref="Q95">IFERROR(VALUE(_xll.BDP($B95,"INTERVAL_MAE_MOV_AVG","CALC_INTERVAL","520D","TECH_STUDIES_PARAM1_OVERRIDE",50,"USE_PREVIOUS_BUSINESS_DAY","Y")),"")</f>
        <v>0.27860000000000001</v>
      </c>
      <c r="R95">
        <f t="shared" si="4"/>
        <v>6892.2477999999992</v>
      </c>
      <c r="S95">
        <f t="shared" si="41"/>
        <v>4.0425898370945092E-5</v>
      </c>
      <c r="T95">
        <f t="shared" si="42"/>
        <v>4.042222625831881E-5</v>
      </c>
      <c r="U95" s="11" t="str">
        <f t="shared" si="43"/>
        <v>NEGATIVE</v>
      </c>
      <c r="V95" s="11" t="str">
        <f t="shared" si="44"/>
        <v/>
      </c>
      <c r="W95" s="11" t="str">
        <f t="shared" si="45"/>
        <v>UP</v>
      </c>
      <c r="X95" s="6" t="str">
        <f t="shared" si="46"/>
        <v>POSITIVE</v>
      </c>
      <c r="Y95" cm="1">
        <f t="array" ref="Y95">IFERROR(VALUE(_xll.BDP($B95,"INTERVAL_MAE_MOV_AVG","CALC_INTERVAL","520D","TECH_STUDIES_PARAM1_OVERRIDE",65,"USE_PREVIOUS_BUSINESS_DAY","N")),"")</f>
        <v>0.27760000000000001</v>
      </c>
      <c r="Z95">
        <f t="shared" si="5"/>
        <v>6856.0226153846133</v>
      </c>
      <c r="AA95" cm="1">
        <f t="array" ref="AA95">IFERROR(VALUE(_xll.BDP($B95,"INTERVAL_MAE_MOV_AVG","CALC_INTERVAL","520D","TECH_STUDIES_PARAM1_OVERRIDE",65,"USE_PREVIOUS_BUSINESS_DAY","Y")),"")</f>
        <v>0.27750000000000002</v>
      </c>
      <c r="AB95">
        <f t="shared" si="6"/>
        <v>6852.6203076923057</v>
      </c>
      <c r="AC95">
        <f t="shared" si="47"/>
        <v>4.0489948119056347E-5</v>
      </c>
      <c r="AD95">
        <f t="shared" si="48"/>
        <v>4.049545831227459E-5</v>
      </c>
      <c r="AE95" s="10" t="str">
        <f t="shared" si="49"/>
        <v>UP</v>
      </c>
      <c r="AF95" s="10" t="str">
        <f t="shared" si="50"/>
        <v>DOWN</v>
      </c>
      <c r="AG95" s="6" t="str">
        <f t="shared" si="51"/>
        <v>POSITIVE</v>
      </c>
      <c r="AH95" cm="1">
        <f t="array" ref="AH95">IFERROR(VALUE(_xll.BDP($B95,"INTERVAL_MAE_MOV_AVG","CALC_INTERVAL","65W","PERIODICITY_OVERRIDE","W","TECH_STUDIES_PARAM1_OVERRIDE",39,"USE_PREVIOUS_BUSINESS_DAY","N")),"")</f>
        <v>0.2747</v>
      </c>
      <c r="AI95">
        <f t="shared" si="7"/>
        <v>6560.7735897435905</v>
      </c>
      <c r="AJ95" cm="1">
        <f t="array" ref="AJ95">IFERROR(VALUE(_xll.BDP($B95,"INTERVAL_MAE_MOV_AVG","CALC_INTERVAL","65W","PERIODICITY_OVERRIDE","W","TECH_STUDIES_PARAM1_OVERRIDE",39,"USE_PREVIOUS_BUSINESS_DAY","Y")),"")</f>
        <v>0.27479999999999999</v>
      </c>
      <c r="AK95">
        <f t="shared" si="8"/>
        <v>6560.7823076923087</v>
      </c>
      <c r="AL95">
        <f t="shared" si="52"/>
        <v>4.1870062461755505E-5</v>
      </c>
      <c r="AM95">
        <f t="shared" si="53"/>
        <v>4.1885248909692631E-5</v>
      </c>
      <c r="AN95" s="10" t="str">
        <f t="shared" si="54"/>
        <v>DOWN</v>
      </c>
      <c r="AO95" s="10" t="str">
        <f t="shared" si="55"/>
        <v>DOWN</v>
      </c>
      <c r="AP95" s="6" t="str">
        <f t="shared" si="56"/>
        <v>NEGATIVE</v>
      </c>
      <c r="AQ95" cm="1">
        <f t="array" ref="AQ95">IFERROR(VALUE(_xll.BDP($B95,"INTERVAL_exp_MOV_AVG","CALC_INTERVAL","520D","TECH_STUDIES_PARAM1_OVERRIDE",100,"USE_PREVIOUS_BUSINESS_DAY","N")),"")</f>
        <v>0.27679999999999999</v>
      </c>
      <c r="AR95">
        <f t="shared" si="9"/>
        <v>6773.0064518682802</v>
      </c>
      <c r="AS95" cm="1">
        <f t="array" ref="AS95">IFERROR(VALUE(_xll.BDP($B95,"INTERVAL_exp_MOV_AVG","CALC_INTERVAL","520D","TECH_STUDIES_PARAM1_OVERRIDE",100,"USE_PREVIOUS_BUSINESS_DAY","Y")),"")</f>
        <v>0.2767</v>
      </c>
      <c r="AT95">
        <f t="shared" si="10"/>
        <v>6769.6039787132295</v>
      </c>
      <c r="AU95">
        <f t="shared" si="57"/>
        <v>4.0868114029870279E-5</v>
      </c>
      <c r="AV95">
        <f t="shared" si="58"/>
        <v>4.087388285490155E-5</v>
      </c>
      <c r="AW95" s="11" t="str">
        <f t="shared" si="59"/>
        <v>UP</v>
      </c>
      <c r="AX95" s="11" t="str">
        <f t="shared" si="60"/>
        <v>DOWN</v>
      </c>
      <c r="AY95" s="6" t="str">
        <f t="shared" si="61"/>
        <v>NEGATIVE</v>
      </c>
      <c r="AZ95" s="12" cm="1">
        <f t="array" ref="AZ95">_xll.BDP($B95, "INTERVAL_RSI", "TECH_STUDIES_PARAM1_OVERRIDE", "5", "PERIODICITY_OVERRIDE", "W")</f>
        <v>68.3</v>
      </c>
      <c r="BA95" cm="1">
        <f t="array" ref="BA95">IFERROR(VALUE(_xll.BDP($B95,"INTERVAL_MAE_MOV_AVG","CALC_INTERVAL","520D","TECH_STUDIES_PARAM1_OVERRIDE",31,"USE_PREVIOUS_BUSINESS_DAY","N")),"")</f>
        <v>0.27929999999999999</v>
      </c>
      <c r="BB95" cm="1">
        <f t="array" ref="BB95">IFERROR(VALUE(_xll.BDP($B95,"INTERVAL_MAE_MOV_AVG","CALC_INTERVAL","760D","TECH_STUDIES_PARAM1_OVERRIDE",200,"USE_PREVIOUS_BUSINESS_DAY","N")),"")</f>
        <v>0.27410000000000001</v>
      </c>
      <c r="BC95" s="13">
        <f t="shared" si="62"/>
        <v>8.5929108485500727E-3</v>
      </c>
      <c r="BD95" s="13">
        <f t="shared" si="63"/>
        <v>1.0764262648008671E-2</v>
      </c>
      <c r="BE95" s="13">
        <f t="shared" si="64"/>
        <v>2.7727106895293563E-2</v>
      </c>
      <c r="BF95" s="14" cm="1">
        <f t="array" ref="BF95">VALUE(_xll.BDP($B95,"INTERVAL_DATE_OF_CALC_HI","CALC_INTERVAL","3M"))</f>
        <v>46049</v>
      </c>
      <c r="BG95" s="14" cm="1">
        <f t="array" ref="BG95">VALUE(_xll.BDP($B95,"INTERVAL_DATE_OF_CALC_LO","CALC_INTERVAL","3M"))</f>
        <v>45982</v>
      </c>
      <c r="BH95" s="14" cm="1">
        <f t="array" ref="BH95">VALUE(_xll.BDP($B95,"INTERVAL_DATE_OF_CALC_HI","CALC_INTERVAL","1M"))</f>
        <v>46049</v>
      </c>
      <c r="BI95" s="14" cm="1">
        <f t="array" ref="BI95">VALUE(_xll.BDP($B95,"INTERVAL_DATE_OF_CALC_LO","CALC_INTERVAL","1M"))</f>
        <v>46038</v>
      </c>
      <c r="BJ95" s="15">
        <f>$F95-MIN(_xll.BDP("NYA Index","RSI_14D"),_xll.BDP("RSP US Equity","RSI_14D"))</f>
        <v>-11.154764160156247</v>
      </c>
    </row>
    <row r="96" spans="1:62" x14ac:dyDescent="0.25">
      <c r="A96" s="11">
        <v>95</v>
      </c>
      <c r="B96" s="26" t="s">
        <v>690</v>
      </c>
      <c r="C96" s="1" t="s">
        <v>691</v>
      </c>
      <c r="D96" s="1" t="s">
        <v>593</v>
      </c>
      <c r="E96" s="11" t="s">
        <v>960</v>
      </c>
      <c r="F96">
        <f>IFERROR(VALUE((_xll.BDP($B96,"interval_rsi","tech_studies_param1_override",14))),"")</f>
        <v>60.859000000000002</v>
      </c>
      <c r="G96">
        <f t="shared" si="0"/>
        <v>52.525531939815814</v>
      </c>
      <c r="H96">
        <f t="shared" si="38"/>
        <v>0</v>
      </c>
      <c r="I96" cm="1">
        <f t="array" ref="I96">IFERROR(VALUE(_xll.BDP($B96,"px_last")),"")</f>
        <v>9.4649999999999998E-2</v>
      </c>
      <c r="J96">
        <f t="shared" si="1"/>
        <v>6941.47</v>
      </c>
      <c r="K96" cm="1">
        <f t="array" ref="K96">IFERROR(VALUE(_xll.BDP($B96,"PX_YEST_CLOSE")),"")</f>
        <v>9.468E-2</v>
      </c>
      <c r="L96">
        <f t="shared" si="2"/>
        <v>6941.81</v>
      </c>
      <c r="M96">
        <f t="shared" si="39"/>
        <v>1.3635440331802917E-5</v>
      </c>
      <c r="N96">
        <f t="shared" si="40"/>
        <v>1.3639094126747923E-5</v>
      </c>
      <c r="O96" cm="1">
        <f t="array" ref="O96">IFERROR(VALUE(_xll.BDP($B96,"INTERVAL_MAE_MOV_AVG","CALC_INTERVAL","520D","TECH_STUDIES_PARAM1_OVERRIDE",50,"USE_PREVIOUS_BUSINESS_DAY","N")),"")</f>
        <v>9.3109999999999998E-2</v>
      </c>
      <c r="P96">
        <f t="shared" si="3"/>
        <v>6894.0953999999992</v>
      </c>
      <c r="Q96" cm="1">
        <f t="array" ref="Q96">IFERROR(VALUE(_xll.BDP($B96,"INTERVAL_MAE_MOV_AVG","CALC_INTERVAL","520D","TECH_STUDIES_PARAM1_OVERRIDE",50,"USE_PREVIOUS_BUSINESS_DAY","Y")),"")</f>
        <v>9.3039999999999998E-2</v>
      </c>
      <c r="R96">
        <f t="shared" si="4"/>
        <v>6892.2477999999992</v>
      </c>
      <c r="S96">
        <f t="shared" si="41"/>
        <v>1.3505760306130956E-5</v>
      </c>
      <c r="T96">
        <f t="shared" si="42"/>
        <v>1.349922444750173E-5</v>
      </c>
      <c r="U96" s="11" t="str">
        <f t="shared" si="43"/>
        <v>NEGATIVE</v>
      </c>
      <c r="V96" s="11" t="str">
        <f t="shared" si="44"/>
        <v/>
      </c>
      <c r="W96" s="11" t="str">
        <f t="shared" si="45"/>
        <v>UP</v>
      </c>
      <c r="X96" s="6" t="str">
        <f t="shared" si="46"/>
        <v>POSITIVE</v>
      </c>
      <c r="Y96" cm="1">
        <f t="array" ref="Y96">IFERROR(VALUE(_xll.BDP($B96,"INTERVAL_MAE_MOV_AVG","CALC_INTERVAL","520D","TECH_STUDIES_PARAM1_OVERRIDE",65,"USE_PREVIOUS_BUSINESS_DAY","N")),"")</f>
        <v>9.2630000000000004E-2</v>
      </c>
      <c r="Z96">
        <f t="shared" si="5"/>
        <v>6856.0226153846133</v>
      </c>
      <c r="AA96" cm="1">
        <f t="array" ref="AA96">IFERROR(VALUE(_xll.BDP($B96,"INTERVAL_MAE_MOV_AVG","CALC_INTERVAL","520D","TECH_STUDIES_PARAM1_OVERRIDE",65,"USE_PREVIOUS_BUSINESS_DAY","Y")),"")</f>
        <v>9.2579999999999996E-2</v>
      </c>
      <c r="AB96">
        <f t="shared" si="6"/>
        <v>6852.6203076923057</v>
      </c>
      <c r="AC96">
        <f t="shared" si="47"/>
        <v>1.3510748898660626E-5</v>
      </c>
      <c r="AD96">
        <f t="shared" si="48"/>
        <v>1.3510160470451823E-5</v>
      </c>
      <c r="AE96" s="10" t="str">
        <f t="shared" si="49"/>
        <v>UP</v>
      </c>
      <c r="AF96" s="10" t="str">
        <f t="shared" si="50"/>
        <v>UP</v>
      </c>
      <c r="AG96" s="6" t="str">
        <f t="shared" si="51"/>
        <v>POSITIVE</v>
      </c>
      <c r="AH96" cm="1">
        <f t="array" ref="AH96">IFERROR(VALUE(_xll.BDP($B96,"INTERVAL_MAE_MOV_AVG","CALC_INTERVAL","65W","PERIODICITY_OVERRIDE","W","TECH_STUDIES_PARAM1_OVERRIDE",39,"USE_PREVIOUS_BUSINESS_DAY","N")),"")</f>
        <v>9.1259999999999994E-2</v>
      </c>
      <c r="AI96">
        <f t="shared" si="7"/>
        <v>6560.7735897435905</v>
      </c>
      <c r="AJ96" cm="1">
        <f t="array" ref="AJ96">IFERROR(VALUE(_xll.BDP($B96,"INTERVAL_MAE_MOV_AVG","CALC_INTERVAL","65W","PERIODICITY_OVERRIDE","W","TECH_STUDIES_PARAM1_OVERRIDE",39,"USE_PREVIOUS_BUSINESS_DAY","Y")),"")</f>
        <v>9.1259999999999994E-2</v>
      </c>
      <c r="AK96">
        <f t="shared" si="8"/>
        <v>6560.7823076923087</v>
      </c>
      <c r="AL96">
        <f t="shared" si="52"/>
        <v>1.3909945031888631E-5</v>
      </c>
      <c r="AM96">
        <f t="shared" si="53"/>
        <v>1.3909926548393557E-5</v>
      </c>
      <c r="AN96" s="10" t="str">
        <f t="shared" si="54"/>
        <v/>
      </c>
      <c r="AO96" s="10" t="str">
        <f t="shared" si="55"/>
        <v>UP</v>
      </c>
      <c r="AP96" s="6" t="str">
        <f t="shared" si="56"/>
        <v>NEGATIVE</v>
      </c>
      <c r="AQ96" cm="1">
        <f t="array" ref="AQ96">IFERROR(VALUE(_xll.BDP($B96,"INTERVAL_exp_MOV_AVG","CALC_INTERVAL","520D","TECH_STUDIES_PARAM1_OVERRIDE",100,"USE_PREVIOUS_BUSINESS_DAY","N")),"")</f>
        <v>9.2429999999999998E-2</v>
      </c>
      <c r="AR96">
        <f t="shared" si="9"/>
        <v>6773.0064518682802</v>
      </c>
      <c r="AS96" cm="1">
        <f t="array" ref="AS96">IFERROR(VALUE(_xll.BDP($B96,"INTERVAL_exp_MOV_AVG","CALC_INTERVAL","520D","TECH_STUDIES_PARAM1_OVERRIDE",100,"USE_PREVIOUS_BUSINESS_DAY","Y")),"")</f>
        <v>9.2380000000000004E-2</v>
      </c>
      <c r="AT96">
        <f t="shared" si="10"/>
        <v>6769.6039787132295</v>
      </c>
      <c r="AU96">
        <f t="shared" si="57"/>
        <v>1.3646820013659358E-5</v>
      </c>
      <c r="AV96">
        <f t="shared" si="58"/>
        <v>1.3646293090479962E-5</v>
      </c>
      <c r="AW96" s="11" t="str">
        <f t="shared" si="59"/>
        <v>UP</v>
      </c>
      <c r="AX96" s="11" t="str">
        <f t="shared" si="60"/>
        <v>UP</v>
      </c>
      <c r="AY96" s="6" t="str">
        <f t="shared" si="61"/>
        <v>NEGATIVE</v>
      </c>
      <c r="AZ96" s="12" cm="1">
        <f t="array" ref="AZ96">_xll.BDP($B96, "INTERVAL_RSI", "TECH_STUDIES_PARAM1_OVERRIDE", "5", "PERIODICITY_OVERRIDE", "W")</f>
        <v>73.335999999999999</v>
      </c>
      <c r="BA96" cm="1">
        <f t="array" ref="BA96">IFERROR(VALUE(_xll.BDP($B96,"INTERVAL_MAE_MOV_AVG","CALC_INTERVAL","520D","TECH_STUDIES_PARAM1_OVERRIDE",31,"USE_PREVIOUS_BUSINESS_DAY","N")),"")</f>
        <v>9.3780000000000002E-2</v>
      </c>
      <c r="BB96" cm="1">
        <f t="array" ref="BB96">IFERROR(VALUE(_xll.BDP($B96,"INTERVAL_MAE_MOV_AVG","CALC_INTERVAL","760D","TECH_STUDIES_PARAM1_OVERRIDE",200,"USE_PREVIOUS_BUSINESS_DAY","N")),"")</f>
        <v>9.1240000000000002E-2</v>
      </c>
      <c r="BC96" s="13">
        <f t="shared" si="62"/>
        <v>9.2770313499679347E-3</v>
      </c>
      <c r="BD96" s="13">
        <f t="shared" si="63"/>
        <v>1.6539576844592396E-2</v>
      </c>
      <c r="BE96" s="13">
        <f t="shared" si="64"/>
        <v>3.737395879000438E-2</v>
      </c>
      <c r="BF96" s="14" cm="1">
        <f t="array" ref="BF96">VALUE(_xll.BDP($B96,"INTERVAL_DATE_OF_CALC_HI","CALC_INTERVAL","3M"))</f>
        <v>46056</v>
      </c>
      <c r="BG96" s="14" cm="1">
        <f t="array" ref="BG96">VALUE(_xll.BDP($B96,"INTERVAL_DATE_OF_CALC_LO","CALC_INTERVAL","3M"))</f>
        <v>45986</v>
      </c>
      <c r="BH96" s="14" cm="1">
        <f t="array" ref="BH96">VALUE(_xll.BDP($B96,"INTERVAL_DATE_OF_CALC_HI","CALC_INTERVAL","1M"))</f>
        <v>46056</v>
      </c>
      <c r="BI96" s="14" cm="1">
        <f t="array" ref="BI96">VALUE(_xll.BDP($B96,"INTERVAL_DATE_OF_CALC_LO","CALC_INTERVAL","1M"))</f>
        <v>46035</v>
      </c>
      <c r="BJ96" s="15">
        <f>$F96-MIN(_xll.BDP("NYA Index","RSI_14D"),_xll.BDP("RSP US Equity","RSI_14D"))</f>
        <v>-5.4867641601562482</v>
      </c>
    </row>
    <row r="97" spans="1:62" x14ac:dyDescent="0.25">
      <c r="A97" s="11">
        <v>96</v>
      </c>
      <c r="B97" s="26" t="s">
        <v>692</v>
      </c>
      <c r="C97" s="1" t="s">
        <v>693</v>
      </c>
      <c r="D97" s="1" t="s">
        <v>593</v>
      </c>
      <c r="E97" s="11" t="s">
        <v>959</v>
      </c>
      <c r="F97">
        <f>IFERROR(VALUE((_xll.BDP($B97,"interval_rsi","tech_studies_param1_override",14))),"")</f>
        <v>59.530999999999999</v>
      </c>
      <c r="G97">
        <f t="shared" si="0"/>
        <v>52.525531939815814</v>
      </c>
      <c r="H97">
        <f t="shared" si="38"/>
        <v>0</v>
      </c>
      <c r="I97" cm="1">
        <f t="array" ref="I97">IFERROR(VALUE(_xll.BDP($B97,"px_last")),"")</f>
        <v>0.112385</v>
      </c>
      <c r="J97">
        <f t="shared" si="1"/>
        <v>6941.47</v>
      </c>
      <c r="K97" cm="1">
        <f t="array" ref="K97">IFERROR(VALUE(_xll.BDP($B97,"PX_YEST_CLOSE")),"")</f>
        <v>0.112368</v>
      </c>
      <c r="L97">
        <f t="shared" si="2"/>
        <v>6941.81</v>
      </c>
      <c r="M97">
        <f t="shared" si="39"/>
        <v>1.6190374661274918E-5</v>
      </c>
      <c r="N97">
        <f t="shared" si="40"/>
        <v>1.6187132750680297E-5</v>
      </c>
      <c r="O97" cm="1">
        <f t="array" ref="O97">IFERROR(VALUE(_xll.BDP($B97,"INTERVAL_MAE_MOV_AVG","CALC_INTERVAL","520D","TECH_STUDIES_PARAM1_OVERRIDE",50,"USE_PREVIOUS_BUSINESS_DAY","N")),"")</f>
        <v>0.109421</v>
      </c>
      <c r="P97">
        <f t="shared" si="3"/>
        <v>6894.0953999999992</v>
      </c>
      <c r="Q97" cm="1">
        <f t="array" ref="Q97">IFERROR(VALUE(_xll.BDP($B97,"INTERVAL_MAE_MOV_AVG","CALC_INTERVAL","520D","TECH_STUDIES_PARAM1_OVERRIDE",50,"USE_PREVIOUS_BUSINESS_DAY","Y")),"")</f>
        <v>0.109307</v>
      </c>
      <c r="R97">
        <f t="shared" si="4"/>
        <v>6892.2477999999992</v>
      </c>
      <c r="S97">
        <f t="shared" si="41"/>
        <v>1.5871697975052685E-5</v>
      </c>
      <c r="T97">
        <f t="shared" si="42"/>
        <v>1.5859412367616848E-5</v>
      </c>
      <c r="U97" s="11" t="str">
        <f t="shared" si="43"/>
        <v>NEGATIVE</v>
      </c>
      <c r="V97" s="11" t="str">
        <f t="shared" si="44"/>
        <v/>
      </c>
      <c r="W97" s="11" t="str">
        <f t="shared" si="45"/>
        <v>UP</v>
      </c>
      <c r="X97" s="6" t="str">
        <f t="shared" si="46"/>
        <v>POSITIVE</v>
      </c>
      <c r="Y97" cm="1">
        <f t="array" ref="Y97">IFERROR(VALUE(_xll.BDP($B97,"INTERVAL_MAE_MOV_AVG","CALC_INTERVAL","520D","TECH_STUDIES_PARAM1_OVERRIDE",65,"USE_PREVIOUS_BUSINESS_DAY","N")),"")</f>
        <v>0.10850899999999999</v>
      </c>
      <c r="Z97">
        <f t="shared" si="5"/>
        <v>6856.0226153846133</v>
      </c>
      <c r="AA97" cm="1">
        <f t="array" ref="AA97">IFERROR(VALUE(_xll.BDP($B97,"INTERVAL_MAE_MOV_AVG","CALC_INTERVAL","520D","TECH_STUDIES_PARAM1_OVERRIDE",65,"USE_PREVIOUS_BUSINESS_DAY","Y")),"")</f>
        <v>0.10840900000000001</v>
      </c>
      <c r="AB97">
        <f t="shared" si="6"/>
        <v>6852.6203076923057</v>
      </c>
      <c r="AC97">
        <f t="shared" si="47"/>
        <v>1.5826814771075953E-5</v>
      </c>
      <c r="AD97">
        <f t="shared" si="48"/>
        <v>1.5820079784415769E-5</v>
      </c>
      <c r="AE97" s="10" t="str">
        <f t="shared" si="49"/>
        <v>UP</v>
      </c>
      <c r="AF97" s="10" t="str">
        <f t="shared" si="50"/>
        <v>UP</v>
      </c>
      <c r="AG97" s="6" t="str">
        <f t="shared" si="51"/>
        <v>POSITIVE</v>
      </c>
      <c r="AH97" cm="1">
        <f t="array" ref="AH97">IFERROR(VALUE(_xll.BDP($B97,"INTERVAL_MAE_MOV_AVG","CALC_INTERVAL","65W","PERIODICITY_OVERRIDE","W","TECH_STUDIES_PARAM1_OVERRIDE",39,"USE_PREVIOUS_BUSINESS_DAY","N")),"")</f>
        <v>0.106391</v>
      </c>
      <c r="AI97">
        <f t="shared" si="7"/>
        <v>6560.7735897435905</v>
      </c>
      <c r="AJ97" cm="1">
        <f t="array" ref="AJ97">IFERROR(VALUE(_xll.BDP($B97,"INTERVAL_MAE_MOV_AVG","CALC_INTERVAL","65W","PERIODICITY_OVERRIDE","W","TECH_STUDIES_PARAM1_OVERRIDE",39,"USE_PREVIOUS_BUSINESS_DAY","Y")),"")</f>
        <v>0.106395</v>
      </c>
      <c r="AK97">
        <f t="shared" si="8"/>
        <v>6560.7823076923087</v>
      </c>
      <c r="AL97">
        <f t="shared" si="52"/>
        <v>1.6216227940912376E-5</v>
      </c>
      <c r="AM97">
        <f t="shared" si="53"/>
        <v>1.6216816076225431E-5</v>
      </c>
      <c r="AN97" s="10" t="str">
        <f t="shared" si="54"/>
        <v>DOWN</v>
      </c>
      <c r="AO97" s="10" t="str">
        <f t="shared" si="55"/>
        <v>DOWN</v>
      </c>
      <c r="AP97" s="6" t="str">
        <f t="shared" si="56"/>
        <v>NEGATIVE</v>
      </c>
      <c r="AQ97" cm="1">
        <f t="array" ref="AQ97">IFERROR(VALUE(_xll.BDP($B97,"INTERVAL_exp_MOV_AVG","CALC_INTERVAL","520D","TECH_STUDIES_PARAM1_OVERRIDE",100,"USE_PREVIOUS_BUSINESS_DAY","N")),"")</f>
        <v>0.10814500000000001</v>
      </c>
      <c r="AR97">
        <f t="shared" si="9"/>
        <v>6773.0064518682802</v>
      </c>
      <c r="AS97" cm="1">
        <f t="array" ref="AS97">IFERROR(VALUE(_xll.BDP($B97,"INTERVAL_exp_MOV_AVG","CALC_INTERVAL","520D","TECH_STUDIES_PARAM1_OVERRIDE",100,"USE_PREVIOUS_BUSINESS_DAY","Y")),"")</f>
        <v>0.10806</v>
      </c>
      <c r="AT97">
        <f t="shared" si="10"/>
        <v>6769.6039787132295</v>
      </c>
      <c r="AU97">
        <f t="shared" si="57"/>
        <v>1.5967059941330641E-5</v>
      </c>
      <c r="AV97">
        <f t="shared" si="58"/>
        <v>1.596252902530055E-5</v>
      </c>
      <c r="AW97" s="11" t="str">
        <f t="shared" si="59"/>
        <v>UP</v>
      </c>
      <c r="AX97" s="11" t="str">
        <f t="shared" si="60"/>
        <v>UP</v>
      </c>
      <c r="AY97" s="6" t="str">
        <f t="shared" si="61"/>
        <v>POSITIVE</v>
      </c>
      <c r="AZ97" s="12" cm="1">
        <f t="array" ref="AZ97">_xll.BDP($B97, "INTERVAL_RSI", "TECH_STUDIES_PARAM1_OVERRIDE", "5", "PERIODICITY_OVERRIDE", "W")</f>
        <v>73.313999999999993</v>
      </c>
      <c r="BA97" cm="1">
        <f t="array" ref="BA97">IFERROR(VALUE(_xll.BDP($B97,"INTERVAL_MAE_MOV_AVG","CALC_INTERVAL","520D","TECH_STUDIES_PARAM1_OVERRIDE",31,"USE_PREVIOUS_BUSINESS_DAY","N")),"")</f>
        <v>0.110357</v>
      </c>
      <c r="BB97" cm="1">
        <f t="array" ref="BB97">IFERROR(VALUE(_xll.BDP($B97,"INTERVAL_MAE_MOV_AVG","CALC_INTERVAL","760D","TECH_STUDIES_PARAM1_OVERRIDE",200,"USE_PREVIOUS_BUSINESS_DAY","N")),"")</f>
        <v>0.106127</v>
      </c>
      <c r="BC97" s="13">
        <f t="shared" si="62"/>
        <v>1.8376722817764257E-2</v>
      </c>
      <c r="BD97" s="13">
        <f t="shared" si="63"/>
        <v>2.7088036117381531E-2</v>
      </c>
      <c r="BE97" s="13">
        <f t="shared" si="64"/>
        <v>5.8967086603786134E-2</v>
      </c>
      <c r="BF97" s="14" cm="1">
        <f t="array" ref="BF97">VALUE(_xll.BDP($B97,"INTERVAL_DATE_OF_CALC_HI","CALC_INTERVAL","3M"))</f>
        <v>46049</v>
      </c>
      <c r="BG97" s="14" cm="1">
        <f t="array" ref="BG97">VALUE(_xll.BDP($B97,"INTERVAL_DATE_OF_CALC_LO","CALC_INTERVAL","3M"))</f>
        <v>45985</v>
      </c>
      <c r="BH97" s="14" cm="1">
        <f t="array" ref="BH97">VALUE(_xll.BDP($B97,"INTERVAL_DATE_OF_CALC_HI","CALC_INTERVAL","1M"))</f>
        <v>46049</v>
      </c>
      <c r="BI97" s="14" cm="1">
        <f t="array" ref="BI97">VALUE(_xll.BDP($B97,"INTERVAL_DATE_OF_CALC_LO","CALC_INTERVAL","1M"))</f>
        <v>46038</v>
      </c>
      <c r="BJ97" s="15">
        <f>$F97-MIN(_xll.BDP("NYA Index","RSI_14D"),_xll.BDP("RSP US Equity","RSI_14D"))</f>
        <v>-6.8147641601562512</v>
      </c>
    </row>
    <row r="98" spans="1:62" x14ac:dyDescent="0.25">
      <c r="A98" s="11">
        <v>97</v>
      </c>
      <c r="B98" s="26" t="s">
        <v>694</v>
      </c>
      <c r="C98" s="1" t="s">
        <v>695</v>
      </c>
      <c r="D98" s="1" t="s">
        <v>593</v>
      </c>
      <c r="E98" s="11" t="s">
        <v>960</v>
      </c>
      <c r="F98">
        <f>IFERROR(VALUE((_xll.BDP($B98,"interval_rsi","tech_studies_param1_override",14))),"")</f>
        <v>56.625</v>
      </c>
      <c r="G98">
        <f t="shared" si="0"/>
        <v>52.525531939815814</v>
      </c>
      <c r="H98">
        <f t="shared" si="38"/>
        <v>0</v>
      </c>
      <c r="I98" cm="1">
        <f t="array" ref="I98">IFERROR(VALUE(_xll.BDP($B98,"px_last")),"")</f>
        <v>0.6673</v>
      </c>
      <c r="J98">
        <f t="shared" si="1"/>
        <v>6941.47</v>
      </c>
      <c r="K98" cm="1">
        <f t="array" ref="K98">IFERROR(VALUE(_xll.BDP($B98,"PX_YEST_CLOSE")),"")</f>
        <v>0.6673</v>
      </c>
      <c r="L98">
        <f t="shared" si="2"/>
        <v>6941.81</v>
      </c>
      <c r="M98">
        <f t="shared" si="39"/>
        <v>9.6132375419039477E-5</v>
      </c>
      <c r="N98">
        <f t="shared" si="40"/>
        <v>9.6127666991749981E-5</v>
      </c>
      <c r="O98" cm="1">
        <f t="array" ref="O98">IFERROR(VALUE(_xll.BDP($B98,"INTERVAL_MAE_MOV_AVG","CALC_INTERVAL","520D","TECH_STUDIES_PARAM1_OVERRIDE",50,"USE_PREVIOUS_BUSINESS_DAY","N")),"")</f>
        <v>0.66369999999999996</v>
      </c>
      <c r="P98">
        <f t="shared" si="3"/>
        <v>6894.0953999999992</v>
      </c>
      <c r="Q98" cm="1">
        <f t="array" ref="Q98">IFERROR(VALUE(_xll.BDP($B98,"INTERVAL_MAE_MOV_AVG","CALC_INTERVAL","520D","TECH_STUDIES_PARAM1_OVERRIDE",50,"USE_PREVIOUS_BUSINESS_DAY","Y")),"")</f>
        <v>0.66359999999999997</v>
      </c>
      <c r="R98">
        <f t="shared" si="4"/>
        <v>6892.2477999999992</v>
      </c>
      <c r="S98">
        <f t="shared" si="41"/>
        <v>9.6270788477919821E-5</v>
      </c>
      <c r="T98">
        <f t="shared" si="42"/>
        <v>9.6282086665543283E-5</v>
      </c>
      <c r="U98" s="11" t="str">
        <f t="shared" si="43"/>
        <v>NEGATIVE</v>
      </c>
      <c r="V98" s="11" t="str">
        <f t="shared" si="44"/>
        <v/>
      </c>
      <c r="W98" s="11" t="str">
        <f t="shared" si="45"/>
        <v>DOWN</v>
      </c>
      <c r="X98" s="6" t="str">
        <f t="shared" si="46"/>
        <v>NEGATIVE</v>
      </c>
      <c r="Y98" cm="1">
        <f t="array" ref="Y98">IFERROR(VALUE(_xll.BDP($B98,"INTERVAL_MAE_MOV_AVG","CALC_INTERVAL","520D","TECH_STUDIES_PARAM1_OVERRIDE",65,"USE_PREVIOUS_BUSINESS_DAY","N")),"")</f>
        <v>0.66359999999999997</v>
      </c>
      <c r="Z98">
        <f t="shared" si="5"/>
        <v>6856.0226153846133</v>
      </c>
      <c r="AA98" cm="1">
        <f t="array" ref="AA98">IFERROR(VALUE(_xll.BDP($B98,"INTERVAL_MAE_MOV_AVG","CALC_INTERVAL","520D","TECH_STUDIES_PARAM1_OVERRIDE",65,"USE_PREVIOUS_BUSINESS_DAY","Y")),"")</f>
        <v>0.66359999999999997</v>
      </c>
      <c r="AB98">
        <f t="shared" si="6"/>
        <v>6852.6203076923057</v>
      </c>
      <c r="AC98">
        <f t="shared" si="47"/>
        <v>9.6790812578551117E-5</v>
      </c>
      <c r="AD98">
        <f t="shared" si="48"/>
        <v>9.6838868958650136E-5</v>
      </c>
      <c r="AE98" s="10" t="str">
        <f t="shared" si="49"/>
        <v/>
      </c>
      <c r="AF98" s="10" t="str">
        <f t="shared" si="50"/>
        <v>DOWN</v>
      </c>
      <c r="AG98" s="6" t="str">
        <f t="shared" si="51"/>
        <v>NEGATIVE</v>
      </c>
      <c r="AH98" cm="1">
        <f t="array" ref="AH98">IFERROR(VALUE(_xll.BDP($B98,"INTERVAL_MAE_MOV_AVG","CALC_INTERVAL","65W","PERIODICITY_OVERRIDE","W","TECH_STUDIES_PARAM1_OVERRIDE",39,"USE_PREVIOUS_BUSINESS_DAY","N")),"")</f>
        <v>0.66669999999999996</v>
      </c>
      <c r="AI98">
        <f t="shared" si="7"/>
        <v>6560.7735897435905</v>
      </c>
      <c r="AJ98" cm="1">
        <f t="array" ref="AJ98">IFERROR(VALUE(_xll.BDP($B98,"INTERVAL_MAE_MOV_AVG","CALC_INTERVAL","65W","PERIODICITY_OVERRIDE","W","TECH_STUDIES_PARAM1_OVERRIDE",39,"USE_PREVIOUS_BUSINESS_DAY","Y")),"")</f>
        <v>0.66659999999999997</v>
      </c>
      <c r="AK98">
        <f t="shared" si="8"/>
        <v>6560.7823076923087</v>
      </c>
      <c r="AL98">
        <f t="shared" si="52"/>
        <v>1.016191140999359E-4</v>
      </c>
      <c r="AM98">
        <f t="shared" si="53"/>
        <v>1.016037369839924E-4</v>
      </c>
      <c r="AN98" s="10" t="str">
        <f t="shared" si="54"/>
        <v>UP</v>
      </c>
      <c r="AO98" s="10" t="str">
        <f t="shared" si="55"/>
        <v>UP</v>
      </c>
      <c r="AP98" s="6" t="str">
        <f t="shared" si="56"/>
        <v>NEGATIVE</v>
      </c>
      <c r="AQ98" cm="1">
        <f t="array" ref="AQ98">IFERROR(VALUE(_xll.BDP($B98,"INTERVAL_exp_MOV_AVG","CALC_INTERVAL","520D","TECH_STUDIES_PARAM1_OVERRIDE",100,"USE_PREVIOUS_BUSINESS_DAY","N")),"")</f>
        <v>0.66500000000000004</v>
      </c>
      <c r="AR98">
        <f t="shared" si="9"/>
        <v>6773.0064518682802</v>
      </c>
      <c r="AS98" cm="1">
        <f t="array" ref="AS98">IFERROR(VALUE(_xll.BDP($B98,"INTERVAL_exp_MOV_AVG","CALC_INTERVAL","520D","TECH_STUDIES_PARAM1_OVERRIDE",100,"USE_PREVIOUS_BUSINESS_DAY","Y")),"")</f>
        <v>0.66490000000000005</v>
      </c>
      <c r="AT98">
        <f t="shared" si="10"/>
        <v>6769.6039787132295</v>
      </c>
      <c r="AU98">
        <f t="shared" si="57"/>
        <v>9.8183872217715823E-5</v>
      </c>
      <c r="AV98">
        <f t="shared" si="58"/>
        <v>9.8218448537130628E-5</v>
      </c>
      <c r="AW98" s="11" t="str">
        <f t="shared" si="59"/>
        <v>UP</v>
      </c>
      <c r="AX98" s="11" t="str">
        <f t="shared" si="60"/>
        <v>DOWN</v>
      </c>
      <c r="AY98" s="6" t="str">
        <f t="shared" si="61"/>
        <v>NEGATIVE</v>
      </c>
      <c r="AZ98" s="12" cm="1">
        <f t="array" ref="AZ98">_xll.BDP($B98, "INTERVAL_RSI", "TECH_STUDIES_PARAM1_OVERRIDE", "5", "PERIODICITY_OVERRIDE", "W")</f>
        <v>63.856999999999999</v>
      </c>
      <c r="BA98" cm="1">
        <f t="array" ref="BA98">IFERROR(VALUE(_xll.BDP($B98,"INTERVAL_MAE_MOV_AVG","CALC_INTERVAL","520D","TECH_STUDIES_PARAM1_OVERRIDE",31,"USE_PREVIOUS_BUSINESS_DAY","N")),"")</f>
        <v>0.6653</v>
      </c>
      <c r="BB98" cm="1">
        <f t="array" ref="BB98">IFERROR(VALUE(_xll.BDP($B98,"INTERVAL_MAE_MOV_AVG","CALC_INTERVAL","760D","TECH_STUDIES_PARAM1_OVERRIDE",200,"USE_PREVIOUS_BUSINESS_DAY","N")),"")</f>
        <v>0.66779999999999995</v>
      </c>
      <c r="BC98" s="13">
        <f t="shared" si="62"/>
        <v>3.0061626333983682E-3</v>
      </c>
      <c r="BD98" s="13">
        <f t="shared" si="63"/>
        <v>5.424137411481178E-3</v>
      </c>
      <c r="BE98" s="13">
        <f t="shared" si="64"/>
        <v>-7.4872716382146098E-4</v>
      </c>
      <c r="BF98" s="14" cm="1">
        <f t="array" ref="BF98">VALUE(_xll.BDP($B98,"INTERVAL_DATE_OF_CALC_HI","CALC_INTERVAL","3M"))</f>
        <v>46038</v>
      </c>
      <c r="BG98" s="14" cm="1">
        <f t="array" ref="BG98">VALUE(_xll.BDP($B98,"INTERVAL_DATE_OF_CALC_LO","CALC_INTERVAL","3M"))</f>
        <v>46002</v>
      </c>
      <c r="BH98" s="14" cm="1">
        <f t="array" ref="BH98">VALUE(_xll.BDP($B98,"INTERVAL_DATE_OF_CALC_HI","CALC_INTERVAL","1M"))</f>
        <v>46038</v>
      </c>
      <c r="BI98" s="14" cm="1">
        <f t="array" ref="BI98">VALUE(_xll.BDP($B98,"INTERVAL_DATE_OF_CALC_LO","CALC_INTERVAL","1M"))</f>
        <v>46049</v>
      </c>
      <c r="BJ98" s="15">
        <f>$F98-MIN(_xll.BDP("NYA Index","RSI_14D"),_xll.BDP("RSP US Equity","RSI_14D"))</f>
        <v>-9.72076416015625</v>
      </c>
    </row>
    <row r="99" spans="1:62" x14ac:dyDescent="0.25">
      <c r="A99" s="11">
        <v>98</v>
      </c>
      <c r="B99" s="26" t="s">
        <v>696</v>
      </c>
      <c r="C99" s="1" t="s">
        <v>697</v>
      </c>
      <c r="D99" s="1" t="s">
        <v>593</v>
      </c>
      <c r="E99" s="11" t="s">
        <v>959</v>
      </c>
      <c r="F99">
        <f>IFERROR(VALUE((_xll.BDP($B99,"interval_rsi","tech_studies_param1_override",14))),"")</f>
        <v>67.075999999999993</v>
      </c>
      <c r="G99">
        <f t="shared" si="0"/>
        <v>52.525531939815814</v>
      </c>
      <c r="H99">
        <f t="shared" si="38"/>
        <v>1</v>
      </c>
      <c r="I99" cm="1">
        <f t="array" ref="I99">IFERROR(VALUE(_xll.BDP($B99,"px_last")),"")</f>
        <v>0.79239999999999999</v>
      </c>
      <c r="J99">
        <f t="shared" si="1"/>
        <v>6941.47</v>
      </c>
      <c r="K99" cm="1">
        <f t="array" ref="K99">IFERROR(VALUE(_xll.BDP($B99,"PX_YEST_CLOSE")),"")</f>
        <v>0.7923</v>
      </c>
      <c r="L99">
        <f t="shared" si="2"/>
        <v>6941.81</v>
      </c>
      <c r="M99">
        <f t="shared" si="39"/>
        <v>1.1415449465314983E-4</v>
      </c>
      <c r="N99">
        <f t="shared" si="40"/>
        <v>1.1413449806318525E-4</v>
      </c>
      <c r="O99" cm="1">
        <f t="array" ref="O99">IFERROR(VALUE(_xll.BDP($B99,"INTERVAL_MAE_MOV_AVG","CALC_INTERVAL","520D","TECH_STUDIES_PARAM1_OVERRIDE",50,"USE_PREVIOUS_BUSINESS_DAY","N")),"")</f>
        <v>0.77990000000000004</v>
      </c>
      <c r="P99">
        <f t="shared" si="3"/>
        <v>6894.0953999999992</v>
      </c>
      <c r="Q99" cm="1">
        <f t="array" ref="Q99">IFERROR(VALUE(_xll.BDP($B99,"INTERVAL_MAE_MOV_AVG","CALC_INTERVAL","520D","TECH_STUDIES_PARAM1_OVERRIDE",50,"USE_PREVIOUS_BUSINESS_DAY","Y")),"")</f>
        <v>0.77949999999999997</v>
      </c>
      <c r="R99">
        <f t="shared" si="4"/>
        <v>6892.2477999999992</v>
      </c>
      <c r="S99">
        <f t="shared" si="41"/>
        <v>1.1312579167384311E-4</v>
      </c>
      <c r="T99">
        <f t="shared" si="42"/>
        <v>1.1309808100631554E-4</v>
      </c>
      <c r="U99" s="11" t="str">
        <f t="shared" si="43"/>
        <v>POSITIVE</v>
      </c>
      <c r="V99" s="11" t="str">
        <f t="shared" si="44"/>
        <v/>
      </c>
      <c r="W99" s="11" t="str">
        <f t="shared" si="45"/>
        <v>UP</v>
      </c>
      <c r="X99" s="6" t="str">
        <f t="shared" si="46"/>
        <v>POSITIVE</v>
      </c>
      <c r="Y99" cm="1">
        <f t="array" ref="Y99">IFERROR(VALUE(_xll.BDP($B99,"INTERVAL_MAE_MOV_AVG","CALC_INTERVAL","520D","TECH_STUDIES_PARAM1_OVERRIDE",65,"USE_PREVIOUS_BUSINESS_DAY","N")),"")</f>
        <v>0.77729999999999999</v>
      </c>
      <c r="Z99">
        <f t="shared" si="5"/>
        <v>6856.0226153846133</v>
      </c>
      <c r="AA99" cm="1">
        <f t="array" ref="AA99">IFERROR(VALUE(_xll.BDP($B99,"INTERVAL_MAE_MOV_AVG","CALC_INTERVAL","520D","TECH_STUDIES_PARAM1_OVERRIDE",65,"USE_PREVIOUS_BUSINESS_DAY","Y")),"")</f>
        <v>0.77690000000000003</v>
      </c>
      <c r="AB99">
        <f t="shared" si="6"/>
        <v>6852.6203076923057</v>
      </c>
      <c r="AC99">
        <f t="shared" si="47"/>
        <v>1.1337477187659402E-4</v>
      </c>
      <c r="AD99">
        <f t="shared" si="48"/>
        <v>1.1337269031641847E-4</v>
      </c>
      <c r="AE99" s="10" t="str">
        <f t="shared" si="49"/>
        <v>UP</v>
      </c>
      <c r="AF99" s="10" t="str">
        <f t="shared" si="50"/>
        <v>UP</v>
      </c>
      <c r="AG99" s="6" t="str">
        <f t="shared" si="51"/>
        <v>POSITIVE</v>
      </c>
      <c r="AH99" cm="1">
        <f t="array" ref="AH99">IFERROR(VALUE(_xll.BDP($B99,"INTERVAL_MAE_MOV_AVG","CALC_INTERVAL","65W","PERIODICITY_OVERRIDE","W","TECH_STUDIES_PARAM1_OVERRIDE",39,"USE_PREVIOUS_BUSINESS_DAY","N")),"")</f>
        <v>0.77710000000000001</v>
      </c>
      <c r="AI99">
        <f t="shared" si="7"/>
        <v>6560.7735897435905</v>
      </c>
      <c r="AJ99" cm="1">
        <f t="array" ref="AJ99">IFERROR(VALUE(_xll.BDP($B99,"INTERVAL_MAE_MOV_AVG","CALC_INTERVAL","65W","PERIODICITY_OVERRIDE","W","TECH_STUDIES_PARAM1_OVERRIDE",39,"USE_PREVIOUS_BUSINESS_DAY","Y")),"")</f>
        <v>0.77710000000000001</v>
      </c>
      <c r="AK99">
        <f t="shared" si="8"/>
        <v>6560.7823076923087</v>
      </c>
      <c r="AL99">
        <f t="shared" si="52"/>
        <v>1.1844639803068876E-4</v>
      </c>
      <c r="AM99">
        <f t="shared" si="53"/>
        <v>1.1844624063945469E-4</v>
      </c>
      <c r="AN99" s="10" t="str">
        <f t="shared" si="54"/>
        <v/>
      </c>
      <c r="AO99" s="10" t="str">
        <f t="shared" si="55"/>
        <v>UP</v>
      </c>
      <c r="AP99" s="6" t="str">
        <f t="shared" si="56"/>
        <v>NEGATIVE</v>
      </c>
      <c r="AQ99" cm="1">
        <f t="array" ref="AQ99">IFERROR(VALUE(_xll.BDP($B99,"INTERVAL_exp_MOV_AVG","CALC_INTERVAL","520D","TECH_STUDIES_PARAM1_OVERRIDE",100,"USE_PREVIOUS_BUSINESS_DAY","N")),"")</f>
        <v>0.77780000000000005</v>
      </c>
      <c r="AR99">
        <f t="shared" si="9"/>
        <v>6773.0064518682802</v>
      </c>
      <c r="AS99" cm="1">
        <f t="array" ref="AS99">IFERROR(VALUE(_xll.BDP($B99,"INTERVAL_exp_MOV_AVG","CALC_INTERVAL","520D","TECH_STUDIES_PARAM1_OVERRIDE",100,"USE_PREVIOUS_BUSINESS_DAY","Y")),"")</f>
        <v>0.77759999999999996</v>
      </c>
      <c r="AT99">
        <f t="shared" si="10"/>
        <v>6769.6039787132295</v>
      </c>
      <c r="AU99">
        <f t="shared" si="57"/>
        <v>1.1483821926457048E-4</v>
      </c>
      <c r="AV99">
        <f t="shared" si="58"/>
        <v>1.1486639431865358E-4</v>
      </c>
      <c r="AW99" s="11" t="str">
        <f t="shared" si="59"/>
        <v>UP</v>
      </c>
      <c r="AX99" s="11" t="str">
        <f t="shared" si="60"/>
        <v>DOWN</v>
      </c>
      <c r="AY99" s="6" t="str">
        <f t="shared" si="61"/>
        <v>NEGATIVE</v>
      </c>
      <c r="AZ99" s="12" cm="1">
        <f t="array" ref="AZ99">_xll.BDP($B99, "INTERVAL_RSI", "TECH_STUDIES_PARAM1_OVERRIDE", "5", "PERIODICITY_OVERRIDE", "W")</f>
        <v>86.364999999999995</v>
      </c>
      <c r="BA99" cm="1">
        <f t="array" ref="BA99">IFERROR(VALUE(_xll.BDP($B99,"INTERVAL_MAE_MOV_AVG","CALC_INTERVAL","520D","TECH_STUDIES_PARAM1_OVERRIDE",31,"USE_PREVIOUS_BUSINESS_DAY","N")),"")</f>
        <v>0.78280000000000005</v>
      </c>
      <c r="BB99" cm="1">
        <f t="array" ref="BB99">IFERROR(VALUE(_xll.BDP($B99,"INTERVAL_MAE_MOV_AVG","CALC_INTERVAL","760D","TECH_STUDIES_PARAM1_OVERRIDE",200,"USE_PREVIOUS_BUSINESS_DAY","N")),"")</f>
        <v>0.77659999999999996</v>
      </c>
      <c r="BC99" s="13">
        <f t="shared" si="62"/>
        <v>1.2263668880940104E-2</v>
      </c>
      <c r="BD99" s="13">
        <f t="shared" si="63"/>
        <v>1.6027695858443325E-2</v>
      </c>
      <c r="BE99" s="13">
        <f t="shared" si="64"/>
        <v>2.034509399948492E-2</v>
      </c>
      <c r="BF99" s="14" cm="1">
        <f t="array" ref="BF99">VALUE(_xll.BDP($B99,"INTERVAL_DATE_OF_CALC_HI","CALC_INTERVAL","3M"))</f>
        <v>46049</v>
      </c>
      <c r="BG99" s="14" cm="1">
        <f t="array" ref="BG99">VALUE(_xll.BDP($B99,"INTERVAL_DATE_OF_CALC_LO","CALC_INTERVAL","3M"))</f>
        <v>45981</v>
      </c>
      <c r="BH99" s="14" cm="1">
        <f t="array" ref="BH99">VALUE(_xll.BDP($B99,"INTERVAL_DATE_OF_CALC_HI","CALC_INTERVAL","1M"))</f>
        <v>46049</v>
      </c>
      <c r="BI99" s="14" cm="1">
        <f t="array" ref="BI99">VALUE(_xll.BDP($B99,"INTERVAL_DATE_OF_CALC_LO","CALC_INTERVAL","1M"))</f>
        <v>46038</v>
      </c>
      <c r="BJ99" s="15">
        <f>$F99-MIN(_xll.BDP("NYA Index","RSI_14D"),_xll.BDP("RSP US Equity","RSI_14D"))</f>
        <v>0.73023583984374341</v>
      </c>
    </row>
    <row r="100" spans="1:62" x14ac:dyDescent="0.25">
      <c r="A100" s="11">
        <v>99</v>
      </c>
      <c r="B100" s="26" t="s">
        <v>698</v>
      </c>
      <c r="C100" s="1" t="s">
        <v>699</v>
      </c>
      <c r="D100" s="1" t="s">
        <v>593</v>
      </c>
      <c r="E100" s="11" t="s">
        <v>960</v>
      </c>
      <c r="F100">
        <f>IFERROR(VALUE((_xll.BDP($B100,"interval_rsi","tech_studies_param1_override",14))),"")</f>
        <v>54.348999999999997</v>
      </c>
      <c r="G100">
        <f t="shared" si="0"/>
        <v>52.525531939815814</v>
      </c>
      <c r="H100">
        <f t="shared" si="38"/>
        <v>0</v>
      </c>
      <c r="I100" cm="1">
        <f t="array" ref="I100">IFERROR(VALUE(_xll.BDP($B100,"px_last")),"")</f>
        <v>2.7099999999999999E-2</v>
      </c>
      <c r="J100">
        <f t="shared" si="1"/>
        <v>6941.47</v>
      </c>
      <c r="K100" cm="1">
        <f t="array" ref="K100">IFERROR(VALUE(_xll.BDP($B100,"PX_YEST_CLOSE")),"")</f>
        <v>2.7119999999999998E-2</v>
      </c>
      <c r="L100">
        <f t="shared" si="2"/>
        <v>6941.81</v>
      </c>
      <c r="M100">
        <f t="shared" si="39"/>
        <v>3.9040721922013638E-6</v>
      </c>
      <c r="N100">
        <f t="shared" si="40"/>
        <v>3.9067620692585932E-6</v>
      </c>
      <c r="O100" cm="1">
        <f t="array" ref="O100">IFERROR(VALUE(_xll.BDP($B100,"INTERVAL_MAE_MOV_AVG","CALC_INTERVAL","520D","TECH_STUDIES_PARAM1_OVERRIDE",50,"USE_PREVIOUS_BUSINESS_DAY","N")),"")</f>
        <v>2.7099999999999999E-2</v>
      </c>
      <c r="P100">
        <f t="shared" si="3"/>
        <v>6894.0953999999992</v>
      </c>
      <c r="Q100" cm="1">
        <f t="array" ref="Q100">IFERROR(VALUE(_xll.BDP($B100,"INTERVAL_MAE_MOV_AVG","CALC_INTERVAL","520D","TECH_STUDIES_PARAM1_OVERRIDE",50,"USE_PREVIOUS_BUSINESS_DAY","Y")),"")</f>
        <v>2.7099999999999999E-2</v>
      </c>
      <c r="R100">
        <f t="shared" si="4"/>
        <v>6892.2477999999992</v>
      </c>
      <c r="S100">
        <f t="shared" si="41"/>
        <v>3.9309000568805595E-6</v>
      </c>
      <c r="T100">
        <f t="shared" si="42"/>
        <v>3.9319538104825544E-6</v>
      </c>
      <c r="U100" s="11" t="str">
        <f t="shared" si="43"/>
        <v>NEGATIVE</v>
      </c>
      <c r="V100" s="11" t="str">
        <f t="shared" si="44"/>
        <v/>
      </c>
      <c r="W100" s="11" t="str">
        <f t="shared" si="45"/>
        <v>DOWN</v>
      </c>
      <c r="X100" s="6" t="str">
        <f t="shared" si="46"/>
        <v>NEGATIVE</v>
      </c>
      <c r="Y100" cm="1">
        <f t="array" ref="Y100">IFERROR(VALUE(_xll.BDP($B100,"INTERVAL_MAE_MOV_AVG","CALC_INTERVAL","520D","TECH_STUDIES_PARAM1_OVERRIDE",65,"USE_PREVIOUS_BUSINESS_DAY","N")),"")</f>
        <v>2.7019999999999999E-2</v>
      </c>
      <c r="Z100">
        <f t="shared" si="5"/>
        <v>6856.0226153846133</v>
      </c>
      <c r="AA100" cm="1">
        <f t="array" ref="AA100">IFERROR(VALUE(_xll.BDP($B100,"INTERVAL_MAE_MOV_AVG","CALC_INTERVAL","520D","TECH_STUDIES_PARAM1_OVERRIDE",65,"USE_PREVIOUS_BUSINESS_DAY","Y")),"")</f>
        <v>2.7009999999999999E-2</v>
      </c>
      <c r="AB100">
        <f t="shared" si="6"/>
        <v>6852.6203076923057</v>
      </c>
      <c r="AC100">
        <f t="shared" si="47"/>
        <v>3.9410605121646346E-6</v>
      </c>
      <c r="AD100">
        <f t="shared" si="48"/>
        <v>3.9415579423947264E-6</v>
      </c>
      <c r="AE100" s="10" t="str">
        <f t="shared" si="49"/>
        <v>UP</v>
      </c>
      <c r="AF100" s="10" t="str">
        <f t="shared" si="50"/>
        <v>DOWN</v>
      </c>
      <c r="AG100" s="6" t="str">
        <f t="shared" si="51"/>
        <v>NEGATIVE</v>
      </c>
      <c r="AH100" cm="1">
        <f t="array" ref="AH100">IFERROR(VALUE(_xll.BDP($B100,"INTERVAL_MAE_MOV_AVG","CALC_INTERVAL","65W","PERIODICITY_OVERRIDE","W","TECH_STUDIES_PARAM1_OVERRIDE",39,"USE_PREVIOUS_BUSINESS_DAY","N")),"")</f>
        <v>2.6700000000000002E-2</v>
      </c>
      <c r="AI100">
        <f t="shared" si="7"/>
        <v>6560.7735897435905</v>
      </c>
      <c r="AJ100" cm="1">
        <f t="array" ref="AJ100">IFERROR(VALUE(_xll.BDP($B100,"INTERVAL_MAE_MOV_AVG","CALC_INTERVAL","65W","PERIODICITY_OVERRIDE","W","TECH_STUDIES_PARAM1_OVERRIDE",39,"USE_PREVIOUS_BUSINESS_DAY","Y")),"")</f>
        <v>2.6700000000000002E-2</v>
      </c>
      <c r="AK100">
        <f t="shared" si="8"/>
        <v>6560.7823076923087</v>
      </c>
      <c r="AL100">
        <f t="shared" si="52"/>
        <v>4.069642037600553E-6</v>
      </c>
      <c r="AM100">
        <f t="shared" si="53"/>
        <v>4.0696366298718829E-6</v>
      </c>
      <c r="AN100" s="10" t="str">
        <f t="shared" si="54"/>
        <v/>
      </c>
      <c r="AO100" s="10" t="str">
        <f t="shared" si="55"/>
        <v>UP</v>
      </c>
      <c r="AP100" s="6" t="str">
        <f t="shared" si="56"/>
        <v>NEGATIVE</v>
      </c>
      <c r="AQ100" cm="1">
        <f t="array" ref="AQ100">IFERROR(VALUE(_xll.BDP($B100,"INTERVAL_exp_MOV_AVG","CALC_INTERVAL","520D","TECH_STUDIES_PARAM1_OVERRIDE",100,"USE_PREVIOUS_BUSINESS_DAY","N")),"")</f>
        <v>2.691E-2</v>
      </c>
      <c r="AR100">
        <f t="shared" si="9"/>
        <v>6773.0064518682802</v>
      </c>
      <c r="AS100" cm="1">
        <f t="array" ref="AS100">IFERROR(VALUE(_xll.BDP($B100,"INTERVAL_exp_MOV_AVG","CALC_INTERVAL","520D","TECH_STUDIES_PARAM1_OVERRIDE",100,"USE_PREVIOUS_BUSINESS_DAY","Y")),"")</f>
        <v>2.691E-2</v>
      </c>
      <c r="AT100">
        <f t="shared" si="10"/>
        <v>6769.6039787132295</v>
      </c>
      <c r="AU100">
        <f t="shared" si="57"/>
        <v>3.9731248141033572E-6</v>
      </c>
      <c r="AV100">
        <f t="shared" si="58"/>
        <v>3.9751217478330345E-6</v>
      </c>
      <c r="AW100" s="11" t="str">
        <f t="shared" si="59"/>
        <v/>
      </c>
      <c r="AX100" s="11" t="str">
        <f t="shared" si="60"/>
        <v>DOWN</v>
      </c>
      <c r="AY100" s="6" t="str">
        <f t="shared" si="61"/>
        <v>NEGATIVE</v>
      </c>
      <c r="AZ100" s="12" cm="1">
        <f t="array" ref="AZ100">_xll.BDP($B100, "INTERVAL_RSI", "TECH_STUDIES_PARAM1_OVERRIDE", "5", "PERIODICITY_OVERRIDE", "W")</f>
        <v>54.348999999999997</v>
      </c>
      <c r="BA100" cm="1">
        <f t="array" ref="BA100">IFERROR(VALUE(_xll.BDP($B100,"INTERVAL_MAE_MOV_AVG","CALC_INTERVAL","520D","TECH_STUDIES_PARAM1_OVERRIDE",31,"USE_PREVIOUS_BUSINESS_DAY","N")),"")</f>
        <v>2.7109999999999999E-2</v>
      </c>
      <c r="BB100" cm="1">
        <f t="array" ref="BB100">IFERROR(VALUE(_xll.BDP($B100,"INTERVAL_MAE_MOV_AVG","CALC_INTERVAL","760D","TECH_STUDIES_PARAM1_OVERRIDE",200,"USE_PREVIOUS_BUSINESS_DAY","N")),"")</f>
        <v>2.6710000000000001E-2</v>
      </c>
      <c r="BC100" s="13">
        <f t="shared" si="62"/>
        <v>-3.6886757653997737E-4</v>
      </c>
      <c r="BD100" s="13">
        <f t="shared" si="63"/>
        <v>0</v>
      </c>
      <c r="BE100" s="13">
        <f t="shared" si="64"/>
        <v>1.4601272931486164E-2</v>
      </c>
      <c r="BF100" s="14" cm="1">
        <f t="array" ref="BF100">VALUE(_xll.BDP($B100,"INTERVAL_DATE_OF_CALC_HI","CALC_INTERVAL","3M"))</f>
        <v>46041</v>
      </c>
      <c r="BG100" s="14" cm="1">
        <f t="array" ref="BG100">VALUE(_xll.BDP($B100,"INTERVAL_DATE_OF_CALC_LO","CALC_INTERVAL","3M"))</f>
        <v>45975</v>
      </c>
      <c r="BH100" s="14" cm="1">
        <f t="array" ref="BH100">VALUE(_xll.BDP($B100,"INTERVAL_DATE_OF_CALC_HI","CALC_INTERVAL","1M"))</f>
        <v>46041</v>
      </c>
      <c r="BI100" s="14" cm="1">
        <f t="array" ref="BI100">VALUE(_xll.BDP($B100,"INTERVAL_DATE_OF_CALC_LO","CALC_INTERVAL","1M"))</f>
        <v>46058</v>
      </c>
      <c r="BJ100" s="15">
        <f>$F100-MIN(_xll.BDP("NYA Index","RSI_14D"),_xll.BDP("RSP US Equity","RSI_14D"))</f>
        <v>-11.996764160156253</v>
      </c>
    </row>
    <row r="101" spans="1:62" x14ac:dyDescent="0.25">
      <c r="A101" s="11">
        <v>100</v>
      </c>
      <c r="B101" s="26" t="s">
        <v>700</v>
      </c>
      <c r="C101" s="1" t="s">
        <v>701</v>
      </c>
      <c r="D101" s="1" t="s">
        <v>593</v>
      </c>
      <c r="E101" s="11" t="s">
        <v>959</v>
      </c>
      <c r="F101">
        <f>IFERROR(VALUE((_xll.BDP($B101,"interval_rsi","tech_studies_param1_override",14))),"")</f>
        <v>58.05</v>
      </c>
      <c r="G101">
        <f t="shared" si="0"/>
        <v>52.525531939815814</v>
      </c>
      <c r="H101">
        <f t="shared" si="38"/>
        <v>0</v>
      </c>
      <c r="I101" cm="1">
        <f t="array" ref="I101">IFERROR(VALUE(_xll.BDP($B101,"px_last")),"")</f>
        <v>3.218E-2</v>
      </c>
      <c r="J101">
        <f t="shared" si="1"/>
        <v>6941.47</v>
      </c>
      <c r="K101" cm="1">
        <f t="array" ref="K101">IFERROR(VALUE(_xll.BDP($B101,"PX_YEST_CLOSE")),"")</f>
        <v>3.2196000000000002E-2</v>
      </c>
      <c r="L101">
        <f t="shared" si="2"/>
        <v>6941.81</v>
      </c>
      <c r="M101">
        <f t="shared" si="39"/>
        <v>4.6359056511084823E-6</v>
      </c>
      <c r="N101">
        <f t="shared" si="40"/>
        <v>4.6379834654074372E-6</v>
      </c>
      <c r="O101" cm="1">
        <f t="array" ref="O101">IFERROR(VALUE(_xll.BDP($B101,"INTERVAL_MAE_MOV_AVG","CALC_INTERVAL","520D","TECH_STUDIES_PARAM1_OVERRIDE",50,"USE_PREVIOUS_BUSINESS_DAY","N")),"")</f>
        <v>3.1849000000000002E-2</v>
      </c>
      <c r="P101">
        <f t="shared" si="3"/>
        <v>6894.0953999999992</v>
      </c>
      <c r="Q101" cm="1">
        <f t="array" ref="Q101">IFERROR(VALUE(_xll.BDP($B101,"INTERVAL_MAE_MOV_AVG","CALC_INTERVAL","520D","TECH_STUDIES_PARAM1_OVERRIDE",50,"USE_PREVIOUS_BUSINESS_DAY","Y")),"")</f>
        <v>3.1831999999999999E-2</v>
      </c>
      <c r="R101">
        <f t="shared" si="4"/>
        <v>6892.2477999999992</v>
      </c>
      <c r="S101">
        <f t="shared" si="41"/>
        <v>4.6197504026416585E-6</v>
      </c>
      <c r="T101">
        <f t="shared" si="42"/>
        <v>4.6185222765786224E-6</v>
      </c>
      <c r="U101" s="11" t="str">
        <f t="shared" si="43"/>
        <v>NEGATIVE</v>
      </c>
      <c r="V101" s="11" t="str">
        <f t="shared" si="44"/>
        <v/>
      </c>
      <c r="W101" s="11" t="str">
        <f t="shared" si="45"/>
        <v>UP</v>
      </c>
      <c r="X101" s="6" t="str">
        <f t="shared" si="46"/>
        <v>POSITIVE</v>
      </c>
      <c r="Y101" cm="1">
        <f t="array" ref="Y101">IFERROR(VALUE(_xll.BDP($B101,"INTERVAL_MAE_MOV_AVG","CALC_INTERVAL","520D","TECH_STUDIES_PARAM1_OVERRIDE",65,"USE_PREVIOUS_BUSINESS_DAY","N")),"")</f>
        <v>3.1649999999999998E-2</v>
      </c>
      <c r="Z101">
        <f t="shared" si="5"/>
        <v>6856.0226153846133</v>
      </c>
      <c r="AA101" cm="1">
        <f t="array" ref="AA101">IFERROR(VALUE(_xll.BDP($B101,"INTERVAL_MAE_MOV_AVG","CALC_INTERVAL","520D","TECH_STUDIES_PARAM1_OVERRIDE",65,"USE_PREVIOUS_BUSINESS_DAY","Y")),"")</f>
        <v>3.1629999999999998E-2</v>
      </c>
      <c r="AB101">
        <f t="shared" si="6"/>
        <v>6852.6203076923057</v>
      </c>
      <c r="AC101">
        <f t="shared" si="47"/>
        <v>4.6163791713549469E-6</v>
      </c>
      <c r="AD101">
        <f t="shared" si="48"/>
        <v>4.6157525997017842E-6</v>
      </c>
      <c r="AE101" s="10" t="str">
        <f t="shared" si="49"/>
        <v>UP</v>
      </c>
      <c r="AF101" s="10" t="str">
        <f t="shared" si="50"/>
        <v>UP</v>
      </c>
      <c r="AG101" s="6" t="str">
        <f t="shared" si="51"/>
        <v>POSITIVE</v>
      </c>
      <c r="AH101" cm="1">
        <f t="array" ref="AH101">IFERROR(VALUE(_xll.BDP($B101,"INTERVAL_MAE_MOV_AVG","CALC_INTERVAL","65W","PERIODICITY_OVERRIDE","W","TECH_STUDIES_PARAM1_OVERRIDE",39,"USE_PREVIOUS_BUSINESS_DAY","N")),"")</f>
        <v>3.1130000000000001E-2</v>
      </c>
      <c r="AI101">
        <f t="shared" si="7"/>
        <v>6560.7735897435905</v>
      </c>
      <c r="AJ101" cm="1">
        <f t="array" ref="AJ101">IFERROR(VALUE(_xll.BDP($B101,"INTERVAL_MAE_MOV_AVG","CALC_INTERVAL","65W","PERIODICITY_OVERRIDE","W","TECH_STUDIES_PARAM1_OVERRIDE",39,"USE_PREVIOUS_BUSINESS_DAY","Y")),"")</f>
        <v>3.1126000000000001E-2</v>
      </c>
      <c r="AK101">
        <f t="shared" si="8"/>
        <v>6560.7823076923087</v>
      </c>
      <c r="AL101">
        <f t="shared" si="52"/>
        <v>4.744867289532031E-6</v>
      </c>
      <c r="AM101">
        <f t="shared" si="53"/>
        <v>4.7442513011757389E-6</v>
      </c>
      <c r="AN101" s="10" t="str">
        <f t="shared" si="54"/>
        <v>UP</v>
      </c>
      <c r="AO101" s="10" t="str">
        <f t="shared" si="55"/>
        <v>UP</v>
      </c>
      <c r="AP101" s="6" t="str">
        <f t="shared" si="56"/>
        <v>NEGATIVE</v>
      </c>
      <c r="AQ101" cm="1">
        <f t="array" ref="AQ101">IFERROR(VALUE(_xll.BDP($B101,"INTERVAL_exp_MOV_AVG","CALC_INTERVAL","520D","TECH_STUDIES_PARAM1_OVERRIDE",100,"USE_PREVIOUS_BUSINESS_DAY","N")),"")</f>
        <v>3.1489000000000003E-2</v>
      </c>
      <c r="AR101">
        <f t="shared" si="9"/>
        <v>6773.0064518682802</v>
      </c>
      <c r="AS101" cm="1">
        <f t="array" ref="AS101">IFERROR(VALUE(_xll.BDP($B101,"INTERVAL_exp_MOV_AVG","CALC_INTERVAL","520D","TECH_STUDIES_PARAM1_OVERRIDE",100,"USE_PREVIOUS_BUSINESS_DAY","Y")),"")</f>
        <v>3.1475000000000003E-2</v>
      </c>
      <c r="AT101">
        <f t="shared" si="10"/>
        <v>6769.6039787132295</v>
      </c>
      <c r="AU101">
        <f t="shared" si="57"/>
        <v>4.6491909056596293E-6</v>
      </c>
      <c r="AV101">
        <f t="shared" si="58"/>
        <v>4.6494595694182381E-6</v>
      </c>
      <c r="AW101" s="11" t="str">
        <f t="shared" si="59"/>
        <v>UP</v>
      </c>
      <c r="AX101" s="11" t="str">
        <f t="shared" si="60"/>
        <v>DOWN</v>
      </c>
      <c r="AY101" s="6" t="str">
        <f t="shared" si="61"/>
        <v>NEGATIVE</v>
      </c>
      <c r="AZ101" s="12" cm="1">
        <f t="array" ref="AZ101">_xll.BDP($B101, "INTERVAL_RSI", "TECH_STUDIES_PARAM1_OVERRIDE", "5", "PERIODICITY_OVERRIDE", "W")</f>
        <v>65.626999999999995</v>
      </c>
      <c r="BA101" cm="1">
        <f t="array" ref="BA101">IFERROR(VALUE(_xll.BDP($B101,"INTERVAL_MAE_MOV_AVG","CALC_INTERVAL","520D","TECH_STUDIES_PARAM1_OVERRIDE",31,"USE_PREVIOUS_BUSINESS_DAY","N")),"")</f>
        <v>3.1904000000000002E-2</v>
      </c>
      <c r="BB101" cm="1">
        <f t="array" ref="BB101">IFERROR(VALUE(_xll.BDP($B101,"INTERVAL_MAE_MOV_AVG","CALC_INTERVAL","760D","TECH_STUDIES_PARAM1_OVERRIDE",200,"USE_PREVIOUS_BUSINESS_DAY","N")),"")</f>
        <v>3.107E-2</v>
      </c>
      <c r="BC101" s="13">
        <f t="shared" si="62"/>
        <v>8.6509528585756446E-3</v>
      </c>
      <c r="BD101" s="13">
        <f t="shared" si="63"/>
        <v>1.0392790982448386E-2</v>
      </c>
      <c r="BE101" s="13">
        <f t="shared" si="64"/>
        <v>3.5725780495655002E-2</v>
      </c>
      <c r="BF101" s="14" cm="1">
        <f t="array" ref="BF101">VALUE(_xll.BDP($B101,"INTERVAL_DATE_OF_CALC_HI","CALC_INTERVAL","3M"))</f>
        <v>46049</v>
      </c>
      <c r="BG101" s="14" cm="1">
        <f t="array" ref="BG101">VALUE(_xll.BDP($B101,"INTERVAL_DATE_OF_CALC_LO","CALC_INTERVAL","3M"))</f>
        <v>45980</v>
      </c>
      <c r="BH101" s="14" cm="1">
        <f t="array" ref="BH101">VALUE(_xll.BDP($B101,"INTERVAL_DATE_OF_CALC_HI","CALC_INTERVAL","1M"))</f>
        <v>46049</v>
      </c>
      <c r="BI101" s="14" cm="1">
        <f t="array" ref="BI101">VALUE(_xll.BDP($B101,"INTERVAL_DATE_OF_CALC_LO","CALC_INTERVAL","1M"))</f>
        <v>46058</v>
      </c>
      <c r="BJ101" s="15">
        <f>$F101-MIN(_xll.BDP("NYA Index","RSI_14D"),_xll.BDP("RSP US Equity","RSI_14D"))</f>
        <v>-8.2957641601562528</v>
      </c>
    </row>
    <row r="102" spans="1:62" x14ac:dyDescent="0.25">
      <c r="A102" s="11">
        <v>101</v>
      </c>
      <c r="B102" s="26" t="s">
        <v>702</v>
      </c>
      <c r="C102" s="1" t="s">
        <v>703</v>
      </c>
      <c r="D102" s="1" t="s">
        <v>593</v>
      </c>
      <c r="E102" s="11" t="s">
        <v>960</v>
      </c>
      <c r="F102">
        <f>IFERROR(VALUE((_xll.BDP($B102,"interval_rsi","tech_studies_param1_override",14))),"")</f>
        <v>37.682000000000002</v>
      </c>
      <c r="G102">
        <f t="shared" si="0"/>
        <v>52.525531939815814</v>
      </c>
      <c r="H102">
        <f t="shared" si="38"/>
        <v>0</v>
      </c>
      <c r="I102" cm="1">
        <f t="array" ref="I102">IFERROR(VALUE(_xll.BDP($B102,"px_last")),"")</f>
        <v>1.925E-2</v>
      </c>
      <c r="J102">
        <f t="shared" si="1"/>
        <v>6941.47</v>
      </c>
      <c r="K102" cm="1">
        <f t="array" ref="K102">IFERROR(VALUE(_xll.BDP($B102,"PX_YEST_CLOSE")),"")</f>
        <v>1.9290000000000002E-2</v>
      </c>
      <c r="L102">
        <f t="shared" si="2"/>
        <v>6941.81</v>
      </c>
      <c r="M102">
        <f t="shared" si="39"/>
        <v>2.7731878118035517E-6</v>
      </c>
      <c r="N102">
        <f t="shared" si="40"/>
        <v>2.7788141709438894E-6</v>
      </c>
      <c r="O102" cm="1">
        <f t="array" ref="O102">IFERROR(VALUE(_xll.BDP($B102,"INTERVAL_MAE_MOV_AVG","CALC_INTERVAL","520D","TECH_STUDIES_PARAM1_OVERRIDE",50,"USE_PREVIOUS_BUSINESS_DAY","N")),"")</f>
        <v>1.9730000000000001E-2</v>
      </c>
      <c r="P102">
        <f t="shared" si="3"/>
        <v>6894.0953999999992</v>
      </c>
      <c r="Q102" cm="1">
        <f t="array" ref="Q102">IFERROR(VALUE(_xll.BDP($B102,"INTERVAL_MAE_MOV_AVG","CALC_INTERVAL","520D","TECH_STUDIES_PARAM1_OVERRIDE",50,"USE_PREVIOUS_BUSINESS_DAY","Y")),"")</f>
        <v>1.975E-2</v>
      </c>
      <c r="R102">
        <f t="shared" si="4"/>
        <v>6892.2477999999992</v>
      </c>
      <c r="S102">
        <f t="shared" si="41"/>
        <v>2.8618693034041861E-6</v>
      </c>
      <c r="T102">
        <f t="shared" si="42"/>
        <v>2.8655382936173598E-6</v>
      </c>
      <c r="U102" s="11" t="str">
        <f t="shared" si="43"/>
        <v>NEGATIVE</v>
      </c>
      <c r="V102" s="11" t="str">
        <f t="shared" si="44"/>
        <v/>
      </c>
      <c r="W102" s="11" t="str">
        <f t="shared" si="45"/>
        <v>DOWN</v>
      </c>
      <c r="X102" s="6" t="str">
        <f t="shared" si="46"/>
        <v>NEGATIVE</v>
      </c>
      <c r="Y102" cm="1">
        <f t="array" ref="Y102">IFERROR(VALUE(_xll.BDP($B102,"INTERVAL_MAE_MOV_AVG","CALC_INTERVAL","520D","TECH_STUDIES_PARAM1_OVERRIDE",65,"USE_PREVIOUS_BUSINESS_DAY","N")),"")</f>
        <v>1.9869999999999999E-2</v>
      </c>
      <c r="Z102">
        <f t="shared" si="5"/>
        <v>6856.0226153846133</v>
      </c>
      <c r="AA102" cm="1">
        <f t="array" ref="AA102">IFERROR(VALUE(_xll.BDP($B102,"INTERVAL_MAE_MOV_AVG","CALC_INTERVAL","520D","TECH_STUDIES_PARAM1_OVERRIDE",65,"USE_PREVIOUS_BUSINESS_DAY","Y")),"")</f>
        <v>1.9890000000000001E-2</v>
      </c>
      <c r="AB102">
        <f t="shared" si="6"/>
        <v>6852.6203076923057</v>
      </c>
      <c r="AC102">
        <f t="shared" si="47"/>
        <v>2.8981818052076713E-6</v>
      </c>
      <c r="AD102">
        <f t="shared" si="48"/>
        <v>2.902539336328438E-6</v>
      </c>
      <c r="AE102" s="10" t="str">
        <f t="shared" si="49"/>
        <v>DOWN</v>
      </c>
      <c r="AF102" s="10" t="str">
        <f t="shared" si="50"/>
        <v>DOWN</v>
      </c>
      <c r="AG102" s="6" t="str">
        <f t="shared" si="51"/>
        <v>NEGATIVE</v>
      </c>
      <c r="AH102" cm="1">
        <f t="array" ref="AH102">IFERROR(VALUE(_xll.BDP($B102,"INTERVAL_MAE_MOV_AVG","CALC_INTERVAL","65W","PERIODICITY_OVERRIDE","W","TECH_STUDIES_PARAM1_OVERRIDE",39,"USE_PREVIOUS_BUSINESS_DAY","N")),"")</f>
        <v>2.0660000000000001E-2</v>
      </c>
      <c r="AI102">
        <f t="shared" si="7"/>
        <v>6560.7735897435905</v>
      </c>
      <c r="AJ102" cm="1">
        <f t="array" ref="AJ102">IFERROR(VALUE(_xll.BDP($B102,"INTERVAL_MAE_MOV_AVG","CALC_INTERVAL","65W","PERIODICITY_OVERRIDE","W","TECH_STUDIES_PARAM1_OVERRIDE",39,"USE_PREVIOUS_BUSINESS_DAY","Y")),"")</f>
        <v>2.0660000000000001E-2</v>
      </c>
      <c r="AK102">
        <f t="shared" si="8"/>
        <v>6560.7823076923087</v>
      </c>
      <c r="AL102">
        <f t="shared" si="52"/>
        <v>3.1490188950122632E-6</v>
      </c>
      <c r="AM102">
        <f t="shared" si="53"/>
        <v>3.1490147106049849E-6</v>
      </c>
      <c r="AN102" s="10" t="str">
        <f t="shared" si="54"/>
        <v/>
      </c>
      <c r="AO102" s="10" t="str">
        <f t="shared" si="55"/>
        <v>UP</v>
      </c>
      <c r="AP102" s="6" t="str">
        <f t="shared" si="56"/>
        <v>NEGATIVE</v>
      </c>
      <c r="AQ102" cm="1">
        <f t="array" ref="AQ102">IFERROR(VALUE(_xll.BDP($B102,"INTERVAL_exp_MOV_AVG","CALC_INTERVAL","520D","TECH_STUDIES_PARAM1_OVERRIDE",100,"USE_PREVIOUS_BUSINESS_DAY","N")),"")</f>
        <v>2.0109999999999999E-2</v>
      </c>
      <c r="AR102">
        <f t="shared" si="9"/>
        <v>6773.0064518682802</v>
      </c>
      <c r="AS102" cm="1">
        <f t="array" ref="AS102">IFERROR(VALUE(_xll.BDP($B102,"INTERVAL_exp_MOV_AVG","CALC_INTERVAL","520D","TECH_STUDIES_PARAM1_OVERRIDE",100,"USE_PREVIOUS_BUSINESS_DAY","Y")),"")</f>
        <v>2.0129999999999999E-2</v>
      </c>
      <c r="AT102">
        <f t="shared" si="10"/>
        <v>6769.6039787132295</v>
      </c>
      <c r="AU102">
        <f t="shared" si="57"/>
        <v>2.9691393538319774E-6</v>
      </c>
      <c r="AV102">
        <f t="shared" si="58"/>
        <v>2.9735860566287251E-6</v>
      </c>
      <c r="AW102" s="11" t="str">
        <f t="shared" si="59"/>
        <v>DOWN</v>
      </c>
      <c r="AX102" s="11" t="str">
        <f t="shared" si="60"/>
        <v>DOWN</v>
      </c>
      <c r="AY102" s="6" t="str">
        <f t="shared" si="61"/>
        <v>NEGATIVE</v>
      </c>
      <c r="AZ102" s="12" cm="1">
        <f t="array" ref="AZ102">_xll.BDP($B102, "INTERVAL_RSI", "TECH_STUDIES_PARAM1_OVERRIDE", "5", "PERIODICITY_OVERRIDE", "W")</f>
        <v>11.755000000000001</v>
      </c>
      <c r="BA102" cm="1">
        <f t="array" ref="BA102">IFERROR(VALUE(_xll.BDP($B102,"INTERVAL_MAE_MOV_AVG","CALC_INTERVAL","520D","TECH_STUDIES_PARAM1_OVERRIDE",31,"USE_PREVIOUS_BUSINESS_DAY","N")),"")</f>
        <v>1.9609999999999999E-2</v>
      </c>
      <c r="BB102" cm="1">
        <f t="array" ref="BB102">IFERROR(VALUE(_xll.BDP($B102,"INTERVAL_MAE_MOV_AVG","CALC_INTERVAL","760D","TECH_STUDIES_PARAM1_OVERRIDE",200,"USE_PREVIOUS_BUSINESS_DAY","N")),"")</f>
        <v>2.0799999999999999E-2</v>
      </c>
      <c r="BC102" s="13">
        <f t="shared" si="62"/>
        <v>-1.8357980622131564E-2</v>
      </c>
      <c r="BD102" s="13">
        <f t="shared" si="63"/>
        <v>-2.4328433857070508E-2</v>
      </c>
      <c r="BE102" s="13">
        <f t="shared" si="64"/>
        <v>-7.4519230769230727E-2</v>
      </c>
      <c r="BF102" s="14" cm="1">
        <f t="array" ref="BF102">VALUE(_xll.BDP($B102,"INTERVAL_DATE_OF_CALC_HI","CALC_INTERVAL","3M"))</f>
        <v>45980</v>
      </c>
      <c r="BG102" s="14" cm="1">
        <f t="array" ref="BG102">VALUE(_xll.BDP($B102,"INTERVAL_DATE_OF_CALC_LO","CALC_INTERVAL","3M"))</f>
        <v>46049</v>
      </c>
      <c r="BH102" s="14" cm="1">
        <f t="array" ref="BH102">VALUE(_xll.BDP($B102,"INTERVAL_DATE_OF_CALC_HI","CALC_INTERVAL","1M"))</f>
        <v>46038</v>
      </c>
      <c r="BI102" s="14" cm="1">
        <f t="array" ref="BI102">VALUE(_xll.BDP($B102,"INTERVAL_DATE_OF_CALC_LO","CALC_INTERVAL","1M"))</f>
        <v>46049</v>
      </c>
      <c r="BJ102" s="15">
        <f>$F102-MIN(_xll.BDP("NYA Index","RSI_14D"),_xll.BDP("RSP US Equity","RSI_14D"))</f>
        <v>-28.663764160156248</v>
      </c>
    </row>
    <row r="103" spans="1:62" x14ac:dyDescent="0.25">
      <c r="A103" s="11">
        <v>102</v>
      </c>
      <c r="B103" s="26" t="s">
        <v>704</v>
      </c>
      <c r="C103" s="1" t="s">
        <v>705</v>
      </c>
      <c r="D103" s="1" t="s">
        <v>593</v>
      </c>
      <c r="E103" s="11" t="s">
        <v>959</v>
      </c>
      <c r="F103">
        <f>IFERROR(VALUE((_xll.BDP($B103,"interval_rsi","tech_studies_param1_override",14))),"")</f>
        <v>12.837</v>
      </c>
      <c r="G103">
        <f t="shared" si="0"/>
        <v>52.525531939815814</v>
      </c>
      <c r="H103">
        <f t="shared" si="38"/>
        <v>0</v>
      </c>
      <c r="I103" cm="1">
        <f t="array" ref="I103">IFERROR(VALUE(_xll.BDP($B103,"px_last")),"")</f>
        <v>2.291E-2</v>
      </c>
      <c r="J103">
        <f t="shared" si="1"/>
        <v>6941.47</v>
      </c>
      <c r="K103" cm="1">
        <f t="array" ref="K103">IFERROR(VALUE(_xll.BDP($B103,"PX_YEST_CLOSE")),"")</f>
        <v>2.291E-2</v>
      </c>
      <c r="L103">
        <f t="shared" si="2"/>
        <v>6941.81</v>
      </c>
      <c r="M103">
        <f t="shared" si="39"/>
        <v>3.3004536503074994E-6</v>
      </c>
      <c r="N103">
        <f t="shared" si="40"/>
        <v>3.3002919987726541E-6</v>
      </c>
      <c r="O103" cm="1">
        <f t="array" ref="O103">IFERROR(VALUE(_xll.BDP($B103,"INTERVAL_MAE_MOV_AVG","CALC_INTERVAL","520D","TECH_STUDIES_PARAM1_OVERRIDE",50,"USE_PREVIOUS_BUSINESS_DAY","N")),"")</f>
        <v>2.3210000000000001E-2</v>
      </c>
      <c r="P103">
        <f t="shared" si="3"/>
        <v>6894.0953999999992</v>
      </c>
      <c r="Q103" cm="1">
        <f t="array" ref="Q103">IFERROR(VALUE(_xll.BDP($B103,"INTERVAL_MAE_MOV_AVG","CALC_INTERVAL","520D","TECH_STUDIES_PARAM1_OVERRIDE",50,"USE_PREVIOUS_BUSINESS_DAY","Y")),"")</f>
        <v>2.3230000000000001E-2</v>
      </c>
      <c r="R103">
        <f t="shared" si="4"/>
        <v>6892.2477999999992</v>
      </c>
      <c r="S103">
        <f t="shared" si="41"/>
        <v>3.3666490893061916E-6</v>
      </c>
      <c r="T103">
        <f t="shared" si="42"/>
        <v>3.3704533954800642E-6</v>
      </c>
      <c r="U103" s="11" t="str">
        <f t="shared" si="43"/>
        <v>NEGATIVE</v>
      </c>
      <c r="V103" s="11" t="str">
        <f t="shared" si="44"/>
        <v/>
      </c>
      <c r="W103" s="11" t="str">
        <f t="shared" si="45"/>
        <v>DOWN</v>
      </c>
      <c r="X103" s="6" t="str">
        <f t="shared" si="46"/>
        <v>NEGATIVE</v>
      </c>
      <c r="Y103" cm="1">
        <f t="array" ref="Y103">IFERROR(VALUE(_xll.BDP($B103,"INTERVAL_MAE_MOV_AVG","CALC_INTERVAL","520D","TECH_STUDIES_PARAM1_OVERRIDE",65,"USE_PREVIOUS_BUSINESS_DAY","N")),"")</f>
        <v>2.3300000000000001E-2</v>
      </c>
      <c r="Z103">
        <f t="shared" si="5"/>
        <v>6856.0226153846133</v>
      </c>
      <c r="AA103" cm="1">
        <f t="array" ref="AA103">IFERROR(VALUE(_xll.BDP($B103,"INTERVAL_MAE_MOV_AVG","CALC_INTERVAL","520D","TECH_STUDIES_PARAM1_OVERRIDE",65,"USE_PREVIOUS_BUSINESS_DAY","Y")),"")</f>
        <v>2.3310000000000001E-2</v>
      </c>
      <c r="AB103">
        <f t="shared" si="6"/>
        <v>6852.6203076923057</v>
      </c>
      <c r="AC103">
        <f t="shared" si="47"/>
        <v>3.3984718702233897E-6</v>
      </c>
      <c r="AD103">
        <f t="shared" si="48"/>
        <v>3.4016184982310652E-6</v>
      </c>
      <c r="AE103" s="10" t="str">
        <f t="shared" si="49"/>
        <v>DOWN</v>
      </c>
      <c r="AF103" s="10" t="str">
        <f t="shared" si="50"/>
        <v>DOWN</v>
      </c>
      <c r="AG103" s="6" t="str">
        <f t="shared" si="51"/>
        <v>NEGATIVE</v>
      </c>
      <c r="AH103" cm="1">
        <f t="array" ref="AH103">IFERROR(VALUE(_xll.BDP($B103,"INTERVAL_MAE_MOV_AVG","CALC_INTERVAL","65W","PERIODICITY_OVERRIDE","W","TECH_STUDIES_PARAM1_OVERRIDE",39,"USE_PREVIOUS_BUSINESS_DAY","N")),"")</f>
        <v>2.409E-2</v>
      </c>
      <c r="AI103">
        <f t="shared" si="7"/>
        <v>6560.7735897435905</v>
      </c>
      <c r="AJ103" cm="1">
        <f t="array" ref="AJ103">IFERROR(VALUE(_xll.BDP($B103,"INTERVAL_MAE_MOV_AVG","CALC_INTERVAL","65W","PERIODICITY_OVERRIDE","W","TECH_STUDIES_PARAM1_OVERRIDE",39,"USE_PREVIOUS_BUSINESS_DAY","Y")),"")</f>
        <v>2.409E-2</v>
      </c>
      <c r="AK103">
        <f t="shared" si="8"/>
        <v>6560.7823076923087</v>
      </c>
      <c r="AL103">
        <f t="shared" si="52"/>
        <v>3.6718230968463418E-6</v>
      </c>
      <c r="AM103">
        <f t="shared" si="53"/>
        <v>3.6718182177383392E-6</v>
      </c>
      <c r="AN103" s="10" t="str">
        <f t="shared" si="54"/>
        <v/>
      </c>
      <c r="AO103" s="10" t="str">
        <f t="shared" si="55"/>
        <v>UP</v>
      </c>
      <c r="AP103" s="6" t="str">
        <f t="shared" si="56"/>
        <v>NEGATIVE</v>
      </c>
      <c r="AQ103" cm="1">
        <f t="array" ref="AQ103">IFERROR(VALUE(_xll.BDP($B103,"INTERVAL_exp_MOV_AVG","CALC_INTERVAL","520D","TECH_STUDIES_PARAM1_OVERRIDE",100,"USE_PREVIOUS_BUSINESS_DAY","N")),"")</f>
        <v>2.3550000000000001E-2</v>
      </c>
      <c r="AR103">
        <f t="shared" si="9"/>
        <v>6773.0064518682802</v>
      </c>
      <c r="AS103" cm="1">
        <f t="array" ref="AS103">IFERROR(VALUE(_xll.BDP($B103,"INTERVAL_exp_MOV_AVG","CALC_INTERVAL","520D","TECH_STUDIES_PARAM1_OVERRIDE",100,"USE_PREVIOUS_BUSINESS_DAY","Y")),"")</f>
        <v>2.3560000000000001E-2</v>
      </c>
      <c r="AT103">
        <f t="shared" si="10"/>
        <v>6769.6039787132295</v>
      </c>
      <c r="AU103">
        <f t="shared" si="57"/>
        <v>3.4770378807927933E-6</v>
      </c>
      <c r="AV103">
        <f t="shared" si="58"/>
        <v>3.4802626673707287E-6</v>
      </c>
      <c r="AW103" s="11" t="str">
        <f t="shared" si="59"/>
        <v>DOWN</v>
      </c>
      <c r="AX103" s="11" t="str">
        <f t="shared" si="60"/>
        <v>DOWN</v>
      </c>
      <c r="AY103" s="6" t="str">
        <f t="shared" si="61"/>
        <v>NEGATIVE</v>
      </c>
      <c r="AZ103" s="12" cm="1">
        <f t="array" ref="AZ103">_xll.BDP($B103, "INTERVAL_RSI", "TECH_STUDIES_PARAM1_OVERRIDE", "5", "PERIODICITY_OVERRIDE", "W")</f>
        <v>7.0000000000000001E-3</v>
      </c>
      <c r="BA103" cm="1">
        <f t="array" ref="BA103">IFERROR(VALUE(_xll.BDP($B103,"INTERVAL_MAE_MOV_AVG","CALC_INTERVAL","520D","TECH_STUDIES_PARAM1_OVERRIDE",31,"USE_PREVIOUS_BUSINESS_DAY","N")),"")</f>
        <v>2.3099999999999999E-2</v>
      </c>
      <c r="BB103" cm="1">
        <f t="array" ref="BB103">IFERROR(VALUE(_xll.BDP($B103,"INTERVAL_MAE_MOV_AVG","CALC_INTERVAL","760D","TECH_STUDIES_PARAM1_OVERRIDE",200,"USE_PREVIOUS_BUSINESS_DAY","N")),"")</f>
        <v>2.4209999999999999E-2</v>
      </c>
      <c r="BC103" s="13">
        <f t="shared" si="62"/>
        <v>-8.2251082251081353E-3</v>
      </c>
      <c r="BD103" s="13">
        <f t="shared" si="63"/>
        <v>-1.292546316243004E-2</v>
      </c>
      <c r="BE103" s="13">
        <f t="shared" si="64"/>
        <v>-5.3696819496075965E-2</v>
      </c>
      <c r="BF103" s="14" cm="1">
        <f t="array" ref="BF103">VALUE(_xll.BDP($B103,"INTERVAL_DATE_OF_CALC_HI","CALC_INTERVAL","3M"))</f>
        <v>45973</v>
      </c>
      <c r="BG103" s="14" cm="1">
        <f t="array" ref="BG103">VALUE(_xll.BDP($B103,"INTERVAL_DATE_OF_CALC_LO","CALC_INTERVAL","3M"))</f>
        <v>46064</v>
      </c>
      <c r="BH103" s="14" cm="1">
        <f t="array" ref="BH103">VALUE(_xll.BDP($B103,"INTERVAL_DATE_OF_CALC_HI","CALC_INTERVAL","1M"))</f>
        <v>46034</v>
      </c>
      <c r="BI103" s="14" cm="1">
        <f t="array" ref="BI103">VALUE(_xll.BDP($B103,"INTERVAL_DATE_OF_CALC_LO","CALC_INTERVAL","1M"))</f>
        <v>46064</v>
      </c>
      <c r="BJ103" s="15">
        <f>$F103-MIN(_xll.BDP("NYA Index","RSI_14D"),_xll.BDP("RSP US Equity","RSI_14D"))</f>
        <v>-53.508764160156247</v>
      </c>
    </row>
    <row r="104" spans="1:62" x14ac:dyDescent="0.25">
      <c r="A104" s="11">
        <v>103</v>
      </c>
      <c r="B104" s="26" t="s">
        <v>706</v>
      </c>
      <c r="C104" s="1" t="s">
        <v>707</v>
      </c>
      <c r="D104" s="1" t="s">
        <v>593</v>
      </c>
      <c r="E104" s="11" t="s">
        <v>959</v>
      </c>
      <c r="F104">
        <f>IFERROR(VALUE((_xll.BDP($B104,"interval_rsi","tech_studies_param1_override",14))),"")</f>
        <v>55.212000000000003</v>
      </c>
      <c r="G104">
        <f t="shared" si="0"/>
        <v>52.525531939815814</v>
      </c>
      <c r="H104">
        <f t="shared" si="38"/>
        <v>0</v>
      </c>
      <c r="I104" cm="1">
        <f t="array" ref="I104">IFERROR(VALUE(_xll.BDP($B104,"px_last")),"")</f>
        <v>3.1814000000000002E-2</v>
      </c>
      <c r="J104">
        <f t="shared" si="1"/>
        <v>6941.47</v>
      </c>
      <c r="K104" cm="1">
        <f t="array" ref="K104">IFERROR(VALUE(_xll.BDP($B104,"PX_YEST_CLOSE")),"")</f>
        <v>3.1814000000000002E-2</v>
      </c>
      <c r="L104">
        <f t="shared" si="2"/>
        <v>6941.81</v>
      </c>
      <c r="M104">
        <f t="shared" si="39"/>
        <v>4.5831790672580884E-6</v>
      </c>
      <c r="N104">
        <f t="shared" si="40"/>
        <v>4.5829545896531305E-6</v>
      </c>
      <c r="O104" cm="1">
        <f t="array" ref="O104">IFERROR(VALUE(_xll.BDP($B104,"INTERVAL_MAE_MOV_AVG","CALC_INTERVAL","520D","TECH_STUDIES_PARAM1_OVERRIDE",50,"USE_PREVIOUS_BUSINESS_DAY","N")),"")</f>
        <v>3.1772000000000002E-2</v>
      </c>
      <c r="P104">
        <f t="shared" si="3"/>
        <v>6894.0953999999992</v>
      </c>
      <c r="Q104" cm="1">
        <f t="array" ref="Q104">IFERROR(VALUE(_xll.BDP($B104,"INTERVAL_MAE_MOV_AVG","CALC_INTERVAL","520D","TECH_STUDIES_PARAM1_OVERRIDE",50,"USE_PREVIOUS_BUSINESS_DAY","Y")),"")</f>
        <v>3.1773999999999997E-2</v>
      </c>
      <c r="R104">
        <f t="shared" si="4"/>
        <v>6892.2477999999992</v>
      </c>
      <c r="S104">
        <f t="shared" si="41"/>
        <v>4.6085814246202634E-6</v>
      </c>
      <c r="T104">
        <f t="shared" si="42"/>
        <v>4.6101070248809102E-6</v>
      </c>
      <c r="U104" s="11" t="str">
        <f t="shared" si="43"/>
        <v>NEGATIVE</v>
      </c>
      <c r="V104" s="11" t="str">
        <f t="shared" si="44"/>
        <v/>
      </c>
      <c r="W104" s="11" t="str">
        <f t="shared" si="45"/>
        <v>DOWN</v>
      </c>
      <c r="X104" s="6" t="str">
        <f t="shared" si="46"/>
        <v>NEGATIVE</v>
      </c>
      <c r="Y104" cm="1">
        <f t="array" ref="Y104">IFERROR(VALUE(_xll.BDP($B104,"INTERVAL_MAE_MOV_AVG","CALC_INTERVAL","520D","TECH_STUDIES_PARAM1_OVERRIDE",65,"USE_PREVIOUS_BUSINESS_DAY","N")),"")</f>
        <v>3.1810999999999999E-2</v>
      </c>
      <c r="Z104">
        <f t="shared" si="5"/>
        <v>6856.0226153846133</v>
      </c>
      <c r="AA104" cm="1">
        <f t="array" ref="AA104">IFERROR(VALUE(_xll.BDP($B104,"INTERVAL_MAE_MOV_AVG","CALC_INTERVAL","520D","TECH_STUDIES_PARAM1_OVERRIDE",65,"USE_PREVIOUS_BUSINESS_DAY","Y")),"")</f>
        <v>3.1816999999999998E-2</v>
      </c>
      <c r="AB104">
        <f t="shared" si="6"/>
        <v>6852.6203076923057</v>
      </c>
      <c r="AC104">
        <f t="shared" si="47"/>
        <v>4.639862174406705E-6</v>
      </c>
      <c r="AD104">
        <f t="shared" si="48"/>
        <v>4.6430414310689742E-6</v>
      </c>
      <c r="AE104" s="10" t="str">
        <f t="shared" si="49"/>
        <v>DOWN</v>
      </c>
      <c r="AF104" s="10" t="str">
        <f t="shared" si="50"/>
        <v>DOWN</v>
      </c>
      <c r="AG104" s="6" t="str">
        <f t="shared" si="51"/>
        <v>NEGATIVE</v>
      </c>
      <c r="AH104" cm="1">
        <f t="array" ref="AH104">IFERROR(VALUE(_xll.BDP($B104,"INTERVAL_MAE_MOV_AVG","CALC_INTERVAL","65W","PERIODICITY_OVERRIDE","W","TECH_STUDIES_PARAM1_OVERRIDE",39,"USE_PREVIOUS_BUSINESS_DAY","N")),"")</f>
        <v>3.2751000000000002E-2</v>
      </c>
      <c r="AI104">
        <f t="shared" si="7"/>
        <v>6560.7735897435905</v>
      </c>
      <c r="AJ104" cm="1">
        <f t="array" ref="AJ104">IFERROR(VALUE(_xll.BDP($B104,"INTERVAL_MAE_MOV_AVG","CALC_INTERVAL","65W","PERIODICITY_OVERRIDE","W","TECH_STUDIES_PARAM1_OVERRIDE",39,"USE_PREVIOUS_BUSINESS_DAY","Y")),"")</f>
        <v>3.2747999999999999E-2</v>
      </c>
      <c r="AK104">
        <f t="shared" si="8"/>
        <v>6560.7823076923087</v>
      </c>
      <c r="AL104">
        <f t="shared" si="52"/>
        <v>4.9919418117399144E-6</v>
      </c>
      <c r="AM104">
        <f t="shared" si="53"/>
        <v>4.9914779159192662E-6</v>
      </c>
      <c r="AN104" s="10" t="str">
        <f t="shared" si="54"/>
        <v>UP</v>
      </c>
      <c r="AO104" s="10" t="str">
        <f t="shared" si="55"/>
        <v>UP</v>
      </c>
      <c r="AP104" s="6" t="str">
        <f t="shared" si="56"/>
        <v>NEGATIVE</v>
      </c>
      <c r="AQ104" cm="1">
        <f t="array" ref="AQ104">IFERROR(VALUE(_xll.BDP($B104,"INTERVAL_exp_MOV_AVG","CALC_INTERVAL","520D","TECH_STUDIES_PARAM1_OVERRIDE",100,"USE_PREVIOUS_BUSINESS_DAY","N")),"")</f>
        <v>3.2046999999999999E-2</v>
      </c>
      <c r="AR104">
        <f t="shared" si="9"/>
        <v>6773.0064518682802</v>
      </c>
      <c r="AS104" cm="1">
        <f t="array" ref="AS104">IFERROR(VALUE(_xll.BDP($B104,"INTERVAL_exp_MOV_AVG","CALC_INTERVAL","520D","TECH_STUDIES_PARAM1_OVERRIDE",100,"USE_PREVIOUS_BUSINESS_DAY","Y")),"")</f>
        <v>3.2051000000000003E-2</v>
      </c>
      <c r="AT104">
        <f t="shared" si="10"/>
        <v>6769.6039787132295</v>
      </c>
      <c r="AU104">
        <f t="shared" si="57"/>
        <v>4.7315767713701333E-6</v>
      </c>
      <c r="AV104">
        <f t="shared" si="58"/>
        <v>4.7345457874320557E-6</v>
      </c>
      <c r="AW104" s="11" t="str">
        <f t="shared" si="59"/>
        <v>DOWN</v>
      </c>
      <c r="AX104" s="11" t="str">
        <f t="shared" si="60"/>
        <v>DOWN</v>
      </c>
      <c r="AY104" s="6" t="str">
        <f t="shared" si="61"/>
        <v>NEGATIVE</v>
      </c>
      <c r="AZ104" s="12" cm="1">
        <f t="array" ref="AZ104">_xll.BDP($B104, "INTERVAL_RSI", "TECH_STUDIES_PARAM1_OVERRIDE", "5", "PERIODICITY_OVERRIDE", "W")</f>
        <v>52.570999999999998</v>
      </c>
      <c r="BA104" cm="1">
        <f t="array" ref="BA104">IFERROR(VALUE(_xll.BDP($B104,"INTERVAL_MAE_MOV_AVG","CALC_INTERVAL","520D","TECH_STUDIES_PARAM1_OVERRIDE",31,"USE_PREVIOUS_BUSINESS_DAY","N")),"")</f>
        <v>3.1712999999999998E-2</v>
      </c>
      <c r="BB104" cm="1">
        <f t="array" ref="BB104">IFERROR(VALUE(_xll.BDP($B104,"INTERVAL_MAE_MOV_AVG","CALC_INTERVAL","760D","TECH_STUDIES_PARAM1_OVERRIDE",200,"USE_PREVIOUS_BUSINESS_DAY","N")),"")</f>
        <v>3.2779000000000003E-2</v>
      </c>
      <c r="BC104" s="13">
        <f t="shared" si="62"/>
        <v>3.1848137987577907E-3</v>
      </c>
      <c r="BD104" s="13">
        <f t="shared" si="63"/>
        <v>1.3219186705275554E-3</v>
      </c>
      <c r="BE104" s="13">
        <f t="shared" si="64"/>
        <v>-2.9439580219042694E-2</v>
      </c>
      <c r="BF104" s="14" cm="1">
        <f t="array" ref="BF104">VALUE(_xll.BDP($B104,"INTERVAL_DATE_OF_CALC_HI","CALC_INTERVAL","3M"))</f>
        <v>45972</v>
      </c>
      <c r="BG104" s="14" cm="1">
        <f t="array" ref="BG104">VALUE(_xll.BDP($B104,"INTERVAL_DATE_OF_CALC_LO","CALC_INTERVAL","3M"))</f>
        <v>46059</v>
      </c>
      <c r="BH104" s="14" cm="1">
        <f t="array" ref="BH104">VALUE(_xll.BDP($B104,"INTERVAL_DATE_OF_CALC_HI","CALC_INTERVAL","1M"))</f>
        <v>46050</v>
      </c>
      <c r="BI104" s="14" cm="1">
        <f t="array" ref="BI104">VALUE(_xll.BDP($B104,"INTERVAL_DATE_OF_CALC_LO","CALC_INTERVAL","1M"))</f>
        <v>46059</v>
      </c>
      <c r="BJ104" s="15">
        <f>$F104-MIN(_xll.BDP("NYA Index","RSI_14D"),_xll.BDP("RSP US Equity","RSI_14D"))</f>
        <v>-11.133764160156247</v>
      </c>
    </row>
    <row r="105" spans="1:62" x14ac:dyDescent="0.25">
      <c r="A105" s="11">
        <v>104</v>
      </c>
      <c r="B105" s="26" t="s">
        <v>708</v>
      </c>
      <c r="C105" s="1" t="s">
        <v>709</v>
      </c>
      <c r="D105" s="1" t="s">
        <v>593</v>
      </c>
      <c r="E105" s="11" t="s">
        <v>959</v>
      </c>
      <c r="F105">
        <f>IFERROR(VALUE((_xll.BDP($B105,"interval_rsi","tech_studies_param1_override",14))),"")</f>
        <v>30.978999999999999</v>
      </c>
      <c r="G105">
        <f t="shared" si="0"/>
        <v>52.525531939815814</v>
      </c>
      <c r="H105">
        <f t="shared" ref="H105:H169" si="65">IF(AND(F105-G105&gt;10,G105&lt;65),1,0)</f>
        <v>0</v>
      </c>
      <c r="I105" cm="1">
        <f t="array" ref="I105">IFERROR(VALUE(_xll.BDP($B105,"px_last")),"")</f>
        <v>67235.66</v>
      </c>
      <c r="J105">
        <f t="shared" si="1"/>
        <v>6941.47</v>
      </c>
      <c r="K105" cm="1">
        <f t="array" ref="K105">IFERROR(VALUE(_xll.BDP($B105,"PX_YEST_CLOSE")),"")</f>
        <v>67757.23</v>
      </c>
      <c r="L105">
        <f t="shared" si="2"/>
        <v>6941.81</v>
      </c>
      <c r="M105">
        <f t="shared" ref="M105:M169" si="66">I105/J105</f>
        <v>9.686083783406108</v>
      </c>
      <c r="N105">
        <f t="shared" ref="N105:N169" si="67">K105/L105</f>
        <v>9.7607439558270812</v>
      </c>
      <c r="O105" cm="1">
        <f t="array" ref="O105">IFERROR(VALUE(_xll.BDP($B105,"INTERVAL_MAE_MOV_AVG","CALC_INTERVAL","520D","TECH_STUDIES_PARAM1_OVERRIDE",50,"USE_PREVIOUS_BUSINESS_DAY","N")),"")</f>
        <v>85796.74</v>
      </c>
      <c r="P105">
        <f t="shared" si="3"/>
        <v>6894.0953999999992</v>
      </c>
      <c r="Q105" cm="1">
        <f t="array" ref="Q105">IFERROR(VALUE(_xll.BDP($B105,"INTERVAL_MAE_MOV_AVG","CALC_INTERVAL","520D","TECH_STUDIES_PARAM1_OVERRIDE",50,"USE_PREVIOUS_BUSINESS_DAY","Y")),"")</f>
        <v>86194.83</v>
      </c>
      <c r="R105">
        <f t="shared" si="4"/>
        <v>6892.2477999999992</v>
      </c>
      <c r="S105">
        <f t="shared" ref="S105:S169" si="68">O105/P105</f>
        <v>12.444959783991386</v>
      </c>
      <c r="T105">
        <f t="shared" ref="T105:T169" si="69">Q105/R105</f>
        <v>12.506054991232325</v>
      </c>
      <c r="U105" s="11" t="str">
        <f t="shared" ref="U105:U169" si="70">IF(H105=1,"POSITIVE","NEGATIVE")</f>
        <v>NEGATIVE</v>
      </c>
      <c r="V105" s="11" t="str">
        <f t="shared" ref="V105:V169" si="71">IF(AND(K105&lt;Q105,I105&gt;O105),"UP","")</f>
        <v/>
      </c>
      <c r="W105" s="11" t="str">
        <f t="shared" ref="W105:W169" si="72">IF(S105&gt;T105,"UP",IF(S105&lt;T105,"DOWN",""))</f>
        <v>DOWN</v>
      </c>
      <c r="X105" s="6" t="str">
        <f t="shared" ref="X105:X169" si="73">IF(AND(N105&lt;T105,M105&gt;S105),"BUY",IF(AND(N105&gt;T105,M105&lt;S105),"SELL",IF(M105&gt;S105,"POSITIVE","NEGATIVE")))</f>
        <v>NEGATIVE</v>
      </c>
      <c r="Y105" cm="1">
        <f t="array" ref="Y105">IFERROR(VALUE(_xll.BDP($B105,"INTERVAL_MAE_MOV_AVG","CALC_INTERVAL","520D","TECH_STUDIES_PARAM1_OVERRIDE",65,"USE_PREVIOUS_BUSINESS_DAY","N")),"")</f>
        <v>86494.03</v>
      </c>
      <c r="Z105">
        <f t="shared" si="5"/>
        <v>6856.0226153846133</v>
      </c>
      <c r="AA105" cm="1">
        <f t="array" ref="AA105">IFERROR(VALUE(_xll.BDP($B105,"INTERVAL_MAE_MOV_AVG","CALC_INTERVAL","520D","TECH_STUDIES_PARAM1_OVERRIDE",65,"USE_PREVIOUS_BUSINESS_DAY","Y")),"")</f>
        <v>86856.72</v>
      </c>
      <c r="AB105">
        <f t="shared" si="6"/>
        <v>6852.6203076923057</v>
      </c>
      <c r="AC105">
        <f t="shared" ref="AC105:AC169" si="74">Y105/Z105</f>
        <v>12.615773729496048</v>
      </c>
      <c r="AD105">
        <f t="shared" ref="AD105:AD169" si="75">AA105/AB105</f>
        <v>12.674964626669933</v>
      </c>
      <c r="AE105" s="10" t="str">
        <f t="shared" ref="AE105:AE169" si="76">IF(Y105&gt;AA105,"UP",IF(Y105&lt;AA105,"DOWN",""))</f>
        <v>DOWN</v>
      </c>
      <c r="AF105" s="10" t="str">
        <f t="shared" ref="AF105:AF169" si="77">IF(AC105&gt;AD105,"UP",IF(AC105&lt;AD105,"DOWN",""))</f>
        <v>DOWN</v>
      </c>
      <c r="AG105" s="6" t="str">
        <f t="shared" ref="AG105:AG169" si="78">IF(AND(N105&lt;AD105,M105&gt;AC105),"BUY",IF(AND(N105&gt;AD105,M105&lt;AC105),"SELL",IF(M105&gt;AC105,"POSITIVE","NEGATIVE")))</f>
        <v>NEGATIVE</v>
      </c>
      <c r="AH105" cm="1">
        <f t="array" ref="AH105">IFERROR(VALUE(_xll.BDP($B105,"INTERVAL_MAE_MOV_AVG","CALC_INTERVAL","65W","PERIODICITY_OVERRIDE","W","TECH_STUDIES_PARAM1_OVERRIDE",39,"USE_PREVIOUS_BUSINESS_DAY","N")),"")</f>
        <v>102597.7</v>
      </c>
      <c r="AI105">
        <f t="shared" si="7"/>
        <v>6560.7735897435905</v>
      </c>
      <c r="AJ105" cm="1">
        <f t="array" ref="AJ105">IFERROR(VALUE(_xll.BDP($B105,"INTERVAL_MAE_MOV_AVG","CALC_INTERVAL","65W","PERIODICITY_OVERRIDE","W","TECH_STUDIES_PARAM1_OVERRIDE",39,"USE_PREVIOUS_BUSINESS_DAY","Y")),"")</f>
        <v>102619.7</v>
      </c>
      <c r="AK105">
        <f t="shared" si="8"/>
        <v>6560.7823076923087</v>
      </c>
      <c r="AL105">
        <f t="shared" ref="AL105:AL169" si="79">AH105/AI105</f>
        <v>15.638049171577912</v>
      </c>
      <c r="AM105">
        <f t="shared" ref="AM105:AM169" si="80">AJ105/AK105</f>
        <v>15.641381650429349</v>
      </c>
      <c r="AN105" s="10" t="str">
        <f t="shared" ref="AN105:AN169" si="81">IF(AH105&gt;AJ105,"UP",IF(AH105&lt;AJ105,"DOWN",""))</f>
        <v>DOWN</v>
      </c>
      <c r="AO105" s="10" t="str">
        <f t="shared" ref="AO105:AO169" si="82">IF(AL105&gt;AM105,"UP",IF(AL105&lt;AM105,"DOWN",""))</f>
        <v>DOWN</v>
      </c>
      <c r="AP105" s="6" t="str">
        <f t="shared" ref="AP105:AP169" si="83">IF(AND(N105&lt;AM105,M105&gt;AL105),"BUY",IF(AND(N105&gt;AM105,M105&lt;AL105),"SELL",IF(M105&gt;AL105,"POSITIVE","NEGATIVE")))</f>
        <v>NEGATIVE</v>
      </c>
      <c r="AQ105" cm="1">
        <f t="array" ref="AQ105">IFERROR(VALUE(_xll.BDP($B105,"INTERVAL_exp_MOV_AVG","CALC_INTERVAL","520D","TECH_STUDIES_PARAM1_OVERRIDE",100,"USE_PREVIOUS_BUSINESS_DAY","N")),"")</f>
        <v>89453.31</v>
      </c>
      <c r="AR105">
        <f t="shared" si="9"/>
        <v>6773.0064518682802</v>
      </c>
      <c r="AS105" cm="1">
        <f t="array" ref="AS105">IFERROR(VALUE(_xll.BDP($B105,"INTERVAL_exp_MOV_AVG","CALC_INTERVAL","520D","TECH_STUDIES_PARAM1_OVERRIDE",100,"USE_PREVIOUS_BUSINESS_DAY","Y")),"")</f>
        <v>89891.6</v>
      </c>
      <c r="AT105">
        <f t="shared" si="10"/>
        <v>6769.6039787132295</v>
      </c>
      <c r="AU105">
        <f t="shared" ref="AU105:AU169" si="84">AQ105/AR105</f>
        <v>13.207326854874767</v>
      </c>
      <c r="AV105">
        <f t="shared" ref="AV105:AV169" si="85">AS105/AT105</f>
        <v>13.278708811129992</v>
      </c>
      <c r="AW105" s="11" t="str">
        <f t="shared" ref="AW105:AW169" si="86">IF(AQ105&gt;AS105,"UP",IF(AQ105&lt;AS105,"DOWN",""))</f>
        <v>DOWN</v>
      </c>
      <c r="AX105" s="11" t="str">
        <f t="shared" ref="AX105:AX169" si="87">IF(AU105&gt;AV105,"UP",IF(AU105&lt;AV105,"DOWN",""))</f>
        <v>DOWN</v>
      </c>
      <c r="AY105" s="6" t="str">
        <f t="shared" ref="AY105:AY169" si="88">IF(AND(N105&lt;AV105,M105&gt;AU105),"BUY",IF(AND(N105&gt;AV105,M105&lt;AU105),"SELL",IF(M105&gt;AU105,"POSITIVE","NEGATIVE")))</f>
        <v>NEGATIVE</v>
      </c>
      <c r="AZ105" s="12" cm="1">
        <f t="array" ref="AZ105">_xll.BDP($B105, "INTERVAL_RSI", "TECH_STUDIES_PARAM1_OVERRIDE", "5", "PERIODICITY_OVERRIDE", "W")</f>
        <v>14.561999999999999</v>
      </c>
      <c r="BA105" cm="1">
        <f t="array" ref="BA105">IFERROR(VALUE(_xll.BDP($B105,"INTERVAL_MAE_MOV_AVG","CALC_INTERVAL","520D","TECH_STUDIES_PARAM1_OVERRIDE",31,"USE_PREVIOUS_BUSINESS_DAY","N")),"")</f>
        <v>83476.77</v>
      </c>
      <c r="BB105" cm="1">
        <f t="array" ref="BB105">IFERROR(VALUE(_xll.BDP($B105,"INTERVAL_MAE_MOV_AVG","CALC_INTERVAL","760D","TECH_STUDIES_PARAM1_OVERRIDE",200,"USE_PREVIOUS_BUSINESS_DAY","N")),"")</f>
        <v>101557.6</v>
      </c>
      <c r="BC105" s="13">
        <f t="shared" ref="BC105:BC169" si="89">-1+(I105/BA105)</f>
        <v>-0.1945584382337745</v>
      </c>
      <c r="BD105" s="13">
        <f t="shared" ref="BD105:BD169" si="90">-1+(I105/O105)</f>
        <v>-0.21633782355833098</v>
      </c>
      <c r="BE105" s="13">
        <f t="shared" ref="BE105:BE169" si="91">-1+(I105/BB105)</f>
        <v>-0.33795540658700085</v>
      </c>
      <c r="BF105" s="14" cm="1">
        <f t="array" ref="BF105">VALUE(_xll.BDP($B105,"INTERVAL_DATE_OF_CALC_HI","CALC_INTERVAL","3M"))</f>
        <v>45972</v>
      </c>
      <c r="BG105" s="14" cm="1">
        <f t="array" ref="BG105">VALUE(_xll.BDP($B105,"INTERVAL_DATE_OF_CALC_LO","CALC_INTERVAL","3M"))</f>
        <v>46058</v>
      </c>
      <c r="BH105" s="14" cm="1">
        <f t="array" ref="BH105">VALUE(_xll.BDP($B105,"INTERVAL_DATE_OF_CALC_HI","CALC_INTERVAL","1M"))</f>
        <v>46036</v>
      </c>
      <c r="BI105" s="14" cm="1">
        <f t="array" ref="BI105">VALUE(_xll.BDP($B105,"INTERVAL_DATE_OF_CALC_LO","CALC_INTERVAL","1M"))</f>
        <v>46058</v>
      </c>
      <c r="BJ105" s="15">
        <f>$F105-MIN(_xll.BDP("NYA Index","RSI_14D"),_xll.BDP("RSP US Equity","RSI_14D"))</f>
        <v>-35.366764160156251</v>
      </c>
    </row>
    <row r="106" spans="1:62" x14ac:dyDescent="0.25">
      <c r="A106" s="11">
        <v>105</v>
      </c>
      <c r="B106" s="26" t="s">
        <v>710</v>
      </c>
      <c r="C106" s="1" t="s">
        <v>711</v>
      </c>
      <c r="D106" s="1" t="s">
        <v>593</v>
      </c>
      <c r="E106" s="11" t="s">
        <v>960</v>
      </c>
      <c r="F106">
        <f>IFERROR(VALUE((_xll.BDP($B106,"interval_rsi","tech_studies_param1_override",14))),"")</f>
        <v>58.7</v>
      </c>
      <c r="G106">
        <f t="shared" si="0"/>
        <v>52.525531939815814</v>
      </c>
      <c r="H106">
        <f t="shared" si="65"/>
        <v>0</v>
      </c>
      <c r="I106" cm="1">
        <f t="array" ref="I106">IFERROR(VALUE(_xll.BDP($B106,"px_last")),"")</f>
        <v>5.3100000000000001E-2</v>
      </c>
      <c r="J106">
        <f t="shared" si="1"/>
        <v>6941.47</v>
      </c>
      <c r="K106" cm="1">
        <f t="array" ref="K106">IFERROR(VALUE(_xll.BDP($B106,"PX_YEST_CLOSE")),"")</f>
        <v>5.3100000000000001E-2</v>
      </c>
      <c r="L106">
        <f t="shared" si="2"/>
        <v>6941.81</v>
      </c>
      <c r="M106">
        <f t="shared" si="66"/>
        <v>7.6496765094425248E-6</v>
      </c>
      <c r="N106">
        <f t="shared" si="67"/>
        <v>7.6493018391456975E-6</v>
      </c>
      <c r="O106" cm="1">
        <f t="array" ref="O106">IFERROR(VALUE(_xll.BDP($B106,"INTERVAL_MAE_MOV_AVG","CALC_INTERVAL","520D","TECH_STUDIES_PARAM1_OVERRIDE",50,"USE_PREVIOUS_BUSINESS_DAY","N")),"")</f>
        <v>5.1799999999999999E-2</v>
      </c>
      <c r="P106">
        <f t="shared" si="3"/>
        <v>6894.0953999999992</v>
      </c>
      <c r="Q106" cm="1">
        <f t="array" ref="Q106">IFERROR(VALUE(_xll.BDP($B106,"INTERVAL_MAE_MOV_AVG","CALC_INTERVAL","520D","TECH_STUDIES_PARAM1_OVERRIDE",50,"USE_PREVIOUS_BUSINESS_DAY","Y")),"")</f>
        <v>5.1700000000000003E-2</v>
      </c>
      <c r="R106">
        <f t="shared" si="4"/>
        <v>6892.2477999999992</v>
      </c>
      <c r="S106">
        <f t="shared" si="68"/>
        <v>7.5136761234838731E-6</v>
      </c>
      <c r="T106">
        <f t="shared" si="69"/>
        <v>7.5011812546844308E-6</v>
      </c>
      <c r="U106" s="11" t="str">
        <f t="shared" si="70"/>
        <v>NEGATIVE</v>
      </c>
      <c r="V106" s="11" t="str">
        <f t="shared" si="71"/>
        <v/>
      </c>
      <c r="W106" s="11" t="str">
        <f t="shared" si="72"/>
        <v>UP</v>
      </c>
      <c r="X106" s="6" t="str">
        <f t="shared" si="73"/>
        <v>POSITIVE</v>
      </c>
      <c r="Y106" cm="1">
        <f t="array" ref="Y106">IFERROR(VALUE(_xll.BDP($B106,"INTERVAL_MAE_MOV_AVG","CALC_INTERVAL","520D","TECH_STUDIES_PARAM1_OVERRIDE",65,"USE_PREVIOUS_BUSINESS_DAY","N")),"")</f>
        <v>5.1400000000000001E-2</v>
      </c>
      <c r="Z106">
        <f t="shared" si="5"/>
        <v>6856.0226153846133</v>
      </c>
      <c r="AA106" cm="1">
        <f t="array" ref="AA106">IFERROR(VALUE(_xll.BDP($B106,"INTERVAL_MAE_MOV_AVG","CALC_INTERVAL","520D","TECH_STUDIES_PARAM1_OVERRIDE",65,"USE_PREVIOUS_BUSINESS_DAY","Y")),"")</f>
        <v>5.1400000000000001E-2</v>
      </c>
      <c r="AB106">
        <f t="shared" si="6"/>
        <v>6852.6203076923057</v>
      </c>
      <c r="AC106">
        <f t="shared" si="74"/>
        <v>7.4970581171451596E-6</v>
      </c>
      <c r="AD106">
        <f t="shared" si="75"/>
        <v>7.5007803864897791E-6</v>
      </c>
      <c r="AE106" s="10" t="str">
        <f t="shared" si="76"/>
        <v/>
      </c>
      <c r="AF106" s="10" t="str">
        <f t="shared" si="77"/>
        <v>DOWN</v>
      </c>
      <c r="AG106" s="6" t="str">
        <f t="shared" si="78"/>
        <v>POSITIVE</v>
      </c>
      <c r="AH106" cm="1">
        <f t="array" ref="AH106">IFERROR(VALUE(_xll.BDP($B106,"INTERVAL_MAE_MOV_AVG","CALC_INTERVAL","65W","PERIODICITY_OVERRIDE","W","TECH_STUDIES_PARAM1_OVERRIDE",39,"USE_PREVIOUS_BUSINESS_DAY","N")),"")</f>
        <v>4.9799999999999997E-2</v>
      </c>
      <c r="AI106">
        <f t="shared" si="7"/>
        <v>6560.7735897435905</v>
      </c>
      <c r="AJ106" cm="1">
        <f t="array" ref="AJ106">IFERROR(VALUE(_xll.BDP($B106,"INTERVAL_MAE_MOV_AVG","CALC_INTERVAL","65W","PERIODICITY_OVERRIDE","W","TECH_STUDIES_PARAM1_OVERRIDE",39,"USE_PREVIOUS_BUSINESS_DAY","Y")),"")</f>
        <v>4.9799999999999997E-2</v>
      </c>
      <c r="AK106">
        <f t="shared" si="8"/>
        <v>6560.7823076923087</v>
      </c>
      <c r="AL106">
        <f t="shared" si="79"/>
        <v>7.5905682948504696E-6</v>
      </c>
      <c r="AM106">
        <f t="shared" si="80"/>
        <v>7.590558208525084E-6</v>
      </c>
      <c r="AN106" s="10" t="str">
        <f t="shared" si="81"/>
        <v/>
      </c>
      <c r="AO106" s="10" t="str">
        <f t="shared" si="82"/>
        <v>UP</v>
      </c>
      <c r="AP106" s="6" t="str">
        <f t="shared" si="83"/>
        <v>POSITIVE</v>
      </c>
      <c r="AQ106" cm="1">
        <f t="array" ref="AQ106">IFERROR(VALUE(_xll.BDP($B106,"INTERVAL_exp_MOV_AVG","CALC_INTERVAL","520D","TECH_STUDIES_PARAM1_OVERRIDE",100,"USE_PREVIOUS_BUSINESS_DAY","N")),"")</f>
        <v>5.11E-2</v>
      </c>
      <c r="AR106">
        <f t="shared" si="9"/>
        <v>6773.0064518682802</v>
      </c>
      <c r="AS106" cm="1">
        <f t="array" ref="AS106">IFERROR(VALUE(_xll.BDP($B106,"INTERVAL_exp_MOV_AVG","CALC_INTERVAL","520D","TECH_STUDIES_PARAM1_OVERRIDE",100,"USE_PREVIOUS_BUSINESS_DAY","Y")),"")</f>
        <v>5.11E-2</v>
      </c>
      <c r="AT106">
        <f t="shared" si="10"/>
        <v>6769.6039787132295</v>
      </c>
      <c r="AU106">
        <f t="shared" si="84"/>
        <v>7.5446554440981623E-6</v>
      </c>
      <c r="AV106">
        <f t="shared" si="85"/>
        <v>7.5484474661563763E-6</v>
      </c>
      <c r="AW106" s="11" t="str">
        <f t="shared" si="86"/>
        <v/>
      </c>
      <c r="AX106" s="11" t="str">
        <f t="shared" si="87"/>
        <v>DOWN</v>
      </c>
      <c r="AY106" s="6" t="str">
        <f t="shared" si="88"/>
        <v>POSITIVE</v>
      </c>
      <c r="AZ106" s="12" cm="1">
        <f t="array" ref="AZ106">_xll.BDP($B106, "INTERVAL_RSI", "TECH_STUDIES_PARAM1_OVERRIDE", "5", "PERIODICITY_OVERRIDE", "W")</f>
        <v>84.418999999999997</v>
      </c>
      <c r="BA106" cm="1">
        <f t="array" ref="BA106">IFERROR(VALUE(_xll.BDP($B106,"INTERVAL_MAE_MOV_AVG","CALC_INTERVAL","520D","TECH_STUDIES_PARAM1_OVERRIDE",31,"USE_PREVIOUS_BUSINESS_DAY","N")),"")</f>
        <v>5.2400000000000002E-2</v>
      </c>
      <c r="BB106" cm="1">
        <f t="array" ref="BB106">IFERROR(VALUE(_xll.BDP($B106,"INTERVAL_MAE_MOV_AVG","CALC_INTERVAL","760D","TECH_STUDIES_PARAM1_OVERRIDE",200,"USE_PREVIOUS_BUSINESS_DAY","N")),"")</f>
        <v>4.9700000000000001E-2</v>
      </c>
      <c r="BC106" s="13">
        <f t="shared" si="89"/>
        <v>1.3358778625954137E-2</v>
      </c>
      <c r="BD106" s="13">
        <f t="shared" si="90"/>
        <v>2.5096525096525157E-2</v>
      </c>
      <c r="BE106" s="13">
        <f t="shared" si="91"/>
        <v>6.8410462776659964E-2</v>
      </c>
      <c r="BF106" s="14" cm="1">
        <f t="array" ref="BF106">VALUE(_xll.BDP($B106,"INTERVAL_DATE_OF_CALC_HI","CALC_INTERVAL","3M"))</f>
        <v>46050</v>
      </c>
      <c r="BG106" s="14" cm="1">
        <f t="array" ref="BG106">VALUE(_xll.BDP($B106,"INTERVAL_DATE_OF_CALC_LO","CALC_INTERVAL","3M"))</f>
        <v>45982</v>
      </c>
      <c r="BH106" s="14" cm="1">
        <f t="array" ref="BH106">VALUE(_xll.BDP($B106,"INTERVAL_DATE_OF_CALC_HI","CALC_INTERVAL","1M"))</f>
        <v>46050</v>
      </c>
      <c r="BI106" s="14" cm="1">
        <f t="array" ref="BI106">VALUE(_xll.BDP($B106,"INTERVAL_DATE_OF_CALC_LO","CALC_INTERVAL","1M"))</f>
        <v>46042</v>
      </c>
      <c r="BJ106" s="15">
        <f>$F106-MIN(_xll.BDP("NYA Index","RSI_14D"),_xll.BDP("RSP US Equity","RSI_14D"))</f>
        <v>-7.6457641601562472</v>
      </c>
    </row>
    <row r="107" spans="1:62" x14ac:dyDescent="0.25">
      <c r="A107" s="11">
        <v>106</v>
      </c>
      <c r="B107" s="26" t="s">
        <v>712</v>
      </c>
      <c r="C107" s="1" t="s">
        <v>713</v>
      </c>
      <c r="D107" s="1" t="s">
        <v>593</v>
      </c>
      <c r="E107" s="11" t="s">
        <v>959</v>
      </c>
      <c r="F107">
        <f>IFERROR(VALUE((_xll.BDP($B107,"interval_rsi","tech_studies_param1_override",14))),"")</f>
        <v>60.52</v>
      </c>
      <c r="G107">
        <f t="shared" si="0"/>
        <v>52.525531939815814</v>
      </c>
      <c r="H107">
        <f t="shared" si="65"/>
        <v>0</v>
      </c>
      <c r="I107" cm="1">
        <f t="array" ref="I107">IFERROR(VALUE(_xll.BDP($B107,"px_last")),"")</f>
        <v>6.2959000000000001E-2</v>
      </c>
      <c r="J107">
        <f t="shared" si="1"/>
        <v>6941.47</v>
      </c>
      <c r="K107" cm="1">
        <f t="array" ref="K107">IFERROR(VALUE(_xll.BDP($B107,"PX_YEST_CLOSE")),"")</f>
        <v>6.3014000000000001E-2</v>
      </c>
      <c r="L107">
        <f t="shared" si="2"/>
        <v>6941.81</v>
      </c>
      <c r="M107">
        <f t="shared" si="66"/>
        <v>9.069980854199471E-6</v>
      </c>
      <c r="N107">
        <f t="shared" si="67"/>
        <v>9.0774596250833712E-6</v>
      </c>
      <c r="O107" cm="1">
        <f t="array" ref="O107">IFERROR(VALUE(_xll.BDP($B107,"INTERVAL_MAE_MOV_AVG","CALC_INTERVAL","520D","TECH_STUDIES_PARAM1_OVERRIDE",50,"USE_PREVIOUS_BUSINESS_DAY","N")),"")</f>
        <v>6.0850000000000001E-2</v>
      </c>
      <c r="P107">
        <f t="shared" si="3"/>
        <v>6894.0953999999992</v>
      </c>
      <c r="Q107" cm="1">
        <f t="array" ref="Q107">IFERROR(VALUE(_xll.BDP($B107,"INTERVAL_MAE_MOV_AVG","CALC_INTERVAL","520D","TECH_STUDIES_PARAM1_OVERRIDE",50,"USE_PREVIOUS_BUSINESS_DAY","Y")),"")</f>
        <v>6.0762999999999998E-2</v>
      </c>
      <c r="R107">
        <f t="shared" si="4"/>
        <v>6892.2477999999992</v>
      </c>
      <c r="S107">
        <f t="shared" si="68"/>
        <v>8.8263936701543192E-6</v>
      </c>
      <c r="T107">
        <f t="shared" si="69"/>
        <v>8.8161368777251458E-6</v>
      </c>
      <c r="U107" s="11" t="str">
        <f t="shared" si="70"/>
        <v>NEGATIVE</v>
      </c>
      <c r="V107" s="11" t="str">
        <f t="shared" si="71"/>
        <v/>
      </c>
      <c r="W107" s="11" t="str">
        <f t="shared" si="72"/>
        <v>UP</v>
      </c>
      <c r="X107" s="6" t="str">
        <f t="shared" si="73"/>
        <v>POSITIVE</v>
      </c>
      <c r="Y107" cm="1">
        <f t="array" ref="Y107">IFERROR(VALUE(_xll.BDP($B107,"INTERVAL_MAE_MOV_AVG","CALC_INTERVAL","520D","TECH_STUDIES_PARAM1_OVERRIDE",65,"USE_PREVIOUS_BUSINESS_DAY","N")),"")</f>
        <v>6.0252E-2</v>
      </c>
      <c r="Z107">
        <f t="shared" si="5"/>
        <v>6856.0226153846133</v>
      </c>
      <c r="AA107" cm="1">
        <f t="array" ref="AA107">IFERROR(VALUE(_xll.BDP($B107,"INTERVAL_MAE_MOV_AVG","CALC_INTERVAL","520D","TECH_STUDIES_PARAM1_OVERRIDE",65,"USE_PREVIOUS_BUSINESS_DAY","Y")),"")</f>
        <v>6.0183E-2</v>
      </c>
      <c r="AB107">
        <f t="shared" si="6"/>
        <v>6852.6203076923057</v>
      </c>
      <c r="AC107">
        <f t="shared" si="74"/>
        <v>8.7881857135064234E-6</v>
      </c>
      <c r="AD107">
        <f t="shared" si="75"/>
        <v>8.7824798832707077E-6</v>
      </c>
      <c r="AE107" s="10" t="str">
        <f t="shared" si="76"/>
        <v>UP</v>
      </c>
      <c r="AF107" s="10" t="str">
        <f t="shared" si="77"/>
        <v>UP</v>
      </c>
      <c r="AG107" s="6" t="str">
        <f t="shared" si="78"/>
        <v>POSITIVE</v>
      </c>
      <c r="AH107" cm="1">
        <f t="array" ref="AH107">IFERROR(VALUE(_xll.BDP($B107,"INTERVAL_MAE_MOV_AVG","CALC_INTERVAL","65W","PERIODICITY_OVERRIDE","W","TECH_STUDIES_PARAM1_OVERRIDE",39,"USE_PREVIOUS_BUSINESS_DAY","N")),"")</f>
        <v>5.8018E-2</v>
      </c>
      <c r="AI107">
        <f t="shared" si="7"/>
        <v>6560.7735897435905</v>
      </c>
      <c r="AJ107" cm="1">
        <f t="array" ref="AJ107">IFERROR(VALUE(_xll.BDP($B107,"INTERVAL_MAE_MOV_AVG","CALC_INTERVAL","65W","PERIODICITY_OVERRIDE","W","TECH_STUDIES_PARAM1_OVERRIDE",39,"USE_PREVIOUS_BUSINESS_DAY","Y")),"")</f>
        <v>5.8009999999999999E-2</v>
      </c>
      <c r="AK107">
        <f t="shared" si="8"/>
        <v>6560.7823076923087</v>
      </c>
      <c r="AL107">
        <f t="shared" si="79"/>
        <v>8.8431644845508948E-6</v>
      </c>
      <c r="AM107">
        <f t="shared" si="80"/>
        <v>8.8419333669987977E-6</v>
      </c>
      <c r="AN107" s="10" t="str">
        <f t="shared" si="81"/>
        <v>UP</v>
      </c>
      <c r="AO107" s="10" t="str">
        <f t="shared" si="82"/>
        <v>UP</v>
      </c>
      <c r="AP107" s="6" t="str">
        <f t="shared" si="83"/>
        <v>POSITIVE</v>
      </c>
      <c r="AQ107" cm="1">
        <f t="array" ref="AQ107">IFERROR(VALUE(_xll.BDP($B107,"INTERVAL_exp_MOV_AVG","CALC_INTERVAL","520D","TECH_STUDIES_PARAM1_OVERRIDE",100,"USE_PREVIOUS_BUSINESS_DAY","N")),"")</f>
        <v>5.9792999999999999E-2</v>
      </c>
      <c r="AR107">
        <f t="shared" si="9"/>
        <v>6773.0064518682802</v>
      </c>
      <c r="AS107" cm="1">
        <f t="array" ref="AS107">IFERROR(VALUE(_xll.BDP($B107,"INTERVAL_exp_MOV_AVG","CALC_INTERVAL","520D","TECH_STUDIES_PARAM1_OVERRIDE",100,"USE_PREVIOUS_BUSINESS_DAY","Y")),"")</f>
        <v>5.9728000000000003E-2</v>
      </c>
      <c r="AT107">
        <f t="shared" si="10"/>
        <v>6769.6039787132295</v>
      </c>
      <c r="AU107">
        <f t="shared" si="84"/>
        <v>8.828132739118619E-6</v>
      </c>
      <c r="AV107">
        <f t="shared" si="85"/>
        <v>8.822968106821684E-6</v>
      </c>
      <c r="AW107" s="11" t="str">
        <f t="shared" si="86"/>
        <v>UP</v>
      </c>
      <c r="AX107" s="11" t="str">
        <f t="shared" si="87"/>
        <v>UP</v>
      </c>
      <c r="AY107" s="6" t="str">
        <f t="shared" si="88"/>
        <v>POSITIVE</v>
      </c>
      <c r="AZ107" s="12" cm="1">
        <f t="array" ref="AZ107">_xll.BDP($B107, "INTERVAL_RSI", "TECH_STUDIES_PARAM1_OVERRIDE", "5", "PERIODICITY_OVERRIDE", "W")</f>
        <v>93.832999999999998</v>
      </c>
      <c r="BA107" cm="1">
        <f t="array" ref="BA107">IFERROR(VALUE(_xll.BDP($B107,"INTERVAL_MAE_MOV_AVG","CALC_INTERVAL","520D","TECH_STUDIES_PARAM1_OVERRIDE",31,"USE_PREVIOUS_BUSINESS_DAY","N")),"")</f>
        <v>6.1661000000000001E-2</v>
      </c>
      <c r="BB107" cm="1">
        <f t="array" ref="BB107">IFERROR(VALUE(_xll.BDP($B107,"INTERVAL_MAE_MOV_AVG","CALC_INTERVAL","760D","TECH_STUDIES_PARAM1_OVERRIDE",200,"USE_PREVIOUS_BUSINESS_DAY","N")),"")</f>
        <v>5.7860000000000002E-2</v>
      </c>
      <c r="BC107" s="13">
        <f t="shared" si="89"/>
        <v>2.1050583026548386E-2</v>
      </c>
      <c r="BD107" s="13">
        <f t="shared" si="90"/>
        <v>3.4658997534921854E-2</v>
      </c>
      <c r="BE107" s="13">
        <f t="shared" si="91"/>
        <v>8.812651227099888E-2</v>
      </c>
      <c r="BF107" s="14" cm="1">
        <f t="array" ref="BF107">VALUE(_xll.BDP($B107,"INTERVAL_DATE_OF_CALC_HI","CALC_INTERVAL","3M"))</f>
        <v>46051</v>
      </c>
      <c r="BG107" s="14" cm="1">
        <f t="array" ref="BG107">VALUE(_xll.BDP($B107,"INTERVAL_DATE_OF_CALC_LO","CALC_INTERVAL","3M"))</f>
        <v>45982</v>
      </c>
      <c r="BH107" s="14" cm="1">
        <f t="array" ref="BH107">VALUE(_xll.BDP($B107,"INTERVAL_DATE_OF_CALC_HI","CALC_INTERVAL","1M"))</f>
        <v>46051</v>
      </c>
      <c r="BI107" s="14" cm="1">
        <f t="array" ref="BI107">VALUE(_xll.BDP($B107,"INTERVAL_DATE_OF_CALC_LO","CALC_INTERVAL","1M"))</f>
        <v>46042</v>
      </c>
      <c r="BJ107" s="15">
        <f>$F107-MIN(_xll.BDP("NYA Index","RSI_14D"),_xll.BDP("RSP US Equity","RSI_14D"))</f>
        <v>-5.8257641601562469</v>
      </c>
    </row>
    <row r="108" spans="1:62" x14ac:dyDescent="0.25">
      <c r="A108" s="11">
        <v>107</v>
      </c>
      <c r="B108" s="26" t="s">
        <v>347</v>
      </c>
      <c r="C108" s="1" t="s">
        <v>792</v>
      </c>
      <c r="D108" s="1" t="s">
        <v>308</v>
      </c>
      <c r="E108" s="11" t="s">
        <v>787</v>
      </c>
      <c r="F108">
        <f>IFERROR(VALUE((_xll.BDP($B108,"interval_rsi","tech_studies_param1_override",14))),"")</f>
        <v>61.485878232161319</v>
      </c>
      <c r="G108">
        <f t="shared" si="0"/>
        <v>52.525531939815814</v>
      </c>
      <c r="H108">
        <f t="shared" si="65"/>
        <v>0</v>
      </c>
      <c r="I108" cm="1">
        <f t="array" ref="I108">IFERROR(VALUE(_xll.BDP($B108,"px_last")),"")</f>
        <v>147.71</v>
      </c>
      <c r="J108">
        <f t="shared" si="1"/>
        <v>6941.47</v>
      </c>
      <c r="K108" cm="1">
        <f t="array" ref="K108">IFERROR(VALUE(_xll.BDP($B108,"PX_YEST_CLOSE")),"")</f>
        <v>147.31</v>
      </c>
      <c r="L108">
        <f t="shared" si="2"/>
        <v>6941.81</v>
      </c>
      <c r="M108">
        <f t="shared" si="66"/>
        <v>2.1279354373065072E-2</v>
      </c>
      <c r="N108">
        <f t="shared" si="67"/>
        <v>2.1220690281065022E-2</v>
      </c>
      <c r="O108" cm="1">
        <f t="array" ref="O108">IFERROR(VALUE(_xll.BDP($B108,"INTERVAL_MAE_MOV_AVG","CALC_INTERVAL","520D","TECH_STUDIES_PARAM1_OVERRIDE",50,"USE_PREVIOUS_BUSINESS_DAY","N")),"")</f>
        <v>143.34286376627736</v>
      </c>
      <c r="P108">
        <f t="shared" si="3"/>
        <v>6894.0953999999992</v>
      </c>
      <c r="Q108" cm="1">
        <f t="array" ref="Q108">IFERROR(VALUE(_xll.BDP($B108,"INTERVAL_MAE_MOV_AVG","CALC_INTERVAL","520D","TECH_STUDIES_PARAM1_OVERRIDE",50,"USE_PREVIOUS_BUSINESS_DAY","Y")),"")</f>
        <v>143.19341389920001</v>
      </c>
      <c r="R108">
        <f t="shared" si="4"/>
        <v>6892.2477999999992</v>
      </c>
      <c r="S108">
        <f t="shared" si="68"/>
        <v>2.0792120713368337E-2</v>
      </c>
      <c r="T108">
        <f t="shared" si="69"/>
        <v>2.0776010679592807E-2</v>
      </c>
      <c r="U108" s="11" t="str">
        <f t="shared" si="70"/>
        <v>NEGATIVE</v>
      </c>
      <c r="V108" s="11" t="str">
        <f t="shared" si="71"/>
        <v/>
      </c>
      <c r="W108" s="11" t="str">
        <f t="shared" si="72"/>
        <v>UP</v>
      </c>
      <c r="X108" s="6" t="str">
        <f t="shared" si="73"/>
        <v>POSITIVE</v>
      </c>
      <c r="Y108" cm="1">
        <f t="array" ref="Y108">IFERROR(VALUE(_xll.BDP($B108,"INTERVAL_MAE_MOV_AVG","CALC_INTERVAL","520D","TECH_STUDIES_PARAM1_OVERRIDE",65,"USE_PREVIOUS_BUSINESS_DAY","N")),"")</f>
        <v>142.16552428052105</v>
      </c>
      <c r="Z108">
        <f t="shared" si="5"/>
        <v>6856.0226153846133</v>
      </c>
      <c r="AA108" cm="1">
        <f t="array" ref="AA108">IFERROR(VALUE(_xll.BDP($B108,"INTERVAL_MAE_MOV_AVG","CALC_INTERVAL","520D","TECH_STUDIES_PARAM1_OVERRIDE",65,"USE_PREVIOUS_BUSINESS_DAY","Y")),"")</f>
        <v>142.01807909907694</v>
      </c>
      <c r="AB108">
        <f t="shared" si="6"/>
        <v>6852.6203076923057</v>
      </c>
      <c r="AC108">
        <f t="shared" si="74"/>
        <v>2.0735859879094896E-2</v>
      </c>
      <c r="AD108">
        <f t="shared" si="75"/>
        <v>2.0724638564850396E-2</v>
      </c>
      <c r="AE108" s="10" t="str">
        <f t="shared" si="76"/>
        <v>UP</v>
      </c>
      <c r="AF108" s="10" t="str">
        <f t="shared" si="77"/>
        <v>UP</v>
      </c>
      <c r="AG108" s="6" t="str">
        <f t="shared" si="78"/>
        <v>POSITIVE</v>
      </c>
      <c r="AH108" cm="1">
        <f t="array" ref="AH108">IFERROR(VALUE(_xll.BDP($B108,"INTERVAL_MAE_MOV_AVG","CALC_INTERVAL","65W","PERIODICITY_OVERRIDE","W","TECH_STUDIES_PARAM1_OVERRIDE",39,"USE_PREVIOUS_BUSINESS_DAY","N")),"")</f>
        <v>135.2849120097224</v>
      </c>
      <c r="AI108">
        <f t="shared" si="7"/>
        <v>6560.7735897435905</v>
      </c>
      <c r="AJ108" cm="1">
        <f t="array" ref="AJ108">IFERROR(VALUE(_xll.BDP($B108,"INTERVAL_MAE_MOV_AVG","CALC_INTERVAL","65W","PERIODICITY_OVERRIDE","W","TECH_STUDIES_PARAM1_OVERRIDE",39,"USE_PREVIOUS_BUSINESS_DAY","Y")),"")</f>
        <v>135.27465542731557</v>
      </c>
      <c r="AK108">
        <f t="shared" si="8"/>
        <v>6560.7823076923087</v>
      </c>
      <c r="AL108">
        <f t="shared" si="79"/>
        <v>2.0620268350856112E-2</v>
      </c>
      <c r="AM108">
        <f t="shared" si="80"/>
        <v>2.0618677633719128E-2</v>
      </c>
      <c r="AN108" s="10" t="str">
        <f t="shared" si="81"/>
        <v>UP</v>
      </c>
      <c r="AO108" s="10" t="str">
        <f t="shared" si="82"/>
        <v>UP</v>
      </c>
      <c r="AP108" s="6" t="str">
        <f t="shared" si="83"/>
        <v>POSITIVE</v>
      </c>
      <c r="AQ108" cm="1">
        <f t="array" ref="AQ108">IFERROR(VALUE(_xll.BDP($B108,"INTERVAL_exp_MOV_AVG","CALC_INTERVAL","520D","TECH_STUDIES_PARAM1_OVERRIDE",100,"USE_PREVIOUS_BUSINESS_DAY","N")),"")</f>
        <v>140.42860993002111</v>
      </c>
      <c r="AR108">
        <f t="shared" si="9"/>
        <v>6773.0064518682802</v>
      </c>
      <c r="AS108" cm="1">
        <f t="array" ref="AS108">IFERROR(VALUE(_xll.BDP($B108,"INTERVAL_exp_MOV_AVG","CALC_INTERVAL","520D","TECH_STUDIES_PARAM1_OVERRIDE",100,"USE_PREVIOUS_BUSINESS_DAY","Y")),"")</f>
        <v>140.2815341144144</v>
      </c>
      <c r="AT108">
        <f t="shared" si="10"/>
        <v>6769.6039787132295</v>
      </c>
      <c r="AU108">
        <f t="shared" si="84"/>
        <v>2.0733570967038574E-2</v>
      </c>
      <c r="AV108">
        <f t="shared" si="85"/>
        <v>2.0722265963492772E-2</v>
      </c>
      <c r="AW108" s="11" t="str">
        <f t="shared" si="86"/>
        <v>UP</v>
      </c>
      <c r="AX108" s="11" t="str">
        <f t="shared" si="87"/>
        <v>UP</v>
      </c>
      <c r="AY108" s="6" t="str">
        <f t="shared" si="88"/>
        <v>POSITIVE</v>
      </c>
      <c r="AZ108" s="12" cm="1">
        <f t="array" ref="AZ108">_xll.BDP($B108, "INTERVAL_RSI", "TECH_STUDIES_PARAM1_OVERRIDE", "5", "PERIODICITY_OVERRIDE", "W")</f>
        <v>89.104532716703801</v>
      </c>
      <c r="BA108" cm="1">
        <f t="array" ref="BA108">IFERROR(VALUE(_xll.BDP($B108,"INTERVAL_MAE_MOV_AVG","CALC_INTERVAL","520D","TECH_STUDIES_PARAM1_OVERRIDE",31,"USE_PREVIOUS_BUSINESS_DAY","N")),"")</f>
        <v>144.87290344238278</v>
      </c>
      <c r="BB108" cm="1">
        <f t="array" ref="BB108">IFERROR(VALUE(_xll.BDP($B108,"INTERVAL_MAE_MOV_AVG","CALC_INTERVAL","760D","TECH_STUDIES_PARAM1_OVERRIDE",200,"USE_PREVIOUS_BUSINESS_DAY","N")),"")</f>
        <v>133.76985964501333</v>
      </c>
      <c r="BC108" s="13">
        <f t="shared" si="89"/>
        <v>1.9583348508960929E-2</v>
      </c>
      <c r="BD108" s="13">
        <f t="shared" si="90"/>
        <v>3.0466366577155402E-2</v>
      </c>
      <c r="BE108" s="13">
        <f t="shared" si="91"/>
        <v>0.10420987501952839</v>
      </c>
      <c r="BF108" s="14" cm="1">
        <f t="array" ref="BF108">VALUE(_xll.BDP($B108,"INTERVAL_DATE_OF_CALC_HI","CALC_INTERVAL","3M"))</f>
        <v>46064</v>
      </c>
      <c r="BG108" s="14" cm="1">
        <f t="array" ref="BG108">VALUE(_xll.BDP($B108,"INTERVAL_DATE_OF_CALC_LO","CALC_INTERVAL","3M"))</f>
        <v>45981</v>
      </c>
      <c r="BH108" s="14" cm="1">
        <f t="array" ref="BH108">VALUE(_xll.BDP($B108,"INTERVAL_DATE_OF_CALC_HI","CALC_INTERVAL","1M"))</f>
        <v>46064</v>
      </c>
      <c r="BI108" s="14" cm="1">
        <f t="array" ref="BI108">VALUE(_xll.BDP($B108,"INTERVAL_DATE_OF_CALC_LO","CALC_INTERVAL","1M"))</f>
        <v>46042</v>
      </c>
      <c r="BJ108" s="15">
        <f>$F108-MIN(_xll.BDP("NYA Index","RSI_14D"),_xll.BDP("RSP US Equity","RSI_14D"))</f>
        <v>-4.8598859279949309</v>
      </c>
    </row>
    <row r="109" spans="1:62" x14ac:dyDescent="0.25">
      <c r="A109" s="11">
        <v>108</v>
      </c>
      <c r="B109" s="26" t="s">
        <v>348</v>
      </c>
      <c r="C109" s="1" t="s">
        <v>793</v>
      </c>
      <c r="D109" s="1" t="s">
        <v>308</v>
      </c>
      <c r="E109" s="11" t="s">
        <v>787</v>
      </c>
      <c r="F109">
        <f>IFERROR(VALUE((_xll.BDP($B109,"interval_rsi","tech_studies_param1_override",14))),"")</f>
        <v>45.350150486633822</v>
      </c>
      <c r="G109">
        <f t="shared" si="0"/>
        <v>52.525531939815814</v>
      </c>
      <c r="H109">
        <f t="shared" si="65"/>
        <v>0</v>
      </c>
      <c r="I109" cm="1">
        <f t="array" ref="I109">IFERROR(VALUE(_xll.BDP($B109,"px_last")),"")</f>
        <v>50.55</v>
      </c>
      <c r="J109">
        <f t="shared" si="1"/>
        <v>6941.47</v>
      </c>
      <c r="K109" cm="1">
        <f t="array" ref="K109">IFERROR(VALUE(_xll.BDP($B109,"PX_YEST_CLOSE")),"")</f>
        <v>50.77</v>
      </c>
      <c r="L109">
        <f t="shared" si="2"/>
        <v>6941.81</v>
      </c>
      <c r="M109">
        <f t="shared" si="66"/>
        <v>7.2823191629438717E-3</v>
      </c>
      <c r="N109">
        <f t="shared" si="67"/>
        <v>7.3136545079741447E-3</v>
      </c>
      <c r="O109" cm="1">
        <f t="array" ref="O109">IFERROR(VALUE(_xll.BDP($B109,"INTERVAL_MAE_MOV_AVG","CALC_INTERVAL","520D","TECH_STUDIES_PARAM1_OVERRIDE",50,"USE_PREVIOUS_BUSINESS_DAY","N")),"")</f>
        <v>51.409973034341213</v>
      </c>
      <c r="P109">
        <f t="shared" si="3"/>
        <v>6894.0953999999992</v>
      </c>
      <c r="Q109" cm="1">
        <f t="array" ref="Q109">IFERROR(VALUE(_xll.BDP($B109,"INTERVAL_MAE_MOV_AVG","CALC_INTERVAL","520D","TECH_STUDIES_PARAM1_OVERRIDE",50,"USE_PREVIOUS_BUSINESS_DAY","Y")),"")</f>
        <v>51.400894596800001</v>
      </c>
      <c r="R109">
        <f t="shared" si="4"/>
        <v>6892.2477999999992</v>
      </c>
      <c r="S109">
        <f t="shared" si="68"/>
        <v>7.4571020636501808E-3</v>
      </c>
      <c r="T109">
        <f t="shared" si="69"/>
        <v>7.4577838882693695E-3</v>
      </c>
      <c r="U109" s="11" t="str">
        <f t="shared" si="70"/>
        <v>NEGATIVE</v>
      </c>
      <c r="V109" s="11" t="str">
        <f t="shared" si="71"/>
        <v/>
      </c>
      <c r="W109" s="11" t="str">
        <f t="shared" si="72"/>
        <v>DOWN</v>
      </c>
      <c r="X109" s="6" t="str">
        <f t="shared" si="73"/>
        <v>NEGATIVE</v>
      </c>
      <c r="Y109" cm="1">
        <f t="array" ref="Y109">IFERROR(VALUE(_xll.BDP($B109,"INTERVAL_MAE_MOV_AVG","CALC_INTERVAL","520D","TECH_STUDIES_PARAM1_OVERRIDE",65,"USE_PREVIOUS_BUSINESS_DAY","N")),"")</f>
        <v>51.021302810416309</v>
      </c>
      <c r="Z109">
        <f t="shared" si="5"/>
        <v>6856.0226153846133</v>
      </c>
      <c r="AA109" cm="1">
        <f t="array" ref="AA109">IFERROR(VALUE(_xll.BDP($B109,"INTERVAL_MAE_MOV_AVG","CALC_INTERVAL","520D","TECH_STUDIES_PARAM1_OVERRIDE",65,"USE_PREVIOUS_BUSINESS_DAY","Y")),"")</f>
        <v>51.029075689846152</v>
      </c>
      <c r="AB109">
        <f t="shared" si="6"/>
        <v>6852.6203076923057</v>
      </c>
      <c r="AC109">
        <f t="shared" si="74"/>
        <v>7.4418224198862393E-3</v>
      </c>
      <c r="AD109">
        <f t="shared" si="75"/>
        <v>7.4466515578813309E-3</v>
      </c>
      <c r="AE109" s="10" t="str">
        <f t="shared" si="76"/>
        <v>DOWN</v>
      </c>
      <c r="AF109" s="10" t="str">
        <f t="shared" si="77"/>
        <v>DOWN</v>
      </c>
      <c r="AG109" s="6" t="str">
        <f t="shared" si="78"/>
        <v>NEGATIVE</v>
      </c>
      <c r="AH109" cm="1">
        <f t="array" ref="AH109">IFERROR(VALUE(_xll.BDP($B109,"INTERVAL_MAE_MOV_AVG","CALC_INTERVAL","65W","PERIODICITY_OVERRIDE","W","TECH_STUDIES_PARAM1_OVERRIDE",39,"USE_PREVIOUS_BUSINESS_DAY","N")),"")</f>
        <v>47.606392145302081</v>
      </c>
      <c r="AI109">
        <f t="shared" si="7"/>
        <v>6560.7735897435905</v>
      </c>
      <c r="AJ109" cm="1">
        <f t="array" ref="AJ109">IFERROR(VALUE(_xll.BDP($B109,"INTERVAL_MAE_MOV_AVG","CALC_INTERVAL","65W","PERIODICITY_OVERRIDE","W","TECH_STUDIES_PARAM1_OVERRIDE",39,"USE_PREVIOUS_BUSINESS_DAY","Y")),"")</f>
        <v>47.612033190505656</v>
      </c>
      <c r="AK109">
        <f t="shared" si="8"/>
        <v>6560.7823076923087</v>
      </c>
      <c r="AL109">
        <f t="shared" si="79"/>
        <v>7.2562162821355105E-3</v>
      </c>
      <c r="AM109">
        <f t="shared" si="80"/>
        <v>7.2570664529871785E-3</v>
      </c>
      <c r="AN109" s="10" t="str">
        <f t="shared" si="81"/>
        <v>DOWN</v>
      </c>
      <c r="AO109" s="10" t="str">
        <f t="shared" si="82"/>
        <v>DOWN</v>
      </c>
      <c r="AP109" s="6" t="str">
        <f t="shared" si="83"/>
        <v>POSITIVE</v>
      </c>
      <c r="AQ109" cm="1">
        <f t="array" ref="AQ109">IFERROR(VALUE(_xll.BDP($B109,"INTERVAL_exp_MOV_AVG","CALC_INTERVAL","520D","TECH_STUDIES_PARAM1_OVERRIDE",100,"USE_PREVIOUS_BUSINESS_DAY","N")),"")</f>
        <v>50.130682270287579</v>
      </c>
      <c r="AR109">
        <f t="shared" si="9"/>
        <v>6773.0064518682802</v>
      </c>
      <c r="AS109" cm="1">
        <f t="array" ref="AS109">IFERROR(VALUE(_xll.BDP($B109,"INTERVAL_exp_MOV_AVG","CALC_INTERVAL","520D","TECH_STUDIES_PARAM1_OVERRIDE",100,"USE_PREVIOUS_BUSINESS_DAY","Y")),"")</f>
        <v>50.122219571254675</v>
      </c>
      <c r="AT109">
        <f t="shared" si="10"/>
        <v>6769.6039787132295</v>
      </c>
      <c r="AU109">
        <f t="shared" si="84"/>
        <v>7.4015406048313194E-3</v>
      </c>
      <c r="AV109">
        <f t="shared" si="85"/>
        <v>7.4040105933614658E-3</v>
      </c>
      <c r="AW109" s="11" t="str">
        <f t="shared" si="86"/>
        <v>UP</v>
      </c>
      <c r="AX109" s="11" t="str">
        <f t="shared" si="87"/>
        <v>DOWN</v>
      </c>
      <c r="AY109" s="6" t="str">
        <f t="shared" si="88"/>
        <v>NEGATIVE</v>
      </c>
      <c r="AZ109" s="12" cm="1">
        <f t="array" ref="AZ109">_xll.BDP($B109, "INTERVAL_RSI", "TECH_STUDIES_PARAM1_OVERRIDE", "5", "PERIODICITY_OVERRIDE", "W")</f>
        <v>40.742741544566172</v>
      </c>
      <c r="BA109" cm="1">
        <f t="array" ref="BA109">IFERROR(VALUE(_xll.BDP($B109,"INTERVAL_MAE_MOV_AVG","CALC_INTERVAL","520D","TECH_STUDIES_PARAM1_OVERRIDE",31,"USE_PREVIOUS_BUSINESS_DAY","N")),"")</f>
        <v>51.78435141926002</v>
      </c>
      <c r="BB109" cm="1">
        <f t="array" ref="BB109">IFERROR(VALUE(_xll.BDP($B109,"INTERVAL_MAE_MOV_AVG","CALC_INTERVAL","760D","TECH_STUDIES_PARAM1_OVERRIDE",200,"USE_PREVIOUS_BUSINESS_DAY","N")),"")</f>
        <v>46.961565571656628</v>
      </c>
      <c r="BC109" s="13">
        <f t="shared" si="89"/>
        <v>-2.3836378856353369E-2</v>
      </c>
      <c r="BD109" s="13">
        <f t="shared" si="90"/>
        <v>-1.6727747236256363E-2</v>
      </c>
      <c r="BE109" s="13">
        <f t="shared" si="91"/>
        <v>7.6412155017871575E-2</v>
      </c>
      <c r="BF109" s="14" cm="1">
        <f t="array" ref="BF109">VALUE(_xll.BDP($B109,"INTERVAL_DATE_OF_CALC_HI","CALC_INTERVAL","3M"))</f>
        <v>46050</v>
      </c>
      <c r="BG109" s="14" cm="1">
        <f t="array" ref="BG109">VALUE(_xll.BDP($B109,"INTERVAL_DATE_OF_CALC_LO","CALC_INTERVAL","3M"))</f>
        <v>45981</v>
      </c>
      <c r="BH109" s="14" cm="1">
        <f t="array" ref="BH109">VALUE(_xll.BDP($B109,"INTERVAL_DATE_OF_CALC_HI","CALC_INTERVAL","1M"))</f>
        <v>46050</v>
      </c>
      <c r="BI109" s="14" cm="1">
        <f t="array" ref="BI109">VALUE(_xll.BDP($B109,"INTERVAL_DATE_OF_CALC_LO","CALC_INTERVAL","1M"))</f>
        <v>46058</v>
      </c>
      <c r="BJ109" s="15">
        <f>$F109-MIN(_xll.BDP("NYA Index","RSI_14D"),_xll.BDP("RSP US Equity","RSI_14D"))</f>
        <v>-20.995613673522428</v>
      </c>
    </row>
    <row r="110" spans="1:62" x14ac:dyDescent="0.25">
      <c r="A110" s="11">
        <v>109</v>
      </c>
      <c r="B110" s="26" t="s">
        <v>145</v>
      </c>
      <c r="C110" s="1" t="s">
        <v>794</v>
      </c>
      <c r="D110" s="1" t="s">
        <v>308</v>
      </c>
      <c r="E110" s="11" t="s">
        <v>787</v>
      </c>
      <c r="F110">
        <f>IFERROR(VALUE((_xll.BDP($B110,"interval_rsi","tech_studies_param1_override",14))),"")</f>
        <v>51.516511539928473</v>
      </c>
      <c r="G110">
        <f t="shared" si="0"/>
        <v>52.525531939815814</v>
      </c>
      <c r="H110">
        <f t="shared" si="65"/>
        <v>0</v>
      </c>
      <c r="I110" cm="1">
        <f t="array" ref="I110">IFERROR(VALUE(_xll.BDP($B110,"px_last")),"")</f>
        <v>95.61</v>
      </c>
      <c r="J110">
        <f t="shared" si="1"/>
        <v>6941.47</v>
      </c>
      <c r="K110" cm="1">
        <f t="array" ref="K110">IFERROR(VALUE(_xll.BDP($B110,"PX_YEST_CLOSE")),"")</f>
        <v>95.77</v>
      </c>
      <c r="L110">
        <f t="shared" si="2"/>
        <v>6941.81</v>
      </c>
      <c r="M110">
        <f t="shared" si="66"/>
        <v>1.3773739568131821E-2</v>
      </c>
      <c r="N110">
        <f t="shared" si="67"/>
        <v>1.3796113693690838E-2</v>
      </c>
      <c r="O110" cm="1">
        <f t="array" ref="O110">IFERROR(VALUE(_xll.BDP($B110,"INTERVAL_MAE_MOV_AVG","CALC_INTERVAL","520D","TECH_STUDIES_PARAM1_OVERRIDE",50,"USE_PREVIOUS_BUSINESS_DAY","N")),"")</f>
        <v>93.296960113607042</v>
      </c>
      <c r="P110">
        <f t="shared" si="3"/>
        <v>6894.0953999999992</v>
      </c>
      <c r="Q110" cm="1">
        <f t="array" ref="Q110">IFERROR(VALUE(_xll.BDP($B110,"INTERVAL_MAE_MOV_AVG","CALC_INTERVAL","520D","TECH_STUDIES_PARAM1_OVERRIDE",50,"USE_PREVIOUS_BUSINESS_DAY","Y")),"")</f>
        <v>93.234220968200006</v>
      </c>
      <c r="R110">
        <f t="shared" si="4"/>
        <v>6892.2477999999992</v>
      </c>
      <c r="S110">
        <f t="shared" si="68"/>
        <v>1.3532879181452443E-2</v>
      </c>
      <c r="T110">
        <f t="shared" si="69"/>
        <v>1.3527404073922011E-2</v>
      </c>
      <c r="U110" s="11" t="str">
        <f t="shared" si="70"/>
        <v>NEGATIVE</v>
      </c>
      <c r="V110" s="11" t="str">
        <f t="shared" si="71"/>
        <v/>
      </c>
      <c r="W110" s="11" t="str">
        <f t="shared" si="72"/>
        <v>UP</v>
      </c>
      <c r="X110" s="6" t="str">
        <f t="shared" si="73"/>
        <v>POSITIVE</v>
      </c>
      <c r="Y110" cm="1">
        <f t="array" ref="Y110">IFERROR(VALUE(_xll.BDP($B110,"INTERVAL_MAE_MOV_AVG","CALC_INTERVAL","520D","TECH_STUDIES_PARAM1_OVERRIDE",65,"USE_PREVIOUS_BUSINESS_DAY","N")),"")</f>
        <v>92.331827260005397</v>
      </c>
      <c r="Z110">
        <f t="shared" si="5"/>
        <v>6856.0226153846133</v>
      </c>
      <c r="AA110" cm="1">
        <f t="array" ref="AA110">IFERROR(VALUE(_xll.BDP($B110,"INTERVAL_MAE_MOV_AVG","CALC_INTERVAL","520D","TECH_STUDIES_PARAM1_OVERRIDE",65,"USE_PREVIOUS_BUSINESS_DAY","Y")),"")</f>
        <v>92.241274317230761</v>
      </c>
      <c r="AB110">
        <f t="shared" si="6"/>
        <v>6852.6203076923057</v>
      </c>
      <c r="AC110">
        <f t="shared" si="74"/>
        <v>1.3467258269075256E-2</v>
      </c>
      <c r="AD110">
        <f t="shared" si="75"/>
        <v>1.3460730373998208E-2</v>
      </c>
      <c r="AE110" s="10" t="str">
        <f t="shared" si="76"/>
        <v>UP</v>
      </c>
      <c r="AF110" s="10" t="str">
        <f t="shared" si="77"/>
        <v>UP</v>
      </c>
      <c r="AG110" s="6" t="str">
        <f t="shared" si="78"/>
        <v>POSITIVE</v>
      </c>
      <c r="AH110" cm="1">
        <f t="array" ref="AH110">IFERROR(VALUE(_xll.BDP($B110,"INTERVAL_MAE_MOV_AVG","CALC_INTERVAL","65W","PERIODICITY_OVERRIDE","W","TECH_STUDIES_PARAM1_OVERRIDE",39,"USE_PREVIOUS_BUSINESS_DAY","N")),"")</f>
        <v>84.84772452649176</v>
      </c>
      <c r="AI110">
        <f t="shared" si="7"/>
        <v>6560.7735897435905</v>
      </c>
      <c r="AJ110" cm="1">
        <f t="array" ref="AJ110">IFERROR(VALUE(_xll.BDP($B110,"INTERVAL_MAE_MOV_AVG","CALC_INTERVAL","65W","PERIODICITY_OVERRIDE","W","TECH_STUDIES_PARAM1_OVERRIDE",39,"USE_PREVIOUS_BUSINESS_DAY","Y")),"")</f>
        <v>84.851827074944282</v>
      </c>
      <c r="AK110">
        <f t="shared" si="8"/>
        <v>6560.7823076923087</v>
      </c>
      <c r="AL110">
        <f t="shared" si="79"/>
        <v>1.293257927070271E-2</v>
      </c>
      <c r="AM110">
        <f t="shared" si="80"/>
        <v>1.293318739984075E-2</v>
      </c>
      <c r="AN110" s="10" t="str">
        <f t="shared" si="81"/>
        <v>DOWN</v>
      </c>
      <c r="AO110" s="10" t="str">
        <f t="shared" si="82"/>
        <v>DOWN</v>
      </c>
      <c r="AP110" s="6" t="str">
        <f t="shared" si="83"/>
        <v>POSITIVE</v>
      </c>
      <c r="AQ110" cm="1">
        <f t="array" ref="AQ110">IFERROR(VALUE(_xll.BDP($B110,"INTERVAL_exp_MOV_AVG","CALC_INTERVAL","520D","TECH_STUDIES_PARAM1_OVERRIDE",100,"USE_PREVIOUS_BUSINESS_DAY","N")),"")</f>
        <v>89.487298452806101</v>
      </c>
      <c r="AR110">
        <f t="shared" si="9"/>
        <v>6773.0064518682802</v>
      </c>
      <c r="AS110" cm="1">
        <f t="array" ref="AS110">IFERROR(VALUE(_xll.BDP($B110,"INTERVAL_exp_MOV_AVG","CALC_INTERVAL","520D","TECH_STUDIES_PARAM1_OVERRIDE",100,"USE_PREVIOUS_BUSINESS_DAY","Y")),"")</f>
        <v>89.363609140304959</v>
      </c>
      <c r="AT110">
        <f t="shared" si="10"/>
        <v>6769.6039787132295</v>
      </c>
      <c r="AU110">
        <f t="shared" si="84"/>
        <v>1.3212345077291597E-2</v>
      </c>
      <c r="AV110">
        <f t="shared" si="85"/>
        <v>1.3200714461481874E-2</v>
      </c>
      <c r="AW110" s="11" t="str">
        <f t="shared" si="86"/>
        <v>UP</v>
      </c>
      <c r="AX110" s="11" t="str">
        <f t="shared" si="87"/>
        <v>UP</v>
      </c>
      <c r="AY110" s="6" t="str">
        <f t="shared" si="88"/>
        <v>POSITIVE</v>
      </c>
      <c r="AZ110" s="12" cm="1">
        <f t="array" ref="AZ110">_xll.BDP($B110, "INTERVAL_RSI", "TECH_STUDIES_PARAM1_OVERRIDE", "5", "PERIODICITY_OVERRIDE", "W")</f>
        <v>58.114563375753484</v>
      </c>
      <c r="BA110" cm="1">
        <f t="array" ref="BA110">IFERROR(VALUE(_xll.BDP($B110,"INTERVAL_MAE_MOV_AVG","CALC_INTERVAL","520D","TECH_STUDIES_PARAM1_OVERRIDE",31,"USE_PREVIOUS_BUSINESS_DAY","N")),"")</f>
        <v>94.90351979194682</v>
      </c>
      <c r="BB110" cm="1">
        <f t="array" ref="BB110">IFERROR(VALUE(_xll.BDP($B110,"INTERVAL_MAE_MOV_AVG","CALC_INTERVAL","760D","TECH_STUDIES_PARAM1_OVERRIDE",200,"USE_PREVIOUS_BUSINESS_DAY","N")),"")</f>
        <v>85.043500970866887</v>
      </c>
      <c r="BC110" s="13">
        <f t="shared" si="89"/>
        <v>7.4441939519416245E-3</v>
      </c>
      <c r="BD110" s="13">
        <f t="shared" si="90"/>
        <v>2.4792232068187259E-2</v>
      </c>
      <c r="BE110" s="13">
        <f t="shared" si="91"/>
        <v>0.12424816603861188</v>
      </c>
      <c r="BF110" s="14" cm="1">
        <f t="array" ref="BF110">VALUE(_xll.BDP($B110,"INTERVAL_DATE_OF_CALC_HI","CALC_INTERVAL","3M"))</f>
        <v>46049</v>
      </c>
      <c r="BG110" s="14" cm="1">
        <f t="array" ref="BG110">VALUE(_xll.BDP($B110,"INTERVAL_DATE_OF_CALC_LO","CALC_INTERVAL","3M"))</f>
        <v>45982</v>
      </c>
      <c r="BH110" s="14" cm="1">
        <f t="array" ref="BH110">VALUE(_xll.BDP($B110,"INTERVAL_DATE_OF_CALC_HI","CALC_INTERVAL","1M"))</f>
        <v>46049</v>
      </c>
      <c r="BI110" s="14" cm="1">
        <f t="array" ref="BI110">VALUE(_xll.BDP($B110,"INTERVAL_DATE_OF_CALC_LO","CALC_INTERVAL","1M"))</f>
        <v>46042</v>
      </c>
      <c r="BJ110" s="15">
        <f>$F110-MIN(_xll.BDP("NYA Index","RSI_14D"),_xll.BDP("RSP US Equity","RSI_14D"))</f>
        <v>-14.829252620227777</v>
      </c>
    </row>
    <row r="111" spans="1:62" x14ac:dyDescent="0.25">
      <c r="A111" s="11">
        <v>110</v>
      </c>
      <c r="B111" s="26" t="s">
        <v>349</v>
      </c>
      <c r="C111" s="1" t="s">
        <v>350</v>
      </c>
      <c r="D111" s="1" t="s">
        <v>308</v>
      </c>
      <c r="E111" s="11" t="s">
        <v>787</v>
      </c>
      <c r="F111">
        <f>IFERROR(VALUE((_xll.BDP($B111,"interval_rsi","tech_studies_param1_override",14))),"")</f>
        <v>29.625880367946507</v>
      </c>
      <c r="G111">
        <f t="shared" si="0"/>
        <v>52.525531939815814</v>
      </c>
      <c r="H111">
        <f t="shared" si="65"/>
        <v>0</v>
      </c>
      <c r="I111" cm="1">
        <f t="array" ref="I111">IFERROR(VALUE(_xll.BDP($B111,"px_last")),"")</f>
        <v>22.42</v>
      </c>
      <c r="J111">
        <f t="shared" si="1"/>
        <v>6941.47</v>
      </c>
      <c r="K111" cm="1">
        <f t="array" ref="K111">IFERROR(VALUE(_xll.BDP($B111,"PX_YEST_CLOSE")),"")</f>
        <v>22.82</v>
      </c>
      <c r="L111">
        <f t="shared" si="2"/>
        <v>6941.81</v>
      </c>
      <c r="M111">
        <f t="shared" si="66"/>
        <v>3.2298634150979551E-3</v>
      </c>
      <c r="N111">
        <f t="shared" si="67"/>
        <v>3.2873270804012209E-3</v>
      </c>
      <c r="O111" cm="1">
        <f t="array" ref="O111">IFERROR(VALUE(_xll.BDP($B111,"INTERVAL_MAE_MOV_AVG","CALC_INTERVAL","520D","TECH_STUDIES_PARAM1_OVERRIDE",50,"USE_PREVIOUS_BUSINESS_DAY","N")),"")</f>
        <v>28.805900001525888</v>
      </c>
      <c r="P111">
        <f t="shared" si="3"/>
        <v>6894.0953999999992</v>
      </c>
      <c r="Q111" cm="1">
        <f t="array" ref="Q111">IFERROR(VALUE(_xll.BDP($B111,"INTERVAL_MAE_MOV_AVG","CALC_INTERVAL","520D","TECH_STUDIES_PARAM1_OVERRIDE",50,"USE_PREVIOUS_BUSINESS_DAY","Y")),"")</f>
        <v>28.960300000000007</v>
      </c>
      <c r="R111">
        <f t="shared" si="4"/>
        <v>6892.2477999999992</v>
      </c>
      <c r="S111">
        <f t="shared" si="68"/>
        <v>4.1783436883577052E-3</v>
      </c>
      <c r="T111">
        <f t="shared" si="69"/>
        <v>4.2018657541593339E-3</v>
      </c>
      <c r="U111" s="11" t="str">
        <f t="shared" si="70"/>
        <v>NEGATIVE</v>
      </c>
      <c r="V111" s="11" t="str">
        <f t="shared" si="71"/>
        <v/>
      </c>
      <c r="W111" s="11" t="str">
        <f t="shared" si="72"/>
        <v>DOWN</v>
      </c>
      <c r="X111" s="6" t="str">
        <f t="shared" si="73"/>
        <v>NEGATIVE</v>
      </c>
      <c r="Y111" cm="1">
        <f t="array" ref="Y111">IFERROR(VALUE(_xll.BDP($B111,"INTERVAL_MAE_MOV_AVG","CALC_INTERVAL","520D","TECH_STUDIES_PARAM1_OVERRIDE",65,"USE_PREVIOUS_BUSINESS_DAY","N")),"")</f>
        <v>29.354846155019914</v>
      </c>
      <c r="Z111">
        <f t="shared" si="5"/>
        <v>6856.0226153846133</v>
      </c>
      <c r="AA111" cm="1">
        <f t="array" ref="AA111">IFERROR(VALUE(_xll.BDP($B111,"INTERVAL_MAE_MOV_AVG","CALC_INTERVAL","520D","TECH_STUDIES_PARAM1_OVERRIDE",65,"USE_PREVIOUS_BUSINESS_DAY","Y")),"")</f>
        <v>29.525461538461542</v>
      </c>
      <c r="AB111">
        <f t="shared" si="6"/>
        <v>6852.6203076923057</v>
      </c>
      <c r="AC111">
        <f t="shared" si="74"/>
        <v>4.2816145456038793E-3</v>
      </c>
      <c r="AD111">
        <f t="shared" si="75"/>
        <v>4.3086381869601297E-3</v>
      </c>
      <c r="AE111" s="10" t="str">
        <f t="shared" si="76"/>
        <v>DOWN</v>
      </c>
      <c r="AF111" s="10" t="str">
        <f t="shared" si="77"/>
        <v>DOWN</v>
      </c>
      <c r="AG111" s="6" t="str">
        <f t="shared" si="78"/>
        <v>NEGATIVE</v>
      </c>
      <c r="AH111" cm="1">
        <f t="array" ref="AH111">IFERROR(VALUE(_xll.BDP($B111,"INTERVAL_MAE_MOV_AVG","CALC_INTERVAL","65W","PERIODICITY_OVERRIDE","W","TECH_STUDIES_PARAM1_OVERRIDE",39,"USE_PREVIOUS_BUSINESS_DAY","N")),"")</f>
        <v>34.076581198537454</v>
      </c>
      <c r="AI111">
        <f t="shared" si="7"/>
        <v>6560.7735897435905</v>
      </c>
      <c r="AJ111" cm="1">
        <f t="array" ref="AJ111">IFERROR(VALUE(_xll.BDP($B111,"INTERVAL_MAE_MOV_AVG","CALC_INTERVAL","65W","PERIODICITY_OVERRIDE","W","TECH_STUDIES_PARAM1_OVERRIDE",39,"USE_PREVIOUS_BUSINESS_DAY","Y")),"")</f>
        <v>34.086837606837605</v>
      </c>
      <c r="AK111">
        <f t="shared" si="8"/>
        <v>6560.7823076923087</v>
      </c>
      <c r="AL111">
        <f t="shared" si="79"/>
        <v>5.1939882900103622E-3</v>
      </c>
      <c r="AM111">
        <f t="shared" si="80"/>
        <v>5.1955446786996536E-3</v>
      </c>
      <c r="AN111" s="10" t="str">
        <f t="shared" si="81"/>
        <v>DOWN</v>
      </c>
      <c r="AO111" s="10" t="str">
        <f t="shared" si="82"/>
        <v>DOWN</v>
      </c>
      <c r="AP111" s="6" t="str">
        <f t="shared" si="83"/>
        <v>NEGATIVE</v>
      </c>
      <c r="AQ111" cm="1">
        <f t="array" ref="AQ111">IFERROR(VALUE(_xll.BDP($B111,"INTERVAL_exp_MOV_AVG","CALC_INTERVAL","520D","TECH_STUDIES_PARAM1_OVERRIDE",100,"USE_PREVIOUS_BUSINESS_DAY","N")),"")</f>
        <v>30.874828614263659</v>
      </c>
      <c r="AR111">
        <f t="shared" si="9"/>
        <v>6773.0064518682802</v>
      </c>
      <c r="AS111" cm="1">
        <f t="array" ref="AS111">IFERROR(VALUE(_xll.BDP($B111,"INTERVAL_exp_MOV_AVG","CALC_INTERVAL","520D","TECH_STUDIES_PARAM1_OVERRIDE",100,"USE_PREVIOUS_BUSINESS_DAY","Y")),"")</f>
        <v>31.045639955771414</v>
      </c>
      <c r="AT111">
        <f t="shared" si="10"/>
        <v>6769.6039787132295</v>
      </c>
      <c r="AU111">
        <f t="shared" si="84"/>
        <v>4.5585116201605101E-3</v>
      </c>
      <c r="AV111">
        <f t="shared" si="85"/>
        <v>4.5860348778736966E-3</v>
      </c>
      <c r="AW111" s="11" t="str">
        <f t="shared" si="86"/>
        <v>DOWN</v>
      </c>
      <c r="AX111" s="11" t="str">
        <f t="shared" si="87"/>
        <v>DOWN</v>
      </c>
      <c r="AY111" s="6" t="str">
        <f t="shared" si="88"/>
        <v>NEGATIVE</v>
      </c>
      <c r="AZ111" s="12" cm="1">
        <f t="array" ref="AZ111">_xll.BDP($B111, "INTERVAL_RSI", "TECH_STUDIES_PARAM1_OVERRIDE", "5", "PERIODICITY_OVERRIDE", "W")</f>
        <v>14.790686478676889</v>
      </c>
      <c r="BA111" cm="1">
        <f t="array" ref="BA111">IFERROR(VALUE(_xll.BDP($B111,"INTERVAL_MAE_MOV_AVG","CALC_INTERVAL","520D","TECH_STUDIES_PARAM1_OVERRIDE",31,"USE_PREVIOUS_BUSINESS_DAY","N")),"")</f>
        <v>28.334032260525607</v>
      </c>
      <c r="BB111" cm="1">
        <f t="array" ref="BB111">IFERROR(VALUE(_xll.BDP($B111,"INTERVAL_MAE_MOV_AVG","CALC_INTERVAL","760D","TECH_STUDIES_PARAM1_OVERRIDE",200,"USE_PREVIOUS_BUSINESS_DAY","N")),"")</f>
        <v>34.377716667048134</v>
      </c>
      <c r="BC111" s="13">
        <f t="shared" si="89"/>
        <v>-0.20872540152941499</v>
      </c>
      <c r="BD111" s="13">
        <f t="shared" si="90"/>
        <v>-0.22168722383913075</v>
      </c>
      <c r="BE111" s="13">
        <f t="shared" si="91"/>
        <v>-0.34783335911631064</v>
      </c>
      <c r="BF111" s="14" cm="1">
        <f t="array" ref="BF111">VALUE(_xll.BDP($B111,"INTERVAL_DATE_OF_CALC_HI","CALC_INTERVAL","3M"))</f>
        <v>45972</v>
      </c>
      <c r="BG111" s="14" cm="1">
        <f t="array" ref="BG111">VALUE(_xll.BDP($B111,"INTERVAL_DATE_OF_CALC_LO","CALC_INTERVAL","3M"))</f>
        <v>46058</v>
      </c>
      <c r="BH111" s="14" cm="1">
        <f t="array" ref="BH111">VALUE(_xll.BDP($B111,"INTERVAL_DATE_OF_CALC_HI","CALC_INTERVAL","1M"))</f>
        <v>46036</v>
      </c>
      <c r="BI111" s="14" cm="1">
        <f t="array" ref="BI111">VALUE(_xll.BDP($B111,"INTERVAL_DATE_OF_CALC_LO","CALC_INTERVAL","1M"))</f>
        <v>46058</v>
      </c>
      <c r="BJ111" s="15">
        <f>$F111-MIN(_xll.BDP("NYA Index","RSI_14D"),_xll.BDP("RSP US Equity","RSI_14D"))</f>
        <v>-36.719883792209743</v>
      </c>
    </row>
    <row r="112" spans="1:62" x14ac:dyDescent="0.25">
      <c r="A112" s="11">
        <v>111</v>
      </c>
      <c r="B112" s="26" t="s">
        <v>351</v>
      </c>
      <c r="C112" s="1" t="s">
        <v>352</v>
      </c>
      <c r="D112" s="1" t="s">
        <v>308</v>
      </c>
      <c r="E112" s="11" t="s">
        <v>787</v>
      </c>
      <c r="F112">
        <f>IFERROR(VALUE((_xll.BDP($B112,"interval_rsi","tech_studies_param1_override",14))),"")</f>
        <v>29.15476610323644</v>
      </c>
      <c r="G112">
        <f t="shared" si="0"/>
        <v>52.525531939815814</v>
      </c>
      <c r="H112">
        <f t="shared" si="65"/>
        <v>0</v>
      </c>
      <c r="I112" cm="1">
        <f t="array" ref="I112">IFERROR(VALUE(_xll.BDP($B112,"px_last")),"")</f>
        <v>38.93</v>
      </c>
      <c r="J112">
        <f t="shared" si="1"/>
        <v>6941.47</v>
      </c>
      <c r="K112" cm="1">
        <f t="array" ref="K112">IFERROR(VALUE(_xll.BDP($B112,"PX_YEST_CLOSE")),"")</f>
        <v>40.39</v>
      </c>
      <c r="L112">
        <f t="shared" si="2"/>
        <v>6941.81</v>
      </c>
      <c r="M112">
        <f t="shared" si="66"/>
        <v>5.6083221565460918E-3</v>
      </c>
      <c r="N112">
        <f t="shared" si="67"/>
        <v>5.8183672558021612E-3</v>
      </c>
      <c r="O112" cm="1">
        <f t="array" ref="O112">IFERROR(VALUE(_xll.BDP($B112,"INTERVAL_MAE_MOV_AVG","CALC_INTERVAL","520D","TECH_STUDIES_PARAM1_OVERRIDE",50,"USE_PREVIOUS_BUSINESS_DAY","N")),"")</f>
        <v>47.029043680103527</v>
      </c>
      <c r="P112">
        <f t="shared" si="3"/>
        <v>6894.0953999999992</v>
      </c>
      <c r="Q112" cm="1">
        <f t="array" ref="Q112">IFERROR(VALUE(_xll.BDP($B112,"INTERVAL_MAE_MOV_AVG","CALC_INTERVAL","520D","TECH_STUDIES_PARAM1_OVERRIDE",50,"USE_PREVIOUS_BUSINESS_DAY","Y")),"")</f>
        <v>47.241177015600009</v>
      </c>
      <c r="R112">
        <f t="shared" si="4"/>
        <v>6892.2477999999992</v>
      </c>
      <c r="S112">
        <f t="shared" si="68"/>
        <v>6.8216409770168731E-3</v>
      </c>
      <c r="T112">
        <f t="shared" si="69"/>
        <v>6.854248191076359E-3</v>
      </c>
      <c r="U112" s="11" t="str">
        <f t="shared" si="70"/>
        <v>NEGATIVE</v>
      </c>
      <c r="V112" s="11" t="str">
        <f t="shared" si="71"/>
        <v/>
      </c>
      <c r="W112" s="11" t="str">
        <f t="shared" si="72"/>
        <v>DOWN</v>
      </c>
      <c r="X112" s="6" t="str">
        <f t="shared" si="73"/>
        <v>NEGATIVE</v>
      </c>
      <c r="Y112" cm="1">
        <f t="array" ref="Y112">IFERROR(VALUE(_xll.BDP($B112,"INTERVAL_MAE_MOV_AVG","CALC_INTERVAL","520D","TECH_STUDIES_PARAM1_OVERRIDE",65,"USE_PREVIOUS_BUSINESS_DAY","N")),"")</f>
        <v>47.530255310233471</v>
      </c>
      <c r="Z112">
        <f t="shared" si="5"/>
        <v>6856.0226153846133</v>
      </c>
      <c r="AA112" cm="1">
        <f t="array" ref="AA112">IFERROR(VALUE(_xll.BDP($B112,"INTERVAL_MAE_MOV_AVG","CALC_INTERVAL","520D","TECH_STUDIES_PARAM1_OVERRIDE",65,"USE_PREVIOUS_BUSINESS_DAY","Y")),"")</f>
        <v>47.718797228307686</v>
      </c>
      <c r="AB112">
        <f t="shared" si="6"/>
        <v>6852.6203076923057</v>
      </c>
      <c r="AC112">
        <f t="shared" si="74"/>
        <v>6.9326281397581258E-3</v>
      </c>
      <c r="AD112">
        <f t="shared" si="75"/>
        <v>6.9635840139488933E-3</v>
      </c>
      <c r="AE112" s="10" t="str">
        <f t="shared" si="76"/>
        <v>DOWN</v>
      </c>
      <c r="AF112" s="10" t="str">
        <f t="shared" si="77"/>
        <v>DOWN</v>
      </c>
      <c r="AG112" s="6" t="str">
        <f t="shared" si="78"/>
        <v>NEGATIVE</v>
      </c>
      <c r="AH112" cm="1">
        <f t="array" ref="AH112">IFERROR(VALUE(_xll.BDP($B112,"INTERVAL_MAE_MOV_AVG","CALC_INTERVAL","65W","PERIODICITY_OVERRIDE","W","TECH_STUDIES_PARAM1_OVERRIDE",39,"USE_PREVIOUS_BUSINESS_DAY","N")),"")</f>
        <v>50.053678604491687</v>
      </c>
      <c r="AI112">
        <f t="shared" si="7"/>
        <v>6560.7735897435905</v>
      </c>
      <c r="AJ112" cm="1">
        <f t="array" ref="AJ112">IFERROR(VALUE(_xll.BDP($B112,"INTERVAL_MAE_MOV_AVG","CALC_INTERVAL","65W","PERIODICITY_OVERRIDE","W","TECH_STUDIES_PARAM1_OVERRIDE",39,"USE_PREVIOUS_BUSINESS_DAY","Y")),"")</f>
        <v>50.091114494102563</v>
      </c>
      <c r="AK112">
        <f t="shared" si="8"/>
        <v>6560.7823076923087</v>
      </c>
      <c r="AL112">
        <f t="shared" si="79"/>
        <v>7.6292342541343355E-3</v>
      </c>
      <c r="AM112">
        <f t="shared" si="80"/>
        <v>7.6349301264534144E-3</v>
      </c>
      <c r="AN112" s="10" t="str">
        <f t="shared" si="81"/>
        <v>DOWN</v>
      </c>
      <c r="AO112" s="10" t="str">
        <f t="shared" si="82"/>
        <v>DOWN</v>
      </c>
      <c r="AP112" s="6" t="str">
        <f t="shared" si="83"/>
        <v>NEGATIVE</v>
      </c>
      <c r="AQ112" cm="1">
        <f t="array" ref="AQ112">IFERROR(VALUE(_xll.BDP($B112,"INTERVAL_exp_MOV_AVG","CALC_INTERVAL","520D","TECH_STUDIES_PARAM1_OVERRIDE",100,"USE_PREVIOUS_BUSINESS_DAY","N")),"")</f>
        <v>48.191051986732624</v>
      </c>
      <c r="AR112">
        <f t="shared" si="9"/>
        <v>6773.0064518682802</v>
      </c>
      <c r="AS112" cm="1">
        <f t="array" ref="AS112">IFERROR(VALUE(_xll.BDP($B112,"INTERVAL_exp_MOV_AVG","CALC_INTERVAL","520D","TECH_STUDIES_PARAM1_OVERRIDE",100,"USE_PREVIOUS_BUSINESS_DAY","Y")),"")</f>
        <v>48.378152312431489</v>
      </c>
      <c r="AT112">
        <f t="shared" si="10"/>
        <v>6769.6039787132295</v>
      </c>
      <c r="AU112">
        <f t="shared" si="84"/>
        <v>7.1151640455679038E-3</v>
      </c>
      <c r="AV112">
        <f t="shared" si="85"/>
        <v>7.1463784978493287E-3</v>
      </c>
      <c r="AW112" s="11" t="str">
        <f t="shared" si="86"/>
        <v>DOWN</v>
      </c>
      <c r="AX112" s="11" t="str">
        <f t="shared" si="87"/>
        <v>DOWN</v>
      </c>
      <c r="AY112" s="6" t="str">
        <f t="shared" si="88"/>
        <v>NEGATIVE</v>
      </c>
      <c r="AZ112" s="12" cm="1">
        <f t="array" ref="AZ112">_xll.BDP($B112, "INTERVAL_RSI", "TECH_STUDIES_PARAM1_OVERRIDE", "5", "PERIODICITY_OVERRIDE", "W")</f>
        <v>10.493427227602638</v>
      </c>
      <c r="BA112" cm="1">
        <f t="array" ref="BA112">IFERROR(VALUE(_xll.BDP($B112,"INTERVAL_MAE_MOV_AVG","CALC_INTERVAL","520D","TECH_STUDIES_PARAM1_OVERRIDE",31,"USE_PREVIOUS_BUSINESS_DAY","N")),"")</f>
        <v>45.5916129130702</v>
      </c>
      <c r="BB112" cm="1">
        <f t="array" ref="BB112">IFERROR(VALUE(_xll.BDP($B112,"INTERVAL_MAE_MOV_AVG","CALC_INTERVAL","760D","TECH_STUDIES_PARAM1_OVERRIDE",200,"USE_PREVIOUS_BUSINESS_DAY","N")),"")</f>
        <v>49.466848909475878</v>
      </c>
      <c r="BC112" s="13">
        <f t="shared" si="89"/>
        <v>-0.14611487700099446</v>
      </c>
      <c r="BD112" s="13">
        <f t="shared" si="90"/>
        <v>-0.1722136587593418</v>
      </c>
      <c r="BE112" s="13">
        <f t="shared" si="91"/>
        <v>-0.21300829023409729</v>
      </c>
      <c r="BF112" s="14" cm="1">
        <f t="array" ref="BF112">VALUE(_xll.BDP($B112,"INTERVAL_DATE_OF_CALC_HI","CALC_INTERVAL","3M"))</f>
        <v>45972</v>
      </c>
      <c r="BG112" s="14" cm="1">
        <f t="array" ref="BG112">VALUE(_xll.BDP($B112,"INTERVAL_DATE_OF_CALC_LO","CALC_INTERVAL","3M"))</f>
        <v>46058</v>
      </c>
      <c r="BH112" s="14" cm="1">
        <f t="array" ref="BH112">VALUE(_xll.BDP($B112,"INTERVAL_DATE_OF_CALC_HI","CALC_INTERVAL","1M"))</f>
        <v>46035</v>
      </c>
      <c r="BI112" s="14" cm="1">
        <f t="array" ref="BI112">VALUE(_xll.BDP($B112,"INTERVAL_DATE_OF_CALC_LO","CALC_INTERVAL","1M"))</f>
        <v>46058</v>
      </c>
      <c r="BJ112" s="15">
        <f>$F112-MIN(_xll.BDP("NYA Index","RSI_14D"),_xll.BDP("RSP US Equity","RSI_14D"))</f>
        <v>-37.19099805691981</v>
      </c>
    </row>
    <row r="113" spans="1:62" x14ac:dyDescent="0.25">
      <c r="A113" s="11">
        <v>112</v>
      </c>
      <c r="B113" s="26" t="s">
        <v>353</v>
      </c>
      <c r="C113" s="1" t="s">
        <v>354</v>
      </c>
      <c r="D113" s="1" t="s">
        <v>308</v>
      </c>
      <c r="E113" s="11" t="s">
        <v>787</v>
      </c>
      <c r="F113">
        <f>IFERROR(VALUE((_xll.BDP($B113,"interval_rsi","tech_studies_param1_override",14))),"")</f>
        <v>40.482845293126296</v>
      </c>
      <c r="G113">
        <f t="shared" si="0"/>
        <v>52.525531939815814</v>
      </c>
      <c r="H113">
        <f t="shared" si="65"/>
        <v>0</v>
      </c>
      <c r="I113" cm="1">
        <f t="array" ref="I113">IFERROR(VALUE(_xll.BDP($B113,"px_last")),"")</f>
        <v>28.74</v>
      </c>
      <c r="J113">
        <f t="shared" si="1"/>
        <v>6941.47</v>
      </c>
      <c r="K113" cm="1">
        <f t="array" ref="K113">IFERROR(VALUE(_xll.BDP($B113,"PX_YEST_CLOSE")),"")</f>
        <v>29.13</v>
      </c>
      <c r="L113">
        <f t="shared" si="2"/>
        <v>6941.81</v>
      </c>
      <c r="M113">
        <f t="shared" si="66"/>
        <v>4.140333387596575E-3</v>
      </c>
      <c r="N113">
        <f t="shared" si="67"/>
        <v>4.1963119128872722E-3</v>
      </c>
      <c r="O113" cm="1">
        <f t="array" ref="O113">IFERROR(VALUE(_xll.BDP($B113,"INTERVAL_MAE_MOV_AVG","CALC_INTERVAL","520D","TECH_STUDIES_PARAM1_OVERRIDE",50,"USE_PREVIOUS_BUSINESS_DAY","N")),"")</f>
        <v>30.583799995422357</v>
      </c>
      <c r="P113">
        <f t="shared" si="3"/>
        <v>6894.0953999999992</v>
      </c>
      <c r="Q113" cm="1">
        <f t="array" ref="Q113">IFERROR(VALUE(_xll.BDP($B113,"INTERVAL_MAE_MOV_AVG","CALC_INTERVAL","520D","TECH_STUDIES_PARAM1_OVERRIDE",50,"USE_PREVIOUS_BUSINESS_DAY","Y")),"")</f>
        <v>30.632799999999989</v>
      </c>
      <c r="R113">
        <f t="shared" si="4"/>
        <v>6892.2477999999992</v>
      </c>
      <c r="S113">
        <f t="shared" si="68"/>
        <v>4.4362310384365089E-3</v>
      </c>
      <c r="T113">
        <f t="shared" si="69"/>
        <v>4.444529693201105E-3</v>
      </c>
      <c r="U113" s="11" t="str">
        <f t="shared" si="70"/>
        <v>NEGATIVE</v>
      </c>
      <c r="V113" s="11" t="str">
        <f t="shared" si="71"/>
        <v/>
      </c>
      <c r="W113" s="11" t="str">
        <f t="shared" si="72"/>
        <v>DOWN</v>
      </c>
      <c r="X113" s="6" t="str">
        <f t="shared" si="73"/>
        <v>NEGATIVE</v>
      </c>
      <c r="Y113" cm="1">
        <f t="array" ref="Y113">IFERROR(VALUE(_xll.BDP($B113,"INTERVAL_MAE_MOV_AVG","CALC_INTERVAL","520D","TECH_STUDIES_PARAM1_OVERRIDE",65,"USE_PREVIOUS_BUSINESS_DAY","N")),"")</f>
        <v>30.116307688786428</v>
      </c>
      <c r="Z113">
        <f t="shared" si="5"/>
        <v>6856.0226153846133</v>
      </c>
      <c r="AA113" cm="1">
        <f t="array" ref="AA113">IFERROR(VALUE(_xll.BDP($B113,"INTERVAL_MAE_MOV_AVG","CALC_INTERVAL","520D","TECH_STUDIES_PARAM1_OVERRIDE",65,"USE_PREVIOUS_BUSINESS_DAY","Y")),"")</f>
        <v>30.110461538461529</v>
      </c>
      <c r="AB113">
        <f t="shared" si="6"/>
        <v>6852.6203076923057</v>
      </c>
      <c r="AC113">
        <f t="shared" si="74"/>
        <v>4.3926791637481999E-3</v>
      </c>
      <c r="AD113">
        <f t="shared" si="75"/>
        <v>4.3940069909697878E-3</v>
      </c>
      <c r="AE113" s="10" t="str">
        <f t="shared" si="76"/>
        <v>UP</v>
      </c>
      <c r="AF113" s="10" t="str">
        <f t="shared" si="77"/>
        <v>DOWN</v>
      </c>
      <c r="AG113" s="6" t="str">
        <f t="shared" si="78"/>
        <v>NEGATIVE</v>
      </c>
      <c r="AH113" cm="1">
        <f t="array" ref="AH113">IFERROR(VALUE(_xll.BDP($B113,"INTERVAL_MAE_MOV_AVG","CALC_INTERVAL","65W","PERIODICITY_OVERRIDE","W","TECH_STUDIES_PARAM1_OVERRIDE",39,"USE_PREVIOUS_BUSINESS_DAY","N")),"")</f>
        <v>27.38525640438764</v>
      </c>
      <c r="AI113">
        <f t="shared" si="7"/>
        <v>6560.7735897435905</v>
      </c>
      <c r="AJ113" cm="1">
        <f t="array" ref="AJ113">IFERROR(VALUE(_xll.BDP($B113,"INTERVAL_MAE_MOV_AVG","CALC_INTERVAL","65W","PERIODICITY_OVERRIDE","W","TECH_STUDIES_PARAM1_OVERRIDE",39,"USE_PREVIOUS_BUSINESS_DAY","Y")),"")</f>
        <v>27.395256410256408</v>
      </c>
      <c r="AK113">
        <f t="shared" si="8"/>
        <v>6560.7823076923087</v>
      </c>
      <c r="AL113">
        <f t="shared" si="79"/>
        <v>4.1740895383432846E-3</v>
      </c>
      <c r="AM113">
        <f t="shared" si="80"/>
        <v>4.1756082011952054E-3</v>
      </c>
      <c r="AN113" s="10" t="str">
        <f t="shared" si="81"/>
        <v>DOWN</v>
      </c>
      <c r="AO113" s="10" t="str">
        <f t="shared" si="82"/>
        <v>DOWN</v>
      </c>
      <c r="AP113" s="6" t="str">
        <f t="shared" si="83"/>
        <v>SELL</v>
      </c>
      <c r="AQ113" cm="1">
        <f t="array" ref="AQ113">IFERROR(VALUE(_xll.BDP($B113,"INTERVAL_exp_MOV_AVG","CALC_INTERVAL","520D","TECH_STUDIES_PARAM1_OVERRIDE",100,"USE_PREVIOUS_BUSINESS_DAY","N")),"")</f>
        <v>29.49749185056265</v>
      </c>
      <c r="AR113">
        <f t="shared" si="9"/>
        <v>6773.0064518682802</v>
      </c>
      <c r="AS113" cm="1">
        <f t="array" ref="AS113">IFERROR(VALUE(_xll.BDP($B113,"INTERVAL_exp_MOV_AVG","CALC_INTERVAL","520D","TECH_STUDIES_PARAM1_OVERRIDE",100,"USE_PREVIOUS_BUSINESS_DAY","Y")),"")</f>
        <v>29.512824205547318</v>
      </c>
      <c r="AT113">
        <f t="shared" si="10"/>
        <v>6769.6039787132295</v>
      </c>
      <c r="AU113">
        <f t="shared" si="84"/>
        <v>4.3551548430056496E-3</v>
      </c>
      <c r="AV113">
        <f t="shared" si="85"/>
        <v>4.3596086711053268E-3</v>
      </c>
      <c r="AW113" s="11" t="str">
        <f t="shared" si="86"/>
        <v>DOWN</v>
      </c>
      <c r="AX113" s="11" t="str">
        <f t="shared" si="87"/>
        <v>DOWN</v>
      </c>
      <c r="AY113" s="6" t="str">
        <f t="shared" si="88"/>
        <v>NEGATIVE</v>
      </c>
      <c r="AZ113" s="12" cm="1">
        <f t="array" ref="AZ113">_xll.BDP($B113, "INTERVAL_RSI", "TECH_STUDIES_PARAM1_OVERRIDE", "5", "PERIODICITY_OVERRIDE", "W")</f>
        <v>35.504689675000606</v>
      </c>
      <c r="BA113" cm="1">
        <f t="array" ref="BA113">IFERROR(VALUE(_xll.BDP($B113,"INTERVAL_MAE_MOV_AVG","CALC_INTERVAL","520D","TECH_STUDIES_PARAM1_OVERRIDE",31,"USE_PREVIOUS_BUSINESS_DAY","N")),"")</f>
        <v>30.772903218423171</v>
      </c>
      <c r="BB113" cm="1">
        <f t="array" ref="BB113">IFERROR(VALUE(_xll.BDP($B113,"INTERVAL_MAE_MOV_AVG","CALC_INTERVAL","760D","TECH_STUDIES_PARAM1_OVERRIDE",200,"USE_PREVIOUS_BUSINESS_DAY","N")),"")</f>
        <v>26.963699998855596</v>
      </c>
      <c r="BC113" s="13">
        <f t="shared" si="89"/>
        <v>-6.6061469858525124E-2</v>
      </c>
      <c r="BD113" s="13">
        <f t="shared" si="90"/>
        <v>-6.0286818371109163E-2</v>
      </c>
      <c r="BE113" s="13">
        <f t="shared" si="91"/>
        <v>6.5877457515837623E-2</v>
      </c>
      <c r="BF113" s="14" cm="1">
        <f t="array" ref="BF113">VALUE(_xll.BDP($B113,"INTERVAL_DATE_OF_CALC_HI","CALC_INTERVAL","3M"))</f>
        <v>46044</v>
      </c>
      <c r="BG113" s="14" cm="1">
        <f t="array" ref="BG113">VALUE(_xll.BDP($B113,"INTERVAL_DATE_OF_CALC_LO","CALC_INTERVAL","3M"))</f>
        <v>45979</v>
      </c>
      <c r="BH113" s="14" cm="1">
        <f t="array" ref="BH113">VALUE(_xll.BDP($B113,"INTERVAL_DATE_OF_CALC_HI","CALC_INTERVAL","1M"))</f>
        <v>46044</v>
      </c>
      <c r="BI113" s="14" cm="1">
        <f t="array" ref="BI113">VALUE(_xll.BDP($B113,"INTERVAL_DATE_OF_CALC_LO","CALC_INTERVAL","1M"))</f>
        <v>46058</v>
      </c>
      <c r="BJ113" s="15">
        <f>$F113-MIN(_xll.BDP("NYA Index","RSI_14D"),_xll.BDP("RSP US Equity","RSI_14D"))</f>
        <v>-25.862918867029954</v>
      </c>
    </row>
    <row r="114" spans="1:62" x14ac:dyDescent="0.25">
      <c r="A114" s="11">
        <v>113</v>
      </c>
      <c r="B114" s="26" t="s">
        <v>154</v>
      </c>
      <c r="C114" s="1" t="s">
        <v>241</v>
      </c>
      <c r="D114" s="1" t="s">
        <v>308</v>
      </c>
      <c r="E114" s="11" t="s">
        <v>787</v>
      </c>
      <c r="F114">
        <f>IFERROR(VALUE((_xll.BDP($B114,"interval_rsi","tech_studies_param1_override",14))),"")</f>
        <v>37.389338911837086</v>
      </c>
      <c r="G114">
        <f t="shared" si="0"/>
        <v>52.525531939815814</v>
      </c>
      <c r="H114">
        <f t="shared" si="65"/>
        <v>0</v>
      </c>
      <c r="I114" cm="1">
        <f t="array" ref="I114">IFERROR(VALUE(_xll.BDP($B114,"px_last")),"")</f>
        <v>70.87</v>
      </c>
      <c r="J114">
        <f t="shared" si="1"/>
        <v>6941.47</v>
      </c>
      <c r="K114" cm="1">
        <f t="array" ref="K114">IFERROR(VALUE(_xll.BDP($B114,"PX_YEST_CLOSE")),"")</f>
        <v>72.260000000000005</v>
      </c>
      <c r="L114">
        <f t="shared" si="2"/>
        <v>6941.81</v>
      </c>
      <c r="M114">
        <f t="shared" si="66"/>
        <v>1.0209652998572349E-2</v>
      </c>
      <c r="N114">
        <f t="shared" si="67"/>
        <v>1.0409388905775295E-2</v>
      </c>
      <c r="O114" cm="1">
        <f t="array" ref="O114">IFERROR(VALUE(_xll.BDP($B114,"INTERVAL_MAE_MOV_AVG","CALC_INTERVAL","520D","TECH_STUDIES_PARAM1_OVERRIDE",50,"USE_PREVIOUS_BUSINESS_DAY","N")),"")</f>
        <v>78.853800054931639</v>
      </c>
      <c r="P114">
        <f t="shared" si="3"/>
        <v>6894.0953999999992</v>
      </c>
      <c r="Q114" cm="1">
        <f t="array" ref="Q114">IFERROR(VALUE(_xll.BDP($B114,"INTERVAL_MAE_MOV_AVG","CALC_INTERVAL","520D","TECH_STUDIES_PARAM1_OVERRIDE",50,"USE_PREVIOUS_BUSINESS_DAY","Y")),"")</f>
        <v>79.029999999999987</v>
      </c>
      <c r="R114">
        <f t="shared" si="4"/>
        <v>6892.2477999999992</v>
      </c>
      <c r="S114">
        <f t="shared" si="68"/>
        <v>1.1437874801519522E-2</v>
      </c>
      <c r="T114">
        <f t="shared" si="69"/>
        <v>1.1466505890864806E-2</v>
      </c>
      <c r="U114" s="11" t="str">
        <f t="shared" si="70"/>
        <v>NEGATIVE</v>
      </c>
      <c r="V114" s="11" t="str">
        <f t="shared" si="71"/>
        <v/>
      </c>
      <c r="W114" s="11" t="str">
        <f t="shared" si="72"/>
        <v>DOWN</v>
      </c>
      <c r="X114" s="6" t="str">
        <f t="shared" si="73"/>
        <v>NEGATIVE</v>
      </c>
      <c r="Y114" cm="1">
        <f t="array" ref="Y114">IFERROR(VALUE(_xll.BDP($B114,"INTERVAL_MAE_MOV_AVG","CALC_INTERVAL","520D","TECH_STUDIES_PARAM1_OVERRIDE",65,"USE_PREVIOUS_BUSINESS_DAY","N")),"")</f>
        <v>78.552153888408967</v>
      </c>
      <c r="Z114">
        <f t="shared" si="5"/>
        <v>6856.0226153846133</v>
      </c>
      <c r="AA114" cm="1">
        <f t="array" ref="AA114">IFERROR(VALUE(_xll.BDP($B114,"INTERVAL_MAE_MOV_AVG","CALC_INTERVAL","520D","TECH_STUDIES_PARAM1_OVERRIDE",65,"USE_PREVIOUS_BUSINESS_DAY","Y")),"")</f>
        <v>78.70676923076924</v>
      </c>
      <c r="AB114">
        <f t="shared" si="6"/>
        <v>6852.6203076923057</v>
      </c>
      <c r="AC114">
        <f t="shared" si="74"/>
        <v>1.1457394220395567E-2</v>
      </c>
      <c r="AD114">
        <f t="shared" si="75"/>
        <v>1.1485645737940295E-2</v>
      </c>
      <c r="AE114" s="10" t="str">
        <f t="shared" si="76"/>
        <v>DOWN</v>
      </c>
      <c r="AF114" s="10" t="str">
        <f t="shared" si="77"/>
        <v>DOWN</v>
      </c>
      <c r="AG114" s="6" t="str">
        <f t="shared" si="78"/>
        <v>NEGATIVE</v>
      </c>
      <c r="AH114" cm="1">
        <f t="array" ref="AH114">IFERROR(VALUE(_xll.BDP($B114,"INTERVAL_MAE_MOV_AVG","CALC_INTERVAL","65W","PERIODICITY_OVERRIDE","W","TECH_STUDIES_PARAM1_OVERRIDE",39,"USE_PREVIOUS_BUSINESS_DAY","N")),"")</f>
        <v>76.334871865296989</v>
      </c>
      <c r="AI114">
        <f t="shared" si="7"/>
        <v>6560.7735897435905</v>
      </c>
      <c r="AJ114" cm="1">
        <f t="array" ref="AJ114">IFERROR(VALUE(_xll.BDP($B114,"INTERVAL_MAE_MOV_AVG","CALC_INTERVAL","65W","PERIODICITY_OVERRIDE","W","TECH_STUDIES_PARAM1_OVERRIDE",39,"USE_PREVIOUS_BUSINESS_DAY","Y")),"")</f>
        <v>76.370512820512843</v>
      </c>
      <c r="AK114">
        <f t="shared" si="8"/>
        <v>6560.7823076923087</v>
      </c>
      <c r="AL114">
        <f t="shared" si="79"/>
        <v>1.1635041328758965E-2</v>
      </c>
      <c r="AM114">
        <f t="shared" si="80"/>
        <v>1.1640458292751284E-2</v>
      </c>
      <c r="AN114" s="10" t="str">
        <f t="shared" si="81"/>
        <v>DOWN</v>
      </c>
      <c r="AO114" s="10" t="str">
        <f t="shared" si="82"/>
        <v>DOWN</v>
      </c>
      <c r="AP114" s="6" t="str">
        <f t="shared" si="83"/>
        <v>NEGATIVE</v>
      </c>
      <c r="AQ114" cm="1">
        <f t="array" ref="AQ114">IFERROR(VALUE(_xll.BDP($B114,"INTERVAL_exp_MOV_AVG","CALC_INTERVAL","520D","TECH_STUDIES_PARAM1_OVERRIDE",100,"USE_PREVIOUS_BUSINESS_DAY","N")),"")</f>
        <v>78.163828546545361</v>
      </c>
      <c r="AR114">
        <f t="shared" si="9"/>
        <v>6773.0064518682802</v>
      </c>
      <c r="AS114" cm="1">
        <f t="array" ref="AS114">IFERROR(VALUE(_xll.BDP($B114,"INTERVAL_exp_MOV_AVG","CALC_INTERVAL","520D","TECH_STUDIES_PARAM1_OVERRIDE",100,"USE_PREVIOUS_BUSINESS_DAY","Y")),"")</f>
        <v>78.311204633382047</v>
      </c>
      <c r="AT114">
        <f t="shared" si="10"/>
        <v>6769.6039787132295</v>
      </c>
      <c r="AU114">
        <f t="shared" si="84"/>
        <v>1.1540492261746553E-2</v>
      </c>
      <c r="AV114">
        <f t="shared" si="85"/>
        <v>1.1568062899931628E-2</v>
      </c>
      <c r="AW114" s="11" t="str">
        <f t="shared" si="86"/>
        <v>DOWN</v>
      </c>
      <c r="AX114" s="11" t="str">
        <f t="shared" si="87"/>
        <v>DOWN</v>
      </c>
      <c r="AY114" s="6" t="str">
        <f t="shared" si="88"/>
        <v>NEGATIVE</v>
      </c>
      <c r="AZ114" s="12" cm="1">
        <f t="array" ref="AZ114">_xll.BDP($B114, "INTERVAL_RSI", "TECH_STUDIES_PARAM1_OVERRIDE", "5", "PERIODICITY_OVERRIDE", "W")</f>
        <v>22.533935774877165</v>
      </c>
      <c r="BA114" cm="1">
        <f t="array" ref="BA114">IFERROR(VALUE(_xll.BDP($B114,"INTERVAL_MAE_MOV_AVG","CALC_INTERVAL","520D","TECH_STUDIES_PARAM1_OVERRIDE",31,"USE_PREVIOUS_BUSINESS_DAY","N")),"")</f>
        <v>77.843225895051035</v>
      </c>
      <c r="BB114" cm="1">
        <f t="array" ref="BB114">IFERROR(VALUE(_xll.BDP($B114,"INTERVAL_MAE_MOV_AVG","CALC_INTERVAL","760D","TECH_STUDIES_PARAM1_OVERRIDE",200,"USE_PREVIOUS_BUSINESS_DAY","N")),"")</f>
        <v>74.819450013732919</v>
      </c>
      <c r="BC114" s="13">
        <f t="shared" si="89"/>
        <v>-8.95803817849532E-2</v>
      </c>
      <c r="BD114" s="13">
        <f t="shared" si="90"/>
        <v>-0.10124813324620896</v>
      </c>
      <c r="BE114" s="13">
        <f t="shared" si="91"/>
        <v>-5.278640798626566E-2</v>
      </c>
      <c r="BF114" s="14" cm="1">
        <f t="array" ref="BF114">VALUE(_xll.BDP($B114,"INTERVAL_DATE_OF_CALC_HI","CALC_INTERVAL","3M"))</f>
        <v>46035</v>
      </c>
      <c r="BG114" s="14" cm="1">
        <f t="array" ref="BG114">VALUE(_xll.BDP($B114,"INTERVAL_DATE_OF_CALC_LO","CALC_INTERVAL","3M"))</f>
        <v>46058</v>
      </c>
      <c r="BH114" s="14" cm="1">
        <f t="array" ref="BH114">VALUE(_xll.BDP($B114,"INTERVAL_DATE_OF_CALC_HI","CALC_INTERVAL","1M"))</f>
        <v>46035</v>
      </c>
      <c r="BI114" s="14" cm="1">
        <f t="array" ref="BI114">VALUE(_xll.BDP($B114,"INTERVAL_DATE_OF_CALC_LO","CALC_INTERVAL","1M"))</f>
        <v>46058</v>
      </c>
      <c r="BJ114" s="15">
        <f>$F114-MIN(_xll.BDP("NYA Index","RSI_14D"),_xll.BDP("RSP US Equity","RSI_14D"))</f>
        <v>-28.956425248319164</v>
      </c>
    </row>
    <row r="115" spans="1:62" x14ac:dyDescent="0.25">
      <c r="A115" s="11">
        <v>114</v>
      </c>
      <c r="B115" s="26" t="s">
        <v>355</v>
      </c>
      <c r="C115" s="1" t="s">
        <v>356</v>
      </c>
      <c r="D115" s="1" t="s">
        <v>308</v>
      </c>
      <c r="E115" s="11" t="s">
        <v>787</v>
      </c>
      <c r="F115">
        <f>IFERROR(VALUE((_xll.BDP($B115,"interval_rsi","tech_studies_param1_override",14))),"")</f>
        <v>48.53727179101061</v>
      </c>
      <c r="G115">
        <f t="shared" si="0"/>
        <v>52.525531939815814</v>
      </c>
      <c r="H115">
        <f t="shared" si="65"/>
        <v>0</v>
      </c>
      <c r="I115" cm="1">
        <f t="array" ref="I115">IFERROR(VALUE(_xll.BDP($B115,"px_last")),"")</f>
        <v>123.27</v>
      </c>
      <c r="J115">
        <f t="shared" si="1"/>
        <v>6941.47</v>
      </c>
      <c r="K115" cm="1">
        <f t="array" ref="K115">IFERROR(VALUE(_xll.BDP($B115,"PX_YEST_CLOSE")),"")</f>
        <v>124.52</v>
      </c>
      <c r="L115">
        <f t="shared" si="2"/>
        <v>6941.81</v>
      </c>
      <c r="M115">
        <f t="shared" si="66"/>
        <v>1.7758486314858379E-2</v>
      </c>
      <c r="N115">
        <f t="shared" si="67"/>
        <v>1.7937684840120947E-2</v>
      </c>
      <c r="O115" cm="1">
        <f t="array" ref="O115">IFERROR(VALUE(_xll.BDP($B115,"INTERVAL_MAE_MOV_AVG","CALC_INTERVAL","520D","TECH_STUDIES_PARAM1_OVERRIDE",50,"USE_PREVIOUS_BUSINESS_DAY","N")),"")</f>
        <v>121.43295689016136</v>
      </c>
      <c r="P115">
        <f t="shared" si="3"/>
        <v>6894.0953999999992</v>
      </c>
      <c r="Q115" cm="1">
        <f t="array" ref="Q115">IFERROR(VALUE(_xll.BDP($B115,"INTERVAL_MAE_MOV_AVG","CALC_INTERVAL","520D","TECH_STUDIES_PARAM1_OVERRIDE",50,"USE_PREVIOUS_BUSINESS_DAY","Y")),"")</f>
        <v>121.16112480610003</v>
      </c>
      <c r="R115">
        <f t="shared" si="4"/>
        <v>6892.2477999999992</v>
      </c>
      <c r="S115">
        <f t="shared" si="68"/>
        <v>1.7614052293236523E-2</v>
      </c>
      <c r="T115">
        <f t="shared" si="69"/>
        <v>1.7579333814158576E-2</v>
      </c>
      <c r="U115" s="11" t="str">
        <f t="shared" si="70"/>
        <v>NEGATIVE</v>
      </c>
      <c r="V115" s="11" t="str">
        <f t="shared" si="71"/>
        <v/>
      </c>
      <c r="W115" s="11" t="str">
        <f t="shared" si="72"/>
        <v>UP</v>
      </c>
      <c r="X115" s="6" t="str">
        <f t="shared" si="73"/>
        <v>POSITIVE</v>
      </c>
      <c r="Y115" cm="1">
        <f t="array" ref="Y115">IFERROR(VALUE(_xll.BDP($B115,"INTERVAL_MAE_MOV_AVG","CALC_INTERVAL","520D","TECH_STUDIES_PARAM1_OVERRIDE",65,"USE_PREVIOUS_BUSINESS_DAY","N")),"")</f>
        <v>118.41959887243182</v>
      </c>
      <c r="Z115">
        <f t="shared" si="5"/>
        <v>6856.0226153846133</v>
      </c>
      <c r="AA115" cm="1">
        <f t="array" ref="AA115">IFERROR(VALUE(_xll.BDP($B115,"INTERVAL_MAE_MOV_AVG","CALC_INTERVAL","520D","TECH_STUDIES_PARAM1_OVERRIDE",65,"USE_PREVIOUS_BUSINESS_DAY","Y")),"")</f>
        <v>118.26420552315388</v>
      </c>
      <c r="AB115">
        <f t="shared" si="6"/>
        <v>6852.6203076923057</v>
      </c>
      <c r="AC115">
        <f t="shared" si="74"/>
        <v>1.7272346594467681E-2</v>
      </c>
      <c r="AD115">
        <f t="shared" si="75"/>
        <v>1.7258245782332076E-2</v>
      </c>
      <c r="AE115" s="10" t="str">
        <f t="shared" si="76"/>
        <v>UP</v>
      </c>
      <c r="AF115" s="10" t="str">
        <f t="shared" si="77"/>
        <v>UP</v>
      </c>
      <c r="AG115" s="6" t="str">
        <f t="shared" si="78"/>
        <v>POSITIVE</v>
      </c>
      <c r="AH115" cm="1">
        <f t="array" ref="AH115">IFERROR(VALUE(_xll.BDP($B115,"INTERVAL_MAE_MOV_AVG","CALC_INTERVAL","65W","PERIODICITY_OVERRIDE","W","TECH_STUDIES_PARAM1_OVERRIDE",39,"USE_PREVIOUS_BUSINESS_DAY","N")),"")</f>
        <v>106.16395920136067</v>
      </c>
      <c r="AI115">
        <f t="shared" si="7"/>
        <v>6560.7735897435905</v>
      </c>
      <c r="AJ115" cm="1">
        <f t="array" ref="AJ115">IFERROR(VALUE(_xll.BDP($B115,"INTERVAL_MAE_MOV_AVG","CALC_INTERVAL","65W","PERIODICITY_OVERRIDE","W","TECH_STUDIES_PARAM1_OVERRIDE",39,"USE_PREVIOUS_BUSINESS_DAY","Y")),"")</f>
        <v>106.19601056948719</v>
      </c>
      <c r="AK115">
        <f t="shared" si="8"/>
        <v>6560.7823076923087</v>
      </c>
      <c r="AL115">
        <f t="shared" si="79"/>
        <v>1.6181622143968816E-2</v>
      </c>
      <c r="AM115">
        <f t="shared" si="80"/>
        <v>1.6186485938571037E-2</v>
      </c>
      <c r="AN115" s="10" t="str">
        <f t="shared" si="81"/>
        <v>DOWN</v>
      </c>
      <c r="AO115" s="10" t="str">
        <f t="shared" si="82"/>
        <v>DOWN</v>
      </c>
      <c r="AP115" s="6" t="str">
        <f t="shared" si="83"/>
        <v>POSITIVE</v>
      </c>
      <c r="AQ115" cm="1">
        <f t="array" ref="AQ115">IFERROR(VALUE(_xll.BDP($B115,"INTERVAL_exp_MOV_AVG","CALC_INTERVAL","520D","TECH_STUDIES_PARAM1_OVERRIDE",100,"USE_PREVIOUS_BUSINESS_DAY","N")),"")</f>
        <v>116.32374807347615</v>
      </c>
      <c r="AR115">
        <f t="shared" si="9"/>
        <v>6773.0064518682802</v>
      </c>
      <c r="AS115" cm="1">
        <f t="array" ref="AS115">IFERROR(VALUE(_xll.BDP($B115,"INTERVAL_exp_MOV_AVG","CALC_INTERVAL","520D","TECH_STUDIES_PARAM1_OVERRIDE",100,"USE_PREVIOUS_BUSINESS_DAY","Y")),"")</f>
        <v>116.18343932247662</v>
      </c>
      <c r="AT115">
        <f t="shared" si="10"/>
        <v>6769.6039787132295</v>
      </c>
      <c r="AU115">
        <f t="shared" si="84"/>
        <v>1.7174610551476614E-2</v>
      </c>
      <c r="AV115">
        <f t="shared" si="85"/>
        <v>1.7162516402408644E-2</v>
      </c>
      <c r="AW115" s="11" t="str">
        <f t="shared" si="86"/>
        <v>UP</v>
      </c>
      <c r="AX115" s="11" t="str">
        <f t="shared" si="87"/>
        <v>UP</v>
      </c>
      <c r="AY115" s="6" t="str">
        <f t="shared" si="88"/>
        <v>POSITIVE</v>
      </c>
      <c r="AZ115" s="12" cm="1">
        <f t="array" ref="AZ115">_xll.BDP($B115, "INTERVAL_RSI", "TECH_STUDIES_PARAM1_OVERRIDE", "5", "PERIODICITY_OVERRIDE", "W")</f>
        <v>51.190189546128849</v>
      </c>
      <c r="BA115" cm="1">
        <f t="array" ref="BA115">IFERROR(VALUE(_xll.BDP($B115,"INTERVAL_MAE_MOV_AVG","CALC_INTERVAL","520D","TECH_STUDIES_PARAM1_OVERRIDE",31,"USE_PREVIOUS_BUSINESS_DAY","N")),"")</f>
        <v>125.71919344009893</v>
      </c>
      <c r="BB115" cm="1">
        <f t="array" ref="BB115">IFERROR(VALUE(_xll.BDP($B115,"INTERVAL_MAE_MOV_AVG","CALC_INTERVAL","760D","TECH_STUDIES_PARAM1_OVERRIDE",200,"USE_PREVIOUS_BUSINESS_DAY","N")),"")</f>
        <v>103.50051590046539</v>
      </c>
      <c r="BC115" s="13">
        <f t="shared" si="89"/>
        <v>-1.9481460014821872E-2</v>
      </c>
      <c r="BD115" s="13">
        <f t="shared" si="90"/>
        <v>1.5128043958447579E-2</v>
      </c>
      <c r="BE115" s="13">
        <f t="shared" si="91"/>
        <v>0.19100855611721368</v>
      </c>
      <c r="BF115" s="14" cm="1">
        <f t="array" ref="BF115">VALUE(_xll.BDP($B115,"INTERVAL_DATE_OF_CALC_HI","CALC_INTERVAL","3M"))</f>
        <v>46038</v>
      </c>
      <c r="BG115" s="14" cm="1">
        <f t="array" ref="BG115">VALUE(_xll.BDP($B115,"INTERVAL_DATE_OF_CALC_LO","CALC_INTERVAL","3M"))</f>
        <v>45981</v>
      </c>
      <c r="BH115" s="14" cm="1">
        <f t="array" ref="BH115">VALUE(_xll.BDP($B115,"INTERVAL_DATE_OF_CALC_HI","CALC_INTERVAL","1M"))</f>
        <v>46038</v>
      </c>
      <c r="BI115" s="14" cm="1">
        <f t="array" ref="BI115">VALUE(_xll.BDP($B115,"INTERVAL_DATE_OF_CALC_LO","CALC_INTERVAL","1M"))</f>
        <v>46058</v>
      </c>
      <c r="BJ115" s="15">
        <f>$F115-MIN(_xll.BDP("NYA Index","RSI_14D"),_xll.BDP("RSP US Equity","RSI_14D"))</f>
        <v>-17.80849236914564</v>
      </c>
    </row>
    <row r="116" spans="1:62" x14ac:dyDescent="0.25">
      <c r="A116" s="11">
        <v>115</v>
      </c>
      <c r="B116" s="26" t="s">
        <v>357</v>
      </c>
      <c r="C116" s="1" t="s">
        <v>358</v>
      </c>
      <c r="D116" s="1" t="s">
        <v>308</v>
      </c>
      <c r="E116" s="11" t="s">
        <v>787</v>
      </c>
      <c r="F116">
        <f>IFERROR(VALUE((_xll.BDP($B116,"interval_rsi","tech_studies_param1_override",14))),"")</f>
        <v>33.196897989344933</v>
      </c>
      <c r="G116">
        <f t="shared" si="0"/>
        <v>52.525531939815814</v>
      </c>
      <c r="H116">
        <f t="shared" si="65"/>
        <v>0</v>
      </c>
      <c r="I116" cm="1">
        <f t="array" ref="I116">IFERROR(VALUE(_xll.BDP($B116,"px_last")),"")</f>
        <v>125.67</v>
      </c>
      <c r="J116">
        <f t="shared" si="1"/>
        <v>6941.47</v>
      </c>
      <c r="K116" cm="1">
        <f t="array" ref="K116">IFERROR(VALUE(_xll.BDP($B116,"PX_YEST_CLOSE")),"")</f>
        <v>128.46</v>
      </c>
      <c r="L116">
        <f t="shared" si="2"/>
        <v>6941.81</v>
      </c>
      <c r="M116">
        <f t="shared" si="66"/>
        <v>1.8104234405680642E-2</v>
      </c>
      <c r="N116">
        <f t="shared" si="67"/>
        <v>1.8505260155492587E-2</v>
      </c>
      <c r="O116" cm="1">
        <f t="array" ref="O116">IFERROR(VALUE(_xll.BDP($B116,"INTERVAL_MAE_MOV_AVG","CALC_INTERVAL","520D","TECH_STUDIES_PARAM1_OVERRIDE",50,"USE_PREVIOUS_BUSINESS_DAY","N")),"")</f>
        <v>146.03048042987888</v>
      </c>
      <c r="P116">
        <f t="shared" si="3"/>
        <v>6894.0953999999992</v>
      </c>
      <c r="Q116" cm="1">
        <f t="array" ref="Q116">IFERROR(VALUE(_xll.BDP($B116,"INTERVAL_MAE_MOV_AVG","CALC_INTERVAL","520D","TECH_STUDIES_PARAM1_OVERRIDE",50,"USE_PREVIOUS_BUSINESS_DAY","Y")),"")</f>
        <v>146.51868076249997</v>
      </c>
      <c r="R116">
        <f t="shared" si="4"/>
        <v>6892.2477999999992</v>
      </c>
      <c r="S116">
        <f t="shared" si="68"/>
        <v>2.1181963978896913E-2</v>
      </c>
      <c r="T116">
        <f t="shared" si="69"/>
        <v>2.1258475466088143E-2</v>
      </c>
      <c r="U116" s="11" t="str">
        <f t="shared" si="70"/>
        <v>NEGATIVE</v>
      </c>
      <c r="V116" s="11" t="str">
        <f t="shared" si="71"/>
        <v/>
      </c>
      <c r="W116" s="11" t="str">
        <f t="shared" si="72"/>
        <v>DOWN</v>
      </c>
      <c r="X116" s="6" t="str">
        <f t="shared" si="73"/>
        <v>NEGATIVE</v>
      </c>
      <c r="Y116" cm="1">
        <f t="array" ref="Y116">IFERROR(VALUE(_xll.BDP($B116,"INTERVAL_MAE_MOV_AVG","CALC_INTERVAL","520D","TECH_STUDIES_PARAM1_OVERRIDE",65,"USE_PREVIOUS_BUSINESS_DAY","N")),"")</f>
        <v>147.04983068759915</v>
      </c>
      <c r="Z116">
        <f t="shared" si="5"/>
        <v>6856.0226153846133</v>
      </c>
      <c r="AA116" cm="1">
        <f t="array" ref="AA116">IFERROR(VALUE(_xll.BDP($B116,"INTERVAL_MAE_MOV_AVG","CALC_INTERVAL","520D","TECH_STUDIES_PARAM1_OVERRIDE",65,"USE_PREVIOUS_BUSINESS_DAY","Y")),"")</f>
        <v>147.56604101184615</v>
      </c>
      <c r="AB116">
        <f t="shared" si="6"/>
        <v>6852.6203076923057</v>
      </c>
      <c r="AC116">
        <f t="shared" si="74"/>
        <v>2.1448270949052269E-2</v>
      </c>
      <c r="AD116">
        <f t="shared" si="75"/>
        <v>2.1534250313883306E-2</v>
      </c>
      <c r="AE116" s="10" t="str">
        <f t="shared" si="76"/>
        <v>DOWN</v>
      </c>
      <c r="AF116" s="10" t="str">
        <f t="shared" si="77"/>
        <v>DOWN</v>
      </c>
      <c r="AG116" s="6" t="str">
        <f t="shared" si="78"/>
        <v>NEGATIVE</v>
      </c>
      <c r="AH116" cm="1">
        <f t="array" ref="AH116">IFERROR(VALUE(_xll.BDP($B116,"INTERVAL_MAE_MOV_AVG","CALC_INTERVAL","65W","PERIODICITY_OVERRIDE","W","TECH_STUDIES_PARAM1_OVERRIDE",39,"USE_PREVIOUS_BUSINESS_DAY","N")),"")</f>
        <v>150.02067135279347</v>
      </c>
      <c r="AI116">
        <f t="shared" si="7"/>
        <v>6560.7735897435905</v>
      </c>
      <c r="AJ116" cm="1">
        <f t="array" ref="AJ116">IFERROR(VALUE(_xll.BDP($B116,"INTERVAL_MAE_MOV_AVG","CALC_INTERVAL","65W","PERIODICITY_OVERRIDE","W","TECH_STUDIES_PARAM1_OVERRIDE",39,"USE_PREVIOUS_BUSINESS_DAY","Y")),"")</f>
        <v>150.09220986128207</v>
      </c>
      <c r="AK116">
        <f t="shared" si="8"/>
        <v>6560.7823076923087</v>
      </c>
      <c r="AL116">
        <f t="shared" si="79"/>
        <v>2.2866308263909563E-2</v>
      </c>
      <c r="AM116">
        <f t="shared" si="80"/>
        <v>2.2877181839321772E-2</v>
      </c>
      <c r="AN116" s="10" t="str">
        <f t="shared" si="81"/>
        <v>DOWN</v>
      </c>
      <c r="AO116" s="10" t="str">
        <f t="shared" si="82"/>
        <v>DOWN</v>
      </c>
      <c r="AP116" s="6" t="str">
        <f t="shared" si="83"/>
        <v>NEGATIVE</v>
      </c>
      <c r="AQ116" cm="1">
        <f t="array" ref="AQ116">IFERROR(VALUE(_xll.BDP($B116,"INTERVAL_exp_MOV_AVG","CALC_INTERVAL","520D","TECH_STUDIES_PARAM1_OVERRIDE",100,"USE_PREVIOUS_BUSINESS_DAY","N")),"")</f>
        <v>147.85729384602038</v>
      </c>
      <c r="AR116">
        <f t="shared" si="9"/>
        <v>6773.0064518682802</v>
      </c>
      <c r="AS116" cm="1">
        <f t="array" ref="AS116">IFERROR(VALUE(_xll.BDP($B116,"INTERVAL_exp_MOV_AVG","CALC_INTERVAL","520D","TECH_STUDIES_PARAM1_OVERRIDE",100,"USE_PREVIOUS_BUSINESS_DAY","Y")),"")</f>
        <v>148.30554954916187</v>
      </c>
      <c r="AT116">
        <f t="shared" si="10"/>
        <v>6769.6039787132295</v>
      </c>
      <c r="AU116">
        <f t="shared" si="84"/>
        <v>2.1830378414187855E-2</v>
      </c>
      <c r="AV116">
        <f t="shared" si="85"/>
        <v>2.1907566530553813E-2</v>
      </c>
      <c r="AW116" s="11" t="str">
        <f t="shared" si="86"/>
        <v>DOWN</v>
      </c>
      <c r="AX116" s="11" t="str">
        <f t="shared" si="87"/>
        <v>DOWN</v>
      </c>
      <c r="AY116" s="6" t="str">
        <f t="shared" si="88"/>
        <v>NEGATIVE</v>
      </c>
      <c r="AZ116" s="12" cm="1">
        <f t="array" ref="AZ116">_xll.BDP($B116, "INTERVAL_RSI", "TECH_STUDIES_PARAM1_OVERRIDE", "5", "PERIODICITY_OVERRIDE", "W")</f>
        <v>14.319629748526523</v>
      </c>
      <c r="BA116" cm="1">
        <f t="array" ref="BA116">IFERROR(VALUE(_xll.BDP($B116,"INTERVAL_MAE_MOV_AVG","CALC_INTERVAL","520D","TECH_STUDIES_PARAM1_OVERRIDE",31,"USE_PREVIOUS_BUSINESS_DAY","N")),"")</f>
        <v>142.3041934893208</v>
      </c>
      <c r="BB116" cm="1">
        <f t="array" ref="BB116">IFERROR(VALUE(_xll.BDP($B116,"INTERVAL_MAE_MOV_AVG","CALC_INTERVAL","760D","TECH_STUDIES_PARAM1_OVERRIDE",200,"USE_PREVIOUS_BUSINESS_DAY","N")),"")</f>
        <v>147.61247547341969</v>
      </c>
      <c r="BC116" s="13">
        <f t="shared" si="89"/>
        <v>-0.11689180115812337</v>
      </c>
      <c r="BD116" s="13">
        <f t="shared" si="90"/>
        <v>-0.13942623738511628</v>
      </c>
      <c r="BE116" s="13">
        <f t="shared" si="91"/>
        <v>-0.14864919379643382</v>
      </c>
      <c r="BF116" s="14" cm="1">
        <f t="array" ref="BF116">VALUE(_xll.BDP($B116,"INTERVAL_DATE_OF_CALC_HI","CALC_INTERVAL","3M"))</f>
        <v>45972</v>
      </c>
      <c r="BG116" s="14" cm="1">
        <f t="array" ref="BG116">VALUE(_xll.BDP($B116,"INTERVAL_DATE_OF_CALC_LO","CALC_INTERVAL","3M"))</f>
        <v>46058</v>
      </c>
      <c r="BH116" s="14" cm="1">
        <f t="array" ref="BH116">VALUE(_xll.BDP($B116,"INTERVAL_DATE_OF_CALC_HI","CALC_INTERVAL","1M"))</f>
        <v>46035</v>
      </c>
      <c r="BI116" s="14" cm="1">
        <f t="array" ref="BI116">VALUE(_xll.BDP($B116,"INTERVAL_DATE_OF_CALC_LO","CALC_INTERVAL","1M"))</f>
        <v>46058</v>
      </c>
      <c r="BJ116" s="15">
        <f>$F116-MIN(_xll.BDP("NYA Index","RSI_14D"),_xll.BDP("RSP US Equity","RSI_14D"))</f>
        <v>-33.148866170811317</v>
      </c>
    </row>
    <row r="117" spans="1:62" x14ac:dyDescent="0.25">
      <c r="A117" s="11">
        <v>116</v>
      </c>
      <c r="B117" s="26" t="s">
        <v>359</v>
      </c>
      <c r="C117" s="1" t="s">
        <v>360</v>
      </c>
      <c r="D117" s="1" t="s">
        <v>308</v>
      </c>
      <c r="E117" s="11" t="s">
        <v>787</v>
      </c>
      <c r="F117">
        <f>IFERROR(VALUE((_xll.BDP($B117,"interval_rsi","tech_studies_param1_override",14))),"")</f>
        <v>46.130860130734511</v>
      </c>
      <c r="G117">
        <f t="shared" si="0"/>
        <v>52.525531939815814</v>
      </c>
      <c r="H117">
        <f t="shared" si="65"/>
        <v>0</v>
      </c>
      <c r="I117" cm="1">
        <f t="array" ref="I117">IFERROR(VALUE(_xll.BDP($B117,"px_last")),"")</f>
        <v>31.28</v>
      </c>
      <c r="J117">
        <f t="shared" si="1"/>
        <v>6941.47</v>
      </c>
      <c r="K117" cm="1">
        <f t="array" ref="K117">IFERROR(VALUE(_xll.BDP($B117,"PX_YEST_CLOSE")),"")</f>
        <v>31.97</v>
      </c>
      <c r="L117">
        <f t="shared" si="2"/>
        <v>6941.81</v>
      </c>
      <c r="M117">
        <f t="shared" si="66"/>
        <v>4.506250117050135E-3</v>
      </c>
      <c r="N117">
        <f t="shared" si="67"/>
        <v>4.6054271148302812E-3</v>
      </c>
      <c r="O117" cm="1">
        <f t="array" ref="O117">IFERROR(VALUE(_xll.BDP($B117,"INTERVAL_MAE_MOV_AVG","CALC_INTERVAL","520D","TECH_STUDIES_PARAM1_OVERRIDE",50,"USE_PREVIOUS_BUSINESS_DAY","N")),"")</f>
        <v>30.997500013732921</v>
      </c>
      <c r="P117">
        <f t="shared" si="3"/>
        <v>6894.0953999999992</v>
      </c>
      <c r="Q117" cm="1">
        <f t="array" ref="Q117">IFERROR(VALUE(_xll.BDP($B117,"INTERVAL_MAE_MOV_AVG","CALC_INTERVAL","520D","TECH_STUDIES_PARAM1_OVERRIDE",50,"USE_PREVIOUS_BUSINESS_DAY","Y")),"")</f>
        <v>30.918300000000009</v>
      </c>
      <c r="R117">
        <f t="shared" si="4"/>
        <v>6892.2477999999992</v>
      </c>
      <c r="S117">
        <f t="shared" si="68"/>
        <v>4.4962389139165271E-3</v>
      </c>
      <c r="T117">
        <f t="shared" si="69"/>
        <v>4.4859530442303615E-3</v>
      </c>
      <c r="U117" s="11" t="str">
        <f t="shared" si="70"/>
        <v>NEGATIVE</v>
      </c>
      <c r="V117" s="11" t="str">
        <f t="shared" si="71"/>
        <v/>
      </c>
      <c r="W117" s="11" t="str">
        <f t="shared" si="72"/>
        <v>UP</v>
      </c>
      <c r="X117" s="6" t="str">
        <f t="shared" si="73"/>
        <v>POSITIVE</v>
      </c>
      <c r="Y117" cm="1">
        <f t="array" ref="Y117">IFERROR(VALUE(_xll.BDP($B117,"INTERVAL_MAE_MOV_AVG","CALC_INTERVAL","520D","TECH_STUDIES_PARAM1_OVERRIDE",65,"USE_PREVIOUS_BUSINESS_DAY","N")),"")</f>
        <v>30.181692318256086</v>
      </c>
      <c r="Z117">
        <f t="shared" si="5"/>
        <v>6856.0226153846133</v>
      </c>
      <c r="AA117" cm="1">
        <f t="array" ref="AA117">IFERROR(VALUE(_xll.BDP($B117,"INTERVAL_MAE_MOV_AVG","CALC_INTERVAL","520D","TECH_STUDIES_PARAM1_OVERRIDE",65,"USE_PREVIOUS_BUSINESS_DAY","Y")),"")</f>
        <v>30.137538461538465</v>
      </c>
      <c r="AB117">
        <f t="shared" si="6"/>
        <v>6852.6203076923057</v>
      </c>
      <c r="AC117">
        <f t="shared" si="74"/>
        <v>4.4022159802287837E-3</v>
      </c>
      <c r="AD117">
        <f t="shared" si="75"/>
        <v>4.3979583149686592E-3</v>
      </c>
      <c r="AE117" s="10" t="str">
        <f t="shared" si="76"/>
        <v>UP</v>
      </c>
      <c r="AF117" s="10" t="str">
        <f t="shared" si="77"/>
        <v>UP</v>
      </c>
      <c r="AG117" s="6" t="str">
        <f t="shared" si="78"/>
        <v>POSITIVE</v>
      </c>
      <c r="AH117" cm="1">
        <f t="array" ref="AH117">IFERROR(VALUE(_xll.BDP($B117,"INTERVAL_MAE_MOV_AVG","CALC_INTERVAL","65W","PERIODICITY_OVERRIDE","W","TECH_STUDIES_PARAM1_OVERRIDE",39,"USE_PREVIOUS_BUSINESS_DAY","N")),"")</f>
        <v>27.619230786837054</v>
      </c>
      <c r="AI117">
        <f t="shared" si="7"/>
        <v>6560.7735897435905</v>
      </c>
      <c r="AJ117" cm="1">
        <f t="array" ref="AJ117">IFERROR(VALUE(_xll.BDP($B117,"INTERVAL_MAE_MOV_AVG","CALC_INTERVAL","65W","PERIODICITY_OVERRIDE","W","TECH_STUDIES_PARAM1_OVERRIDE",39,"USE_PREVIOUS_BUSINESS_DAY","Y")),"")</f>
        <v>27.636923076923068</v>
      </c>
      <c r="AK117">
        <f t="shared" si="8"/>
        <v>6560.7823076923087</v>
      </c>
      <c r="AL117">
        <f t="shared" si="79"/>
        <v>4.2097521594121152E-3</v>
      </c>
      <c r="AM117">
        <f t="shared" si="80"/>
        <v>4.2124432393557173E-3</v>
      </c>
      <c r="AN117" s="10" t="str">
        <f t="shared" si="81"/>
        <v>DOWN</v>
      </c>
      <c r="AO117" s="10" t="str">
        <f t="shared" si="82"/>
        <v>DOWN</v>
      </c>
      <c r="AP117" s="6" t="str">
        <f t="shared" si="83"/>
        <v>POSITIVE</v>
      </c>
      <c r="AQ117" cm="1">
        <f t="array" ref="AQ117">IFERROR(VALUE(_xll.BDP($B117,"INTERVAL_exp_MOV_AVG","CALC_INTERVAL","520D","TECH_STUDIES_PARAM1_OVERRIDE",100,"USE_PREVIOUS_BUSINESS_DAY","N")),"")</f>
        <v>29.907090539028875</v>
      </c>
      <c r="AR117">
        <f t="shared" si="9"/>
        <v>6773.0064518682802</v>
      </c>
      <c r="AS117" cm="1">
        <f t="array" ref="AS117">IFERROR(VALUE(_xll.BDP($B117,"INTERVAL_exp_MOV_AVG","CALC_INTERVAL","520D","TECH_STUDIES_PARAM1_OVERRIDE",100,"USE_PREVIOUS_BUSINESS_DAY","Y")),"")</f>
        <v>29.879357463412678</v>
      </c>
      <c r="AT117">
        <f t="shared" si="10"/>
        <v>6769.6039787132295</v>
      </c>
      <c r="AU117">
        <f t="shared" si="84"/>
        <v>4.4156300088536368E-3</v>
      </c>
      <c r="AV117">
        <f t="shared" si="85"/>
        <v>4.4137526445220754E-3</v>
      </c>
      <c r="AW117" s="11" t="str">
        <f t="shared" si="86"/>
        <v>UP</v>
      </c>
      <c r="AX117" s="11" t="str">
        <f t="shared" si="87"/>
        <v>UP</v>
      </c>
      <c r="AY117" s="6" t="str">
        <f t="shared" si="88"/>
        <v>POSITIVE</v>
      </c>
      <c r="AZ117" s="12" cm="1">
        <f t="array" ref="AZ117">_xll.BDP($B117, "INTERVAL_RSI", "TECH_STUDIES_PARAM1_OVERRIDE", "5", "PERIODICITY_OVERRIDE", "W")</f>
        <v>46.991167753974466</v>
      </c>
      <c r="BA117" cm="1">
        <f t="array" ref="BA117">IFERROR(VALUE(_xll.BDP($B117,"INTERVAL_MAE_MOV_AVG","CALC_INTERVAL","520D","TECH_STUDIES_PARAM1_OVERRIDE",31,"USE_PREVIOUS_BUSINESS_DAY","N")),"")</f>
        <v>32.462741957633732</v>
      </c>
      <c r="BB117" cm="1">
        <f t="array" ref="BB117">IFERROR(VALUE(_xll.BDP($B117,"INTERVAL_MAE_MOV_AVG","CALC_INTERVAL","760D","TECH_STUDIES_PARAM1_OVERRIDE",200,"USE_PREVIOUS_BUSINESS_DAY","N")),"")</f>
        <v>26.951225003433219</v>
      </c>
      <c r="BC117" s="13">
        <f t="shared" si="89"/>
        <v>-3.6433828022823689E-2</v>
      </c>
      <c r="BD117" s="13">
        <f t="shared" si="90"/>
        <v>9.113637749557979E-3</v>
      </c>
      <c r="BE117" s="13">
        <f t="shared" si="91"/>
        <v>0.16061514814318656</v>
      </c>
      <c r="BF117" s="14" cm="1">
        <f t="array" ref="BF117">VALUE(_xll.BDP($B117,"INTERVAL_DATE_OF_CALC_HI","CALC_INTERVAL","3M"))</f>
        <v>46038</v>
      </c>
      <c r="BG117" s="14" cm="1">
        <f t="array" ref="BG117">VALUE(_xll.BDP($B117,"INTERVAL_DATE_OF_CALC_LO","CALC_INTERVAL","3M"))</f>
        <v>45981</v>
      </c>
      <c r="BH117" s="14" cm="1">
        <f t="array" ref="BH117">VALUE(_xll.BDP($B117,"INTERVAL_DATE_OF_CALC_HI","CALC_INTERVAL","1M"))</f>
        <v>46038</v>
      </c>
      <c r="BI117" s="14" cm="1">
        <f t="array" ref="BI117">VALUE(_xll.BDP($B117,"INTERVAL_DATE_OF_CALC_LO","CALC_INTERVAL","1M"))</f>
        <v>46058</v>
      </c>
      <c r="BJ117" s="15">
        <f>$F117-MIN(_xll.BDP("NYA Index","RSI_14D"),_xll.BDP("RSP US Equity","RSI_14D"))</f>
        <v>-20.214904029421739</v>
      </c>
    </row>
    <row r="118" spans="1:62" x14ac:dyDescent="0.25">
      <c r="A118" s="11">
        <v>117</v>
      </c>
      <c r="B118" s="26" t="s">
        <v>361</v>
      </c>
      <c r="C118" s="1" t="s">
        <v>795</v>
      </c>
      <c r="D118" s="1" t="s">
        <v>308</v>
      </c>
      <c r="E118" s="11" t="s">
        <v>787</v>
      </c>
      <c r="F118">
        <f>IFERROR(VALUE((_xll.BDP($B118,"interval_rsi","tech_studies_param1_override",14))),"")</f>
        <v>54.269256066942695</v>
      </c>
      <c r="G118">
        <f t="shared" si="0"/>
        <v>52.525531939815814</v>
      </c>
      <c r="H118">
        <f t="shared" si="65"/>
        <v>0</v>
      </c>
      <c r="I118" cm="1">
        <f t="array" ref="I118">IFERROR(VALUE(_xll.BDP($B118,"px_last")),"")</f>
        <v>51.87</v>
      </c>
      <c r="J118">
        <f t="shared" si="1"/>
        <v>6941.47</v>
      </c>
      <c r="K118" cm="1">
        <f t="array" ref="K118">IFERROR(VALUE(_xll.BDP($B118,"PX_YEST_CLOSE")),"")</f>
        <v>51.42</v>
      </c>
      <c r="L118">
        <f t="shared" si="2"/>
        <v>6941.81</v>
      </c>
      <c r="M118">
        <f t="shared" si="66"/>
        <v>7.472480612896115E-3</v>
      </c>
      <c r="N118">
        <f t="shared" si="67"/>
        <v>7.4072900295456085E-3</v>
      </c>
      <c r="O118" cm="1">
        <f t="array" ref="O118">IFERROR(VALUE(_xll.BDP($B118,"INTERVAL_MAE_MOV_AVG","CALC_INTERVAL","520D","TECH_STUDIES_PARAM1_OVERRIDE",50,"USE_PREVIOUS_BUSINESS_DAY","N")),"")</f>
        <v>49.923599978637675</v>
      </c>
      <c r="P118">
        <f t="shared" si="3"/>
        <v>6894.0953999999992</v>
      </c>
      <c r="Q118" cm="1">
        <f t="array" ref="Q118">IFERROR(VALUE(_xll.BDP($B118,"INTERVAL_MAE_MOV_AVG","CALC_INTERVAL","520D","TECH_STUDIES_PARAM1_OVERRIDE",50,"USE_PREVIOUS_BUSINESS_DAY","Y")),"")</f>
        <v>49.837199999999989</v>
      </c>
      <c r="R118">
        <f t="shared" si="4"/>
        <v>6892.2477999999992</v>
      </c>
      <c r="S118">
        <f t="shared" si="68"/>
        <v>7.2415011806534731E-3</v>
      </c>
      <c r="T118">
        <f t="shared" si="69"/>
        <v>7.2309065846413697E-3</v>
      </c>
      <c r="U118" s="11" t="str">
        <f t="shared" si="70"/>
        <v>NEGATIVE</v>
      </c>
      <c r="V118" s="11" t="str">
        <f t="shared" si="71"/>
        <v/>
      </c>
      <c r="W118" s="11" t="str">
        <f t="shared" si="72"/>
        <v>UP</v>
      </c>
      <c r="X118" s="6" t="str">
        <f t="shared" si="73"/>
        <v>POSITIVE</v>
      </c>
      <c r="Y118" cm="1">
        <f t="array" ref="Y118">IFERROR(VALUE(_xll.BDP($B118,"INTERVAL_MAE_MOV_AVG","CALC_INTERVAL","520D","TECH_STUDIES_PARAM1_OVERRIDE",65,"USE_PREVIOUS_BUSINESS_DAY","N")),"")</f>
        <v>49.182615368182823</v>
      </c>
      <c r="Z118">
        <f t="shared" si="5"/>
        <v>6856.0226153846133</v>
      </c>
      <c r="AA118" cm="1">
        <f t="array" ref="AA118">IFERROR(VALUE(_xll.BDP($B118,"INTERVAL_MAE_MOV_AVG","CALC_INTERVAL","520D","TECH_STUDIES_PARAM1_OVERRIDE",65,"USE_PREVIOUS_BUSINESS_DAY","Y")),"")</f>
        <v>49.126153846153827</v>
      </c>
      <c r="AB118">
        <f t="shared" si="6"/>
        <v>6852.6203076923057</v>
      </c>
      <c r="AC118">
        <f t="shared" si="74"/>
        <v>7.1736366881023986E-3</v>
      </c>
      <c r="AD118">
        <f t="shared" si="75"/>
        <v>7.1689589734029186E-3</v>
      </c>
      <c r="AE118" s="10" t="str">
        <f t="shared" si="76"/>
        <v>UP</v>
      </c>
      <c r="AF118" s="10" t="str">
        <f t="shared" si="77"/>
        <v>UP</v>
      </c>
      <c r="AG118" s="6" t="str">
        <f t="shared" si="78"/>
        <v>POSITIVE</v>
      </c>
      <c r="AH118" cm="1">
        <f t="array" ref="AH118">IFERROR(VALUE(_xll.BDP($B118,"INTERVAL_MAE_MOV_AVG","CALC_INTERVAL","65W","PERIODICITY_OVERRIDE","W","TECH_STUDIES_PARAM1_OVERRIDE",39,"USE_PREVIOUS_BUSINESS_DAY","N")),"")</f>
        <v>45.312564075176539</v>
      </c>
      <c r="AI118">
        <f t="shared" si="7"/>
        <v>6560.7735897435905</v>
      </c>
      <c r="AJ118" cm="1">
        <f t="array" ref="AJ118">IFERROR(VALUE(_xll.BDP($B118,"INTERVAL_MAE_MOV_AVG","CALC_INTERVAL","65W","PERIODICITY_OVERRIDE","W","TECH_STUDIES_PARAM1_OVERRIDE",39,"USE_PREVIOUS_BUSINESS_DAY","Y")),"")</f>
        <v>45.301025641025653</v>
      </c>
      <c r="AK118">
        <f t="shared" si="8"/>
        <v>6560.7823076923087</v>
      </c>
      <c r="AL118">
        <f t="shared" si="79"/>
        <v>6.9065885989440853E-3</v>
      </c>
      <c r="AM118">
        <f t="shared" si="80"/>
        <v>6.9048207235761563E-3</v>
      </c>
      <c r="AN118" s="10" t="str">
        <f t="shared" si="81"/>
        <v>UP</v>
      </c>
      <c r="AO118" s="10" t="str">
        <f t="shared" si="82"/>
        <v>UP</v>
      </c>
      <c r="AP118" s="6" t="str">
        <f t="shared" si="83"/>
        <v>POSITIVE</v>
      </c>
      <c r="AQ118" cm="1">
        <f t="array" ref="AQ118">IFERROR(VALUE(_xll.BDP($B118,"INTERVAL_exp_MOV_AVG","CALC_INTERVAL","520D","TECH_STUDIES_PARAM1_OVERRIDE",100,"USE_PREVIOUS_BUSINESS_DAY","N")),"")</f>
        <v>48.371434724527752</v>
      </c>
      <c r="AR118">
        <f t="shared" si="9"/>
        <v>6773.0064518682802</v>
      </c>
      <c r="AS118" cm="1">
        <f t="array" ref="AS118">IFERROR(VALUE(_xll.BDP($B118,"INTERVAL_exp_MOV_AVG","CALC_INTERVAL","520D","TECH_STUDIES_PARAM1_OVERRIDE",100,"USE_PREVIOUS_BUSINESS_DAY","Y")),"")</f>
        <v>48.300772713544717</v>
      </c>
      <c r="AT118">
        <f t="shared" si="10"/>
        <v>6769.6039787132295</v>
      </c>
      <c r="AU118">
        <f t="shared" si="84"/>
        <v>7.1417966405723527E-3</v>
      </c>
      <c r="AV118">
        <f t="shared" si="85"/>
        <v>7.1349480509383884E-3</v>
      </c>
      <c r="AW118" s="11" t="str">
        <f t="shared" si="86"/>
        <v>UP</v>
      </c>
      <c r="AX118" s="11" t="str">
        <f t="shared" si="87"/>
        <v>UP</v>
      </c>
      <c r="AY118" s="6" t="str">
        <f t="shared" si="88"/>
        <v>POSITIVE</v>
      </c>
      <c r="AZ118" s="12" cm="1">
        <f t="array" ref="AZ118">_xll.BDP($B118, "INTERVAL_RSI", "TECH_STUDIES_PARAM1_OVERRIDE", "5", "PERIODICITY_OVERRIDE", "W")</f>
        <v>66.166487493613772</v>
      </c>
      <c r="BA118" cm="1">
        <f t="array" ref="BA118">IFERROR(VALUE(_xll.BDP($B118,"INTERVAL_MAE_MOV_AVG","CALC_INTERVAL","520D","TECH_STUDIES_PARAM1_OVERRIDE",31,"USE_PREVIOUS_BUSINESS_DAY","N")),"")</f>
        <v>50.877741901028529</v>
      </c>
      <c r="BB118" cm="1">
        <f t="array" ref="BB118">IFERROR(VALUE(_xll.BDP($B118,"INTERVAL_MAE_MOV_AVG","CALC_INTERVAL","760D","TECH_STUDIES_PARAM1_OVERRIDE",200,"USE_PREVIOUS_BUSINESS_DAY","N")),"")</f>
        <v>44.448199994659426</v>
      </c>
      <c r="BC118" s="13">
        <f t="shared" si="89"/>
        <v>1.9502793596887447E-2</v>
      </c>
      <c r="BD118" s="13">
        <f t="shared" si="90"/>
        <v>3.8987573456144675E-2</v>
      </c>
      <c r="BE118" s="13">
        <f t="shared" si="91"/>
        <v>0.16697639063521863</v>
      </c>
      <c r="BF118" s="14" cm="1">
        <f t="array" ref="BF118">VALUE(_xll.BDP($B118,"INTERVAL_DATE_OF_CALC_HI","CALC_INTERVAL","3M"))</f>
        <v>46050</v>
      </c>
      <c r="BG118" s="14" cm="1">
        <f t="array" ref="BG118">VALUE(_xll.BDP($B118,"INTERVAL_DATE_OF_CALC_LO","CALC_INTERVAL","3M"))</f>
        <v>45981</v>
      </c>
      <c r="BH118" s="14" cm="1">
        <f t="array" ref="BH118">VALUE(_xll.BDP($B118,"INTERVAL_DATE_OF_CALC_HI","CALC_INTERVAL","1M"))</f>
        <v>46050</v>
      </c>
      <c r="BI118" s="14" cm="1">
        <f t="array" ref="BI118">VALUE(_xll.BDP($B118,"INTERVAL_DATE_OF_CALC_LO","CALC_INTERVAL","1M"))</f>
        <v>46058</v>
      </c>
      <c r="BJ118" s="15">
        <f>$F118-MIN(_xll.BDP("NYA Index","RSI_14D"),_xll.BDP("RSP US Equity","RSI_14D"))</f>
        <v>-12.076508093213555</v>
      </c>
    </row>
    <row r="119" spans="1:62" x14ac:dyDescent="0.25">
      <c r="A119" s="11">
        <v>118</v>
      </c>
      <c r="B119" s="26" t="s">
        <v>362</v>
      </c>
      <c r="C119" s="1" t="s">
        <v>796</v>
      </c>
      <c r="D119" s="1" t="s">
        <v>308</v>
      </c>
      <c r="E119" s="11" t="s">
        <v>787</v>
      </c>
      <c r="F119">
        <f>IFERROR(VALUE((_xll.BDP($B119,"interval_rsi","tech_studies_param1_override",14))),"")</f>
        <v>55.558220758906629</v>
      </c>
      <c r="G119">
        <f t="shared" si="0"/>
        <v>52.525531939815814</v>
      </c>
      <c r="H119">
        <f t="shared" si="65"/>
        <v>0</v>
      </c>
      <c r="I119" cm="1">
        <f t="array" ref="I119">IFERROR(VALUE(_xll.BDP($B119,"px_last")),"")</f>
        <v>35.29</v>
      </c>
      <c r="J119">
        <f t="shared" si="1"/>
        <v>6941.47</v>
      </c>
      <c r="K119" cm="1">
        <f t="array" ref="K119">IFERROR(VALUE(_xll.BDP($B119,"PX_YEST_CLOSE")),"")</f>
        <v>34.94</v>
      </c>
      <c r="L119">
        <f t="shared" si="2"/>
        <v>6941.81</v>
      </c>
      <c r="M119">
        <f t="shared" si="66"/>
        <v>5.0839375521323288E-3</v>
      </c>
      <c r="N119">
        <f t="shared" si="67"/>
        <v>5.0332694210875831E-3</v>
      </c>
      <c r="O119" cm="1">
        <f t="array" ref="O119">IFERROR(VALUE(_xll.BDP($B119,"INTERVAL_MAE_MOV_AVG","CALC_INTERVAL","520D","TECH_STUDIES_PARAM1_OVERRIDE",50,"USE_PREVIOUS_BUSINESS_DAY","N")),"")</f>
        <v>34.164309457510562</v>
      </c>
      <c r="P119">
        <f t="shared" si="3"/>
        <v>6894.0953999999992</v>
      </c>
      <c r="Q119" cm="1">
        <f t="array" ref="Q119">IFERROR(VALUE(_xll.BDP($B119,"INTERVAL_MAE_MOV_AVG","CALC_INTERVAL","520D","TECH_STUDIES_PARAM1_OVERRIDE",50,"USE_PREVIOUS_BUSINESS_DAY","Y")),"")</f>
        <v>34.141541054800008</v>
      </c>
      <c r="R119">
        <f t="shared" si="4"/>
        <v>6892.2477999999992</v>
      </c>
      <c r="S119">
        <f t="shared" si="68"/>
        <v>4.9555898889230001E-3</v>
      </c>
      <c r="T119">
        <f t="shared" si="69"/>
        <v>4.9536148504120839E-3</v>
      </c>
      <c r="U119" s="11" t="str">
        <f t="shared" si="70"/>
        <v>NEGATIVE</v>
      </c>
      <c r="V119" s="11" t="str">
        <f t="shared" si="71"/>
        <v/>
      </c>
      <c r="W119" s="11" t="str">
        <f t="shared" si="72"/>
        <v>UP</v>
      </c>
      <c r="X119" s="6" t="str">
        <f t="shared" si="73"/>
        <v>POSITIVE</v>
      </c>
      <c r="Y119" cm="1">
        <f t="array" ref="Y119">IFERROR(VALUE(_xll.BDP($B119,"INTERVAL_MAE_MOV_AVG","CALC_INTERVAL","520D","TECH_STUDIES_PARAM1_OVERRIDE",65,"USE_PREVIOUS_BUSINESS_DAY","N")),"")</f>
        <v>33.972938092238898</v>
      </c>
      <c r="Z119">
        <f t="shared" si="5"/>
        <v>6856.0226153846133</v>
      </c>
      <c r="AA119" cm="1">
        <f t="array" ref="AA119">IFERROR(VALUE(_xll.BDP($B119,"INTERVAL_MAE_MOV_AVG","CALC_INTERVAL","520D","TECH_STUDIES_PARAM1_OVERRIDE",65,"USE_PREVIOUS_BUSINESS_DAY","Y")),"")</f>
        <v>33.961166110461555</v>
      </c>
      <c r="AB119">
        <f t="shared" si="6"/>
        <v>6852.6203076923057</v>
      </c>
      <c r="AC119">
        <f t="shared" si="74"/>
        <v>4.9551963285542726E-3</v>
      </c>
      <c r="AD119">
        <f t="shared" si="75"/>
        <v>4.9559386899546967E-3</v>
      </c>
      <c r="AE119" s="10" t="str">
        <f t="shared" si="76"/>
        <v>UP</v>
      </c>
      <c r="AF119" s="10" t="str">
        <f t="shared" si="77"/>
        <v>DOWN</v>
      </c>
      <c r="AG119" s="6" t="str">
        <f t="shared" si="78"/>
        <v>POSITIVE</v>
      </c>
      <c r="AH119" cm="1">
        <f t="array" ref="AH119">IFERROR(VALUE(_xll.BDP($B119,"INTERVAL_MAE_MOV_AVG","CALC_INTERVAL","65W","PERIODICITY_OVERRIDE","W","TECH_STUDIES_PARAM1_OVERRIDE",39,"USE_PREVIOUS_BUSINESS_DAY","N")),"")</f>
        <v>31.887030370614202</v>
      </c>
      <c r="AI119">
        <f t="shared" si="7"/>
        <v>6560.7735897435905</v>
      </c>
      <c r="AJ119" cm="1">
        <f t="array" ref="AJ119">IFERROR(VALUE(_xll.BDP($B119,"INTERVAL_MAE_MOV_AVG","CALC_INTERVAL","65W","PERIODICITY_OVERRIDE","W","TECH_STUDIES_PARAM1_OVERRIDE",39,"USE_PREVIOUS_BUSINESS_DAY","Y")),"")</f>
        <v>31.878055988164778</v>
      </c>
      <c r="AK119">
        <f t="shared" si="8"/>
        <v>6560.7823076923087</v>
      </c>
      <c r="AL119">
        <f t="shared" si="79"/>
        <v>4.8602546535766698E-3</v>
      </c>
      <c r="AM119">
        <f t="shared" si="80"/>
        <v>4.858880312304947E-3</v>
      </c>
      <c r="AN119" s="10" t="str">
        <f t="shared" si="81"/>
        <v>UP</v>
      </c>
      <c r="AO119" s="10" t="str">
        <f t="shared" si="82"/>
        <v>UP</v>
      </c>
      <c r="AP119" s="6" t="str">
        <f t="shared" si="83"/>
        <v>POSITIVE</v>
      </c>
      <c r="AQ119" cm="1">
        <f t="array" ref="AQ119">IFERROR(VALUE(_xll.BDP($B119,"INTERVAL_exp_MOV_AVG","CALC_INTERVAL","520D","TECH_STUDIES_PARAM1_OVERRIDE",100,"USE_PREVIOUS_BUSINESS_DAY","N")),"")</f>
        <v>33.53752622514456</v>
      </c>
      <c r="AR119">
        <f t="shared" si="9"/>
        <v>6773.0064518682802</v>
      </c>
      <c r="AS119" cm="1">
        <f t="array" ref="AS119">IFERROR(VALUE(_xll.BDP($B119,"INTERVAL_exp_MOV_AVG","CALC_INTERVAL","520D","TECH_STUDIES_PARAM1_OVERRIDE",100,"USE_PREVIOUS_BUSINESS_DAY","Y")),"")</f>
        <v>33.502122696045923</v>
      </c>
      <c r="AT119">
        <f t="shared" si="10"/>
        <v>6769.6039787132295</v>
      </c>
      <c r="AU119">
        <f t="shared" si="84"/>
        <v>4.9516453975757694E-3</v>
      </c>
      <c r="AV119">
        <f t="shared" si="85"/>
        <v>4.9489043674330307E-3</v>
      </c>
      <c r="AW119" s="11" t="str">
        <f t="shared" si="86"/>
        <v>UP</v>
      </c>
      <c r="AX119" s="11" t="str">
        <f t="shared" si="87"/>
        <v>UP</v>
      </c>
      <c r="AY119" s="6" t="str">
        <f t="shared" si="88"/>
        <v>POSITIVE</v>
      </c>
      <c r="AZ119" s="12" cm="1">
        <f t="array" ref="AZ119">_xll.BDP($B119, "INTERVAL_RSI", "TECH_STUDIES_PARAM1_OVERRIDE", "5", "PERIODICITY_OVERRIDE", "W")</f>
        <v>69.458907944769891</v>
      </c>
      <c r="BA119" cm="1">
        <f t="array" ref="BA119">IFERROR(VALUE(_xll.BDP($B119,"INTERVAL_MAE_MOV_AVG","CALC_INTERVAL","520D","TECH_STUDIES_PARAM1_OVERRIDE",31,"USE_PREVIOUS_BUSINESS_DAY","N")),"")</f>
        <v>34.400645190823468</v>
      </c>
      <c r="BB119" cm="1">
        <f t="array" ref="BB119">IFERROR(VALUE(_xll.BDP($B119,"INTERVAL_MAE_MOV_AVG","CALC_INTERVAL","760D","TECH_STUDIES_PARAM1_OVERRIDE",200,"USE_PREVIOUS_BUSINESS_DAY","N")),"")</f>
        <v>31.269083952634983</v>
      </c>
      <c r="BC119" s="13">
        <f t="shared" si="89"/>
        <v>2.5852852591665032E-2</v>
      </c>
      <c r="BD119" s="13">
        <f t="shared" si="90"/>
        <v>3.2949313490133081E-2</v>
      </c>
      <c r="BE119" s="13">
        <f t="shared" si="91"/>
        <v>0.12859078486135767</v>
      </c>
      <c r="BF119" s="14" cm="1">
        <f t="array" ref="BF119">VALUE(_xll.BDP($B119,"INTERVAL_DATE_OF_CALC_HI","CALC_INTERVAL","3M"))</f>
        <v>46050</v>
      </c>
      <c r="BG119" s="14" cm="1">
        <f t="array" ref="BG119">VALUE(_xll.BDP($B119,"INTERVAL_DATE_OF_CALC_LO","CALC_INTERVAL","3M"))</f>
        <v>45982</v>
      </c>
      <c r="BH119" s="14" cm="1">
        <f t="array" ref="BH119">VALUE(_xll.BDP($B119,"INTERVAL_DATE_OF_CALC_HI","CALC_INTERVAL","1M"))</f>
        <v>46050</v>
      </c>
      <c r="BI119" s="14" cm="1">
        <f t="array" ref="BI119">VALUE(_xll.BDP($B119,"INTERVAL_DATE_OF_CALC_LO","CALC_INTERVAL","1M"))</f>
        <v>46058</v>
      </c>
      <c r="BJ119" s="15">
        <f>$F119-MIN(_xll.BDP("NYA Index","RSI_14D"),_xll.BDP("RSP US Equity","RSI_14D"))</f>
        <v>-10.787543401249621</v>
      </c>
    </row>
    <row r="120" spans="1:62" x14ac:dyDescent="0.25">
      <c r="A120" s="11">
        <v>119</v>
      </c>
      <c r="B120" s="26" t="s">
        <v>363</v>
      </c>
      <c r="C120" s="1" t="s">
        <v>364</v>
      </c>
      <c r="D120" s="1" t="s">
        <v>308</v>
      </c>
      <c r="E120" s="11" t="s">
        <v>787</v>
      </c>
      <c r="F120">
        <f>IFERROR(VALUE((_xll.BDP($B120,"interval_rsi","tech_studies_param1_override",14))),"")</f>
        <v>58.082539467141871</v>
      </c>
      <c r="G120">
        <f t="shared" si="0"/>
        <v>52.525531939815814</v>
      </c>
      <c r="H120">
        <f t="shared" si="65"/>
        <v>0</v>
      </c>
      <c r="I120" cm="1">
        <f t="array" ref="I120">IFERROR(VALUE(_xll.BDP($B120,"px_last")),"")</f>
        <v>15.8</v>
      </c>
      <c r="J120">
        <f t="shared" si="1"/>
        <v>6941.47</v>
      </c>
      <c r="K120" cm="1">
        <f t="array" ref="K120">IFERROR(VALUE(_xll.BDP($B120,"PX_YEST_CLOSE")),"")</f>
        <v>15.44</v>
      </c>
      <c r="L120">
        <f t="shared" si="2"/>
        <v>6941.81</v>
      </c>
      <c r="M120">
        <f t="shared" si="66"/>
        <v>2.2761749312465514E-3</v>
      </c>
      <c r="N120">
        <f t="shared" si="67"/>
        <v>2.2242037739436831E-3</v>
      </c>
      <c r="O120" cm="1">
        <f t="array" ref="O120">IFERROR(VALUE(_xll.BDP($B120,"INTERVAL_MAE_MOV_AVG","CALC_INTERVAL","520D","TECH_STUDIES_PARAM1_OVERRIDE",50,"USE_PREVIOUS_BUSINESS_DAY","N")),"")</f>
        <v>14.516210765614694</v>
      </c>
      <c r="P120">
        <f t="shared" si="3"/>
        <v>6894.0953999999992</v>
      </c>
      <c r="Q120" cm="1">
        <f t="array" ref="Q120">IFERROR(VALUE(_xll.BDP($B120,"INTERVAL_MAE_MOV_AVG","CALC_INTERVAL","520D","TECH_STUDIES_PARAM1_OVERRIDE",50,"USE_PREVIOUS_BUSINESS_DAY","Y")),"")</f>
        <v>14.463171347999999</v>
      </c>
      <c r="R120">
        <f t="shared" si="4"/>
        <v>6892.2477999999992</v>
      </c>
      <c r="S120">
        <f t="shared" si="68"/>
        <v>2.1056005064297046E-3</v>
      </c>
      <c r="T120">
        <f t="shared" si="69"/>
        <v>2.0984694351819447E-3</v>
      </c>
      <c r="U120" s="11" t="str">
        <f t="shared" si="70"/>
        <v>NEGATIVE</v>
      </c>
      <c r="V120" s="11" t="str">
        <f t="shared" si="71"/>
        <v/>
      </c>
      <c r="W120" s="11" t="str">
        <f t="shared" si="72"/>
        <v>UP</v>
      </c>
      <c r="X120" s="6" t="str">
        <f t="shared" si="73"/>
        <v>POSITIVE</v>
      </c>
      <c r="Y120" cm="1">
        <f t="array" ref="Y120">IFERROR(VALUE(_xll.BDP($B120,"INTERVAL_MAE_MOV_AVG","CALC_INTERVAL","520D","TECH_STUDIES_PARAM1_OVERRIDE",65,"USE_PREVIOUS_BUSINESS_DAY","N")),"")</f>
        <v>14.165429271549764</v>
      </c>
      <c r="Z120">
        <f t="shared" si="5"/>
        <v>6856.0226153846133</v>
      </c>
      <c r="AA120" cm="1">
        <f t="array" ref="AA120">IFERROR(VALUE(_xll.BDP($B120,"INTERVAL_MAE_MOV_AVG","CALC_INTERVAL","520D","TECH_STUDIES_PARAM1_OVERRIDE",65,"USE_PREVIOUS_BUSINESS_DAY","Y")),"")</f>
        <v>14.124629719538458</v>
      </c>
      <c r="AB120">
        <f t="shared" si="6"/>
        <v>6852.6203076923057</v>
      </c>
      <c r="AC120">
        <f t="shared" si="74"/>
        <v>2.0661293093991789E-3</v>
      </c>
      <c r="AD120">
        <f t="shared" si="75"/>
        <v>2.0612012756176011E-3</v>
      </c>
      <c r="AE120" s="10" t="str">
        <f t="shared" si="76"/>
        <v>UP</v>
      </c>
      <c r="AF120" s="10" t="str">
        <f t="shared" si="77"/>
        <v>UP</v>
      </c>
      <c r="AG120" s="6" t="str">
        <f t="shared" si="78"/>
        <v>POSITIVE</v>
      </c>
      <c r="AH120" cm="1">
        <f t="array" ref="AH120">IFERROR(VALUE(_xll.BDP($B120,"INTERVAL_MAE_MOV_AVG","CALC_INTERVAL","65W","PERIODICITY_OVERRIDE","W","TECH_STUDIES_PARAM1_OVERRIDE",39,"USE_PREVIOUS_BUSINESS_DAY","N")),"")</f>
        <v>12.00062888820346</v>
      </c>
      <c r="AI120">
        <f t="shared" si="7"/>
        <v>6560.7735897435905</v>
      </c>
      <c r="AJ120" cm="1">
        <f t="array" ref="AJ120">IFERROR(VALUE(_xll.BDP($B120,"INTERVAL_MAE_MOV_AVG","CALC_INTERVAL","65W","PERIODICITY_OVERRIDE","W","TECH_STUDIES_PARAM1_OVERRIDE",39,"USE_PREVIOUS_BUSINESS_DAY","Y")),"")</f>
        <v>11.991398114082054</v>
      </c>
      <c r="AK120">
        <f t="shared" si="8"/>
        <v>6560.7823076923087</v>
      </c>
      <c r="AL120">
        <f t="shared" si="79"/>
        <v>1.8291484569691531E-3</v>
      </c>
      <c r="AM120">
        <f t="shared" si="80"/>
        <v>1.8277390639867019E-3</v>
      </c>
      <c r="AN120" s="10" t="str">
        <f t="shared" si="81"/>
        <v>UP</v>
      </c>
      <c r="AO120" s="10" t="str">
        <f t="shared" si="82"/>
        <v>UP</v>
      </c>
      <c r="AP120" s="6" t="str">
        <f t="shared" si="83"/>
        <v>POSITIVE</v>
      </c>
      <c r="AQ120" cm="1">
        <f t="array" ref="AQ120">IFERROR(VALUE(_xll.BDP($B120,"INTERVAL_exp_MOV_AVG","CALC_INTERVAL","520D","TECH_STUDIES_PARAM1_OVERRIDE",100,"USE_PREVIOUS_BUSINESS_DAY","N")),"")</f>
        <v>13.675318898273824</v>
      </c>
      <c r="AR120">
        <f t="shared" si="9"/>
        <v>6773.0064518682802</v>
      </c>
      <c r="AS120" cm="1">
        <f t="array" ref="AS120">IFERROR(VALUE(_xll.BDP($B120,"INTERVAL_exp_MOV_AVG","CALC_INTERVAL","520D","TECH_STUDIES_PARAM1_OVERRIDE",100,"USE_PREVIOUS_BUSINESS_DAY","Y")),"")</f>
        <v>13.632402842446202</v>
      </c>
      <c r="AT120">
        <f t="shared" si="10"/>
        <v>6769.6039787132295</v>
      </c>
      <c r="AU120">
        <f t="shared" si="84"/>
        <v>2.0190913733001974E-3</v>
      </c>
      <c r="AV120">
        <f t="shared" si="85"/>
        <v>2.013766667195421E-3</v>
      </c>
      <c r="AW120" s="11" t="str">
        <f t="shared" si="86"/>
        <v>UP</v>
      </c>
      <c r="AX120" s="11" t="str">
        <f t="shared" si="87"/>
        <v>UP</v>
      </c>
      <c r="AY120" s="6" t="str">
        <f t="shared" si="88"/>
        <v>POSITIVE</v>
      </c>
      <c r="AZ120" s="12" cm="1">
        <f t="array" ref="AZ120">_xll.BDP($B120, "INTERVAL_RSI", "TECH_STUDIES_PARAM1_OVERRIDE", "5", "PERIODICITY_OVERRIDE", "W")</f>
        <v>76.855956333515294</v>
      </c>
      <c r="BA120" cm="1">
        <f t="array" ref="BA120">IFERROR(VALUE(_xll.BDP($B120,"INTERVAL_MAE_MOV_AVG","CALC_INTERVAL","520D","TECH_STUDIES_PARAM1_OVERRIDE",31,"USE_PREVIOUS_BUSINESS_DAY","N")),"")</f>
        <v>15.080466975830154</v>
      </c>
      <c r="BB120" cm="1">
        <f t="array" ref="BB120">IFERROR(VALUE(_xll.BDP($B120,"INTERVAL_MAE_MOV_AVG","CALC_INTERVAL","760D","TECH_STUDIES_PARAM1_OVERRIDE",200,"USE_PREVIOUS_BUSINESS_DAY","N")),"")</f>
        <v>11.653631289979174</v>
      </c>
      <c r="BC120" s="13">
        <f t="shared" si="89"/>
        <v>4.7712914018051444E-2</v>
      </c>
      <c r="BD120" s="13">
        <f t="shared" si="90"/>
        <v>8.8438315970603254E-2</v>
      </c>
      <c r="BE120" s="13">
        <f t="shared" si="91"/>
        <v>0.35580057467462889</v>
      </c>
      <c r="BF120" s="14" cm="1">
        <f t="array" ref="BF120">VALUE(_xll.BDP($B120,"INTERVAL_DATE_OF_CALC_HI","CALC_INTERVAL","3M"))</f>
        <v>46051</v>
      </c>
      <c r="BG120" s="14" cm="1">
        <f t="array" ref="BG120">VALUE(_xll.BDP($B120,"INTERVAL_DATE_OF_CALC_LO","CALC_INTERVAL","3M"))</f>
        <v>45982</v>
      </c>
      <c r="BH120" s="14" cm="1">
        <f t="array" ref="BH120">VALUE(_xll.BDP($B120,"INTERVAL_DATE_OF_CALC_HI","CALC_INTERVAL","1M"))</f>
        <v>46051</v>
      </c>
      <c r="BI120" s="14" cm="1">
        <f t="array" ref="BI120">VALUE(_xll.BDP($B120,"INTERVAL_DATE_OF_CALC_LO","CALC_INTERVAL","1M"))</f>
        <v>46058</v>
      </c>
      <c r="BJ120" s="15">
        <f>$F120-MIN(_xll.BDP("NYA Index","RSI_14D"),_xll.BDP("RSP US Equity","RSI_14D"))</f>
        <v>-8.2632246930143793</v>
      </c>
    </row>
    <row r="121" spans="1:62" x14ac:dyDescent="0.25">
      <c r="A121" s="11">
        <v>120</v>
      </c>
      <c r="B121" s="26" t="s">
        <v>365</v>
      </c>
      <c r="C121" s="1" t="s">
        <v>797</v>
      </c>
      <c r="D121" s="1" t="s">
        <v>308</v>
      </c>
      <c r="E121" s="11" t="s">
        <v>787</v>
      </c>
      <c r="F121">
        <f>IFERROR(VALUE((_xll.BDP($B121,"interval_rsi","tech_studies_param1_override",14))),"")</f>
        <v>79.762191760450932</v>
      </c>
      <c r="G121">
        <f t="shared" si="0"/>
        <v>52.525531939815814</v>
      </c>
      <c r="H121">
        <f t="shared" si="65"/>
        <v>1</v>
      </c>
      <c r="I121" cm="1">
        <f t="array" ref="I121">IFERROR(VALUE(_xll.BDP($B121,"px_last")),"")</f>
        <v>76.69</v>
      </c>
      <c r="J121">
        <f t="shared" si="1"/>
        <v>6941.47</v>
      </c>
      <c r="K121" cm="1">
        <f t="array" ref="K121">IFERROR(VALUE(_xll.BDP($B121,"PX_YEST_CLOSE")),"")</f>
        <v>75.95</v>
      </c>
      <c r="L121">
        <f t="shared" si="2"/>
        <v>6941.81</v>
      </c>
      <c r="M121">
        <f t="shared" si="66"/>
        <v>1.1048092118816331E-2</v>
      </c>
      <c r="N121">
        <f t="shared" si="67"/>
        <v>1.0940950559004063E-2</v>
      </c>
      <c r="O121" cm="1">
        <f t="array" ref="O121">IFERROR(VALUE(_xll.BDP($B121,"INTERVAL_MAE_MOV_AVG","CALC_INTERVAL","520D","TECH_STUDIES_PARAM1_OVERRIDE",50,"USE_PREVIOUS_BUSINESS_DAY","N")),"")</f>
        <v>68.10417773762812</v>
      </c>
      <c r="P121">
        <f t="shared" si="3"/>
        <v>6894.0953999999992</v>
      </c>
      <c r="Q121" cm="1">
        <f t="array" ref="Q121">IFERROR(VALUE(_xll.BDP($B121,"INTERVAL_MAE_MOV_AVG","CALC_INTERVAL","520D","TECH_STUDIES_PARAM1_OVERRIDE",50,"USE_PREVIOUS_BUSINESS_DAY","Y")),"")</f>
        <v>67.873729037599986</v>
      </c>
      <c r="R121">
        <f t="shared" si="4"/>
        <v>6892.2477999999992</v>
      </c>
      <c r="S121">
        <f t="shared" si="68"/>
        <v>9.8786242119057611E-3</v>
      </c>
      <c r="T121">
        <f t="shared" si="69"/>
        <v>9.8478364398912055E-3</v>
      </c>
      <c r="U121" s="11" t="str">
        <f t="shared" si="70"/>
        <v>POSITIVE</v>
      </c>
      <c r="V121" s="11" t="str">
        <f t="shared" si="71"/>
        <v/>
      </c>
      <c r="W121" s="11" t="str">
        <f t="shared" si="72"/>
        <v>UP</v>
      </c>
      <c r="X121" s="6" t="str">
        <f t="shared" si="73"/>
        <v>POSITIVE</v>
      </c>
      <c r="Y121" cm="1">
        <f t="array" ref="Y121">IFERROR(VALUE(_xll.BDP($B121,"INTERVAL_MAE_MOV_AVG","CALC_INTERVAL","520D","TECH_STUDIES_PARAM1_OVERRIDE",65,"USE_PREVIOUS_BUSINESS_DAY","N")),"")</f>
        <v>67.316284932021631</v>
      </c>
      <c r="Z121">
        <f t="shared" si="5"/>
        <v>6856.0226153846133</v>
      </c>
      <c r="AA121" cm="1">
        <f t="array" ref="AA121">IFERROR(VALUE(_xll.BDP($B121,"INTERVAL_MAE_MOV_AVG","CALC_INTERVAL","520D","TECH_STUDIES_PARAM1_OVERRIDE",65,"USE_PREVIOUS_BUSINESS_DAY","Y")),"")</f>
        <v>67.137118985230757</v>
      </c>
      <c r="AB121">
        <f t="shared" si="6"/>
        <v>6852.6203076923057</v>
      </c>
      <c r="AC121">
        <f t="shared" si="74"/>
        <v>9.8185622639235248E-3</v>
      </c>
      <c r="AD121">
        <f t="shared" si="75"/>
        <v>9.7972915426040742E-3</v>
      </c>
      <c r="AE121" s="10" t="str">
        <f t="shared" si="76"/>
        <v>UP</v>
      </c>
      <c r="AF121" s="10" t="str">
        <f t="shared" si="77"/>
        <v>UP</v>
      </c>
      <c r="AG121" s="6" t="str">
        <f t="shared" si="78"/>
        <v>POSITIVE</v>
      </c>
      <c r="AH121" cm="1">
        <f t="array" ref="AH121">IFERROR(VALUE(_xll.BDP($B121,"INTERVAL_MAE_MOV_AVG","CALC_INTERVAL","65W","PERIODICITY_OVERRIDE","W","TECH_STUDIES_PARAM1_OVERRIDE",39,"USE_PREVIOUS_BUSINESS_DAY","N")),"")</f>
        <v>63.309422237471956</v>
      </c>
      <c r="AI121">
        <f t="shared" si="7"/>
        <v>6560.7735897435905</v>
      </c>
      <c r="AJ121" cm="1">
        <f t="array" ref="AJ121">IFERROR(VALUE(_xll.BDP($B121,"INTERVAL_MAE_MOV_AVG","CALC_INTERVAL","65W","PERIODICITY_OVERRIDE","W","TECH_STUDIES_PARAM1_OVERRIDE",39,"USE_PREVIOUS_BUSINESS_DAY","Y")),"")</f>
        <v>63.290447815897444</v>
      </c>
      <c r="AK121">
        <f t="shared" si="8"/>
        <v>6560.7823076923087</v>
      </c>
      <c r="AL121">
        <f t="shared" si="79"/>
        <v>9.6496886184950989E-3</v>
      </c>
      <c r="AM121">
        <f t="shared" si="80"/>
        <v>9.6467836985981697E-3</v>
      </c>
      <c r="AN121" s="10" t="str">
        <f t="shared" si="81"/>
        <v>UP</v>
      </c>
      <c r="AO121" s="10" t="str">
        <f t="shared" si="82"/>
        <v>UP</v>
      </c>
      <c r="AP121" s="6" t="str">
        <f t="shared" si="83"/>
        <v>POSITIVE</v>
      </c>
      <c r="AQ121" cm="1">
        <f t="array" ref="AQ121">IFERROR(VALUE(_xll.BDP($B121,"INTERVAL_exp_MOV_AVG","CALC_INTERVAL","520D","TECH_STUDIES_PARAM1_OVERRIDE",100,"USE_PREVIOUS_BUSINESS_DAY","N")),"")</f>
        <v>66.49161416827576</v>
      </c>
      <c r="AR121">
        <f t="shared" si="9"/>
        <v>6773.0064518682802</v>
      </c>
      <c r="AS121" cm="1">
        <f t="array" ref="AS121">IFERROR(VALUE(_xll.BDP($B121,"INTERVAL_exp_MOV_AVG","CALC_INTERVAL","520D","TECH_STUDIES_PARAM1_OVERRIDE",100,"USE_PREVIOUS_BUSINESS_DAY","Y")),"")</f>
        <v>66.285603879253429</v>
      </c>
      <c r="AT121">
        <f t="shared" si="10"/>
        <v>6769.6039787132295</v>
      </c>
      <c r="AU121">
        <f t="shared" si="84"/>
        <v>9.8171490963122558E-3</v>
      </c>
      <c r="AV121">
        <f t="shared" si="85"/>
        <v>9.7916516368883721E-3</v>
      </c>
      <c r="AW121" s="11" t="str">
        <f t="shared" si="86"/>
        <v>UP</v>
      </c>
      <c r="AX121" s="11" t="str">
        <f t="shared" si="87"/>
        <v>UP</v>
      </c>
      <c r="AY121" s="6" t="str">
        <f t="shared" si="88"/>
        <v>POSITIVE</v>
      </c>
      <c r="AZ121" s="12" cm="1">
        <f t="array" ref="AZ121">_xll.BDP($B121, "INTERVAL_RSI", "TECH_STUDIES_PARAM1_OVERRIDE", "5", "PERIODICITY_OVERRIDE", "W")</f>
        <v>93.010157314813441</v>
      </c>
      <c r="BA121" cm="1">
        <f t="array" ref="BA121">IFERROR(VALUE(_xll.BDP($B121,"INTERVAL_MAE_MOV_AVG","CALC_INTERVAL","520D","TECH_STUDIES_PARAM1_OVERRIDE",31,"USE_PREVIOUS_BUSINESS_DAY","N")),"")</f>
        <v>69.620322659400202</v>
      </c>
      <c r="BB121" cm="1">
        <f t="array" ref="BB121">IFERROR(VALUE(_xll.BDP($B121,"INTERVAL_MAE_MOV_AVG","CALC_INTERVAL","760D","TECH_STUDIES_PARAM1_OVERRIDE",200,"USE_PREVIOUS_BUSINESS_DAY","N")),"")</f>
        <v>62.448232716157037</v>
      </c>
      <c r="BC121" s="13">
        <f t="shared" si="89"/>
        <v>0.10154617316536152</v>
      </c>
      <c r="BD121" s="13">
        <f t="shared" si="90"/>
        <v>0.12606895123892148</v>
      </c>
      <c r="BE121" s="13">
        <f t="shared" si="91"/>
        <v>0.22805717094630018</v>
      </c>
      <c r="BF121" s="14" cm="1">
        <f t="array" ref="BF121">VALUE(_xll.BDP($B121,"INTERVAL_DATE_OF_CALC_HI","CALC_INTERVAL","3M"))</f>
        <v>46064</v>
      </c>
      <c r="BG121" s="14" cm="1">
        <f t="array" ref="BG121">VALUE(_xll.BDP($B121,"INTERVAL_DATE_OF_CALC_LO","CALC_INTERVAL","3M"))</f>
        <v>45981</v>
      </c>
      <c r="BH121" s="14" cm="1">
        <f t="array" ref="BH121">VALUE(_xll.BDP($B121,"INTERVAL_DATE_OF_CALC_HI","CALC_INTERVAL","1M"))</f>
        <v>46064</v>
      </c>
      <c r="BI121" s="14" cm="1">
        <f t="array" ref="BI121">VALUE(_xll.BDP($B121,"INTERVAL_DATE_OF_CALC_LO","CALC_INTERVAL","1M"))</f>
        <v>46042</v>
      </c>
      <c r="BJ121" s="15">
        <f>$F121-MIN(_xll.BDP("NYA Index","RSI_14D"),_xll.BDP("RSP US Equity","RSI_14D"))</f>
        <v>13.416427600294682</v>
      </c>
    </row>
    <row r="122" spans="1:62" x14ac:dyDescent="0.25">
      <c r="A122" s="11">
        <v>121</v>
      </c>
      <c r="B122" s="26" t="s">
        <v>366</v>
      </c>
      <c r="C122" s="1" t="s">
        <v>367</v>
      </c>
      <c r="D122" s="1" t="s">
        <v>308</v>
      </c>
      <c r="E122" s="11" t="s">
        <v>787</v>
      </c>
      <c r="F122">
        <f>IFERROR(VALUE((_xll.BDP($B122,"interval_rsi","tech_studies_param1_override",14))),"")</f>
        <v>99.944563775834865</v>
      </c>
      <c r="G122">
        <f t="shared" si="0"/>
        <v>52.525531939815814</v>
      </c>
      <c r="H122">
        <f t="shared" si="65"/>
        <v>1</v>
      </c>
      <c r="I122" cm="1">
        <f t="array" ref="I122">IFERROR(VALUE(_xll.BDP($B122,"px_last")),"")</f>
        <v>91.47</v>
      </c>
      <c r="J122">
        <f t="shared" si="1"/>
        <v>6941.47</v>
      </c>
      <c r="K122" cm="1">
        <f t="array" ref="K122">IFERROR(VALUE(_xll.BDP($B122,"PX_YEST_CLOSE")),"")</f>
        <v>91.45</v>
      </c>
      <c r="L122">
        <f t="shared" si="2"/>
        <v>6941.81</v>
      </c>
      <c r="M122">
        <f t="shared" si="66"/>
        <v>1.3177324111463421E-2</v>
      </c>
      <c r="N122">
        <f t="shared" si="67"/>
        <v>1.3173797611862036E-2</v>
      </c>
      <c r="O122" cm="1">
        <f t="array" ref="O122">IFERROR(VALUE(_xll.BDP($B122,"INTERVAL_MAE_MOV_AVG","CALC_INTERVAL","520D","TECH_STUDIES_PARAM1_OVERRIDE",50,"USE_PREVIOUS_BUSINESS_DAY","N")),"")</f>
        <v>91.153659902259804</v>
      </c>
      <c r="P122">
        <f t="shared" si="3"/>
        <v>6894.0953999999992</v>
      </c>
      <c r="Q122" cm="1">
        <f t="array" ref="Q122">IFERROR(VALUE(_xll.BDP($B122,"INTERVAL_MAE_MOV_AVG","CALC_INTERVAL","520D","TECH_STUDIES_PARAM1_OVERRIDE",50,"USE_PREVIOUS_BUSINESS_DAY","Y")),"")</f>
        <v>91.140298038428426</v>
      </c>
      <c r="R122">
        <f t="shared" si="4"/>
        <v>6892.2477999999992</v>
      </c>
      <c r="S122">
        <f t="shared" si="68"/>
        <v>1.3221989922312332E-2</v>
      </c>
      <c r="T122">
        <f t="shared" si="69"/>
        <v>1.3223595651686876E-2</v>
      </c>
      <c r="U122" s="11" t="str">
        <f t="shared" si="70"/>
        <v>POSITIVE</v>
      </c>
      <c r="V122" s="11" t="str">
        <f t="shared" si="71"/>
        <v/>
      </c>
      <c r="W122" s="11" t="str">
        <f t="shared" si="72"/>
        <v>DOWN</v>
      </c>
      <c r="X122" s="6" t="str">
        <f t="shared" si="73"/>
        <v>NEGATIVE</v>
      </c>
      <c r="Y122" cm="1">
        <f t="array" ref="Y122">IFERROR(VALUE(_xll.BDP($B122,"INTERVAL_MAE_MOV_AVG","CALC_INTERVAL","520D","TECH_STUDIES_PARAM1_OVERRIDE",65,"USE_PREVIOUS_BUSINESS_DAY","N")),"")</f>
        <v>91.048422014082959</v>
      </c>
      <c r="Z122">
        <f t="shared" si="5"/>
        <v>6856.0226153846133</v>
      </c>
      <c r="AA122" cm="1">
        <f t="array" ref="AA122">IFERROR(VALUE(_xll.BDP($B122,"INTERVAL_MAE_MOV_AVG","CALC_INTERVAL","520D","TECH_STUDIES_PARAM1_OVERRIDE",65,"USE_PREVIOUS_BUSINESS_DAY","Y")),"")</f>
        <v>91.03479292097397</v>
      </c>
      <c r="AB122">
        <f t="shared" si="6"/>
        <v>6852.6203076923057</v>
      </c>
      <c r="AC122">
        <f t="shared" si="74"/>
        <v>1.3280064422450168E-2</v>
      </c>
      <c r="AD122">
        <f t="shared" si="75"/>
        <v>1.3284669051163427E-2</v>
      </c>
      <c r="AE122" s="10" t="str">
        <f t="shared" si="76"/>
        <v>UP</v>
      </c>
      <c r="AF122" s="10" t="str">
        <f t="shared" si="77"/>
        <v>DOWN</v>
      </c>
      <c r="AG122" s="6" t="str">
        <f t="shared" si="78"/>
        <v>NEGATIVE</v>
      </c>
      <c r="AH122" cm="1">
        <f t="array" ref="AH122">IFERROR(VALUE(_xll.BDP($B122,"INTERVAL_MAE_MOV_AVG","CALC_INTERVAL","65W","PERIODICITY_OVERRIDE","W","TECH_STUDIES_PARAM1_OVERRIDE",39,"USE_PREVIOUS_BUSINESS_DAY","N")),"")</f>
        <v>90.250652686371254</v>
      </c>
      <c r="AI122">
        <f t="shared" si="7"/>
        <v>6560.7735897435905</v>
      </c>
      <c r="AJ122" cm="1">
        <f t="array" ref="AJ122">IFERROR(VALUE(_xll.BDP($B122,"INTERVAL_MAE_MOV_AVG","CALC_INTERVAL","65W","PERIODICITY_OVERRIDE","W","TECH_STUDIES_PARAM1_OVERRIDE",39,"USE_PREVIOUS_BUSINESS_DAY","Y")),"")</f>
        <v>90.250139834558354</v>
      </c>
      <c r="AK122">
        <f t="shared" si="8"/>
        <v>6560.7823076923087</v>
      </c>
      <c r="AL122">
        <f t="shared" si="79"/>
        <v>1.3756099254432349E-2</v>
      </c>
      <c r="AM122">
        <f t="shared" si="80"/>
        <v>1.3756002806059108E-2</v>
      </c>
      <c r="AN122" s="10" t="str">
        <f t="shared" si="81"/>
        <v>UP</v>
      </c>
      <c r="AO122" s="10" t="str">
        <f t="shared" si="82"/>
        <v>UP</v>
      </c>
      <c r="AP122" s="6" t="str">
        <f t="shared" si="83"/>
        <v>NEGATIVE</v>
      </c>
      <c r="AQ122" cm="1">
        <f t="array" ref="AQ122">IFERROR(VALUE(_xll.BDP($B122,"INTERVAL_exp_MOV_AVG","CALC_INTERVAL","520D","TECH_STUDIES_PARAM1_OVERRIDE",100,"USE_PREVIOUS_BUSINESS_DAY","N")),"")</f>
        <v>90.799989229085369</v>
      </c>
      <c r="AR122">
        <f t="shared" si="9"/>
        <v>6773.0064518682802</v>
      </c>
      <c r="AS122" cm="1">
        <f t="array" ref="AS122">IFERROR(VALUE(_xll.BDP($B122,"INTERVAL_exp_MOV_AVG","CALC_INTERVAL","520D","TECH_STUDIES_PARAM1_OVERRIDE",100,"USE_PREVIOUS_BUSINESS_DAY","Y")),"")</f>
        <v>90.7864530684665</v>
      </c>
      <c r="AT122">
        <f t="shared" si="10"/>
        <v>6769.6039787132295</v>
      </c>
      <c r="AU122">
        <f t="shared" si="84"/>
        <v>1.3406157202764647E-2</v>
      </c>
      <c r="AV122">
        <f t="shared" si="85"/>
        <v>1.3410895726536021E-2</v>
      </c>
      <c r="AW122" s="11" t="str">
        <f t="shared" si="86"/>
        <v>UP</v>
      </c>
      <c r="AX122" s="11" t="str">
        <f t="shared" si="87"/>
        <v>DOWN</v>
      </c>
      <c r="AY122" s="6" t="str">
        <f t="shared" si="88"/>
        <v>NEGATIVE</v>
      </c>
      <c r="AZ122" s="12" cm="1">
        <f t="array" ref="AZ122">_xll.BDP($B122, "INTERVAL_RSI", "TECH_STUDIES_PARAM1_OVERRIDE", "5", "PERIODICITY_OVERRIDE", "W")</f>
        <v>0</v>
      </c>
      <c r="BA122" cm="1">
        <f t="array" ref="BA122">IFERROR(VALUE(_xll.BDP($B122,"INTERVAL_MAE_MOV_AVG","CALC_INTERVAL","520D","TECH_STUDIES_PARAM1_OVERRIDE",31,"USE_PREVIOUS_BUSINESS_DAY","N")),"")</f>
        <v>91.280303600022677</v>
      </c>
      <c r="BB122" cm="1">
        <f t="array" ref="BB122">IFERROR(VALUE(_xll.BDP($B122,"INTERVAL_MAE_MOV_AVG","CALC_INTERVAL","760D","TECH_STUDIES_PARAM1_OVERRIDE",200,"USE_PREVIOUS_BUSINESS_DAY","N")),"")</f>
        <v>90.092538087924481</v>
      </c>
      <c r="BC122" s="13">
        <f t="shared" si="89"/>
        <v>2.0781745074878177E-3</v>
      </c>
      <c r="BD122" s="13">
        <f t="shared" si="90"/>
        <v>3.4704047876892297E-3</v>
      </c>
      <c r="BE122" s="13">
        <f t="shared" si="91"/>
        <v>1.5289411768277583E-2</v>
      </c>
      <c r="BF122" s="14" cm="1">
        <f t="array" ref="BF122">VALUE(_xll.BDP($B122,"INTERVAL_DATE_OF_CALC_HI","CALC_INTERVAL","3M"))</f>
        <v>46064</v>
      </c>
      <c r="BG122" s="14" cm="1">
        <f t="array" ref="BG122">VALUE(_xll.BDP($B122,"INTERVAL_DATE_OF_CALC_LO","CALC_INTERVAL","3M"))</f>
        <v>45972</v>
      </c>
      <c r="BH122" s="14" cm="1">
        <f t="array" ref="BH122">VALUE(_xll.BDP($B122,"INTERVAL_DATE_OF_CALC_HI","CALC_INTERVAL","1M"))</f>
        <v>46064</v>
      </c>
      <c r="BI122" s="14" cm="1">
        <f t="array" ref="BI122">VALUE(_xll.BDP($B122,"INTERVAL_DATE_OF_CALC_LO","CALC_INTERVAL","1M"))</f>
        <v>46034</v>
      </c>
      <c r="BJ122" s="15">
        <f>$F122-MIN(_xll.BDP("NYA Index","RSI_14D"),_xll.BDP("RSP US Equity","RSI_14D"))</f>
        <v>33.598799615678615</v>
      </c>
    </row>
    <row r="123" spans="1:62" x14ac:dyDescent="0.25">
      <c r="A123" s="11">
        <v>122</v>
      </c>
      <c r="B123" s="26" t="s">
        <v>368</v>
      </c>
      <c r="C123" s="1" t="s">
        <v>798</v>
      </c>
      <c r="D123" s="1" t="s">
        <v>308</v>
      </c>
      <c r="E123" s="11" t="s">
        <v>787</v>
      </c>
      <c r="F123">
        <f>IFERROR(VALUE((_xll.BDP($B123,"interval_rsi","tech_studies_param1_override",14))),"")</f>
        <v>42.760741373764098</v>
      </c>
      <c r="G123">
        <f t="shared" si="0"/>
        <v>52.525531939815814</v>
      </c>
      <c r="H123">
        <f t="shared" si="65"/>
        <v>0</v>
      </c>
      <c r="I123" cm="1">
        <f t="array" ref="I123">IFERROR(VALUE(_xll.BDP($B123,"px_last")),"")</f>
        <v>64.75</v>
      </c>
      <c r="J123">
        <f t="shared" si="1"/>
        <v>6941.47</v>
      </c>
      <c r="K123" cm="1">
        <f t="array" ref="K123">IFERROR(VALUE(_xll.BDP($B123,"PX_YEST_CLOSE")),"")</f>
        <v>66.180000000000007</v>
      </c>
      <c r="L123">
        <f t="shared" si="2"/>
        <v>6941.81</v>
      </c>
      <c r="M123">
        <f t="shared" si="66"/>
        <v>9.3279953669755823E-3</v>
      </c>
      <c r="N123">
        <f t="shared" si="67"/>
        <v>9.5335366424606841E-3</v>
      </c>
      <c r="O123" cm="1">
        <f t="array" ref="O123">IFERROR(VALUE(_xll.BDP($B123,"INTERVAL_MAE_MOV_AVG","CALC_INTERVAL","520D","TECH_STUDIES_PARAM1_OVERRIDE",50,"USE_PREVIOUS_BUSINESS_DAY","N")),"")</f>
        <v>72.845486359331986</v>
      </c>
      <c r="P123">
        <f t="shared" si="3"/>
        <v>6894.0953999999992</v>
      </c>
      <c r="Q123" cm="1">
        <f t="array" ref="Q123">IFERROR(VALUE(_xll.BDP($B123,"INTERVAL_MAE_MOV_AVG","CALC_INTERVAL","520D","TECH_STUDIES_PARAM1_OVERRIDE",50,"USE_PREVIOUS_BUSINESS_DAY","Y")),"")</f>
        <v>73.143314806131997</v>
      </c>
      <c r="R123">
        <f t="shared" si="4"/>
        <v>6892.2477999999992</v>
      </c>
      <c r="S123">
        <f t="shared" si="68"/>
        <v>1.0566358910457201E-2</v>
      </c>
      <c r="T123">
        <f t="shared" si="69"/>
        <v>1.0612403518940803E-2</v>
      </c>
      <c r="U123" s="11" t="str">
        <f t="shared" si="70"/>
        <v>NEGATIVE</v>
      </c>
      <c r="V123" s="11" t="str">
        <f t="shared" si="71"/>
        <v/>
      </c>
      <c r="W123" s="11" t="str">
        <f t="shared" si="72"/>
        <v>DOWN</v>
      </c>
      <c r="X123" s="6" t="str">
        <f t="shared" si="73"/>
        <v>NEGATIVE</v>
      </c>
      <c r="Y123" cm="1">
        <f t="array" ref="Y123">IFERROR(VALUE(_xll.BDP($B123,"INTERVAL_MAE_MOV_AVG","CALC_INTERVAL","520D","TECH_STUDIES_PARAM1_OVERRIDE",65,"USE_PREVIOUS_BUSINESS_DAY","N")),"")</f>
        <v>73.729323629640021</v>
      </c>
      <c r="Z123">
        <f t="shared" si="5"/>
        <v>6856.0226153846133</v>
      </c>
      <c r="AA123" cm="1">
        <f t="array" ref="AA123">IFERROR(VALUE(_xll.BDP($B123,"INTERVAL_MAE_MOV_AVG","CALC_INTERVAL","520D","TECH_STUDIES_PARAM1_OVERRIDE",65,"USE_PREVIOUS_BUSINESS_DAY","Y")),"")</f>
        <v>74.206463965332318</v>
      </c>
      <c r="AB123">
        <f t="shared" si="6"/>
        <v>6852.6203076923057</v>
      </c>
      <c r="AC123">
        <f t="shared" si="74"/>
        <v>1.075394988694971E-2</v>
      </c>
      <c r="AD123">
        <f t="shared" si="75"/>
        <v>1.0828918082916833E-2</v>
      </c>
      <c r="AE123" s="10" t="str">
        <f t="shared" si="76"/>
        <v>DOWN</v>
      </c>
      <c r="AF123" s="10" t="str">
        <f t="shared" si="77"/>
        <v>DOWN</v>
      </c>
      <c r="AG123" s="6" t="str">
        <f t="shared" si="78"/>
        <v>NEGATIVE</v>
      </c>
      <c r="AH123" cm="1">
        <f t="array" ref="AH123">IFERROR(VALUE(_xll.BDP($B123,"INTERVAL_MAE_MOV_AVG","CALC_INTERVAL","65W","PERIODICITY_OVERRIDE","W","TECH_STUDIES_PARAM1_OVERRIDE",39,"USE_PREVIOUS_BUSINESS_DAY","N")),"")</f>
        <v>69.358680993069015</v>
      </c>
      <c r="AI123">
        <f t="shared" si="7"/>
        <v>6560.7735897435905</v>
      </c>
      <c r="AJ123" cm="1">
        <f t="array" ref="AJ123">IFERROR(VALUE(_xll.BDP($B123,"INTERVAL_MAE_MOV_AVG","CALC_INTERVAL","65W","PERIODICITY_OVERRIDE","W","TECH_STUDIES_PARAM1_OVERRIDE",39,"USE_PREVIOUS_BUSINESS_DAY","Y")),"")</f>
        <v>69.395347659735677</v>
      </c>
      <c r="AK123">
        <f t="shared" si="8"/>
        <v>6560.7823076923087</v>
      </c>
      <c r="AL123">
        <f t="shared" si="79"/>
        <v>1.0571722990334088E-2</v>
      </c>
      <c r="AM123">
        <f t="shared" si="80"/>
        <v>1.0577297707069451E-2</v>
      </c>
      <c r="AN123" s="10" t="str">
        <f t="shared" si="81"/>
        <v>DOWN</v>
      </c>
      <c r="AO123" s="10" t="str">
        <f t="shared" si="82"/>
        <v>DOWN</v>
      </c>
      <c r="AP123" s="6" t="str">
        <f t="shared" si="83"/>
        <v>NEGATIVE</v>
      </c>
      <c r="AQ123" cm="1">
        <f t="array" ref="AQ123">IFERROR(VALUE(_xll.BDP($B123,"INTERVAL_exp_MOV_AVG","CALC_INTERVAL","520D","TECH_STUDIES_PARAM1_OVERRIDE",100,"USE_PREVIOUS_BUSINESS_DAY","N")),"")</f>
        <v>74.347429270825472</v>
      </c>
      <c r="AR123">
        <f t="shared" si="9"/>
        <v>6773.0064518682802</v>
      </c>
      <c r="AS123" cm="1">
        <f t="array" ref="AS123">IFERROR(VALUE(_xll.BDP($B123,"INTERVAL_exp_MOV_AVG","CALC_INTERVAL","520D","TECH_STUDIES_PARAM1_OVERRIDE",100,"USE_PREVIOUS_BUSINESS_DAY","Y")),"")</f>
        <v>74.541352497593039</v>
      </c>
      <c r="AT123">
        <f t="shared" si="10"/>
        <v>6769.6039787132295</v>
      </c>
      <c r="AU123">
        <f t="shared" si="84"/>
        <v>1.0977020293597583E-2</v>
      </c>
      <c r="AV123">
        <f t="shared" si="85"/>
        <v>1.1011183627873296E-2</v>
      </c>
      <c r="AW123" s="11" t="str">
        <f t="shared" si="86"/>
        <v>DOWN</v>
      </c>
      <c r="AX123" s="11" t="str">
        <f t="shared" si="87"/>
        <v>DOWN</v>
      </c>
      <c r="AY123" s="6" t="str">
        <f t="shared" si="88"/>
        <v>NEGATIVE</v>
      </c>
      <c r="AZ123" s="12" cm="1">
        <f t="array" ref="AZ123">_xll.BDP($B123, "INTERVAL_RSI", "TECH_STUDIES_PARAM1_OVERRIDE", "5", "PERIODICITY_OVERRIDE", "W")</f>
        <v>33.375730501433424</v>
      </c>
      <c r="BA123" cm="1">
        <f t="array" ref="BA123">IFERROR(VALUE(_xll.BDP($B123,"INTERVAL_MAE_MOV_AVG","CALC_INTERVAL","520D","TECH_STUDIES_PARAM1_OVERRIDE",31,"USE_PREVIOUS_BUSINESS_DAY","N")),"")</f>
        <v>72.933613205806452</v>
      </c>
      <c r="BB123" cm="1">
        <f t="array" ref="BB123">IFERROR(VALUE(_xll.BDP($B123,"INTERVAL_MAE_MOV_AVG","CALC_INTERVAL","760D","TECH_STUDIES_PARAM1_OVERRIDE",200,"USE_PREVIOUS_BUSINESS_DAY","N")),"")</f>
        <v>67.752442886511176</v>
      </c>
      <c r="BC123" s="13">
        <f t="shared" si="89"/>
        <v>-0.11220633184199535</v>
      </c>
      <c r="BD123" s="13">
        <f t="shared" si="90"/>
        <v>-0.11113229884139419</v>
      </c>
      <c r="BE123" s="13">
        <f t="shared" si="91"/>
        <v>-4.4314902291278546E-2</v>
      </c>
      <c r="BF123" s="14" cm="1">
        <f t="array" ref="BF123">VALUE(_xll.BDP($B123,"INTERVAL_DATE_OF_CALC_HI","CALC_INTERVAL","3M"))</f>
        <v>45972</v>
      </c>
      <c r="BG123" s="14" cm="1">
        <f t="array" ref="BG123">VALUE(_xll.BDP($B123,"INTERVAL_DATE_OF_CALC_LO","CALC_INTERVAL","3M"))</f>
        <v>46058</v>
      </c>
      <c r="BH123" s="14" cm="1">
        <f t="array" ref="BH123">VALUE(_xll.BDP($B123,"INTERVAL_DATE_OF_CALC_HI","CALC_INTERVAL","1M"))</f>
        <v>46038</v>
      </c>
      <c r="BI123" s="14" cm="1">
        <f t="array" ref="BI123">VALUE(_xll.BDP($B123,"INTERVAL_DATE_OF_CALC_LO","CALC_INTERVAL","1M"))</f>
        <v>46058</v>
      </c>
      <c r="BJ123" s="15">
        <f>$F123-MIN(_xll.BDP("NYA Index","RSI_14D"),_xll.BDP("RSP US Equity","RSI_14D"))</f>
        <v>-23.585022786392152</v>
      </c>
    </row>
    <row r="124" spans="1:62" x14ac:dyDescent="0.25">
      <c r="A124" s="11">
        <v>123</v>
      </c>
      <c r="B124" s="26" t="s">
        <v>369</v>
      </c>
      <c r="C124" s="1" t="s">
        <v>799</v>
      </c>
      <c r="D124" s="1" t="s">
        <v>308</v>
      </c>
      <c r="E124" s="11" t="s">
        <v>787</v>
      </c>
      <c r="F124">
        <f>IFERROR(VALUE((_xll.BDP($B124,"interval_rsi","tech_studies_param1_override",14))),"")</f>
        <v>37.189513259070857</v>
      </c>
      <c r="G124">
        <f t="shared" si="0"/>
        <v>52.525531939815814</v>
      </c>
      <c r="H124">
        <f t="shared" si="65"/>
        <v>0</v>
      </c>
      <c r="I124" cm="1">
        <f t="array" ref="I124">IFERROR(VALUE(_xll.BDP($B124,"px_last")),"")</f>
        <v>20.68</v>
      </c>
      <c r="J124">
        <f t="shared" si="1"/>
        <v>6941.47</v>
      </c>
      <c r="K124" cm="1">
        <f t="array" ref="K124">IFERROR(VALUE(_xll.BDP($B124,"PX_YEST_CLOSE")),"")</f>
        <v>20.67</v>
      </c>
      <c r="L124">
        <f t="shared" si="2"/>
        <v>6941.81</v>
      </c>
      <c r="M124">
        <f t="shared" si="66"/>
        <v>2.9791960492518152E-3</v>
      </c>
      <c r="N124">
        <f t="shared" si="67"/>
        <v>2.9776095859725348E-3</v>
      </c>
      <c r="O124" cm="1">
        <f t="array" ref="O124">IFERROR(VALUE(_xll.BDP($B124,"INTERVAL_MAE_MOV_AVG","CALC_INTERVAL","520D","TECH_STUDIES_PARAM1_OVERRIDE",50,"USE_PREVIOUS_BUSINESS_DAY","N")),"")</f>
        <v>20.816642081164211</v>
      </c>
      <c r="P124">
        <f t="shared" si="3"/>
        <v>6894.0953999999992</v>
      </c>
      <c r="Q124" cm="1">
        <f t="array" ref="Q124">IFERROR(VALUE(_xll.BDP($B124,"INTERVAL_MAE_MOV_AVG","CALC_INTERVAL","520D","TECH_STUDIES_PARAM1_OVERRIDE",50,"USE_PREVIOUS_BUSINESS_DAY","Y")),"")</f>
        <v>20.817263950483699</v>
      </c>
      <c r="R124">
        <f t="shared" si="4"/>
        <v>6892.2477999999992</v>
      </c>
      <c r="S124">
        <f t="shared" si="68"/>
        <v>3.0194885439450421E-3</v>
      </c>
      <c r="T124">
        <f t="shared" si="69"/>
        <v>3.0203882034658854E-3</v>
      </c>
      <c r="U124" s="11" t="str">
        <f t="shared" si="70"/>
        <v>NEGATIVE</v>
      </c>
      <c r="V124" s="11" t="str">
        <f t="shared" si="71"/>
        <v/>
      </c>
      <c r="W124" s="11" t="str">
        <f t="shared" si="72"/>
        <v>DOWN</v>
      </c>
      <c r="X124" s="6" t="str">
        <f t="shared" si="73"/>
        <v>NEGATIVE</v>
      </c>
      <c r="Y124" cm="1">
        <f t="array" ref="Y124">IFERROR(VALUE(_xll.BDP($B124,"INTERVAL_MAE_MOV_AVG","CALC_INTERVAL","520D","TECH_STUDIES_PARAM1_OVERRIDE",65,"USE_PREVIOUS_BUSINESS_DAY","N")),"")</f>
        <v>20.773462948679899</v>
      </c>
      <c r="Z124">
        <f t="shared" si="5"/>
        <v>6856.0226153846133</v>
      </c>
      <c r="AA124" cm="1">
        <f t="array" ref="AA124">IFERROR(VALUE(_xll.BDP($B124,"INTERVAL_MAE_MOV_AVG","CALC_INTERVAL","520D","TECH_STUDIES_PARAM1_OVERRIDE",65,"USE_PREVIOUS_BUSINESS_DAY","Y")),"")</f>
        <v>20.772272722359553</v>
      </c>
      <c r="AB124">
        <f t="shared" si="6"/>
        <v>6852.6203076923057</v>
      </c>
      <c r="AC124">
        <f t="shared" si="74"/>
        <v>3.0299583467045693E-3</v>
      </c>
      <c r="AD124">
        <f t="shared" si="75"/>
        <v>3.031289023709945E-3</v>
      </c>
      <c r="AE124" s="10" t="str">
        <f t="shared" si="76"/>
        <v>UP</v>
      </c>
      <c r="AF124" s="10" t="str">
        <f t="shared" si="77"/>
        <v>DOWN</v>
      </c>
      <c r="AG124" s="6" t="str">
        <f t="shared" si="78"/>
        <v>NEGATIVE</v>
      </c>
      <c r="AH124" cm="1">
        <f t="array" ref="AH124">IFERROR(VALUE(_xll.BDP($B124,"INTERVAL_MAE_MOV_AVG","CALC_INTERVAL","65W","PERIODICITY_OVERRIDE","W","TECH_STUDIES_PARAM1_OVERRIDE",39,"USE_PREVIOUS_BUSINESS_DAY","N")),"")</f>
        <v>20.454093519474704</v>
      </c>
      <c r="AI124">
        <f t="shared" si="7"/>
        <v>6560.7735897435905</v>
      </c>
      <c r="AJ124" cm="1">
        <f t="array" ref="AJ124">IFERROR(VALUE(_xll.BDP($B124,"INTERVAL_MAE_MOV_AVG","CALC_INTERVAL","65W","PERIODICITY_OVERRIDE","W","TECH_STUDIES_PARAM1_OVERRIDE",39,"USE_PREVIOUS_BUSINESS_DAY","Y")),"")</f>
        <v>20.453837101393272</v>
      </c>
      <c r="AK124">
        <f t="shared" si="8"/>
        <v>6560.7823076923087</v>
      </c>
      <c r="AL124">
        <f t="shared" si="79"/>
        <v>3.1176344130287377E-3</v>
      </c>
      <c r="AM124">
        <f t="shared" si="80"/>
        <v>3.1175911868637674E-3</v>
      </c>
      <c r="AN124" s="10" t="str">
        <f t="shared" si="81"/>
        <v>UP</v>
      </c>
      <c r="AO124" s="10" t="str">
        <f t="shared" si="82"/>
        <v>UP</v>
      </c>
      <c r="AP124" s="6" t="str">
        <f t="shared" si="83"/>
        <v>NEGATIVE</v>
      </c>
      <c r="AQ124" cm="1">
        <f t="array" ref="AQ124">IFERROR(VALUE(_xll.BDP($B124,"INTERVAL_exp_MOV_AVG","CALC_INTERVAL","520D","TECH_STUDIES_PARAM1_OVERRIDE",100,"USE_PREVIOUS_BUSINESS_DAY","N")),"")</f>
        <v>20.656491191685021</v>
      </c>
      <c r="AR124">
        <f t="shared" si="9"/>
        <v>6773.0064518682802</v>
      </c>
      <c r="AS124" cm="1">
        <f t="array" ref="AS124">IFERROR(VALUE(_xll.BDP($B124,"INTERVAL_exp_MOV_AVG","CALC_INTERVAL","520D","TECH_STUDIES_PARAM1_OVERRIDE",100,"USE_PREVIOUS_BUSINESS_DAY","Y")),"")</f>
        <v>20.656016789521392</v>
      </c>
      <c r="AT124">
        <f t="shared" si="10"/>
        <v>6769.6039787132295</v>
      </c>
      <c r="AU124">
        <f t="shared" si="84"/>
        <v>3.0498260024522921E-3</v>
      </c>
      <c r="AV124">
        <f t="shared" si="85"/>
        <v>3.0512887983511999E-3</v>
      </c>
      <c r="AW124" s="11" t="str">
        <f t="shared" si="86"/>
        <v>UP</v>
      </c>
      <c r="AX124" s="11" t="str">
        <f t="shared" si="87"/>
        <v>DOWN</v>
      </c>
      <c r="AY124" s="6" t="str">
        <f t="shared" si="88"/>
        <v>NEGATIVE</v>
      </c>
      <c r="AZ124" s="12" cm="1">
        <f t="array" ref="AZ124">_xll.BDP($B124, "INTERVAL_RSI", "TECH_STUDIES_PARAM1_OVERRIDE", "5", "PERIODICITY_OVERRIDE", "W")</f>
        <v>28.150842931232503</v>
      </c>
      <c r="BA124" cm="1">
        <f t="array" ref="BA124">IFERROR(VALUE(_xll.BDP($B124,"INTERVAL_MAE_MOV_AVG","CALC_INTERVAL","520D","TECH_STUDIES_PARAM1_OVERRIDE",31,"USE_PREVIOUS_BUSINESS_DAY","N")),"")</f>
        <v>20.835587010166961</v>
      </c>
      <c r="BB124" cm="1">
        <f t="array" ref="BB124">IFERROR(VALUE(_xll.BDP($B124,"INTERVAL_MAE_MOV_AVG","CALC_INTERVAL","760D","TECH_STUDIES_PARAM1_OVERRIDE",200,"USE_PREVIOUS_BUSINESS_DAY","N")),"")</f>
        <v>20.393832659605032</v>
      </c>
      <c r="BC124" s="13">
        <f t="shared" si="89"/>
        <v>-7.4673686942940964E-3</v>
      </c>
      <c r="BD124" s="13">
        <f t="shared" si="90"/>
        <v>-6.5640789053029724E-3</v>
      </c>
      <c r="BE124" s="13">
        <f t="shared" si="91"/>
        <v>1.4032052982458465E-2</v>
      </c>
      <c r="BF124" s="14" cm="1">
        <f t="array" ref="BF124">VALUE(_xll.BDP($B124,"INTERVAL_DATE_OF_CALC_HI","CALC_INTERVAL","3M"))</f>
        <v>46031</v>
      </c>
      <c r="BG124" s="14" cm="1">
        <f t="array" ref="BG124">VALUE(_xll.BDP($B124,"INTERVAL_DATE_OF_CALC_LO","CALC_INTERVAL","3M"))</f>
        <v>45981</v>
      </c>
      <c r="BH124" s="14" cm="1">
        <f t="array" ref="BH124">VALUE(_xll.BDP($B124,"INTERVAL_DATE_OF_CALC_HI","CALC_INTERVAL","1M"))</f>
        <v>46034</v>
      </c>
      <c r="BI124" s="14" cm="1">
        <f t="array" ref="BI124">VALUE(_xll.BDP($B124,"INTERVAL_DATE_OF_CALC_LO","CALC_INTERVAL","1M"))</f>
        <v>46058</v>
      </c>
      <c r="BJ124" s="15">
        <f>$F124-MIN(_xll.BDP("NYA Index","RSI_14D"),_xll.BDP("RSP US Equity","RSI_14D"))</f>
        <v>-29.156250901085393</v>
      </c>
    </row>
    <row r="125" spans="1:62" x14ac:dyDescent="0.25">
      <c r="A125" s="11">
        <v>124</v>
      </c>
      <c r="B125" s="26" t="s">
        <v>370</v>
      </c>
      <c r="C125" s="1" t="s">
        <v>371</v>
      </c>
      <c r="D125" s="1" t="s">
        <v>308</v>
      </c>
      <c r="E125" s="11" t="s">
        <v>787</v>
      </c>
      <c r="F125">
        <f>IFERROR(VALUE((_xll.BDP($B125,"interval_rsi","tech_studies_param1_override",14))),"")</f>
        <v>38.884330282084669</v>
      </c>
      <c r="G125">
        <f t="shared" si="0"/>
        <v>52.525531939815814</v>
      </c>
      <c r="H125">
        <f t="shared" si="65"/>
        <v>0</v>
      </c>
      <c r="I125" cm="1">
        <f t="array" ref="I125">IFERROR(VALUE(_xll.BDP($B125,"px_last")),"")</f>
        <v>54.39</v>
      </c>
      <c r="J125">
        <f t="shared" si="1"/>
        <v>6941.47</v>
      </c>
      <c r="K125" cm="1">
        <f t="array" ref="K125">IFERROR(VALUE(_xll.BDP($B125,"PX_YEST_CLOSE")),"")</f>
        <v>55.8</v>
      </c>
      <c r="L125">
        <f t="shared" si="2"/>
        <v>6941.81</v>
      </c>
      <c r="M125">
        <f t="shared" si="66"/>
        <v>7.8355161082594889E-3</v>
      </c>
      <c r="N125">
        <f t="shared" si="67"/>
        <v>8.0382493902886997E-3</v>
      </c>
      <c r="O125" cm="1">
        <f t="array" ref="O125">IFERROR(VALUE(_xll.BDP($B125,"INTERVAL_MAE_MOV_AVG","CALC_INTERVAL","520D","TECH_STUDIES_PARAM1_OVERRIDE",50,"USE_PREVIOUS_BUSINESS_DAY","N")),"")</f>
        <v>60.158544657792994</v>
      </c>
      <c r="P125">
        <f t="shared" si="3"/>
        <v>6894.0953999999992</v>
      </c>
      <c r="Q125" cm="1">
        <f t="array" ref="Q125">IFERROR(VALUE(_xll.BDP($B125,"INTERVAL_MAE_MOV_AVG","CALC_INTERVAL","520D","TECH_STUDIES_PARAM1_OVERRIDE",50,"USE_PREVIOUS_BUSINESS_DAY","Y")),"")</f>
        <v>60.313646050000017</v>
      </c>
      <c r="R125">
        <f t="shared" si="4"/>
        <v>6892.2477999999992</v>
      </c>
      <c r="S125">
        <f t="shared" si="68"/>
        <v>8.7260969231428096E-3</v>
      </c>
      <c r="T125">
        <f t="shared" si="69"/>
        <v>8.7509398675422005E-3</v>
      </c>
      <c r="U125" s="11" t="str">
        <f t="shared" si="70"/>
        <v>NEGATIVE</v>
      </c>
      <c r="V125" s="11" t="str">
        <f t="shared" si="71"/>
        <v/>
      </c>
      <c r="W125" s="11" t="str">
        <f t="shared" si="72"/>
        <v>DOWN</v>
      </c>
      <c r="X125" s="6" t="str">
        <f t="shared" si="73"/>
        <v>NEGATIVE</v>
      </c>
      <c r="Y125" cm="1">
        <f t="array" ref="Y125">IFERROR(VALUE(_xll.BDP($B125,"INTERVAL_MAE_MOV_AVG","CALC_INTERVAL","520D","TECH_STUDIES_PARAM1_OVERRIDE",65,"USE_PREVIOUS_BUSINESS_DAY","N")),"")</f>
        <v>60.140156575225383</v>
      </c>
      <c r="Z125">
        <f t="shared" si="5"/>
        <v>6856.0226153846133</v>
      </c>
      <c r="AA125" cm="1">
        <f t="array" ref="AA125">IFERROR(VALUE(_xll.BDP($B125,"INTERVAL_MAE_MOV_AVG","CALC_INTERVAL","520D","TECH_STUDIES_PARAM1_OVERRIDE",65,"USE_PREVIOUS_BUSINESS_DAY","Y")),"")</f>
        <v>60.301326215384634</v>
      </c>
      <c r="AB125">
        <f t="shared" si="6"/>
        <v>6852.6203076923057</v>
      </c>
      <c r="AC125">
        <f t="shared" si="74"/>
        <v>8.771872549001445E-3</v>
      </c>
      <c r="AD125">
        <f t="shared" si="75"/>
        <v>8.7997471781260505E-3</v>
      </c>
      <c r="AE125" s="10" t="str">
        <f t="shared" si="76"/>
        <v>DOWN</v>
      </c>
      <c r="AF125" s="10" t="str">
        <f t="shared" si="77"/>
        <v>DOWN</v>
      </c>
      <c r="AG125" s="6" t="str">
        <f t="shared" si="78"/>
        <v>NEGATIVE</v>
      </c>
      <c r="AH125" cm="1">
        <f t="array" ref="AH125">IFERROR(VALUE(_xll.BDP($B125,"INTERVAL_MAE_MOV_AVG","CALC_INTERVAL","65W","PERIODICITY_OVERRIDE","W","TECH_STUDIES_PARAM1_OVERRIDE",39,"USE_PREVIOUS_BUSINESS_DAY","N")),"")</f>
        <v>59.819472471529451</v>
      </c>
      <c r="AI125">
        <f t="shared" si="7"/>
        <v>6560.7735897435905</v>
      </c>
      <c r="AJ125" cm="1">
        <f t="array" ref="AJ125">IFERROR(VALUE(_xll.BDP($B125,"INTERVAL_MAE_MOV_AVG","CALC_INTERVAL","65W","PERIODICITY_OVERRIDE","W","TECH_STUDIES_PARAM1_OVERRIDE",39,"USE_PREVIOUS_BUSINESS_DAY","Y")),"")</f>
        <v>59.855626333333348</v>
      </c>
      <c r="AK125">
        <f t="shared" si="8"/>
        <v>6560.7823076923087</v>
      </c>
      <c r="AL125">
        <f t="shared" si="79"/>
        <v>9.1177468103829703E-3</v>
      </c>
      <c r="AM125">
        <f t="shared" si="80"/>
        <v>9.1232452970058959E-3</v>
      </c>
      <c r="AN125" s="10" t="str">
        <f t="shared" si="81"/>
        <v>DOWN</v>
      </c>
      <c r="AO125" s="10" t="str">
        <f t="shared" si="82"/>
        <v>DOWN</v>
      </c>
      <c r="AP125" s="6" t="str">
        <f t="shared" si="83"/>
        <v>NEGATIVE</v>
      </c>
      <c r="AQ125" cm="1">
        <f t="array" ref="AQ125">IFERROR(VALUE(_xll.BDP($B125,"INTERVAL_exp_MOV_AVG","CALC_INTERVAL","520D","TECH_STUDIES_PARAM1_OVERRIDE",100,"USE_PREVIOUS_BUSINESS_DAY","N")),"")</f>
        <v>60.500246995095395</v>
      </c>
      <c r="AR125">
        <f t="shared" si="9"/>
        <v>6773.0064518682802</v>
      </c>
      <c r="AS125" cm="1">
        <f t="array" ref="AS125">IFERROR(VALUE(_xll.BDP($B125,"INTERVAL_exp_MOV_AVG","CALC_INTERVAL","520D","TECH_STUDIES_PARAM1_OVERRIDE",100,"USE_PREVIOUS_BUSINESS_DAY","Y")),"")</f>
        <v>60.623693039344353</v>
      </c>
      <c r="AT125">
        <f t="shared" si="10"/>
        <v>6769.6039787132295</v>
      </c>
      <c r="AU125">
        <f t="shared" si="84"/>
        <v>8.9325541655739717E-3</v>
      </c>
      <c r="AV125">
        <f t="shared" si="85"/>
        <v>8.9552791019937537E-3</v>
      </c>
      <c r="AW125" s="11" t="str">
        <f t="shared" si="86"/>
        <v>DOWN</v>
      </c>
      <c r="AX125" s="11" t="str">
        <f t="shared" si="87"/>
        <v>DOWN</v>
      </c>
      <c r="AY125" s="6" t="str">
        <f t="shared" si="88"/>
        <v>NEGATIVE</v>
      </c>
      <c r="AZ125" s="12" cm="1">
        <f t="array" ref="AZ125">_xll.BDP($B125, "INTERVAL_RSI", "TECH_STUDIES_PARAM1_OVERRIDE", "5", "PERIODICITY_OVERRIDE", "W")</f>
        <v>27.251003844989228</v>
      </c>
      <c r="BA125" cm="1">
        <f t="array" ref="BA125">IFERROR(VALUE(_xll.BDP($B125,"INTERVAL_MAE_MOV_AVG","CALC_INTERVAL","520D","TECH_STUDIES_PARAM1_OVERRIDE",31,"USE_PREVIOUS_BUSINESS_DAY","N")),"")</f>
        <v>60.132337141601568</v>
      </c>
      <c r="BB125" cm="1">
        <f t="array" ref="BB125">IFERROR(VALUE(_xll.BDP($B125,"INTERVAL_MAE_MOV_AVG","CALC_INTERVAL","760D","TECH_STUDIES_PARAM1_OVERRIDE",200,"USE_PREVIOUS_BUSINESS_DAY","N")),"")</f>
        <v>58.892525554448277</v>
      </c>
      <c r="BC125" s="13">
        <f t="shared" si="89"/>
        <v>-9.549499345218071E-2</v>
      </c>
      <c r="BD125" s="13">
        <f t="shared" si="90"/>
        <v>-9.5889032731873658E-2</v>
      </c>
      <c r="BE125" s="13">
        <f t="shared" si="91"/>
        <v>-7.6453259765291048E-2</v>
      </c>
      <c r="BF125" s="14" cm="1">
        <f t="array" ref="BF125">VALUE(_xll.BDP($B125,"INTERVAL_DATE_OF_CALC_HI","CALC_INTERVAL","3M"))</f>
        <v>46038</v>
      </c>
      <c r="BG125" s="14" cm="1">
        <f t="array" ref="BG125">VALUE(_xll.BDP($B125,"INTERVAL_DATE_OF_CALC_LO","CALC_INTERVAL","3M"))</f>
        <v>46058</v>
      </c>
      <c r="BH125" s="14" cm="1">
        <f t="array" ref="BH125">VALUE(_xll.BDP($B125,"INTERVAL_DATE_OF_CALC_HI","CALC_INTERVAL","1M"))</f>
        <v>46038</v>
      </c>
      <c r="BI125" s="14" cm="1">
        <f t="array" ref="BI125">VALUE(_xll.BDP($B125,"INTERVAL_DATE_OF_CALC_LO","CALC_INTERVAL","1M"))</f>
        <v>46058</v>
      </c>
      <c r="BJ125" s="15">
        <f>$F125-MIN(_xll.BDP("NYA Index","RSI_14D"),_xll.BDP("RSP US Equity","RSI_14D"))</f>
        <v>-27.461433878071581</v>
      </c>
    </row>
    <row r="126" spans="1:62" x14ac:dyDescent="0.25">
      <c r="A126" s="11">
        <v>125</v>
      </c>
      <c r="B126" s="26" t="s">
        <v>372</v>
      </c>
      <c r="C126" s="1" t="s">
        <v>800</v>
      </c>
      <c r="D126" s="1" t="s">
        <v>308</v>
      </c>
      <c r="E126" s="11" t="s">
        <v>787</v>
      </c>
      <c r="F126">
        <f>IFERROR(VALUE((_xll.BDP($B126,"interval_rsi","tech_studies_param1_override",14))),"")</f>
        <v>56.130796523064141</v>
      </c>
      <c r="G126">
        <f t="shared" si="0"/>
        <v>52.525531939815814</v>
      </c>
      <c r="H126">
        <f t="shared" si="65"/>
        <v>0</v>
      </c>
      <c r="I126" cm="1">
        <f t="array" ref="I126">IFERROR(VALUE(_xll.BDP($B126,"px_last")),"")</f>
        <v>38.119999999999997</v>
      </c>
      <c r="J126">
        <f t="shared" si="1"/>
        <v>6941.47</v>
      </c>
      <c r="K126" cm="1">
        <f t="array" ref="K126">IFERROR(VALUE(_xll.BDP($B126,"PX_YEST_CLOSE")),"")</f>
        <v>38.36</v>
      </c>
      <c r="L126">
        <f t="shared" si="2"/>
        <v>6941.81</v>
      </c>
      <c r="M126">
        <f t="shared" si="66"/>
        <v>5.4916321758935781E-3</v>
      </c>
      <c r="N126">
        <f t="shared" si="67"/>
        <v>5.5259363192020523E-3</v>
      </c>
      <c r="O126" cm="1">
        <f t="array" ref="O126">IFERROR(VALUE(_xll.BDP($B126,"INTERVAL_MAE_MOV_AVG","CALC_INTERVAL","520D","TECH_STUDIES_PARAM1_OVERRIDE",50,"USE_PREVIOUS_BUSINESS_DAY","N")),"")</f>
        <v>37.009662646237686</v>
      </c>
      <c r="P126">
        <f t="shared" si="3"/>
        <v>6894.0953999999992</v>
      </c>
      <c r="Q126" cm="1">
        <f t="array" ref="Q126">IFERROR(VALUE(_xll.BDP($B126,"INTERVAL_MAE_MOV_AVG","CALC_INTERVAL","520D","TECH_STUDIES_PARAM1_OVERRIDE",50,"USE_PREVIOUS_BUSINESS_DAY","Y")),"")</f>
        <v>36.94763945439999</v>
      </c>
      <c r="R126">
        <f t="shared" si="4"/>
        <v>6892.2477999999992</v>
      </c>
      <c r="S126">
        <f t="shared" si="68"/>
        <v>5.3683130996762373E-3</v>
      </c>
      <c r="T126">
        <f t="shared" si="69"/>
        <v>5.3607532007772553E-3</v>
      </c>
      <c r="U126" s="11" t="str">
        <f t="shared" si="70"/>
        <v>NEGATIVE</v>
      </c>
      <c r="V126" s="11" t="str">
        <f t="shared" si="71"/>
        <v/>
      </c>
      <c r="W126" s="11" t="str">
        <f t="shared" si="72"/>
        <v>UP</v>
      </c>
      <c r="X126" s="6" t="str">
        <f t="shared" si="73"/>
        <v>POSITIVE</v>
      </c>
      <c r="Y126" cm="1">
        <f t="array" ref="Y126">IFERROR(VALUE(_xll.BDP($B126,"INTERVAL_MAE_MOV_AVG","CALC_INTERVAL","520D","TECH_STUDIES_PARAM1_OVERRIDE",65,"USE_PREVIOUS_BUSINESS_DAY","N")),"")</f>
        <v>36.474262161413613</v>
      </c>
      <c r="Z126">
        <f t="shared" si="5"/>
        <v>6856.0226153846133</v>
      </c>
      <c r="AA126" cm="1">
        <f t="array" ref="AA126">IFERROR(VALUE(_xll.BDP($B126,"INTERVAL_MAE_MOV_AVG","CALC_INTERVAL","520D","TECH_STUDIES_PARAM1_OVERRIDE",65,"USE_PREVIOUS_BUSINESS_DAY","Y")),"")</f>
        <v>36.438959992615381</v>
      </c>
      <c r="AB126">
        <f t="shared" si="6"/>
        <v>6852.6203076923057</v>
      </c>
      <c r="AC126">
        <f t="shared" si="74"/>
        <v>5.3200323580565459E-3</v>
      </c>
      <c r="AD126">
        <f t="shared" si="75"/>
        <v>5.317522109274225E-3</v>
      </c>
      <c r="AE126" s="10" t="str">
        <f t="shared" si="76"/>
        <v>UP</v>
      </c>
      <c r="AF126" s="10" t="str">
        <f t="shared" si="77"/>
        <v>UP</v>
      </c>
      <c r="AG126" s="6" t="str">
        <f t="shared" si="78"/>
        <v>POSITIVE</v>
      </c>
      <c r="AH126" cm="1">
        <f t="array" ref="AH126">IFERROR(VALUE(_xll.BDP($B126,"INTERVAL_MAE_MOV_AVG","CALC_INTERVAL","65W","PERIODICITY_OVERRIDE","W","TECH_STUDIES_PARAM1_OVERRIDE",39,"USE_PREVIOUS_BUSINESS_DAY","N")),"")</f>
        <v>34.701237890205455</v>
      </c>
      <c r="AI126">
        <f t="shared" si="7"/>
        <v>6560.7735897435905</v>
      </c>
      <c r="AJ126" cm="1">
        <f t="array" ref="AJ126">IFERROR(VALUE(_xll.BDP($B126,"INTERVAL_MAE_MOV_AVG","CALC_INTERVAL","65W","PERIODICITY_OVERRIDE","W","TECH_STUDIES_PARAM1_OVERRIDE",39,"USE_PREVIOUS_BUSINESS_DAY","Y")),"")</f>
        <v>34.70739176374687</v>
      </c>
      <c r="AK126">
        <f t="shared" si="8"/>
        <v>6560.7823076923087</v>
      </c>
      <c r="AL126">
        <f t="shared" si="79"/>
        <v>5.2891991189047659E-3</v>
      </c>
      <c r="AM126">
        <f t="shared" si="80"/>
        <v>5.2901300692531064E-3</v>
      </c>
      <c r="AN126" s="10" t="str">
        <f t="shared" si="81"/>
        <v>DOWN</v>
      </c>
      <c r="AO126" s="10" t="str">
        <f t="shared" si="82"/>
        <v>DOWN</v>
      </c>
      <c r="AP126" s="6" t="str">
        <f t="shared" si="83"/>
        <v>POSITIVE</v>
      </c>
      <c r="AQ126" cm="1">
        <f t="array" ref="AQ126">IFERROR(VALUE(_xll.BDP($B126,"INTERVAL_exp_MOV_AVG","CALC_INTERVAL","520D","TECH_STUDIES_PARAM1_OVERRIDE",100,"USE_PREVIOUS_BUSINESS_DAY","N")),"")</f>
        <v>36.234302156623421</v>
      </c>
      <c r="AR126">
        <f t="shared" si="9"/>
        <v>6773.0064518682802</v>
      </c>
      <c r="AS126" cm="1">
        <f t="array" ref="AS126">IFERROR(VALUE(_xll.BDP($B126,"INTERVAL_exp_MOV_AVG","CALC_INTERVAL","520D","TECH_STUDIES_PARAM1_OVERRIDE",100,"USE_PREVIOUS_BUSINESS_DAY","Y")),"")</f>
        <v>36.196221125063502</v>
      </c>
      <c r="AT126">
        <f t="shared" si="10"/>
        <v>6769.6039787132295</v>
      </c>
      <c r="AU126">
        <f t="shared" si="84"/>
        <v>5.3498106659308547E-3</v>
      </c>
      <c r="AV126">
        <f t="shared" si="85"/>
        <v>5.3468742394505182E-3</v>
      </c>
      <c r="AW126" s="11" t="str">
        <f t="shared" si="86"/>
        <v>UP</v>
      </c>
      <c r="AX126" s="11" t="str">
        <f t="shared" si="87"/>
        <v>UP</v>
      </c>
      <c r="AY126" s="6" t="str">
        <f t="shared" si="88"/>
        <v>POSITIVE</v>
      </c>
      <c r="AZ126" s="12" cm="1">
        <f t="array" ref="AZ126">_xll.BDP($B126, "INTERVAL_RSI", "TECH_STUDIES_PARAM1_OVERRIDE", "5", "PERIODICITY_OVERRIDE", "W")</f>
        <v>66.570777818092694</v>
      </c>
      <c r="BA126" cm="1">
        <f t="array" ref="BA126">IFERROR(VALUE(_xll.BDP($B126,"INTERVAL_MAE_MOV_AVG","CALC_INTERVAL","520D","TECH_STUDIES_PARAM1_OVERRIDE",31,"USE_PREVIOUS_BUSINESS_DAY","N")),"")</f>
        <v>37.580711207480149</v>
      </c>
      <c r="BB126" cm="1">
        <f t="array" ref="BB126">IFERROR(VALUE(_xll.BDP($B126,"INTERVAL_MAE_MOV_AVG","CALC_INTERVAL","760D","TECH_STUDIES_PARAM1_OVERRIDE",200,"USE_PREVIOUS_BUSINESS_DAY","N")),"")</f>
        <v>34.293048139263753</v>
      </c>
      <c r="BC126" s="13">
        <f t="shared" si="89"/>
        <v>1.4350148658509365E-2</v>
      </c>
      <c r="BD126" s="13">
        <f t="shared" si="90"/>
        <v>3.0001282756225933E-2</v>
      </c>
      <c r="BE126" s="13">
        <f t="shared" si="91"/>
        <v>0.11159555852821912</v>
      </c>
      <c r="BF126" s="14" cm="1">
        <f t="array" ref="BF126">VALUE(_xll.BDP($B126,"INTERVAL_DATE_OF_CALC_HI","CALC_INTERVAL","3M"))</f>
        <v>46034</v>
      </c>
      <c r="BG126" s="14" cm="1">
        <f t="array" ref="BG126">VALUE(_xll.BDP($B126,"INTERVAL_DATE_OF_CALC_LO","CALC_INTERVAL","3M"))</f>
        <v>45981</v>
      </c>
      <c r="BH126" s="14" cm="1">
        <f t="array" ref="BH126">VALUE(_xll.BDP($B126,"INTERVAL_DATE_OF_CALC_HI","CALC_INTERVAL","1M"))</f>
        <v>46034</v>
      </c>
      <c r="BI126" s="14" cm="1">
        <f t="array" ref="BI126">VALUE(_xll.BDP($B126,"INTERVAL_DATE_OF_CALC_LO","CALC_INTERVAL","1M"))</f>
        <v>46058</v>
      </c>
      <c r="BJ126" s="15">
        <f>$F126-MIN(_xll.BDP("NYA Index","RSI_14D"),_xll.BDP("RSP US Equity","RSI_14D"))</f>
        <v>-10.214967637092109</v>
      </c>
    </row>
    <row r="127" spans="1:62" x14ac:dyDescent="0.25">
      <c r="A127" s="11">
        <v>126</v>
      </c>
      <c r="B127" s="26" t="s">
        <v>373</v>
      </c>
      <c r="C127" s="1" t="s">
        <v>374</v>
      </c>
      <c r="D127" s="1" t="s">
        <v>308</v>
      </c>
      <c r="E127" s="11" t="s">
        <v>787</v>
      </c>
      <c r="F127">
        <f>IFERROR(VALUE((_xll.BDP($B127,"interval_rsi","tech_studies_param1_override",14))),"")</f>
        <v>60.060508759959063</v>
      </c>
      <c r="G127">
        <f t="shared" si="0"/>
        <v>52.525531939815814</v>
      </c>
      <c r="H127">
        <f t="shared" si="65"/>
        <v>0</v>
      </c>
      <c r="I127" cm="1">
        <f t="array" ref="I127">IFERROR(VALUE(_xll.BDP($B127,"px_last")),"")</f>
        <v>40.3645</v>
      </c>
      <c r="J127">
        <f t="shared" si="1"/>
        <v>6941.47</v>
      </c>
      <c r="K127" cm="1">
        <f t="array" ref="K127">IFERROR(VALUE(_xll.BDP($B127,"PX_YEST_CLOSE")),"")</f>
        <v>40.0383</v>
      </c>
      <c r="L127">
        <f t="shared" si="2"/>
        <v>6941.81</v>
      </c>
      <c r="M127">
        <f t="shared" si="66"/>
        <v>5.8149786716646468E-3</v>
      </c>
      <c r="N127">
        <f t="shared" si="67"/>
        <v>5.7677032358995706E-3</v>
      </c>
      <c r="O127" cm="1">
        <f t="array" ref="O127">IFERROR(VALUE(_xll.BDP($B127,"INTERVAL_MAE_MOV_AVG","CALC_INTERVAL","520D","TECH_STUDIES_PARAM1_OVERRIDE",50,"USE_PREVIOUS_BUSINESS_DAY","N")),"")</f>
        <v>37.926215278090552</v>
      </c>
      <c r="P127">
        <f t="shared" si="3"/>
        <v>6894.0953999999992</v>
      </c>
      <c r="Q127" cm="1">
        <f t="array" ref="Q127">IFERROR(VALUE(_xll.BDP($B127,"INTERVAL_MAE_MOV_AVG","CALC_INTERVAL","520D","TECH_STUDIES_PARAM1_OVERRIDE",50,"USE_PREVIOUS_BUSINESS_DAY","Y")),"")</f>
        <v>37.865526493267993</v>
      </c>
      <c r="R127">
        <f t="shared" si="4"/>
        <v>6892.2477999999992</v>
      </c>
      <c r="S127">
        <f t="shared" si="68"/>
        <v>5.5012605828011251E-3</v>
      </c>
      <c r="T127">
        <f t="shared" si="69"/>
        <v>5.4939299328831438E-3</v>
      </c>
      <c r="U127" s="11" t="str">
        <f t="shared" si="70"/>
        <v>NEGATIVE</v>
      </c>
      <c r="V127" s="11" t="str">
        <f t="shared" si="71"/>
        <v/>
      </c>
      <c r="W127" s="11" t="str">
        <f t="shared" si="72"/>
        <v>UP</v>
      </c>
      <c r="X127" s="6" t="str">
        <f t="shared" si="73"/>
        <v>POSITIVE</v>
      </c>
      <c r="Y127" cm="1">
        <f t="array" ref="Y127">IFERROR(VALUE(_xll.BDP($B127,"INTERVAL_MAE_MOV_AVG","CALC_INTERVAL","520D","TECH_STUDIES_PARAM1_OVERRIDE",65,"USE_PREVIOUS_BUSINESS_DAY","N")),"")</f>
        <v>37.603452052617342</v>
      </c>
      <c r="Z127">
        <f t="shared" si="5"/>
        <v>6856.0226153846133</v>
      </c>
      <c r="AA127" cm="1">
        <f t="array" ref="AA127">IFERROR(VALUE(_xll.BDP($B127,"INTERVAL_MAE_MOV_AVG","CALC_INTERVAL","520D","TECH_STUDIES_PARAM1_OVERRIDE",65,"USE_PREVIOUS_BUSINESS_DAY","Y")),"")</f>
        <v>37.545094130344609</v>
      </c>
      <c r="AB127">
        <f t="shared" si="6"/>
        <v>6852.6203076923057</v>
      </c>
      <c r="AC127">
        <f t="shared" si="74"/>
        <v>5.4847327907345065E-3</v>
      </c>
      <c r="AD127">
        <f t="shared" si="75"/>
        <v>5.478939798867731E-3</v>
      </c>
      <c r="AE127" s="10" t="str">
        <f t="shared" si="76"/>
        <v>UP</v>
      </c>
      <c r="AF127" s="10" t="str">
        <f t="shared" si="77"/>
        <v>UP</v>
      </c>
      <c r="AG127" s="6" t="str">
        <f t="shared" si="78"/>
        <v>POSITIVE</v>
      </c>
      <c r="AH127" cm="1">
        <f t="array" ref="AH127">IFERROR(VALUE(_xll.BDP($B127,"INTERVAL_MAE_MOV_AVG","CALC_INTERVAL","65W","PERIODICITY_OVERRIDE","W","TECH_STUDIES_PARAM1_OVERRIDE",39,"USE_PREVIOUS_BUSINESS_DAY","N")),"")</f>
        <v>37.323648194295579</v>
      </c>
      <c r="AI127">
        <f t="shared" si="7"/>
        <v>6560.7735897435905</v>
      </c>
      <c r="AJ127" cm="1">
        <f t="array" ref="AJ127">IFERROR(VALUE(_xll.BDP($B127,"INTERVAL_MAE_MOV_AVG","CALC_INTERVAL","65W","PERIODICITY_OVERRIDE","W","TECH_STUDIES_PARAM1_OVERRIDE",39,"USE_PREVIOUS_BUSINESS_DAY","Y")),"")</f>
        <v>37.315284139464104</v>
      </c>
      <c r="AK127">
        <f t="shared" si="8"/>
        <v>6560.7823076923087</v>
      </c>
      <c r="AL127">
        <f t="shared" si="79"/>
        <v>5.6889096512404216E-3</v>
      </c>
      <c r="AM127">
        <f t="shared" si="80"/>
        <v>5.6876272355071318E-3</v>
      </c>
      <c r="AN127" s="10" t="str">
        <f t="shared" si="81"/>
        <v>UP</v>
      </c>
      <c r="AO127" s="10" t="str">
        <f t="shared" si="82"/>
        <v>UP</v>
      </c>
      <c r="AP127" s="6" t="str">
        <f t="shared" si="83"/>
        <v>POSITIVE</v>
      </c>
      <c r="AQ127" cm="1">
        <f t="array" ref="AQ127">IFERROR(VALUE(_xll.BDP($B127,"INTERVAL_exp_MOV_AVG","CALC_INTERVAL","520D","TECH_STUDIES_PARAM1_OVERRIDE",100,"USE_PREVIOUS_BUSINESS_DAY","N")),"")</f>
        <v>37.941053236025894</v>
      </c>
      <c r="AR127">
        <f t="shared" si="9"/>
        <v>6773.0064518682802</v>
      </c>
      <c r="AS127" cm="1">
        <f t="array" ref="AS127">IFERROR(VALUE(_xll.BDP($B127,"INTERVAL_exp_MOV_AVG","CALC_INTERVAL","520D","TECH_STUDIES_PARAM1_OVERRIDE",100,"USE_PREVIOUS_BUSINESS_DAY","Y")),"")</f>
        <v>37.89209859987524</v>
      </c>
      <c r="AT127">
        <f t="shared" si="10"/>
        <v>6769.6039787132295</v>
      </c>
      <c r="AU127">
        <f t="shared" si="84"/>
        <v>5.6018037935812327E-3</v>
      </c>
      <c r="AV127">
        <f t="shared" si="85"/>
        <v>5.5973877820660635E-3</v>
      </c>
      <c r="AW127" s="11" t="str">
        <f t="shared" si="86"/>
        <v>UP</v>
      </c>
      <c r="AX127" s="11" t="str">
        <f t="shared" si="87"/>
        <v>UP</v>
      </c>
      <c r="AY127" s="6" t="str">
        <f t="shared" si="88"/>
        <v>POSITIVE</v>
      </c>
      <c r="AZ127" s="12" cm="1">
        <f t="array" ref="AZ127">_xll.BDP($B127, "INTERVAL_RSI", "TECH_STUDIES_PARAM1_OVERRIDE", "5", "PERIODICITY_OVERRIDE", "W")</f>
        <v>74.677519855773937</v>
      </c>
      <c r="BA127" cm="1">
        <f t="array" ref="BA127">IFERROR(VALUE(_xll.BDP($B127,"INTERVAL_MAE_MOV_AVG","CALC_INTERVAL","520D","TECH_STUDIES_PARAM1_OVERRIDE",31,"USE_PREVIOUS_BUSINESS_DAY","N")),"")</f>
        <v>38.67011091336218</v>
      </c>
      <c r="BB127" cm="1">
        <f t="array" ref="BB127">IFERROR(VALUE(_xll.BDP($B127,"INTERVAL_MAE_MOV_AVG","CALC_INTERVAL","760D","TECH_STUDIES_PARAM1_OVERRIDE",200,"USE_PREVIOUS_BUSINESS_DAY","N")),"")</f>
        <v>37.087825871407112</v>
      </c>
      <c r="BC127" s="13">
        <f t="shared" si="89"/>
        <v>4.3816504442772075E-2</v>
      </c>
      <c r="BD127" s="13">
        <f t="shared" si="90"/>
        <v>6.4290219944989069E-2</v>
      </c>
      <c r="BE127" s="13">
        <f t="shared" si="91"/>
        <v>8.8349048551779497E-2</v>
      </c>
      <c r="BF127" s="14" cm="1">
        <f t="array" ref="BF127">VALUE(_xll.BDP($B127,"INTERVAL_DATE_OF_CALC_HI","CALC_INTERVAL","3M"))</f>
        <v>46062</v>
      </c>
      <c r="BG127" s="14" cm="1">
        <f t="array" ref="BG127">VALUE(_xll.BDP($B127,"INTERVAL_DATE_OF_CALC_LO","CALC_INTERVAL","3M"))</f>
        <v>45981</v>
      </c>
      <c r="BH127" s="14" cm="1">
        <f t="array" ref="BH127">VALUE(_xll.BDP($B127,"INTERVAL_DATE_OF_CALC_HI","CALC_INTERVAL","1M"))</f>
        <v>46062</v>
      </c>
      <c r="BI127" s="14" cm="1">
        <f t="array" ref="BI127">VALUE(_xll.BDP($B127,"INTERVAL_DATE_OF_CALC_LO","CALC_INTERVAL","1M"))</f>
        <v>46058</v>
      </c>
      <c r="BJ127" s="15">
        <f>$F127-MIN(_xll.BDP("NYA Index","RSI_14D"),_xll.BDP("RSP US Equity","RSI_14D"))</f>
        <v>-6.2852554001971868</v>
      </c>
    </row>
    <row r="128" spans="1:62" x14ac:dyDescent="0.25">
      <c r="A128" s="11">
        <v>127</v>
      </c>
      <c r="B128" s="26" t="s">
        <v>375</v>
      </c>
      <c r="C128" s="1" t="s">
        <v>801</v>
      </c>
      <c r="D128" s="1" t="s">
        <v>308</v>
      </c>
      <c r="E128" s="11" t="s">
        <v>787</v>
      </c>
      <c r="F128">
        <f>IFERROR(VALUE((_xll.BDP($B128,"interval_rsi","tech_studies_param1_override",14))),"")</f>
        <v>38.258057006910633</v>
      </c>
      <c r="G128">
        <f t="shared" si="0"/>
        <v>52.525531939815814</v>
      </c>
      <c r="H128">
        <f t="shared" si="65"/>
        <v>0</v>
      </c>
      <c r="I128" cm="1">
        <f t="array" ref="I128">IFERROR(VALUE(_xll.BDP($B128,"px_last")),"")</f>
        <v>27.7</v>
      </c>
      <c r="J128">
        <f t="shared" si="1"/>
        <v>6941.47</v>
      </c>
      <c r="K128" cm="1">
        <f t="array" ref="K128">IFERROR(VALUE(_xll.BDP($B128,"PX_YEST_CLOSE")),"")</f>
        <v>27.89</v>
      </c>
      <c r="L128">
        <f t="shared" si="2"/>
        <v>6941.81</v>
      </c>
      <c r="M128">
        <f t="shared" si="66"/>
        <v>3.9905092149069288E-3</v>
      </c>
      <c r="N128">
        <f t="shared" si="67"/>
        <v>4.0176841486586354E-3</v>
      </c>
      <c r="O128" cm="1">
        <f t="array" ref="O128">IFERROR(VALUE(_xll.BDP($B128,"INTERVAL_MAE_MOV_AVG","CALC_INTERVAL","520D","TECH_STUDIES_PARAM1_OVERRIDE",50,"USE_PREVIOUS_BUSINESS_DAY","N")),"")</f>
        <v>30.251356750458783</v>
      </c>
      <c r="P128">
        <f t="shared" si="3"/>
        <v>6894.0953999999992</v>
      </c>
      <c r="Q128" cm="1">
        <f t="array" ref="Q128">IFERROR(VALUE(_xll.BDP($B128,"INTERVAL_MAE_MOV_AVG","CALC_INTERVAL","520D","TECH_STUDIES_PARAM1_OVERRIDE",50,"USE_PREVIOUS_BUSINESS_DAY","Y")),"")</f>
        <v>30.326115828199992</v>
      </c>
      <c r="R128">
        <f t="shared" si="4"/>
        <v>6892.2477999999992</v>
      </c>
      <c r="S128">
        <f t="shared" si="68"/>
        <v>4.3880095930292446E-3</v>
      </c>
      <c r="T128">
        <f t="shared" si="69"/>
        <v>4.4000327191079805E-3</v>
      </c>
      <c r="U128" s="11" t="str">
        <f t="shared" si="70"/>
        <v>NEGATIVE</v>
      </c>
      <c r="V128" s="11" t="str">
        <f t="shared" si="71"/>
        <v/>
      </c>
      <c r="W128" s="11" t="str">
        <f t="shared" si="72"/>
        <v>DOWN</v>
      </c>
      <c r="X128" s="6" t="str">
        <f t="shared" si="73"/>
        <v>NEGATIVE</v>
      </c>
      <c r="Y128" cm="1">
        <f t="array" ref="Y128">IFERROR(VALUE(_xll.BDP($B128,"INTERVAL_MAE_MOV_AVG","CALC_INTERVAL","520D","TECH_STUDIES_PARAM1_OVERRIDE",65,"USE_PREVIOUS_BUSINESS_DAY","N")),"")</f>
        <v>30.682972733737522</v>
      </c>
      <c r="Z128">
        <f t="shared" si="5"/>
        <v>6856.0226153846133</v>
      </c>
      <c r="AA128" cm="1">
        <f t="array" ref="AA128">IFERROR(VALUE(_xll.BDP($B128,"INTERVAL_MAE_MOV_AVG","CALC_INTERVAL","520D","TECH_STUDIES_PARAM1_OVERRIDE",65,"USE_PREVIOUS_BUSINESS_DAY","Y")),"")</f>
        <v>30.766931120307682</v>
      </c>
      <c r="AB128">
        <f t="shared" si="6"/>
        <v>6852.6203076923057</v>
      </c>
      <c r="AC128">
        <f t="shared" si="74"/>
        <v>4.4753313189029274E-3</v>
      </c>
      <c r="AD128">
        <f t="shared" si="75"/>
        <v>4.489805321005561E-3</v>
      </c>
      <c r="AE128" s="10" t="str">
        <f t="shared" si="76"/>
        <v>DOWN</v>
      </c>
      <c r="AF128" s="10" t="str">
        <f t="shared" si="77"/>
        <v>DOWN</v>
      </c>
      <c r="AG128" s="6" t="str">
        <f t="shared" si="78"/>
        <v>NEGATIVE</v>
      </c>
      <c r="AH128" cm="1">
        <f t="array" ref="AH128">IFERROR(VALUE(_xll.BDP($B128,"INTERVAL_MAE_MOV_AVG","CALC_INTERVAL","65W","PERIODICITY_OVERRIDE","W","TECH_STUDIES_PARAM1_OVERRIDE",39,"USE_PREVIOUS_BUSINESS_DAY","N")),"")</f>
        <v>33.218499914434346</v>
      </c>
      <c r="AI128">
        <f t="shared" si="7"/>
        <v>6560.7735897435905</v>
      </c>
      <c r="AJ128" cm="1">
        <f t="array" ref="AJ128">IFERROR(VALUE(_xll.BDP($B128,"INTERVAL_MAE_MOV_AVG","CALC_INTERVAL","65W","PERIODICITY_OVERRIDE","W","TECH_STUDIES_PARAM1_OVERRIDE",39,"USE_PREVIOUS_BUSINESS_DAY","Y")),"")</f>
        <v>33.223371689743587</v>
      </c>
      <c r="AK128">
        <f t="shared" si="8"/>
        <v>6560.7823076923087</v>
      </c>
      <c r="AL128">
        <f t="shared" si="79"/>
        <v>5.0631986396184412E-3</v>
      </c>
      <c r="AM128">
        <f t="shared" si="80"/>
        <v>5.0639344717763671E-3</v>
      </c>
      <c r="AN128" s="10" t="str">
        <f t="shared" si="81"/>
        <v>DOWN</v>
      </c>
      <c r="AO128" s="10" t="str">
        <f t="shared" si="82"/>
        <v>DOWN</v>
      </c>
      <c r="AP128" s="6" t="str">
        <f t="shared" si="83"/>
        <v>NEGATIVE</v>
      </c>
      <c r="AQ128" cm="1">
        <f t="array" ref="AQ128">IFERROR(VALUE(_xll.BDP($B128,"INTERVAL_exp_MOV_AVG","CALC_INTERVAL","520D","TECH_STUDIES_PARAM1_OVERRIDE",100,"USE_PREVIOUS_BUSINESS_DAY","N")),"")</f>
        <v>31.34862686030921</v>
      </c>
      <c r="AR128">
        <f t="shared" si="9"/>
        <v>6773.0064518682802</v>
      </c>
      <c r="AS128" cm="1">
        <f t="array" ref="AS128">IFERROR(VALUE(_xll.BDP($B128,"INTERVAL_exp_MOV_AVG","CALC_INTERVAL","520D","TECH_STUDIES_PARAM1_OVERRIDE",100,"USE_PREVIOUS_BUSINESS_DAY","Y")),"")</f>
        <v>31.422350116471407</v>
      </c>
      <c r="AT128">
        <f t="shared" si="10"/>
        <v>6769.6039787132295</v>
      </c>
      <c r="AU128">
        <f t="shared" si="84"/>
        <v>4.6284655245916592E-3</v>
      </c>
      <c r="AV128">
        <f t="shared" si="85"/>
        <v>4.6416821745079665E-3</v>
      </c>
      <c r="AW128" s="11" t="str">
        <f t="shared" si="86"/>
        <v>DOWN</v>
      </c>
      <c r="AX128" s="11" t="str">
        <f t="shared" si="87"/>
        <v>DOWN</v>
      </c>
      <c r="AY128" s="6" t="str">
        <f t="shared" si="88"/>
        <v>NEGATIVE</v>
      </c>
      <c r="AZ128" s="12" cm="1">
        <f t="array" ref="AZ128">_xll.BDP($B128, "INTERVAL_RSI", "TECH_STUDIES_PARAM1_OVERRIDE", "5", "PERIODICITY_OVERRIDE", "W")</f>
        <v>27.451460818542628</v>
      </c>
      <c r="BA128" cm="1">
        <f t="array" ref="BA128">IFERROR(VALUE(_xll.BDP($B128,"INTERVAL_MAE_MOV_AVG","CALC_INTERVAL","520D","TECH_STUDIES_PARAM1_OVERRIDE",31,"USE_PREVIOUS_BUSINESS_DAY","N")),"")</f>
        <v>29.401875830417396</v>
      </c>
      <c r="BB128" cm="1">
        <f t="array" ref="BB128">IFERROR(VALUE(_xll.BDP($B128,"INTERVAL_MAE_MOV_AVG","CALC_INTERVAL","760D","TECH_STUDIES_PARAM1_OVERRIDE",200,"USE_PREVIOUS_BUSINESS_DAY","N")),"")</f>
        <v>33.505574313089681</v>
      </c>
      <c r="BC128" s="13">
        <f t="shared" si="89"/>
        <v>-5.7883239839300993E-2</v>
      </c>
      <c r="BD128" s="13">
        <f t="shared" si="90"/>
        <v>-8.4338589224435045E-2</v>
      </c>
      <c r="BE128" s="13">
        <f t="shared" si="91"/>
        <v>-0.17327189377027352</v>
      </c>
      <c r="BF128" s="14" cm="1">
        <f t="array" ref="BF128">VALUE(_xll.BDP($B128,"INTERVAL_DATE_OF_CALC_HI","CALC_INTERVAL","3M"))</f>
        <v>45972</v>
      </c>
      <c r="BG128" s="14" cm="1">
        <f t="array" ref="BG128">VALUE(_xll.BDP($B128,"INTERVAL_DATE_OF_CALC_LO","CALC_INTERVAL","3M"))</f>
        <v>46058</v>
      </c>
      <c r="BH128" s="14" cm="1">
        <f t="array" ref="BH128">VALUE(_xll.BDP($B128,"INTERVAL_DATE_OF_CALC_HI","CALC_INTERVAL","1M"))</f>
        <v>46034</v>
      </c>
      <c r="BI128" s="14" cm="1">
        <f t="array" ref="BI128">VALUE(_xll.BDP($B128,"INTERVAL_DATE_OF_CALC_LO","CALC_INTERVAL","1M"))</f>
        <v>46058</v>
      </c>
      <c r="BJ128" s="15">
        <f>$F128-MIN(_xll.BDP("NYA Index","RSI_14D"),_xll.BDP("RSP US Equity","RSI_14D"))</f>
        <v>-28.087707153245617</v>
      </c>
    </row>
    <row r="129" spans="1:62" x14ac:dyDescent="0.25">
      <c r="A129" s="11">
        <v>128</v>
      </c>
      <c r="B129" s="26" t="s">
        <v>155</v>
      </c>
      <c r="C129" s="1" t="s">
        <v>802</v>
      </c>
      <c r="D129" s="1" t="s">
        <v>308</v>
      </c>
      <c r="E129" s="11" t="s">
        <v>787</v>
      </c>
      <c r="F129">
        <f>IFERROR(VALUE((_xll.BDP($B129,"interval_rsi","tech_studies_param1_override",14))),"")</f>
        <v>38.864303270540404</v>
      </c>
      <c r="G129">
        <f t="shared" si="0"/>
        <v>52.525531939815814</v>
      </c>
      <c r="H129">
        <f t="shared" si="65"/>
        <v>0</v>
      </c>
      <c r="I129" cm="1">
        <f t="array" ref="I129">IFERROR(VALUE(_xll.BDP($B129,"px_last")),"")</f>
        <v>31.17</v>
      </c>
      <c r="J129">
        <f t="shared" si="1"/>
        <v>6941.47</v>
      </c>
      <c r="K129" cm="1">
        <f t="array" ref="K129">IFERROR(VALUE(_xll.BDP($B129,"PX_YEST_CLOSE")),"")</f>
        <v>31.62</v>
      </c>
      <c r="L129">
        <f t="shared" si="2"/>
        <v>6941.81</v>
      </c>
      <c r="M129">
        <f t="shared" si="66"/>
        <v>4.4904033295541145E-3</v>
      </c>
      <c r="N129">
        <f t="shared" si="67"/>
        <v>4.5550079878302636E-3</v>
      </c>
      <c r="O129" cm="1">
        <f t="array" ref="O129">IFERROR(VALUE(_xll.BDP($B129,"INTERVAL_MAE_MOV_AVG","CALC_INTERVAL","520D","TECH_STUDIES_PARAM1_OVERRIDE",50,"USE_PREVIOUS_BUSINESS_DAY","N")),"")</f>
        <v>33.660500001525875</v>
      </c>
      <c r="P129">
        <f t="shared" si="3"/>
        <v>6894.0953999999992</v>
      </c>
      <c r="Q129" cm="1">
        <f t="array" ref="Q129">IFERROR(VALUE(_xll.BDP($B129,"INTERVAL_MAE_MOV_AVG","CALC_INTERVAL","520D","TECH_STUDIES_PARAM1_OVERRIDE",50,"USE_PREVIOUS_BUSINESS_DAY","Y")),"")</f>
        <v>33.703899999999997</v>
      </c>
      <c r="R129">
        <f t="shared" si="4"/>
        <v>6892.2477999999992</v>
      </c>
      <c r="S129">
        <f t="shared" si="68"/>
        <v>4.8825114896910013E-3</v>
      </c>
      <c r="T129">
        <f t="shared" si="69"/>
        <v>4.8901172705949434E-3</v>
      </c>
      <c r="U129" s="11" t="str">
        <f t="shared" si="70"/>
        <v>NEGATIVE</v>
      </c>
      <c r="V129" s="11" t="str">
        <f t="shared" si="71"/>
        <v/>
      </c>
      <c r="W129" s="11" t="str">
        <f t="shared" si="72"/>
        <v>DOWN</v>
      </c>
      <c r="X129" s="6" t="str">
        <f t="shared" si="73"/>
        <v>NEGATIVE</v>
      </c>
      <c r="Y129" cm="1">
        <f t="array" ref="Y129">IFERROR(VALUE(_xll.BDP($B129,"INTERVAL_MAE_MOV_AVG","CALC_INTERVAL","520D","TECH_STUDIES_PARAM1_OVERRIDE",65,"USE_PREVIOUS_BUSINESS_DAY","N")),"")</f>
        <v>33.504076924250668</v>
      </c>
      <c r="Z129">
        <f t="shared" si="5"/>
        <v>6856.0226153846133</v>
      </c>
      <c r="AA129" cm="1">
        <f t="array" ref="AA129">IFERROR(VALUE(_xll.BDP($B129,"INTERVAL_MAE_MOV_AVG","CALC_INTERVAL","520D","TECH_STUDIES_PARAM1_OVERRIDE",65,"USE_PREVIOUS_BUSINESS_DAY","Y")),"")</f>
        <v>33.562384615384609</v>
      </c>
      <c r="AB129">
        <f t="shared" si="6"/>
        <v>6852.6203076923057</v>
      </c>
      <c r="AC129">
        <f t="shared" si="74"/>
        <v>4.8868095693075739E-3</v>
      </c>
      <c r="AD129">
        <f t="shared" si="75"/>
        <v>4.8977446740642644E-3</v>
      </c>
      <c r="AE129" s="10" t="str">
        <f t="shared" si="76"/>
        <v>DOWN</v>
      </c>
      <c r="AF129" s="10" t="str">
        <f t="shared" si="77"/>
        <v>DOWN</v>
      </c>
      <c r="AG129" s="6" t="str">
        <f t="shared" si="78"/>
        <v>NEGATIVE</v>
      </c>
      <c r="AH129" cm="1">
        <f t="array" ref="AH129">IFERROR(VALUE(_xll.BDP($B129,"INTERVAL_MAE_MOV_AVG","CALC_INTERVAL","65W","PERIODICITY_OVERRIDE","W","TECH_STUDIES_PARAM1_OVERRIDE",39,"USE_PREVIOUS_BUSINESS_DAY","N")),"")</f>
        <v>32.807958976315227</v>
      </c>
      <c r="AI129">
        <f t="shared" si="7"/>
        <v>6560.7735897435905</v>
      </c>
      <c r="AJ129" cm="1">
        <f t="array" ref="AJ129">IFERROR(VALUE(_xll.BDP($B129,"INTERVAL_MAE_MOV_AVG","CALC_INTERVAL","65W","PERIODICITY_OVERRIDE","W","TECH_STUDIES_PARAM1_OVERRIDE",39,"USE_PREVIOUS_BUSINESS_DAY","Y")),"")</f>
        <v>32.819497435897439</v>
      </c>
      <c r="AK129">
        <f t="shared" si="8"/>
        <v>6560.7823076923087</v>
      </c>
      <c r="AL129">
        <f t="shared" si="79"/>
        <v>5.000623558722354E-3</v>
      </c>
      <c r="AM129">
        <f t="shared" si="80"/>
        <v>5.0023756156971737E-3</v>
      </c>
      <c r="AN129" s="10" t="str">
        <f t="shared" si="81"/>
        <v>DOWN</v>
      </c>
      <c r="AO129" s="10" t="str">
        <f t="shared" si="82"/>
        <v>DOWN</v>
      </c>
      <c r="AP129" s="6" t="str">
        <f t="shared" si="83"/>
        <v>NEGATIVE</v>
      </c>
      <c r="AQ129" cm="1">
        <f t="array" ref="AQ129">IFERROR(VALUE(_xll.BDP($B129,"INTERVAL_exp_MOV_AVG","CALC_INTERVAL","520D","TECH_STUDIES_PARAM1_OVERRIDE",100,"USE_PREVIOUS_BUSINESS_DAY","N")),"")</f>
        <v>33.529981042314311</v>
      </c>
      <c r="AR129">
        <f t="shared" si="9"/>
        <v>6773.0064518682802</v>
      </c>
      <c r="AS129" cm="1">
        <f t="array" ref="AS129">IFERROR(VALUE(_xll.BDP($B129,"INTERVAL_exp_MOV_AVG","CALC_INTERVAL","520D","TECH_STUDIES_PARAM1_OVERRIDE",100,"USE_PREVIOUS_BUSINESS_DAY","Y")),"")</f>
        <v>33.577662351771998</v>
      </c>
      <c r="AT129">
        <f t="shared" si="10"/>
        <v>6769.6039787132295</v>
      </c>
      <c r="AU129">
        <f t="shared" si="84"/>
        <v>4.9505313896556725E-3</v>
      </c>
      <c r="AV129">
        <f t="shared" si="85"/>
        <v>4.96006301954379E-3</v>
      </c>
      <c r="AW129" s="11" t="str">
        <f t="shared" si="86"/>
        <v>DOWN</v>
      </c>
      <c r="AX129" s="11" t="str">
        <f t="shared" si="87"/>
        <v>DOWN</v>
      </c>
      <c r="AY129" s="6" t="str">
        <f t="shared" si="88"/>
        <v>NEGATIVE</v>
      </c>
      <c r="AZ129" s="12" cm="1">
        <f t="array" ref="AZ129">_xll.BDP($B129, "INTERVAL_RSI", "TECH_STUDIES_PARAM1_OVERRIDE", "5", "PERIODICITY_OVERRIDE", "W")</f>
        <v>24.868135307136399</v>
      </c>
      <c r="BA129" cm="1">
        <f t="array" ref="BA129">IFERROR(VALUE(_xll.BDP($B129,"INTERVAL_MAE_MOV_AVG","CALC_INTERVAL","520D","TECH_STUDIES_PARAM1_OVERRIDE",31,"USE_PREVIOUS_BUSINESS_DAY","N")),"")</f>
        <v>33.621935486332056</v>
      </c>
      <c r="BB129" cm="1">
        <f t="array" ref="BB129">IFERROR(VALUE(_xll.BDP($B129,"INTERVAL_MAE_MOV_AVG","CALC_INTERVAL","760D","TECH_STUDIES_PARAM1_OVERRIDE",200,"USE_PREVIOUS_BUSINESS_DAY","N")),"")</f>
        <v>32.319682000381448</v>
      </c>
      <c r="BC129" s="13">
        <f t="shared" si="89"/>
        <v>-7.292666084999222E-2</v>
      </c>
      <c r="BD129" s="13">
        <f t="shared" si="90"/>
        <v>-7.3988799970677088E-2</v>
      </c>
      <c r="BE129" s="13">
        <f t="shared" si="91"/>
        <v>-3.5572194069479979E-2</v>
      </c>
      <c r="BF129" s="14" cm="1">
        <f t="array" ref="BF129">VALUE(_xll.BDP($B129,"INTERVAL_DATE_OF_CALC_HI","CALC_INTERVAL","3M"))</f>
        <v>45972</v>
      </c>
      <c r="BG129" s="14" cm="1">
        <f t="array" ref="BG129">VALUE(_xll.BDP($B129,"INTERVAL_DATE_OF_CALC_LO","CALC_INTERVAL","3M"))</f>
        <v>46058</v>
      </c>
      <c r="BH129" s="14" cm="1">
        <f t="array" ref="BH129">VALUE(_xll.BDP($B129,"INTERVAL_DATE_OF_CALC_HI","CALC_INTERVAL","1M"))</f>
        <v>46038</v>
      </c>
      <c r="BI129" s="14" cm="1">
        <f t="array" ref="BI129">VALUE(_xll.BDP($B129,"INTERVAL_DATE_OF_CALC_LO","CALC_INTERVAL","1M"))</f>
        <v>46058</v>
      </c>
      <c r="BJ129" s="15">
        <f>$F129-MIN(_xll.BDP("NYA Index","RSI_14D"),_xll.BDP("RSP US Equity","RSI_14D"))</f>
        <v>-27.481460889615846</v>
      </c>
    </row>
    <row r="130" spans="1:62" x14ac:dyDescent="0.25">
      <c r="A130" s="11">
        <v>129</v>
      </c>
      <c r="B130" s="26" t="s">
        <v>376</v>
      </c>
      <c r="C130" s="1" t="s">
        <v>377</v>
      </c>
      <c r="D130" s="1" t="s">
        <v>308</v>
      </c>
      <c r="E130" s="11" t="s">
        <v>787</v>
      </c>
      <c r="F130">
        <f>IFERROR(VALUE((_xll.BDP($B130,"interval_rsi","tech_studies_param1_override",14))),"")</f>
        <v>61.479381740400136</v>
      </c>
      <c r="G130">
        <f t="shared" si="0"/>
        <v>52.525531939815814</v>
      </c>
      <c r="H130">
        <f t="shared" si="65"/>
        <v>0</v>
      </c>
      <c r="I130" cm="1">
        <f t="array" ref="I130">IFERROR(VALUE(_xll.BDP($B130,"px_last")),"")</f>
        <v>22.73</v>
      </c>
      <c r="J130">
        <f t="shared" si="1"/>
        <v>6941.47</v>
      </c>
      <c r="K130" cm="1">
        <f t="array" ref="K130">IFERROR(VALUE(_xll.BDP($B130,"PX_YEST_CLOSE")),"")</f>
        <v>22.78</v>
      </c>
      <c r="L130">
        <f t="shared" si="2"/>
        <v>6941.81</v>
      </c>
      <c r="M130">
        <f t="shared" si="66"/>
        <v>3.2745225434958301E-3</v>
      </c>
      <c r="N130">
        <f t="shared" si="67"/>
        <v>3.2815648944583618E-3</v>
      </c>
      <c r="O130" cm="1">
        <f t="array" ref="O130">IFERROR(VALUE(_xll.BDP($B130,"INTERVAL_MAE_MOV_AVG","CALC_INTERVAL","520D","TECH_STUDIES_PARAM1_OVERRIDE",50,"USE_PREVIOUS_BUSINESS_DAY","N")),"")</f>
        <v>22.589616990429519</v>
      </c>
      <c r="P130">
        <f t="shared" si="3"/>
        <v>6894.0953999999992</v>
      </c>
      <c r="Q130" cm="1">
        <f t="array" ref="Q130">IFERROR(VALUE(_xll.BDP($B130,"INTERVAL_MAE_MOV_AVG","CALC_INTERVAL","520D","TECH_STUDIES_PARAM1_OVERRIDE",50,"USE_PREVIOUS_BUSINESS_DAY","Y")),"")</f>
        <v>22.586119733785999</v>
      </c>
      <c r="R130">
        <f t="shared" si="4"/>
        <v>6892.2477999999992</v>
      </c>
      <c r="S130">
        <f t="shared" si="68"/>
        <v>3.2766615023095739E-3</v>
      </c>
      <c r="T130">
        <f t="shared" si="69"/>
        <v>3.2770324557666081E-3</v>
      </c>
      <c r="U130" s="11" t="str">
        <f t="shared" si="70"/>
        <v>NEGATIVE</v>
      </c>
      <c r="V130" s="11" t="str">
        <f t="shared" si="71"/>
        <v/>
      </c>
      <c r="W130" s="11" t="str">
        <f t="shared" si="72"/>
        <v>DOWN</v>
      </c>
      <c r="X130" s="6" t="str">
        <f t="shared" si="73"/>
        <v>SELL</v>
      </c>
      <c r="Y130" cm="1">
        <f t="array" ref="Y130">IFERROR(VALUE(_xll.BDP($B130,"INTERVAL_MAE_MOV_AVG","CALC_INTERVAL","520D","TECH_STUDIES_PARAM1_OVERRIDE",65,"USE_PREVIOUS_BUSINESS_DAY","N")),"")</f>
        <v>22.558035044272586</v>
      </c>
      <c r="Z130">
        <f t="shared" si="5"/>
        <v>6856.0226153846133</v>
      </c>
      <c r="AA130" cm="1">
        <f t="array" ref="AA130">IFERROR(VALUE(_xll.BDP($B130,"INTERVAL_MAE_MOV_AVG","CALC_INTERVAL","520D","TECH_STUDIES_PARAM1_OVERRIDE",65,"USE_PREVIOUS_BUSINESS_DAY","Y")),"")</f>
        <v>22.553592224799502</v>
      </c>
      <c r="AB130">
        <f t="shared" si="6"/>
        <v>6852.6203076923057</v>
      </c>
      <c r="AC130">
        <f t="shared" si="74"/>
        <v>3.2902509676169017E-3</v>
      </c>
      <c r="AD130">
        <f t="shared" si="75"/>
        <v>3.2912362296627332E-3</v>
      </c>
      <c r="AE130" s="10" t="str">
        <f t="shared" si="76"/>
        <v>UP</v>
      </c>
      <c r="AF130" s="10" t="str">
        <f t="shared" si="77"/>
        <v>DOWN</v>
      </c>
      <c r="AG130" s="6" t="str">
        <f t="shared" si="78"/>
        <v>NEGATIVE</v>
      </c>
      <c r="AH130" cm="1">
        <f t="array" ref="AH130">IFERROR(VALUE(_xll.BDP($B130,"INTERVAL_MAE_MOV_AVG","CALC_INTERVAL","65W","PERIODICITY_OVERRIDE","W","TECH_STUDIES_PARAM1_OVERRIDE",39,"USE_PREVIOUS_BUSINESS_DAY","N")),"")</f>
        <v>22.207347879667697</v>
      </c>
      <c r="AI130">
        <f t="shared" si="7"/>
        <v>6560.7735897435905</v>
      </c>
      <c r="AJ130" cm="1">
        <f t="array" ref="AJ130">IFERROR(VALUE(_xll.BDP($B130,"INTERVAL_MAE_MOV_AVG","CALC_INTERVAL","65W","PERIODICITY_OVERRIDE","W","TECH_STUDIES_PARAM1_OVERRIDE",39,"USE_PREVIOUS_BUSINESS_DAY","Y")),"")</f>
        <v>22.208629942687278</v>
      </c>
      <c r="AK130">
        <f t="shared" si="8"/>
        <v>6560.7823076923087</v>
      </c>
      <c r="AL130">
        <f t="shared" si="79"/>
        <v>3.3848672836971974E-3</v>
      </c>
      <c r="AM130">
        <f t="shared" si="80"/>
        <v>3.385058199027327E-3</v>
      </c>
      <c r="AN130" s="10" t="str">
        <f t="shared" si="81"/>
        <v>DOWN</v>
      </c>
      <c r="AO130" s="10" t="str">
        <f t="shared" si="82"/>
        <v>DOWN</v>
      </c>
      <c r="AP130" s="6" t="str">
        <f t="shared" si="83"/>
        <v>NEGATIVE</v>
      </c>
      <c r="AQ130" cm="1">
        <f t="array" ref="AQ130">IFERROR(VALUE(_xll.BDP($B130,"INTERVAL_exp_MOV_AVG","CALC_INTERVAL","520D","TECH_STUDIES_PARAM1_OVERRIDE",100,"USE_PREVIOUS_BUSINESS_DAY","N")),"")</f>
        <v>22.467430719276525</v>
      </c>
      <c r="AR130">
        <f t="shared" si="9"/>
        <v>6773.0064518682802</v>
      </c>
      <c r="AS130" cm="1">
        <f t="array" ref="AS130">IFERROR(VALUE(_xll.BDP($B130,"INTERVAL_exp_MOV_AVG","CALC_INTERVAL","520D","TECH_STUDIES_PARAM1_OVERRIDE",100,"USE_PREVIOUS_BUSINESS_DAY","Y")),"")</f>
        <v>22.462129090674143</v>
      </c>
      <c r="AT130">
        <f t="shared" si="10"/>
        <v>6769.6039787132295</v>
      </c>
      <c r="AU130">
        <f t="shared" si="84"/>
        <v>3.3172020252659087E-3</v>
      </c>
      <c r="AV130">
        <f t="shared" si="85"/>
        <v>3.3180861334437704E-3</v>
      </c>
      <c r="AW130" s="11" t="str">
        <f t="shared" si="86"/>
        <v>UP</v>
      </c>
      <c r="AX130" s="11" t="str">
        <f t="shared" si="87"/>
        <v>DOWN</v>
      </c>
      <c r="AY130" s="6" t="str">
        <f t="shared" si="88"/>
        <v>NEGATIVE</v>
      </c>
      <c r="AZ130" s="12" cm="1">
        <f t="array" ref="AZ130">_xll.BDP($B130, "INTERVAL_RSI", "TECH_STUDIES_PARAM1_OVERRIDE", "5", "PERIODICITY_OVERRIDE", "W")</f>
        <v>81.618776333603464</v>
      </c>
      <c r="BA130" cm="1">
        <f t="array" ref="BA130">IFERROR(VALUE(_xll.BDP($B130,"INTERVAL_MAE_MOV_AVG","CALC_INTERVAL","520D","TECH_STUDIES_PARAM1_OVERRIDE",31,"USE_PREVIOUS_BUSINESS_DAY","N")),"")</f>
        <v>22.637385415072135</v>
      </c>
      <c r="BB130" cm="1">
        <f t="array" ref="BB130">IFERROR(VALUE(_xll.BDP($B130,"INTERVAL_MAE_MOV_AVG","CALC_INTERVAL","760D","TECH_STUDIES_PARAM1_OVERRIDE",200,"USE_PREVIOUS_BUSINESS_DAY","N")),"")</f>
        <v>22.130052028893484</v>
      </c>
      <c r="BC130" s="13">
        <f t="shared" si="89"/>
        <v>4.0912226933329521E-3</v>
      </c>
      <c r="BD130" s="13">
        <f t="shared" si="90"/>
        <v>6.2144926861733563E-3</v>
      </c>
      <c r="BE130" s="13">
        <f t="shared" si="91"/>
        <v>2.7110102150831317E-2</v>
      </c>
      <c r="BF130" s="14" cm="1">
        <f t="array" ref="BF130">VALUE(_xll.BDP($B130,"INTERVAL_DATE_OF_CALC_HI","CALC_INTERVAL","3M"))</f>
        <v>46063</v>
      </c>
      <c r="BG130" s="14" cm="1">
        <f t="array" ref="BG130">VALUE(_xll.BDP($B130,"INTERVAL_DATE_OF_CALC_LO","CALC_INTERVAL","3M"))</f>
        <v>45978</v>
      </c>
      <c r="BH130" s="14" cm="1">
        <f t="array" ref="BH130">VALUE(_xll.BDP($B130,"INTERVAL_DATE_OF_CALC_HI","CALC_INTERVAL","1M"))</f>
        <v>46063</v>
      </c>
      <c r="BI130" s="14" cm="1">
        <f t="array" ref="BI130">VALUE(_xll.BDP($B130,"INTERVAL_DATE_OF_CALC_LO","CALC_INTERVAL","1M"))</f>
        <v>46042</v>
      </c>
      <c r="BJ130" s="15">
        <f>$F130-MIN(_xll.BDP("NYA Index","RSI_14D"),_xll.BDP("RSP US Equity","RSI_14D"))</f>
        <v>-4.8663824197561141</v>
      </c>
    </row>
    <row r="131" spans="1:62" x14ac:dyDescent="0.25">
      <c r="A131" s="11">
        <v>130</v>
      </c>
      <c r="B131" s="26" t="s">
        <v>378</v>
      </c>
      <c r="C131" s="1" t="s">
        <v>379</v>
      </c>
      <c r="D131" s="1" t="s">
        <v>308</v>
      </c>
      <c r="E131" s="11" t="s">
        <v>787</v>
      </c>
      <c r="F131">
        <f>IFERROR(VALUE((_xll.BDP($B131,"interval_rsi","tech_studies_param1_override",14))),"")</f>
        <v>52.513542029629015</v>
      </c>
      <c r="G131">
        <f t="shared" si="0"/>
        <v>52.525531939815814</v>
      </c>
      <c r="H131">
        <f t="shared" si="65"/>
        <v>0</v>
      </c>
      <c r="I131" cm="1">
        <f t="array" ref="I131">IFERROR(VALUE(_xll.BDP($B131,"px_last")),"")</f>
        <v>40.92</v>
      </c>
      <c r="J131">
        <f t="shared" si="1"/>
        <v>6941.47</v>
      </c>
      <c r="K131" cm="1">
        <f t="array" ref="K131">IFERROR(VALUE(_xll.BDP($B131,"PX_YEST_CLOSE")),"")</f>
        <v>40.94</v>
      </c>
      <c r="L131">
        <f t="shared" si="2"/>
        <v>6941.81</v>
      </c>
      <c r="M131">
        <f t="shared" si="66"/>
        <v>5.8950049485195499E-3</v>
      </c>
      <c r="N131">
        <f t="shared" si="67"/>
        <v>5.8975973125164755E-3</v>
      </c>
      <c r="O131" cm="1">
        <f t="array" ref="O131">IFERROR(VALUE(_xll.BDP($B131,"INTERVAL_MAE_MOV_AVG","CALC_INTERVAL","520D","TECH_STUDIES_PARAM1_OVERRIDE",50,"USE_PREVIOUS_BUSINESS_DAY","N")),"")</f>
        <v>40.539109275378898</v>
      </c>
      <c r="P131">
        <f t="shared" si="3"/>
        <v>6894.0953999999992</v>
      </c>
      <c r="Q131" cm="1">
        <f t="array" ref="Q131">IFERROR(VALUE(_xll.BDP($B131,"INTERVAL_MAE_MOV_AVG","CALC_INTERVAL","520D","TECH_STUDIES_PARAM1_OVERRIDE",50,"USE_PREVIOUS_BUSINESS_DAY","Y")),"")</f>
        <v>40.527213420800003</v>
      </c>
      <c r="R131">
        <f t="shared" si="4"/>
        <v>6892.2477999999992</v>
      </c>
      <c r="S131">
        <f t="shared" si="68"/>
        <v>5.8802652013459087E-3</v>
      </c>
      <c r="T131">
        <f t="shared" si="69"/>
        <v>5.8801155438433315E-3</v>
      </c>
      <c r="U131" s="11" t="str">
        <f t="shared" si="70"/>
        <v>NEGATIVE</v>
      </c>
      <c r="V131" s="11" t="str">
        <f t="shared" si="71"/>
        <v/>
      </c>
      <c r="W131" s="11" t="str">
        <f t="shared" si="72"/>
        <v>UP</v>
      </c>
      <c r="X131" s="6" t="str">
        <f t="shared" si="73"/>
        <v>POSITIVE</v>
      </c>
      <c r="Y131" cm="1">
        <f t="array" ref="Y131">IFERROR(VALUE(_xll.BDP($B131,"INTERVAL_MAE_MOV_AVG","CALC_INTERVAL","520D","TECH_STUDIES_PARAM1_OVERRIDE",65,"USE_PREVIOUS_BUSINESS_DAY","N")),"")</f>
        <v>40.323716781676069</v>
      </c>
      <c r="Z131">
        <f t="shared" si="5"/>
        <v>6856.0226153846133</v>
      </c>
      <c r="AA131" cm="1">
        <f t="array" ref="AA131">IFERROR(VALUE(_xll.BDP($B131,"INTERVAL_MAE_MOV_AVG","CALC_INTERVAL","520D","TECH_STUDIES_PARAM1_OVERRIDE",65,"USE_PREVIOUS_BUSINESS_DAY","Y")),"")</f>
        <v>40.302597228307697</v>
      </c>
      <c r="AB131">
        <f t="shared" si="6"/>
        <v>6852.6203076923057</v>
      </c>
      <c r="AC131">
        <f t="shared" si="74"/>
        <v>5.8815028834927445E-3</v>
      </c>
      <c r="AD131">
        <f t="shared" si="75"/>
        <v>5.881341066433613E-3</v>
      </c>
      <c r="AE131" s="10" t="str">
        <f t="shared" si="76"/>
        <v>UP</v>
      </c>
      <c r="AF131" s="10" t="str">
        <f t="shared" si="77"/>
        <v>UP</v>
      </c>
      <c r="AG131" s="6" t="str">
        <f t="shared" si="78"/>
        <v>POSITIVE</v>
      </c>
      <c r="AH131" cm="1">
        <f t="array" ref="AH131">IFERROR(VALUE(_xll.BDP($B131,"INTERVAL_MAE_MOV_AVG","CALC_INTERVAL","65W","PERIODICITY_OVERRIDE","W","TECH_STUDIES_PARAM1_OVERRIDE",39,"USE_PREVIOUS_BUSINESS_DAY","N")),"")</f>
        <v>38.757131670213582</v>
      </c>
      <c r="AI131">
        <f t="shared" si="7"/>
        <v>6560.7735897435905</v>
      </c>
      <c r="AJ131" cm="1">
        <f t="array" ref="AJ131">IFERROR(VALUE(_xll.BDP($B131,"INTERVAL_MAE_MOV_AVG","CALC_INTERVAL","65W","PERIODICITY_OVERRIDE","W","TECH_STUDIES_PARAM1_OVERRIDE",39,"USE_PREVIOUS_BUSINESS_DAY","Y")),"")</f>
        <v>38.757644537676519</v>
      </c>
      <c r="AK131">
        <f t="shared" si="8"/>
        <v>6560.7823076923087</v>
      </c>
      <c r="AL131">
        <f t="shared" si="79"/>
        <v>5.9074027079371134E-3</v>
      </c>
      <c r="AM131">
        <f t="shared" si="80"/>
        <v>5.9074730298907209E-3</v>
      </c>
      <c r="AN131" s="10" t="str">
        <f t="shared" si="81"/>
        <v>DOWN</v>
      </c>
      <c r="AO131" s="10" t="str">
        <f t="shared" si="82"/>
        <v>DOWN</v>
      </c>
      <c r="AP131" s="6" t="str">
        <f t="shared" si="83"/>
        <v>NEGATIVE</v>
      </c>
      <c r="AQ131" cm="1">
        <f t="array" ref="AQ131">IFERROR(VALUE(_xll.BDP($B131,"INTERVAL_exp_MOV_AVG","CALC_INTERVAL","520D","TECH_STUDIES_PARAM1_OVERRIDE",100,"USE_PREVIOUS_BUSINESS_DAY","N")),"")</f>
        <v>39.904002577777419</v>
      </c>
      <c r="AR131">
        <f t="shared" si="9"/>
        <v>6773.0064518682802</v>
      </c>
      <c r="AS131" cm="1">
        <f t="array" ref="AS131">IFERROR(VALUE(_xll.BDP($B131,"INTERVAL_exp_MOV_AVG","CALC_INTERVAL","520D","TECH_STUDIES_PARAM1_OVERRIDE",100,"USE_PREVIOUS_BUSINESS_DAY","Y")),"")</f>
        <v>39.883481366220309</v>
      </c>
      <c r="AT131">
        <f t="shared" si="10"/>
        <v>6769.6039787132295</v>
      </c>
      <c r="AU131">
        <f t="shared" si="84"/>
        <v>5.8916232933412041E-3</v>
      </c>
      <c r="AV131">
        <f t="shared" si="85"/>
        <v>5.8915531088129299E-3</v>
      </c>
      <c r="AW131" s="11" t="str">
        <f t="shared" si="86"/>
        <v>UP</v>
      </c>
      <c r="AX131" s="11" t="str">
        <f t="shared" si="87"/>
        <v>UP</v>
      </c>
      <c r="AY131" s="6" t="str">
        <f t="shared" si="88"/>
        <v>POSITIVE</v>
      </c>
      <c r="AZ131" s="12" cm="1">
        <f t="array" ref="AZ131">_xll.BDP($B131, "INTERVAL_RSI", "TECH_STUDIES_PARAM1_OVERRIDE", "5", "PERIODICITY_OVERRIDE", "W")</f>
        <v>62.256035327914759</v>
      </c>
      <c r="BA131" cm="1">
        <f t="array" ref="BA131">IFERROR(VALUE(_xll.BDP($B131,"INTERVAL_MAE_MOV_AVG","CALC_INTERVAL","520D","TECH_STUDIES_PARAM1_OVERRIDE",31,"USE_PREVIOUS_BUSINESS_DAY","N")),"")</f>
        <v>40.807419295772419</v>
      </c>
      <c r="BB131" cm="1">
        <f t="array" ref="BB131">IFERROR(VALUE(_xll.BDP($B131,"INTERVAL_MAE_MOV_AVG","CALC_INTERVAL","760D","TECH_STUDIES_PARAM1_OVERRIDE",200,"USE_PREVIOUS_BUSINESS_DAY","N")),"")</f>
        <v>38.336700879698157</v>
      </c>
      <c r="BC131" s="13">
        <f t="shared" si="89"/>
        <v>2.7588293053182333E-3</v>
      </c>
      <c r="BD131" s="13">
        <f t="shared" si="90"/>
        <v>9.3956362492757517E-3</v>
      </c>
      <c r="BE131" s="13">
        <f t="shared" si="91"/>
        <v>6.7384492171309152E-2</v>
      </c>
      <c r="BF131" s="14" cm="1">
        <f t="array" ref="BF131">VALUE(_xll.BDP($B131,"INTERVAL_DATE_OF_CALC_HI","CALC_INTERVAL","3M"))</f>
        <v>46049</v>
      </c>
      <c r="BG131" s="14" cm="1">
        <f t="array" ref="BG131">VALUE(_xll.BDP($B131,"INTERVAL_DATE_OF_CALC_LO","CALC_INTERVAL","3M"))</f>
        <v>45981</v>
      </c>
      <c r="BH131" s="14" cm="1">
        <f t="array" ref="BH131">VALUE(_xll.BDP($B131,"INTERVAL_DATE_OF_CALC_HI","CALC_INTERVAL","1M"))</f>
        <v>46049</v>
      </c>
      <c r="BI131" s="14" cm="1">
        <f t="array" ref="BI131">VALUE(_xll.BDP($B131,"INTERVAL_DATE_OF_CALC_LO","CALC_INTERVAL","1M"))</f>
        <v>46058</v>
      </c>
      <c r="BJ131" s="15">
        <f>$F131-MIN(_xll.BDP("NYA Index","RSI_14D"),_xll.BDP("RSP US Equity","RSI_14D"))</f>
        <v>-13.832222130527235</v>
      </c>
    </row>
    <row r="132" spans="1:62" x14ac:dyDescent="0.25">
      <c r="A132" s="11">
        <v>131</v>
      </c>
      <c r="B132" s="26" t="s">
        <v>380</v>
      </c>
      <c r="C132" s="1" t="s">
        <v>803</v>
      </c>
      <c r="D132" s="1" t="s">
        <v>308</v>
      </c>
      <c r="E132" s="11" t="s">
        <v>787</v>
      </c>
      <c r="F132">
        <f>IFERROR(VALUE((_xll.BDP($B132,"interval_rsi","tech_studies_param1_override",14))),"")</f>
        <v>40.885610087383476</v>
      </c>
      <c r="G132">
        <f t="shared" si="0"/>
        <v>52.525531939815814</v>
      </c>
      <c r="H132">
        <f t="shared" si="65"/>
        <v>0</v>
      </c>
      <c r="I132" cm="1">
        <f t="array" ref="I132">IFERROR(VALUE(_xll.BDP($B132,"px_last")),"")</f>
        <v>67.62</v>
      </c>
      <c r="J132">
        <f t="shared" si="1"/>
        <v>6941.47</v>
      </c>
      <c r="K132" cm="1">
        <f t="array" ref="K132">IFERROR(VALUE(_xll.BDP($B132,"PX_YEST_CLOSE")),"")</f>
        <v>68.83</v>
      </c>
      <c r="L132">
        <f t="shared" si="2"/>
        <v>6941.81</v>
      </c>
      <c r="M132">
        <f t="shared" si="66"/>
        <v>9.741452458917204E-3</v>
      </c>
      <c r="N132">
        <f t="shared" si="67"/>
        <v>9.91528146117511E-3</v>
      </c>
      <c r="O132" cm="1">
        <f t="array" ref="O132">IFERROR(VALUE(_xll.BDP($B132,"INTERVAL_MAE_MOV_AVG","CALC_INTERVAL","520D","TECH_STUDIES_PARAM1_OVERRIDE",50,"USE_PREVIOUS_BUSINESS_DAY","N")),"")</f>
        <v>71.712588651131639</v>
      </c>
      <c r="P132">
        <f t="shared" si="3"/>
        <v>6894.0953999999992</v>
      </c>
      <c r="Q132" cm="1">
        <f t="array" ref="Q132">IFERROR(VALUE(_xll.BDP($B132,"INTERVAL_MAE_MOV_AVG","CALC_INTERVAL","520D","TECH_STUDIES_PARAM1_OVERRIDE",50,"USE_PREVIOUS_BUSINESS_DAY","Y")),"")</f>
        <v>71.829136373200001</v>
      </c>
      <c r="R132">
        <f t="shared" si="4"/>
        <v>6892.2477999999992</v>
      </c>
      <c r="S132">
        <f t="shared" si="68"/>
        <v>1.0402030214309429E-2</v>
      </c>
      <c r="T132">
        <f t="shared" si="69"/>
        <v>1.0421728651892059E-2</v>
      </c>
      <c r="U132" s="11" t="str">
        <f t="shared" si="70"/>
        <v>NEGATIVE</v>
      </c>
      <c r="V132" s="11" t="str">
        <f t="shared" si="71"/>
        <v/>
      </c>
      <c r="W132" s="11" t="str">
        <f t="shared" si="72"/>
        <v>DOWN</v>
      </c>
      <c r="X132" s="6" t="str">
        <f t="shared" si="73"/>
        <v>NEGATIVE</v>
      </c>
      <c r="Y132" cm="1">
        <f t="array" ref="Y132">IFERROR(VALUE(_xll.BDP($B132,"INTERVAL_MAE_MOV_AVG","CALC_INTERVAL","520D","TECH_STUDIES_PARAM1_OVERRIDE",65,"USE_PREVIOUS_BUSINESS_DAY","N")),"")</f>
        <v>72.203139837332017</v>
      </c>
      <c r="Z132">
        <f t="shared" si="5"/>
        <v>6856.0226153846133</v>
      </c>
      <c r="AA132" cm="1">
        <f t="array" ref="AA132">IFERROR(VALUE(_xll.BDP($B132,"INTERVAL_MAE_MOV_AVG","CALC_INTERVAL","520D","TECH_STUDIES_PARAM1_OVERRIDE",65,"USE_PREVIOUS_BUSINESS_DAY","Y")),"")</f>
        <v>72.307673954769228</v>
      </c>
      <c r="AB132">
        <f t="shared" si="6"/>
        <v>6852.6203076923057</v>
      </c>
      <c r="AC132">
        <f t="shared" si="74"/>
        <v>1.0531345050599942E-2</v>
      </c>
      <c r="AD132">
        <f t="shared" si="75"/>
        <v>1.055182845510955E-2</v>
      </c>
      <c r="AE132" s="10" t="str">
        <f t="shared" si="76"/>
        <v>DOWN</v>
      </c>
      <c r="AF132" s="10" t="str">
        <f t="shared" si="77"/>
        <v>DOWN</v>
      </c>
      <c r="AG132" s="6" t="str">
        <f t="shared" si="78"/>
        <v>NEGATIVE</v>
      </c>
      <c r="AH132" cm="1">
        <f t="array" ref="AH132">IFERROR(VALUE(_xll.BDP($B132,"INTERVAL_MAE_MOV_AVG","CALC_INTERVAL","65W","PERIODICITY_OVERRIDE","W","TECH_STUDIES_PARAM1_OVERRIDE",39,"USE_PREVIOUS_BUSINESS_DAY","N")),"")</f>
        <v>73.086654167316851</v>
      </c>
      <c r="AI132">
        <f t="shared" si="7"/>
        <v>6560.7735897435905</v>
      </c>
      <c r="AJ132" cm="1">
        <f t="array" ref="AJ132">IFERROR(VALUE(_xll.BDP($B132,"INTERVAL_MAE_MOV_AVG","CALC_INTERVAL","65W","PERIODICITY_OVERRIDE","W","TECH_STUDIES_PARAM1_OVERRIDE",39,"USE_PREVIOUS_BUSINESS_DAY","Y")),"")</f>
        <v>73.117679737917314</v>
      </c>
      <c r="AK132">
        <f t="shared" si="8"/>
        <v>6560.7823076923087</v>
      </c>
      <c r="AL132">
        <f t="shared" si="79"/>
        <v>1.1139944576287876E-2</v>
      </c>
      <c r="AM132">
        <f t="shared" si="80"/>
        <v>1.1144658717328443E-2</v>
      </c>
      <c r="AN132" s="10" t="str">
        <f t="shared" si="81"/>
        <v>DOWN</v>
      </c>
      <c r="AO132" s="10" t="str">
        <f t="shared" si="82"/>
        <v>DOWN</v>
      </c>
      <c r="AP132" s="6" t="str">
        <f t="shared" si="83"/>
        <v>NEGATIVE</v>
      </c>
      <c r="AQ132" cm="1">
        <f t="array" ref="AQ132">IFERROR(VALUE(_xll.BDP($B132,"INTERVAL_exp_MOV_AVG","CALC_INTERVAL","520D","TECH_STUDIES_PARAM1_OVERRIDE",100,"USE_PREVIOUS_BUSINESS_DAY","N")),"")</f>
        <v>72.163991859235253</v>
      </c>
      <c r="AR132">
        <f t="shared" si="9"/>
        <v>6773.0064518682802</v>
      </c>
      <c r="AS132" cm="1">
        <f t="array" ref="AS132">IFERROR(VALUE(_xll.BDP($B132,"INTERVAL_exp_MOV_AVG","CALC_INTERVAL","520D","TECH_STUDIES_PARAM1_OVERRIDE",100,"USE_PREVIOUS_BUSINESS_DAY","Y")),"")</f>
        <v>72.255804719475961</v>
      </c>
      <c r="AT132">
        <f t="shared" si="10"/>
        <v>6769.6039787132295</v>
      </c>
      <c r="AU132">
        <f t="shared" si="84"/>
        <v>1.0654646850266824E-2</v>
      </c>
      <c r="AV132">
        <f t="shared" si="85"/>
        <v>1.067356450195339E-2</v>
      </c>
      <c r="AW132" s="11" t="str">
        <f t="shared" si="86"/>
        <v>DOWN</v>
      </c>
      <c r="AX132" s="11" t="str">
        <f t="shared" si="87"/>
        <v>DOWN</v>
      </c>
      <c r="AY132" s="6" t="str">
        <f t="shared" si="88"/>
        <v>NEGATIVE</v>
      </c>
      <c r="AZ132" s="12" cm="1">
        <f t="array" ref="AZ132">_xll.BDP($B132, "INTERVAL_RSI", "TECH_STUDIES_PARAM1_OVERRIDE", "5", "PERIODICITY_OVERRIDE", "W")</f>
        <v>24.527152481556939</v>
      </c>
      <c r="BA132" cm="1">
        <f t="array" ref="BA132">IFERROR(VALUE(_xll.BDP($B132,"INTERVAL_MAE_MOV_AVG","CALC_INTERVAL","520D","TECH_STUDIES_PARAM1_OVERRIDE",31,"USE_PREVIOUS_BUSINESS_DAY","N")),"")</f>
        <v>70.544516217631681</v>
      </c>
      <c r="BB132" cm="1">
        <f t="array" ref="BB132">IFERROR(VALUE(_xll.BDP($B132,"INTERVAL_MAE_MOV_AVG","CALC_INTERVAL","760D","TECH_STUDIES_PARAM1_OVERRIDE",200,"USE_PREVIOUS_BUSINESS_DAY","N")),"")</f>
        <v>72.980063386202715</v>
      </c>
      <c r="BC132" s="13">
        <f t="shared" si="89"/>
        <v>-4.1456322538373724E-2</v>
      </c>
      <c r="BD132" s="13">
        <f t="shared" si="90"/>
        <v>-5.7069319740238544E-2</v>
      </c>
      <c r="BE132" s="13">
        <f t="shared" si="91"/>
        <v>-7.3445584143135512E-2</v>
      </c>
      <c r="BF132" s="14" cm="1">
        <f t="array" ref="BF132">VALUE(_xll.BDP($B132,"INTERVAL_DATE_OF_CALC_HI","CALC_INTERVAL","3M"))</f>
        <v>45972</v>
      </c>
      <c r="BG132" s="14" cm="1">
        <f t="array" ref="BG132">VALUE(_xll.BDP($B132,"INTERVAL_DATE_OF_CALC_LO","CALC_INTERVAL","3M"))</f>
        <v>46058</v>
      </c>
      <c r="BH132" s="14" cm="1">
        <f t="array" ref="BH132">VALUE(_xll.BDP($B132,"INTERVAL_DATE_OF_CALC_HI","CALC_INTERVAL","1M"))</f>
        <v>46034</v>
      </c>
      <c r="BI132" s="14" cm="1">
        <f t="array" ref="BI132">VALUE(_xll.BDP($B132,"INTERVAL_DATE_OF_CALC_LO","CALC_INTERVAL","1M"))</f>
        <v>46058</v>
      </c>
      <c r="BJ132" s="15">
        <f>$F132-MIN(_xll.BDP("NYA Index","RSI_14D"),_xll.BDP("RSP US Equity","RSI_14D"))</f>
        <v>-25.460154072772774</v>
      </c>
    </row>
    <row r="133" spans="1:62" x14ac:dyDescent="0.25">
      <c r="A133" s="11">
        <v>132</v>
      </c>
      <c r="B133" s="26" t="s">
        <v>381</v>
      </c>
      <c r="C133" s="1" t="s">
        <v>804</v>
      </c>
      <c r="D133" s="1" t="s">
        <v>308</v>
      </c>
      <c r="E133" s="11" t="s">
        <v>787</v>
      </c>
      <c r="F133">
        <f>IFERROR(VALUE((_xll.BDP($B133,"interval_rsi","tech_studies_param1_override",14))),"")</f>
        <v>29.011121255843051</v>
      </c>
      <c r="G133">
        <f t="shared" si="0"/>
        <v>52.525531939815814</v>
      </c>
      <c r="H133">
        <f t="shared" si="65"/>
        <v>0</v>
      </c>
      <c r="I133" cm="1">
        <f t="array" ref="I133">IFERROR(VALUE(_xll.BDP($B133,"px_last")),"")</f>
        <v>18.95</v>
      </c>
      <c r="J133">
        <f t="shared" si="1"/>
        <v>6941.47</v>
      </c>
      <c r="K133" cm="1">
        <f t="array" ref="K133">IFERROR(VALUE(_xll.BDP($B133,"PX_YEST_CLOSE")),"")</f>
        <v>19.59</v>
      </c>
      <c r="L133">
        <f t="shared" si="2"/>
        <v>6941.81</v>
      </c>
      <c r="M133">
        <f t="shared" si="66"/>
        <v>2.7299693004507689E-3</v>
      </c>
      <c r="N133">
        <f t="shared" si="67"/>
        <v>2.8220305655153339E-3</v>
      </c>
      <c r="O133" cm="1">
        <f t="array" ref="O133">IFERROR(VALUE(_xll.BDP($B133,"INTERVAL_MAE_MOV_AVG","CALC_INTERVAL","520D","TECH_STUDIES_PARAM1_OVERRIDE",50,"USE_PREVIOUS_BUSINESS_DAY","N")),"")</f>
        <v>21.924232015258784</v>
      </c>
      <c r="P133">
        <f t="shared" si="3"/>
        <v>6894.0953999999992</v>
      </c>
      <c r="Q133" cm="1">
        <f t="array" ref="Q133">IFERROR(VALUE(_xll.BDP($B133,"INTERVAL_MAE_MOV_AVG","CALC_INTERVAL","520D","TECH_STUDIES_PARAM1_OVERRIDE",50,"USE_PREVIOUS_BUSINESS_DAY","Y")),"")</f>
        <v>21.998631999999997</v>
      </c>
      <c r="R133">
        <f t="shared" si="4"/>
        <v>6892.2477999999992</v>
      </c>
      <c r="S133">
        <f t="shared" si="68"/>
        <v>3.1801463053816731E-3</v>
      </c>
      <c r="T133">
        <f t="shared" si="69"/>
        <v>3.1917935394023414E-3</v>
      </c>
      <c r="U133" s="11" t="str">
        <f t="shared" si="70"/>
        <v>NEGATIVE</v>
      </c>
      <c r="V133" s="11" t="str">
        <f t="shared" si="71"/>
        <v/>
      </c>
      <c r="W133" s="11" t="str">
        <f t="shared" si="72"/>
        <v>DOWN</v>
      </c>
      <c r="X133" s="6" t="str">
        <f t="shared" si="73"/>
        <v>NEGATIVE</v>
      </c>
      <c r="Y133" cm="1">
        <f t="array" ref="Y133">IFERROR(VALUE(_xll.BDP($B133,"INTERVAL_MAE_MOV_AVG","CALC_INTERVAL","520D","TECH_STUDIES_PARAM1_OVERRIDE",65,"USE_PREVIOUS_BUSINESS_DAY","N")),"")</f>
        <v>22.162332319429847</v>
      </c>
      <c r="Z133">
        <f t="shared" si="5"/>
        <v>6856.0226153846133</v>
      </c>
      <c r="AA133" cm="1">
        <f t="array" ref="AA133">IFERROR(VALUE(_xll.BDP($B133,"INTERVAL_MAE_MOV_AVG","CALC_INTERVAL","520D","TECH_STUDIES_PARAM1_OVERRIDE",65,"USE_PREVIOUS_BUSINESS_DAY","Y")),"")</f>
        <v>22.230332307692315</v>
      </c>
      <c r="AB133">
        <f t="shared" si="6"/>
        <v>6852.6203076923057</v>
      </c>
      <c r="AC133">
        <f t="shared" si="74"/>
        <v>3.2325348912500009E-3</v>
      </c>
      <c r="AD133">
        <f t="shared" si="75"/>
        <v>3.2440630458888827E-3</v>
      </c>
      <c r="AE133" s="10" t="str">
        <f t="shared" si="76"/>
        <v>DOWN</v>
      </c>
      <c r="AF133" s="10" t="str">
        <f t="shared" si="77"/>
        <v>DOWN</v>
      </c>
      <c r="AG133" s="6" t="str">
        <f t="shared" si="78"/>
        <v>NEGATIVE</v>
      </c>
      <c r="AH133" cm="1">
        <f t="array" ref="AH133">IFERROR(VALUE(_xll.BDP($B133,"INTERVAL_MAE_MOV_AVG","CALC_INTERVAL","65W","PERIODICITY_OVERRIDE","W","TECH_STUDIES_PARAM1_OVERRIDE",39,"USE_PREVIOUS_BUSINESS_DAY","N")),"")</f>
        <v>22.60410258366511</v>
      </c>
      <c r="AI133">
        <f t="shared" si="7"/>
        <v>6560.7735897435905</v>
      </c>
      <c r="AJ133" cm="1">
        <f t="array" ref="AJ133">IFERROR(VALUE(_xll.BDP($B133,"INTERVAL_MAE_MOV_AVG","CALC_INTERVAL","65W","PERIODICITY_OVERRIDE","W","TECH_STUDIES_PARAM1_OVERRIDE",39,"USE_PREVIOUS_BUSINESS_DAY","Y")),"")</f>
        <v>22.620512820512818</v>
      </c>
      <c r="AK133">
        <f t="shared" si="8"/>
        <v>6560.7823076923087</v>
      </c>
      <c r="AL133">
        <f t="shared" si="79"/>
        <v>3.4453410523115654E-3</v>
      </c>
      <c r="AM133">
        <f t="shared" si="80"/>
        <v>3.4478377363612546E-3</v>
      </c>
      <c r="AN133" s="10" t="str">
        <f t="shared" si="81"/>
        <v>DOWN</v>
      </c>
      <c r="AO133" s="10" t="str">
        <f t="shared" si="82"/>
        <v>DOWN</v>
      </c>
      <c r="AP133" s="6" t="str">
        <f t="shared" si="83"/>
        <v>NEGATIVE</v>
      </c>
      <c r="AQ133" cm="1">
        <f t="array" ref="AQ133">IFERROR(VALUE(_xll.BDP($B133,"INTERVAL_exp_MOV_AVG","CALC_INTERVAL","520D","TECH_STUDIES_PARAM1_OVERRIDE",100,"USE_PREVIOUS_BUSINESS_DAY","N")),"")</f>
        <v>22.140465474074173</v>
      </c>
      <c r="AR133">
        <f t="shared" si="9"/>
        <v>6773.0064518682802</v>
      </c>
      <c r="AS133" cm="1">
        <f t="array" ref="AS133">IFERROR(VALUE(_xll.BDP($B133,"INTERVAL_exp_MOV_AVG","CALC_INTERVAL","520D","TECH_STUDIES_PARAM1_OVERRIDE",100,"USE_PREVIOUS_BUSINESS_DAY","Y")),"")</f>
        <v>22.204926445021673</v>
      </c>
      <c r="AT133">
        <f t="shared" si="10"/>
        <v>6769.6039787132295</v>
      </c>
      <c r="AU133">
        <f t="shared" si="84"/>
        <v>3.2689272675898457E-3</v>
      </c>
      <c r="AV133">
        <f t="shared" si="85"/>
        <v>3.2800923827810678E-3</v>
      </c>
      <c r="AW133" s="11" t="str">
        <f t="shared" si="86"/>
        <v>DOWN</v>
      </c>
      <c r="AX133" s="11" t="str">
        <f t="shared" si="87"/>
        <v>DOWN</v>
      </c>
      <c r="AY133" s="6" t="str">
        <f t="shared" si="88"/>
        <v>NEGATIVE</v>
      </c>
      <c r="AZ133" s="12" cm="1">
        <f t="array" ref="AZ133">_xll.BDP($B133, "INTERVAL_RSI", "TECH_STUDIES_PARAM1_OVERRIDE", "5", "PERIODICITY_OVERRIDE", "W")</f>
        <v>10.689638007517971</v>
      </c>
      <c r="BA133" cm="1">
        <f t="array" ref="BA133">IFERROR(VALUE(_xll.BDP($B133,"INTERVAL_MAE_MOV_AVG","CALC_INTERVAL","520D","TECH_STUDIES_PARAM1_OVERRIDE",31,"USE_PREVIOUS_BUSINESS_DAY","N")),"")</f>
        <v>21.318225831062563</v>
      </c>
      <c r="BB133" cm="1">
        <f t="array" ref="BB133">IFERROR(VALUE(_xll.BDP($B133,"INTERVAL_MAE_MOV_AVG","CALC_INTERVAL","760D","TECH_STUDIES_PARAM1_OVERRIDE",200,"USE_PREVIOUS_BUSINESS_DAY","N")),"")</f>
        <v>22.711808003814699</v>
      </c>
      <c r="BC133" s="13">
        <f t="shared" si="89"/>
        <v>-0.11108925526118818</v>
      </c>
      <c r="BD133" s="13">
        <f t="shared" si="90"/>
        <v>-0.13565957581496058</v>
      </c>
      <c r="BE133" s="13">
        <f t="shared" si="91"/>
        <v>-0.1656322562775655</v>
      </c>
      <c r="BF133" s="14" cm="1">
        <f t="array" ref="BF133">VALUE(_xll.BDP($B133,"INTERVAL_DATE_OF_CALC_HI","CALC_INTERVAL","3M"))</f>
        <v>45972</v>
      </c>
      <c r="BG133" s="14" cm="1">
        <f t="array" ref="BG133">VALUE(_xll.BDP($B133,"INTERVAL_DATE_OF_CALC_LO","CALC_INTERVAL","3M"))</f>
        <v>46058</v>
      </c>
      <c r="BH133" s="14" cm="1">
        <f t="array" ref="BH133">VALUE(_xll.BDP($B133,"INTERVAL_DATE_OF_CALC_HI","CALC_INTERVAL","1M"))</f>
        <v>46034</v>
      </c>
      <c r="BI133" s="14" cm="1">
        <f t="array" ref="BI133">VALUE(_xll.BDP($B133,"INTERVAL_DATE_OF_CALC_LO","CALC_INTERVAL","1M"))</f>
        <v>46058</v>
      </c>
      <c r="BJ133" s="15">
        <f>$F133-MIN(_xll.BDP("NYA Index","RSI_14D"),_xll.BDP("RSP US Equity","RSI_14D"))</f>
        <v>-37.334642904313199</v>
      </c>
    </row>
    <row r="134" spans="1:62" x14ac:dyDescent="0.25">
      <c r="A134" s="11">
        <v>133</v>
      </c>
      <c r="B134" s="26" t="s">
        <v>156</v>
      </c>
      <c r="C134" s="1" t="s">
        <v>805</v>
      </c>
      <c r="D134" s="1" t="s">
        <v>308</v>
      </c>
      <c r="E134" s="11" t="s">
        <v>787</v>
      </c>
      <c r="F134">
        <f>IFERROR(VALUE((_xll.BDP($B134,"interval_rsi","tech_studies_param1_override",14))),"")</f>
        <v>55.177837402940639</v>
      </c>
      <c r="G134">
        <f t="shared" si="0"/>
        <v>52.525531939815814</v>
      </c>
      <c r="H134">
        <f t="shared" si="65"/>
        <v>0</v>
      </c>
      <c r="I134" cm="1">
        <f t="array" ref="I134">IFERROR(VALUE(_xll.BDP($B134,"px_last")),"")</f>
        <v>41.25</v>
      </c>
      <c r="J134">
        <f t="shared" si="1"/>
        <v>6941.47</v>
      </c>
      <c r="K134" cm="1">
        <f t="array" ref="K134">IFERROR(VALUE(_xll.BDP($B134,"PX_YEST_CLOSE")),"")</f>
        <v>41.66</v>
      </c>
      <c r="L134">
        <f t="shared" si="2"/>
        <v>6941.81</v>
      </c>
      <c r="M134">
        <f t="shared" si="66"/>
        <v>5.9425453110076108E-3</v>
      </c>
      <c r="N134">
        <f t="shared" si="67"/>
        <v>6.0013166594879421E-3</v>
      </c>
      <c r="O134" cm="1">
        <f t="array" ref="O134">IFERROR(VALUE(_xll.BDP($B134,"INTERVAL_MAE_MOV_AVG","CALC_INTERVAL","520D","TECH_STUDIES_PARAM1_OVERRIDE",50,"USE_PREVIOUS_BUSINESS_DAY","N")),"")</f>
        <v>38.356142062938005</v>
      </c>
      <c r="P134">
        <f t="shared" si="3"/>
        <v>6894.0953999999992</v>
      </c>
      <c r="Q134" cm="1">
        <f t="array" ref="Q134">IFERROR(VALUE(_xll.BDP($B134,"INTERVAL_MAE_MOV_AVG","CALC_INTERVAL","520D","TECH_STUDIES_PARAM1_OVERRIDE",50,"USE_PREVIOUS_BUSINESS_DAY","Y")),"")</f>
        <v>38.240932394538007</v>
      </c>
      <c r="R134">
        <f t="shared" si="4"/>
        <v>6892.2477999999992</v>
      </c>
      <c r="S134">
        <f t="shared" si="68"/>
        <v>5.5636221777461926E-3</v>
      </c>
      <c r="T134">
        <f t="shared" si="69"/>
        <v>5.5483977802623418E-3</v>
      </c>
      <c r="U134" s="11" t="str">
        <f t="shared" si="70"/>
        <v>NEGATIVE</v>
      </c>
      <c r="V134" s="11" t="str">
        <f t="shared" si="71"/>
        <v/>
      </c>
      <c r="W134" s="11" t="str">
        <f t="shared" si="72"/>
        <v>UP</v>
      </c>
      <c r="X134" s="6" t="str">
        <f t="shared" si="73"/>
        <v>POSITIVE</v>
      </c>
      <c r="Y134" cm="1">
        <f t="array" ref="Y134">IFERROR(VALUE(_xll.BDP($B134,"INTERVAL_MAE_MOV_AVG","CALC_INTERVAL","520D","TECH_STUDIES_PARAM1_OVERRIDE",65,"USE_PREVIOUS_BUSINESS_DAY","N")),"")</f>
        <v>37.615483748413851</v>
      </c>
      <c r="Z134">
        <f t="shared" si="5"/>
        <v>6856.0226153846133</v>
      </c>
      <c r="AA134" cm="1">
        <f t="array" ref="AA134">IFERROR(VALUE(_xll.BDP($B134,"INTERVAL_MAE_MOV_AVG","CALC_INTERVAL","520D","TECH_STUDIES_PARAM1_OVERRIDE",65,"USE_PREVIOUS_BUSINESS_DAY","Y")),"")</f>
        <v>37.518215311644624</v>
      </c>
      <c r="AB134">
        <f t="shared" si="6"/>
        <v>6852.6203076923057</v>
      </c>
      <c r="AC134">
        <f t="shared" si="74"/>
        <v>5.4864876997351725E-3</v>
      </c>
      <c r="AD134">
        <f t="shared" si="75"/>
        <v>5.4750173841572863E-3</v>
      </c>
      <c r="AE134" s="10" t="str">
        <f t="shared" si="76"/>
        <v>UP</v>
      </c>
      <c r="AF134" s="10" t="str">
        <f t="shared" si="77"/>
        <v>UP</v>
      </c>
      <c r="AG134" s="6" t="str">
        <f t="shared" si="78"/>
        <v>POSITIVE</v>
      </c>
      <c r="AH134" cm="1">
        <f t="array" ref="AH134">IFERROR(VALUE(_xll.BDP($B134,"INTERVAL_MAE_MOV_AVG","CALC_INTERVAL","65W","PERIODICITY_OVERRIDE","W","TECH_STUDIES_PARAM1_OVERRIDE",39,"USE_PREVIOUS_BUSINESS_DAY","N")),"")</f>
        <v>32.627044039424412</v>
      </c>
      <c r="AI134">
        <f t="shared" si="7"/>
        <v>6560.7735897435905</v>
      </c>
      <c r="AJ134" cm="1">
        <f t="array" ref="AJ134">IFERROR(VALUE(_xll.BDP($B134,"INTERVAL_MAE_MOV_AVG","CALC_INTERVAL","65W","PERIODICITY_OVERRIDE","W","TECH_STUDIES_PARAM1_OVERRIDE",39,"USE_PREVIOUS_BUSINESS_DAY","Y")),"")</f>
        <v>32.637556859937234</v>
      </c>
      <c r="AK134">
        <f t="shared" si="8"/>
        <v>6560.7823076923087</v>
      </c>
      <c r="AL134">
        <f t="shared" si="79"/>
        <v>4.9730483140631512E-3</v>
      </c>
      <c r="AM134">
        <f t="shared" si="80"/>
        <v>4.9746440789036296E-3</v>
      </c>
      <c r="AN134" s="10" t="str">
        <f t="shared" si="81"/>
        <v>DOWN</v>
      </c>
      <c r="AO134" s="10" t="str">
        <f t="shared" si="82"/>
        <v>DOWN</v>
      </c>
      <c r="AP134" s="6" t="str">
        <f t="shared" si="83"/>
        <v>POSITIVE</v>
      </c>
      <c r="AQ134" cm="1">
        <f t="array" ref="AQ134">IFERROR(VALUE(_xll.BDP($B134,"INTERVAL_exp_MOV_AVG","CALC_INTERVAL","520D","TECH_STUDIES_PARAM1_OVERRIDE",100,"USE_PREVIOUS_BUSINESS_DAY","N")),"")</f>
        <v>36.339592075327225</v>
      </c>
      <c r="AR134">
        <f t="shared" si="9"/>
        <v>6773.0064518682802</v>
      </c>
      <c r="AS134" cm="1">
        <f t="array" ref="AS134">IFERROR(VALUE(_xll.BDP($B134,"INTERVAL_exp_MOV_AVG","CALC_INTERVAL","520D","TECH_STUDIES_PARAM1_OVERRIDE",100,"USE_PREVIOUS_BUSINESS_DAY","Y")),"")</f>
        <v>36.240394894610134</v>
      </c>
      <c r="AT134">
        <f t="shared" si="10"/>
        <v>6769.6039787132295</v>
      </c>
      <c r="AU134">
        <f t="shared" si="84"/>
        <v>5.3653561876208216E-3</v>
      </c>
      <c r="AV134">
        <f t="shared" si="85"/>
        <v>5.3533995501903395E-3</v>
      </c>
      <c r="AW134" s="11" t="str">
        <f t="shared" si="86"/>
        <v>UP</v>
      </c>
      <c r="AX134" s="11" t="str">
        <f t="shared" si="87"/>
        <v>UP</v>
      </c>
      <c r="AY134" s="6" t="str">
        <f t="shared" si="88"/>
        <v>POSITIVE</v>
      </c>
      <c r="AZ134" s="12" cm="1">
        <f t="array" ref="AZ134">_xll.BDP($B134, "INTERVAL_RSI", "TECH_STUDIES_PARAM1_OVERRIDE", "5", "PERIODICITY_OVERRIDE", "W")</f>
        <v>67.913898246048504</v>
      </c>
      <c r="BA134" cm="1">
        <f t="array" ref="BA134">IFERROR(VALUE(_xll.BDP($B134,"INTERVAL_MAE_MOV_AVG","CALC_INTERVAL","520D","TECH_STUDIES_PARAM1_OVERRIDE",31,"USE_PREVIOUS_BUSINESS_DAY","N")),"")</f>
        <v>40.061970021612908</v>
      </c>
      <c r="BB134" cm="1">
        <f t="array" ref="BB134">IFERROR(VALUE(_xll.BDP($B134,"INTERVAL_MAE_MOV_AVG","CALC_INTERVAL","760D","TECH_STUDIES_PARAM1_OVERRIDE",200,"USE_PREVIOUS_BUSINESS_DAY","N")),"")</f>
        <v>31.95258525303154</v>
      </c>
      <c r="BC134" s="13">
        <f t="shared" si="89"/>
        <v>2.9654806734320971E-2</v>
      </c>
      <c r="BD134" s="13">
        <f t="shared" si="90"/>
        <v>7.5447054406919012E-2</v>
      </c>
      <c r="BE134" s="13">
        <f t="shared" si="91"/>
        <v>0.29097535217706239</v>
      </c>
      <c r="BF134" s="14" cm="1">
        <f t="array" ref="BF134">VALUE(_xll.BDP($B134,"INTERVAL_DATE_OF_CALC_HI","CALC_INTERVAL","3M"))</f>
        <v>46049</v>
      </c>
      <c r="BG134" s="14" cm="1">
        <f t="array" ref="BG134">VALUE(_xll.BDP($B134,"INTERVAL_DATE_OF_CALC_LO","CALC_INTERVAL","3M"))</f>
        <v>45982</v>
      </c>
      <c r="BH134" s="14" cm="1">
        <f t="array" ref="BH134">VALUE(_xll.BDP($B134,"INTERVAL_DATE_OF_CALC_HI","CALC_INTERVAL","1M"))</f>
        <v>46049</v>
      </c>
      <c r="BI134" s="14" cm="1">
        <f t="array" ref="BI134">VALUE(_xll.BDP($B134,"INTERVAL_DATE_OF_CALC_LO","CALC_INTERVAL","1M"))</f>
        <v>46034</v>
      </c>
      <c r="BJ134" s="15">
        <f>$F134-MIN(_xll.BDP("NYA Index","RSI_14D"),_xll.BDP("RSP US Equity","RSI_14D"))</f>
        <v>-11.167926757215611</v>
      </c>
    </row>
    <row r="135" spans="1:62" x14ac:dyDescent="0.25">
      <c r="A135" s="11">
        <v>134</v>
      </c>
      <c r="B135" s="26" t="s">
        <v>382</v>
      </c>
      <c r="C135" s="1" t="s">
        <v>806</v>
      </c>
      <c r="D135" s="1" t="s">
        <v>308</v>
      </c>
      <c r="E135" s="11" t="s">
        <v>787</v>
      </c>
      <c r="F135">
        <f>IFERROR(VALUE((_xll.BDP($B135,"interval_rsi","tech_studies_param1_override",14))),"")</f>
        <v>59.607311853007751</v>
      </c>
      <c r="G135">
        <f t="shared" si="0"/>
        <v>52.525531939815814</v>
      </c>
      <c r="H135">
        <f t="shared" si="65"/>
        <v>0</v>
      </c>
      <c r="I135" cm="1">
        <f t="array" ref="I135">IFERROR(VALUE(_xll.BDP($B135,"px_last")),"")</f>
        <v>90.12</v>
      </c>
      <c r="J135">
        <f t="shared" si="1"/>
        <v>6941.47</v>
      </c>
      <c r="K135" cm="1">
        <f t="array" ref="K135">IFERROR(VALUE(_xll.BDP($B135,"PX_YEST_CLOSE")),"")</f>
        <v>88.23</v>
      </c>
      <c r="L135">
        <f t="shared" si="2"/>
        <v>6941.81</v>
      </c>
      <c r="M135">
        <f t="shared" si="66"/>
        <v>1.2982840810375901E-2</v>
      </c>
      <c r="N135">
        <f t="shared" si="67"/>
        <v>1.2709941643461864E-2</v>
      </c>
      <c r="O135" cm="1">
        <f t="array" ref="O135">IFERROR(VALUE(_xll.BDP($B135,"INTERVAL_MAE_MOV_AVG","CALC_INTERVAL","520D","TECH_STUDIES_PARAM1_OVERRIDE",50,"USE_PREVIOUS_BUSINESS_DAY","N")),"")</f>
        <v>76.817711644931634</v>
      </c>
      <c r="P135">
        <f t="shared" si="3"/>
        <v>6894.0953999999992</v>
      </c>
      <c r="Q135" cm="1">
        <f t="array" ref="Q135">IFERROR(VALUE(_xll.BDP($B135,"INTERVAL_MAE_MOV_AVG","CALC_INTERVAL","520D","TECH_STUDIES_PARAM1_OVERRIDE",50,"USE_PREVIOUS_BUSINESS_DAY","Y")),"")</f>
        <v>76.271840327999996</v>
      </c>
      <c r="R135">
        <f t="shared" si="4"/>
        <v>6892.2477999999992</v>
      </c>
      <c r="S135">
        <f t="shared" si="68"/>
        <v>1.1142536792416833E-2</v>
      </c>
      <c r="T135">
        <f t="shared" si="69"/>
        <v>1.106632299668622E-2</v>
      </c>
      <c r="U135" s="11" t="str">
        <f t="shared" si="70"/>
        <v>NEGATIVE</v>
      </c>
      <c r="V135" s="11" t="str">
        <f t="shared" si="71"/>
        <v/>
      </c>
      <c r="W135" s="11" t="str">
        <f t="shared" si="72"/>
        <v>UP</v>
      </c>
      <c r="X135" s="6" t="str">
        <f t="shared" si="73"/>
        <v>POSITIVE</v>
      </c>
      <c r="Y135" cm="1">
        <f t="array" ref="Y135">IFERROR(VALUE(_xll.BDP($B135,"INTERVAL_MAE_MOV_AVG","CALC_INTERVAL","520D","TECH_STUDIES_PARAM1_OVERRIDE",65,"USE_PREVIOUS_BUSINESS_DAY","N")),"")</f>
        <v>72.817511325947407</v>
      </c>
      <c r="Z135">
        <f t="shared" si="5"/>
        <v>6856.0226153846133</v>
      </c>
      <c r="AA135" cm="1">
        <f t="array" ref="AA135">IFERROR(VALUE(_xll.BDP($B135,"INTERVAL_MAE_MOV_AVG","CALC_INTERVAL","520D","TECH_STUDIES_PARAM1_OVERRIDE",65,"USE_PREVIOUS_BUSINESS_DAY","Y")),"")</f>
        <v>72.333573796307689</v>
      </c>
      <c r="AB135">
        <f t="shared" si="6"/>
        <v>6852.6203076923057</v>
      </c>
      <c r="AC135">
        <f t="shared" si="74"/>
        <v>1.0620955532227696E-2</v>
      </c>
      <c r="AD135">
        <f t="shared" si="75"/>
        <v>1.0555608008094469E-2</v>
      </c>
      <c r="AE135" s="10" t="str">
        <f t="shared" si="76"/>
        <v>UP</v>
      </c>
      <c r="AF135" s="10" t="str">
        <f t="shared" si="77"/>
        <v>UP</v>
      </c>
      <c r="AG135" s="6" t="str">
        <f t="shared" si="78"/>
        <v>POSITIVE</v>
      </c>
      <c r="AH135" cm="1">
        <f t="array" ref="AH135">IFERROR(VALUE(_xll.BDP($B135,"INTERVAL_MAE_MOV_AVG","CALC_INTERVAL","65W","PERIODICITY_OVERRIDE","W","TECH_STUDIES_PARAM1_OVERRIDE",39,"USE_PREVIOUS_BUSINESS_DAY","N")),"")</f>
        <v>57.81600793144586</v>
      </c>
      <c r="AI135">
        <f t="shared" si="7"/>
        <v>6560.7735897435905</v>
      </c>
      <c r="AJ135" cm="1">
        <f t="array" ref="AJ135">IFERROR(VALUE(_xll.BDP($B135,"INTERVAL_MAE_MOV_AVG","CALC_INTERVAL","65W","PERIODICITY_OVERRIDE","W","TECH_STUDIES_PARAM1_OVERRIDE",39,"USE_PREVIOUS_BUSINESS_DAY","Y")),"")</f>
        <v>57.767546322559141</v>
      </c>
      <c r="AK135">
        <f t="shared" si="8"/>
        <v>6560.7823076923087</v>
      </c>
      <c r="AL135">
        <f t="shared" si="79"/>
        <v>8.8123766413505267E-3</v>
      </c>
      <c r="AM135">
        <f t="shared" si="80"/>
        <v>8.8049783719890435E-3</v>
      </c>
      <c r="AN135" s="10" t="str">
        <f t="shared" si="81"/>
        <v>UP</v>
      </c>
      <c r="AO135" s="10" t="str">
        <f t="shared" si="82"/>
        <v>UP</v>
      </c>
      <c r="AP135" s="6" t="str">
        <f t="shared" si="83"/>
        <v>POSITIVE</v>
      </c>
      <c r="AQ135" cm="1">
        <f t="array" ref="AQ135">IFERROR(VALUE(_xll.BDP($B135,"INTERVAL_exp_MOV_AVG","CALC_INTERVAL","520D","TECH_STUDIES_PARAM1_OVERRIDE",100,"USE_PREVIOUS_BUSINESS_DAY","N")),"")</f>
        <v>69.887803933396142</v>
      </c>
      <c r="AR135">
        <f t="shared" si="9"/>
        <v>6773.0064518682802</v>
      </c>
      <c r="AS135" cm="1">
        <f t="array" ref="AS135">IFERROR(VALUE(_xll.BDP($B135,"INTERVAL_exp_MOV_AVG","CALC_INTERVAL","520D","TECH_STUDIES_PARAM1_OVERRIDE",100,"USE_PREVIOUS_BUSINESS_DAY","Y")),"")</f>
        <v>69.47909784536678</v>
      </c>
      <c r="AT135">
        <f t="shared" si="10"/>
        <v>6769.6039787132295</v>
      </c>
      <c r="AU135">
        <f t="shared" si="84"/>
        <v>1.0318579264621569E-2</v>
      </c>
      <c r="AV135">
        <f t="shared" si="85"/>
        <v>1.0263391782420543E-2</v>
      </c>
      <c r="AW135" s="11" t="str">
        <f t="shared" si="86"/>
        <v>UP</v>
      </c>
      <c r="AX135" s="11" t="str">
        <f t="shared" si="87"/>
        <v>UP</v>
      </c>
      <c r="AY135" s="6" t="str">
        <f t="shared" si="88"/>
        <v>POSITIVE</v>
      </c>
      <c r="AZ135" s="12" cm="1">
        <f t="array" ref="AZ135">_xll.BDP($B135, "INTERVAL_RSI", "TECH_STUDIES_PARAM1_OVERRIDE", "5", "PERIODICITY_OVERRIDE", "W")</f>
        <v>90.742942813417741</v>
      </c>
      <c r="BA135" cm="1">
        <f t="array" ref="BA135">IFERROR(VALUE(_xll.BDP($B135,"INTERVAL_MAE_MOV_AVG","CALC_INTERVAL","520D","TECH_STUDIES_PARAM1_OVERRIDE",31,"USE_PREVIOUS_BUSINESS_DAY","N")),"")</f>
        <v>82.498952260857493</v>
      </c>
      <c r="BB135" cm="1">
        <f t="array" ref="BB135">IFERROR(VALUE(_xll.BDP($B135,"INTERVAL_MAE_MOV_AVG","CALC_INTERVAL","760D","TECH_STUDIES_PARAM1_OVERRIDE",200,"USE_PREVIOUS_BUSINESS_DAY","N")),"")</f>
        <v>55.722784173606222</v>
      </c>
      <c r="BC135" s="13">
        <f t="shared" si="89"/>
        <v>9.2377509414242498E-2</v>
      </c>
      <c r="BD135" s="13">
        <f t="shared" si="90"/>
        <v>0.17316694379747299</v>
      </c>
      <c r="BE135" s="13">
        <f t="shared" si="91"/>
        <v>0.617291765594987</v>
      </c>
      <c r="BF135" s="14" cm="1">
        <f t="array" ref="BF135">VALUE(_xll.BDP($B135,"INTERVAL_DATE_OF_CALC_HI","CALC_INTERVAL","3M"))</f>
        <v>46051</v>
      </c>
      <c r="BG135" s="14" cm="1">
        <f t="array" ref="BG135">VALUE(_xll.BDP($B135,"INTERVAL_DATE_OF_CALC_LO","CALC_INTERVAL","3M"))</f>
        <v>45981</v>
      </c>
      <c r="BH135" s="14" cm="1">
        <f t="array" ref="BH135">VALUE(_xll.BDP($B135,"INTERVAL_DATE_OF_CALC_HI","CALC_INTERVAL","1M"))</f>
        <v>46051</v>
      </c>
      <c r="BI135" s="14" cm="1">
        <f t="array" ref="BI135">VALUE(_xll.BDP($B135,"INTERVAL_DATE_OF_CALC_LO","CALC_INTERVAL","1M"))</f>
        <v>46035</v>
      </c>
      <c r="BJ135" s="15">
        <f>$F135-MIN(_xll.BDP("NYA Index","RSI_14D"),_xll.BDP("RSP US Equity","RSI_14D"))</f>
        <v>-6.7384523071484992</v>
      </c>
    </row>
    <row r="136" spans="1:62" x14ac:dyDescent="0.25">
      <c r="A136" s="11">
        <v>135</v>
      </c>
      <c r="B136" s="26" t="s">
        <v>383</v>
      </c>
      <c r="C136" s="1" t="s">
        <v>807</v>
      </c>
      <c r="D136" s="1" t="s">
        <v>308</v>
      </c>
      <c r="E136" s="11" t="s">
        <v>787</v>
      </c>
      <c r="F136">
        <f>IFERROR(VALUE((_xll.BDP($B136,"interval_rsi","tech_studies_param1_override",14))),"")</f>
        <v>45.336765299931841</v>
      </c>
      <c r="G136">
        <f t="shared" si="0"/>
        <v>52.525531939815814</v>
      </c>
      <c r="H136">
        <f t="shared" si="65"/>
        <v>0</v>
      </c>
      <c r="I136" cm="1">
        <f t="array" ref="I136">IFERROR(VALUE(_xll.BDP($B136,"px_last")),"")</f>
        <v>53.94</v>
      </c>
      <c r="J136">
        <f t="shared" si="1"/>
        <v>6941.47</v>
      </c>
      <c r="K136" cm="1">
        <f t="array" ref="K136">IFERROR(VALUE(_xll.BDP($B136,"PX_YEST_CLOSE")),"")</f>
        <v>54.02</v>
      </c>
      <c r="L136">
        <f t="shared" si="2"/>
        <v>6941.81</v>
      </c>
      <c r="M136">
        <f t="shared" si="66"/>
        <v>7.7706883412303153E-3</v>
      </c>
      <c r="N136">
        <f t="shared" si="67"/>
        <v>7.7818321158314614E-3</v>
      </c>
      <c r="O136" cm="1">
        <f t="array" ref="O136">IFERROR(VALUE(_xll.BDP($B136,"INTERVAL_MAE_MOV_AVG","CALC_INTERVAL","520D","TECH_STUDIES_PARAM1_OVERRIDE",50,"USE_PREVIOUS_BUSINESS_DAY","N")),"")</f>
        <v>53.900091071734195</v>
      </c>
      <c r="P136">
        <f t="shared" si="3"/>
        <v>6894.0953999999992</v>
      </c>
      <c r="Q136" cm="1">
        <f t="array" ref="Q136">IFERROR(VALUE(_xll.BDP($B136,"INTERVAL_MAE_MOV_AVG","CALC_INTERVAL","520D","TECH_STUDIES_PARAM1_OVERRIDE",50,"USE_PREVIOUS_BUSINESS_DAY","Y")),"")</f>
        <v>53.850951892400012</v>
      </c>
      <c r="R136">
        <f t="shared" si="4"/>
        <v>6892.2477999999992</v>
      </c>
      <c r="S136">
        <f t="shared" si="68"/>
        <v>7.8182978250829257E-3</v>
      </c>
      <c r="T136">
        <f t="shared" si="69"/>
        <v>7.8132640402743519E-3</v>
      </c>
      <c r="U136" s="11" t="str">
        <f t="shared" si="70"/>
        <v>NEGATIVE</v>
      </c>
      <c r="V136" s="11" t="str">
        <f t="shared" si="71"/>
        <v/>
      </c>
      <c r="W136" s="11" t="str">
        <f t="shared" si="72"/>
        <v>UP</v>
      </c>
      <c r="X136" s="6" t="str">
        <f t="shared" si="73"/>
        <v>NEGATIVE</v>
      </c>
      <c r="Y136" cm="1">
        <f t="array" ref="Y136">IFERROR(VALUE(_xll.BDP($B136,"INTERVAL_MAE_MOV_AVG","CALC_INTERVAL","520D","TECH_STUDIES_PARAM1_OVERRIDE",65,"USE_PREVIOUS_BUSINESS_DAY","N")),"")</f>
        <v>53.443159716718611</v>
      </c>
      <c r="Z136">
        <f t="shared" si="5"/>
        <v>6856.0226153846133</v>
      </c>
      <c r="AA136" cm="1">
        <f t="array" ref="AA136">IFERROR(VALUE(_xll.BDP($B136,"INTERVAL_MAE_MOV_AVG","CALC_INTERVAL","520D","TECH_STUDIES_PARAM1_OVERRIDE",65,"USE_PREVIOUS_BUSINESS_DAY","Y")),"")</f>
        <v>53.456989394000011</v>
      </c>
      <c r="AB136">
        <f t="shared" si="6"/>
        <v>6852.6203076923057</v>
      </c>
      <c r="AC136">
        <f t="shared" si="74"/>
        <v>7.7950675945546782E-3</v>
      </c>
      <c r="AD136">
        <f t="shared" si="75"/>
        <v>7.8009559837997552E-3</v>
      </c>
      <c r="AE136" s="10" t="str">
        <f t="shared" si="76"/>
        <v>DOWN</v>
      </c>
      <c r="AF136" s="10" t="str">
        <f t="shared" si="77"/>
        <v>DOWN</v>
      </c>
      <c r="AG136" s="6" t="str">
        <f t="shared" si="78"/>
        <v>NEGATIVE</v>
      </c>
      <c r="AH136" cm="1">
        <f t="array" ref="AH136">IFERROR(VALUE(_xll.BDP($B136,"INTERVAL_MAE_MOV_AVG","CALC_INTERVAL","65W","PERIODICITY_OVERRIDE","W","TECH_STUDIES_PARAM1_OVERRIDE",39,"USE_PREVIOUS_BUSINESS_DAY","N")),"")</f>
        <v>50.305232764787405</v>
      </c>
      <c r="AI136">
        <f t="shared" si="7"/>
        <v>6560.7735897435905</v>
      </c>
      <c r="AJ136" cm="1">
        <f t="array" ref="AJ136">IFERROR(VALUE(_xll.BDP($B136,"INTERVAL_MAE_MOV_AVG","CALC_INTERVAL","65W","PERIODICITY_OVERRIDE","W","TECH_STUDIES_PARAM1_OVERRIDE",39,"USE_PREVIOUS_BUSINESS_DAY","Y")),"")</f>
        <v>50.307284082051282</v>
      </c>
      <c r="AK136">
        <f t="shared" si="8"/>
        <v>6560.7823076923087</v>
      </c>
      <c r="AL136">
        <f t="shared" si="79"/>
        <v>7.6675764034029783E-3</v>
      </c>
      <c r="AM136">
        <f t="shared" si="80"/>
        <v>7.6678788782654156E-3</v>
      </c>
      <c r="AN136" s="10" t="str">
        <f t="shared" si="81"/>
        <v>DOWN</v>
      </c>
      <c r="AO136" s="10" t="str">
        <f t="shared" si="82"/>
        <v>DOWN</v>
      </c>
      <c r="AP136" s="6" t="str">
        <f t="shared" si="83"/>
        <v>POSITIVE</v>
      </c>
      <c r="AQ136" cm="1">
        <f t="array" ref="AQ136">IFERROR(VALUE(_xll.BDP($B136,"INTERVAL_exp_MOV_AVG","CALC_INTERVAL","520D","TECH_STUDIES_PARAM1_OVERRIDE",100,"USE_PREVIOUS_BUSINESS_DAY","N")),"")</f>
        <v>53.228139242243046</v>
      </c>
      <c r="AR136">
        <f t="shared" si="9"/>
        <v>6773.0064518682802</v>
      </c>
      <c r="AS136" cm="1">
        <f t="array" ref="AS136">IFERROR(VALUE(_xll.BDP($B136,"INTERVAL_exp_MOV_AVG","CALC_INTERVAL","520D","TECH_STUDIES_PARAM1_OVERRIDE",100,"USE_PREVIOUS_BUSINESS_DAY","Y")),"")</f>
        <v>53.213786105927532</v>
      </c>
      <c r="AT136">
        <f t="shared" si="10"/>
        <v>6769.6039787132295</v>
      </c>
      <c r="AU136">
        <f t="shared" si="84"/>
        <v>7.8588643936047756E-3</v>
      </c>
      <c r="AV136">
        <f t="shared" si="85"/>
        <v>7.8606941075513911E-3</v>
      </c>
      <c r="AW136" s="11" t="str">
        <f t="shared" si="86"/>
        <v>UP</v>
      </c>
      <c r="AX136" s="11" t="str">
        <f t="shared" si="87"/>
        <v>DOWN</v>
      </c>
      <c r="AY136" s="6" t="str">
        <f t="shared" si="88"/>
        <v>NEGATIVE</v>
      </c>
      <c r="AZ136" s="12" cm="1">
        <f t="array" ref="AZ136">_xll.BDP($B136, "INTERVAL_RSI", "TECH_STUDIES_PARAM1_OVERRIDE", "5", "PERIODICITY_OVERRIDE", "W")</f>
        <v>43.777805852735362</v>
      </c>
      <c r="BA136" cm="1">
        <f t="array" ref="BA136">IFERROR(VALUE(_xll.BDP($B136,"INTERVAL_MAE_MOV_AVG","CALC_INTERVAL","520D","TECH_STUDIES_PARAM1_OVERRIDE",31,"USE_PREVIOUS_BUSINESS_DAY","N")),"")</f>
        <v>55.475161246022864</v>
      </c>
      <c r="BB136" cm="1">
        <f t="array" ref="BB136">IFERROR(VALUE(_xll.BDP($B136,"INTERVAL_MAE_MOV_AVG","CALC_INTERVAL","760D","TECH_STUDIES_PARAM1_OVERRIDE",200,"USE_PREVIOUS_BUSINESS_DAY","N")),"")</f>
        <v>49.726489123583526</v>
      </c>
      <c r="BC136" s="13">
        <f t="shared" si="89"/>
        <v>-2.7672947884093357E-2</v>
      </c>
      <c r="BD136" s="13">
        <f t="shared" si="90"/>
        <v>7.4042413421326891E-4</v>
      </c>
      <c r="BE136" s="13">
        <f t="shared" si="91"/>
        <v>8.4733729460464868E-2</v>
      </c>
      <c r="BF136" s="14" cm="1">
        <f t="array" ref="BF136">VALUE(_xll.BDP($B136,"INTERVAL_DATE_OF_CALC_HI","CALC_INTERVAL","3M"))</f>
        <v>46034</v>
      </c>
      <c r="BG136" s="14" cm="1">
        <f t="array" ref="BG136">VALUE(_xll.BDP($B136,"INTERVAL_DATE_OF_CALC_LO","CALC_INTERVAL","3M"))</f>
        <v>45982</v>
      </c>
      <c r="BH136" s="14" cm="1">
        <f t="array" ref="BH136">VALUE(_xll.BDP($B136,"INTERVAL_DATE_OF_CALC_HI","CALC_INTERVAL","1M"))</f>
        <v>46034</v>
      </c>
      <c r="BI136" s="14" cm="1">
        <f t="array" ref="BI136">VALUE(_xll.BDP($B136,"INTERVAL_DATE_OF_CALC_LO","CALC_INTERVAL","1M"))</f>
        <v>46058</v>
      </c>
      <c r="BJ136" s="15">
        <f>$F136-MIN(_xll.BDP("NYA Index","RSI_14D"),_xll.BDP("RSP US Equity","RSI_14D"))</f>
        <v>-21.008998860224409</v>
      </c>
    </row>
    <row r="137" spans="1:62" x14ac:dyDescent="0.25">
      <c r="A137" s="11">
        <v>136</v>
      </c>
      <c r="B137" s="26" t="s">
        <v>384</v>
      </c>
      <c r="C137" s="1" t="s">
        <v>808</v>
      </c>
      <c r="D137" s="1" t="s">
        <v>308</v>
      </c>
      <c r="E137" s="11" t="s">
        <v>787</v>
      </c>
      <c r="F137">
        <f>IFERROR(VALUE((_xll.BDP($B137,"interval_rsi","tech_studies_param1_override",14))),"")</f>
        <v>56.751232969410708</v>
      </c>
      <c r="G137">
        <f t="shared" si="0"/>
        <v>52.525531939815814</v>
      </c>
      <c r="H137">
        <f t="shared" si="65"/>
        <v>0</v>
      </c>
      <c r="I137" cm="1">
        <f t="array" ref="I137">IFERROR(VALUE(_xll.BDP($B137,"px_last")),"")</f>
        <v>25.82</v>
      </c>
      <c r="J137">
        <f t="shared" si="1"/>
        <v>6941.47</v>
      </c>
      <c r="K137" cm="1">
        <f t="array" ref="K137">IFERROR(VALUE(_xll.BDP($B137,"PX_YEST_CLOSE")),"")</f>
        <v>25.73</v>
      </c>
      <c r="L137">
        <f t="shared" si="2"/>
        <v>6941.81</v>
      </c>
      <c r="M137">
        <f t="shared" si="66"/>
        <v>3.7196732104294913E-3</v>
      </c>
      <c r="N137">
        <f t="shared" si="67"/>
        <v>3.7065261077442336E-3</v>
      </c>
      <c r="O137" cm="1">
        <f t="array" ref="O137">IFERROR(VALUE(_xll.BDP($B137,"INTERVAL_MAE_MOV_AVG","CALC_INTERVAL","520D","TECH_STUDIES_PARAM1_OVERRIDE",50,"USE_PREVIOUS_BUSINESS_DAY","N")),"")</f>
        <v>25.620045594896482</v>
      </c>
      <c r="P137">
        <f t="shared" si="3"/>
        <v>6894.0953999999992</v>
      </c>
      <c r="Q137" cm="1">
        <f t="array" ref="Q137">IFERROR(VALUE(_xll.BDP($B137,"INTERVAL_MAE_MOV_AVG","CALC_INTERVAL","520D","TECH_STUDIES_PARAM1_OVERRIDE",50,"USE_PREVIOUS_BUSINESS_DAY","Y")),"")</f>
        <v>25.613645127800002</v>
      </c>
      <c r="R137">
        <f t="shared" si="4"/>
        <v>6892.2477999999992</v>
      </c>
      <c r="S137">
        <f t="shared" si="68"/>
        <v>3.716230209825133E-3</v>
      </c>
      <c r="T137">
        <f t="shared" si="69"/>
        <v>3.7162977697638793E-3</v>
      </c>
      <c r="U137" s="11" t="str">
        <f t="shared" si="70"/>
        <v>NEGATIVE</v>
      </c>
      <c r="V137" s="11" t="str">
        <f t="shared" si="71"/>
        <v/>
      </c>
      <c r="W137" s="11" t="str">
        <f t="shared" si="72"/>
        <v>DOWN</v>
      </c>
      <c r="X137" s="6" t="str">
        <f t="shared" si="73"/>
        <v>BUY</v>
      </c>
      <c r="Y137" cm="1">
        <f t="array" ref="Y137">IFERROR(VALUE(_xll.BDP($B137,"INTERVAL_MAE_MOV_AVG","CALC_INTERVAL","520D","TECH_STUDIES_PARAM1_OVERRIDE",65,"USE_PREVIOUS_BUSINESS_DAY","N")),"")</f>
        <v>25.541851123766534</v>
      </c>
      <c r="Z137">
        <f t="shared" si="5"/>
        <v>6856.0226153846133</v>
      </c>
      <c r="AA137" cm="1">
        <f t="array" ref="AA137">IFERROR(VALUE(_xll.BDP($B137,"INTERVAL_MAE_MOV_AVG","CALC_INTERVAL","520D","TECH_STUDIES_PARAM1_OVERRIDE",65,"USE_PREVIOUS_BUSINESS_DAY","Y")),"")</f>
        <v>25.532324535692318</v>
      </c>
      <c r="AB137">
        <f t="shared" si="6"/>
        <v>6852.6203076923057</v>
      </c>
      <c r="AC137">
        <f t="shared" si="74"/>
        <v>3.7254619123413832E-3</v>
      </c>
      <c r="AD137">
        <f t="shared" si="75"/>
        <v>3.725921383245383E-3</v>
      </c>
      <c r="AE137" s="10" t="str">
        <f t="shared" si="76"/>
        <v>UP</v>
      </c>
      <c r="AF137" s="10" t="str">
        <f t="shared" si="77"/>
        <v>DOWN</v>
      </c>
      <c r="AG137" s="6" t="str">
        <f t="shared" si="78"/>
        <v>NEGATIVE</v>
      </c>
      <c r="AH137" cm="1">
        <f t="array" ref="AH137">IFERROR(VALUE(_xll.BDP($B137,"INTERVAL_MAE_MOV_AVG","CALC_INTERVAL","65W","PERIODICITY_OVERRIDE","W","TECH_STUDIES_PARAM1_OVERRIDE",39,"USE_PREVIOUS_BUSINESS_DAY","N")),"")</f>
        <v>25.664491057303181</v>
      </c>
      <c r="AI137">
        <f t="shared" si="7"/>
        <v>6560.7735897435905</v>
      </c>
      <c r="AJ137" cm="1">
        <f t="array" ref="AJ137">IFERROR(VALUE(_xll.BDP($B137,"INTERVAL_MAE_MOV_AVG","CALC_INTERVAL","65W","PERIODICITY_OVERRIDE","W","TECH_STUDIES_PARAM1_OVERRIDE",39,"USE_PREVIOUS_BUSINESS_DAY","Y")),"")</f>
        <v>25.662183372820508</v>
      </c>
      <c r="AK137">
        <f t="shared" si="8"/>
        <v>6560.7823076923087</v>
      </c>
      <c r="AL137">
        <f t="shared" si="79"/>
        <v>3.9118086771694561E-3</v>
      </c>
      <c r="AM137">
        <f t="shared" si="80"/>
        <v>3.9114517399445508E-3</v>
      </c>
      <c r="AN137" s="10" t="str">
        <f t="shared" si="81"/>
        <v>UP</v>
      </c>
      <c r="AO137" s="10" t="str">
        <f t="shared" si="82"/>
        <v>UP</v>
      </c>
      <c r="AP137" s="6" t="str">
        <f t="shared" si="83"/>
        <v>NEGATIVE</v>
      </c>
      <c r="AQ137" cm="1">
        <f t="array" ref="AQ137">IFERROR(VALUE(_xll.BDP($B137,"INTERVAL_exp_MOV_AVG","CALC_INTERVAL","520D","TECH_STUDIES_PARAM1_OVERRIDE",100,"USE_PREVIOUS_BUSINESS_DAY","N")),"")</f>
        <v>25.643575623334371</v>
      </c>
      <c r="AR137">
        <f t="shared" si="9"/>
        <v>6773.0064518682802</v>
      </c>
      <c r="AS137" cm="1">
        <f t="array" ref="AS137">IFERROR(VALUE(_xll.BDP($B137,"INTERVAL_exp_MOV_AVG","CALC_INTERVAL","520D","TECH_STUDIES_PARAM1_OVERRIDE",100,"USE_PREVIOUS_BUSINESS_DAY","Y")),"")</f>
        <v>25.640015817547926</v>
      </c>
      <c r="AT137">
        <f t="shared" si="10"/>
        <v>6769.6039787132295</v>
      </c>
      <c r="AU137">
        <f t="shared" si="84"/>
        <v>3.7861436875290134E-3</v>
      </c>
      <c r="AV137">
        <f t="shared" si="85"/>
        <v>3.7875207911972418E-3</v>
      </c>
      <c r="AW137" s="11" t="str">
        <f t="shared" si="86"/>
        <v>UP</v>
      </c>
      <c r="AX137" s="11" t="str">
        <f t="shared" si="87"/>
        <v>DOWN</v>
      </c>
      <c r="AY137" s="6" t="str">
        <f t="shared" si="88"/>
        <v>NEGATIVE</v>
      </c>
      <c r="AZ137" s="12" cm="1">
        <f t="array" ref="AZ137">_xll.BDP($B137, "INTERVAL_RSI", "TECH_STUDIES_PARAM1_OVERRIDE", "5", "PERIODICITY_OVERRIDE", "W")</f>
        <v>62.553116854266456</v>
      </c>
      <c r="BA137" cm="1">
        <f t="array" ref="BA137">IFERROR(VALUE(_xll.BDP($B137,"INTERVAL_MAE_MOV_AVG","CALC_INTERVAL","520D","TECH_STUDIES_PARAM1_OVERRIDE",31,"USE_PREVIOUS_BUSINESS_DAY","N")),"")</f>
        <v>25.706451603058845</v>
      </c>
      <c r="BB137" cm="1">
        <f t="array" ref="BB137">IFERROR(VALUE(_xll.BDP($B137,"INTERVAL_MAE_MOV_AVG","CALC_INTERVAL","760D","TECH_STUDIES_PARAM1_OVERRIDE",200,"USE_PREVIOUS_BUSINESS_DAY","N")),"")</f>
        <v>25.70787577482411</v>
      </c>
      <c r="BC137" s="13">
        <f t="shared" si="89"/>
        <v>4.4171167104076758E-3</v>
      </c>
      <c r="BD137" s="13">
        <f t="shared" si="90"/>
        <v>7.8046076991895585E-3</v>
      </c>
      <c r="BE137" s="13">
        <f t="shared" si="91"/>
        <v>4.3614737428323558E-3</v>
      </c>
      <c r="BF137" s="14" cm="1">
        <f t="array" ref="BF137">VALUE(_xll.BDP($B137,"INTERVAL_DATE_OF_CALC_HI","CALC_INTERVAL","3M"))</f>
        <v>46030</v>
      </c>
      <c r="BG137" s="14" cm="1">
        <f t="array" ref="BG137">VALUE(_xll.BDP($B137,"INTERVAL_DATE_OF_CALC_LO","CALC_INTERVAL","3M"))</f>
        <v>45985</v>
      </c>
      <c r="BH137" s="14" cm="1">
        <f t="array" ref="BH137">VALUE(_xll.BDP($B137,"INTERVAL_DATE_OF_CALC_HI","CALC_INTERVAL","1M"))</f>
        <v>46050</v>
      </c>
      <c r="BI137" s="14" cm="1">
        <f t="array" ref="BI137">VALUE(_xll.BDP($B137,"INTERVAL_DATE_OF_CALC_LO","CALC_INTERVAL","1M"))</f>
        <v>46042</v>
      </c>
      <c r="BJ137" s="15">
        <f>$F137-MIN(_xll.BDP("NYA Index","RSI_14D"),_xll.BDP("RSP US Equity","RSI_14D"))</f>
        <v>-9.5945311907455419</v>
      </c>
    </row>
    <row r="138" spans="1:62" x14ac:dyDescent="0.25">
      <c r="A138" s="11">
        <v>137</v>
      </c>
      <c r="B138" s="26" t="s">
        <v>385</v>
      </c>
      <c r="C138" s="1" t="s">
        <v>809</v>
      </c>
      <c r="D138" s="1" t="s">
        <v>308</v>
      </c>
      <c r="E138" s="11" t="s">
        <v>787</v>
      </c>
      <c r="F138">
        <f>IFERROR(VALUE((_xll.BDP($B138,"interval_rsi","tech_studies_param1_override",14))),"")</f>
        <v>58.036990672055516</v>
      </c>
      <c r="G138">
        <f t="shared" si="0"/>
        <v>52.525531939815814</v>
      </c>
      <c r="H138">
        <f t="shared" si="65"/>
        <v>0</v>
      </c>
      <c r="I138" cm="1">
        <f t="array" ref="I138">IFERROR(VALUE(_xll.BDP($B138,"px_last")),"")</f>
        <v>24.37</v>
      </c>
      <c r="J138">
        <f t="shared" si="1"/>
        <v>6941.47</v>
      </c>
      <c r="K138" cm="1">
        <f t="array" ref="K138">IFERROR(VALUE(_xll.BDP($B138,"PX_YEST_CLOSE")),"")</f>
        <v>24.14</v>
      </c>
      <c r="L138">
        <f t="shared" si="2"/>
        <v>6941.81</v>
      </c>
      <c r="M138">
        <f t="shared" si="66"/>
        <v>3.5107837388910416E-3</v>
      </c>
      <c r="N138">
        <f t="shared" si="67"/>
        <v>3.4774792165155771E-3</v>
      </c>
      <c r="O138" cm="1">
        <f t="array" ref="O138">IFERROR(VALUE(_xll.BDP($B138,"INTERVAL_MAE_MOV_AVG","CALC_INTERVAL","520D","TECH_STUDIES_PARAM1_OVERRIDE",50,"USE_PREVIOUS_BUSINESS_DAY","N")),"")</f>
        <v>23.104016457584667</v>
      </c>
      <c r="P138">
        <f t="shared" si="3"/>
        <v>6894.0953999999992</v>
      </c>
      <c r="Q138" cm="1">
        <f t="array" ref="Q138">IFERROR(VALUE(_xll.BDP($B138,"INTERVAL_MAE_MOV_AVG","CALC_INTERVAL","520D","TECH_STUDIES_PARAM1_OVERRIDE",50,"USE_PREVIOUS_BUSINESS_DAY","Y")),"")</f>
        <v>23.062794695600001</v>
      </c>
      <c r="R138">
        <f t="shared" si="4"/>
        <v>6892.2477999999992</v>
      </c>
      <c r="S138">
        <f t="shared" si="68"/>
        <v>3.3512760002689648E-3</v>
      </c>
      <c r="T138">
        <f t="shared" si="69"/>
        <v>3.3461934864849178E-3</v>
      </c>
      <c r="U138" s="11" t="str">
        <f t="shared" si="70"/>
        <v>NEGATIVE</v>
      </c>
      <c r="V138" s="11" t="str">
        <f t="shared" si="71"/>
        <v/>
      </c>
      <c r="W138" s="11" t="str">
        <f t="shared" si="72"/>
        <v>UP</v>
      </c>
      <c r="X138" s="6" t="str">
        <f t="shared" si="73"/>
        <v>POSITIVE</v>
      </c>
      <c r="Y138" cm="1">
        <f t="array" ref="Y138">IFERROR(VALUE(_xll.BDP($B138,"INTERVAL_MAE_MOV_AVG","CALC_INTERVAL","520D","TECH_STUDIES_PARAM1_OVERRIDE",65,"USE_PREVIOUS_BUSINESS_DAY","N")),"")</f>
        <v>22.883917517526665</v>
      </c>
      <c r="Z138">
        <f t="shared" si="5"/>
        <v>6856.0226153846133</v>
      </c>
      <c r="AA138" cm="1">
        <f t="array" ref="AA138">IFERROR(VALUE(_xll.BDP($B138,"INTERVAL_MAE_MOV_AVG","CALC_INTERVAL","520D","TECH_STUDIES_PARAM1_OVERRIDE",65,"USE_PREVIOUS_BUSINESS_DAY","Y")),"")</f>
        <v>22.849082930000002</v>
      </c>
      <c r="AB138">
        <f t="shared" si="6"/>
        <v>6852.6203076923057</v>
      </c>
      <c r="AC138">
        <f t="shared" si="74"/>
        <v>3.3377832602500697E-3</v>
      </c>
      <c r="AD138">
        <f t="shared" si="75"/>
        <v>3.3343570640198914E-3</v>
      </c>
      <c r="AE138" s="10" t="str">
        <f t="shared" si="76"/>
        <v>UP</v>
      </c>
      <c r="AF138" s="10" t="str">
        <f t="shared" si="77"/>
        <v>UP</v>
      </c>
      <c r="AG138" s="6" t="str">
        <f t="shared" si="78"/>
        <v>POSITIVE</v>
      </c>
      <c r="AH138" cm="1">
        <f t="array" ref="AH138">IFERROR(VALUE(_xll.BDP($B138,"INTERVAL_MAE_MOV_AVG","CALC_INTERVAL","65W","PERIODICITY_OVERRIDE","W","TECH_STUDIES_PARAM1_OVERRIDE",39,"USE_PREVIOUS_BUSINESS_DAY","N")),"")</f>
        <v>22.026230499211113</v>
      </c>
      <c r="AI138">
        <f t="shared" si="7"/>
        <v>6560.7735897435905</v>
      </c>
      <c r="AJ138" cm="1">
        <f t="array" ref="AJ138">IFERROR(VALUE(_xll.BDP($B138,"INTERVAL_MAE_MOV_AVG","CALC_INTERVAL","65W","PERIODICITY_OVERRIDE","W","TECH_STUDIES_PARAM1_OVERRIDE",39,"USE_PREVIOUS_BUSINESS_DAY","Y")),"")</f>
        <v>22.020333041794874</v>
      </c>
      <c r="AK138">
        <f t="shared" si="8"/>
        <v>6560.7823076923087</v>
      </c>
      <c r="AL138">
        <f t="shared" si="79"/>
        <v>3.3572611823771146E-3</v>
      </c>
      <c r="AM138">
        <f t="shared" si="80"/>
        <v>3.3563578258002454E-3</v>
      </c>
      <c r="AN138" s="10" t="str">
        <f t="shared" si="81"/>
        <v>UP</v>
      </c>
      <c r="AO138" s="10" t="str">
        <f t="shared" si="82"/>
        <v>UP</v>
      </c>
      <c r="AP138" s="6" t="str">
        <f t="shared" si="83"/>
        <v>POSITIVE</v>
      </c>
      <c r="AQ138" cm="1">
        <f t="array" ref="AQ138">IFERROR(VALUE(_xll.BDP($B138,"INTERVAL_exp_MOV_AVG","CALC_INTERVAL","520D","TECH_STUDIES_PARAM1_OVERRIDE",100,"USE_PREVIOUS_BUSINESS_DAY","N")),"")</f>
        <v>22.73714741469302</v>
      </c>
      <c r="AR138">
        <f t="shared" si="9"/>
        <v>6773.0064518682802</v>
      </c>
      <c r="AS138" cm="1">
        <f t="array" ref="AS138">IFERROR(VALUE(_xll.BDP($B138,"INTERVAL_exp_MOV_AVG","CALC_INTERVAL","520D","TECH_STUDIES_PARAM1_OVERRIDE",100,"USE_PREVIOUS_BUSINESS_DAY","Y")),"")</f>
        <v>22.704161331947699</v>
      </c>
      <c r="AT138">
        <f t="shared" si="10"/>
        <v>6769.6039787132295</v>
      </c>
      <c r="AU138">
        <f t="shared" si="84"/>
        <v>3.3570243253527622E-3</v>
      </c>
      <c r="AV138">
        <f t="shared" si="85"/>
        <v>3.3538389251926847E-3</v>
      </c>
      <c r="AW138" s="11" t="str">
        <f t="shared" si="86"/>
        <v>UP</v>
      </c>
      <c r="AX138" s="11" t="str">
        <f t="shared" si="87"/>
        <v>UP</v>
      </c>
      <c r="AY138" s="6" t="str">
        <f t="shared" si="88"/>
        <v>POSITIVE</v>
      </c>
      <c r="AZ138" s="12" cm="1">
        <f t="array" ref="AZ138">_xll.BDP($B138, "INTERVAL_RSI", "TECH_STUDIES_PARAM1_OVERRIDE", "5", "PERIODICITY_OVERRIDE", "W")</f>
        <v>74.635685374713816</v>
      </c>
      <c r="BA138" cm="1">
        <f t="array" ref="BA138">IFERROR(VALUE(_xll.BDP($B138,"INTERVAL_MAE_MOV_AVG","CALC_INTERVAL","520D","TECH_STUDIES_PARAM1_OVERRIDE",31,"USE_PREVIOUS_BUSINESS_DAY","N")),"")</f>
        <v>23.59064518836237</v>
      </c>
      <c r="BB138" cm="1">
        <f t="array" ref="BB138">IFERROR(VALUE(_xll.BDP($B138,"INTERVAL_MAE_MOV_AVG","CALC_INTERVAL","760D","TECH_STUDIES_PARAM1_OVERRIDE",200,"USE_PREVIOUS_BUSINESS_DAY","N")),"")</f>
        <v>21.850514149696163</v>
      </c>
      <c r="BC138" s="13">
        <f t="shared" si="89"/>
        <v>3.3036604357989274E-2</v>
      </c>
      <c r="BD138" s="13">
        <f t="shared" si="90"/>
        <v>5.4794955013102609E-2</v>
      </c>
      <c r="BE138" s="13">
        <f t="shared" si="91"/>
        <v>0.11530556366056355</v>
      </c>
      <c r="BF138" s="14" cm="1">
        <f t="array" ref="BF138">VALUE(_xll.BDP($B138,"INTERVAL_DATE_OF_CALC_HI","CALC_INTERVAL","3M"))</f>
        <v>46051</v>
      </c>
      <c r="BG138" s="14" cm="1">
        <f t="array" ref="BG138">VALUE(_xll.BDP($B138,"INTERVAL_DATE_OF_CALC_LO","CALC_INTERVAL","3M"))</f>
        <v>45986</v>
      </c>
      <c r="BH138" s="14" cm="1">
        <f t="array" ref="BH138">VALUE(_xll.BDP($B138,"INTERVAL_DATE_OF_CALC_HI","CALC_INTERVAL","1M"))</f>
        <v>46051</v>
      </c>
      <c r="BI138" s="14" cm="1">
        <f t="array" ref="BI138">VALUE(_xll.BDP($B138,"INTERVAL_DATE_OF_CALC_LO","CALC_INTERVAL","1M"))</f>
        <v>46038</v>
      </c>
      <c r="BJ138" s="15">
        <f>$F138-MIN(_xll.BDP("NYA Index","RSI_14D"),_xll.BDP("RSP US Equity","RSI_14D"))</f>
        <v>-8.3087734881007336</v>
      </c>
    </row>
    <row r="139" spans="1:62" x14ac:dyDescent="0.25">
      <c r="A139" s="11">
        <v>138</v>
      </c>
      <c r="B139" s="26" t="s">
        <v>386</v>
      </c>
      <c r="C139" s="1" t="s">
        <v>810</v>
      </c>
      <c r="D139" s="1" t="s">
        <v>308</v>
      </c>
      <c r="E139" s="11" t="s">
        <v>787</v>
      </c>
      <c r="F139">
        <f>IFERROR(VALUE((_xll.BDP($B139,"interval_rsi","tech_studies_param1_override",14))),"")</f>
        <v>62.676823851741901</v>
      </c>
      <c r="G139">
        <f t="shared" si="0"/>
        <v>52.525531939815814</v>
      </c>
      <c r="H139">
        <f t="shared" si="65"/>
        <v>1</v>
      </c>
      <c r="I139" cm="1">
        <f t="array" ref="I139">IFERROR(VALUE(_xll.BDP($B139,"px_last")),"")</f>
        <v>13.89</v>
      </c>
      <c r="J139">
        <f t="shared" si="1"/>
        <v>6941.47</v>
      </c>
      <c r="K139" cm="1">
        <f t="array" ref="K139">IFERROR(VALUE(_xll.BDP($B139,"PX_YEST_CLOSE")),"")</f>
        <v>13.75</v>
      </c>
      <c r="L139">
        <f t="shared" si="2"/>
        <v>6941.81</v>
      </c>
      <c r="M139">
        <f t="shared" si="66"/>
        <v>2.0010170756338355E-3</v>
      </c>
      <c r="N139">
        <f t="shared" si="67"/>
        <v>1.9807514178578783E-3</v>
      </c>
      <c r="O139" cm="1">
        <f t="array" ref="O139">IFERROR(VALUE(_xll.BDP($B139,"INTERVAL_MAE_MOV_AVG","CALC_INTERVAL","520D","TECH_STUDIES_PARAM1_OVERRIDE",50,"USE_PREVIOUS_BUSINESS_DAY","N")),"")</f>
        <v>12.702881371866454</v>
      </c>
      <c r="P139">
        <f t="shared" si="3"/>
        <v>6894.0953999999992</v>
      </c>
      <c r="Q139" cm="1">
        <f t="array" ref="Q139">IFERROR(VALUE(_xll.BDP($B139,"INTERVAL_MAE_MOV_AVG","CALC_INTERVAL","520D","TECH_STUDIES_PARAM1_OVERRIDE",50,"USE_PREVIOUS_BUSINESS_DAY","Y")),"")</f>
        <v>12.6757493078</v>
      </c>
      <c r="R139">
        <f t="shared" si="4"/>
        <v>6892.2477999999992</v>
      </c>
      <c r="S139">
        <f t="shared" si="68"/>
        <v>1.8425740629969315E-3</v>
      </c>
      <c r="T139">
        <f t="shared" si="69"/>
        <v>1.8391313945212478E-3</v>
      </c>
      <c r="U139" s="11" t="str">
        <f t="shared" si="70"/>
        <v>POSITIVE</v>
      </c>
      <c r="V139" s="11" t="str">
        <f t="shared" si="71"/>
        <v/>
      </c>
      <c r="W139" s="11" t="str">
        <f t="shared" si="72"/>
        <v>UP</v>
      </c>
      <c r="X139" s="6" t="str">
        <f t="shared" si="73"/>
        <v>POSITIVE</v>
      </c>
      <c r="Y139" cm="1">
        <f t="array" ref="Y139">IFERROR(VALUE(_xll.BDP($B139,"INTERVAL_MAE_MOV_AVG","CALC_INTERVAL","520D","TECH_STUDIES_PARAM1_OVERRIDE",65,"USE_PREVIOUS_BUSINESS_DAY","N")),"")</f>
        <v>12.650622705974193</v>
      </c>
      <c r="Z139">
        <f t="shared" si="5"/>
        <v>6856.0226153846133</v>
      </c>
      <c r="AA139" cm="1">
        <f t="array" ref="AA139">IFERROR(VALUE(_xll.BDP($B139,"INTERVAL_MAE_MOV_AVG","CALC_INTERVAL","520D","TECH_STUDIES_PARAM1_OVERRIDE",65,"USE_PREVIOUS_BUSINESS_DAY","Y")),"")</f>
        <v>12.629157676384612</v>
      </c>
      <c r="AB139">
        <f t="shared" si="6"/>
        <v>6852.6203076923057</v>
      </c>
      <c r="AC139">
        <f t="shared" si="74"/>
        <v>1.8451839230498965E-3</v>
      </c>
      <c r="AD139">
        <f t="shared" si="75"/>
        <v>1.8429676692006329E-3</v>
      </c>
      <c r="AE139" s="10" t="str">
        <f t="shared" si="76"/>
        <v>UP</v>
      </c>
      <c r="AF139" s="10" t="str">
        <f t="shared" si="77"/>
        <v>UP</v>
      </c>
      <c r="AG139" s="6" t="str">
        <f t="shared" si="78"/>
        <v>POSITIVE</v>
      </c>
      <c r="AH139" cm="1">
        <f t="array" ref="AH139">IFERROR(VALUE(_xll.BDP($B139,"INTERVAL_MAE_MOV_AVG","CALC_INTERVAL","65W","PERIODICITY_OVERRIDE","W","TECH_STUDIES_PARAM1_OVERRIDE",39,"USE_PREVIOUS_BUSINESS_DAY","N")),"")</f>
        <v>12.855821716239044</v>
      </c>
      <c r="AI139">
        <f t="shared" si="7"/>
        <v>6560.7735897435905</v>
      </c>
      <c r="AJ139" cm="1">
        <f t="array" ref="AJ139">IFERROR(VALUE(_xll.BDP($B139,"INTERVAL_MAE_MOV_AVG","CALC_INTERVAL","65W","PERIODICITY_OVERRIDE","W","TECH_STUDIES_PARAM1_OVERRIDE",39,"USE_PREVIOUS_BUSINESS_DAY","Y")),"")</f>
        <v>12.852231963846153</v>
      </c>
      <c r="AK139">
        <f t="shared" si="8"/>
        <v>6560.7823076923087</v>
      </c>
      <c r="AL139">
        <f t="shared" si="79"/>
        <v>1.9594978458541013E-3</v>
      </c>
      <c r="AM139">
        <f t="shared" si="80"/>
        <v>1.9589480889767247E-3</v>
      </c>
      <c r="AN139" s="10" t="str">
        <f t="shared" si="81"/>
        <v>UP</v>
      </c>
      <c r="AO139" s="10" t="str">
        <f t="shared" si="82"/>
        <v>UP</v>
      </c>
      <c r="AP139" s="6" t="str">
        <f t="shared" si="83"/>
        <v>POSITIVE</v>
      </c>
      <c r="AQ139" cm="1">
        <f t="array" ref="AQ139">IFERROR(VALUE(_xll.BDP($B139,"INTERVAL_exp_MOV_AVG","CALC_INTERVAL","520D","TECH_STUDIES_PARAM1_OVERRIDE",100,"USE_PREVIOUS_BUSINESS_DAY","N")),"")</f>
        <v>12.817805544368419</v>
      </c>
      <c r="AR139">
        <f t="shared" si="9"/>
        <v>6773.0064518682802</v>
      </c>
      <c r="AS139" cm="1">
        <f t="array" ref="AS139">IFERROR(VALUE(_xll.BDP($B139,"INTERVAL_exp_MOV_AVG","CALC_INTERVAL","520D","TECH_STUDIES_PARAM1_OVERRIDE",100,"USE_PREVIOUS_BUSINESS_DAY","Y")),"")</f>
        <v>12.796143899928175</v>
      </c>
      <c r="AT139">
        <f t="shared" si="10"/>
        <v>6769.6039787132295</v>
      </c>
      <c r="AU139">
        <f t="shared" si="84"/>
        <v>1.8924838822252602E-3</v>
      </c>
      <c r="AV139">
        <f t="shared" si="85"/>
        <v>1.8902352250094953E-3</v>
      </c>
      <c r="AW139" s="11" t="str">
        <f t="shared" si="86"/>
        <v>UP</v>
      </c>
      <c r="AX139" s="11" t="str">
        <f t="shared" si="87"/>
        <v>UP</v>
      </c>
      <c r="AY139" s="6" t="str">
        <f t="shared" si="88"/>
        <v>POSITIVE</v>
      </c>
      <c r="AZ139" s="12" cm="1">
        <f t="array" ref="AZ139">_xll.BDP($B139, "INTERVAL_RSI", "TECH_STUDIES_PARAM1_OVERRIDE", "5", "PERIODICITY_OVERRIDE", "W")</f>
        <v>72.956963351895467</v>
      </c>
      <c r="BA139" cm="1">
        <f t="array" ref="BA139">IFERROR(VALUE(_xll.BDP($B139,"INTERVAL_MAE_MOV_AVG","CALC_INTERVAL","520D","TECH_STUDIES_PARAM1_OVERRIDE",31,"USE_PREVIOUS_BUSINESS_DAY","N")),"")</f>
        <v>12.976774204623316</v>
      </c>
      <c r="BB139" cm="1">
        <f t="array" ref="BB139">IFERROR(VALUE(_xll.BDP($B139,"INTERVAL_MAE_MOV_AVG","CALC_INTERVAL","760D","TECH_STUDIES_PARAM1_OVERRIDE",200,"USE_PREVIOUS_BUSINESS_DAY","N")),"")</f>
        <v>12.774994173691613</v>
      </c>
      <c r="BC139" s="13">
        <f t="shared" si="89"/>
        <v>7.0373868033499765E-2</v>
      </c>
      <c r="BD139" s="13">
        <f t="shared" si="90"/>
        <v>9.3452705207710096E-2</v>
      </c>
      <c r="BE139" s="13">
        <f t="shared" si="91"/>
        <v>8.7280339321374578E-2</v>
      </c>
      <c r="BF139" s="14" cm="1">
        <f t="array" ref="BF139">VALUE(_xll.BDP($B139,"INTERVAL_DATE_OF_CALC_HI","CALC_INTERVAL","3M"))</f>
        <v>46052</v>
      </c>
      <c r="BG139" s="14" cm="1">
        <f t="array" ref="BG139">VALUE(_xll.BDP($B139,"INTERVAL_DATE_OF_CALC_LO","CALC_INTERVAL","3M"))</f>
        <v>46007</v>
      </c>
      <c r="BH139" s="14" cm="1">
        <f t="array" ref="BH139">VALUE(_xll.BDP($B139,"INTERVAL_DATE_OF_CALC_HI","CALC_INTERVAL","1M"))</f>
        <v>46052</v>
      </c>
      <c r="BI139" s="14" cm="1">
        <f t="array" ref="BI139">VALUE(_xll.BDP($B139,"INTERVAL_DATE_OF_CALC_LO","CALC_INTERVAL","1M"))</f>
        <v>46037</v>
      </c>
      <c r="BJ139" s="15">
        <f>$F139-MIN(_xll.BDP("NYA Index","RSI_14D"),_xll.BDP("RSP US Equity","RSI_14D"))</f>
        <v>-3.6689403084143493</v>
      </c>
    </row>
    <row r="140" spans="1:62" x14ac:dyDescent="0.25">
      <c r="A140" s="11">
        <v>139</v>
      </c>
      <c r="B140" s="26" t="s">
        <v>387</v>
      </c>
      <c r="C140" s="1" t="s">
        <v>388</v>
      </c>
      <c r="D140" s="1" t="s">
        <v>308</v>
      </c>
      <c r="E140" s="11" t="s">
        <v>787</v>
      </c>
      <c r="F140">
        <f>IFERROR(VALUE((_xll.BDP($B140,"interval_rsi","tech_studies_param1_override",14))),"")</f>
        <v>61.417263259881125</v>
      </c>
      <c r="G140">
        <f t="shared" si="0"/>
        <v>52.525531939815814</v>
      </c>
      <c r="H140">
        <f t="shared" si="65"/>
        <v>0</v>
      </c>
      <c r="I140" cm="1">
        <f t="array" ref="I140">IFERROR(VALUE(_xll.BDP($B140,"px_last")),"")</f>
        <v>501.33</v>
      </c>
      <c r="J140">
        <f t="shared" si="1"/>
        <v>6941.47</v>
      </c>
      <c r="K140" cm="1">
        <f t="array" ref="K140">IFERROR(VALUE(_xll.BDP($B140,"PX_YEST_CLOSE")),"")</f>
        <v>501.9</v>
      </c>
      <c r="L140">
        <f t="shared" si="2"/>
        <v>6941.81</v>
      </c>
      <c r="M140">
        <f t="shared" si="66"/>
        <v>7.2222454321635043E-2</v>
      </c>
      <c r="N140">
        <f t="shared" si="67"/>
        <v>7.2301028118026842E-2</v>
      </c>
      <c r="O140" cm="1">
        <f t="array" ref="O140">IFERROR(VALUE(_xll.BDP($B140,"INTERVAL_MAE_MOV_AVG","CALC_INTERVAL","520D","TECH_STUDIES_PARAM1_OVERRIDE",50,"USE_PREVIOUS_BUSINESS_DAY","N")),"")</f>
        <v>487.54534027015109</v>
      </c>
      <c r="P140">
        <f t="shared" si="3"/>
        <v>6894.0953999999992</v>
      </c>
      <c r="Q140" cm="1">
        <f t="array" ref="Q140">IFERROR(VALUE(_xll.BDP($B140,"INTERVAL_MAE_MOV_AVG","CALC_INTERVAL","520D","TECH_STUDIES_PARAM1_OVERRIDE",50,"USE_PREVIOUS_BUSINESS_DAY","Y")),"")</f>
        <v>487.03815500265659</v>
      </c>
      <c r="R140">
        <f t="shared" si="4"/>
        <v>6892.2477999999992</v>
      </c>
      <c r="S140">
        <f t="shared" si="68"/>
        <v>7.071926220663427E-2</v>
      </c>
      <c r="T140">
        <f t="shared" si="69"/>
        <v>7.0664632081663792E-2</v>
      </c>
      <c r="U140" s="11" t="str">
        <f t="shared" si="70"/>
        <v>NEGATIVE</v>
      </c>
      <c r="V140" s="11" t="str">
        <f t="shared" si="71"/>
        <v/>
      </c>
      <c r="W140" s="11" t="str">
        <f t="shared" si="72"/>
        <v>UP</v>
      </c>
      <c r="X140" s="6" t="str">
        <f t="shared" si="73"/>
        <v>POSITIVE</v>
      </c>
      <c r="Y140" cm="1">
        <f t="array" ref="Y140">IFERROR(VALUE(_xll.BDP($B140,"INTERVAL_MAE_MOV_AVG","CALC_INTERVAL","520D","TECH_STUDIES_PARAM1_OVERRIDE",65,"USE_PREVIOUS_BUSINESS_DAY","N")),"")</f>
        <v>483.12460108246552</v>
      </c>
      <c r="Z140">
        <f t="shared" si="5"/>
        <v>6856.0226153846133</v>
      </c>
      <c r="AA140" cm="1">
        <f t="array" ref="AA140">IFERROR(VALUE(_xll.BDP($B140,"INTERVAL_MAE_MOV_AVG","CALC_INTERVAL","520D","TECH_STUDIES_PARAM1_OVERRIDE",65,"USE_PREVIOUS_BUSINESS_DAY","Y")),"")</f>
        <v>482.6041759572451</v>
      </c>
      <c r="AB140">
        <f t="shared" si="6"/>
        <v>6852.6203076923057</v>
      </c>
      <c r="AC140">
        <f t="shared" si="74"/>
        <v>7.0467183115521692E-2</v>
      </c>
      <c r="AD140">
        <f t="shared" si="75"/>
        <v>7.0426224464166659E-2</v>
      </c>
      <c r="AE140" s="10" t="str">
        <f t="shared" si="76"/>
        <v>UP</v>
      </c>
      <c r="AF140" s="10" t="str">
        <f t="shared" si="77"/>
        <v>UP</v>
      </c>
      <c r="AG140" s="6" t="str">
        <f t="shared" si="78"/>
        <v>POSITIVE</v>
      </c>
      <c r="AH140" cm="1">
        <f t="array" ref="AH140">IFERROR(VALUE(_xll.BDP($B140,"INTERVAL_MAE_MOV_AVG","CALC_INTERVAL","65W","PERIODICITY_OVERRIDE","W","TECH_STUDIES_PARAM1_OVERRIDE",39,"USE_PREVIOUS_BUSINESS_DAY","N")),"")</f>
        <v>459.78393211239717</v>
      </c>
      <c r="AI140">
        <f t="shared" si="7"/>
        <v>6560.7735897435905</v>
      </c>
      <c r="AJ140" cm="1">
        <f t="array" ref="AJ140">IFERROR(VALUE(_xll.BDP($B140,"INTERVAL_MAE_MOV_AVG","CALC_INTERVAL","65W","PERIODICITY_OVERRIDE","W","TECH_STUDIES_PARAM1_OVERRIDE",39,"USE_PREVIOUS_BUSINESS_DAY","Y")),"")</f>
        <v>459.79854784131339</v>
      </c>
      <c r="AK140">
        <f t="shared" si="8"/>
        <v>6560.7823076923087</v>
      </c>
      <c r="AL140">
        <f t="shared" si="79"/>
        <v>7.0080749750482785E-2</v>
      </c>
      <c r="AM140">
        <f t="shared" si="80"/>
        <v>7.0082884369172593E-2</v>
      </c>
      <c r="AN140" s="10" t="str">
        <f t="shared" si="81"/>
        <v>DOWN</v>
      </c>
      <c r="AO140" s="10" t="str">
        <f t="shared" si="82"/>
        <v>DOWN</v>
      </c>
      <c r="AP140" s="6" t="str">
        <f t="shared" si="83"/>
        <v>POSITIVE</v>
      </c>
      <c r="AQ140" cm="1">
        <f t="array" ref="AQ140">IFERROR(VALUE(_xll.BDP($B140,"INTERVAL_exp_MOV_AVG","CALC_INTERVAL","520D","TECH_STUDIES_PARAM1_OVERRIDE",100,"USE_PREVIOUS_BUSINESS_DAY","N")),"")</f>
        <v>477.05566214794021</v>
      </c>
      <c r="AR140">
        <f t="shared" si="9"/>
        <v>6773.0064518682802</v>
      </c>
      <c r="AS140" cm="1">
        <f t="array" ref="AS140">IFERROR(VALUE(_xll.BDP($B140,"INTERVAL_exp_MOV_AVG","CALC_INTERVAL","520D","TECH_STUDIES_PARAM1_OVERRIDE",100,"USE_PREVIOUS_BUSINESS_DAY","Y")),"")</f>
        <v>476.56529999074195</v>
      </c>
      <c r="AT140">
        <f t="shared" si="10"/>
        <v>6769.6039787132295</v>
      </c>
      <c r="AU140">
        <f t="shared" si="84"/>
        <v>7.0434845373039345E-2</v>
      </c>
      <c r="AV140">
        <f t="shared" si="85"/>
        <v>7.0397810786167692E-2</v>
      </c>
      <c r="AW140" s="11" t="str">
        <f t="shared" si="86"/>
        <v>UP</v>
      </c>
      <c r="AX140" s="11" t="str">
        <f t="shared" si="87"/>
        <v>UP</v>
      </c>
      <c r="AY140" s="6" t="str">
        <f t="shared" si="88"/>
        <v>POSITIVE</v>
      </c>
      <c r="AZ140" s="12" cm="1">
        <f t="array" ref="AZ140">_xll.BDP($B140, "INTERVAL_RSI", "TECH_STUDIES_PARAM1_OVERRIDE", "5", "PERIODICITY_OVERRIDE", "W")</f>
        <v>76.25530937625922</v>
      </c>
      <c r="BA140" cm="1">
        <f t="array" ref="BA140">IFERROR(VALUE(_xll.BDP($B140,"INTERVAL_MAE_MOV_AVG","CALC_INTERVAL","520D","TECH_STUDIES_PARAM1_OVERRIDE",31,"USE_PREVIOUS_BUSINESS_DAY","N")),"")</f>
        <v>491.88906700652467</v>
      </c>
      <c r="BB140" cm="1">
        <f t="array" ref="BB140">IFERROR(VALUE(_xll.BDP($B140,"INTERVAL_MAE_MOV_AVG","CALC_INTERVAL","760D","TECH_STUDIES_PARAM1_OVERRIDE",200,"USE_PREVIOUS_BUSINESS_DAY","N")),"")</f>
        <v>455.00411153755573</v>
      </c>
      <c r="BC140" s="13">
        <f t="shared" si="89"/>
        <v>1.9193215760882287E-2</v>
      </c>
      <c r="BD140" s="13">
        <f t="shared" si="90"/>
        <v>2.827359548182895E-2</v>
      </c>
      <c r="BE140" s="13">
        <f t="shared" si="91"/>
        <v>0.10181421944935676</v>
      </c>
      <c r="BF140" s="14" cm="1">
        <f t="array" ref="BF140">VALUE(_xll.BDP($B140,"INTERVAL_DATE_OF_CALC_HI","CALC_INTERVAL","3M"))</f>
        <v>46063</v>
      </c>
      <c r="BG140" s="14" cm="1">
        <f t="array" ref="BG140">VALUE(_xll.BDP($B140,"INTERVAL_DATE_OF_CALC_LO","CALC_INTERVAL","3M"))</f>
        <v>45981</v>
      </c>
      <c r="BH140" s="14" cm="1">
        <f t="array" ref="BH140">VALUE(_xll.BDP($B140,"INTERVAL_DATE_OF_CALC_HI","CALC_INTERVAL","1M"))</f>
        <v>46063</v>
      </c>
      <c r="BI140" s="14" cm="1">
        <f t="array" ref="BI140">VALUE(_xll.BDP($B140,"INTERVAL_DATE_OF_CALC_LO","CALC_INTERVAL","1M"))</f>
        <v>46042</v>
      </c>
      <c r="BJ140" s="15">
        <f>$F140-MIN(_xll.BDP("NYA Index","RSI_14D"),_xll.BDP("RSP US Equity","RSI_14D"))</f>
        <v>-4.9285009002751252</v>
      </c>
    </row>
    <row r="141" spans="1:62" x14ac:dyDescent="0.25">
      <c r="A141" s="11">
        <v>140</v>
      </c>
      <c r="B141" s="26" t="s">
        <v>389</v>
      </c>
      <c r="C141" s="1" t="s">
        <v>811</v>
      </c>
      <c r="D141" s="1" t="s">
        <v>308</v>
      </c>
      <c r="E141" s="11" t="s">
        <v>787</v>
      </c>
      <c r="F141">
        <f>IFERROR(VALUE((_xll.BDP($B141,"interval_rsi","tech_studies_param1_override",14))),"")</f>
        <v>59.916049396000815</v>
      </c>
      <c r="G141">
        <f t="shared" si="0"/>
        <v>52.525531939815814</v>
      </c>
      <c r="H141">
        <f t="shared" si="65"/>
        <v>0</v>
      </c>
      <c r="I141" cm="1">
        <f t="array" ref="I141">IFERROR(VALUE(_xll.BDP($B141,"px_last")),"")</f>
        <v>33.18</v>
      </c>
      <c r="J141">
        <f t="shared" si="1"/>
        <v>6941.47</v>
      </c>
      <c r="K141" cm="1">
        <f t="array" ref="K141">IFERROR(VALUE(_xll.BDP($B141,"PX_YEST_CLOSE")),"")</f>
        <v>32.869999999999997</v>
      </c>
      <c r="L141">
        <f t="shared" si="2"/>
        <v>6941.81</v>
      </c>
      <c r="M141">
        <f t="shared" si="66"/>
        <v>4.7799673556177579E-3</v>
      </c>
      <c r="N141">
        <f t="shared" si="67"/>
        <v>4.7350762985446156E-3</v>
      </c>
      <c r="O141" cm="1">
        <f t="array" ref="O141">IFERROR(VALUE(_xll.BDP($B141,"INTERVAL_MAE_MOV_AVG","CALC_INTERVAL","520D","TECH_STUDIES_PARAM1_OVERRIDE",50,"USE_PREVIOUS_BUSINESS_DAY","N")),"")</f>
        <v>31.235170990571529</v>
      </c>
      <c r="P141">
        <f t="shared" si="3"/>
        <v>6894.0953999999992</v>
      </c>
      <c r="Q141" cm="1">
        <f t="array" ref="Q141">IFERROR(VALUE(_xll.BDP($B141,"INTERVAL_MAE_MOV_AVG","CALC_INTERVAL","520D","TECH_STUDIES_PARAM1_OVERRIDE",50,"USE_PREVIOUS_BUSINESS_DAY","Y")),"")</f>
        <v>31.158364645372004</v>
      </c>
      <c r="R141">
        <f t="shared" si="4"/>
        <v>6892.2477999999992</v>
      </c>
      <c r="S141">
        <f t="shared" si="68"/>
        <v>4.5307134842624214E-3</v>
      </c>
      <c r="T141">
        <f t="shared" si="69"/>
        <v>4.5207841548256592E-3</v>
      </c>
      <c r="U141" s="11" t="str">
        <f t="shared" si="70"/>
        <v>NEGATIVE</v>
      </c>
      <c r="V141" s="11" t="str">
        <f t="shared" si="71"/>
        <v/>
      </c>
      <c r="W141" s="11" t="str">
        <f t="shared" si="72"/>
        <v>UP</v>
      </c>
      <c r="X141" s="6" t="str">
        <f t="shared" si="73"/>
        <v>POSITIVE</v>
      </c>
      <c r="Y141" cm="1">
        <f t="array" ref="Y141">IFERROR(VALUE(_xll.BDP($B141,"INTERVAL_MAE_MOV_AVG","CALC_INTERVAL","520D","TECH_STUDIES_PARAM1_OVERRIDE",65,"USE_PREVIOUS_BUSINESS_DAY","N")),"")</f>
        <v>30.697724264288865</v>
      </c>
      <c r="Z141">
        <f t="shared" si="5"/>
        <v>6856.0226153846133</v>
      </c>
      <c r="AA141" cm="1">
        <f t="array" ref="AA141">IFERROR(VALUE(_xll.BDP($B141,"INTERVAL_MAE_MOV_AVG","CALC_INTERVAL","520D","TECH_STUDIES_PARAM1_OVERRIDE",65,"USE_PREVIOUS_BUSINESS_DAY","Y")),"")</f>
        <v>30.641159464756925</v>
      </c>
      <c r="AB141">
        <f t="shared" si="6"/>
        <v>6852.6203076923057</v>
      </c>
      <c r="AC141">
        <f t="shared" si="74"/>
        <v>4.4774829352815324E-3</v>
      </c>
      <c r="AD141">
        <f t="shared" si="75"/>
        <v>4.4714515161975565E-3</v>
      </c>
      <c r="AE141" s="10" t="str">
        <f t="shared" si="76"/>
        <v>UP</v>
      </c>
      <c r="AF141" s="10" t="str">
        <f t="shared" si="77"/>
        <v>UP</v>
      </c>
      <c r="AG141" s="6" t="str">
        <f t="shared" si="78"/>
        <v>POSITIVE</v>
      </c>
      <c r="AH141" cm="1">
        <f t="array" ref="AH141">IFERROR(VALUE(_xll.BDP($B141,"INTERVAL_MAE_MOV_AVG","CALC_INTERVAL","65W","PERIODICITY_OVERRIDE","W","TECH_STUDIES_PARAM1_OVERRIDE",39,"USE_PREVIOUS_BUSINESS_DAY","N")),"")</f>
        <v>27.471003551644426</v>
      </c>
      <c r="AI141">
        <f t="shared" si="7"/>
        <v>6560.7735897435905</v>
      </c>
      <c r="AJ141" cm="1">
        <f t="array" ref="AJ141">IFERROR(VALUE(_xll.BDP($B141,"INTERVAL_MAE_MOV_AVG","CALC_INTERVAL","65W","PERIODICITY_OVERRIDE","W","TECH_STUDIES_PARAM1_OVERRIDE",39,"USE_PREVIOUS_BUSINESS_DAY","Y")),"")</f>
        <v>27.463054825870685</v>
      </c>
      <c r="AK141">
        <f t="shared" si="8"/>
        <v>6560.7823076923087</v>
      </c>
      <c r="AL141">
        <f t="shared" si="79"/>
        <v>4.1871592085710209E-3</v>
      </c>
      <c r="AM141">
        <f t="shared" si="80"/>
        <v>4.1859420931664093E-3</v>
      </c>
      <c r="AN141" s="10" t="str">
        <f t="shared" si="81"/>
        <v>UP</v>
      </c>
      <c r="AO141" s="10" t="str">
        <f t="shared" si="82"/>
        <v>UP</v>
      </c>
      <c r="AP141" s="6" t="str">
        <f t="shared" si="83"/>
        <v>POSITIVE</v>
      </c>
      <c r="AQ141" cm="1">
        <f t="array" ref="AQ141">IFERROR(VALUE(_xll.BDP($B141,"INTERVAL_exp_MOV_AVG","CALC_INTERVAL","520D","TECH_STUDIES_PARAM1_OVERRIDE",100,"USE_PREVIOUS_BUSINESS_DAY","N")),"")</f>
        <v>29.997623678513747</v>
      </c>
      <c r="AR141">
        <f t="shared" si="9"/>
        <v>6773.0064518682802</v>
      </c>
      <c r="AS141" cm="1">
        <f t="array" ref="AS141">IFERROR(VALUE(_xll.BDP($B141,"INTERVAL_exp_MOV_AVG","CALC_INTERVAL","520D","TECH_STUDIES_PARAM1_OVERRIDE",100,"USE_PREVIOUS_BUSINESS_DAY","Y")),"")</f>
        <v>29.93334676520686</v>
      </c>
      <c r="AT141">
        <f t="shared" si="10"/>
        <v>6769.6039787132295</v>
      </c>
      <c r="AU141">
        <f t="shared" si="84"/>
        <v>4.4289967670470979E-3</v>
      </c>
      <c r="AV141">
        <f t="shared" si="85"/>
        <v>4.4217278971312307E-3</v>
      </c>
      <c r="AW141" s="11" t="str">
        <f t="shared" si="86"/>
        <v>UP</v>
      </c>
      <c r="AX141" s="11" t="str">
        <f t="shared" si="87"/>
        <v>UP</v>
      </c>
      <c r="AY141" s="6" t="str">
        <f t="shared" si="88"/>
        <v>POSITIVE</v>
      </c>
      <c r="AZ141" s="12" cm="1">
        <f t="array" ref="AZ141">_xll.BDP($B141, "INTERVAL_RSI", "TECH_STUDIES_PARAM1_OVERRIDE", "5", "PERIODICITY_OVERRIDE", "W")</f>
        <v>73.354008276068754</v>
      </c>
      <c r="BA141" cm="1">
        <f t="array" ref="BA141">IFERROR(VALUE(_xll.BDP($B141,"INTERVAL_MAE_MOV_AVG","CALC_INTERVAL","520D","TECH_STUDIES_PARAM1_OVERRIDE",31,"USE_PREVIOUS_BUSINESS_DAY","N")),"")</f>
        <v>32.101322052425033</v>
      </c>
      <c r="BB141" cm="1">
        <f t="array" ref="BB141">IFERROR(VALUE(_xll.BDP($B141,"INTERVAL_MAE_MOV_AVG","CALC_INTERVAL","760D","TECH_STUDIES_PARAM1_OVERRIDE",200,"USE_PREVIOUS_BUSINESS_DAY","N")),"")</f>
        <v>26.913047081982292</v>
      </c>
      <c r="BC141" s="13">
        <f t="shared" si="89"/>
        <v>3.3602290454373351E-2</v>
      </c>
      <c r="BD141" s="13">
        <f t="shared" si="90"/>
        <v>6.2264074367178068E-2</v>
      </c>
      <c r="BE141" s="13">
        <f t="shared" si="91"/>
        <v>0.2328592856441476</v>
      </c>
      <c r="BF141" s="14" cm="1">
        <f t="array" ref="BF141">VALUE(_xll.BDP($B141,"INTERVAL_DATE_OF_CALC_HI","CALC_INTERVAL","3M"))</f>
        <v>46044</v>
      </c>
      <c r="BG141" s="14" cm="1">
        <f t="array" ref="BG141">VALUE(_xll.BDP($B141,"INTERVAL_DATE_OF_CALC_LO","CALC_INTERVAL","3M"))</f>
        <v>45981</v>
      </c>
      <c r="BH141" s="14" cm="1">
        <f t="array" ref="BH141">VALUE(_xll.BDP($B141,"INTERVAL_DATE_OF_CALC_HI","CALC_INTERVAL","1M"))</f>
        <v>46044</v>
      </c>
      <c r="BI141" s="14" cm="1">
        <f t="array" ref="BI141">VALUE(_xll.BDP($B141,"INTERVAL_DATE_OF_CALC_LO","CALC_INTERVAL","1M"))</f>
        <v>46058</v>
      </c>
      <c r="BJ141" s="15">
        <f>$F141-MIN(_xll.BDP("NYA Index","RSI_14D"),_xll.BDP("RSP US Equity","RSI_14D"))</f>
        <v>-6.4297147641554346</v>
      </c>
    </row>
    <row r="142" spans="1:62" x14ac:dyDescent="0.25">
      <c r="A142" s="11">
        <v>141</v>
      </c>
      <c r="B142" s="26" t="s">
        <v>390</v>
      </c>
      <c r="C142" s="1" t="s">
        <v>812</v>
      </c>
      <c r="D142" s="1" t="s">
        <v>308</v>
      </c>
      <c r="E142" s="11" t="s">
        <v>787</v>
      </c>
      <c r="F142">
        <f>IFERROR(VALUE((_xll.BDP($B142,"interval_rsi","tech_studies_param1_override",14))),"")</f>
        <v>69.123939592107462</v>
      </c>
      <c r="G142">
        <f t="shared" si="0"/>
        <v>52.525531939815814</v>
      </c>
      <c r="H142">
        <f t="shared" si="65"/>
        <v>1</v>
      </c>
      <c r="I142" cm="1">
        <f t="array" ref="I142">IFERROR(VALUE(_xll.BDP($B142,"px_last")),"")</f>
        <v>25.57</v>
      </c>
      <c r="J142">
        <f t="shared" si="1"/>
        <v>6941.47</v>
      </c>
      <c r="K142" cm="1">
        <f t="array" ref="K142">IFERROR(VALUE(_xll.BDP($B142,"PX_YEST_CLOSE")),"")</f>
        <v>25.13</v>
      </c>
      <c r="L142">
        <f t="shared" si="2"/>
        <v>6941.81</v>
      </c>
      <c r="M142">
        <f t="shared" si="66"/>
        <v>3.6836577843021722E-3</v>
      </c>
      <c r="N142">
        <f t="shared" si="67"/>
        <v>3.6200933186013441E-3</v>
      </c>
      <c r="O142" cm="1">
        <f t="array" ref="O142">IFERROR(VALUE(_xll.BDP($B142,"INTERVAL_MAE_MOV_AVG","CALC_INTERVAL","520D","TECH_STUDIES_PARAM1_OVERRIDE",50,"USE_PREVIOUS_BUSINESS_DAY","N")),"")</f>
        <v>22.546331667396494</v>
      </c>
      <c r="P142">
        <f t="shared" si="3"/>
        <v>6894.0953999999992</v>
      </c>
      <c r="Q142" cm="1">
        <f t="array" ref="Q142">IFERROR(VALUE(_xll.BDP($B142,"INTERVAL_MAE_MOV_AVG","CALC_INTERVAL","520D","TECH_STUDIES_PARAM1_OVERRIDE",50,"USE_PREVIOUS_BUSINESS_DAY","Y")),"")</f>
        <v>22.450458120900002</v>
      </c>
      <c r="R142">
        <f t="shared" si="4"/>
        <v>6892.2477999999992</v>
      </c>
      <c r="S142">
        <f t="shared" si="68"/>
        <v>3.2703828942367836E-3</v>
      </c>
      <c r="T142">
        <f t="shared" si="69"/>
        <v>3.2573492382122426E-3</v>
      </c>
      <c r="U142" s="11" t="str">
        <f t="shared" si="70"/>
        <v>POSITIVE</v>
      </c>
      <c r="V142" s="11" t="str">
        <f t="shared" si="71"/>
        <v/>
      </c>
      <c r="W142" s="11" t="str">
        <f t="shared" si="72"/>
        <v>UP</v>
      </c>
      <c r="X142" s="6" t="str">
        <f t="shared" si="73"/>
        <v>POSITIVE</v>
      </c>
      <c r="Y142" cm="1">
        <f t="array" ref="Y142">IFERROR(VALUE(_xll.BDP($B142,"INTERVAL_MAE_MOV_AVG","CALC_INTERVAL","520D","TECH_STUDIES_PARAM1_OVERRIDE",65,"USE_PREVIOUS_BUSINESS_DAY","N")),"")</f>
        <v>22.116161491997296</v>
      </c>
      <c r="Z142">
        <f t="shared" si="5"/>
        <v>6856.0226153846133</v>
      </c>
      <c r="AA142" cm="1">
        <f t="array" ref="AA142">IFERROR(VALUE(_xll.BDP($B142,"INTERVAL_MAE_MOV_AVG","CALC_INTERVAL","520D","TECH_STUDIES_PARAM1_OVERRIDE",65,"USE_PREVIOUS_BUSINESS_DAY","Y")),"")</f>
        <v>22.054947344538459</v>
      </c>
      <c r="AB142">
        <f t="shared" si="6"/>
        <v>6852.6203076923057</v>
      </c>
      <c r="AC142">
        <f t="shared" si="74"/>
        <v>3.2258005454021696E-3</v>
      </c>
      <c r="AD142">
        <f t="shared" si="75"/>
        <v>3.21846919196457E-3</v>
      </c>
      <c r="AE142" s="10" t="str">
        <f t="shared" si="76"/>
        <v>UP</v>
      </c>
      <c r="AF142" s="10" t="str">
        <f t="shared" si="77"/>
        <v>UP</v>
      </c>
      <c r="AG142" s="6" t="str">
        <f t="shared" si="78"/>
        <v>POSITIVE</v>
      </c>
      <c r="AH142" cm="1">
        <f t="array" ref="AH142">IFERROR(VALUE(_xll.BDP($B142,"INTERVAL_MAE_MOV_AVG","CALC_INTERVAL","65W","PERIODICITY_OVERRIDE","W","TECH_STUDIES_PARAM1_OVERRIDE",39,"USE_PREVIOUS_BUSINESS_DAY","N")),"")</f>
        <v>20.393302736427479</v>
      </c>
      <c r="AI142">
        <f t="shared" si="7"/>
        <v>6560.7735897435905</v>
      </c>
      <c r="AJ142" cm="1">
        <f t="array" ref="AJ142">IFERROR(VALUE(_xll.BDP($B142,"INTERVAL_MAE_MOV_AVG","CALC_INTERVAL","65W","PERIODICITY_OVERRIDE","W","TECH_STUDIES_PARAM1_OVERRIDE",39,"USE_PREVIOUS_BUSINESS_DAY","Y")),"")</f>
        <v>20.38202069297045</v>
      </c>
      <c r="AK142">
        <f t="shared" si="8"/>
        <v>6560.7823076923087</v>
      </c>
      <c r="AL142">
        <f t="shared" si="79"/>
        <v>3.1083686180404368E-3</v>
      </c>
      <c r="AM142">
        <f t="shared" si="80"/>
        <v>3.1066448690231924E-3</v>
      </c>
      <c r="AN142" s="10" t="str">
        <f t="shared" si="81"/>
        <v>UP</v>
      </c>
      <c r="AO142" s="10" t="str">
        <f t="shared" si="82"/>
        <v>UP</v>
      </c>
      <c r="AP142" s="6" t="str">
        <f t="shared" si="83"/>
        <v>POSITIVE</v>
      </c>
      <c r="AQ142" cm="1">
        <f t="array" ref="AQ142">IFERROR(VALUE(_xll.BDP($B142,"INTERVAL_exp_MOV_AVG","CALC_INTERVAL","520D","TECH_STUDIES_PARAM1_OVERRIDE",100,"USE_PREVIOUS_BUSINESS_DAY","N")),"")</f>
        <v>21.919063917774483</v>
      </c>
      <c r="AR142">
        <f t="shared" si="9"/>
        <v>6773.0064518682802</v>
      </c>
      <c r="AS142" cm="1">
        <f t="array" ref="AS142">IFERROR(VALUE(_xll.BDP($B142,"INTERVAL_exp_MOV_AVG","CALC_INTERVAL","520D","TECH_STUDIES_PARAM1_OVERRIDE",100,"USE_PREVIOUS_BUSINESS_DAY","Y")),"")</f>
        <v>21.845314326117261</v>
      </c>
      <c r="AT142">
        <f t="shared" si="10"/>
        <v>6769.6039787132295</v>
      </c>
      <c r="AU142">
        <f t="shared" si="84"/>
        <v>3.2362384523830306E-3</v>
      </c>
      <c r="AV142">
        <f t="shared" si="85"/>
        <v>3.2269707939798324E-3</v>
      </c>
      <c r="AW142" s="11" t="str">
        <f t="shared" si="86"/>
        <v>UP</v>
      </c>
      <c r="AX142" s="11" t="str">
        <f t="shared" si="87"/>
        <v>UP</v>
      </c>
      <c r="AY142" s="6" t="str">
        <f t="shared" si="88"/>
        <v>POSITIVE</v>
      </c>
      <c r="AZ142" s="12" cm="1">
        <f t="array" ref="AZ142">_xll.BDP($B142, "INTERVAL_RSI", "TECH_STUDIES_PARAM1_OVERRIDE", "5", "PERIODICITY_OVERRIDE", "W")</f>
        <v>91.616911256682059</v>
      </c>
      <c r="BA142" cm="1">
        <f t="array" ref="BA142">IFERROR(VALUE(_xll.BDP($B142,"INTERVAL_MAE_MOV_AVG","CALC_INTERVAL","520D","TECH_STUDIES_PARAM1_OVERRIDE",31,"USE_PREVIOUS_BUSINESS_DAY","N")),"")</f>
        <v>23.564347991768528</v>
      </c>
      <c r="BB142" cm="1">
        <f t="array" ref="BB142">IFERROR(VALUE(_xll.BDP($B142,"INTERVAL_MAE_MOV_AVG","CALC_INTERVAL","760D","TECH_STUDIES_PARAM1_OVERRIDE",200,"USE_PREVIOUS_BUSINESS_DAY","N")),"")</f>
        <v>20.038964373067216</v>
      </c>
      <c r="BC142" s="13">
        <f t="shared" si="89"/>
        <v>8.5113834209717298E-2</v>
      </c>
      <c r="BD142" s="13">
        <f t="shared" si="90"/>
        <v>0.13410910374284679</v>
      </c>
      <c r="BE142" s="13">
        <f t="shared" si="91"/>
        <v>0.27601404563434473</v>
      </c>
      <c r="BF142" s="14" cm="1">
        <f t="array" ref="BF142">VALUE(_xll.BDP($B142,"INTERVAL_DATE_OF_CALC_HI","CALC_INTERVAL","3M"))</f>
        <v>46064</v>
      </c>
      <c r="BG142" s="14" cm="1">
        <f t="array" ref="BG142">VALUE(_xll.BDP($B142,"INTERVAL_DATE_OF_CALC_LO","CALC_INTERVAL","3M"))</f>
        <v>45982</v>
      </c>
      <c r="BH142" s="14" cm="1">
        <f t="array" ref="BH142">VALUE(_xll.BDP($B142,"INTERVAL_DATE_OF_CALC_HI","CALC_INTERVAL","1M"))</f>
        <v>46064</v>
      </c>
      <c r="BI142" s="14" cm="1">
        <f t="array" ref="BI142">VALUE(_xll.BDP($B142,"INTERVAL_DATE_OF_CALC_LO","CALC_INTERVAL","1M"))</f>
        <v>46042</v>
      </c>
      <c r="BJ142" s="15">
        <f>$F142-MIN(_xll.BDP("NYA Index","RSI_14D"),_xll.BDP("RSP US Equity","RSI_14D"))</f>
        <v>2.7781754319512117</v>
      </c>
    </row>
    <row r="143" spans="1:62" x14ac:dyDescent="0.25">
      <c r="A143" s="11">
        <v>142</v>
      </c>
      <c r="B143" s="26" t="s">
        <v>391</v>
      </c>
      <c r="C143" s="1" t="s">
        <v>392</v>
      </c>
      <c r="D143" s="1" t="s">
        <v>308</v>
      </c>
      <c r="E143" s="11" t="s">
        <v>787</v>
      </c>
      <c r="F143">
        <f>IFERROR(VALUE((_xll.BDP($B143,"interval_rsi","tech_studies_param1_override",14))),"")</f>
        <v>62.287146832342316</v>
      </c>
      <c r="G143">
        <f t="shared" si="0"/>
        <v>52.525531939815814</v>
      </c>
      <c r="H143">
        <f t="shared" si="65"/>
        <v>0</v>
      </c>
      <c r="I143" cm="1">
        <f t="array" ref="I143">IFERROR(VALUE(_xll.BDP($B143,"px_last")),"")</f>
        <v>39.47</v>
      </c>
      <c r="J143">
        <f t="shared" si="1"/>
        <v>6941.47</v>
      </c>
      <c r="K143" cm="1">
        <f t="array" ref="K143">IFERROR(VALUE(_xll.BDP($B143,"PX_YEST_CLOSE")),"")</f>
        <v>39.340000000000003</v>
      </c>
      <c r="L143">
        <f t="shared" si="2"/>
        <v>6941.81</v>
      </c>
      <c r="M143">
        <f t="shared" si="66"/>
        <v>5.6861154769810998E-3</v>
      </c>
      <c r="N143">
        <f t="shared" si="67"/>
        <v>5.6671098748021049E-3</v>
      </c>
      <c r="O143" cm="1">
        <f t="array" ref="O143">IFERROR(VALUE(_xll.BDP($B143,"INTERVAL_MAE_MOV_AVG","CALC_INTERVAL","520D","TECH_STUDIES_PARAM1_OVERRIDE",50,"USE_PREVIOUS_BUSINESS_DAY","N")),"")</f>
        <v>38.379294095614064</v>
      </c>
      <c r="P143">
        <f t="shared" si="3"/>
        <v>6894.0953999999992</v>
      </c>
      <c r="Q143" cm="1">
        <f t="array" ref="Q143">IFERROR(VALUE(_xll.BDP($B143,"INTERVAL_MAE_MOV_AVG","CALC_INTERVAL","520D","TECH_STUDIES_PARAM1_OVERRIDE",50,"USE_PREVIOUS_BUSINESS_DAY","Y")),"")</f>
        <v>38.348593816800005</v>
      </c>
      <c r="R143">
        <f t="shared" si="4"/>
        <v>6892.2477999999992</v>
      </c>
      <c r="S143">
        <f t="shared" si="68"/>
        <v>5.5669804185787836E-3</v>
      </c>
      <c r="T143">
        <f t="shared" si="69"/>
        <v>5.5640184348566242E-3</v>
      </c>
      <c r="U143" s="11" t="str">
        <f t="shared" si="70"/>
        <v>NEGATIVE</v>
      </c>
      <c r="V143" s="11" t="str">
        <f t="shared" si="71"/>
        <v/>
      </c>
      <c r="W143" s="11" t="str">
        <f t="shared" si="72"/>
        <v>UP</v>
      </c>
      <c r="X143" s="6" t="str">
        <f t="shared" si="73"/>
        <v>POSITIVE</v>
      </c>
      <c r="Y143" cm="1">
        <f t="array" ref="Y143">IFERROR(VALUE(_xll.BDP($B143,"INTERVAL_MAE_MOV_AVG","CALC_INTERVAL","520D","TECH_STUDIES_PARAM1_OVERRIDE",65,"USE_PREVIOUS_BUSINESS_DAY","N")),"")</f>
        <v>38.163630666164664</v>
      </c>
      <c r="Z143">
        <f t="shared" si="5"/>
        <v>6856.0226153846133</v>
      </c>
      <c r="AA143" cm="1">
        <f t="array" ref="AA143">IFERROR(VALUE(_xll.BDP($B143,"INTERVAL_MAE_MOV_AVG","CALC_INTERVAL","520D","TECH_STUDIES_PARAM1_OVERRIDE",65,"USE_PREVIOUS_BUSINESS_DAY","Y")),"")</f>
        <v>38.130344431384614</v>
      </c>
      <c r="AB143">
        <f t="shared" si="6"/>
        <v>6852.6203076923057</v>
      </c>
      <c r="AC143">
        <f t="shared" si="74"/>
        <v>5.5664388534143912E-3</v>
      </c>
      <c r="AD143">
        <f t="shared" si="75"/>
        <v>5.564345129202908E-3</v>
      </c>
      <c r="AE143" s="10" t="str">
        <f t="shared" si="76"/>
        <v>UP</v>
      </c>
      <c r="AF143" s="10" t="str">
        <f t="shared" si="77"/>
        <v>UP</v>
      </c>
      <c r="AG143" s="6" t="str">
        <f t="shared" si="78"/>
        <v>POSITIVE</v>
      </c>
      <c r="AH143" cm="1">
        <f t="array" ref="AH143">IFERROR(VALUE(_xll.BDP($B143,"INTERVAL_MAE_MOV_AVG","CALC_INTERVAL","65W","PERIODICITY_OVERRIDE","W","TECH_STUDIES_PARAM1_OVERRIDE",39,"USE_PREVIOUS_BUSINESS_DAY","N")),"")</f>
        <v>36.98778606880051</v>
      </c>
      <c r="AI143">
        <f t="shared" si="7"/>
        <v>6560.7735897435905</v>
      </c>
      <c r="AJ143" cm="1">
        <f t="array" ref="AJ143">IFERROR(VALUE(_xll.BDP($B143,"INTERVAL_MAE_MOV_AVG","CALC_INTERVAL","65W","PERIODICITY_OVERRIDE","W","TECH_STUDIES_PARAM1_OVERRIDE",39,"USE_PREVIOUS_BUSINESS_DAY","Y")),"")</f>
        <v>36.984452704167097</v>
      </c>
      <c r="AK143">
        <f t="shared" si="8"/>
        <v>6560.7823076923087</v>
      </c>
      <c r="AL143">
        <f t="shared" si="79"/>
        <v>5.6377171933845189E-3</v>
      </c>
      <c r="AM143">
        <f t="shared" si="80"/>
        <v>5.6372016277394243E-3</v>
      </c>
      <c r="AN143" s="10" t="str">
        <f t="shared" si="81"/>
        <v>UP</v>
      </c>
      <c r="AO143" s="10" t="str">
        <f t="shared" si="82"/>
        <v>UP</v>
      </c>
      <c r="AP143" s="6" t="str">
        <f t="shared" si="83"/>
        <v>POSITIVE</v>
      </c>
      <c r="AQ143" cm="1">
        <f t="array" ref="AQ143">IFERROR(VALUE(_xll.BDP($B143,"INTERVAL_exp_MOV_AVG","CALC_INTERVAL","520D","TECH_STUDIES_PARAM1_OVERRIDE",100,"USE_PREVIOUS_BUSINESS_DAY","N")),"")</f>
        <v>37.88897232411977</v>
      </c>
      <c r="AR143">
        <f t="shared" si="9"/>
        <v>6773.0064518682802</v>
      </c>
      <c r="AS143" cm="1">
        <f t="array" ref="AS143">IFERROR(VALUE(_xll.BDP($B143,"INTERVAL_exp_MOV_AVG","CALC_INTERVAL","520D","TECH_STUDIES_PARAM1_OVERRIDE",100,"USE_PREVIOUS_BUSINESS_DAY","Y")),"")</f>
        <v>37.857036898729412</v>
      </c>
      <c r="AT143">
        <f t="shared" si="10"/>
        <v>6769.6039787132295</v>
      </c>
      <c r="AU143">
        <f t="shared" si="84"/>
        <v>5.5941143114766109E-3</v>
      </c>
      <c r="AV143">
        <f t="shared" si="85"/>
        <v>5.5922084981292067E-3</v>
      </c>
      <c r="AW143" s="11" t="str">
        <f t="shared" si="86"/>
        <v>UP</v>
      </c>
      <c r="AX143" s="11" t="str">
        <f t="shared" si="87"/>
        <v>UP</v>
      </c>
      <c r="AY143" s="6" t="str">
        <f t="shared" si="88"/>
        <v>POSITIVE</v>
      </c>
      <c r="AZ143" s="12" cm="1">
        <f t="array" ref="AZ143">_xll.BDP($B143, "INTERVAL_RSI", "TECH_STUDIES_PARAM1_OVERRIDE", "5", "PERIODICITY_OVERRIDE", "W")</f>
        <v>81.304918514565514</v>
      </c>
      <c r="BA143" cm="1">
        <f t="array" ref="BA143">IFERROR(VALUE(_xll.BDP($B143,"INTERVAL_MAE_MOV_AVG","CALC_INTERVAL","520D","TECH_STUDIES_PARAM1_OVERRIDE",31,"USE_PREVIOUS_BUSINESS_DAY","N")),"")</f>
        <v>38.60000003937752</v>
      </c>
      <c r="BB143" cm="1">
        <f t="array" ref="BB143">IFERROR(VALUE(_xll.BDP($B143,"INTERVAL_MAE_MOV_AVG","CALC_INTERVAL","760D","TECH_STUDIES_PARAM1_OVERRIDE",200,"USE_PREVIOUS_BUSINESS_DAY","N")),"")</f>
        <v>36.648967787307555</v>
      </c>
      <c r="BC143" s="13">
        <f t="shared" si="89"/>
        <v>2.2538859060491134E-2</v>
      </c>
      <c r="BD143" s="13">
        <f t="shared" si="90"/>
        <v>2.8419123646950428E-2</v>
      </c>
      <c r="BE143" s="13">
        <f t="shared" si="91"/>
        <v>7.697439745272816E-2</v>
      </c>
      <c r="BF143" s="14" cm="1">
        <f t="array" ref="BF143">VALUE(_xll.BDP($B143,"INTERVAL_DATE_OF_CALC_HI","CALC_INTERVAL","3M"))</f>
        <v>46064</v>
      </c>
      <c r="BG143" s="14" cm="1">
        <f t="array" ref="BG143">VALUE(_xll.BDP($B143,"INTERVAL_DATE_OF_CALC_LO","CALC_INTERVAL","3M"))</f>
        <v>45981</v>
      </c>
      <c r="BH143" s="14" cm="1">
        <f t="array" ref="BH143">VALUE(_xll.BDP($B143,"INTERVAL_DATE_OF_CALC_HI","CALC_INTERVAL","1M"))</f>
        <v>46064</v>
      </c>
      <c r="BI143" s="14" cm="1">
        <f t="array" ref="BI143">VALUE(_xll.BDP($B143,"INTERVAL_DATE_OF_CALC_LO","CALC_INTERVAL","1M"))</f>
        <v>46042</v>
      </c>
      <c r="BJ143" s="15">
        <f>$F143-MIN(_xll.BDP("NYA Index","RSI_14D"),_xll.BDP("RSP US Equity","RSI_14D"))</f>
        <v>-4.0586173278139341</v>
      </c>
    </row>
    <row r="144" spans="1:62" x14ac:dyDescent="0.25">
      <c r="A144" s="11">
        <v>143</v>
      </c>
      <c r="B144" s="26" t="s">
        <v>393</v>
      </c>
      <c r="C144" s="1" t="s">
        <v>813</v>
      </c>
      <c r="D144" s="1" t="s">
        <v>308</v>
      </c>
      <c r="E144" s="11" t="s">
        <v>787</v>
      </c>
      <c r="F144">
        <f>IFERROR(VALUE((_xll.BDP($B144,"interval_rsi","tech_studies_param1_override",14))),"")</f>
        <v>55.588337880628451</v>
      </c>
      <c r="G144">
        <f t="shared" si="0"/>
        <v>52.525531939815814</v>
      </c>
      <c r="H144">
        <f t="shared" si="65"/>
        <v>0</v>
      </c>
      <c r="I144" cm="1">
        <f t="array" ref="I144">IFERROR(VALUE(_xll.BDP($B144,"px_last")),"")</f>
        <v>61.86</v>
      </c>
      <c r="J144">
        <f t="shared" si="1"/>
        <v>6941.47</v>
      </c>
      <c r="K144" cm="1">
        <f t="array" ref="K144">IFERROR(VALUE(_xll.BDP($B144,"PX_YEST_CLOSE")),"")</f>
        <v>61.78</v>
      </c>
      <c r="L144">
        <f t="shared" si="2"/>
        <v>6941.81</v>
      </c>
      <c r="M144">
        <f t="shared" si="66"/>
        <v>8.9116570409437761E-3</v>
      </c>
      <c r="N144">
        <f t="shared" si="67"/>
        <v>8.8996961887461631E-3</v>
      </c>
      <c r="O144" cm="1">
        <f t="array" ref="O144">IFERROR(VALUE(_xll.BDP($B144,"INTERVAL_MAE_MOV_AVG","CALC_INTERVAL","520D","TECH_STUDIES_PARAM1_OVERRIDE",50,"USE_PREVIOUS_BUSINESS_DAY","N")),"")</f>
        <v>61.096266021807018</v>
      </c>
      <c r="P144">
        <f t="shared" si="3"/>
        <v>6894.0953999999992</v>
      </c>
      <c r="Q144" cm="1">
        <f t="array" ref="Q144">IFERROR(VALUE(_xll.BDP($B144,"INTERVAL_MAE_MOV_AVG","CALC_INTERVAL","520D","TECH_STUDIES_PARAM1_OVERRIDE",50,"USE_PREVIOUS_BUSINESS_DAY","Y")),"")</f>
        <v>61.07293109279999</v>
      </c>
      <c r="R144">
        <f t="shared" si="4"/>
        <v>6892.2477999999992</v>
      </c>
      <c r="S144">
        <f t="shared" si="68"/>
        <v>8.8621149660631365E-3</v>
      </c>
      <c r="T144">
        <f t="shared" si="69"/>
        <v>8.861104949360642E-3</v>
      </c>
      <c r="U144" s="11" t="str">
        <f t="shared" si="70"/>
        <v>NEGATIVE</v>
      </c>
      <c r="V144" s="11" t="str">
        <f t="shared" si="71"/>
        <v/>
      </c>
      <c r="W144" s="11" t="str">
        <f t="shared" si="72"/>
        <v>UP</v>
      </c>
      <c r="X144" s="6" t="str">
        <f t="shared" si="73"/>
        <v>POSITIVE</v>
      </c>
      <c r="Y144" cm="1">
        <f t="array" ref="Y144">IFERROR(VALUE(_xll.BDP($B144,"INTERVAL_MAE_MOV_AVG","CALC_INTERVAL","520D","TECH_STUDIES_PARAM1_OVERRIDE",65,"USE_PREVIOUS_BUSINESS_DAY","N")),"")</f>
        <v>60.780380837697713</v>
      </c>
      <c r="Z144">
        <f t="shared" si="5"/>
        <v>6856.0226153846133</v>
      </c>
      <c r="AA144" cm="1">
        <f t="array" ref="AA144">IFERROR(VALUE(_xll.BDP($B144,"INTERVAL_MAE_MOV_AVG","CALC_INTERVAL","520D","TECH_STUDIES_PARAM1_OVERRIDE",65,"USE_PREVIOUS_BUSINESS_DAY","Y")),"")</f>
        <v>60.746927361230775</v>
      </c>
      <c r="AB144">
        <f t="shared" si="6"/>
        <v>6852.6203076923057</v>
      </c>
      <c r="AC144">
        <f t="shared" si="74"/>
        <v>8.8652538428489434E-3</v>
      </c>
      <c r="AD144">
        <f t="shared" si="75"/>
        <v>8.8647735659657407E-3</v>
      </c>
      <c r="AE144" s="10" t="str">
        <f t="shared" si="76"/>
        <v>UP</v>
      </c>
      <c r="AF144" s="10" t="str">
        <f t="shared" si="77"/>
        <v>UP</v>
      </c>
      <c r="AG144" s="6" t="str">
        <f t="shared" si="78"/>
        <v>POSITIVE</v>
      </c>
      <c r="AH144" cm="1">
        <f t="array" ref="AH144">IFERROR(VALUE(_xll.BDP($B144,"INTERVAL_MAE_MOV_AVG","CALC_INTERVAL","65W","PERIODICITY_OVERRIDE","W","TECH_STUDIES_PARAM1_OVERRIDE",39,"USE_PREVIOUS_BUSINESS_DAY","N")),"")</f>
        <v>57.83212376109099</v>
      </c>
      <c r="AI144">
        <f t="shared" si="7"/>
        <v>6560.7735897435905</v>
      </c>
      <c r="AJ144" cm="1">
        <f t="array" ref="AJ144">IFERROR(VALUE(_xll.BDP($B144,"INTERVAL_MAE_MOV_AVG","CALC_INTERVAL","65W","PERIODICITY_OVERRIDE","W","TECH_STUDIES_PARAM1_OVERRIDE",39,"USE_PREVIOUS_BUSINESS_DAY","Y")),"")</f>
        <v>57.830072463389662</v>
      </c>
      <c r="AK144">
        <f t="shared" si="8"/>
        <v>6560.7823076923087</v>
      </c>
      <c r="AL144">
        <f t="shared" si="79"/>
        <v>8.8148330330282288E-3</v>
      </c>
      <c r="AM144">
        <f t="shared" si="80"/>
        <v>8.8145086593691344E-3</v>
      </c>
      <c r="AN144" s="10" t="str">
        <f t="shared" si="81"/>
        <v>UP</v>
      </c>
      <c r="AO144" s="10" t="str">
        <f t="shared" si="82"/>
        <v>UP</v>
      </c>
      <c r="AP144" s="6" t="str">
        <f t="shared" si="83"/>
        <v>POSITIVE</v>
      </c>
      <c r="AQ144" cm="1">
        <f t="array" ref="AQ144">IFERROR(VALUE(_xll.BDP($B144,"INTERVAL_exp_MOV_AVG","CALC_INTERVAL","520D","TECH_STUDIES_PARAM1_OVERRIDE",100,"USE_PREVIOUS_BUSINESS_DAY","N")),"")</f>
        <v>59.908263281919531</v>
      </c>
      <c r="AR144">
        <f t="shared" si="9"/>
        <v>6773.0064518682802</v>
      </c>
      <c r="AS144" cm="1">
        <f t="array" ref="AS144">IFERROR(VALUE(_xll.BDP($B144,"INTERVAL_exp_MOV_AVG","CALC_INTERVAL","520D","TECH_STUDIES_PARAM1_OVERRIDE",100,"USE_PREVIOUS_BUSINESS_DAY","Y")),"")</f>
        <v>59.868842474404396</v>
      </c>
      <c r="AT144">
        <f t="shared" si="10"/>
        <v>6769.6039787132295</v>
      </c>
      <c r="AU144">
        <f t="shared" si="84"/>
        <v>8.8451507772289682E-3</v>
      </c>
      <c r="AV144">
        <f t="shared" si="85"/>
        <v>8.8437732343959515E-3</v>
      </c>
      <c r="AW144" s="11" t="str">
        <f t="shared" si="86"/>
        <v>UP</v>
      </c>
      <c r="AX144" s="11" t="str">
        <f t="shared" si="87"/>
        <v>UP</v>
      </c>
      <c r="AY144" s="6" t="str">
        <f t="shared" si="88"/>
        <v>POSITIVE</v>
      </c>
      <c r="AZ144" s="12" cm="1">
        <f t="array" ref="AZ144">_xll.BDP($B144, "INTERVAL_RSI", "TECH_STUDIES_PARAM1_OVERRIDE", "5", "PERIODICITY_OVERRIDE", "W")</f>
        <v>67.348871688657027</v>
      </c>
      <c r="BA144" cm="1">
        <f t="array" ref="BA144">IFERROR(VALUE(_xll.BDP($B144,"INTERVAL_MAE_MOV_AVG","CALC_INTERVAL","520D","TECH_STUDIES_PARAM1_OVERRIDE",31,"USE_PREVIOUS_BUSINESS_DAY","N")),"")</f>
        <v>61.268387116462932</v>
      </c>
      <c r="BB144" cm="1">
        <f t="array" ref="BB144">IFERROR(VALUE(_xll.BDP($B144,"INTERVAL_MAE_MOV_AVG","CALC_INTERVAL","760D","TECH_STUDIES_PARAM1_OVERRIDE",200,"USE_PREVIOUS_BUSINESS_DAY","N")),"")</f>
        <v>57.163109832187757</v>
      </c>
      <c r="BC144" s="13">
        <f t="shared" si="89"/>
        <v>9.6560871173658747E-3</v>
      </c>
      <c r="BD144" s="13">
        <f t="shared" si="90"/>
        <v>1.2500501715119183E-2</v>
      </c>
      <c r="BE144" s="13">
        <f t="shared" si="91"/>
        <v>8.2166456331728366E-2</v>
      </c>
      <c r="BF144" s="14" cm="1">
        <f t="array" ref="BF144">VALUE(_xll.BDP($B144,"INTERVAL_DATE_OF_CALC_HI","CALC_INTERVAL","3M"))</f>
        <v>46062</v>
      </c>
      <c r="BG144" s="14" cm="1">
        <f t="array" ref="BG144">VALUE(_xll.BDP($B144,"INTERVAL_DATE_OF_CALC_LO","CALC_INTERVAL","3M"))</f>
        <v>45981</v>
      </c>
      <c r="BH144" s="14" cm="1">
        <f t="array" ref="BH144">VALUE(_xll.BDP($B144,"INTERVAL_DATE_OF_CALC_HI","CALC_INTERVAL","1M"))</f>
        <v>46062</v>
      </c>
      <c r="BI144" s="14" cm="1">
        <f t="array" ref="BI144">VALUE(_xll.BDP($B144,"INTERVAL_DATE_OF_CALC_LO","CALC_INTERVAL","1M"))</f>
        <v>46042</v>
      </c>
      <c r="BJ144" s="15">
        <f>$F144-MIN(_xll.BDP("NYA Index","RSI_14D"),_xll.BDP("RSP US Equity","RSI_14D"))</f>
        <v>-10.757426279527799</v>
      </c>
    </row>
    <row r="145" spans="1:62" x14ac:dyDescent="0.25">
      <c r="A145" s="11">
        <v>144</v>
      </c>
      <c r="B145" s="26" t="s">
        <v>1001</v>
      </c>
      <c r="C145" s="1" t="s">
        <v>1002</v>
      </c>
      <c r="D145" s="1" t="s">
        <v>308</v>
      </c>
      <c r="E145" s="11" t="s">
        <v>787</v>
      </c>
      <c r="F145">
        <f>IFERROR(VALUE((_xll.BDP($B145,"interval_rsi","tech_studies_param1_override",14))),"")</f>
        <v>49.759229776303556</v>
      </c>
      <c r="G145">
        <f t="shared" si="0"/>
        <v>52.525531939815814</v>
      </c>
      <c r="H145">
        <f t="shared" ref="H145" si="92">IF(AND(F145-G145&gt;10,G145&lt;65),1,0)</f>
        <v>0</v>
      </c>
      <c r="I145" cm="1">
        <f t="array" ref="I145">IFERROR(VALUE(_xll.BDP($B145,"px_last")),"")</f>
        <v>30.79</v>
      </c>
      <c r="J145">
        <f t="shared" si="1"/>
        <v>6941.47</v>
      </c>
      <c r="K145" cm="1">
        <f t="array" ref="K145">IFERROR(VALUE(_xll.BDP($B145,"PX_YEST_CLOSE")),"")</f>
        <v>31.45</v>
      </c>
      <c r="L145">
        <f t="shared" si="2"/>
        <v>6941.81</v>
      </c>
      <c r="M145">
        <f t="shared" ref="M145" si="93">I145/J145</f>
        <v>4.4356598818405899E-3</v>
      </c>
      <c r="N145">
        <f t="shared" ref="N145" si="94">K145/L145</f>
        <v>4.5305186975731111E-3</v>
      </c>
      <c r="O145" cm="1">
        <f t="array" ref="O145">IFERROR(VALUE(_xll.BDP($B145,"INTERVAL_MAE_MOV_AVG","CALC_INTERVAL","520D","TECH_STUDIES_PARAM1_OVERRIDE",50,"USE_PREVIOUS_BUSINESS_DAY","N")),"")</f>
        <v>30.414000018310539</v>
      </c>
      <c r="P145">
        <f t="shared" si="3"/>
        <v>6894.0953999999992</v>
      </c>
      <c r="Q145" cm="1">
        <f t="array" ref="Q145">IFERROR(VALUE(_xll.BDP($B145,"INTERVAL_MAE_MOV_AVG","CALC_INTERVAL","520D","TECH_STUDIES_PARAM1_OVERRIDE",50,"USE_PREVIOUS_BUSINESS_DAY","Y")),"")</f>
        <v>30.248399999999997</v>
      </c>
      <c r="R145">
        <f t="shared" si="4"/>
        <v>6892.2477999999992</v>
      </c>
      <c r="S145">
        <f t="shared" ref="S145" si="95">O145/P145</f>
        <v>4.4116012694443629E-3</v>
      </c>
      <c r="T145">
        <f t="shared" ref="T145" si="96">Q145/R145</f>
        <v>4.388756887121789E-3</v>
      </c>
      <c r="U145" s="11" t="str">
        <f t="shared" ref="U145" si="97">IF(H145=1,"POSITIVE","NEGATIVE")</f>
        <v>NEGATIVE</v>
      </c>
      <c r="V145" s="11" t="str">
        <f t="shared" ref="V145" si="98">IF(AND(K145&lt;Q145,I145&gt;O145),"UP","")</f>
        <v/>
      </c>
      <c r="W145" s="11" t="str">
        <f t="shared" ref="W145" si="99">IF(S145&gt;T145,"UP",IF(S145&lt;T145,"DOWN",""))</f>
        <v>UP</v>
      </c>
      <c r="X145" s="6" t="str">
        <f t="shared" ref="X145" si="100">IF(AND(N145&lt;T145,M145&gt;S145),"BUY",IF(AND(N145&gt;T145,M145&lt;S145),"SELL",IF(M145&gt;S145,"POSITIVE","NEGATIVE")))</f>
        <v>POSITIVE</v>
      </c>
      <c r="Y145" cm="1">
        <f t="array" ref="Y145">IFERROR(VALUE(_xll.BDP($B145,"INTERVAL_MAE_MOV_AVG","CALC_INTERVAL","520D","TECH_STUDIES_PARAM1_OVERRIDE",65,"USE_PREVIOUS_BUSINESS_DAY","N")),"")</f>
        <v>28.58676924485426</v>
      </c>
      <c r="Z145">
        <f t="shared" si="5"/>
        <v>6856.0226153846133</v>
      </c>
      <c r="AA145" cm="1">
        <f t="array" ref="AA145">IFERROR(VALUE(_xll.BDP($B145,"INTERVAL_MAE_MOV_AVG","CALC_INTERVAL","520D","TECH_STUDIES_PARAM1_OVERRIDE",65,"USE_PREVIOUS_BUSINESS_DAY","Y")),"")</f>
        <v>28.50076923076923</v>
      </c>
      <c r="AB145">
        <f t="shared" si="6"/>
        <v>6852.6203076923057</v>
      </c>
      <c r="AC145">
        <f t="shared" ref="AC145" si="101">Y145/Z145</f>
        <v>4.1695850274336621E-3</v>
      </c>
      <c r="AD145">
        <f t="shared" ref="AD145" si="102">AA145/AB145</f>
        <v>4.1591052693779225E-3</v>
      </c>
      <c r="AE145" s="10" t="str">
        <f t="shared" ref="AE145" si="103">IF(Y145&gt;AA145,"UP",IF(Y145&lt;AA145,"DOWN",""))</f>
        <v>UP</v>
      </c>
      <c r="AF145" s="10" t="str">
        <f t="shared" ref="AF145" si="104">IF(AC145&gt;AD145,"UP",IF(AC145&lt;AD145,"DOWN",""))</f>
        <v>UP</v>
      </c>
      <c r="AG145" s="6" t="str">
        <f t="shared" ref="AG145" si="105">IF(AND(N145&lt;AD145,M145&gt;AC145),"BUY",IF(AND(N145&gt;AD145,M145&lt;AC145),"SELL",IF(M145&gt;AC145,"POSITIVE","NEGATIVE")))</f>
        <v>POSITIVE</v>
      </c>
      <c r="AH145" cm="1">
        <f t="array" ref="AH145">IFERROR(VALUE(_xll.BDP($B145,"INTERVAL_MAE_MOV_AVG","CALC_INTERVAL","65W","PERIODICITY_OVERRIDE","W","TECH_STUDIES_PARAM1_OVERRIDE",39,"USE_PREVIOUS_BUSINESS_DAY","N")),"")</f>
        <v>30.70743592091096</v>
      </c>
      <c r="AI145">
        <f t="shared" si="7"/>
        <v>6560.7735897435905</v>
      </c>
      <c r="AJ145" cm="1">
        <f t="array" ref="AJ145">IFERROR(VALUE(_xll.BDP($B145,"INTERVAL_MAE_MOV_AVG","CALC_INTERVAL","65W","PERIODICITY_OVERRIDE","W","TECH_STUDIES_PARAM1_OVERRIDE",39,"USE_PREVIOUS_BUSINESS_DAY","Y")),"")</f>
        <v>30.724358974358978</v>
      </c>
      <c r="AK145">
        <f t="shared" si="8"/>
        <v>6560.7823076923087</v>
      </c>
      <c r="AL145">
        <f t="shared" ref="AL145" si="106">AH145/AI145</f>
        <v>4.6804596288638383E-3</v>
      </c>
      <c r="AM145">
        <f t="shared" ref="AM145" si="107">AJ145/AK145</f>
        <v>4.6830328356323673E-3</v>
      </c>
      <c r="AN145" s="10" t="str">
        <f t="shared" ref="AN145" si="108">IF(AH145&gt;AJ145,"UP",IF(AH145&lt;AJ145,"DOWN",""))</f>
        <v>DOWN</v>
      </c>
      <c r="AO145" s="10" t="str">
        <f t="shared" ref="AO145" si="109">IF(AL145&gt;AM145,"UP",IF(AL145&lt;AM145,"DOWN",""))</f>
        <v>DOWN</v>
      </c>
      <c r="AP145" s="6" t="str">
        <f t="shared" ref="AP145" si="110">IF(AND(N145&lt;AM145,M145&gt;AL145),"BUY",IF(AND(N145&gt;AM145,M145&lt;AL145),"SELL",IF(M145&gt;AL145,"POSITIVE","NEGATIVE")))</f>
        <v>NEGATIVE</v>
      </c>
      <c r="AQ145" cm="1">
        <f t="array" ref="AQ145">IFERROR(VALUE(_xll.BDP($B145,"INTERVAL_exp_MOV_AVG","CALC_INTERVAL","520D","TECH_STUDIES_PARAM1_OVERRIDE",100,"USE_PREVIOUS_BUSINESS_DAY","N")),"")</f>
        <v>29.503264557484254</v>
      </c>
      <c r="AR145">
        <f t="shared" si="9"/>
        <v>6773.0064518682802</v>
      </c>
      <c r="AS145" cm="1">
        <f t="array" ref="AS145">IFERROR(VALUE(_xll.BDP($B145,"INTERVAL_exp_MOV_AVG","CALC_INTERVAL","520D","TECH_STUDIES_PARAM1_OVERRIDE",100,"USE_PREVIOUS_BUSINESS_DAY","Y")),"")</f>
        <v>29.477269883584391</v>
      </c>
      <c r="AT145">
        <f t="shared" si="10"/>
        <v>6769.6039787132295</v>
      </c>
      <c r="AU145">
        <f t="shared" ref="AU145" si="111">AQ145/AR145</f>
        <v>4.3560071538608991E-3</v>
      </c>
      <c r="AV145">
        <f t="shared" ref="AV145" si="112">AS145/AT145</f>
        <v>4.3543566176506903E-3</v>
      </c>
      <c r="AW145" s="11" t="str">
        <f t="shared" ref="AW145" si="113">IF(AQ145&gt;AS145,"UP",IF(AQ145&lt;AS145,"DOWN",""))</f>
        <v>UP</v>
      </c>
      <c r="AX145" s="11" t="str">
        <f t="shared" ref="AX145" si="114">IF(AU145&gt;AV145,"UP",IF(AU145&lt;AV145,"DOWN",""))</f>
        <v>UP</v>
      </c>
      <c r="AY145" s="6" t="str">
        <f t="shared" ref="AY145" si="115">IF(AND(N145&lt;AV145,M145&gt;AU145),"BUY",IF(AND(N145&gt;AV145,M145&lt;AU145),"SELL",IF(M145&gt;AU145,"POSITIVE","NEGATIVE")))</f>
        <v>POSITIVE</v>
      </c>
      <c r="AZ145" s="12" cm="1">
        <f t="array" ref="AZ145">_xll.BDP($B145, "INTERVAL_RSI", "TECH_STUDIES_PARAM1_OVERRIDE", "5", "PERIODICITY_OVERRIDE", "W")</f>
        <v>50.792410374277004</v>
      </c>
      <c r="BA145" cm="1">
        <f t="array" ref="BA145">IFERROR(VALUE(_xll.BDP($B145,"INTERVAL_MAE_MOV_AVG","CALC_INTERVAL","520D","TECH_STUDIES_PARAM1_OVERRIDE",31,"USE_PREVIOUS_BUSINESS_DAY","N")),"")</f>
        <v>30.71483873921056</v>
      </c>
      <c r="BB145" cm="1">
        <f t="array" ref="BB145">IFERROR(VALUE(_xll.BDP($B145,"INTERVAL_MAE_MOV_AVG","CALC_INTERVAL","760D","TECH_STUDIES_PARAM1_OVERRIDE",200,"USE_PREVIOUS_BUSINESS_DAY","N")),"")</f>
        <v>31.224050004577638</v>
      </c>
      <c r="BC145" s="13">
        <f t="shared" ref="BC145" si="116">-1+(I145/BA145)</f>
        <v>2.4470667558311732E-3</v>
      </c>
      <c r="BD145" s="13">
        <f t="shared" ref="BD145" si="117">-1+(I145/O145)</f>
        <v>1.2362727081708824E-2</v>
      </c>
      <c r="BE145" s="13">
        <f t="shared" ref="BE145" si="118">-1+(I145/BB145)</f>
        <v>-1.3901143654138526E-2</v>
      </c>
      <c r="BF145" s="14" cm="1">
        <f t="array" ref="BF145">VALUE(_xll.BDP($B145,"INTERVAL_DATE_OF_CALC_HI","CALC_INTERVAL","3M"))</f>
        <v>46003</v>
      </c>
      <c r="BG145" s="14" cm="1">
        <f t="array" ref="BG145">VALUE(_xll.BDP($B145,"INTERVAL_DATE_OF_CALC_LO","CALC_INTERVAL","3M"))</f>
        <v>45982</v>
      </c>
      <c r="BH145" s="14" cm="1">
        <f t="array" ref="BH145">VALUE(_xll.BDP($B145,"INTERVAL_DATE_OF_CALC_HI","CALC_INTERVAL","1M"))</f>
        <v>46050</v>
      </c>
      <c r="BI145" s="14" cm="1">
        <f t="array" ref="BI145">VALUE(_xll.BDP($B145,"INTERVAL_DATE_OF_CALC_LO","CALC_INTERVAL","1M"))</f>
        <v>46043</v>
      </c>
      <c r="BJ145" s="15">
        <f>$F145-MIN(_xll.BDP("NYA Index","RSI_14D"),_xll.BDP("RSP US Equity","RSI_14D"))</f>
        <v>-16.586534383852694</v>
      </c>
    </row>
    <row r="146" spans="1:62" x14ac:dyDescent="0.25">
      <c r="A146" s="11">
        <v>145</v>
      </c>
      <c r="B146" s="26" t="s">
        <v>394</v>
      </c>
      <c r="C146" s="1" t="s">
        <v>814</v>
      </c>
      <c r="D146" s="1" t="s">
        <v>308</v>
      </c>
      <c r="E146" s="11" t="s">
        <v>787</v>
      </c>
      <c r="F146">
        <f>IFERROR(VALUE((_xll.BDP($B146,"interval_rsi","tech_studies_param1_override",14))),"")</f>
        <v>28.928806499617309</v>
      </c>
      <c r="G146">
        <f t="shared" si="0"/>
        <v>52.525531939815814</v>
      </c>
      <c r="H146">
        <f t="shared" si="65"/>
        <v>0</v>
      </c>
      <c r="I146" cm="1">
        <f t="array" ref="I146">IFERROR(VALUE(_xll.BDP($B146,"px_last")),"")</f>
        <v>29.815000000000001</v>
      </c>
      <c r="J146">
        <f t="shared" si="1"/>
        <v>6941.47</v>
      </c>
      <c r="K146" cm="1">
        <f t="array" ref="K146">IFERROR(VALUE(_xll.BDP($B146,"PX_YEST_CLOSE")),"")</f>
        <v>30.565000000000001</v>
      </c>
      <c r="L146">
        <f t="shared" si="2"/>
        <v>6941.81</v>
      </c>
      <c r="M146">
        <f t="shared" si="66"/>
        <v>4.2951997199440466E-3</v>
      </c>
      <c r="N146">
        <f t="shared" si="67"/>
        <v>4.4030303335873492E-3</v>
      </c>
      <c r="O146" cm="1">
        <f t="array" ref="O146">IFERROR(VALUE(_xll.BDP($B146,"INTERVAL_MAE_MOV_AVG","CALC_INTERVAL","520D","TECH_STUDIES_PARAM1_OVERRIDE",50,"USE_PREVIOUS_BUSINESS_DAY","N")),"")</f>
        <v>32.588853606391147</v>
      </c>
      <c r="P146">
        <f t="shared" si="3"/>
        <v>6894.0953999999992</v>
      </c>
      <c r="Q146" cm="1">
        <f t="array" ref="Q146">IFERROR(VALUE(_xll.BDP($B146,"INTERVAL_MAE_MOV_AVG","CALC_INTERVAL","520D","TECH_STUDIES_PARAM1_OVERRIDE",50,"USE_PREVIOUS_BUSINESS_DAY","Y")),"")</f>
        <v>32.642555952559995</v>
      </c>
      <c r="R146">
        <f t="shared" si="4"/>
        <v>6892.2477999999992</v>
      </c>
      <c r="S146">
        <f t="shared" si="68"/>
        <v>4.727067398340782E-3</v>
      </c>
      <c r="T146">
        <f t="shared" si="69"/>
        <v>4.736126282714327E-3</v>
      </c>
      <c r="U146" s="11" t="str">
        <f t="shared" si="70"/>
        <v>NEGATIVE</v>
      </c>
      <c r="V146" s="11" t="str">
        <f t="shared" si="71"/>
        <v/>
      </c>
      <c r="W146" s="11" t="str">
        <f t="shared" si="72"/>
        <v>DOWN</v>
      </c>
      <c r="X146" s="6" t="str">
        <f t="shared" si="73"/>
        <v>NEGATIVE</v>
      </c>
      <c r="Y146" cm="1">
        <f t="array" ref="Y146">IFERROR(VALUE(_xll.BDP($B146,"INTERVAL_MAE_MOV_AVG","CALC_INTERVAL","520D","TECH_STUDIES_PARAM1_OVERRIDE",65,"USE_PREVIOUS_BUSINESS_DAY","N")),"")</f>
        <v>32.51724520853319</v>
      </c>
      <c r="Z146">
        <f t="shared" si="5"/>
        <v>6856.0226153846133</v>
      </c>
      <c r="AA146" cm="1">
        <f t="array" ref="AA146">IFERROR(VALUE(_xll.BDP($B146,"INTERVAL_MAE_MOV_AVG","CALC_INTERVAL","520D","TECH_STUDIES_PARAM1_OVERRIDE",65,"USE_PREVIOUS_BUSINESS_DAY","Y")),"")</f>
        <v>32.557978976163078</v>
      </c>
      <c r="AB146">
        <f t="shared" si="6"/>
        <v>6852.6203076923057</v>
      </c>
      <c r="AC146">
        <f t="shared" si="74"/>
        <v>4.7428730960667959E-3</v>
      </c>
      <c r="AD146">
        <f t="shared" si="75"/>
        <v>4.7511721814815291E-3</v>
      </c>
      <c r="AE146" s="10" t="str">
        <f t="shared" si="76"/>
        <v>DOWN</v>
      </c>
      <c r="AF146" s="10" t="str">
        <f t="shared" si="77"/>
        <v>DOWN</v>
      </c>
      <c r="AG146" s="6" t="str">
        <f t="shared" si="78"/>
        <v>NEGATIVE</v>
      </c>
      <c r="AH146" cm="1">
        <f t="array" ref="AH146">IFERROR(VALUE(_xll.BDP($B146,"INTERVAL_MAE_MOV_AVG","CALC_INTERVAL","65W","PERIODICITY_OVERRIDE","W","TECH_STUDIES_PARAM1_OVERRIDE",39,"USE_PREVIOUS_BUSINESS_DAY","N")),"")</f>
        <v>32.38200624222393</v>
      </c>
      <c r="AI146">
        <f t="shared" si="7"/>
        <v>6560.7735897435905</v>
      </c>
      <c r="AJ146" cm="1">
        <f t="array" ref="AJ146">IFERROR(VALUE(_xll.BDP($B146,"INTERVAL_MAE_MOV_AVG","CALC_INTERVAL","65W","PERIODICITY_OVERRIDE","W","TECH_STUDIES_PARAM1_OVERRIDE",39,"USE_PREVIOUS_BUSINESS_DAY","Y")),"")</f>
        <v>32.401236997760911</v>
      </c>
      <c r="AK146">
        <f t="shared" si="8"/>
        <v>6560.7823076923087</v>
      </c>
      <c r="AL146">
        <f t="shared" si="79"/>
        <v>4.9356993957003006E-3</v>
      </c>
      <c r="AM146">
        <f t="shared" si="80"/>
        <v>4.9386240052152761E-3</v>
      </c>
      <c r="AN146" s="10" t="str">
        <f t="shared" si="81"/>
        <v>DOWN</v>
      </c>
      <c r="AO146" s="10" t="str">
        <f t="shared" si="82"/>
        <v>DOWN</v>
      </c>
      <c r="AP146" s="6" t="str">
        <f t="shared" si="83"/>
        <v>NEGATIVE</v>
      </c>
      <c r="AQ146" cm="1">
        <f t="array" ref="AQ146">IFERROR(VALUE(_xll.BDP($B146,"INTERVAL_exp_MOV_AVG","CALC_INTERVAL","520D","TECH_STUDIES_PARAM1_OVERRIDE",100,"USE_PREVIOUS_BUSINESS_DAY","N")),"")</f>
        <v>32.559988003819207</v>
      </c>
      <c r="AR146">
        <f t="shared" si="9"/>
        <v>6773.0064518682802</v>
      </c>
      <c r="AS146" cm="1">
        <f t="array" ref="AS146">IFERROR(VALUE(_xll.BDP($B146,"INTERVAL_exp_MOV_AVG","CALC_INTERVAL","520D","TECH_STUDIES_PARAM1_OVERRIDE",100,"USE_PREVIOUS_BUSINESS_DAY","Y")),"")</f>
        <v>32.615447530607113</v>
      </c>
      <c r="AT146">
        <f t="shared" si="10"/>
        <v>6769.6039787132295</v>
      </c>
      <c r="AU146">
        <f t="shared" si="84"/>
        <v>4.8073168444772102E-3</v>
      </c>
      <c r="AV146">
        <f t="shared" si="85"/>
        <v>4.8179254847351763E-3</v>
      </c>
      <c r="AW146" s="11" t="str">
        <f t="shared" si="86"/>
        <v>DOWN</v>
      </c>
      <c r="AX146" s="11" t="str">
        <f t="shared" si="87"/>
        <v>DOWN</v>
      </c>
      <c r="AY146" s="6" t="str">
        <f t="shared" si="88"/>
        <v>NEGATIVE</v>
      </c>
      <c r="AZ146" s="12" cm="1">
        <f t="array" ref="AZ146">_xll.BDP($B146, "INTERVAL_RSI", "TECH_STUDIES_PARAM1_OVERRIDE", "5", "PERIODICITY_OVERRIDE", "W")</f>
        <v>17.877060134199169</v>
      </c>
      <c r="BA146" cm="1">
        <f t="array" ref="BA146">IFERROR(VALUE(_xll.BDP($B146,"INTERVAL_MAE_MOV_AVG","CALC_INTERVAL","520D","TECH_STUDIES_PARAM1_OVERRIDE",31,"USE_PREVIOUS_BUSINESS_DAY","N")),"")</f>
        <v>32.506153295114764</v>
      </c>
      <c r="BB146" cm="1">
        <f t="array" ref="BB146">IFERROR(VALUE(_xll.BDP($B146,"INTERVAL_MAE_MOV_AVG","CALC_INTERVAL","760D","TECH_STUDIES_PARAM1_OVERRIDE",200,"USE_PREVIOUS_BUSINESS_DAY","N")),"")</f>
        <v>32.248785903838382</v>
      </c>
      <c r="BC146" s="13">
        <f t="shared" si="89"/>
        <v>-8.2789042144805425E-2</v>
      </c>
      <c r="BD146" s="13">
        <f t="shared" si="90"/>
        <v>-8.5116636500743748E-2</v>
      </c>
      <c r="BE146" s="13">
        <f t="shared" si="91"/>
        <v>-7.5469070714649811E-2</v>
      </c>
      <c r="BF146" s="14" cm="1">
        <f t="array" ref="BF146">VALUE(_xll.BDP($B146,"INTERVAL_DATE_OF_CALC_HI","CALC_INTERVAL","3M"))</f>
        <v>46034</v>
      </c>
      <c r="BG146" s="14" cm="1">
        <f t="array" ref="BG146">VALUE(_xll.BDP($B146,"INTERVAL_DATE_OF_CALC_LO","CALC_INTERVAL","3M"))</f>
        <v>46064</v>
      </c>
      <c r="BH146" s="14" cm="1">
        <f t="array" ref="BH146">VALUE(_xll.BDP($B146,"INTERVAL_DATE_OF_CALC_HI","CALC_INTERVAL","1M"))</f>
        <v>46034</v>
      </c>
      <c r="BI146" s="14" cm="1">
        <f t="array" ref="BI146">VALUE(_xll.BDP($B146,"INTERVAL_DATE_OF_CALC_LO","CALC_INTERVAL","1M"))</f>
        <v>46064</v>
      </c>
      <c r="BJ146" s="15">
        <f>$F146-MIN(_xll.BDP("NYA Index","RSI_14D"),_xll.BDP("RSP US Equity","RSI_14D"))</f>
        <v>-37.416957660538941</v>
      </c>
    </row>
    <row r="147" spans="1:62" x14ac:dyDescent="0.25">
      <c r="A147" s="11">
        <v>146</v>
      </c>
      <c r="B147" s="26" t="s">
        <v>157</v>
      </c>
      <c r="C147" s="1" t="s">
        <v>815</v>
      </c>
      <c r="D147" s="1" t="s">
        <v>308</v>
      </c>
      <c r="E147" s="11" t="s">
        <v>787</v>
      </c>
      <c r="F147">
        <f>IFERROR(VALUE((_xll.BDP($B147,"interval_rsi","tech_studies_param1_override",14))),"")</f>
        <v>54.497142101541357</v>
      </c>
      <c r="G147">
        <f t="shared" si="0"/>
        <v>52.525531939815814</v>
      </c>
      <c r="H147">
        <f t="shared" si="65"/>
        <v>0</v>
      </c>
      <c r="I147" cm="1">
        <f t="array" ref="I147">IFERROR(VALUE(_xll.BDP($B147,"px_last")),"")</f>
        <v>45.35</v>
      </c>
      <c r="J147">
        <f t="shared" si="1"/>
        <v>6941.47</v>
      </c>
      <c r="K147" cm="1">
        <f t="array" ref="K147">IFERROR(VALUE(_xll.BDP($B147,"PX_YEST_CLOSE")),"")</f>
        <v>44.54</v>
      </c>
      <c r="L147">
        <f t="shared" si="2"/>
        <v>6941.81</v>
      </c>
      <c r="M147">
        <f t="shared" si="66"/>
        <v>6.5331982994956397E-3</v>
      </c>
      <c r="N147">
        <f t="shared" si="67"/>
        <v>6.4161940473738115E-3</v>
      </c>
      <c r="O147" cm="1">
        <f t="array" ref="O147">IFERROR(VALUE(_xll.BDP($B147,"INTERVAL_MAE_MOV_AVG","CALC_INTERVAL","520D","TECH_STUDIES_PARAM1_OVERRIDE",50,"USE_PREVIOUS_BUSINESS_DAY","N")),"")</f>
        <v>42.25128830926522</v>
      </c>
      <c r="P147">
        <f t="shared" si="3"/>
        <v>6894.0953999999992</v>
      </c>
      <c r="Q147" cm="1">
        <f t="array" ref="Q147">IFERROR(VALUE(_xll.BDP($B147,"INTERVAL_MAE_MOV_AVG","CALC_INTERVAL","520D","TECH_STUDIES_PARAM1_OVERRIDE",50,"USE_PREVIOUS_BUSINESS_DAY","Y")),"")</f>
        <v>42.098798108680661</v>
      </c>
      <c r="R147">
        <f t="shared" si="4"/>
        <v>6892.2477999999992</v>
      </c>
      <c r="S147">
        <f t="shared" si="68"/>
        <v>6.128619616906552E-3</v>
      </c>
      <c r="T147">
        <f t="shared" si="69"/>
        <v>6.108137625098254E-3</v>
      </c>
      <c r="U147" s="11" t="str">
        <f t="shared" si="70"/>
        <v>NEGATIVE</v>
      </c>
      <c r="V147" s="11" t="str">
        <f t="shared" si="71"/>
        <v/>
      </c>
      <c r="W147" s="11" t="str">
        <f t="shared" si="72"/>
        <v>UP</v>
      </c>
      <c r="X147" s="6" t="str">
        <f t="shared" si="73"/>
        <v>POSITIVE</v>
      </c>
      <c r="Y147" cm="1">
        <f t="array" ref="Y147">IFERROR(VALUE(_xll.BDP($B147,"INTERVAL_MAE_MOV_AVG","CALC_INTERVAL","520D","TECH_STUDIES_PARAM1_OVERRIDE",65,"USE_PREVIOUS_BUSINESS_DAY","N")),"")</f>
        <v>40.970331736595952</v>
      </c>
      <c r="Z147">
        <f t="shared" si="5"/>
        <v>6856.0226153846133</v>
      </c>
      <c r="AA147" cm="1">
        <f t="array" ref="AA147">IFERROR(VALUE(_xll.BDP($B147,"INTERVAL_MAE_MOV_AVG","CALC_INTERVAL","520D","TECH_STUDIES_PARAM1_OVERRIDE",65,"USE_PREVIOUS_BUSINESS_DAY","Y")),"")</f>
        <v>40.813020397432332</v>
      </c>
      <c r="AB147">
        <f t="shared" si="6"/>
        <v>6852.6203076923057</v>
      </c>
      <c r="AC147">
        <f t="shared" si="74"/>
        <v>5.9758163056026579E-3</v>
      </c>
      <c r="AD147">
        <f t="shared" si="75"/>
        <v>5.9558269048729127E-3</v>
      </c>
      <c r="AE147" s="10" t="str">
        <f t="shared" si="76"/>
        <v>UP</v>
      </c>
      <c r="AF147" s="10" t="str">
        <f t="shared" si="77"/>
        <v>UP</v>
      </c>
      <c r="AG147" s="6" t="str">
        <f t="shared" si="78"/>
        <v>POSITIVE</v>
      </c>
      <c r="AH147" cm="1">
        <f t="array" ref="AH147">IFERROR(VALUE(_xll.BDP($B147,"INTERVAL_MAE_MOV_AVG","CALC_INTERVAL","65W","PERIODICITY_OVERRIDE","W","TECH_STUDIES_PARAM1_OVERRIDE",39,"USE_PREVIOUS_BUSINESS_DAY","N")),"")</f>
        <v>35.363085791671089</v>
      </c>
      <c r="AI147">
        <f t="shared" si="7"/>
        <v>6560.7735897435905</v>
      </c>
      <c r="AJ147" cm="1">
        <f t="array" ref="AJ147">IFERROR(VALUE(_xll.BDP($B147,"INTERVAL_MAE_MOV_AVG","CALC_INTERVAL","65W","PERIODICITY_OVERRIDE","W","TECH_STUDIES_PARAM1_OVERRIDE",39,"USE_PREVIOUS_BUSINESS_DAY","Y")),"")</f>
        <v>35.342316600026962</v>
      </c>
      <c r="AK147">
        <f t="shared" si="8"/>
        <v>6560.7823076923087</v>
      </c>
      <c r="AL147">
        <f t="shared" si="79"/>
        <v>5.3900786710509175E-3</v>
      </c>
      <c r="AM147">
        <f t="shared" si="80"/>
        <v>5.386905850936285E-3</v>
      </c>
      <c r="AN147" s="10" t="str">
        <f t="shared" si="81"/>
        <v>UP</v>
      </c>
      <c r="AO147" s="10" t="str">
        <f t="shared" si="82"/>
        <v>UP</v>
      </c>
      <c r="AP147" s="6" t="str">
        <f t="shared" si="83"/>
        <v>POSITIVE</v>
      </c>
      <c r="AQ147" cm="1">
        <f t="array" ref="AQ147">IFERROR(VALUE(_xll.BDP($B147,"INTERVAL_exp_MOV_AVG","CALC_INTERVAL","520D","TECH_STUDIES_PARAM1_OVERRIDE",100,"USE_PREVIOUS_BUSINESS_DAY","N")),"")</f>
        <v>39.577706515985469</v>
      </c>
      <c r="AR147">
        <f t="shared" si="9"/>
        <v>6773.0064518682802</v>
      </c>
      <c r="AS147" cm="1">
        <f t="array" ref="AS147">IFERROR(VALUE(_xll.BDP($B147,"INTERVAL_exp_MOV_AVG","CALC_INTERVAL","520D","TECH_STUDIES_PARAM1_OVERRIDE",100,"USE_PREVIOUS_BUSINESS_DAY","Y")),"")</f>
        <v>39.461104560569382</v>
      </c>
      <c r="AT147">
        <f t="shared" si="10"/>
        <v>6769.6039787132295</v>
      </c>
      <c r="AU147">
        <f t="shared" si="84"/>
        <v>5.843447337196655E-3</v>
      </c>
      <c r="AV147">
        <f t="shared" si="85"/>
        <v>5.8291599751851622E-3</v>
      </c>
      <c r="AW147" s="11" t="str">
        <f t="shared" si="86"/>
        <v>UP</v>
      </c>
      <c r="AX147" s="11" t="str">
        <f t="shared" si="87"/>
        <v>UP</v>
      </c>
      <c r="AY147" s="6" t="str">
        <f t="shared" si="88"/>
        <v>POSITIVE</v>
      </c>
      <c r="AZ147" s="12" cm="1">
        <f t="array" ref="AZ147">_xll.BDP($B147, "INTERVAL_RSI", "TECH_STUDIES_PARAM1_OVERRIDE", "5", "PERIODICITY_OVERRIDE", "W")</f>
        <v>80.023463207578374</v>
      </c>
      <c r="BA147" cm="1">
        <f t="array" ref="BA147">IFERROR(VALUE(_xll.BDP($B147,"INTERVAL_MAE_MOV_AVG","CALC_INTERVAL","520D","TECH_STUDIES_PARAM1_OVERRIDE",31,"USE_PREVIOUS_BUSINESS_DAY","N")),"")</f>
        <v>44.350381497552284</v>
      </c>
      <c r="BB147" cm="1">
        <f t="array" ref="BB147">IFERROR(VALUE(_xll.BDP($B147,"INTERVAL_MAE_MOV_AVG","CALC_INTERVAL","760D","TECH_STUDIES_PARAM1_OVERRIDE",200,"USE_PREVIOUS_BUSINESS_DAY","N")),"")</f>
        <v>34.859295587067372</v>
      </c>
      <c r="BC147" s="13">
        <f t="shared" si="89"/>
        <v>2.2539118462890473E-2</v>
      </c>
      <c r="BD147" s="13">
        <f t="shared" si="90"/>
        <v>7.3340052214579954E-2</v>
      </c>
      <c r="BE147" s="13">
        <f t="shared" si="91"/>
        <v>0.30094424560961675</v>
      </c>
      <c r="BF147" s="14" cm="1">
        <f t="array" ref="BF147">VALUE(_xll.BDP($B147,"INTERVAL_DATE_OF_CALC_HI","CALC_INTERVAL","3M"))</f>
        <v>46049</v>
      </c>
      <c r="BG147" s="14" cm="1">
        <f t="array" ref="BG147">VALUE(_xll.BDP($B147,"INTERVAL_DATE_OF_CALC_LO","CALC_INTERVAL","3M"))</f>
        <v>45982</v>
      </c>
      <c r="BH147" s="14" cm="1">
        <f t="array" ref="BH147">VALUE(_xll.BDP($B147,"INTERVAL_DATE_OF_CALC_HI","CALC_INTERVAL","1M"))</f>
        <v>46049</v>
      </c>
      <c r="BI147" s="14" cm="1">
        <f t="array" ref="BI147">VALUE(_xll.BDP($B147,"INTERVAL_DATE_OF_CALC_LO","CALC_INTERVAL","1M"))</f>
        <v>46034</v>
      </c>
      <c r="BJ147" s="15">
        <f>$F147-MIN(_xll.BDP("NYA Index","RSI_14D"),_xll.BDP("RSP US Equity","RSI_14D"))</f>
        <v>-11.848622058614893</v>
      </c>
    </row>
    <row r="148" spans="1:62" x14ac:dyDescent="0.25">
      <c r="A148" s="11">
        <v>147</v>
      </c>
      <c r="B148" s="26" t="s">
        <v>395</v>
      </c>
      <c r="C148" s="1" t="s">
        <v>816</v>
      </c>
      <c r="D148" s="1" t="s">
        <v>308</v>
      </c>
      <c r="E148" s="11" t="s">
        <v>787</v>
      </c>
      <c r="F148">
        <f>IFERROR(VALUE((_xll.BDP($B148,"interval_rsi","tech_studies_param1_override",14))),"")</f>
        <v>70.39031567241679</v>
      </c>
      <c r="G148">
        <f t="shared" si="0"/>
        <v>52.525531939815814</v>
      </c>
      <c r="H148">
        <f t="shared" si="65"/>
        <v>1</v>
      </c>
      <c r="I148" cm="1">
        <f t="array" ref="I148">IFERROR(VALUE(_xll.BDP($B148,"px_last")),"")</f>
        <v>61.56</v>
      </c>
      <c r="J148">
        <f t="shared" si="1"/>
        <v>6941.47</v>
      </c>
      <c r="K148" cm="1">
        <f t="array" ref="K148">IFERROR(VALUE(_xll.BDP($B148,"PX_YEST_CLOSE")),"")</f>
        <v>60.6</v>
      </c>
      <c r="L148">
        <f t="shared" si="2"/>
        <v>6941.81</v>
      </c>
      <c r="M148">
        <f t="shared" si="66"/>
        <v>8.8684385295909936E-3</v>
      </c>
      <c r="N148">
        <f t="shared" si="67"/>
        <v>8.7297117034318139E-3</v>
      </c>
      <c r="O148" cm="1">
        <f t="array" ref="O148">IFERROR(VALUE(_xll.BDP($B148,"INTERVAL_MAE_MOV_AVG","CALC_INTERVAL","520D","TECH_STUDIES_PARAM1_OVERRIDE",50,"USE_PREVIOUS_BUSINESS_DAY","N")),"")</f>
        <v>56.555978813065813</v>
      </c>
      <c r="P148">
        <f t="shared" si="3"/>
        <v>6894.0953999999992</v>
      </c>
      <c r="Q148" cm="1">
        <f t="array" ref="Q148">IFERROR(VALUE(_xll.BDP($B148,"INTERVAL_MAE_MOV_AVG","CALC_INTERVAL","520D","TECH_STUDIES_PARAM1_OVERRIDE",50,"USE_PREVIOUS_BUSINESS_DAY","Y")),"")</f>
        <v>56.395845336000001</v>
      </c>
      <c r="R148">
        <f t="shared" si="4"/>
        <v>6892.2477999999992</v>
      </c>
      <c r="S148">
        <f t="shared" si="68"/>
        <v>8.203538757683251E-3</v>
      </c>
      <c r="T148">
        <f t="shared" si="69"/>
        <v>8.1825040208217716E-3</v>
      </c>
      <c r="U148" s="11" t="str">
        <f t="shared" si="70"/>
        <v>POSITIVE</v>
      </c>
      <c r="V148" s="11" t="str">
        <f t="shared" si="71"/>
        <v/>
      </c>
      <c r="W148" s="11" t="str">
        <f t="shared" si="72"/>
        <v>UP</v>
      </c>
      <c r="X148" s="6" t="str">
        <f t="shared" si="73"/>
        <v>POSITIVE</v>
      </c>
      <c r="Y148" cm="1">
        <f t="array" ref="Y148">IFERROR(VALUE(_xll.BDP($B148,"INTERVAL_MAE_MOV_AVG","CALC_INTERVAL","520D","TECH_STUDIES_PARAM1_OVERRIDE",65,"USE_PREVIOUS_BUSINESS_DAY","N")),"")</f>
        <v>55.87488991589678</v>
      </c>
      <c r="Z148">
        <f t="shared" si="5"/>
        <v>6856.0226153846133</v>
      </c>
      <c r="AA148" cm="1">
        <f t="array" ref="AA148">IFERROR(VALUE(_xll.BDP($B148,"INTERVAL_MAE_MOV_AVG","CALC_INTERVAL","520D","TECH_STUDIES_PARAM1_OVERRIDE",65,"USE_PREVIOUS_BUSINESS_DAY","Y")),"")</f>
        <v>55.757625634153854</v>
      </c>
      <c r="AB148">
        <f t="shared" si="6"/>
        <v>6852.6203076923057</v>
      </c>
      <c r="AC148">
        <f t="shared" si="74"/>
        <v>8.1497528596997312E-3</v>
      </c>
      <c r="AD148">
        <f t="shared" si="75"/>
        <v>8.1366868629163605E-3</v>
      </c>
      <c r="AE148" s="10" t="str">
        <f t="shared" si="76"/>
        <v>UP</v>
      </c>
      <c r="AF148" s="10" t="str">
        <f t="shared" si="77"/>
        <v>UP</v>
      </c>
      <c r="AG148" s="6" t="str">
        <f t="shared" si="78"/>
        <v>POSITIVE</v>
      </c>
      <c r="AH148" cm="1">
        <f t="array" ref="AH148">IFERROR(VALUE(_xll.BDP($B148,"INTERVAL_MAE_MOV_AVG","CALC_INTERVAL","65W","PERIODICITY_OVERRIDE","W","TECH_STUDIES_PARAM1_OVERRIDE",39,"USE_PREVIOUS_BUSINESS_DAY","N")),"")</f>
        <v>51.92831710650097</v>
      </c>
      <c r="AI148">
        <f t="shared" si="7"/>
        <v>6560.7735897435905</v>
      </c>
      <c r="AJ148" cm="1">
        <f t="array" ref="AJ148">IFERROR(VALUE(_xll.BDP($B148,"INTERVAL_MAE_MOV_AVG","CALC_INTERVAL","65W","PERIODICITY_OVERRIDE","W","TECH_STUDIES_PARAM1_OVERRIDE",39,"USE_PREVIOUS_BUSINESS_DAY","Y")),"")</f>
        <v>51.90370168667301</v>
      </c>
      <c r="AK148">
        <f t="shared" si="8"/>
        <v>6560.7823076923087</v>
      </c>
      <c r="AL148">
        <f t="shared" si="79"/>
        <v>7.9149686231636054E-3</v>
      </c>
      <c r="AM148">
        <f t="shared" si="80"/>
        <v>7.9112062026227524E-3</v>
      </c>
      <c r="AN148" s="10" t="str">
        <f t="shared" si="81"/>
        <v>UP</v>
      </c>
      <c r="AO148" s="10" t="str">
        <f t="shared" si="82"/>
        <v>UP</v>
      </c>
      <c r="AP148" s="6" t="str">
        <f t="shared" si="83"/>
        <v>POSITIVE</v>
      </c>
      <c r="AQ148" cm="1">
        <f t="array" ref="AQ148">IFERROR(VALUE(_xll.BDP($B148,"INTERVAL_exp_MOV_AVG","CALC_INTERVAL","520D","TECH_STUDIES_PARAM1_OVERRIDE",100,"USE_PREVIOUS_BUSINESS_DAY","N")),"")</f>
        <v>55.112826586416205</v>
      </c>
      <c r="AR148">
        <f t="shared" si="9"/>
        <v>6773.0064518682802</v>
      </c>
      <c r="AS148" cm="1">
        <f t="array" ref="AS148">IFERROR(VALUE(_xll.BDP($B148,"INTERVAL_exp_MOV_AVG","CALC_INTERVAL","520D","TECH_STUDIES_PARAM1_OVERRIDE",100,"USE_PREVIOUS_BUSINESS_DAY","Y")),"")</f>
        <v>54.982597501713606</v>
      </c>
      <c r="AT148">
        <f t="shared" si="10"/>
        <v>6769.6039787132295</v>
      </c>
      <c r="AU148">
        <f t="shared" si="84"/>
        <v>8.1371289069440897E-3</v>
      </c>
      <c r="AV148">
        <f t="shared" si="85"/>
        <v>8.1219813854110749E-3</v>
      </c>
      <c r="AW148" s="11" t="str">
        <f t="shared" si="86"/>
        <v>UP</v>
      </c>
      <c r="AX148" s="11" t="str">
        <f t="shared" si="87"/>
        <v>UP</v>
      </c>
      <c r="AY148" s="6" t="str">
        <f t="shared" si="88"/>
        <v>POSITIVE</v>
      </c>
      <c r="AZ148" s="12" cm="1">
        <f t="array" ref="AZ148">_xll.BDP($B148, "INTERVAL_RSI", "TECH_STUDIES_PARAM1_OVERRIDE", "5", "PERIODICITY_OVERRIDE", "W")</f>
        <v>94.158610879174873</v>
      </c>
      <c r="BA148" cm="1">
        <f t="array" ref="BA148">IFERROR(VALUE(_xll.BDP($B148,"INTERVAL_MAE_MOV_AVG","CALC_INTERVAL","520D","TECH_STUDIES_PARAM1_OVERRIDE",31,"USE_PREVIOUS_BUSINESS_DAY","N")),"")</f>
        <v>58.281935528170678</v>
      </c>
      <c r="BB148" cm="1">
        <f t="array" ref="BB148">IFERROR(VALUE(_xll.BDP($B148,"INTERVAL_MAE_MOV_AVG","CALC_INTERVAL","760D","TECH_STUDIES_PARAM1_OVERRIDE",200,"USE_PREVIOUS_BUSINESS_DAY","N")),"")</f>
        <v>51.204465523125293</v>
      </c>
      <c r="BC148" s="13">
        <f t="shared" si="89"/>
        <v>5.6244948664151195E-2</v>
      </c>
      <c r="BD148" s="13">
        <f t="shared" si="90"/>
        <v>8.8479083767146083E-2</v>
      </c>
      <c r="BE148" s="13">
        <f t="shared" si="91"/>
        <v>0.2022388940315738</v>
      </c>
      <c r="BF148" s="14" cm="1">
        <f t="array" ref="BF148">VALUE(_xll.BDP($B148,"INTERVAL_DATE_OF_CALC_HI","CALC_INTERVAL","3M"))</f>
        <v>46064</v>
      </c>
      <c r="BG148" s="14" cm="1">
        <f t="array" ref="BG148">VALUE(_xll.BDP($B148,"INTERVAL_DATE_OF_CALC_LO","CALC_INTERVAL","3M"))</f>
        <v>45982</v>
      </c>
      <c r="BH148" s="14" cm="1">
        <f t="array" ref="BH148">VALUE(_xll.BDP($B148,"INTERVAL_DATE_OF_CALC_HI","CALC_INTERVAL","1M"))</f>
        <v>46064</v>
      </c>
      <c r="BI148" s="14" cm="1">
        <f t="array" ref="BI148">VALUE(_xll.BDP($B148,"INTERVAL_DATE_OF_CALC_LO","CALC_INTERVAL","1M"))</f>
        <v>46042</v>
      </c>
      <c r="BJ148" s="15">
        <f>$F148-MIN(_xll.BDP("NYA Index","RSI_14D"),_xll.BDP("RSP US Equity","RSI_14D"))</f>
        <v>4.04455151226054</v>
      </c>
    </row>
    <row r="149" spans="1:62" x14ac:dyDescent="0.25">
      <c r="A149" s="11">
        <v>148</v>
      </c>
      <c r="B149" s="26" t="s">
        <v>396</v>
      </c>
      <c r="C149" s="1" t="s">
        <v>817</v>
      </c>
      <c r="D149" s="1" t="s">
        <v>308</v>
      </c>
      <c r="E149" s="11" t="s">
        <v>787</v>
      </c>
      <c r="F149">
        <f>IFERROR(VALUE((_xll.BDP($B149,"interval_rsi","tech_studies_param1_override",14))),"")</f>
        <v>71.687080499838444</v>
      </c>
      <c r="G149">
        <f t="shared" si="0"/>
        <v>52.525531939815814</v>
      </c>
      <c r="H149">
        <f t="shared" si="65"/>
        <v>1</v>
      </c>
      <c r="I149" cm="1">
        <f t="array" ref="I149">IFERROR(VALUE(_xll.BDP($B149,"px_last")),"")</f>
        <v>104.94</v>
      </c>
      <c r="J149">
        <f t="shared" si="1"/>
        <v>6941.47</v>
      </c>
      <c r="K149" cm="1">
        <f t="array" ref="K149">IFERROR(VALUE(_xll.BDP($B149,"PX_YEST_CLOSE")),"")</f>
        <v>104.24</v>
      </c>
      <c r="L149">
        <f t="shared" si="2"/>
        <v>6941.81</v>
      </c>
      <c r="M149">
        <f t="shared" si="66"/>
        <v>1.5117835271203361E-2</v>
      </c>
      <c r="N149">
        <f t="shared" si="67"/>
        <v>1.5016256567091291E-2</v>
      </c>
      <c r="O149" cm="1">
        <f t="array" ref="O149">IFERROR(VALUE(_xll.BDP($B149,"INTERVAL_MAE_MOV_AVG","CALC_INTERVAL","520D","TECH_STUDIES_PARAM1_OVERRIDE",50,"USE_PREVIOUS_BUSINESS_DAY","N")),"")</f>
        <v>97.936933180428127</v>
      </c>
      <c r="P149">
        <f t="shared" si="3"/>
        <v>6894.0953999999992</v>
      </c>
      <c r="Q149" cm="1">
        <f t="array" ref="Q149">IFERROR(VALUE(_xll.BDP($B149,"INTERVAL_MAE_MOV_AVG","CALC_INTERVAL","520D","TECH_STUDIES_PARAM1_OVERRIDE",50,"USE_PREVIOUS_BUSINESS_DAY","Y")),"")</f>
        <v>97.708051203000011</v>
      </c>
      <c r="R149">
        <f t="shared" si="4"/>
        <v>6892.2477999999992</v>
      </c>
      <c r="S149">
        <f t="shared" si="68"/>
        <v>1.420591498928607E-2</v>
      </c>
      <c r="T149">
        <f t="shared" si="69"/>
        <v>1.4176514547692268E-2</v>
      </c>
      <c r="U149" s="11" t="str">
        <f t="shared" si="70"/>
        <v>POSITIVE</v>
      </c>
      <c r="V149" s="11" t="str">
        <f t="shared" si="71"/>
        <v/>
      </c>
      <c r="W149" s="11" t="str">
        <f t="shared" si="72"/>
        <v>UP</v>
      </c>
      <c r="X149" s="6" t="str">
        <f t="shared" si="73"/>
        <v>POSITIVE</v>
      </c>
      <c r="Y149" cm="1">
        <f t="array" ref="Y149">IFERROR(VALUE(_xll.BDP($B149,"INTERVAL_MAE_MOV_AVG","CALC_INTERVAL","520D","TECH_STUDIES_PARAM1_OVERRIDE",65,"USE_PREVIOUS_BUSINESS_DAY","N")),"")</f>
        <v>96.684511313713955</v>
      </c>
      <c r="Z149">
        <f t="shared" si="5"/>
        <v>6856.0226153846133</v>
      </c>
      <c r="AA149" cm="1">
        <f t="array" ref="AA149">IFERROR(VALUE(_xll.BDP($B149,"INTERVAL_MAE_MOV_AVG","CALC_INTERVAL","520D","TECH_STUDIES_PARAM1_OVERRIDE",65,"USE_PREVIOUS_BUSINESS_DAY","Y")),"")</f>
        <v>96.489710843076921</v>
      </c>
      <c r="AB149">
        <f t="shared" si="6"/>
        <v>6852.6203076923057</v>
      </c>
      <c r="AC149">
        <f t="shared" si="74"/>
        <v>1.4102128411414245E-2</v>
      </c>
      <c r="AD149">
        <f t="shared" si="75"/>
        <v>1.4080702929763064E-2</v>
      </c>
      <c r="AE149" s="10" t="str">
        <f t="shared" si="76"/>
        <v>UP</v>
      </c>
      <c r="AF149" s="10" t="str">
        <f t="shared" si="77"/>
        <v>UP</v>
      </c>
      <c r="AG149" s="6" t="str">
        <f t="shared" si="78"/>
        <v>POSITIVE</v>
      </c>
      <c r="AH149" cm="1">
        <f t="array" ref="AH149">IFERROR(VALUE(_xll.BDP($B149,"INTERVAL_MAE_MOV_AVG","CALC_INTERVAL","65W","PERIODICITY_OVERRIDE","W","TECH_STUDIES_PARAM1_OVERRIDE",39,"USE_PREVIOUS_BUSINESS_DAY","N")),"")</f>
        <v>92.199903515573979</v>
      </c>
      <c r="AI149">
        <f t="shared" si="7"/>
        <v>6560.7735897435905</v>
      </c>
      <c r="AJ149" cm="1">
        <f t="array" ref="AJ149">IFERROR(VALUE(_xll.BDP($B149,"INTERVAL_MAE_MOV_AVG","CALC_INTERVAL","65W","PERIODICITY_OVERRIDE","W","TECH_STUDIES_PARAM1_OVERRIDE",39,"USE_PREVIOUS_BUSINESS_DAY","Y")),"")</f>
        <v>92.181954735025101</v>
      </c>
      <c r="AK149">
        <f t="shared" si="8"/>
        <v>6560.7823076923087</v>
      </c>
      <c r="AL149">
        <f t="shared" si="79"/>
        <v>1.4053206112722655E-2</v>
      </c>
      <c r="AM149">
        <f t="shared" si="80"/>
        <v>1.4050451670518726E-2</v>
      </c>
      <c r="AN149" s="10" t="str">
        <f t="shared" si="81"/>
        <v>UP</v>
      </c>
      <c r="AO149" s="10" t="str">
        <f t="shared" si="82"/>
        <v>UP</v>
      </c>
      <c r="AP149" s="6" t="str">
        <f t="shared" si="83"/>
        <v>POSITIVE</v>
      </c>
      <c r="AQ149" cm="1">
        <f t="array" ref="AQ149">IFERROR(VALUE(_xll.BDP($B149,"INTERVAL_exp_MOV_AVG","CALC_INTERVAL","520D","TECH_STUDIES_PARAM1_OVERRIDE",100,"USE_PREVIOUS_BUSINESS_DAY","N")),"")</f>
        <v>95.746726795977096</v>
      </c>
      <c r="AR149">
        <f t="shared" si="9"/>
        <v>6773.0064518682802</v>
      </c>
      <c r="AS149" cm="1">
        <f t="array" ref="AS149">IFERROR(VALUE(_xll.BDP($B149,"INTERVAL_exp_MOV_AVG","CALC_INTERVAL","520D","TECH_STUDIES_PARAM1_OVERRIDE",100,"USE_PREVIOUS_BUSINESS_DAY","Y")),"")</f>
        <v>95.561024394288552</v>
      </c>
      <c r="AT149">
        <f t="shared" si="10"/>
        <v>6769.6039787132295</v>
      </c>
      <c r="AU149">
        <f t="shared" si="84"/>
        <v>1.4136517878196635E-2</v>
      </c>
      <c r="AV149">
        <f t="shared" si="85"/>
        <v>1.4116191241729454E-2</v>
      </c>
      <c r="AW149" s="11" t="str">
        <f t="shared" si="86"/>
        <v>UP</v>
      </c>
      <c r="AX149" s="11" t="str">
        <f t="shared" si="87"/>
        <v>UP</v>
      </c>
      <c r="AY149" s="6" t="str">
        <f t="shared" si="88"/>
        <v>POSITIVE</v>
      </c>
      <c r="AZ149" s="12" cm="1">
        <f t="array" ref="AZ149">_xll.BDP($B149, "INTERVAL_RSI", "TECH_STUDIES_PARAM1_OVERRIDE", "5", "PERIODICITY_OVERRIDE", "W")</f>
        <v>95.906837671170592</v>
      </c>
      <c r="BA149" cm="1">
        <f t="array" ref="BA149">IFERROR(VALUE(_xll.BDP($B149,"INTERVAL_MAE_MOV_AVG","CALC_INTERVAL","520D","TECH_STUDIES_PARAM1_OVERRIDE",31,"USE_PREVIOUS_BUSINESS_DAY","N")),"")</f>
        <v>99.885161369077636</v>
      </c>
      <c r="BB149" cm="1">
        <f t="array" ref="BB149">IFERROR(VALUE(_xll.BDP($B149,"INTERVAL_MAE_MOV_AVG","CALC_INTERVAL","760D","TECH_STUDIES_PARAM1_OVERRIDE",200,"USE_PREVIOUS_BUSINESS_DAY","N")),"")</f>
        <v>91.213181287841749</v>
      </c>
      <c r="BC149" s="13">
        <f t="shared" si="89"/>
        <v>5.0606502123419883E-2</v>
      </c>
      <c r="BD149" s="13">
        <f t="shared" si="90"/>
        <v>7.1505882328071202E-2</v>
      </c>
      <c r="BE149" s="13">
        <f t="shared" si="91"/>
        <v>0.15049161226863128</v>
      </c>
      <c r="BF149" s="14" cm="1">
        <f t="array" ref="BF149">VALUE(_xll.BDP($B149,"INTERVAL_DATE_OF_CALC_HI","CALC_INTERVAL","3M"))</f>
        <v>46064</v>
      </c>
      <c r="BG149" s="14" cm="1">
        <f t="array" ref="BG149">VALUE(_xll.BDP($B149,"INTERVAL_DATE_OF_CALC_LO","CALC_INTERVAL","3M"))</f>
        <v>45981</v>
      </c>
      <c r="BH149" s="14" cm="1">
        <f t="array" ref="BH149">VALUE(_xll.BDP($B149,"INTERVAL_DATE_OF_CALC_HI","CALC_INTERVAL","1M"))</f>
        <v>46064</v>
      </c>
      <c r="BI149" s="14" cm="1">
        <f t="array" ref="BI149">VALUE(_xll.BDP($B149,"INTERVAL_DATE_OF_CALC_LO","CALC_INTERVAL","1M"))</f>
        <v>46042</v>
      </c>
      <c r="BJ149" s="15">
        <f>$F149-MIN(_xll.BDP("NYA Index","RSI_14D"),_xll.BDP("RSP US Equity","RSI_14D"))</f>
        <v>5.3413163396821943</v>
      </c>
    </row>
    <row r="150" spans="1:62" x14ac:dyDescent="0.25">
      <c r="A150" s="11">
        <v>149</v>
      </c>
      <c r="B150" s="26" t="s">
        <v>397</v>
      </c>
      <c r="C150" s="1" t="s">
        <v>818</v>
      </c>
      <c r="D150" s="1" t="s">
        <v>308</v>
      </c>
      <c r="E150" s="11" t="s">
        <v>787</v>
      </c>
      <c r="F150">
        <f>IFERROR(VALUE((_xll.BDP($B150,"interval_rsi","tech_studies_param1_override",14))),"")</f>
        <v>47.614472292314133</v>
      </c>
      <c r="G150">
        <f t="shared" si="0"/>
        <v>52.525531939815814</v>
      </c>
      <c r="H150">
        <f t="shared" si="65"/>
        <v>0</v>
      </c>
      <c r="I150" cm="1">
        <f t="array" ref="I150">IFERROR(VALUE(_xll.BDP($B150,"px_last")),"")</f>
        <v>18.09</v>
      </c>
      <c r="J150">
        <f t="shared" si="1"/>
        <v>6941.47</v>
      </c>
      <c r="K150" cm="1">
        <f t="array" ref="K150">IFERROR(VALUE(_xll.BDP($B150,"PX_YEST_CLOSE")),"")</f>
        <v>17.75</v>
      </c>
      <c r="L150">
        <f t="shared" si="2"/>
        <v>6941.81</v>
      </c>
      <c r="M150">
        <f t="shared" si="66"/>
        <v>2.6060762345727923E-3</v>
      </c>
      <c r="N150">
        <f t="shared" si="67"/>
        <v>2.5569700121438068E-3</v>
      </c>
      <c r="O150" cm="1">
        <f t="array" ref="O150">IFERROR(VALUE(_xll.BDP($B150,"INTERVAL_MAE_MOV_AVG","CALC_INTERVAL","520D","TECH_STUDIES_PARAM1_OVERRIDE",50,"USE_PREVIOUS_BUSINESS_DAY","N")),"")</f>
        <v>18.544073634454769</v>
      </c>
      <c r="P150">
        <f t="shared" si="3"/>
        <v>6894.0953999999992</v>
      </c>
      <c r="Q150" cm="1">
        <f t="array" ref="Q150">IFERROR(VALUE(_xll.BDP($B150,"INTERVAL_MAE_MOV_AVG","CALC_INTERVAL","520D","TECH_STUDIES_PARAM1_OVERRIDE",50,"USE_PREVIOUS_BUSINESS_DAY","Y")),"")</f>
        <v>18.552092663272237</v>
      </c>
      <c r="R150">
        <f t="shared" si="4"/>
        <v>6892.2477999999992</v>
      </c>
      <c r="S150">
        <f t="shared" si="68"/>
        <v>2.6898487123422706E-3</v>
      </c>
      <c r="T150">
        <f t="shared" si="69"/>
        <v>2.6917332634604691E-3</v>
      </c>
      <c r="U150" s="11" t="str">
        <f t="shared" si="70"/>
        <v>NEGATIVE</v>
      </c>
      <c r="V150" s="11" t="str">
        <f t="shared" si="71"/>
        <v/>
      </c>
      <c r="W150" s="11" t="str">
        <f t="shared" si="72"/>
        <v>DOWN</v>
      </c>
      <c r="X150" s="6" t="str">
        <f t="shared" si="73"/>
        <v>NEGATIVE</v>
      </c>
      <c r="Y150" cm="1">
        <f t="array" ref="Y150">IFERROR(VALUE(_xll.BDP($B150,"INTERVAL_MAE_MOV_AVG","CALC_INTERVAL","520D","TECH_STUDIES_PARAM1_OVERRIDE",65,"USE_PREVIOUS_BUSINESS_DAY","N")),"")</f>
        <v>18.492960162291663</v>
      </c>
      <c r="Z150">
        <f t="shared" si="5"/>
        <v>6856.0226153846133</v>
      </c>
      <c r="AA150" cm="1">
        <f t="array" ref="AA150">IFERROR(VALUE(_xll.BDP($B150,"INTERVAL_MAE_MOV_AVG","CALC_INTERVAL","520D","TECH_STUDIES_PARAM1_OVERRIDE",65,"USE_PREVIOUS_BUSINESS_DAY","Y")),"")</f>
        <v>18.495624118893872</v>
      </c>
      <c r="AB150">
        <f t="shared" si="6"/>
        <v>6852.6203076923057</v>
      </c>
      <c r="AC150">
        <f t="shared" si="74"/>
        <v>2.6973306827772522E-3</v>
      </c>
      <c r="AD150">
        <f t="shared" si="75"/>
        <v>2.69905865032853E-3</v>
      </c>
      <c r="AE150" s="10" t="str">
        <f t="shared" si="76"/>
        <v>DOWN</v>
      </c>
      <c r="AF150" s="10" t="str">
        <f t="shared" si="77"/>
        <v>DOWN</v>
      </c>
      <c r="AG150" s="6" t="str">
        <f t="shared" si="78"/>
        <v>NEGATIVE</v>
      </c>
      <c r="AH150" cm="1">
        <f t="array" ref="AH150">IFERROR(VALUE(_xll.BDP($B150,"INTERVAL_MAE_MOV_AVG","CALC_INTERVAL","65W","PERIODICITY_OVERRIDE","W","TECH_STUDIES_PARAM1_OVERRIDE",39,"USE_PREVIOUS_BUSINESS_DAY","N")),"")</f>
        <v>17.979890601356825</v>
      </c>
      <c r="AI150">
        <f t="shared" si="7"/>
        <v>6560.7735897435905</v>
      </c>
      <c r="AJ150" cm="1">
        <f t="array" ref="AJ150">IFERROR(VALUE(_xll.BDP($B150,"INTERVAL_MAE_MOV_AVG","CALC_INTERVAL","65W","PERIODICITY_OVERRIDE","W","TECH_STUDIES_PARAM1_OVERRIDE",39,"USE_PREVIOUS_BUSINESS_DAY","Y")),"")</f>
        <v>17.971172648726366</v>
      </c>
      <c r="AK150">
        <f t="shared" si="8"/>
        <v>6560.7823076923087</v>
      </c>
      <c r="AL150">
        <f t="shared" si="79"/>
        <v>2.740513806095162E-3</v>
      </c>
      <c r="AM150">
        <f t="shared" si="80"/>
        <v>2.7391813667793454E-3</v>
      </c>
      <c r="AN150" s="10" t="str">
        <f t="shared" si="81"/>
        <v>UP</v>
      </c>
      <c r="AO150" s="10" t="str">
        <f t="shared" si="82"/>
        <v>UP</v>
      </c>
      <c r="AP150" s="6" t="str">
        <f t="shared" si="83"/>
        <v>NEGATIVE</v>
      </c>
      <c r="AQ150" cm="1">
        <f t="array" ref="AQ150">IFERROR(VALUE(_xll.BDP($B150,"INTERVAL_exp_MOV_AVG","CALC_INTERVAL","520D","TECH_STUDIES_PARAM1_OVERRIDE",100,"USE_PREVIOUS_BUSINESS_DAY","N")),"")</f>
        <v>18.225377920669764</v>
      </c>
      <c r="AR150">
        <f t="shared" si="9"/>
        <v>6773.0064518682802</v>
      </c>
      <c r="AS150" cm="1">
        <f t="array" ref="AS150">IFERROR(VALUE(_xll.BDP($B150,"INTERVAL_exp_MOV_AVG","CALC_INTERVAL","520D","TECH_STUDIES_PARAM1_OVERRIDE",100,"USE_PREVIOUS_BUSINESS_DAY","Y")),"")</f>
        <v>18.228121374659629</v>
      </c>
      <c r="AT150">
        <f t="shared" si="10"/>
        <v>6769.6039787132295</v>
      </c>
      <c r="AU150">
        <f t="shared" si="84"/>
        <v>2.6908844765152168E-3</v>
      </c>
      <c r="AV150">
        <f t="shared" si="85"/>
        <v>2.6926422035878739E-3</v>
      </c>
      <c r="AW150" s="11" t="str">
        <f t="shared" si="86"/>
        <v>DOWN</v>
      </c>
      <c r="AX150" s="11" t="str">
        <f t="shared" si="87"/>
        <v>DOWN</v>
      </c>
      <c r="AY150" s="6" t="str">
        <f t="shared" si="88"/>
        <v>NEGATIVE</v>
      </c>
      <c r="AZ150" s="12" cm="1">
        <f t="array" ref="AZ150">_xll.BDP($B150, "INTERVAL_RSI", "TECH_STUDIES_PARAM1_OVERRIDE", "5", "PERIODICITY_OVERRIDE", "W")</f>
        <v>43.26535569314693</v>
      </c>
      <c r="BA150" cm="1">
        <f t="array" ref="BA150">IFERROR(VALUE(_xll.BDP($B150,"INTERVAL_MAE_MOV_AVG","CALC_INTERVAL","520D","TECH_STUDIES_PARAM1_OVERRIDE",31,"USE_PREVIOUS_BUSINESS_DAY","N")),"")</f>
        <v>18.510991980083475</v>
      </c>
      <c r="BB150" cm="1">
        <f t="array" ref="BB150">IFERROR(VALUE(_xll.BDP($B150,"INTERVAL_MAE_MOV_AVG","CALC_INTERVAL","760D","TECH_STUDIES_PARAM1_OVERRIDE",200,"USE_PREVIOUS_BUSINESS_DAY","N")),"")</f>
        <v>17.902902682974652</v>
      </c>
      <c r="BC150" s="13">
        <f t="shared" si="89"/>
        <v>-2.2742810354865473E-2</v>
      </c>
      <c r="BD150" s="13">
        <f t="shared" si="90"/>
        <v>-2.4486185905296609E-2</v>
      </c>
      <c r="BE150" s="13">
        <f t="shared" si="91"/>
        <v>1.0450669388002432E-2</v>
      </c>
      <c r="BF150" s="14" cm="1">
        <f t="array" ref="BF150">VALUE(_xll.BDP($B150,"INTERVAL_DATE_OF_CALC_HI","CALC_INTERVAL","3M"))</f>
        <v>46037</v>
      </c>
      <c r="BG150" s="14" cm="1">
        <f t="array" ref="BG150">VALUE(_xll.BDP($B150,"INTERVAL_DATE_OF_CALC_LO","CALC_INTERVAL","3M"))</f>
        <v>46050</v>
      </c>
      <c r="BH150" s="14" cm="1">
        <f t="array" ref="BH150">VALUE(_xll.BDP($B150,"INTERVAL_DATE_OF_CALC_HI","CALC_INTERVAL","1M"))</f>
        <v>46037</v>
      </c>
      <c r="BI150" s="14" cm="1">
        <f t="array" ref="BI150">VALUE(_xll.BDP($B150,"INTERVAL_DATE_OF_CALC_LO","CALC_INTERVAL","1M"))</f>
        <v>46050</v>
      </c>
      <c r="BJ150" s="15">
        <f>$F150-MIN(_xll.BDP("NYA Index","RSI_14D"),_xll.BDP("RSP US Equity","RSI_14D"))</f>
        <v>-18.731291867842117</v>
      </c>
    </row>
    <row r="151" spans="1:62" x14ac:dyDescent="0.25">
      <c r="A151" s="11">
        <v>150</v>
      </c>
      <c r="B151" s="26" t="s">
        <v>158</v>
      </c>
      <c r="C151" s="1" t="s">
        <v>819</v>
      </c>
      <c r="D151" s="1" t="s">
        <v>308</v>
      </c>
      <c r="E151" s="11" t="s">
        <v>787</v>
      </c>
      <c r="F151">
        <f>IFERROR(VALUE((_xll.BDP($B151,"interval_rsi","tech_studies_param1_override",14))),"")</f>
        <v>66.354183572591069</v>
      </c>
      <c r="G151">
        <f t="shared" si="0"/>
        <v>52.525531939815814</v>
      </c>
      <c r="H151">
        <f t="shared" si="65"/>
        <v>1</v>
      </c>
      <c r="I151" cm="1">
        <f t="array" ref="I151">IFERROR(VALUE(_xll.BDP($B151,"px_last")),"")</f>
        <v>27.25</v>
      </c>
      <c r="J151">
        <f t="shared" si="1"/>
        <v>6941.47</v>
      </c>
      <c r="K151" cm="1">
        <f t="array" ref="K151">IFERROR(VALUE(_xll.BDP($B151,"PX_YEST_CLOSE")),"")</f>
        <v>26.93</v>
      </c>
      <c r="L151">
        <f t="shared" si="2"/>
        <v>6941.81</v>
      </c>
      <c r="M151">
        <f t="shared" si="66"/>
        <v>3.9256814478777552E-3</v>
      </c>
      <c r="N151">
        <f t="shared" si="67"/>
        <v>3.8793916860300121E-3</v>
      </c>
      <c r="O151" cm="1">
        <f t="array" ref="O151">IFERROR(VALUE(_xll.BDP($B151,"INTERVAL_MAE_MOV_AVG","CALC_INTERVAL","520D","TECH_STUDIES_PARAM1_OVERRIDE",50,"USE_PREVIOUS_BUSINESS_DAY","N")),"")</f>
        <v>25.594396586400002</v>
      </c>
      <c r="P151">
        <f t="shared" si="3"/>
        <v>6894.0953999999992</v>
      </c>
      <c r="Q151" cm="1">
        <f t="array" ref="Q151">IFERROR(VALUE(_xll.BDP($B151,"INTERVAL_MAE_MOV_AVG","CALC_INTERVAL","520D","TECH_STUDIES_PARAM1_OVERRIDE",50,"USE_PREVIOUS_BUSINESS_DAY","Y")),"")</f>
        <v>25.549566515800002</v>
      </c>
      <c r="R151">
        <f t="shared" si="4"/>
        <v>6892.2477999999992</v>
      </c>
      <c r="S151">
        <f t="shared" si="68"/>
        <v>3.712509778498279E-3</v>
      </c>
      <c r="T151">
        <f t="shared" si="69"/>
        <v>3.7070005689290517E-3</v>
      </c>
      <c r="U151" s="11" t="str">
        <f t="shared" si="70"/>
        <v>POSITIVE</v>
      </c>
      <c r="V151" s="11" t="str">
        <f t="shared" si="71"/>
        <v/>
      </c>
      <c r="W151" s="11" t="str">
        <f t="shared" si="72"/>
        <v>UP</v>
      </c>
      <c r="X151" s="6" t="str">
        <f t="shared" si="73"/>
        <v>POSITIVE</v>
      </c>
      <c r="Y151" cm="1">
        <f t="array" ref="Y151">IFERROR(VALUE(_xll.BDP($B151,"INTERVAL_MAE_MOV_AVG","CALC_INTERVAL","520D","TECH_STUDIES_PARAM1_OVERRIDE",65,"USE_PREVIOUS_BUSINESS_DAY","N")),"")</f>
        <v>25.232553421846159</v>
      </c>
      <c r="Z151">
        <f t="shared" si="5"/>
        <v>6856.0226153846133</v>
      </c>
      <c r="AA151" cm="1">
        <f t="array" ref="AA151">IFERROR(VALUE(_xll.BDP($B151,"INTERVAL_MAE_MOV_AVG","CALC_INTERVAL","520D","TECH_STUDIES_PARAM1_OVERRIDE",65,"USE_PREVIOUS_BUSINESS_DAY","Y")),"")</f>
        <v>25.181280941384617</v>
      </c>
      <c r="AB151">
        <f t="shared" si="6"/>
        <v>6852.6203076923057</v>
      </c>
      <c r="AC151">
        <f t="shared" si="74"/>
        <v>3.680348627384253E-3</v>
      </c>
      <c r="AD151">
        <f t="shared" si="75"/>
        <v>3.6746937391405957E-3</v>
      </c>
      <c r="AE151" s="10" t="str">
        <f t="shared" si="76"/>
        <v>UP</v>
      </c>
      <c r="AF151" s="10" t="str">
        <f t="shared" si="77"/>
        <v>UP</v>
      </c>
      <c r="AG151" s="6" t="str">
        <f t="shared" si="78"/>
        <v>POSITIVE</v>
      </c>
      <c r="AH151" cm="1">
        <f t="array" ref="AH151">IFERROR(VALUE(_xll.BDP($B151,"INTERVAL_MAE_MOV_AVG","CALC_INTERVAL","65W","PERIODICITY_OVERRIDE","W","TECH_STUDIES_PARAM1_OVERRIDE",39,"USE_PREVIOUS_BUSINESS_DAY","N")),"")</f>
        <v>25.772888476443672</v>
      </c>
      <c r="AI151">
        <f t="shared" si="7"/>
        <v>6560.7735897435905</v>
      </c>
      <c r="AJ151" cm="1">
        <f t="array" ref="AJ151">IFERROR(VALUE(_xll.BDP($B151,"INTERVAL_MAE_MOV_AVG","CALC_INTERVAL","65W","PERIODICITY_OVERRIDE","W","TECH_STUDIES_PARAM1_OVERRIDE",39,"USE_PREVIOUS_BUSINESS_DAY","Y")),"")</f>
        <v>25.764683348238545</v>
      </c>
      <c r="AK151">
        <f t="shared" si="8"/>
        <v>6560.7823076923087</v>
      </c>
      <c r="AL151">
        <f t="shared" si="79"/>
        <v>3.9283307256226981E-3</v>
      </c>
      <c r="AM151">
        <f t="shared" si="80"/>
        <v>3.9270748730727235E-3</v>
      </c>
      <c r="AN151" s="10" t="str">
        <f t="shared" si="81"/>
        <v>UP</v>
      </c>
      <c r="AO151" s="10" t="str">
        <f t="shared" si="82"/>
        <v>UP</v>
      </c>
      <c r="AP151" s="6" t="str">
        <f t="shared" si="83"/>
        <v>NEGATIVE</v>
      </c>
      <c r="AQ151" cm="1">
        <f t="array" ref="AQ151">IFERROR(VALUE(_xll.BDP($B151,"INTERVAL_exp_MOV_AVG","CALC_INTERVAL","520D","TECH_STUDIES_PARAM1_OVERRIDE",100,"USE_PREVIOUS_BUSINESS_DAY","N")),"")</f>
        <v>25.537339096732381</v>
      </c>
      <c r="AR151">
        <f t="shared" si="9"/>
        <v>6773.0064518682802</v>
      </c>
      <c r="AS151" cm="1">
        <f t="array" ref="AS151">IFERROR(VALUE(_xll.BDP($B151,"INTERVAL_exp_MOV_AVG","CALC_INTERVAL","520D","TECH_STUDIES_PARAM1_OVERRIDE",100,"USE_PREVIOUS_BUSINESS_DAY","Y")),"")</f>
        <v>25.502742561528237</v>
      </c>
      <c r="AT151">
        <f t="shared" si="10"/>
        <v>6769.6039787132295</v>
      </c>
      <c r="AU151">
        <f t="shared" si="84"/>
        <v>3.7704584039910533E-3</v>
      </c>
      <c r="AV151">
        <f t="shared" si="85"/>
        <v>3.767242905452176E-3</v>
      </c>
      <c r="AW151" s="11" t="str">
        <f t="shared" si="86"/>
        <v>UP</v>
      </c>
      <c r="AX151" s="11" t="str">
        <f t="shared" si="87"/>
        <v>UP</v>
      </c>
      <c r="AY151" s="6" t="str">
        <f t="shared" si="88"/>
        <v>POSITIVE</v>
      </c>
      <c r="AZ151" s="12" cm="1">
        <f t="array" ref="AZ151">_xll.BDP($B151, "INTERVAL_RSI", "TECH_STUDIES_PARAM1_OVERRIDE", "5", "PERIODICITY_OVERRIDE", "W")</f>
        <v>80.588199137394867</v>
      </c>
      <c r="BA151" cm="1">
        <f t="array" ref="BA151">IFERROR(VALUE(_xll.BDP($B151,"INTERVAL_MAE_MOV_AVG","CALC_INTERVAL","520D","TECH_STUDIES_PARAM1_OVERRIDE",31,"USE_PREVIOUS_BUSINESS_DAY","N")),"")</f>
        <v>26.105483870967738</v>
      </c>
      <c r="BB151" cm="1">
        <f t="array" ref="BB151">IFERROR(VALUE(_xll.BDP($B151,"INTERVAL_MAE_MOV_AVG","CALC_INTERVAL","760D","TECH_STUDIES_PARAM1_OVERRIDE",200,"USE_PREVIOUS_BUSINESS_DAY","N")),"")</f>
        <v>25.815396445027776</v>
      </c>
      <c r="BC151" s="13">
        <f t="shared" si="89"/>
        <v>4.3841981044645317E-2</v>
      </c>
      <c r="BD151" s="13">
        <f t="shared" si="90"/>
        <v>6.4686167068292111E-2</v>
      </c>
      <c r="BE151" s="13">
        <f t="shared" si="91"/>
        <v>5.5571625949154768E-2</v>
      </c>
      <c r="BF151" s="14" cm="1">
        <f t="array" ref="BF151">VALUE(_xll.BDP($B151,"INTERVAL_DATE_OF_CALC_HI","CALC_INTERVAL","3M"))</f>
        <v>46064</v>
      </c>
      <c r="BG151" s="14" cm="1">
        <f t="array" ref="BG151">VALUE(_xll.BDP($B151,"INTERVAL_DATE_OF_CALC_LO","CALC_INTERVAL","3M"))</f>
        <v>45975</v>
      </c>
      <c r="BH151" s="14" cm="1">
        <f t="array" ref="BH151">VALUE(_xll.BDP($B151,"INTERVAL_DATE_OF_CALC_HI","CALC_INTERVAL","1M"))</f>
        <v>46064</v>
      </c>
      <c r="BI151" s="14" cm="1">
        <f t="array" ref="BI151">VALUE(_xll.BDP($B151,"INTERVAL_DATE_OF_CALC_LO","CALC_INTERVAL","1M"))</f>
        <v>46051</v>
      </c>
      <c r="BJ151" s="15">
        <f>$F151-MIN(_xll.BDP("NYA Index","RSI_14D"),_xll.BDP("RSP US Equity","RSI_14D"))</f>
        <v>8.4194124348186961E-3</v>
      </c>
    </row>
    <row r="152" spans="1:62" x14ac:dyDescent="0.25">
      <c r="A152" s="11">
        <v>151</v>
      </c>
      <c r="B152" s="26" t="s">
        <v>159</v>
      </c>
      <c r="C152" s="1" t="s">
        <v>820</v>
      </c>
      <c r="D152" s="1" t="s">
        <v>308</v>
      </c>
      <c r="E152" s="11" t="s">
        <v>787</v>
      </c>
      <c r="F152">
        <f>IFERROR(VALUE((_xll.BDP($B152,"interval_rsi","tech_studies_param1_override",14))),"")</f>
        <v>60.677385175993372</v>
      </c>
      <c r="G152">
        <f t="shared" si="0"/>
        <v>52.525531939815814</v>
      </c>
      <c r="H152">
        <f t="shared" si="65"/>
        <v>0</v>
      </c>
      <c r="I152" cm="1">
        <f t="array" ref="I152">IFERROR(VALUE(_xll.BDP($B152,"px_last")),"")</f>
        <v>38.39</v>
      </c>
      <c r="J152">
        <f t="shared" si="1"/>
        <v>6941.47</v>
      </c>
      <c r="K152" cm="1">
        <f t="array" ref="K152">IFERROR(VALUE(_xll.BDP($B152,"PX_YEST_CLOSE")),"")</f>
        <v>38.11</v>
      </c>
      <c r="L152">
        <f t="shared" si="2"/>
        <v>6941.81</v>
      </c>
      <c r="M152">
        <f t="shared" si="66"/>
        <v>5.530528836111083E-3</v>
      </c>
      <c r="N152">
        <f t="shared" si="67"/>
        <v>5.4899226570591817E-3</v>
      </c>
      <c r="O152" cm="1">
        <f t="array" ref="O152">IFERROR(VALUE(_xll.BDP($B152,"INTERVAL_MAE_MOV_AVG","CALC_INTERVAL","520D","TECH_STUDIES_PARAM1_OVERRIDE",50,"USE_PREVIOUS_BUSINESS_DAY","N")),"")</f>
        <v>35.756500820592976</v>
      </c>
      <c r="P152">
        <f t="shared" si="3"/>
        <v>6894.0953999999992</v>
      </c>
      <c r="Q152" cm="1">
        <f t="array" ref="Q152">IFERROR(VALUE(_xll.BDP($B152,"INTERVAL_MAE_MOV_AVG","CALC_INTERVAL","520D","TECH_STUDIES_PARAM1_OVERRIDE",50,"USE_PREVIOUS_BUSINESS_DAY","Y")),"")</f>
        <v>35.647904909200008</v>
      </c>
      <c r="R152">
        <f t="shared" si="4"/>
        <v>6892.2477999999992</v>
      </c>
      <c r="S152">
        <f t="shared" si="68"/>
        <v>5.1865398933401731E-3</v>
      </c>
      <c r="T152">
        <f t="shared" si="69"/>
        <v>5.1721740052933108E-3</v>
      </c>
      <c r="U152" s="11" t="str">
        <f t="shared" si="70"/>
        <v>NEGATIVE</v>
      </c>
      <c r="V152" s="11" t="str">
        <f t="shared" si="71"/>
        <v/>
      </c>
      <c r="W152" s="11" t="str">
        <f t="shared" si="72"/>
        <v>UP</v>
      </c>
      <c r="X152" s="6" t="str">
        <f t="shared" si="73"/>
        <v>POSITIVE</v>
      </c>
      <c r="Y152" cm="1">
        <f t="array" ref="Y152">IFERROR(VALUE(_xll.BDP($B152,"INTERVAL_MAE_MOV_AVG","CALC_INTERVAL","520D","TECH_STUDIES_PARAM1_OVERRIDE",65,"USE_PREVIOUS_BUSINESS_DAY","N")),"")</f>
        <v>35.028747050609972</v>
      </c>
      <c r="Z152">
        <f t="shared" si="5"/>
        <v>6856.0226153846133</v>
      </c>
      <c r="AA152" cm="1">
        <f t="array" ref="AA152">IFERROR(VALUE(_xll.BDP($B152,"INTERVAL_MAE_MOV_AVG","CALC_INTERVAL","520D","TECH_STUDIES_PARAM1_OVERRIDE",65,"USE_PREVIOUS_BUSINESS_DAY","Y")),"")</f>
        <v>34.94342571692308</v>
      </c>
      <c r="AB152">
        <f t="shared" si="6"/>
        <v>6852.6203076923057</v>
      </c>
      <c r="AC152">
        <f t="shared" si="74"/>
        <v>5.1091936266381335E-3</v>
      </c>
      <c r="AD152">
        <f t="shared" si="75"/>
        <v>5.0992794212890895E-3</v>
      </c>
      <c r="AE152" s="10" t="str">
        <f t="shared" si="76"/>
        <v>UP</v>
      </c>
      <c r="AF152" s="10" t="str">
        <f t="shared" si="77"/>
        <v>UP</v>
      </c>
      <c r="AG152" s="6" t="str">
        <f t="shared" si="78"/>
        <v>POSITIVE</v>
      </c>
      <c r="AH152" cm="1">
        <f t="array" ref="AH152">IFERROR(VALUE(_xll.BDP($B152,"INTERVAL_MAE_MOV_AVG","CALC_INTERVAL","65W","PERIODICITY_OVERRIDE","W","TECH_STUDIES_PARAM1_OVERRIDE",39,"USE_PREVIOUS_BUSINESS_DAY","N")),"")</f>
        <v>32.519408349115125</v>
      </c>
      <c r="AI152">
        <f t="shared" si="7"/>
        <v>6560.7735897435905</v>
      </c>
      <c r="AJ152" cm="1">
        <f t="array" ref="AJ152">IFERROR(VALUE(_xll.BDP($B152,"INTERVAL_MAE_MOV_AVG","CALC_INTERVAL","65W","PERIODICITY_OVERRIDE","W","TECH_STUDIES_PARAM1_OVERRIDE",39,"USE_PREVIOUS_BUSINESS_DAY","Y")),"")</f>
        <v>32.512228877585677</v>
      </c>
      <c r="AK152">
        <f t="shared" si="8"/>
        <v>6560.7823076923087</v>
      </c>
      <c r="AL152">
        <f t="shared" si="79"/>
        <v>4.9566423691182514E-3</v>
      </c>
      <c r="AM152">
        <f t="shared" si="80"/>
        <v>4.9555414816105274E-3</v>
      </c>
      <c r="AN152" s="10" t="str">
        <f t="shared" si="81"/>
        <v>UP</v>
      </c>
      <c r="AO152" s="10" t="str">
        <f t="shared" si="82"/>
        <v>UP</v>
      </c>
      <c r="AP152" s="6" t="str">
        <f t="shared" si="83"/>
        <v>POSITIVE</v>
      </c>
      <c r="AQ152" cm="1">
        <f t="array" ref="AQ152">IFERROR(VALUE(_xll.BDP($B152,"INTERVAL_exp_MOV_AVG","CALC_INTERVAL","520D","TECH_STUDIES_PARAM1_OVERRIDE",100,"USE_PREVIOUS_BUSINESS_DAY","N")),"")</f>
        <v>34.489649524389669</v>
      </c>
      <c r="AR152">
        <f t="shared" si="9"/>
        <v>6773.0064518682802</v>
      </c>
      <c r="AS152" cm="1">
        <f t="array" ref="AS152">IFERROR(VALUE(_xll.BDP($B152,"INTERVAL_exp_MOV_AVG","CALC_INTERVAL","520D","TECH_STUDIES_PARAM1_OVERRIDE",100,"USE_PREVIOUS_BUSINESS_DAY","Y")),"")</f>
        <v>34.410863232946149</v>
      </c>
      <c r="AT152">
        <f t="shared" si="10"/>
        <v>6769.6039787132295</v>
      </c>
      <c r="AU152">
        <f t="shared" si="84"/>
        <v>5.0922215665210203E-3</v>
      </c>
      <c r="AV152">
        <f t="shared" si="85"/>
        <v>5.0831427275731108E-3</v>
      </c>
      <c r="AW152" s="11" t="str">
        <f t="shared" si="86"/>
        <v>UP</v>
      </c>
      <c r="AX152" s="11" t="str">
        <f t="shared" si="87"/>
        <v>UP</v>
      </c>
      <c r="AY152" s="6" t="str">
        <f t="shared" si="88"/>
        <v>POSITIVE</v>
      </c>
      <c r="AZ152" s="12" cm="1">
        <f t="array" ref="AZ152">_xll.BDP($B152, "INTERVAL_RSI", "TECH_STUDIES_PARAM1_OVERRIDE", "5", "PERIODICITY_OVERRIDE", "W")</f>
        <v>89.102921402518916</v>
      </c>
      <c r="BA152" cm="1">
        <f t="array" ref="BA152">IFERROR(VALUE(_xll.BDP($B152,"INTERVAL_MAE_MOV_AVG","CALC_INTERVAL","520D","TECH_STUDIES_PARAM1_OVERRIDE",31,"USE_PREVIOUS_BUSINESS_DAY","N")),"")</f>
        <v>36.921290302891897</v>
      </c>
      <c r="BB152" cm="1">
        <f t="array" ref="BB152">IFERROR(VALUE(_xll.BDP($B152,"INTERVAL_MAE_MOV_AVG","CALC_INTERVAL","760D","TECH_STUDIES_PARAM1_OVERRIDE",200,"USE_PREVIOUS_BUSINESS_DAY","N")),"")</f>
        <v>32.155825237545052</v>
      </c>
      <c r="BC152" s="13">
        <f t="shared" si="89"/>
        <v>3.9779479131396123E-2</v>
      </c>
      <c r="BD152" s="13">
        <f t="shared" si="90"/>
        <v>7.3650919943775151E-2</v>
      </c>
      <c r="BE152" s="13">
        <f t="shared" si="91"/>
        <v>0.19387388494623181</v>
      </c>
      <c r="BF152" s="14" cm="1">
        <f t="array" ref="BF152">VALUE(_xll.BDP($B152,"INTERVAL_DATE_OF_CALC_HI","CALC_INTERVAL","3M"))</f>
        <v>46062</v>
      </c>
      <c r="BG152" s="14" cm="1">
        <f t="array" ref="BG152">VALUE(_xll.BDP($B152,"INTERVAL_DATE_OF_CALC_LO","CALC_INTERVAL","3M"))</f>
        <v>45981</v>
      </c>
      <c r="BH152" s="14" cm="1">
        <f t="array" ref="BH152">VALUE(_xll.BDP($B152,"INTERVAL_DATE_OF_CALC_HI","CALC_INTERVAL","1M"))</f>
        <v>46062</v>
      </c>
      <c r="BI152" s="14" cm="1">
        <f t="array" ref="BI152">VALUE(_xll.BDP($B152,"INTERVAL_DATE_OF_CALC_LO","CALC_INTERVAL","1M"))</f>
        <v>46042</v>
      </c>
      <c r="BJ152" s="15">
        <f>$F152-MIN(_xll.BDP("NYA Index","RSI_14D"),_xll.BDP("RSP US Equity","RSI_14D"))</f>
        <v>-5.668378984162878</v>
      </c>
    </row>
    <row r="153" spans="1:62" x14ac:dyDescent="0.25">
      <c r="A153" s="11">
        <v>152</v>
      </c>
      <c r="B153" s="26" t="s">
        <v>398</v>
      </c>
      <c r="C153" s="1" t="s">
        <v>821</v>
      </c>
      <c r="D153" s="1" t="s">
        <v>308</v>
      </c>
      <c r="E153" s="11" t="s">
        <v>787</v>
      </c>
      <c r="F153">
        <f>IFERROR(VALUE((_xll.BDP($B153,"interval_rsi","tech_studies_param1_override",14))),"")</f>
        <v>28.377688080948261</v>
      </c>
      <c r="G153">
        <f t="shared" si="0"/>
        <v>52.525531939815814</v>
      </c>
      <c r="H153">
        <f t="shared" si="65"/>
        <v>0</v>
      </c>
      <c r="I153" cm="1">
        <f t="array" ref="I153">IFERROR(VALUE(_xll.BDP($B153,"px_last")),"")</f>
        <v>14.75</v>
      </c>
      <c r="J153">
        <f t="shared" si="1"/>
        <v>6941.47</v>
      </c>
      <c r="K153" cm="1">
        <f t="array" ref="K153">IFERROR(VALUE(_xll.BDP($B153,"PX_YEST_CLOSE")),"")</f>
        <v>15.2</v>
      </c>
      <c r="L153">
        <f t="shared" si="2"/>
        <v>6941.81</v>
      </c>
      <c r="M153">
        <f t="shared" si="66"/>
        <v>2.1249101415118121E-3</v>
      </c>
      <c r="N153">
        <f t="shared" si="67"/>
        <v>2.1896306582865274E-3</v>
      </c>
      <c r="O153" cm="1">
        <f t="array" ref="O153">IFERROR(VALUE(_xll.BDP($B153,"INTERVAL_MAE_MOV_AVG","CALC_INTERVAL","520D","TECH_STUDIES_PARAM1_OVERRIDE",50,"USE_PREVIOUS_BUSINESS_DAY","N")),"")</f>
        <v>21.845200000000002</v>
      </c>
      <c r="P153">
        <f t="shared" si="3"/>
        <v>6894.0953999999992</v>
      </c>
      <c r="Q153" cm="1">
        <f t="array" ref="Q153">IFERROR(VALUE(_xll.BDP($B153,"INTERVAL_MAE_MOV_AVG","CALC_INTERVAL","520D","TECH_STUDIES_PARAM1_OVERRIDE",50,"USE_PREVIOUS_BUSINESS_DAY","Y")),"")</f>
        <v>22.009199999999996</v>
      </c>
      <c r="R153">
        <f t="shared" si="4"/>
        <v>6892.2477999999992</v>
      </c>
      <c r="S153">
        <f t="shared" si="68"/>
        <v>3.1686825801685316E-3</v>
      </c>
      <c r="T153">
        <f t="shared" si="69"/>
        <v>3.1933268562978827E-3</v>
      </c>
      <c r="U153" s="11" t="str">
        <f t="shared" si="70"/>
        <v>NEGATIVE</v>
      </c>
      <c r="V153" s="11" t="str">
        <f t="shared" si="71"/>
        <v/>
      </c>
      <c r="W153" s="11" t="str">
        <f t="shared" si="72"/>
        <v>DOWN</v>
      </c>
      <c r="X153" s="6" t="str">
        <f t="shared" si="73"/>
        <v>NEGATIVE</v>
      </c>
      <c r="Y153" cm="1">
        <f t="array" ref="Y153">IFERROR(VALUE(_xll.BDP($B153,"INTERVAL_MAE_MOV_AVG","CALC_INTERVAL","520D","TECH_STUDIES_PARAM1_OVERRIDE",65,"USE_PREVIOUS_BUSINESS_DAY","N")),"")</f>
        <v>22.244923076923087</v>
      </c>
      <c r="Z153">
        <f t="shared" si="5"/>
        <v>6856.0226153846133</v>
      </c>
      <c r="AA153" cm="1">
        <f t="array" ref="AA153">IFERROR(VALUE(_xll.BDP($B153,"INTERVAL_MAE_MOV_AVG","CALC_INTERVAL","520D","TECH_STUDIES_PARAM1_OVERRIDE",65,"USE_PREVIOUS_BUSINESS_DAY","Y")),"")</f>
        <v>22.402615384615391</v>
      </c>
      <c r="AB153">
        <f t="shared" si="6"/>
        <v>6852.6203076923057</v>
      </c>
      <c r="AC153">
        <f t="shared" si="74"/>
        <v>3.2445813447298812E-3</v>
      </c>
      <c r="AD153">
        <f t="shared" si="75"/>
        <v>3.2692042428598697E-3</v>
      </c>
      <c r="AE153" s="10" t="str">
        <f t="shared" si="76"/>
        <v>DOWN</v>
      </c>
      <c r="AF153" s="10" t="str">
        <f t="shared" si="77"/>
        <v>DOWN</v>
      </c>
      <c r="AG153" s="6" t="str">
        <f t="shared" si="78"/>
        <v>NEGATIVE</v>
      </c>
      <c r="AH153" cm="1">
        <f t="array" ref="AH153">IFERROR(VALUE(_xll.BDP($B153,"INTERVAL_MAE_MOV_AVG","CALC_INTERVAL","65W","PERIODICITY_OVERRIDE","W","TECH_STUDIES_PARAM1_OVERRIDE",39,"USE_PREVIOUS_BUSINESS_DAY","N")),"")</f>
        <v>25.214102564102557</v>
      </c>
      <c r="AI153">
        <f t="shared" si="7"/>
        <v>6560.7735897435905</v>
      </c>
      <c r="AJ153" cm="1">
        <f t="array" ref="AJ153">IFERROR(VALUE(_xll.BDP($B153,"INTERVAL_MAE_MOV_AVG","CALC_INTERVAL","65W","PERIODICITY_OVERRIDE","W","TECH_STUDIES_PARAM1_OVERRIDE",39,"USE_PREVIOUS_BUSINESS_DAY","Y")),"")</f>
        <v>25.225641025641021</v>
      </c>
      <c r="AK153">
        <f t="shared" si="8"/>
        <v>6560.7823076923087</v>
      </c>
      <c r="AL153">
        <f t="shared" si="79"/>
        <v>3.8431599900840322E-3</v>
      </c>
      <c r="AM153">
        <f t="shared" si="80"/>
        <v>3.8449135853912968E-3</v>
      </c>
      <c r="AN153" s="10" t="str">
        <f t="shared" si="81"/>
        <v>DOWN</v>
      </c>
      <c r="AO153" s="10" t="str">
        <f t="shared" si="82"/>
        <v>DOWN</v>
      </c>
      <c r="AP153" s="6" t="str">
        <f t="shared" si="83"/>
        <v>NEGATIVE</v>
      </c>
      <c r="AQ153" cm="1">
        <f t="array" ref="AQ153">IFERROR(VALUE(_xll.BDP($B153,"INTERVAL_exp_MOV_AVG","CALC_INTERVAL","520D","TECH_STUDIES_PARAM1_OVERRIDE",100,"USE_PREVIOUS_BUSINESS_DAY","N")),"")</f>
        <v>23.441462150597292</v>
      </c>
      <c r="AR153">
        <f t="shared" si="9"/>
        <v>6773.0064518682802</v>
      </c>
      <c r="AS153" cm="1">
        <f t="array" ref="AS153">IFERROR(VALUE(_xll.BDP($B153,"INTERVAL_exp_MOV_AVG","CALC_INTERVAL","520D","TECH_STUDIES_PARAM1_OVERRIDE",100,"USE_PREVIOUS_BUSINESS_DAY","Y")),"")</f>
        <v>23.617047244548754</v>
      </c>
      <c r="AT153">
        <f t="shared" si="10"/>
        <v>6769.6039787132295</v>
      </c>
      <c r="AU153">
        <f t="shared" si="84"/>
        <v>3.4610128186325809E-3</v>
      </c>
      <c r="AV153">
        <f t="shared" si="85"/>
        <v>3.4886896366185804E-3</v>
      </c>
      <c r="AW153" s="11" t="str">
        <f t="shared" si="86"/>
        <v>DOWN</v>
      </c>
      <c r="AX153" s="11" t="str">
        <f t="shared" si="87"/>
        <v>DOWN</v>
      </c>
      <c r="AY153" s="6" t="str">
        <f t="shared" si="88"/>
        <v>NEGATIVE</v>
      </c>
      <c r="AZ153" s="12" cm="1">
        <f t="array" ref="AZ153">_xll.BDP($B153, "INTERVAL_RSI", "TECH_STUDIES_PARAM1_OVERRIDE", "5", "PERIODICITY_OVERRIDE", "W")</f>
        <v>15.121302957355496</v>
      </c>
      <c r="BA153" cm="1">
        <f t="array" ref="BA153">IFERROR(VALUE(_xll.BDP($B153,"INTERVAL_MAE_MOV_AVG","CALC_INTERVAL","520D","TECH_STUDIES_PARAM1_OVERRIDE",31,"USE_PREVIOUS_BUSINESS_DAY","N")),"")</f>
        <v>21.230322580645161</v>
      </c>
      <c r="BB153" cm="1">
        <f t="array" ref="BB153">IFERROR(VALUE(_xll.BDP($B153,"INTERVAL_MAE_MOV_AVG","CALC_INTERVAL","760D","TECH_STUDIES_PARAM1_OVERRIDE",200,"USE_PREVIOUS_BUSINESS_DAY","N")),"")</f>
        <v>24.830625000000019</v>
      </c>
      <c r="BC153" s="13">
        <f t="shared" si="89"/>
        <v>-0.30523900689822836</v>
      </c>
      <c r="BD153" s="13">
        <f t="shared" si="90"/>
        <v>-0.324794462856829</v>
      </c>
      <c r="BE153" s="13">
        <f t="shared" si="91"/>
        <v>-0.40597548390344629</v>
      </c>
      <c r="BF153" s="14" cm="1">
        <f t="array" ref="BF153">VALUE(_xll.BDP($B153,"INTERVAL_DATE_OF_CALC_HI","CALC_INTERVAL","3M"))</f>
        <v>45972</v>
      </c>
      <c r="BG153" s="14" cm="1">
        <f t="array" ref="BG153">VALUE(_xll.BDP($B153,"INTERVAL_DATE_OF_CALC_LO","CALC_INTERVAL","3M"))</f>
        <v>46058</v>
      </c>
      <c r="BH153" s="14" cm="1">
        <f t="array" ref="BH153">VALUE(_xll.BDP($B153,"INTERVAL_DATE_OF_CALC_HI","CALC_INTERVAL","1M"))</f>
        <v>46036</v>
      </c>
      <c r="BI153" s="14" cm="1">
        <f t="array" ref="BI153">VALUE(_xll.BDP($B153,"INTERVAL_DATE_OF_CALC_LO","CALC_INTERVAL","1M"))</f>
        <v>46058</v>
      </c>
      <c r="BJ153" s="15">
        <f>$F153-MIN(_xll.BDP("NYA Index","RSI_14D"),_xll.BDP("RSP US Equity","RSI_14D"))</f>
        <v>-37.968076079207989</v>
      </c>
    </row>
    <row r="154" spans="1:62" x14ac:dyDescent="0.25">
      <c r="A154" s="11">
        <v>153</v>
      </c>
      <c r="B154" s="26" t="s">
        <v>399</v>
      </c>
      <c r="C154" s="1" t="s">
        <v>822</v>
      </c>
      <c r="D154" s="1" t="s">
        <v>308</v>
      </c>
      <c r="E154" s="11" t="s">
        <v>787</v>
      </c>
      <c r="F154">
        <f>IFERROR(VALUE((_xll.BDP($B154,"interval_rsi","tech_studies_param1_override",14))),"")</f>
        <v>70.695679795319478</v>
      </c>
      <c r="G154">
        <f t="shared" si="0"/>
        <v>52.525531939815814</v>
      </c>
      <c r="H154">
        <f t="shared" si="65"/>
        <v>1</v>
      </c>
      <c r="I154" cm="1">
        <f t="array" ref="I154">IFERROR(VALUE(_xll.BDP($B154,"px_last")),"")</f>
        <v>29.3</v>
      </c>
      <c r="J154">
        <f t="shared" si="1"/>
        <v>6941.47</v>
      </c>
      <c r="K154" cm="1">
        <f t="array" ref="K154">IFERROR(VALUE(_xll.BDP($B154,"PX_YEST_CLOSE")),"")</f>
        <v>28.64</v>
      </c>
      <c r="L154">
        <f t="shared" si="2"/>
        <v>6941.81</v>
      </c>
      <c r="M154">
        <f t="shared" si="66"/>
        <v>4.2210079421217692E-3</v>
      </c>
      <c r="N154">
        <f t="shared" si="67"/>
        <v>4.1257251350872463E-3</v>
      </c>
      <c r="O154" cm="1">
        <f t="array" ref="O154">IFERROR(VALUE(_xll.BDP($B154,"INTERVAL_MAE_MOV_AVG","CALC_INTERVAL","520D","TECH_STUDIES_PARAM1_OVERRIDE",50,"USE_PREVIOUS_BUSINESS_DAY","N")),"")</f>
        <v>26.778467407941211</v>
      </c>
      <c r="P154">
        <f t="shared" si="3"/>
        <v>6894.0953999999992</v>
      </c>
      <c r="Q154" cm="1">
        <f t="array" ref="Q154">IFERROR(VALUE(_xll.BDP($B154,"INTERVAL_MAE_MOV_AVG","CALC_INTERVAL","520D","TECH_STUDIES_PARAM1_OVERRIDE",50,"USE_PREVIOUS_BUSINESS_DAY","Y")),"")</f>
        <v>26.700786476200005</v>
      </c>
      <c r="R154">
        <f t="shared" si="4"/>
        <v>6892.2477999999992</v>
      </c>
      <c r="S154">
        <f t="shared" si="68"/>
        <v>3.8842612198173548E-3</v>
      </c>
      <c r="T154">
        <f t="shared" si="69"/>
        <v>3.8740317021393237E-3</v>
      </c>
      <c r="U154" s="11" t="str">
        <f t="shared" si="70"/>
        <v>POSITIVE</v>
      </c>
      <c r="V154" s="11" t="str">
        <f t="shared" si="71"/>
        <v/>
      </c>
      <c r="W154" s="11" t="str">
        <f t="shared" si="72"/>
        <v>UP</v>
      </c>
      <c r="X154" s="6" t="str">
        <f t="shared" si="73"/>
        <v>POSITIVE</v>
      </c>
      <c r="Y154" cm="1">
        <f t="array" ref="Y154">IFERROR(VALUE(_xll.BDP($B154,"INTERVAL_MAE_MOV_AVG","CALC_INTERVAL","520D","TECH_STUDIES_PARAM1_OVERRIDE",65,"USE_PREVIOUS_BUSINESS_DAY","N")),"")</f>
        <v>26.463284610724013</v>
      </c>
      <c r="Z154">
        <f t="shared" si="5"/>
        <v>6856.0226153846133</v>
      </c>
      <c r="AA154" cm="1">
        <f t="array" ref="AA154">IFERROR(VALUE(_xll.BDP($B154,"INTERVAL_MAE_MOV_AVG","CALC_INTERVAL","520D","TECH_STUDIES_PARAM1_OVERRIDE",65,"USE_PREVIOUS_BUSINESS_DAY","Y")),"")</f>
        <v>26.412757086153853</v>
      </c>
      <c r="AB154">
        <f t="shared" si="6"/>
        <v>6852.6203076923057</v>
      </c>
      <c r="AC154">
        <f t="shared" si="74"/>
        <v>3.8598595855476856E-3</v>
      </c>
      <c r="AD154">
        <f t="shared" si="75"/>
        <v>3.8544025351155979E-3</v>
      </c>
      <c r="AE154" s="10" t="str">
        <f t="shared" si="76"/>
        <v>UP</v>
      </c>
      <c r="AF154" s="10" t="str">
        <f t="shared" si="77"/>
        <v>UP</v>
      </c>
      <c r="AG154" s="6" t="str">
        <f t="shared" si="78"/>
        <v>POSITIVE</v>
      </c>
      <c r="AH154" cm="1">
        <f t="array" ref="AH154">IFERROR(VALUE(_xll.BDP($B154,"INTERVAL_MAE_MOV_AVG","CALC_INTERVAL","65W","PERIODICITY_OVERRIDE","W","TECH_STUDIES_PARAM1_OVERRIDE",39,"USE_PREVIOUS_BUSINESS_DAY","N")),"")</f>
        <v>26.255877999742172</v>
      </c>
      <c r="AI154">
        <f t="shared" si="7"/>
        <v>6560.7735897435905</v>
      </c>
      <c r="AJ154" cm="1">
        <f t="array" ref="AJ154">IFERROR(VALUE(_xll.BDP($B154,"INTERVAL_MAE_MOV_AVG","CALC_INTERVAL","65W","PERIODICITY_OVERRIDE","W","TECH_STUDIES_PARAM1_OVERRIDE",39,"USE_PREVIOUS_BUSINESS_DAY","Y")),"")</f>
        <v>26.238954942381646</v>
      </c>
      <c r="AK154">
        <f t="shared" si="8"/>
        <v>6560.7823076923087</v>
      </c>
      <c r="AL154">
        <f t="shared" si="79"/>
        <v>4.0019484959498974E-3</v>
      </c>
      <c r="AM154">
        <f t="shared" si="80"/>
        <v>3.999363751426001E-3</v>
      </c>
      <c r="AN154" s="10" t="str">
        <f t="shared" si="81"/>
        <v>UP</v>
      </c>
      <c r="AO154" s="10" t="str">
        <f t="shared" si="82"/>
        <v>UP</v>
      </c>
      <c r="AP154" s="6" t="str">
        <f t="shared" si="83"/>
        <v>POSITIVE</v>
      </c>
      <c r="AQ154" cm="1">
        <f t="array" ref="AQ154">IFERROR(VALUE(_xll.BDP($B154,"INTERVAL_exp_MOV_AVG","CALC_INTERVAL","520D","TECH_STUDIES_PARAM1_OVERRIDE",100,"USE_PREVIOUS_BUSINESS_DAY","N")),"")</f>
        <v>26.622120916364651</v>
      </c>
      <c r="AR154">
        <f t="shared" si="9"/>
        <v>6773.0064518682802</v>
      </c>
      <c r="AS154" cm="1">
        <f t="array" ref="AS154">IFERROR(VALUE(_xll.BDP($B154,"INTERVAL_exp_MOV_AVG","CALC_INTERVAL","520D","TECH_STUDIES_PARAM1_OVERRIDE",100,"USE_PREVIOUS_BUSINESS_DAY","Y")),"")</f>
        <v>26.568029613888623</v>
      </c>
      <c r="AT154">
        <f t="shared" si="10"/>
        <v>6769.6039787132295</v>
      </c>
      <c r="AU154">
        <f t="shared" si="84"/>
        <v>3.9306209296495129E-3</v>
      </c>
      <c r="AV154">
        <f t="shared" si="85"/>
        <v>3.9246061804251494E-3</v>
      </c>
      <c r="AW154" s="11" t="str">
        <f t="shared" si="86"/>
        <v>UP</v>
      </c>
      <c r="AX154" s="11" t="str">
        <f t="shared" si="87"/>
        <v>UP</v>
      </c>
      <c r="AY154" s="6" t="str">
        <f t="shared" si="88"/>
        <v>POSITIVE</v>
      </c>
      <c r="AZ154" s="12" cm="1">
        <f t="array" ref="AZ154">_xll.BDP($B154, "INTERVAL_RSI", "TECH_STUDIES_PARAM1_OVERRIDE", "5", "PERIODICITY_OVERRIDE", "W")</f>
        <v>90.070334630301588</v>
      </c>
      <c r="BA154" cm="1">
        <f t="array" ref="BA154">IFERROR(VALUE(_xll.BDP($B154,"INTERVAL_MAE_MOV_AVG","CALC_INTERVAL","520D","TECH_STUDIES_PARAM1_OVERRIDE",31,"USE_PREVIOUS_BUSINESS_DAY","N")),"")</f>
        <v>27.271290297969696</v>
      </c>
      <c r="BB154" cm="1">
        <f t="array" ref="BB154">IFERROR(VALUE(_xll.BDP($B154,"INTERVAL_MAE_MOV_AVG","CALC_INTERVAL","760D","TECH_STUDIES_PARAM1_OVERRIDE",200,"USE_PREVIOUS_BUSINESS_DAY","N")),"")</f>
        <v>26.067072569099199</v>
      </c>
      <c r="BC154" s="13">
        <f t="shared" si="89"/>
        <v>7.4389941944966953E-2</v>
      </c>
      <c r="BD154" s="13">
        <f t="shared" si="90"/>
        <v>9.4162692496398304E-2</v>
      </c>
      <c r="BE154" s="13">
        <f t="shared" si="91"/>
        <v>0.12402341775551839</v>
      </c>
      <c r="BF154" s="14" cm="1">
        <f t="array" ref="BF154">VALUE(_xll.BDP($B154,"INTERVAL_DATE_OF_CALC_HI","CALC_INTERVAL","3M"))</f>
        <v>46064</v>
      </c>
      <c r="BG154" s="14" cm="1">
        <f t="array" ref="BG154">VALUE(_xll.BDP($B154,"INTERVAL_DATE_OF_CALC_LO","CALC_INTERVAL","3M"))</f>
        <v>45981</v>
      </c>
      <c r="BH154" s="14" cm="1">
        <f t="array" ref="BH154">VALUE(_xll.BDP($B154,"INTERVAL_DATE_OF_CALC_HI","CALC_INTERVAL","1M"))</f>
        <v>46064</v>
      </c>
      <c r="BI154" s="14" cm="1">
        <f t="array" ref="BI154">VALUE(_xll.BDP($B154,"INTERVAL_DATE_OF_CALC_LO","CALC_INTERVAL","1M"))</f>
        <v>46035</v>
      </c>
      <c r="BJ154" s="15">
        <f>$F154-MIN(_xll.BDP("NYA Index","RSI_14D"),_xll.BDP("RSP US Equity","RSI_14D"))</f>
        <v>4.349915635163228</v>
      </c>
    </row>
    <row r="155" spans="1:62" x14ac:dyDescent="0.25">
      <c r="A155" s="11">
        <v>154</v>
      </c>
      <c r="B155" s="26" t="s">
        <v>160</v>
      </c>
      <c r="C155" s="1" t="s">
        <v>823</v>
      </c>
      <c r="D155" s="1" t="s">
        <v>308</v>
      </c>
      <c r="E155" s="11" t="s">
        <v>787</v>
      </c>
      <c r="F155">
        <f>IFERROR(VALUE((_xll.BDP($B155,"interval_rsi","tech_studies_param1_override",14))),"")</f>
        <v>61.816551475892659</v>
      </c>
      <c r="G155">
        <f t="shared" si="0"/>
        <v>52.525531939815814</v>
      </c>
      <c r="H155">
        <f t="shared" si="65"/>
        <v>0</v>
      </c>
      <c r="I155" cm="1">
        <f t="array" ref="I155">IFERROR(VALUE(_xll.BDP($B155,"px_last")),"")</f>
        <v>56.58</v>
      </c>
      <c r="J155">
        <f t="shared" si="1"/>
        <v>6941.47</v>
      </c>
      <c r="K155" cm="1">
        <f t="array" ref="K155">IFERROR(VALUE(_xll.BDP($B155,"PX_YEST_CLOSE")),"")</f>
        <v>56.72</v>
      </c>
      <c r="L155">
        <f t="shared" si="2"/>
        <v>6941.81</v>
      </c>
      <c r="M155">
        <f t="shared" si="66"/>
        <v>8.1510112411348028E-3</v>
      </c>
      <c r="N155">
        <f t="shared" si="67"/>
        <v>8.170779666974463E-3</v>
      </c>
      <c r="O155" cm="1">
        <f t="array" ref="O155">IFERROR(VALUE(_xll.BDP($B155,"INTERVAL_MAE_MOV_AVG","CALC_INTERVAL","520D","TECH_STUDIES_PARAM1_OVERRIDE",50,"USE_PREVIOUS_BUSINESS_DAY","N")),"")</f>
        <v>54.359984160221096</v>
      </c>
      <c r="P155">
        <f t="shared" si="3"/>
        <v>6894.0953999999992</v>
      </c>
      <c r="Q155" cm="1">
        <f t="array" ref="Q155">IFERROR(VALUE(_xll.BDP($B155,"INTERVAL_MAE_MOV_AVG","CALC_INTERVAL","520D","TECH_STUDIES_PARAM1_OVERRIDE",50,"USE_PREVIOUS_BUSINESS_DAY","Y")),"")</f>
        <v>54.273080465599989</v>
      </c>
      <c r="R155">
        <f t="shared" si="4"/>
        <v>6892.2477999999992</v>
      </c>
      <c r="S155">
        <f t="shared" si="68"/>
        <v>7.8850060821933372E-3</v>
      </c>
      <c r="T155">
        <f t="shared" si="69"/>
        <v>7.8745109056583829E-3</v>
      </c>
      <c r="U155" s="11" t="str">
        <f t="shared" si="70"/>
        <v>NEGATIVE</v>
      </c>
      <c r="V155" s="11" t="str">
        <f t="shared" si="71"/>
        <v/>
      </c>
      <c r="W155" s="11" t="str">
        <f t="shared" si="72"/>
        <v>UP</v>
      </c>
      <c r="X155" s="6" t="str">
        <f t="shared" si="73"/>
        <v>POSITIVE</v>
      </c>
      <c r="Y155" cm="1">
        <f t="array" ref="Y155">IFERROR(VALUE(_xll.BDP($B155,"INTERVAL_MAE_MOV_AVG","CALC_INTERVAL","520D","TECH_STUDIES_PARAM1_OVERRIDE",65,"USE_PREVIOUS_BUSINESS_DAY","N")),"")</f>
        <v>53.476141555554676</v>
      </c>
      <c r="Z155">
        <f t="shared" si="5"/>
        <v>6856.0226153846133</v>
      </c>
      <c r="AA155" cm="1">
        <f t="array" ref="AA155">IFERROR(VALUE(_xll.BDP($B155,"INTERVAL_MAE_MOV_AVG","CALC_INTERVAL","520D","TECH_STUDIES_PARAM1_OVERRIDE",65,"USE_PREVIOUS_BUSINESS_DAY","Y")),"")</f>
        <v>53.364308554307677</v>
      </c>
      <c r="AB155">
        <f t="shared" si="6"/>
        <v>6852.6203076923057</v>
      </c>
      <c r="AC155">
        <f t="shared" si="74"/>
        <v>7.7998782319586525E-3</v>
      </c>
      <c r="AD155">
        <f t="shared" si="75"/>
        <v>7.7874311078354038E-3</v>
      </c>
      <c r="AE155" s="10" t="str">
        <f t="shared" si="76"/>
        <v>UP</v>
      </c>
      <c r="AF155" s="10" t="str">
        <f t="shared" si="77"/>
        <v>UP</v>
      </c>
      <c r="AG155" s="6" t="str">
        <f t="shared" si="78"/>
        <v>POSITIVE</v>
      </c>
      <c r="AH155" cm="1">
        <f t="array" ref="AH155">IFERROR(VALUE(_xll.BDP($B155,"INTERVAL_MAE_MOV_AVG","CALC_INTERVAL","65W","PERIODICITY_OVERRIDE","W","TECH_STUDIES_PARAM1_OVERRIDE",39,"USE_PREVIOUS_BUSINESS_DAY","N")),"")</f>
        <v>49.712792925248365</v>
      </c>
      <c r="AI155">
        <f t="shared" si="7"/>
        <v>6560.7735897435905</v>
      </c>
      <c r="AJ155" cm="1">
        <f t="array" ref="AJ155">IFERROR(VALUE(_xll.BDP($B155,"INTERVAL_MAE_MOV_AVG","CALC_INTERVAL","65W","PERIODICITY_OVERRIDE","W","TECH_STUDIES_PARAM1_OVERRIDE",39,"USE_PREVIOUS_BUSINESS_DAY","Y")),"")</f>
        <v>49.716382621887988</v>
      </c>
      <c r="AK155">
        <f t="shared" si="8"/>
        <v>6560.7823076923087</v>
      </c>
      <c r="AL155">
        <f t="shared" si="79"/>
        <v>7.5772761009409032E-3</v>
      </c>
      <c r="AM155">
        <f t="shared" si="80"/>
        <v>7.5778131768824445E-3</v>
      </c>
      <c r="AN155" s="10" t="str">
        <f t="shared" si="81"/>
        <v>DOWN</v>
      </c>
      <c r="AO155" s="10" t="str">
        <f t="shared" si="82"/>
        <v>DOWN</v>
      </c>
      <c r="AP155" s="6" t="str">
        <f t="shared" si="83"/>
        <v>POSITIVE</v>
      </c>
      <c r="AQ155" cm="1">
        <f t="array" ref="AQ155">IFERROR(VALUE(_xll.BDP($B155,"INTERVAL_exp_MOV_AVG","CALC_INTERVAL","520D","TECH_STUDIES_PARAM1_OVERRIDE",100,"USE_PREVIOUS_BUSINESS_DAY","N")),"")</f>
        <v>52.452751038489794</v>
      </c>
      <c r="AR155">
        <f t="shared" si="9"/>
        <v>6773.0064518682802</v>
      </c>
      <c r="AS155" cm="1">
        <f t="array" ref="AS155">IFERROR(VALUE(_xll.BDP($B155,"INTERVAL_exp_MOV_AVG","CALC_INTERVAL","520D","TECH_STUDIES_PARAM1_OVERRIDE",100,"USE_PREVIOUS_BUSINESS_DAY","Y")),"")</f>
        <v>52.369386275625153</v>
      </c>
      <c r="AT155">
        <f t="shared" si="10"/>
        <v>6769.6039787132295</v>
      </c>
      <c r="AU155">
        <f t="shared" si="84"/>
        <v>7.7443822638056277E-3</v>
      </c>
      <c r="AV155">
        <f t="shared" si="85"/>
        <v>7.7359601005167746E-3</v>
      </c>
      <c r="AW155" s="11" t="str">
        <f t="shared" si="86"/>
        <v>UP</v>
      </c>
      <c r="AX155" s="11" t="str">
        <f t="shared" si="87"/>
        <v>UP</v>
      </c>
      <c r="AY155" s="6" t="str">
        <f t="shared" si="88"/>
        <v>POSITIVE</v>
      </c>
      <c r="AZ155" s="12" cm="1">
        <f t="array" ref="AZ155">_xll.BDP($B155, "INTERVAL_RSI", "TECH_STUDIES_PARAM1_OVERRIDE", "5", "PERIODICITY_OVERRIDE", "W")</f>
        <v>74.485992878308764</v>
      </c>
      <c r="BA155" cm="1">
        <f t="array" ref="BA155">IFERROR(VALUE(_xll.BDP($B155,"INTERVAL_MAE_MOV_AVG","CALC_INTERVAL","520D","TECH_STUDIES_PARAM1_OVERRIDE",31,"USE_PREVIOUS_BUSINESS_DAY","N")),"")</f>
        <v>55.087096833259821</v>
      </c>
      <c r="BB155" cm="1">
        <f t="array" ref="BB155">IFERROR(VALUE(_xll.BDP($B155,"INTERVAL_MAE_MOV_AVG","CALC_INTERVAL","760D","TECH_STUDIES_PARAM1_OVERRIDE",200,"USE_PREVIOUS_BUSINESS_DAY","N")),"")</f>
        <v>48.988030299025539</v>
      </c>
      <c r="BC155" s="13">
        <f t="shared" si="89"/>
        <v>2.7100777724027969E-2</v>
      </c>
      <c r="BD155" s="13">
        <f t="shared" si="90"/>
        <v>4.0839155383776582E-2</v>
      </c>
      <c r="BE155" s="13">
        <f t="shared" si="91"/>
        <v>0.15497601464342758</v>
      </c>
      <c r="BF155" s="14" cm="1">
        <f t="array" ref="BF155">VALUE(_xll.BDP($B155,"INTERVAL_DATE_OF_CALC_HI","CALC_INTERVAL","3M"))</f>
        <v>46063</v>
      </c>
      <c r="BG155" s="14" cm="1">
        <f t="array" ref="BG155">VALUE(_xll.BDP($B155,"INTERVAL_DATE_OF_CALC_LO","CALC_INTERVAL","3M"))</f>
        <v>45981</v>
      </c>
      <c r="BH155" s="14" cm="1">
        <f t="array" ref="BH155">VALUE(_xll.BDP($B155,"INTERVAL_DATE_OF_CALC_HI","CALC_INTERVAL","1M"))</f>
        <v>46063</v>
      </c>
      <c r="BI155" s="14" cm="1">
        <f t="array" ref="BI155">VALUE(_xll.BDP($B155,"INTERVAL_DATE_OF_CALC_LO","CALC_INTERVAL","1M"))</f>
        <v>46058</v>
      </c>
      <c r="BJ155" s="15">
        <f>$F155-MIN(_xll.BDP("NYA Index","RSI_14D"),_xll.BDP("RSP US Equity","RSI_14D"))</f>
        <v>-4.5292126842635909</v>
      </c>
    </row>
    <row r="156" spans="1:62" x14ac:dyDescent="0.25">
      <c r="A156" s="11">
        <v>155</v>
      </c>
      <c r="B156" s="26" t="s">
        <v>400</v>
      </c>
      <c r="C156" s="1" t="s">
        <v>824</v>
      </c>
      <c r="D156" s="1" t="s">
        <v>308</v>
      </c>
      <c r="E156" s="11" t="s">
        <v>787</v>
      </c>
      <c r="F156">
        <f>IFERROR(VALUE((_xll.BDP($B156,"interval_rsi","tech_studies_param1_override",14))),"")</f>
        <v>66.593838263995707</v>
      </c>
      <c r="G156">
        <f t="shared" si="0"/>
        <v>52.525531939815814</v>
      </c>
      <c r="H156">
        <f t="shared" si="65"/>
        <v>1</v>
      </c>
      <c r="I156" cm="1">
        <f t="array" ref="I156">IFERROR(VALUE(_xll.BDP($B156,"px_last")),"")</f>
        <v>54.56</v>
      </c>
      <c r="J156">
        <f t="shared" si="1"/>
        <v>6941.47</v>
      </c>
      <c r="K156" cm="1">
        <f t="array" ref="K156">IFERROR(VALUE(_xll.BDP($B156,"PX_YEST_CLOSE")),"")</f>
        <v>54.17</v>
      </c>
      <c r="L156">
        <f t="shared" si="2"/>
        <v>6941.81</v>
      </c>
      <c r="M156">
        <f t="shared" si="66"/>
        <v>7.8600065980260671E-3</v>
      </c>
      <c r="N156">
        <f t="shared" si="67"/>
        <v>7.8034403131171841E-3</v>
      </c>
      <c r="O156" cm="1">
        <f t="array" ref="O156">IFERROR(VALUE(_xll.BDP($B156,"INTERVAL_MAE_MOV_AVG","CALC_INTERVAL","520D","TECH_STUDIES_PARAM1_OVERRIDE",50,"USE_PREVIOUS_BUSINESS_DAY","N")),"")</f>
        <v>50.373082399865815</v>
      </c>
      <c r="P156">
        <f t="shared" si="3"/>
        <v>6894.0953999999992</v>
      </c>
      <c r="Q156" cm="1">
        <f t="array" ref="Q156">IFERROR(VALUE(_xll.BDP($B156,"INTERVAL_MAE_MOV_AVG","CALC_INTERVAL","520D","TECH_STUDIES_PARAM1_OVERRIDE",50,"USE_PREVIOUS_BUSINESS_DAY","Y")),"")</f>
        <v>50.228352087999994</v>
      </c>
      <c r="R156">
        <f t="shared" si="4"/>
        <v>6892.2477999999992</v>
      </c>
      <c r="S156">
        <f t="shared" si="68"/>
        <v>7.3066993531690641E-3</v>
      </c>
      <c r="T156">
        <f t="shared" si="69"/>
        <v>7.2876590548587063E-3</v>
      </c>
      <c r="U156" s="11" t="str">
        <f t="shared" si="70"/>
        <v>POSITIVE</v>
      </c>
      <c r="V156" s="11" t="str">
        <f t="shared" si="71"/>
        <v/>
      </c>
      <c r="W156" s="11" t="str">
        <f t="shared" si="72"/>
        <v>UP</v>
      </c>
      <c r="X156" s="6" t="str">
        <f t="shared" si="73"/>
        <v>POSITIVE</v>
      </c>
      <c r="Y156" cm="1">
        <f t="array" ref="Y156">IFERROR(VALUE(_xll.BDP($B156,"INTERVAL_MAE_MOV_AVG","CALC_INTERVAL","520D","TECH_STUDIES_PARAM1_OVERRIDE",65,"USE_PREVIOUS_BUSINESS_DAY","N")),"")</f>
        <v>49.510224314358318</v>
      </c>
      <c r="Z156">
        <f t="shared" si="5"/>
        <v>6856.0226153846133</v>
      </c>
      <c r="AA156" cm="1">
        <f t="array" ref="AA156">IFERROR(VALUE(_xll.BDP($B156,"INTERVAL_MAE_MOV_AVG","CALC_INTERVAL","520D","TECH_STUDIES_PARAM1_OVERRIDE",65,"USE_PREVIOUS_BUSINESS_DAY","Y")),"")</f>
        <v>49.384760767692306</v>
      </c>
      <c r="AB156">
        <f t="shared" si="6"/>
        <v>6852.6203076923057</v>
      </c>
      <c r="AC156">
        <f t="shared" si="74"/>
        <v>7.2214207991758298E-3</v>
      </c>
      <c r="AD156">
        <f t="shared" si="75"/>
        <v>7.2066973727197732E-3</v>
      </c>
      <c r="AE156" s="10" t="str">
        <f t="shared" si="76"/>
        <v>UP</v>
      </c>
      <c r="AF156" s="10" t="str">
        <f t="shared" si="77"/>
        <v>UP</v>
      </c>
      <c r="AG156" s="6" t="str">
        <f t="shared" si="78"/>
        <v>POSITIVE</v>
      </c>
      <c r="AH156" cm="1">
        <f t="array" ref="AH156">IFERROR(VALUE(_xll.BDP($B156,"INTERVAL_MAE_MOV_AVG","CALC_INTERVAL","65W","PERIODICITY_OVERRIDE","W","TECH_STUDIES_PARAM1_OVERRIDE",39,"USE_PREVIOUS_BUSINESS_DAY","N")),"")</f>
        <v>47.189622345827736</v>
      </c>
      <c r="AI156">
        <f t="shared" si="7"/>
        <v>6560.7735897435905</v>
      </c>
      <c r="AJ156" cm="1">
        <f t="array" ref="AJ156">IFERROR(VALUE(_xll.BDP($B156,"INTERVAL_MAE_MOV_AVG","CALC_INTERVAL","65W","PERIODICITY_OVERRIDE","W","TECH_STUDIES_PARAM1_OVERRIDE",39,"USE_PREVIOUS_BUSINESS_DAY","Y")),"")</f>
        <v>47.179622310615152</v>
      </c>
      <c r="AK156">
        <f t="shared" si="8"/>
        <v>6560.7823076923087</v>
      </c>
      <c r="AL156">
        <f t="shared" si="79"/>
        <v>7.1926917916507477E-3</v>
      </c>
      <c r="AM156">
        <f t="shared" si="80"/>
        <v>7.1911580201797802E-3</v>
      </c>
      <c r="AN156" s="10" t="str">
        <f t="shared" si="81"/>
        <v>UP</v>
      </c>
      <c r="AO156" s="10" t="str">
        <f t="shared" si="82"/>
        <v>UP</v>
      </c>
      <c r="AP156" s="6" t="str">
        <f t="shared" si="83"/>
        <v>POSITIVE</v>
      </c>
      <c r="AQ156" cm="1">
        <f t="array" ref="AQ156">IFERROR(VALUE(_xll.BDP($B156,"INTERVAL_exp_MOV_AVG","CALC_INTERVAL","520D","TECH_STUDIES_PARAM1_OVERRIDE",100,"USE_PREVIOUS_BUSINESS_DAY","N")),"")</f>
        <v>49.160735073438538</v>
      </c>
      <c r="AR156">
        <f t="shared" si="9"/>
        <v>6773.0064518682802</v>
      </c>
      <c r="AS156" cm="1">
        <f t="array" ref="AS156">IFERROR(VALUE(_xll.BDP($B156,"INTERVAL_exp_MOV_AVG","CALC_INTERVAL","520D","TECH_STUDIES_PARAM1_OVERRIDE",100,"USE_PREVIOUS_BUSINESS_DAY","Y")),"")</f>
        <v>49.051669902427797</v>
      </c>
      <c r="AT156">
        <f t="shared" si="10"/>
        <v>6769.6039787132295</v>
      </c>
      <c r="AU156">
        <f t="shared" si="84"/>
        <v>7.2583328279390517E-3</v>
      </c>
      <c r="AV156">
        <f t="shared" si="85"/>
        <v>7.2458699292704517E-3</v>
      </c>
      <c r="AW156" s="11" t="str">
        <f t="shared" si="86"/>
        <v>UP</v>
      </c>
      <c r="AX156" s="11" t="str">
        <f t="shared" si="87"/>
        <v>UP</v>
      </c>
      <c r="AY156" s="6" t="str">
        <f t="shared" si="88"/>
        <v>POSITIVE</v>
      </c>
      <c r="AZ156" s="12" cm="1">
        <f t="array" ref="AZ156">_xll.BDP($B156, "INTERVAL_RSI", "TECH_STUDIES_PARAM1_OVERRIDE", "5", "PERIODICITY_OVERRIDE", "W")</f>
        <v>92.37701016570432</v>
      </c>
      <c r="BA156" cm="1">
        <f t="array" ref="BA156">IFERROR(VALUE(_xll.BDP($B156,"INTERVAL_MAE_MOV_AVG","CALC_INTERVAL","520D","TECH_STUDIES_PARAM1_OVERRIDE",31,"USE_PREVIOUS_BUSINESS_DAY","N")),"")</f>
        <v>51.669354883009376</v>
      </c>
      <c r="BB156" cm="1">
        <f t="array" ref="BB156">IFERROR(VALUE(_xll.BDP($B156,"INTERVAL_MAE_MOV_AVG","CALC_INTERVAL","760D","TECH_STUDIES_PARAM1_OVERRIDE",200,"USE_PREVIOUS_BUSINESS_DAY","N")),"")</f>
        <v>46.684977063876502</v>
      </c>
      <c r="BC156" s="13">
        <f t="shared" si="89"/>
        <v>5.5945059185191548E-2</v>
      </c>
      <c r="BD156" s="13">
        <f t="shared" si="90"/>
        <v>8.3118153598346067E-2</v>
      </c>
      <c r="BE156" s="13">
        <f t="shared" si="91"/>
        <v>0.16868430556040614</v>
      </c>
      <c r="BF156" s="14" cm="1">
        <f t="array" ref="BF156">VALUE(_xll.BDP($B156,"INTERVAL_DATE_OF_CALC_HI","CALC_INTERVAL","3M"))</f>
        <v>46064</v>
      </c>
      <c r="BG156" s="14" cm="1">
        <f t="array" ref="BG156">VALUE(_xll.BDP($B156,"INTERVAL_DATE_OF_CALC_LO","CALC_INTERVAL","3M"))</f>
        <v>45981</v>
      </c>
      <c r="BH156" s="14" cm="1">
        <f t="array" ref="BH156">VALUE(_xll.BDP($B156,"INTERVAL_DATE_OF_CALC_HI","CALC_INTERVAL","1M"))</f>
        <v>46064</v>
      </c>
      <c r="BI156" s="14" cm="1">
        <f t="array" ref="BI156">VALUE(_xll.BDP($B156,"INTERVAL_DATE_OF_CALC_LO","CALC_INTERVAL","1M"))</f>
        <v>46042</v>
      </c>
      <c r="BJ156" s="15">
        <f>$F156-MIN(_xll.BDP("NYA Index","RSI_14D"),_xll.BDP("RSP US Equity","RSI_14D"))</f>
        <v>0.24807410383945694</v>
      </c>
    </row>
    <row r="157" spans="1:62" x14ac:dyDescent="0.25">
      <c r="A157" s="11">
        <v>156</v>
      </c>
      <c r="B157" s="26" t="s">
        <v>161</v>
      </c>
      <c r="C157" s="1" t="s">
        <v>825</v>
      </c>
      <c r="D157" s="1" t="s">
        <v>308</v>
      </c>
      <c r="E157" s="11" t="s">
        <v>787</v>
      </c>
      <c r="F157">
        <f>IFERROR(VALUE((_xll.BDP($B157,"interval_rsi","tech_studies_param1_override",14))),"")</f>
        <v>58.288401722913683</v>
      </c>
      <c r="G157">
        <f t="shared" si="0"/>
        <v>52.525531939815814</v>
      </c>
      <c r="H157">
        <f t="shared" si="65"/>
        <v>0</v>
      </c>
      <c r="I157" cm="1">
        <f t="array" ref="I157">IFERROR(VALUE(_xll.BDP($B157,"px_last")),"")</f>
        <v>44.05</v>
      </c>
      <c r="J157">
        <f t="shared" si="1"/>
        <v>6941.47</v>
      </c>
      <c r="K157" cm="1">
        <f t="array" ref="K157">IFERROR(VALUE(_xll.BDP($B157,"PX_YEST_CLOSE")),"")</f>
        <v>44.22</v>
      </c>
      <c r="L157">
        <f t="shared" si="2"/>
        <v>6941.81</v>
      </c>
      <c r="M157">
        <f t="shared" si="66"/>
        <v>6.3459180836335817E-3</v>
      </c>
      <c r="N157">
        <f t="shared" si="67"/>
        <v>6.3700965598309373E-3</v>
      </c>
      <c r="O157" cm="1">
        <f t="array" ref="O157">IFERROR(VALUE(_xll.BDP($B157,"INTERVAL_MAE_MOV_AVG","CALC_INTERVAL","520D","TECH_STUDIES_PARAM1_OVERRIDE",50,"USE_PREVIOUS_BUSINESS_DAY","N")),"")</f>
        <v>42.757199984741213</v>
      </c>
      <c r="P157">
        <f t="shared" si="3"/>
        <v>6894.0953999999992</v>
      </c>
      <c r="Q157" cm="1">
        <f t="array" ref="Q157">IFERROR(VALUE(_xll.BDP($B157,"INTERVAL_MAE_MOV_AVG","CALC_INTERVAL","520D","TECH_STUDIES_PARAM1_OVERRIDE",50,"USE_PREVIOUS_BUSINESS_DAY","Y")),"")</f>
        <v>42.694600000000008</v>
      </c>
      <c r="R157">
        <f t="shared" si="4"/>
        <v>6892.2477999999992</v>
      </c>
      <c r="S157">
        <f t="shared" si="68"/>
        <v>6.2020029465709482E-3</v>
      </c>
      <c r="T157">
        <f t="shared" si="69"/>
        <v>6.194582847122823E-3</v>
      </c>
      <c r="U157" s="11" t="str">
        <f t="shared" si="70"/>
        <v>NEGATIVE</v>
      </c>
      <c r="V157" s="11" t="str">
        <f t="shared" si="71"/>
        <v/>
      </c>
      <c r="W157" s="11" t="str">
        <f t="shared" si="72"/>
        <v>UP</v>
      </c>
      <c r="X157" s="6" t="str">
        <f t="shared" si="73"/>
        <v>POSITIVE</v>
      </c>
      <c r="Y157" cm="1">
        <f t="array" ref="Y157">IFERROR(VALUE(_xll.BDP($B157,"INTERVAL_MAE_MOV_AVG","CALC_INTERVAL","520D","TECH_STUDIES_PARAM1_OVERRIDE",65,"USE_PREVIOUS_BUSINESS_DAY","N")),"")</f>
        <v>42.197538449800938</v>
      </c>
      <c r="Z157">
        <f t="shared" si="5"/>
        <v>6856.0226153846133</v>
      </c>
      <c r="AA157" cm="1">
        <f t="array" ref="AA157">IFERROR(VALUE(_xll.BDP($B157,"INTERVAL_MAE_MOV_AVG","CALC_INTERVAL","520D","TECH_STUDIES_PARAM1_OVERRIDE",65,"USE_PREVIOUS_BUSINESS_DAY","Y")),"")</f>
        <v>42.141230769230781</v>
      </c>
      <c r="AB157">
        <f t="shared" si="6"/>
        <v>6852.6203076923057</v>
      </c>
      <c r="AC157">
        <f t="shared" si="74"/>
        <v>6.1548131937475695E-3</v>
      </c>
      <c r="AD157">
        <f t="shared" si="75"/>
        <v>6.1496520859219026E-3</v>
      </c>
      <c r="AE157" s="10" t="str">
        <f t="shared" si="76"/>
        <v>UP</v>
      </c>
      <c r="AF157" s="10" t="str">
        <f t="shared" si="77"/>
        <v>UP</v>
      </c>
      <c r="AG157" s="6" t="str">
        <f t="shared" si="78"/>
        <v>POSITIVE</v>
      </c>
      <c r="AH157" cm="1">
        <f t="array" ref="AH157">IFERROR(VALUE(_xll.BDP($B157,"INTERVAL_MAE_MOV_AVG","CALC_INTERVAL","65W","PERIODICITY_OVERRIDE","W","TECH_STUDIES_PARAM1_OVERRIDE",39,"USE_PREVIOUS_BUSINESS_DAY","N")),"")</f>
        <v>41.876225367616932</v>
      </c>
      <c r="AI157">
        <f t="shared" si="7"/>
        <v>6560.7735897435905</v>
      </c>
      <c r="AJ157" cm="1">
        <f t="array" ref="AJ157">IFERROR(VALUE(_xll.BDP($B157,"INTERVAL_MAE_MOV_AVG","CALC_INTERVAL","65W","PERIODICITY_OVERRIDE","W","TECH_STUDIES_PARAM1_OVERRIDE",39,"USE_PREVIOUS_BUSINESS_DAY","Y")),"")</f>
        <v>41.880584361538453</v>
      </c>
      <c r="AK157">
        <f t="shared" si="8"/>
        <v>6560.7823076923087</v>
      </c>
      <c r="AL157">
        <f t="shared" si="79"/>
        <v>6.3828182446475108E-3</v>
      </c>
      <c r="AM157">
        <f t="shared" si="80"/>
        <v>6.3834741647249595E-3</v>
      </c>
      <c r="AN157" s="10" t="str">
        <f t="shared" si="81"/>
        <v>DOWN</v>
      </c>
      <c r="AO157" s="10" t="str">
        <f t="shared" si="82"/>
        <v>DOWN</v>
      </c>
      <c r="AP157" s="6" t="str">
        <f t="shared" si="83"/>
        <v>NEGATIVE</v>
      </c>
      <c r="AQ157" cm="1">
        <f t="array" ref="AQ157">IFERROR(VALUE(_xll.BDP($B157,"INTERVAL_exp_MOV_AVG","CALC_INTERVAL","520D","TECH_STUDIES_PARAM1_OVERRIDE",100,"USE_PREVIOUS_BUSINESS_DAY","N")),"")</f>
        <v>42.217167316084847</v>
      </c>
      <c r="AR157">
        <f t="shared" si="9"/>
        <v>6773.0064518682802</v>
      </c>
      <c r="AS157" cm="1">
        <f t="array" ref="AS157">IFERROR(VALUE(_xll.BDP($B157,"INTERVAL_exp_MOV_AVG","CALC_INTERVAL","520D","TECH_STUDIES_PARAM1_OVERRIDE",100,"USE_PREVIOUS_BUSINESS_DAY","Y")),"")</f>
        <v>42.180145772674692</v>
      </c>
      <c r="AT157">
        <f t="shared" si="10"/>
        <v>6769.6039787132295</v>
      </c>
      <c r="AU157">
        <f t="shared" si="84"/>
        <v>6.2331503175284261E-3</v>
      </c>
      <c r="AV157">
        <f t="shared" si="85"/>
        <v>6.2308143733826394E-3</v>
      </c>
      <c r="AW157" s="11" t="str">
        <f t="shared" si="86"/>
        <v>UP</v>
      </c>
      <c r="AX157" s="11" t="str">
        <f t="shared" si="87"/>
        <v>UP</v>
      </c>
      <c r="AY157" s="6" t="str">
        <f t="shared" si="88"/>
        <v>POSITIVE</v>
      </c>
      <c r="AZ157" s="12" cm="1">
        <f t="array" ref="AZ157">_xll.BDP($B157, "INTERVAL_RSI", "TECH_STUDIES_PARAM1_OVERRIDE", "5", "PERIODICITY_OVERRIDE", "W")</f>
        <v>77.687828986089315</v>
      </c>
      <c r="BA157" cm="1">
        <f t="array" ref="BA157">IFERROR(VALUE(_xll.BDP($B157,"INTERVAL_MAE_MOV_AVG","CALC_INTERVAL","520D","TECH_STUDIES_PARAM1_OVERRIDE",31,"USE_PREVIOUS_BUSINESS_DAY","N")),"")</f>
        <v>43.348064491518087</v>
      </c>
      <c r="BB157" cm="1">
        <f t="array" ref="BB157">IFERROR(VALUE(_xll.BDP($B157,"INTERVAL_MAE_MOV_AVG","CALC_INTERVAL","760D","TECH_STUDIES_PARAM1_OVERRIDE",200,"USE_PREVIOUS_BUSINESS_DAY","N")),"")</f>
        <v>41.686832251185315</v>
      </c>
      <c r="BC157" s="13">
        <f t="shared" si="89"/>
        <v>1.6193006924663411E-2</v>
      </c>
      <c r="BD157" s="13">
        <f t="shared" si="90"/>
        <v>3.0235843687616226E-2</v>
      </c>
      <c r="BE157" s="13">
        <f t="shared" si="91"/>
        <v>5.6688590166202646E-2</v>
      </c>
      <c r="BF157" s="14" cm="1">
        <f t="array" ref="BF157">VALUE(_xll.BDP($B157,"INTERVAL_DATE_OF_CALC_HI","CALC_INTERVAL","3M"))</f>
        <v>46062</v>
      </c>
      <c r="BG157" s="14" cm="1">
        <f t="array" ref="BG157">VALUE(_xll.BDP($B157,"INTERVAL_DATE_OF_CALC_LO","CALC_INTERVAL","3M"))</f>
        <v>45981</v>
      </c>
      <c r="BH157" s="14" cm="1">
        <f t="array" ref="BH157">VALUE(_xll.BDP($B157,"INTERVAL_DATE_OF_CALC_HI","CALC_INTERVAL","1M"))</f>
        <v>46062</v>
      </c>
      <c r="BI157" s="14" cm="1">
        <f t="array" ref="BI157">VALUE(_xll.BDP($B157,"INTERVAL_DATE_OF_CALC_LO","CALC_INTERVAL","1M"))</f>
        <v>46042</v>
      </c>
      <c r="BJ157" s="15">
        <f>$F157-MIN(_xll.BDP("NYA Index","RSI_14D"),_xll.BDP("RSP US Equity","RSI_14D"))</f>
        <v>-8.057362437242567</v>
      </c>
    </row>
    <row r="158" spans="1:62" x14ac:dyDescent="0.25">
      <c r="A158" s="11">
        <v>157</v>
      </c>
      <c r="B158" s="26" t="s">
        <v>401</v>
      </c>
      <c r="C158" s="1" t="s">
        <v>826</v>
      </c>
      <c r="D158" s="1" t="s">
        <v>308</v>
      </c>
      <c r="E158" s="11" t="s">
        <v>787</v>
      </c>
      <c r="F158">
        <f>IFERROR(VALUE((_xll.BDP($B158,"interval_rsi","tech_studies_param1_override",14))),"")</f>
        <v>67.534014310108461</v>
      </c>
      <c r="G158">
        <f t="shared" si="0"/>
        <v>52.525531939815814</v>
      </c>
      <c r="H158">
        <f t="shared" si="65"/>
        <v>1</v>
      </c>
      <c r="I158" cm="1">
        <f t="array" ref="I158">IFERROR(VALUE(_xll.BDP($B158,"px_last")),"")</f>
        <v>23.8</v>
      </c>
      <c r="J158">
        <f t="shared" si="1"/>
        <v>6941.47</v>
      </c>
      <c r="K158" cm="1">
        <f t="array" ref="K158">IFERROR(VALUE(_xll.BDP($B158,"PX_YEST_CLOSE")),"")</f>
        <v>23.67</v>
      </c>
      <c r="L158">
        <f t="shared" si="2"/>
        <v>6941.81</v>
      </c>
      <c r="M158">
        <f t="shared" si="66"/>
        <v>3.4286685673207548E-3</v>
      </c>
      <c r="N158">
        <f t="shared" si="67"/>
        <v>3.409773531686981E-3</v>
      </c>
      <c r="O158" cm="1">
        <f t="array" ref="O158">IFERROR(VALUE(_xll.BDP($B158,"INTERVAL_MAE_MOV_AVG","CALC_INTERVAL","520D","TECH_STUDIES_PARAM1_OVERRIDE",50,"USE_PREVIOUS_BUSINESS_DAY","N")),"")</f>
        <v>22.230769528141206</v>
      </c>
      <c r="P158">
        <f t="shared" si="3"/>
        <v>6894.0953999999992</v>
      </c>
      <c r="Q158" cm="1">
        <f t="array" ref="Q158">IFERROR(VALUE(_xll.BDP($B158,"INTERVAL_MAE_MOV_AVG","CALC_INTERVAL","520D","TECH_STUDIES_PARAM1_OVERRIDE",50,"USE_PREVIOUS_BUSINESS_DAY","Y")),"")</f>
        <v>22.185722474599999</v>
      </c>
      <c r="R158">
        <f t="shared" si="4"/>
        <v>6892.2477999999992</v>
      </c>
      <c r="S158">
        <f t="shared" si="68"/>
        <v>3.2246100812792942E-3</v>
      </c>
      <c r="T158">
        <f t="shared" si="69"/>
        <v>3.2189385986092956E-3</v>
      </c>
      <c r="U158" s="11" t="str">
        <f t="shared" si="70"/>
        <v>POSITIVE</v>
      </c>
      <c r="V158" s="11" t="str">
        <f t="shared" si="71"/>
        <v/>
      </c>
      <c r="W158" s="11" t="str">
        <f t="shared" si="72"/>
        <v>UP</v>
      </c>
      <c r="X158" s="6" t="str">
        <f t="shared" si="73"/>
        <v>POSITIVE</v>
      </c>
      <c r="Y158" cm="1">
        <f t="array" ref="Y158">IFERROR(VALUE(_xll.BDP($B158,"INTERVAL_MAE_MOV_AVG","CALC_INTERVAL","520D","TECH_STUDIES_PARAM1_OVERRIDE",65,"USE_PREVIOUS_BUSINESS_DAY","N")),"")</f>
        <v>22.091459748877856</v>
      </c>
      <c r="Z158">
        <f t="shared" si="5"/>
        <v>6856.0226153846133</v>
      </c>
      <c r="AA158" cm="1">
        <f t="array" ref="AA158">IFERROR(VALUE(_xll.BDP($B158,"INTERVAL_MAE_MOV_AVG","CALC_INTERVAL","520D","TECH_STUDIES_PARAM1_OVERRIDE",65,"USE_PREVIOUS_BUSINESS_DAY","Y")),"")</f>
        <v>22.056211942153848</v>
      </c>
      <c r="AB158">
        <f t="shared" si="6"/>
        <v>6852.6203076923057</v>
      </c>
      <c r="AC158">
        <f t="shared" si="74"/>
        <v>3.2221976192589553E-3</v>
      </c>
      <c r="AD158">
        <f t="shared" si="75"/>
        <v>3.2186537341628253E-3</v>
      </c>
      <c r="AE158" s="10" t="str">
        <f t="shared" si="76"/>
        <v>UP</v>
      </c>
      <c r="AF158" s="10" t="str">
        <f t="shared" si="77"/>
        <v>UP</v>
      </c>
      <c r="AG158" s="6" t="str">
        <f t="shared" si="78"/>
        <v>POSITIVE</v>
      </c>
      <c r="AH158" cm="1">
        <f t="array" ref="AH158">IFERROR(VALUE(_xll.BDP($B158,"INTERVAL_MAE_MOV_AVG","CALC_INTERVAL","65W","PERIODICITY_OVERRIDE","W","TECH_STUDIES_PARAM1_OVERRIDE",39,"USE_PREVIOUS_BUSINESS_DAY","N")),"")</f>
        <v>20.769644194032036</v>
      </c>
      <c r="AI158">
        <f t="shared" si="7"/>
        <v>6560.7735897435905</v>
      </c>
      <c r="AJ158" cm="1">
        <f t="array" ref="AJ158">IFERROR(VALUE(_xll.BDP($B158,"INTERVAL_MAE_MOV_AVG","CALC_INTERVAL","65W","PERIODICITY_OVERRIDE","W","TECH_STUDIES_PARAM1_OVERRIDE",39,"USE_PREVIOUS_BUSINESS_DAY","Y")),"")</f>
        <v>20.766310880261255</v>
      </c>
      <c r="AK158">
        <f t="shared" si="8"/>
        <v>6560.7823076923087</v>
      </c>
      <c r="AL158">
        <f t="shared" si="79"/>
        <v>3.1657309782037089E-3</v>
      </c>
      <c r="AM158">
        <f t="shared" si="80"/>
        <v>3.1652187050793344E-3</v>
      </c>
      <c r="AN158" s="10" t="str">
        <f t="shared" si="81"/>
        <v>UP</v>
      </c>
      <c r="AO158" s="10" t="str">
        <f t="shared" si="82"/>
        <v>UP</v>
      </c>
      <c r="AP158" s="6" t="str">
        <f t="shared" si="83"/>
        <v>POSITIVE</v>
      </c>
      <c r="AQ158" cm="1">
        <f t="array" ref="AQ158">IFERROR(VALUE(_xll.BDP($B158,"INTERVAL_exp_MOV_AVG","CALC_INTERVAL","520D","TECH_STUDIES_PARAM1_OVERRIDE",100,"USE_PREVIOUS_BUSINESS_DAY","N")),"")</f>
        <v>21.749177587410838</v>
      </c>
      <c r="AR158">
        <f t="shared" si="9"/>
        <v>6773.0064518682802</v>
      </c>
      <c r="AS158" cm="1">
        <f t="array" ref="AS158">IFERROR(VALUE(_xll.BDP($B158,"INTERVAL_exp_MOV_AVG","CALC_INTERVAL","520D","TECH_STUDIES_PARAM1_OVERRIDE",100,"USE_PREVIOUS_BUSINESS_DAY","Y")),"")</f>
        <v>21.707759832469019</v>
      </c>
      <c r="AT158">
        <f t="shared" si="10"/>
        <v>6769.6039787132295</v>
      </c>
      <c r="AU158">
        <f t="shared" si="84"/>
        <v>3.2111555986206832E-3</v>
      </c>
      <c r="AV158">
        <f t="shared" si="85"/>
        <v>3.2066513640573763E-3</v>
      </c>
      <c r="AW158" s="11" t="str">
        <f t="shared" si="86"/>
        <v>UP</v>
      </c>
      <c r="AX158" s="11" t="str">
        <f t="shared" si="87"/>
        <v>UP</v>
      </c>
      <c r="AY158" s="6" t="str">
        <f t="shared" si="88"/>
        <v>POSITIVE</v>
      </c>
      <c r="AZ158" s="12" cm="1">
        <f t="array" ref="AZ158">_xll.BDP($B158, "INTERVAL_RSI", "TECH_STUDIES_PARAM1_OVERRIDE", "5", "PERIODICITY_OVERRIDE", "W")</f>
        <v>90.301323007883383</v>
      </c>
      <c r="BA158" cm="1">
        <f t="array" ref="BA158">IFERROR(VALUE(_xll.BDP($B158,"INTERVAL_MAE_MOV_AVG","CALC_INTERVAL","520D","TECH_STUDIES_PARAM1_OVERRIDE",31,"USE_PREVIOUS_BUSINESS_DAY","N")),"")</f>
        <v>22.73580642700195</v>
      </c>
      <c r="BB158" cm="1">
        <f t="array" ref="BB158">IFERROR(VALUE(_xll.BDP($B158,"INTERVAL_MAE_MOV_AVG","CALC_INTERVAL","760D","TECH_STUDIES_PARAM1_OVERRIDE",200,"USE_PREVIOUS_BUSINESS_DAY","N")),"")</f>
        <v>20.470407311840173</v>
      </c>
      <c r="BC158" s="13">
        <f t="shared" si="89"/>
        <v>4.6806942010826136E-2</v>
      </c>
      <c r="BD158" s="13">
        <f t="shared" si="90"/>
        <v>7.0588220973293758E-2</v>
      </c>
      <c r="BE158" s="13">
        <f t="shared" si="91"/>
        <v>0.16265395394619131</v>
      </c>
      <c r="BF158" s="14" cm="1">
        <f t="array" ref="BF158">VALUE(_xll.BDP($B158,"INTERVAL_DATE_OF_CALC_HI","CALC_INTERVAL","3M"))</f>
        <v>46064</v>
      </c>
      <c r="BG158" s="14" cm="1">
        <f t="array" ref="BG158">VALUE(_xll.BDP($B158,"INTERVAL_DATE_OF_CALC_LO","CALC_INTERVAL","3M"))</f>
        <v>45981</v>
      </c>
      <c r="BH158" s="14" cm="1">
        <f t="array" ref="BH158">VALUE(_xll.BDP($B158,"INTERVAL_DATE_OF_CALC_HI","CALC_INTERVAL","1M"))</f>
        <v>46064</v>
      </c>
      <c r="BI158" s="14" cm="1">
        <f t="array" ref="BI158">VALUE(_xll.BDP($B158,"INTERVAL_DATE_OF_CALC_LO","CALC_INTERVAL","1M"))</f>
        <v>46042</v>
      </c>
      <c r="BJ158" s="15">
        <f>$F158-MIN(_xll.BDP("NYA Index","RSI_14D"),_xll.BDP("RSP US Equity","RSI_14D"))</f>
        <v>1.1882501499522107</v>
      </c>
    </row>
    <row r="159" spans="1:62" x14ac:dyDescent="0.25">
      <c r="A159" s="11">
        <v>158</v>
      </c>
      <c r="B159" s="26" t="s">
        <v>402</v>
      </c>
      <c r="C159" s="1" t="s">
        <v>827</v>
      </c>
      <c r="D159" s="1" t="s">
        <v>308</v>
      </c>
      <c r="E159" s="11" t="s">
        <v>787</v>
      </c>
      <c r="F159">
        <f>IFERROR(VALUE((_xll.BDP($B159,"interval_rsi","tech_studies_param1_override",14))),"")</f>
        <v>59.432610951932993</v>
      </c>
      <c r="G159">
        <f t="shared" si="0"/>
        <v>52.525531939815814</v>
      </c>
      <c r="H159">
        <f t="shared" si="65"/>
        <v>0</v>
      </c>
      <c r="I159" cm="1">
        <f t="array" ref="I159">IFERROR(VALUE(_xll.BDP($B159,"px_last")),"")</f>
        <v>56.98</v>
      </c>
      <c r="J159">
        <f t="shared" si="1"/>
        <v>6941.47</v>
      </c>
      <c r="K159" cm="1">
        <f t="array" ref="K159">IFERROR(VALUE(_xll.BDP($B159,"PX_YEST_CLOSE")),"")</f>
        <v>57.32</v>
      </c>
      <c r="L159">
        <f t="shared" si="2"/>
        <v>6941.81</v>
      </c>
      <c r="M159">
        <f t="shared" si="66"/>
        <v>8.2086359229385127E-3</v>
      </c>
      <c r="N159">
        <f t="shared" si="67"/>
        <v>8.2572124561173521E-3</v>
      </c>
      <c r="O159" cm="1">
        <f t="array" ref="O159">IFERROR(VALUE(_xll.BDP($B159,"INTERVAL_MAE_MOV_AVG","CALC_INTERVAL","520D","TECH_STUDIES_PARAM1_OVERRIDE",50,"USE_PREVIOUS_BUSINESS_DAY","N")),"")</f>
        <v>54.669036866644731</v>
      </c>
      <c r="P159">
        <f t="shared" si="3"/>
        <v>6894.0953999999992</v>
      </c>
      <c r="Q159" cm="1">
        <f t="array" ref="Q159">IFERROR(VALUE(_xll.BDP($B159,"INTERVAL_MAE_MOV_AVG","CALC_INTERVAL","520D","TECH_STUDIES_PARAM1_OVERRIDE",50,"USE_PREVIOUS_BUSINESS_DAY","Y")),"")</f>
        <v>54.574360822400003</v>
      </c>
      <c r="R159">
        <f t="shared" si="4"/>
        <v>6892.2477999999992</v>
      </c>
      <c r="S159">
        <f t="shared" si="68"/>
        <v>7.9298346910959099E-3</v>
      </c>
      <c r="T159">
        <f t="shared" si="69"/>
        <v>7.9182238372799089E-3</v>
      </c>
      <c r="U159" s="11" t="str">
        <f t="shared" si="70"/>
        <v>NEGATIVE</v>
      </c>
      <c r="V159" s="11" t="str">
        <f t="shared" si="71"/>
        <v/>
      </c>
      <c r="W159" s="11" t="str">
        <f t="shared" si="72"/>
        <v>UP</v>
      </c>
      <c r="X159" s="6" t="str">
        <f t="shared" si="73"/>
        <v>POSITIVE</v>
      </c>
      <c r="Y159" cm="1">
        <f t="array" ref="Y159">IFERROR(VALUE(_xll.BDP($B159,"INTERVAL_MAE_MOV_AVG","CALC_INTERVAL","520D","TECH_STUDIES_PARAM1_OVERRIDE",65,"USE_PREVIOUS_BUSINESS_DAY","N")),"")</f>
        <v>54.007415485111331</v>
      </c>
      <c r="Z159">
        <f t="shared" si="5"/>
        <v>6856.0226153846133</v>
      </c>
      <c r="AA159" cm="1">
        <f t="array" ref="AA159">IFERROR(VALUE(_xll.BDP($B159,"INTERVAL_MAE_MOV_AVG","CALC_INTERVAL","520D","TECH_STUDIES_PARAM1_OVERRIDE",65,"USE_PREVIOUS_BUSINESS_DAY","Y")),"")</f>
        <v>53.916668442153849</v>
      </c>
      <c r="AB159">
        <f t="shared" si="6"/>
        <v>6852.6203076923057</v>
      </c>
      <c r="AC159">
        <f t="shared" si="74"/>
        <v>7.8773683394685809E-3</v>
      </c>
      <c r="AD159">
        <f t="shared" si="75"/>
        <v>7.8680367540035021E-3</v>
      </c>
      <c r="AE159" s="10" t="str">
        <f t="shared" si="76"/>
        <v>UP</v>
      </c>
      <c r="AF159" s="10" t="str">
        <f t="shared" si="77"/>
        <v>UP</v>
      </c>
      <c r="AG159" s="6" t="str">
        <f t="shared" si="78"/>
        <v>POSITIVE</v>
      </c>
      <c r="AH159" cm="1">
        <f t="array" ref="AH159">IFERROR(VALUE(_xll.BDP($B159,"INTERVAL_MAE_MOV_AVG","CALC_INTERVAL","65W","PERIODICITY_OVERRIDE","W","TECH_STUDIES_PARAM1_OVERRIDE",39,"USE_PREVIOUS_BUSINESS_DAY","N")),"")</f>
        <v>50.895379179661504</v>
      </c>
      <c r="AI159">
        <f t="shared" si="7"/>
        <v>6560.7735897435905</v>
      </c>
      <c r="AJ159" cm="1">
        <f t="array" ref="AJ159">IFERROR(VALUE(_xll.BDP($B159,"INTERVAL_MAE_MOV_AVG","CALC_INTERVAL","65W","PERIODICITY_OVERRIDE","W","TECH_STUDIES_PARAM1_OVERRIDE",39,"USE_PREVIOUS_BUSINESS_DAY","Y")),"")</f>
        <v>50.904097140116981</v>
      </c>
      <c r="AK159">
        <f t="shared" si="8"/>
        <v>6560.7823076923087</v>
      </c>
      <c r="AL159">
        <f t="shared" si="79"/>
        <v>7.7575271396693032E-3</v>
      </c>
      <c r="AM159">
        <f t="shared" si="80"/>
        <v>7.7588456304111091E-3</v>
      </c>
      <c r="AN159" s="10" t="str">
        <f t="shared" si="81"/>
        <v>DOWN</v>
      </c>
      <c r="AO159" s="10" t="str">
        <f t="shared" si="82"/>
        <v>DOWN</v>
      </c>
      <c r="AP159" s="6" t="str">
        <f t="shared" si="83"/>
        <v>POSITIVE</v>
      </c>
      <c r="AQ159" cm="1">
        <f t="array" ref="AQ159">IFERROR(VALUE(_xll.BDP($B159,"INTERVAL_exp_MOV_AVG","CALC_INTERVAL","520D","TECH_STUDIES_PARAM1_OVERRIDE",100,"USE_PREVIOUS_BUSINESS_DAY","N")),"")</f>
        <v>53.131108525173261</v>
      </c>
      <c r="AR159">
        <f t="shared" si="9"/>
        <v>6773.0064518682802</v>
      </c>
      <c r="AS159" cm="1">
        <f t="array" ref="AS159">IFERROR(VALUE(_xll.BDP($B159,"INTERVAL_exp_MOV_AVG","CALC_INTERVAL","520D","TECH_STUDIES_PARAM1_OVERRIDE",100,"USE_PREVIOUS_BUSINESS_DAY","Y")),"")</f>
        <v>53.053357494037236</v>
      </c>
      <c r="AT159">
        <f t="shared" si="10"/>
        <v>6769.6039787132295</v>
      </c>
      <c r="AU159">
        <f t="shared" si="84"/>
        <v>7.8445383010845148E-3</v>
      </c>
      <c r="AV159">
        <f t="shared" si="85"/>
        <v>7.8369957328170998E-3</v>
      </c>
      <c r="AW159" s="11" t="str">
        <f t="shared" si="86"/>
        <v>UP</v>
      </c>
      <c r="AX159" s="11" t="str">
        <f t="shared" si="87"/>
        <v>UP</v>
      </c>
      <c r="AY159" s="6" t="str">
        <f t="shared" si="88"/>
        <v>POSITIVE</v>
      </c>
      <c r="AZ159" s="12" cm="1">
        <f t="array" ref="AZ159">_xll.BDP($B159, "INTERVAL_RSI", "TECH_STUDIES_PARAM1_OVERRIDE", "5", "PERIODICITY_OVERRIDE", "W")</f>
        <v>90.152320154015428</v>
      </c>
      <c r="BA159" cm="1">
        <f t="array" ref="BA159">IFERROR(VALUE(_xll.BDP($B159,"INTERVAL_MAE_MOV_AVG","CALC_INTERVAL","520D","TECH_STUDIES_PARAM1_OVERRIDE",31,"USE_PREVIOUS_BUSINESS_DAY","N")),"")</f>
        <v>55.532580630394719</v>
      </c>
      <c r="BB159" cm="1">
        <f t="array" ref="BB159">IFERROR(VALUE(_xll.BDP($B159,"INTERVAL_MAE_MOV_AVG","CALC_INTERVAL","760D","TECH_STUDIES_PARAM1_OVERRIDE",200,"USE_PREVIOUS_BUSINESS_DAY","N")),"")</f>
        <v>50.269873932249538</v>
      </c>
      <c r="BC159" s="13">
        <f t="shared" si="89"/>
        <v>2.6064327520429753E-2</v>
      </c>
      <c r="BD159" s="13">
        <f t="shared" si="90"/>
        <v>4.2271883058639714E-2</v>
      </c>
      <c r="BE159" s="13">
        <f t="shared" si="91"/>
        <v>0.13348205481465758</v>
      </c>
      <c r="BF159" s="14" cm="1">
        <f t="array" ref="BF159">VALUE(_xll.BDP($B159,"INTERVAL_DATE_OF_CALC_HI","CALC_INTERVAL","3M"))</f>
        <v>46062</v>
      </c>
      <c r="BG159" s="14" cm="1">
        <f t="array" ref="BG159">VALUE(_xll.BDP($B159,"INTERVAL_DATE_OF_CALC_LO","CALC_INTERVAL","3M"))</f>
        <v>45981</v>
      </c>
      <c r="BH159" s="14" cm="1">
        <f t="array" ref="BH159">VALUE(_xll.BDP($B159,"INTERVAL_DATE_OF_CALC_HI","CALC_INTERVAL","1M"))</f>
        <v>46062</v>
      </c>
      <c r="BI159" s="14" cm="1">
        <f t="array" ref="BI159">VALUE(_xll.BDP($B159,"INTERVAL_DATE_OF_CALC_LO","CALC_INTERVAL","1M"))</f>
        <v>46042</v>
      </c>
      <c r="BJ159" s="15">
        <f>$F159-MIN(_xll.BDP("NYA Index","RSI_14D"),_xll.BDP("RSP US Equity","RSI_14D"))</f>
        <v>-6.9131532082232567</v>
      </c>
    </row>
    <row r="160" spans="1:62" x14ac:dyDescent="0.25">
      <c r="A160" s="11">
        <v>159</v>
      </c>
      <c r="B160" s="26" t="s">
        <v>403</v>
      </c>
      <c r="C160" s="1" t="s">
        <v>828</v>
      </c>
      <c r="D160" s="1" t="s">
        <v>308</v>
      </c>
      <c r="E160" s="11" t="s">
        <v>787</v>
      </c>
      <c r="F160">
        <f>IFERROR(VALUE((_xll.BDP($B160,"interval_rsi","tech_studies_param1_override",14))),"")</f>
        <v>79.631898858429551</v>
      </c>
      <c r="G160">
        <f t="shared" si="0"/>
        <v>52.525531939815814</v>
      </c>
      <c r="H160">
        <f t="shared" si="65"/>
        <v>1</v>
      </c>
      <c r="I160" cm="1">
        <f t="array" ref="I160">IFERROR(VALUE(_xll.BDP($B160,"px_last")),"")</f>
        <v>93.97</v>
      </c>
      <c r="J160">
        <f t="shared" si="1"/>
        <v>6941.47</v>
      </c>
      <c r="K160" cm="1">
        <f t="array" ref="K160">IFERROR(VALUE(_xll.BDP($B160,"PX_YEST_CLOSE")),"")</f>
        <v>93.1</v>
      </c>
      <c r="L160">
        <f t="shared" si="2"/>
        <v>6941.81</v>
      </c>
      <c r="M160">
        <f t="shared" si="66"/>
        <v>1.3537478372736609E-2</v>
      </c>
      <c r="N160">
        <f t="shared" si="67"/>
        <v>1.341148778200498E-2</v>
      </c>
      <c r="O160" cm="1">
        <f t="array" ref="O160">IFERROR(VALUE(_xll.BDP($B160,"INTERVAL_MAE_MOV_AVG","CALC_INTERVAL","520D","TECH_STUDIES_PARAM1_OVERRIDE",50,"USE_PREVIOUS_BUSINESS_DAY","N")),"")</f>
        <v>83.515018308218956</v>
      </c>
      <c r="P160">
        <f t="shared" si="3"/>
        <v>6894.0953999999992</v>
      </c>
      <c r="Q160" cm="1">
        <f t="array" ref="Q160">IFERROR(VALUE(_xll.BDP($B160,"INTERVAL_MAE_MOV_AVG","CALC_INTERVAL","520D","TECH_STUDIES_PARAM1_OVERRIDE",50,"USE_PREVIOUS_BUSINESS_DAY","Y")),"")</f>
        <v>83.235932491462137</v>
      </c>
      <c r="R160">
        <f t="shared" si="4"/>
        <v>6892.2477999999992</v>
      </c>
      <c r="S160">
        <f t="shared" si="68"/>
        <v>1.2113992258972651E-2</v>
      </c>
      <c r="T160">
        <f t="shared" si="69"/>
        <v>1.2076746934644769E-2</v>
      </c>
      <c r="U160" s="11" t="str">
        <f t="shared" si="70"/>
        <v>POSITIVE</v>
      </c>
      <c r="V160" s="11" t="str">
        <f t="shared" si="71"/>
        <v/>
      </c>
      <c r="W160" s="11" t="str">
        <f t="shared" si="72"/>
        <v>UP</v>
      </c>
      <c r="X160" s="6" t="str">
        <f t="shared" si="73"/>
        <v>POSITIVE</v>
      </c>
      <c r="Y160" cm="1">
        <f t="array" ref="Y160">IFERROR(VALUE(_xll.BDP($B160,"INTERVAL_MAE_MOV_AVG","CALC_INTERVAL","520D","TECH_STUDIES_PARAM1_OVERRIDE",65,"USE_PREVIOUS_BUSINESS_DAY","N")),"")</f>
        <v>82.580543732563569</v>
      </c>
      <c r="Z160">
        <f t="shared" si="5"/>
        <v>6856.0226153846133</v>
      </c>
      <c r="AA160" cm="1">
        <f t="array" ref="AA160">IFERROR(VALUE(_xll.BDP($B160,"INTERVAL_MAE_MOV_AVG","CALC_INTERVAL","520D","TECH_STUDIES_PARAM1_OVERRIDE",65,"USE_PREVIOUS_BUSINESS_DAY","Y")),"")</f>
        <v>82.365120851544916</v>
      </c>
      <c r="AB160">
        <f t="shared" si="6"/>
        <v>6852.6203076923057</v>
      </c>
      <c r="AC160">
        <f t="shared" si="74"/>
        <v>1.2044963729736896E-2</v>
      </c>
      <c r="AD160">
        <f t="shared" si="75"/>
        <v>1.2019507451636739E-2</v>
      </c>
      <c r="AE160" s="10" t="str">
        <f t="shared" si="76"/>
        <v>UP</v>
      </c>
      <c r="AF160" s="10" t="str">
        <f t="shared" si="77"/>
        <v>UP</v>
      </c>
      <c r="AG160" s="6" t="str">
        <f t="shared" si="78"/>
        <v>POSITIVE</v>
      </c>
      <c r="AH160" cm="1">
        <f t="array" ref="AH160">IFERROR(VALUE(_xll.BDP($B160,"INTERVAL_MAE_MOV_AVG","CALC_INTERVAL","65W","PERIODICITY_OVERRIDE","W","TECH_STUDIES_PARAM1_OVERRIDE",39,"USE_PREVIOUS_BUSINESS_DAY","N")),"")</f>
        <v>77.803417951065171</v>
      </c>
      <c r="AI160">
        <f t="shared" si="7"/>
        <v>6560.7735897435905</v>
      </c>
      <c r="AJ160" cm="1">
        <f t="array" ref="AJ160">IFERROR(VALUE(_xll.BDP($B160,"INTERVAL_MAE_MOV_AVG","CALC_INTERVAL","65W","PERIODICITY_OVERRIDE","W","TECH_STUDIES_PARAM1_OVERRIDE",39,"USE_PREVIOUS_BUSINESS_DAY","Y")),"")</f>
        <v>77.78111022745739</v>
      </c>
      <c r="AK160">
        <f t="shared" si="8"/>
        <v>6560.7823076923087</v>
      </c>
      <c r="AL160">
        <f t="shared" si="79"/>
        <v>1.1858878665268175E-2</v>
      </c>
      <c r="AM160">
        <f t="shared" si="80"/>
        <v>1.185546274508476E-2</v>
      </c>
      <c r="AN160" s="10" t="str">
        <f t="shared" si="81"/>
        <v>UP</v>
      </c>
      <c r="AO160" s="10" t="str">
        <f t="shared" si="82"/>
        <v>UP</v>
      </c>
      <c r="AP160" s="6" t="str">
        <f t="shared" si="83"/>
        <v>POSITIVE</v>
      </c>
      <c r="AQ160" cm="1">
        <f t="array" ref="AQ160">IFERROR(VALUE(_xll.BDP($B160,"INTERVAL_exp_MOV_AVG","CALC_INTERVAL","520D","TECH_STUDIES_PARAM1_OVERRIDE",100,"USE_PREVIOUS_BUSINESS_DAY","N")),"")</f>
        <v>81.611514922109521</v>
      </c>
      <c r="AR160">
        <f t="shared" si="9"/>
        <v>6773.0064518682802</v>
      </c>
      <c r="AS160" cm="1">
        <f t="array" ref="AS160">IFERROR(VALUE(_xll.BDP($B160,"INTERVAL_exp_MOV_AVG","CALC_INTERVAL","520D","TECH_STUDIES_PARAM1_OVERRIDE",100,"USE_PREVIOUS_BUSINESS_DAY","Y")),"")</f>
        <v>81.36187231691315</v>
      </c>
      <c r="AT160">
        <f t="shared" si="10"/>
        <v>6769.6039787132295</v>
      </c>
      <c r="AU160">
        <f t="shared" si="84"/>
        <v>1.2049525643017457E-2</v>
      </c>
      <c r="AV160">
        <f t="shared" si="85"/>
        <v>1.2018704871474396E-2</v>
      </c>
      <c r="AW160" s="11" t="str">
        <f t="shared" si="86"/>
        <v>UP</v>
      </c>
      <c r="AX160" s="11" t="str">
        <f t="shared" si="87"/>
        <v>UP</v>
      </c>
      <c r="AY160" s="6" t="str">
        <f t="shared" si="88"/>
        <v>POSITIVE</v>
      </c>
      <c r="AZ160" s="12" cm="1">
        <f t="array" ref="AZ160">_xll.BDP($B160, "INTERVAL_RSI", "TECH_STUDIES_PARAM1_OVERRIDE", "5", "PERIODICITY_OVERRIDE", "W")</f>
        <v>92.762047321033791</v>
      </c>
      <c r="BA160" cm="1">
        <f t="array" ref="BA160">IFERROR(VALUE(_xll.BDP($B160,"INTERVAL_MAE_MOV_AVG","CALC_INTERVAL","520D","TECH_STUDIES_PARAM1_OVERRIDE",31,"USE_PREVIOUS_BUSINESS_DAY","N")),"")</f>
        <v>85.346451652280749</v>
      </c>
      <c r="BB160" cm="1">
        <f t="array" ref="BB160">IFERROR(VALUE(_xll.BDP($B160,"INTERVAL_MAE_MOV_AVG","CALC_INTERVAL","760D","TECH_STUDIES_PARAM1_OVERRIDE",200,"USE_PREVIOUS_BUSINESS_DAY","N")),"")</f>
        <v>76.757555610629367</v>
      </c>
      <c r="BC160" s="13">
        <f t="shared" si="89"/>
        <v>0.10104167403295672</v>
      </c>
      <c r="BD160" s="13">
        <f t="shared" si="90"/>
        <v>0.12518684547485925</v>
      </c>
      <c r="BE160" s="13">
        <f t="shared" si="91"/>
        <v>0.22424430080453295</v>
      </c>
      <c r="BF160" s="14" cm="1">
        <f t="array" ref="BF160">VALUE(_xll.BDP($B160,"INTERVAL_DATE_OF_CALC_HI","CALC_INTERVAL","3M"))</f>
        <v>46064</v>
      </c>
      <c r="BG160" s="14" cm="1">
        <f t="array" ref="BG160">VALUE(_xll.BDP($B160,"INTERVAL_DATE_OF_CALC_LO","CALC_INTERVAL","3M"))</f>
        <v>45981</v>
      </c>
      <c r="BH160" s="14" cm="1">
        <f t="array" ref="BH160">VALUE(_xll.BDP($B160,"INTERVAL_DATE_OF_CALC_HI","CALC_INTERVAL","1M"))</f>
        <v>46064</v>
      </c>
      <c r="BI160" s="14" cm="1">
        <f t="array" ref="BI160">VALUE(_xll.BDP($B160,"INTERVAL_DATE_OF_CALC_LO","CALC_INTERVAL","1M"))</f>
        <v>46042</v>
      </c>
      <c r="BJ160" s="15">
        <f>$F160-MIN(_xll.BDP("NYA Index","RSI_14D"),_xll.BDP("RSP US Equity","RSI_14D"))</f>
        <v>13.286134698273301</v>
      </c>
    </row>
    <row r="161" spans="1:62" x14ac:dyDescent="0.25">
      <c r="A161" s="11">
        <v>160</v>
      </c>
      <c r="B161" s="26" t="s">
        <v>404</v>
      </c>
      <c r="C161" s="1" t="s">
        <v>829</v>
      </c>
      <c r="D161" s="1" t="s">
        <v>308</v>
      </c>
      <c r="E161" s="11" t="s">
        <v>787</v>
      </c>
      <c r="F161">
        <f>IFERROR(VALUE((_xll.BDP($B161,"interval_rsi","tech_studies_param1_override",14))),"")</f>
        <v>64.354066468270261</v>
      </c>
      <c r="G161">
        <f t="shared" si="0"/>
        <v>52.525531939815814</v>
      </c>
      <c r="H161">
        <f t="shared" si="65"/>
        <v>1</v>
      </c>
      <c r="I161" cm="1">
        <f t="array" ref="I161">IFERROR(VALUE(_xll.BDP($B161,"px_last")),"")</f>
        <v>63.24</v>
      </c>
      <c r="J161">
        <f t="shared" si="1"/>
        <v>6941.47</v>
      </c>
      <c r="K161" cm="1">
        <f t="array" ref="K161">IFERROR(VALUE(_xll.BDP($B161,"PX_YEST_CLOSE")),"")</f>
        <v>63.43</v>
      </c>
      <c r="L161">
        <f t="shared" si="2"/>
        <v>6941.81</v>
      </c>
      <c r="M161">
        <f t="shared" si="66"/>
        <v>9.1104621931665762E-3</v>
      </c>
      <c r="N161">
        <f t="shared" si="67"/>
        <v>9.1373863588891067E-3</v>
      </c>
      <c r="O161" cm="1">
        <f t="array" ref="O161">IFERROR(VALUE(_xll.BDP($B161,"INTERVAL_MAE_MOV_AVG","CALC_INTERVAL","520D","TECH_STUDIES_PARAM1_OVERRIDE",50,"USE_PREVIOUS_BUSINESS_DAY","N")),"")</f>
        <v>60.31520003356934</v>
      </c>
      <c r="P161">
        <f t="shared" si="3"/>
        <v>6894.0953999999992</v>
      </c>
      <c r="Q161" cm="1">
        <f t="array" ref="Q161">IFERROR(VALUE(_xll.BDP($B161,"INTERVAL_MAE_MOV_AVG","CALC_INTERVAL","520D","TECH_STUDIES_PARAM1_OVERRIDE",50,"USE_PREVIOUS_BUSINESS_DAY","Y")),"")</f>
        <v>60.206800000000015</v>
      </c>
      <c r="R161">
        <f t="shared" si="4"/>
        <v>6892.2477999999992</v>
      </c>
      <c r="S161">
        <f t="shared" si="68"/>
        <v>8.7488200458568279E-3</v>
      </c>
      <c r="T161">
        <f t="shared" si="69"/>
        <v>8.7354375157550224E-3</v>
      </c>
      <c r="U161" s="11" t="str">
        <f t="shared" si="70"/>
        <v>POSITIVE</v>
      </c>
      <c r="V161" s="11" t="str">
        <f t="shared" si="71"/>
        <v/>
      </c>
      <c r="W161" s="11" t="str">
        <f t="shared" si="72"/>
        <v>UP</v>
      </c>
      <c r="X161" s="6" t="str">
        <f t="shared" si="73"/>
        <v>POSITIVE</v>
      </c>
      <c r="Y161" cm="1">
        <f t="array" ref="Y161">IFERROR(VALUE(_xll.BDP($B161,"INTERVAL_MAE_MOV_AVG","CALC_INTERVAL","520D","TECH_STUDIES_PARAM1_OVERRIDE",65,"USE_PREVIOUS_BUSINESS_DAY","N")),"")</f>
        <v>59.540615410437965</v>
      </c>
      <c r="Z161">
        <f t="shared" si="5"/>
        <v>6856.0226153846133</v>
      </c>
      <c r="AA161" cm="1">
        <f t="array" ref="AA161">IFERROR(VALUE(_xll.BDP($B161,"INTERVAL_MAE_MOV_AVG","CALC_INTERVAL","520D","TECH_STUDIES_PARAM1_OVERRIDE",65,"USE_PREVIOUS_BUSINESS_DAY","Y")),"")</f>
        <v>59.417230769230784</v>
      </c>
      <c r="AB161">
        <f t="shared" si="6"/>
        <v>6852.6203076923057</v>
      </c>
      <c r="AC161">
        <f t="shared" si="74"/>
        <v>8.6844251763159939E-3</v>
      </c>
      <c r="AD161">
        <f t="shared" si="75"/>
        <v>8.6707315014276903E-3</v>
      </c>
      <c r="AE161" s="10" t="str">
        <f t="shared" si="76"/>
        <v>UP</v>
      </c>
      <c r="AF161" s="10" t="str">
        <f t="shared" si="77"/>
        <v>UP</v>
      </c>
      <c r="AG161" s="6" t="str">
        <f t="shared" si="78"/>
        <v>POSITIVE</v>
      </c>
      <c r="AH161" cm="1">
        <f t="array" ref="AH161">IFERROR(VALUE(_xll.BDP($B161,"INTERVAL_MAE_MOV_AVG","CALC_INTERVAL","65W","PERIODICITY_OVERRIDE","W","TECH_STUDIES_PARAM1_OVERRIDE",39,"USE_PREVIOUS_BUSINESS_DAY","N")),"")</f>
        <v>56.767778295088902</v>
      </c>
      <c r="AI161">
        <f t="shared" si="7"/>
        <v>6560.7735897435905</v>
      </c>
      <c r="AJ161" cm="1">
        <f t="array" ref="AJ161">IFERROR(VALUE(_xll.BDP($B161,"INTERVAL_MAE_MOV_AVG","CALC_INTERVAL","65W","PERIODICITY_OVERRIDE","W","TECH_STUDIES_PARAM1_OVERRIDE",39,"USE_PREVIOUS_BUSINESS_DAY","Y")),"")</f>
        <v>56.772650046923083</v>
      </c>
      <c r="AK161">
        <f t="shared" si="8"/>
        <v>6560.7823076923087</v>
      </c>
      <c r="AL161">
        <f t="shared" si="79"/>
        <v>8.6526043794337842E-3</v>
      </c>
      <c r="AM161">
        <f t="shared" si="80"/>
        <v>8.6533354384215663E-3</v>
      </c>
      <c r="AN161" s="10" t="str">
        <f t="shared" si="81"/>
        <v>DOWN</v>
      </c>
      <c r="AO161" s="10" t="str">
        <f t="shared" si="82"/>
        <v>DOWN</v>
      </c>
      <c r="AP161" s="6" t="str">
        <f t="shared" si="83"/>
        <v>POSITIVE</v>
      </c>
      <c r="AQ161" cm="1">
        <f t="array" ref="AQ161">IFERROR(VALUE(_xll.BDP($B161,"INTERVAL_exp_MOV_AVG","CALC_INTERVAL","520D","TECH_STUDIES_PARAM1_OVERRIDE",100,"USE_PREVIOUS_BUSINESS_DAY","N")),"")</f>
        <v>58.822862701989173</v>
      </c>
      <c r="AR161">
        <f t="shared" si="9"/>
        <v>6773.0064518682802</v>
      </c>
      <c r="AS161" cm="1">
        <f t="array" ref="AS161">IFERROR(VALUE(_xll.BDP($B161,"INTERVAL_exp_MOV_AVG","CALC_INTERVAL","520D","TECH_STUDIES_PARAM1_OVERRIDE",100,"USE_PREVIOUS_BUSINESS_DAY","Y")),"")</f>
        <v>58.733641596222952</v>
      </c>
      <c r="AT161">
        <f t="shared" si="10"/>
        <v>6769.6039787132295</v>
      </c>
      <c r="AU161">
        <f t="shared" si="84"/>
        <v>8.6848968947554079E-3</v>
      </c>
      <c r="AV161">
        <f t="shared" si="85"/>
        <v>8.6760823500028547E-3</v>
      </c>
      <c r="AW161" s="11" t="str">
        <f t="shared" si="86"/>
        <v>UP</v>
      </c>
      <c r="AX161" s="11" t="str">
        <f t="shared" si="87"/>
        <v>UP</v>
      </c>
      <c r="AY161" s="6" t="str">
        <f t="shared" si="88"/>
        <v>POSITIVE</v>
      </c>
      <c r="AZ161" s="12" cm="1">
        <f t="array" ref="AZ161">_xll.BDP($B161, "INTERVAL_RSI", "TECH_STUDIES_PARAM1_OVERRIDE", "5", "PERIODICITY_OVERRIDE", "W")</f>
        <v>91.698755360519542</v>
      </c>
      <c r="BA161" cm="1">
        <f t="array" ref="BA161">IFERROR(VALUE(_xll.BDP($B161,"INTERVAL_MAE_MOV_AVG","CALC_INTERVAL","520D","TECH_STUDIES_PARAM1_OVERRIDE",31,"USE_PREVIOUS_BUSINESS_DAY","N")),"")</f>
        <v>61.236774247692473</v>
      </c>
      <c r="BB161" cm="1">
        <f t="array" ref="BB161">IFERROR(VALUE(_xll.BDP($B161,"INTERVAL_MAE_MOV_AVG","CALC_INTERVAL","760D","TECH_STUDIES_PARAM1_OVERRIDE",200,"USE_PREVIOUS_BUSINESS_DAY","N")),"")</f>
        <v>56.296347944942319</v>
      </c>
      <c r="BC161" s="13">
        <f t="shared" si="89"/>
        <v>3.2712790262348079E-2</v>
      </c>
      <c r="BD161" s="13">
        <f t="shared" si="90"/>
        <v>4.8491921850591924E-2</v>
      </c>
      <c r="BE161" s="13">
        <f t="shared" si="91"/>
        <v>0.12334107466169142</v>
      </c>
      <c r="BF161" s="14" cm="1">
        <f t="array" ref="BF161">VALUE(_xll.BDP($B161,"INTERVAL_DATE_OF_CALC_HI","CALC_INTERVAL","3M"))</f>
        <v>46062</v>
      </c>
      <c r="BG161" s="14" cm="1">
        <f t="array" ref="BG161">VALUE(_xll.BDP($B161,"INTERVAL_DATE_OF_CALC_LO","CALC_INTERVAL","3M"))</f>
        <v>45981</v>
      </c>
      <c r="BH161" s="14" cm="1">
        <f t="array" ref="BH161">VALUE(_xll.BDP($B161,"INTERVAL_DATE_OF_CALC_HI","CALC_INTERVAL","1M"))</f>
        <v>46062</v>
      </c>
      <c r="BI161" s="14" cm="1">
        <f t="array" ref="BI161">VALUE(_xll.BDP($B161,"INTERVAL_DATE_OF_CALC_LO","CALC_INTERVAL","1M"))</f>
        <v>46042</v>
      </c>
      <c r="BJ161" s="15">
        <f>$F161-MIN(_xll.BDP("NYA Index","RSI_14D"),_xll.BDP("RSP US Equity","RSI_14D"))</f>
        <v>-1.9916976918859888</v>
      </c>
    </row>
    <row r="162" spans="1:62" x14ac:dyDescent="0.25">
      <c r="A162" s="11">
        <v>161</v>
      </c>
      <c r="B162" s="26" t="s">
        <v>162</v>
      </c>
      <c r="C162" s="1" t="s">
        <v>830</v>
      </c>
      <c r="D162" s="1" t="s">
        <v>308</v>
      </c>
      <c r="E162" s="11" t="s">
        <v>787</v>
      </c>
      <c r="F162">
        <f>IFERROR(VALUE((_xll.BDP($B162,"interval_rsi","tech_studies_param1_override",14))),"")</f>
        <v>68.230567613786278</v>
      </c>
      <c r="G162">
        <f t="shared" si="0"/>
        <v>52.525531939815814</v>
      </c>
      <c r="H162">
        <f t="shared" si="65"/>
        <v>1</v>
      </c>
      <c r="I162" cm="1">
        <f t="array" ref="I162">IFERROR(VALUE(_xll.BDP($B162,"px_last")),"")</f>
        <v>29.98</v>
      </c>
      <c r="J162">
        <f t="shared" si="1"/>
        <v>6941.47</v>
      </c>
      <c r="K162" cm="1">
        <f t="array" ref="K162">IFERROR(VALUE(_xll.BDP($B162,"PX_YEST_CLOSE")),"")</f>
        <v>29.69</v>
      </c>
      <c r="L162">
        <f t="shared" si="2"/>
        <v>6941.81</v>
      </c>
      <c r="M162">
        <f t="shared" si="66"/>
        <v>4.318969901188077E-3</v>
      </c>
      <c r="N162">
        <f t="shared" si="67"/>
        <v>4.2769825160873026E-3</v>
      </c>
      <c r="O162" cm="1">
        <f t="array" ref="O162">IFERROR(VALUE(_xll.BDP($B162,"INTERVAL_MAE_MOV_AVG","CALC_INTERVAL","520D","TECH_STUDIES_PARAM1_OVERRIDE",50,"USE_PREVIOUS_BUSINESS_DAY","N")),"")</f>
        <v>27.847255200444724</v>
      </c>
      <c r="P162">
        <f t="shared" si="3"/>
        <v>6894.0953999999992</v>
      </c>
      <c r="Q162" cm="1">
        <f t="array" ref="Q162">IFERROR(VALUE(_xll.BDP($B162,"INTERVAL_MAE_MOV_AVG","CALC_INTERVAL","520D","TECH_STUDIES_PARAM1_OVERRIDE",50,"USE_PREVIOUS_BUSINESS_DAY","Y")),"")</f>
        <v>27.767954075199995</v>
      </c>
      <c r="R162">
        <f t="shared" si="4"/>
        <v>6892.2477999999992</v>
      </c>
      <c r="S162">
        <f t="shared" si="68"/>
        <v>4.0392906661031597E-3</v>
      </c>
      <c r="T162">
        <f t="shared" si="69"/>
        <v>4.0288676322984204E-3</v>
      </c>
      <c r="U162" s="11" t="str">
        <f t="shared" si="70"/>
        <v>POSITIVE</v>
      </c>
      <c r="V162" s="11" t="str">
        <f t="shared" si="71"/>
        <v/>
      </c>
      <c r="W162" s="11" t="str">
        <f t="shared" si="72"/>
        <v>UP</v>
      </c>
      <c r="X162" s="6" t="str">
        <f t="shared" si="73"/>
        <v>POSITIVE</v>
      </c>
      <c r="Y162" cm="1">
        <f t="array" ref="Y162">IFERROR(VALUE(_xll.BDP($B162,"INTERVAL_MAE_MOV_AVG","CALC_INTERVAL","520D","TECH_STUDIES_PARAM1_OVERRIDE",65,"USE_PREVIOUS_BUSINESS_DAY","N")),"")</f>
        <v>27.418356781880554</v>
      </c>
      <c r="Z162">
        <f t="shared" si="5"/>
        <v>6856.0226153846133</v>
      </c>
      <c r="AA162" cm="1">
        <f t="array" ref="AA162">IFERROR(VALUE(_xll.BDP($B162,"INTERVAL_MAE_MOV_AVG","CALC_INTERVAL","520D","TECH_STUDIES_PARAM1_OVERRIDE",65,"USE_PREVIOUS_BUSINESS_DAY","Y")),"")</f>
        <v>27.35099584984615</v>
      </c>
      <c r="AB162">
        <f t="shared" si="6"/>
        <v>6852.6203076923057</v>
      </c>
      <c r="AC162">
        <f t="shared" si="74"/>
        <v>3.9991637017583589E-3</v>
      </c>
      <c r="AD162">
        <f t="shared" si="75"/>
        <v>3.9913193233752789E-3</v>
      </c>
      <c r="AE162" s="10" t="str">
        <f t="shared" si="76"/>
        <v>UP</v>
      </c>
      <c r="AF162" s="10" t="str">
        <f t="shared" si="77"/>
        <v>UP</v>
      </c>
      <c r="AG162" s="6" t="str">
        <f t="shared" si="78"/>
        <v>POSITIVE</v>
      </c>
      <c r="AH162" cm="1">
        <f t="array" ref="AH162">IFERROR(VALUE(_xll.BDP($B162,"INTERVAL_MAE_MOV_AVG","CALC_INTERVAL","65W","PERIODICITY_OVERRIDE","W","TECH_STUDIES_PARAM1_OVERRIDE",39,"USE_PREVIOUS_BUSINESS_DAY","N")),"")</f>
        <v>25.550931831971738</v>
      </c>
      <c r="AI162">
        <f t="shared" si="7"/>
        <v>6560.7735897435905</v>
      </c>
      <c r="AJ162" cm="1">
        <f t="array" ref="AJ162">IFERROR(VALUE(_xll.BDP($B162,"INTERVAL_MAE_MOV_AVG","CALC_INTERVAL","65W","PERIODICITY_OVERRIDE","W","TECH_STUDIES_PARAM1_OVERRIDE",39,"USE_PREVIOUS_BUSINESS_DAY","Y")),"")</f>
        <v>25.543495946273371</v>
      </c>
      <c r="AK162">
        <f t="shared" si="8"/>
        <v>6560.7823076923087</v>
      </c>
      <c r="AL162">
        <f t="shared" si="79"/>
        <v>3.8944998607961909E-3</v>
      </c>
      <c r="AM162">
        <f t="shared" si="80"/>
        <v>3.893361301795433E-3</v>
      </c>
      <c r="AN162" s="10" t="str">
        <f t="shared" si="81"/>
        <v>UP</v>
      </c>
      <c r="AO162" s="10" t="str">
        <f t="shared" si="82"/>
        <v>UP</v>
      </c>
      <c r="AP162" s="6" t="str">
        <f t="shared" si="83"/>
        <v>POSITIVE</v>
      </c>
      <c r="AQ162" cm="1">
        <f t="array" ref="AQ162">IFERROR(VALUE(_xll.BDP($B162,"INTERVAL_exp_MOV_AVG","CALC_INTERVAL","520D","TECH_STUDIES_PARAM1_OVERRIDE",100,"USE_PREVIOUS_BUSINESS_DAY","N")),"")</f>
        <v>27.030903443146336</v>
      </c>
      <c r="AR162">
        <f t="shared" si="9"/>
        <v>6773.0064518682802</v>
      </c>
      <c r="AS162" cm="1">
        <f t="array" ref="AS162">IFERROR(VALUE(_xll.BDP($B162,"INTERVAL_exp_MOV_AVG","CALC_INTERVAL","520D","TECH_STUDIES_PARAM1_OVERRIDE",100,"USE_PREVIOUS_BUSINESS_DAY","Y")),"")</f>
        <v>26.971330946563548</v>
      </c>
      <c r="AT162">
        <f t="shared" si="10"/>
        <v>6769.6039787132295</v>
      </c>
      <c r="AU162">
        <f t="shared" si="84"/>
        <v>3.9909755933703675E-3</v>
      </c>
      <c r="AV162">
        <f t="shared" si="85"/>
        <v>3.9841815018092502E-3</v>
      </c>
      <c r="AW162" s="11" t="str">
        <f t="shared" si="86"/>
        <v>UP</v>
      </c>
      <c r="AX162" s="11" t="str">
        <f t="shared" si="87"/>
        <v>UP</v>
      </c>
      <c r="AY162" s="6" t="str">
        <f t="shared" si="88"/>
        <v>POSITIVE</v>
      </c>
      <c r="AZ162" s="12" cm="1">
        <f t="array" ref="AZ162">_xll.BDP($B162, "INTERVAL_RSI", "TECH_STUDIES_PARAM1_OVERRIDE", "5", "PERIODICITY_OVERRIDE", "W")</f>
        <v>95.554665855748297</v>
      </c>
      <c r="BA162" cm="1">
        <f t="array" ref="BA162">IFERROR(VALUE(_xll.BDP($B162,"INTERVAL_MAE_MOV_AVG","CALC_INTERVAL","520D","TECH_STUDIES_PARAM1_OVERRIDE",31,"USE_PREVIOUS_BUSINESS_DAY","N")),"")</f>
        <v>28.575806436846332</v>
      </c>
      <c r="BB162" cm="1">
        <f t="array" ref="BB162">IFERROR(VALUE(_xll.BDP($B162,"INTERVAL_MAE_MOV_AVG","CALC_INTERVAL","760D","TECH_STUDIES_PARAM1_OVERRIDE",200,"USE_PREVIOUS_BUSINESS_DAY","N")),"")</f>
        <v>25.323278223373727</v>
      </c>
      <c r="BC162" s="13">
        <f t="shared" si="89"/>
        <v>4.9139245335280135E-2</v>
      </c>
      <c r="BD162" s="13">
        <f t="shared" si="90"/>
        <v>7.658725372406594E-2</v>
      </c>
      <c r="BE162" s="13">
        <f t="shared" si="91"/>
        <v>0.18389095343619677</v>
      </c>
      <c r="BF162" s="14" cm="1">
        <f t="array" ref="BF162">VALUE(_xll.BDP($B162,"INTERVAL_DATE_OF_CALC_HI","CALC_INTERVAL","3M"))</f>
        <v>46049</v>
      </c>
      <c r="BG162" s="14" cm="1">
        <f t="array" ref="BG162">VALUE(_xll.BDP($B162,"INTERVAL_DATE_OF_CALC_LO","CALC_INTERVAL","3M"))</f>
        <v>45981</v>
      </c>
      <c r="BH162" s="14" cm="1">
        <f t="array" ref="BH162">VALUE(_xll.BDP($B162,"INTERVAL_DATE_OF_CALC_HI","CALC_INTERVAL","1M"))</f>
        <v>46049</v>
      </c>
      <c r="BI162" s="14" cm="1">
        <f t="array" ref="BI162">VALUE(_xll.BDP($B162,"INTERVAL_DATE_OF_CALC_LO","CALC_INTERVAL","1M"))</f>
        <v>46042</v>
      </c>
      <c r="BJ162" s="15">
        <f>$F162-MIN(_xll.BDP("NYA Index","RSI_14D"),_xll.BDP("RSP US Equity","RSI_14D"))</f>
        <v>1.8848034536300275</v>
      </c>
    </row>
    <row r="163" spans="1:62" x14ac:dyDescent="0.25">
      <c r="A163" s="11">
        <v>162</v>
      </c>
      <c r="B163" s="26" t="s">
        <v>405</v>
      </c>
      <c r="C163" s="1" t="s">
        <v>831</v>
      </c>
      <c r="D163" s="1" t="s">
        <v>308</v>
      </c>
      <c r="E163" s="11" t="s">
        <v>787</v>
      </c>
      <c r="F163">
        <f>IFERROR(VALUE((_xll.BDP($B163,"interval_rsi","tech_studies_param1_override",14))),"")</f>
        <v>58.46211883564348</v>
      </c>
      <c r="G163">
        <f t="shared" si="0"/>
        <v>52.525531939815814</v>
      </c>
      <c r="H163">
        <f t="shared" si="65"/>
        <v>0</v>
      </c>
      <c r="I163" cm="1">
        <f t="array" ref="I163">IFERROR(VALUE(_xll.BDP($B163,"px_last")),"")</f>
        <v>56.87</v>
      </c>
      <c r="J163">
        <f t="shared" si="1"/>
        <v>6941.47</v>
      </c>
      <c r="K163" cm="1">
        <f t="array" ref="K163">IFERROR(VALUE(_xll.BDP($B163,"PX_YEST_CLOSE")),"")</f>
        <v>57.11</v>
      </c>
      <c r="L163">
        <f t="shared" si="2"/>
        <v>6941.81</v>
      </c>
      <c r="M163">
        <f t="shared" si="66"/>
        <v>8.1927891354424912E-3</v>
      </c>
      <c r="N163">
        <f t="shared" si="67"/>
        <v>8.2269609799173402E-3</v>
      </c>
      <c r="O163" cm="1">
        <f t="array" ref="O163">IFERROR(VALUE(_xll.BDP($B163,"INTERVAL_MAE_MOV_AVG","CALC_INTERVAL","520D","TECH_STUDIES_PARAM1_OVERRIDE",50,"USE_PREVIOUS_BUSINESS_DAY","N")),"")</f>
        <v>54.309562641037708</v>
      </c>
      <c r="P163">
        <f t="shared" si="3"/>
        <v>6894.0953999999992</v>
      </c>
      <c r="Q163" cm="1">
        <f t="array" ref="Q163">IFERROR(VALUE(_xll.BDP($B163,"INTERVAL_MAE_MOV_AVG","CALC_INTERVAL","520D","TECH_STUDIES_PARAM1_OVERRIDE",50,"USE_PREVIOUS_BUSINESS_DAY","Y")),"")</f>
        <v>54.191199556800015</v>
      </c>
      <c r="R163">
        <f t="shared" si="4"/>
        <v>6892.2477999999992</v>
      </c>
      <c r="S163">
        <f t="shared" si="68"/>
        <v>7.8776923570041853E-3</v>
      </c>
      <c r="T163">
        <f t="shared" si="69"/>
        <v>7.8626307598516736E-3</v>
      </c>
      <c r="U163" s="11" t="str">
        <f t="shared" si="70"/>
        <v>NEGATIVE</v>
      </c>
      <c r="V163" s="11" t="str">
        <f t="shared" si="71"/>
        <v/>
      </c>
      <c r="W163" s="11" t="str">
        <f t="shared" si="72"/>
        <v>UP</v>
      </c>
      <c r="X163" s="6" t="str">
        <f t="shared" si="73"/>
        <v>POSITIVE</v>
      </c>
      <c r="Y163" cm="1">
        <f t="array" ref="Y163">IFERROR(VALUE(_xll.BDP($B163,"INTERVAL_MAE_MOV_AVG","CALC_INTERVAL","520D","TECH_STUDIES_PARAM1_OVERRIDE",65,"USE_PREVIOUS_BUSINESS_DAY","N")),"")</f>
        <v>53.367338493721313</v>
      </c>
      <c r="Z163">
        <f t="shared" si="5"/>
        <v>6856.0226153846133</v>
      </c>
      <c r="AA163" cm="1">
        <f t="array" ref="AA163">IFERROR(VALUE(_xll.BDP($B163,"INTERVAL_MAE_MOV_AVG","CALC_INTERVAL","520D","TECH_STUDIES_PARAM1_OVERRIDE",65,"USE_PREVIOUS_BUSINESS_DAY","Y")),"")</f>
        <v>53.260964507076935</v>
      </c>
      <c r="AB163">
        <f t="shared" si="6"/>
        <v>6852.6203076923057</v>
      </c>
      <c r="AC163">
        <f t="shared" si="74"/>
        <v>7.7840085261631654E-3</v>
      </c>
      <c r="AD163">
        <f t="shared" si="75"/>
        <v>7.7723501544788116E-3</v>
      </c>
      <c r="AE163" s="10" t="str">
        <f t="shared" si="76"/>
        <v>UP</v>
      </c>
      <c r="AF163" s="10" t="str">
        <f t="shared" si="77"/>
        <v>UP</v>
      </c>
      <c r="AG163" s="6" t="str">
        <f t="shared" si="78"/>
        <v>POSITIVE</v>
      </c>
      <c r="AH163" cm="1">
        <f t="array" ref="AH163">IFERROR(VALUE(_xll.BDP($B163,"INTERVAL_MAE_MOV_AVG","CALC_INTERVAL","65W","PERIODICITY_OVERRIDE","W","TECH_STUDIES_PARAM1_OVERRIDE",39,"USE_PREVIOUS_BUSINESS_DAY","N")),"")</f>
        <v>48.743874439466033</v>
      </c>
      <c r="AI163">
        <f t="shared" si="7"/>
        <v>6560.7735897435905</v>
      </c>
      <c r="AJ163" cm="1">
        <f t="array" ref="AJ163">IFERROR(VALUE(_xll.BDP($B163,"INTERVAL_MAE_MOV_AVG","CALC_INTERVAL","65W","PERIODICITY_OVERRIDE","W","TECH_STUDIES_PARAM1_OVERRIDE",39,"USE_PREVIOUS_BUSINESS_DAY","Y")),"")</f>
        <v>48.750028313007448</v>
      </c>
      <c r="AK163">
        <f t="shared" si="8"/>
        <v>6560.7823076923087</v>
      </c>
      <c r="AL163">
        <f t="shared" si="79"/>
        <v>7.4295925278791784E-3</v>
      </c>
      <c r="AM163">
        <f t="shared" si="80"/>
        <v>7.4305206340788948E-3</v>
      </c>
      <c r="AN163" s="10" t="str">
        <f t="shared" si="81"/>
        <v>DOWN</v>
      </c>
      <c r="AO163" s="10" t="str">
        <f t="shared" si="82"/>
        <v>DOWN</v>
      </c>
      <c r="AP163" s="6" t="str">
        <f t="shared" si="83"/>
        <v>POSITIVE</v>
      </c>
      <c r="AQ163" cm="1">
        <f t="array" ref="AQ163">IFERROR(VALUE(_xll.BDP($B163,"INTERVAL_exp_MOV_AVG","CALC_INTERVAL","520D","TECH_STUDIES_PARAM1_OVERRIDE",100,"USE_PREVIOUS_BUSINESS_DAY","N")),"")</f>
        <v>52.059458180585111</v>
      </c>
      <c r="AR163">
        <f t="shared" si="9"/>
        <v>6773.0064518682802</v>
      </c>
      <c r="AS163" cm="1">
        <f t="array" ref="AS163">IFERROR(VALUE(_xll.BDP($B163,"INTERVAL_exp_MOV_AVG","CALC_INTERVAL","520D","TECH_STUDIES_PARAM1_OVERRIDE",100,"USE_PREVIOUS_BUSINESS_DAY","Y")),"")</f>
        <v>51.962284831596229</v>
      </c>
      <c r="AT163">
        <f t="shared" si="10"/>
        <v>6769.6039787132295</v>
      </c>
      <c r="AU163">
        <f t="shared" si="84"/>
        <v>7.6863145710166746E-3</v>
      </c>
      <c r="AV163">
        <f t="shared" si="85"/>
        <v>7.6758234299952729E-3</v>
      </c>
      <c r="AW163" s="11" t="str">
        <f t="shared" si="86"/>
        <v>UP</v>
      </c>
      <c r="AX163" s="11" t="str">
        <f t="shared" si="87"/>
        <v>UP</v>
      </c>
      <c r="AY163" s="6" t="str">
        <f t="shared" si="88"/>
        <v>POSITIVE</v>
      </c>
      <c r="AZ163" s="12" cm="1">
        <f t="array" ref="AZ163">_xll.BDP($B163, "INTERVAL_RSI", "TECH_STUDIES_PARAM1_OVERRIDE", "5", "PERIODICITY_OVERRIDE", "W")</f>
        <v>91.750425551548233</v>
      </c>
      <c r="BA163" cm="1">
        <f t="array" ref="BA163">IFERROR(VALUE(_xll.BDP($B163,"INTERVAL_MAE_MOV_AVG","CALC_INTERVAL","520D","TECH_STUDIES_PARAM1_OVERRIDE",31,"USE_PREVIOUS_BUSINESS_DAY","N")),"")</f>
        <v>55.370322546189826</v>
      </c>
      <c r="BB163" cm="1">
        <f t="array" ref="BB163">IFERROR(VALUE(_xll.BDP($B163,"INTERVAL_MAE_MOV_AVG","CALC_INTERVAL","760D","TECH_STUDIES_PARAM1_OVERRIDE",200,"USE_PREVIOUS_BUSINESS_DAY","N")),"")</f>
        <v>47.883351735902941</v>
      </c>
      <c r="BC163" s="13">
        <f t="shared" si="89"/>
        <v>2.7084499147700392E-2</v>
      </c>
      <c r="BD163" s="13">
        <f t="shared" si="90"/>
        <v>4.7145239888703339E-2</v>
      </c>
      <c r="BE163" s="13">
        <f t="shared" si="91"/>
        <v>0.18767792851390697</v>
      </c>
      <c r="BF163" s="14" cm="1">
        <f t="array" ref="BF163">VALUE(_xll.BDP($B163,"INTERVAL_DATE_OF_CALC_HI","CALC_INTERVAL","3M"))</f>
        <v>46062</v>
      </c>
      <c r="BG163" s="14" cm="1">
        <f t="array" ref="BG163">VALUE(_xll.BDP($B163,"INTERVAL_DATE_OF_CALC_LO","CALC_INTERVAL","3M"))</f>
        <v>45981</v>
      </c>
      <c r="BH163" s="14" cm="1">
        <f t="array" ref="BH163">VALUE(_xll.BDP($B163,"INTERVAL_DATE_OF_CALC_HI","CALC_INTERVAL","1M"))</f>
        <v>46062</v>
      </c>
      <c r="BI163" s="14" cm="1">
        <f t="array" ref="BI163">VALUE(_xll.BDP($B163,"INTERVAL_DATE_OF_CALC_LO","CALC_INTERVAL","1M"))</f>
        <v>46042</v>
      </c>
      <c r="BJ163" s="15">
        <f>$F163-MIN(_xll.BDP("NYA Index","RSI_14D"),_xll.BDP("RSP US Equity","RSI_14D"))</f>
        <v>-7.88364532451277</v>
      </c>
    </row>
    <row r="164" spans="1:62" x14ac:dyDescent="0.25">
      <c r="A164" s="11">
        <v>163</v>
      </c>
      <c r="B164" s="26" t="s">
        <v>406</v>
      </c>
      <c r="C164" s="1" t="s">
        <v>832</v>
      </c>
      <c r="D164" s="1" t="s">
        <v>308</v>
      </c>
      <c r="E164" s="11" t="s">
        <v>787</v>
      </c>
      <c r="F164">
        <f>IFERROR(VALUE((_xll.BDP($B164,"interval_rsi","tech_studies_param1_override",14))),"")</f>
        <v>65.329850112985056</v>
      </c>
      <c r="G164">
        <f t="shared" si="0"/>
        <v>52.525531939815814</v>
      </c>
      <c r="H164">
        <f t="shared" si="65"/>
        <v>1</v>
      </c>
      <c r="I164" cm="1">
        <f t="array" ref="I164">IFERROR(VALUE(_xll.BDP($B164,"px_last")),"")</f>
        <v>47.08</v>
      </c>
      <c r="J164">
        <f t="shared" si="1"/>
        <v>6941.47</v>
      </c>
      <c r="K164" cm="1">
        <f t="array" ref="K164">IFERROR(VALUE(_xll.BDP($B164,"PX_YEST_CLOSE")),"")</f>
        <v>46.83</v>
      </c>
      <c r="L164">
        <f t="shared" si="2"/>
        <v>6941.81</v>
      </c>
      <c r="M164">
        <f t="shared" si="66"/>
        <v>6.782425048296686E-3</v>
      </c>
      <c r="N164">
        <f t="shared" si="67"/>
        <v>6.7460791926025054E-3</v>
      </c>
      <c r="O164" cm="1">
        <f t="array" ref="O164">IFERROR(VALUE(_xll.BDP($B164,"INTERVAL_MAE_MOV_AVG","CALC_INTERVAL","520D","TECH_STUDIES_PARAM1_OVERRIDE",50,"USE_PREVIOUS_BUSINESS_DAY","N")),"")</f>
        <v>45.286577187021102</v>
      </c>
      <c r="P164">
        <f t="shared" si="3"/>
        <v>6894.0953999999992</v>
      </c>
      <c r="Q164" cm="1">
        <f t="array" ref="Q164">IFERROR(VALUE(_xll.BDP($B164,"INTERVAL_MAE_MOV_AVG","CALC_INTERVAL","520D","TECH_STUDIES_PARAM1_OVERRIDE",50,"USE_PREVIOUS_BUSINESS_DAY","Y")),"")</f>
        <v>45.231877363200013</v>
      </c>
      <c r="R164">
        <f t="shared" si="4"/>
        <v>6892.2477999999992</v>
      </c>
      <c r="S164">
        <f t="shared" si="68"/>
        <v>6.5688933151434349E-3</v>
      </c>
      <c r="T164">
        <f t="shared" si="69"/>
        <v>6.5627178064027267E-3</v>
      </c>
      <c r="U164" s="11" t="str">
        <f t="shared" si="70"/>
        <v>POSITIVE</v>
      </c>
      <c r="V164" s="11" t="str">
        <f t="shared" si="71"/>
        <v/>
      </c>
      <c r="W164" s="11" t="str">
        <f t="shared" si="72"/>
        <v>UP</v>
      </c>
      <c r="X164" s="6" t="str">
        <f t="shared" si="73"/>
        <v>POSITIVE</v>
      </c>
      <c r="Y164" cm="1">
        <f t="array" ref="Y164">IFERROR(VALUE(_xll.BDP($B164,"INTERVAL_MAE_MOV_AVG","CALC_INTERVAL","520D","TECH_STUDIES_PARAM1_OVERRIDE",65,"USE_PREVIOUS_BUSINESS_DAY","N")),"")</f>
        <v>44.969644329708537</v>
      </c>
      <c r="Z164">
        <f t="shared" si="5"/>
        <v>6856.0226153846133</v>
      </c>
      <c r="AA164" cm="1">
        <f t="array" ref="AA164">IFERROR(VALUE(_xll.BDP($B164,"INTERVAL_MAE_MOV_AVG","CALC_INTERVAL","520D","TECH_STUDIES_PARAM1_OVERRIDE",65,"USE_PREVIOUS_BUSINESS_DAY","Y")),"")</f>
        <v>44.909964545230771</v>
      </c>
      <c r="AB164">
        <f t="shared" si="6"/>
        <v>6852.6203076923057</v>
      </c>
      <c r="AC164">
        <f t="shared" si="74"/>
        <v>6.5591446896337002E-3</v>
      </c>
      <c r="AD164">
        <f t="shared" si="75"/>
        <v>6.5536922416112517E-3</v>
      </c>
      <c r="AE164" s="10" t="str">
        <f t="shared" si="76"/>
        <v>UP</v>
      </c>
      <c r="AF164" s="10" t="str">
        <f t="shared" si="77"/>
        <v>UP</v>
      </c>
      <c r="AG164" s="6" t="str">
        <f t="shared" si="78"/>
        <v>POSITIVE</v>
      </c>
      <c r="AH164" cm="1">
        <f t="array" ref="AH164">IFERROR(VALUE(_xll.BDP($B164,"INTERVAL_MAE_MOV_AVG","CALC_INTERVAL","65W","PERIODICITY_OVERRIDE","W","TECH_STUDIES_PARAM1_OVERRIDE",39,"USE_PREVIOUS_BUSINESS_DAY","N")),"")</f>
        <v>43.730434536323642</v>
      </c>
      <c r="AI164">
        <f t="shared" si="7"/>
        <v>6560.7735897435905</v>
      </c>
      <c r="AJ164" cm="1">
        <f t="array" ref="AJ164">IFERROR(VALUE(_xll.BDP($B164,"INTERVAL_MAE_MOV_AVG","CALC_INTERVAL","65W","PERIODICITY_OVERRIDE","W","TECH_STUDIES_PARAM1_OVERRIDE",39,"USE_PREVIOUS_BUSINESS_DAY","Y")),"")</f>
        <v>43.724024232963266</v>
      </c>
      <c r="AK164">
        <f t="shared" si="8"/>
        <v>6560.7823076923087</v>
      </c>
      <c r="AL164">
        <f t="shared" si="79"/>
        <v>6.6654387532420131E-3</v>
      </c>
      <c r="AM164">
        <f t="shared" si="80"/>
        <v>6.6644528323548001E-3</v>
      </c>
      <c r="AN164" s="10" t="str">
        <f t="shared" si="81"/>
        <v>UP</v>
      </c>
      <c r="AO164" s="10" t="str">
        <f t="shared" si="82"/>
        <v>UP</v>
      </c>
      <c r="AP164" s="6" t="str">
        <f t="shared" si="83"/>
        <v>POSITIVE</v>
      </c>
      <c r="AQ164" cm="1">
        <f t="array" ref="AQ164">IFERROR(VALUE(_xll.BDP($B164,"INTERVAL_exp_MOV_AVG","CALC_INTERVAL","520D","TECH_STUDIES_PARAM1_OVERRIDE",100,"USE_PREVIOUS_BUSINESS_DAY","N")),"")</f>
        <v>44.643859834302091</v>
      </c>
      <c r="AR164">
        <f t="shared" si="9"/>
        <v>6773.0064518682802</v>
      </c>
      <c r="AS164" cm="1">
        <f t="array" ref="AS164">IFERROR(VALUE(_xll.BDP($B164,"INTERVAL_exp_MOV_AVG","CALC_INTERVAL","520D","TECH_STUDIES_PARAM1_OVERRIDE",100,"USE_PREVIOUS_BUSINESS_DAY","Y")),"")</f>
        <v>44.594652754891129</v>
      </c>
      <c r="AT164">
        <f t="shared" si="10"/>
        <v>6769.6039787132295</v>
      </c>
      <c r="AU164">
        <f t="shared" si="84"/>
        <v>6.5914391417695216E-3</v>
      </c>
      <c r="AV164">
        <f t="shared" si="85"/>
        <v>6.5874832405436673E-3</v>
      </c>
      <c r="AW164" s="11" t="str">
        <f t="shared" si="86"/>
        <v>UP</v>
      </c>
      <c r="AX164" s="11" t="str">
        <f t="shared" si="87"/>
        <v>UP</v>
      </c>
      <c r="AY164" s="6" t="str">
        <f t="shared" si="88"/>
        <v>POSITIVE</v>
      </c>
      <c r="AZ164" s="12" cm="1">
        <f t="array" ref="AZ164">_xll.BDP($B164, "INTERVAL_RSI", "TECH_STUDIES_PARAM1_OVERRIDE", "5", "PERIODICITY_OVERRIDE", "W")</f>
        <v>80.93742964973174</v>
      </c>
      <c r="BA164" cm="1">
        <f t="array" ref="BA164">IFERROR(VALUE(_xll.BDP($B164,"INTERVAL_MAE_MOV_AVG","CALC_INTERVAL","520D","TECH_STUDIES_PARAM1_OVERRIDE",31,"USE_PREVIOUS_BUSINESS_DAY","N")),"")</f>
        <v>45.677741994550153</v>
      </c>
      <c r="BB164" cm="1">
        <f t="array" ref="BB164">IFERROR(VALUE(_xll.BDP($B164,"INTERVAL_MAE_MOV_AVG","CALC_INTERVAL","760D","TECH_STUDIES_PARAM1_OVERRIDE",200,"USE_PREVIOUS_BUSINESS_DAY","N")),"")</f>
        <v>43.401909160788726</v>
      </c>
      <c r="BC164" s="13">
        <f t="shared" si="89"/>
        <v>3.0698934409173484E-2</v>
      </c>
      <c r="BD164" s="13">
        <f t="shared" si="90"/>
        <v>3.9601641907546892E-2</v>
      </c>
      <c r="BE164" s="13">
        <f t="shared" si="91"/>
        <v>8.4744908929818008E-2</v>
      </c>
      <c r="BF164" s="14" cm="1">
        <f t="array" ref="BF164">VALUE(_xll.BDP($B164,"INTERVAL_DATE_OF_CALC_HI","CALC_INTERVAL","3M"))</f>
        <v>46064</v>
      </c>
      <c r="BG164" s="14" cm="1">
        <f t="array" ref="BG164">VALUE(_xll.BDP($B164,"INTERVAL_DATE_OF_CALC_LO","CALC_INTERVAL","3M"))</f>
        <v>45981</v>
      </c>
      <c r="BH164" s="14" cm="1">
        <f t="array" ref="BH164">VALUE(_xll.BDP($B164,"INTERVAL_DATE_OF_CALC_HI","CALC_INTERVAL","1M"))</f>
        <v>46064</v>
      </c>
      <c r="BI164" s="14" cm="1">
        <f t="array" ref="BI164">VALUE(_xll.BDP($B164,"INTERVAL_DATE_OF_CALC_LO","CALC_INTERVAL","1M"))</f>
        <v>46042</v>
      </c>
      <c r="BJ164" s="15">
        <f>$F164-MIN(_xll.BDP("NYA Index","RSI_14D"),_xll.BDP("RSP US Equity","RSI_14D"))</f>
        <v>-1.0159140471711936</v>
      </c>
    </row>
    <row r="165" spans="1:62" x14ac:dyDescent="0.25">
      <c r="A165" s="11">
        <v>164</v>
      </c>
      <c r="B165" s="26" t="s">
        <v>407</v>
      </c>
      <c r="C165" s="1" t="s">
        <v>833</v>
      </c>
      <c r="D165" s="1" t="s">
        <v>308</v>
      </c>
      <c r="E165" s="11" t="s">
        <v>787</v>
      </c>
      <c r="F165">
        <f>IFERROR(VALUE((_xll.BDP($B165,"interval_rsi","tech_studies_param1_override",14))),"")</f>
        <v>63.400506925616028</v>
      </c>
      <c r="G165">
        <f t="shared" si="0"/>
        <v>52.525531939815814</v>
      </c>
      <c r="H165">
        <f t="shared" si="65"/>
        <v>1</v>
      </c>
      <c r="I165" cm="1">
        <f t="array" ref="I165">IFERROR(VALUE(_xll.BDP($B165,"px_last")),"")</f>
        <v>28.98</v>
      </c>
      <c r="J165">
        <f t="shared" si="1"/>
        <v>6941.47</v>
      </c>
      <c r="K165" cm="1">
        <f t="array" ref="K165">IFERROR(VALUE(_xll.BDP($B165,"PX_YEST_CLOSE")),"")</f>
        <v>28.58</v>
      </c>
      <c r="L165">
        <f t="shared" si="2"/>
        <v>6941.81</v>
      </c>
      <c r="M165">
        <f t="shared" si="66"/>
        <v>4.1749081966788015E-3</v>
      </c>
      <c r="N165">
        <f t="shared" si="67"/>
        <v>4.117081856172957E-3</v>
      </c>
      <c r="O165" cm="1">
        <f t="array" ref="O165">IFERROR(VALUE(_xll.BDP($B165,"INTERVAL_MAE_MOV_AVG","CALC_INTERVAL","520D","TECH_STUDIES_PARAM1_OVERRIDE",50,"USE_PREVIOUS_BUSINESS_DAY","N")),"")</f>
        <v>27.863995883644726</v>
      </c>
      <c r="P165">
        <f t="shared" si="3"/>
        <v>6894.0953999999992</v>
      </c>
      <c r="Q165" cm="1">
        <f t="array" ref="Q165">IFERROR(VALUE(_xll.BDP($B165,"INTERVAL_MAE_MOV_AVG","CALC_INTERVAL","520D","TECH_STUDIES_PARAM1_OVERRIDE",50,"USE_PREVIOUS_BUSINESS_DAY","Y")),"")</f>
        <v>27.838518726399997</v>
      </c>
      <c r="R165">
        <f t="shared" si="4"/>
        <v>6892.2477999999992</v>
      </c>
      <c r="S165">
        <f t="shared" si="68"/>
        <v>4.0417189300346393E-3</v>
      </c>
      <c r="T165">
        <f t="shared" si="69"/>
        <v>4.0391058961054766E-3</v>
      </c>
      <c r="U165" s="11" t="str">
        <f t="shared" si="70"/>
        <v>POSITIVE</v>
      </c>
      <c r="V165" s="11" t="str">
        <f t="shared" si="71"/>
        <v/>
      </c>
      <c r="W165" s="11" t="str">
        <f t="shared" si="72"/>
        <v>UP</v>
      </c>
      <c r="X165" s="6" t="str">
        <f t="shared" si="73"/>
        <v>POSITIVE</v>
      </c>
      <c r="Y165" cm="1">
        <f t="array" ref="Y165">IFERROR(VALUE(_xll.BDP($B165,"INTERVAL_MAE_MOV_AVG","CALC_INTERVAL","520D","TECH_STUDIES_PARAM1_OVERRIDE",65,"USE_PREVIOUS_BUSINESS_DAY","N")),"")</f>
        <v>27.79573824526517</v>
      </c>
      <c r="Z165">
        <f t="shared" si="5"/>
        <v>6856.0226153846133</v>
      </c>
      <c r="AA165" cm="1">
        <f t="array" ref="AA165">IFERROR(VALUE(_xll.BDP($B165,"INTERVAL_MAE_MOV_AVG","CALC_INTERVAL","520D","TECH_STUDIES_PARAM1_OVERRIDE",65,"USE_PREVIOUS_BUSINESS_DAY","Y")),"")</f>
        <v>27.77629057230769</v>
      </c>
      <c r="AB165">
        <f t="shared" si="6"/>
        <v>6852.6203076923057</v>
      </c>
      <c r="AC165">
        <f t="shared" si="74"/>
        <v>4.054207490928159E-3</v>
      </c>
      <c r="AD165">
        <f t="shared" si="75"/>
        <v>4.0533824033892312E-3</v>
      </c>
      <c r="AE165" s="10" t="str">
        <f t="shared" si="76"/>
        <v>UP</v>
      </c>
      <c r="AF165" s="10" t="str">
        <f t="shared" si="77"/>
        <v>UP</v>
      </c>
      <c r="AG165" s="6" t="str">
        <f t="shared" si="78"/>
        <v>POSITIVE</v>
      </c>
      <c r="AH165" cm="1">
        <f t="array" ref="AH165">IFERROR(VALUE(_xll.BDP($B165,"INTERVAL_MAE_MOV_AVG","CALC_INTERVAL","65W","PERIODICITY_OVERRIDE","W","TECH_STUDIES_PARAM1_OVERRIDE",39,"USE_PREVIOUS_BUSINESS_DAY","N")),"")</f>
        <v>27.07113552505486</v>
      </c>
      <c r="AI165">
        <f t="shared" si="7"/>
        <v>6560.7735897435905</v>
      </c>
      <c r="AJ165" cm="1">
        <f t="array" ref="AJ165">IFERROR(VALUE(_xll.BDP($B165,"INTERVAL_MAE_MOV_AVG","CALC_INTERVAL","65W","PERIODICITY_OVERRIDE","W","TECH_STUDIES_PARAM1_OVERRIDE",39,"USE_PREVIOUS_BUSINESS_DAY","Y")),"")</f>
        <v>27.060879126535983</v>
      </c>
      <c r="AK165">
        <f t="shared" si="8"/>
        <v>6560.7823076923087</v>
      </c>
      <c r="AL165">
        <f t="shared" si="79"/>
        <v>4.1262109040578641E-3</v>
      </c>
      <c r="AM165">
        <f t="shared" si="80"/>
        <v>4.1246421322054787E-3</v>
      </c>
      <c r="AN165" s="10" t="str">
        <f t="shared" si="81"/>
        <v>UP</v>
      </c>
      <c r="AO165" s="10" t="str">
        <f t="shared" si="82"/>
        <v>UP</v>
      </c>
      <c r="AP165" s="6" t="str">
        <f t="shared" si="83"/>
        <v>BUY</v>
      </c>
      <c r="AQ165" cm="1">
        <f t="array" ref="AQ165">IFERROR(VALUE(_xll.BDP($B165,"INTERVAL_exp_MOV_AVG","CALC_INTERVAL","520D","TECH_STUDIES_PARAM1_OVERRIDE",100,"USE_PREVIOUS_BUSINESS_DAY","N")),"")</f>
        <v>27.650847227410022</v>
      </c>
      <c r="AR165">
        <f t="shared" si="9"/>
        <v>6773.0064518682802</v>
      </c>
      <c r="AS165" cm="1">
        <f t="array" ref="AS165">IFERROR(VALUE(_xll.BDP($B165,"INTERVAL_exp_MOV_AVG","CALC_INTERVAL","520D","TECH_STUDIES_PARAM1_OVERRIDE",100,"USE_PREVIOUS_BUSINESS_DAY","Y")),"")</f>
        <v>27.624003636602236</v>
      </c>
      <c r="AT165">
        <f t="shared" si="10"/>
        <v>6769.6039787132295</v>
      </c>
      <c r="AU165">
        <f t="shared" si="84"/>
        <v>4.0825071441918902E-3</v>
      </c>
      <c r="AV165">
        <f t="shared" si="85"/>
        <v>4.0805937427750424E-3</v>
      </c>
      <c r="AW165" s="11" t="str">
        <f t="shared" si="86"/>
        <v>UP</v>
      </c>
      <c r="AX165" s="11" t="str">
        <f t="shared" si="87"/>
        <v>UP</v>
      </c>
      <c r="AY165" s="6" t="str">
        <f t="shared" si="88"/>
        <v>POSITIVE</v>
      </c>
      <c r="AZ165" s="12" cm="1">
        <f t="array" ref="AZ165">_xll.BDP($B165, "INTERVAL_RSI", "TECH_STUDIES_PARAM1_OVERRIDE", "5", "PERIODICITY_OVERRIDE", "W")</f>
        <v>73.519607275204692</v>
      </c>
      <c r="BA165" cm="1">
        <f t="array" ref="BA165">IFERROR(VALUE(_xll.BDP($B165,"INTERVAL_MAE_MOV_AVG","CALC_INTERVAL","520D","TECH_STUDIES_PARAM1_OVERRIDE",31,"USE_PREVIOUS_BUSINESS_DAY","N")),"")</f>
        <v>28.289032243297942</v>
      </c>
      <c r="BB165" cm="1">
        <f t="array" ref="BB165">IFERROR(VALUE(_xll.BDP($B165,"INTERVAL_MAE_MOV_AVG","CALC_INTERVAL","760D","TECH_STUDIES_PARAM1_OVERRIDE",200,"USE_PREVIOUS_BUSINESS_DAY","N")),"")</f>
        <v>26.80662123390734</v>
      </c>
      <c r="BC165" s="13">
        <f t="shared" si="89"/>
        <v>2.4425287891060909E-2</v>
      </c>
      <c r="BD165" s="13">
        <f t="shared" si="90"/>
        <v>4.0051833233665235E-2</v>
      </c>
      <c r="BE165" s="13">
        <f t="shared" si="91"/>
        <v>8.1076191853062918E-2</v>
      </c>
      <c r="BF165" s="14" cm="1">
        <f t="array" ref="BF165">VALUE(_xll.BDP($B165,"INTERVAL_DATE_OF_CALC_HI","CALC_INTERVAL","3M"))</f>
        <v>46049</v>
      </c>
      <c r="BG165" s="14" cm="1">
        <f t="array" ref="BG165">VALUE(_xll.BDP($B165,"INTERVAL_DATE_OF_CALC_LO","CALC_INTERVAL","3M"))</f>
        <v>46008</v>
      </c>
      <c r="BH165" s="14" cm="1">
        <f t="array" ref="BH165">VALUE(_xll.BDP($B165,"INTERVAL_DATE_OF_CALC_HI","CALC_INTERVAL","1M"))</f>
        <v>46049</v>
      </c>
      <c r="BI165" s="14" cm="1">
        <f t="array" ref="BI165">VALUE(_xll.BDP($B165,"INTERVAL_DATE_OF_CALC_LO","CALC_INTERVAL","1M"))</f>
        <v>46042</v>
      </c>
      <c r="BJ165" s="15">
        <f>$F165-MIN(_xll.BDP("NYA Index","RSI_14D"),_xll.BDP("RSP US Equity","RSI_14D"))</f>
        <v>-2.9452572345402217</v>
      </c>
    </row>
    <row r="166" spans="1:62" x14ac:dyDescent="0.25">
      <c r="A166" s="11">
        <v>165</v>
      </c>
      <c r="B166" s="26" t="s">
        <v>408</v>
      </c>
      <c r="C166" s="1" t="s">
        <v>834</v>
      </c>
      <c r="D166" s="1" t="s">
        <v>308</v>
      </c>
      <c r="E166" s="11" t="s">
        <v>787</v>
      </c>
      <c r="F166">
        <f>IFERROR(VALUE((_xll.BDP($B166,"interval_rsi","tech_studies_param1_override",14))),"")</f>
        <v>72.598468102574714</v>
      </c>
      <c r="G166">
        <f t="shared" si="0"/>
        <v>52.525531939815814</v>
      </c>
      <c r="H166">
        <f t="shared" si="65"/>
        <v>1</v>
      </c>
      <c r="I166" cm="1">
        <f t="array" ref="I166">IFERROR(VALUE(_xll.BDP($B166,"px_last")),"")</f>
        <v>73.349999999999994</v>
      </c>
      <c r="J166">
        <f t="shared" si="1"/>
        <v>6941.47</v>
      </c>
      <c r="K166" cm="1">
        <f t="array" ref="K166">IFERROR(VALUE(_xll.BDP($B166,"PX_YEST_CLOSE")),"")</f>
        <v>71.44</v>
      </c>
      <c r="L166">
        <f t="shared" si="2"/>
        <v>6941.81</v>
      </c>
      <c r="M166">
        <f t="shared" si="66"/>
        <v>1.056692602575535E-2</v>
      </c>
      <c r="N166">
        <f t="shared" si="67"/>
        <v>1.0291264093946678E-2</v>
      </c>
      <c r="O166" cm="1">
        <f t="array" ref="O166">IFERROR(VALUE(_xll.BDP($B166,"INTERVAL_MAE_MOV_AVG","CALC_INTERVAL","520D","TECH_STUDIES_PARAM1_OVERRIDE",50,"USE_PREVIOUS_BUSINESS_DAY","N")),"")</f>
        <v>65.544240098661305</v>
      </c>
      <c r="P166">
        <f t="shared" si="3"/>
        <v>6894.0953999999992</v>
      </c>
      <c r="Q166" cm="1">
        <f t="array" ref="Q166">IFERROR(VALUE(_xll.BDP($B166,"INTERVAL_MAE_MOV_AVG","CALC_INTERVAL","520D","TECH_STUDIES_PARAM1_OVERRIDE",50,"USE_PREVIOUS_BUSINESS_DAY","Y")),"")</f>
        <v>65.311342607533092</v>
      </c>
      <c r="R166">
        <f t="shared" si="4"/>
        <v>6892.2477999999992</v>
      </c>
      <c r="S166">
        <f t="shared" si="68"/>
        <v>9.5073010011815784E-3</v>
      </c>
      <c r="T166">
        <f t="shared" si="69"/>
        <v>9.4760583923771714E-3</v>
      </c>
      <c r="U166" s="11" t="str">
        <f t="shared" si="70"/>
        <v>POSITIVE</v>
      </c>
      <c r="V166" s="11" t="str">
        <f t="shared" si="71"/>
        <v/>
      </c>
      <c r="W166" s="11" t="str">
        <f t="shared" si="72"/>
        <v>UP</v>
      </c>
      <c r="X166" s="6" t="str">
        <f t="shared" si="73"/>
        <v>POSITIVE</v>
      </c>
      <c r="Y166" cm="1">
        <f t="array" ref="Y166">IFERROR(VALUE(_xll.BDP($B166,"INTERVAL_MAE_MOV_AVG","CALC_INTERVAL","520D","TECH_STUDIES_PARAM1_OVERRIDE",65,"USE_PREVIOUS_BUSINESS_DAY","N")),"")</f>
        <v>64.481113221619964</v>
      </c>
      <c r="Z166">
        <f t="shared" si="5"/>
        <v>6856.0226153846133</v>
      </c>
      <c r="AA166" cm="1">
        <f t="array" ref="AA166">IFERROR(VALUE(_xll.BDP($B166,"INTERVAL_MAE_MOV_AVG","CALC_INTERVAL","520D","TECH_STUDIES_PARAM1_OVERRIDE",65,"USE_PREVIOUS_BUSINESS_DAY","Y")),"")</f>
        <v>64.308289054979269</v>
      </c>
      <c r="AB166">
        <f t="shared" si="6"/>
        <v>6852.6203076923057</v>
      </c>
      <c r="AC166">
        <f t="shared" si="74"/>
        <v>9.405032164994203E-3</v>
      </c>
      <c r="AD166">
        <f t="shared" si="75"/>
        <v>9.3844815803950151E-3</v>
      </c>
      <c r="AE166" s="10" t="str">
        <f t="shared" si="76"/>
        <v>UP</v>
      </c>
      <c r="AF166" s="10" t="str">
        <f t="shared" si="77"/>
        <v>UP</v>
      </c>
      <c r="AG166" s="6" t="str">
        <f t="shared" si="78"/>
        <v>POSITIVE</v>
      </c>
      <c r="AH166" cm="1">
        <f t="array" ref="AH166">IFERROR(VALUE(_xll.BDP($B166,"INTERVAL_MAE_MOV_AVG","CALC_INTERVAL","65W","PERIODICITY_OVERRIDE","W","TECH_STUDIES_PARAM1_OVERRIDE",39,"USE_PREVIOUS_BUSINESS_DAY","N")),"")</f>
        <v>60.163388242307008</v>
      </c>
      <c r="AI166">
        <f t="shared" si="7"/>
        <v>6560.7735897435905</v>
      </c>
      <c r="AJ166" cm="1">
        <f t="array" ref="AJ166">IFERROR(VALUE(_xll.BDP($B166,"INTERVAL_MAE_MOV_AVG","CALC_INTERVAL","65W","PERIODICITY_OVERRIDE","W","TECH_STUDIES_PARAM1_OVERRIDE",39,"USE_PREVIOUS_BUSINESS_DAY","Y")),"")</f>
        <v>60.11441392245775</v>
      </c>
      <c r="AK166">
        <f t="shared" si="8"/>
        <v>6560.7823076923087</v>
      </c>
      <c r="AL166">
        <f t="shared" si="79"/>
        <v>9.1701668133099424E-3</v>
      </c>
      <c r="AM166">
        <f t="shared" si="80"/>
        <v>9.1626899206784396E-3</v>
      </c>
      <c r="AN166" s="10" t="str">
        <f t="shared" si="81"/>
        <v>UP</v>
      </c>
      <c r="AO166" s="10" t="str">
        <f t="shared" si="82"/>
        <v>UP</v>
      </c>
      <c r="AP166" s="6" t="str">
        <f t="shared" si="83"/>
        <v>POSITIVE</v>
      </c>
      <c r="AQ166" cm="1">
        <f t="array" ref="AQ166">IFERROR(VALUE(_xll.BDP($B166,"INTERVAL_exp_MOV_AVG","CALC_INTERVAL","520D","TECH_STUDIES_PARAM1_OVERRIDE",100,"USE_PREVIOUS_BUSINESS_DAY","N")),"")</f>
        <v>63.816397442595481</v>
      </c>
      <c r="AR166">
        <f t="shared" si="9"/>
        <v>6773.0064518682802</v>
      </c>
      <c r="AS166" cm="1">
        <f t="array" ref="AS166">IFERROR(VALUE(_xll.BDP($B166,"INTERVAL_exp_MOV_AVG","CALC_INTERVAL","520D","TECH_STUDIES_PARAM1_OVERRIDE",100,"USE_PREVIOUS_BUSINESS_DAY","Y")),"")</f>
        <v>63.623815258531494</v>
      </c>
      <c r="AT166">
        <f t="shared" si="10"/>
        <v>6769.6039787132295</v>
      </c>
      <c r="AU166">
        <f t="shared" si="84"/>
        <v>9.4221669351861066E-3</v>
      </c>
      <c r="AV166">
        <f t="shared" si="85"/>
        <v>9.3984545415941971E-3</v>
      </c>
      <c r="AW166" s="11" t="str">
        <f t="shared" si="86"/>
        <v>UP</v>
      </c>
      <c r="AX166" s="11" t="str">
        <f t="shared" si="87"/>
        <v>UP</v>
      </c>
      <c r="AY166" s="6" t="str">
        <f t="shared" si="88"/>
        <v>POSITIVE</v>
      </c>
      <c r="AZ166" s="12" cm="1">
        <f t="array" ref="AZ166">_xll.BDP($B166, "INTERVAL_RSI", "TECH_STUDIES_PARAM1_OVERRIDE", "5", "PERIODICITY_OVERRIDE", "W")</f>
        <v>84.04054616808267</v>
      </c>
      <c r="BA166" cm="1">
        <f t="array" ref="BA166">IFERROR(VALUE(_xll.BDP($B166,"INTERVAL_MAE_MOV_AVG","CALC_INTERVAL","520D","TECH_STUDIES_PARAM1_OVERRIDE",31,"USE_PREVIOUS_BUSINESS_DAY","N")),"")</f>
        <v>67.708064466907132</v>
      </c>
      <c r="BB166" cm="1">
        <f t="array" ref="BB166">IFERROR(VALUE(_xll.BDP($B166,"INTERVAL_MAE_MOV_AVG","CALC_INTERVAL","760D","TECH_STUDIES_PARAM1_OVERRIDE",200,"USE_PREVIOUS_BUSINESS_DAY","N")),"")</f>
        <v>59.10899095829356</v>
      </c>
      <c r="BC166" s="13">
        <f t="shared" si="89"/>
        <v>8.3327378762250826E-2</v>
      </c>
      <c r="BD166" s="13">
        <f t="shared" si="90"/>
        <v>0.11909146996881748</v>
      </c>
      <c r="BE166" s="13">
        <f t="shared" si="91"/>
        <v>0.24092796731642196</v>
      </c>
      <c r="BF166" s="14" cm="1">
        <f t="array" ref="BF166">VALUE(_xll.BDP($B166,"INTERVAL_DATE_OF_CALC_HI","CALC_INTERVAL","3M"))</f>
        <v>46064</v>
      </c>
      <c r="BG166" s="14" cm="1">
        <f t="array" ref="BG166">VALUE(_xll.BDP($B166,"INTERVAL_DATE_OF_CALC_LO","CALC_INTERVAL","3M"))</f>
        <v>45981</v>
      </c>
      <c r="BH166" s="14" cm="1">
        <f t="array" ref="BH166">VALUE(_xll.BDP($B166,"INTERVAL_DATE_OF_CALC_HI","CALC_INTERVAL","1M"))</f>
        <v>46064</v>
      </c>
      <c r="BI166" s="14" cm="1">
        <f t="array" ref="BI166">VALUE(_xll.BDP($B166,"INTERVAL_DATE_OF_CALC_LO","CALC_INTERVAL","1M"))</f>
        <v>46035</v>
      </c>
      <c r="BJ166" s="15">
        <f>$F166-MIN(_xll.BDP("NYA Index","RSI_14D"),_xll.BDP("RSP US Equity","RSI_14D"))</f>
        <v>6.2527039424184636</v>
      </c>
    </row>
    <row r="167" spans="1:62" x14ac:dyDescent="0.25">
      <c r="A167" s="11">
        <v>166</v>
      </c>
      <c r="B167" s="26" t="s">
        <v>409</v>
      </c>
      <c r="C167" s="1" t="s">
        <v>835</v>
      </c>
      <c r="D167" s="1" t="s">
        <v>308</v>
      </c>
      <c r="E167" s="11" t="s">
        <v>787</v>
      </c>
      <c r="F167">
        <f>IFERROR(VALUE((_xll.BDP($B167,"interval_rsi","tech_studies_param1_override",14))),"")</f>
        <v>65.858725483440907</v>
      </c>
      <c r="G167">
        <f t="shared" si="0"/>
        <v>52.525531939815814</v>
      </c>
      <c r="H167">
        <f t="shared" si="65"/>
        <v>1</v>
      </c>
      <c r="I167" cm="1">
        <f t="array" ref="I167">IFERROR(VALUE(_xll.BDP($B167,"px_last")),"")</f>
        <v>47.43</v>
      </c>
      <c r="J167">
        <f t="shared" si="1"/>
        <v>6941.47</v>
      </c>
      <c r="K167" cm="1">
        <f t="array" ref="K167">IFERROR(VALUE(_xll.BDP($B167,"PX_YEST_CLOSE")),"")</f>
        <v>46.74</v>
      </c>
      <c r="L167">
        <f t="shared" si="2"/>
        <v>6941.81</v>
      </c>
      <c r="M167">
        <f t="shared" si="66"/>
        <v>6.8328466448749322E-3</v>
      </c>
      <c r="N167">
        <f t="shared" si="67"/>
        <v>6.733114274231072E-3</v>
      </c>
      <c r="O167" cm="1">
        <f t="array" ref="O167">IFERROR(VALUE(_xll.BDP($B167,"INTERVAL_MAE_MOV_AVG","CALC_INTERVAL","520D","TECH_STUDIES_PARAM1_OVERRIDE",50,"USE_PREVIOUS_BUSINESS_DAY","N")),"")</f>
        <v>44.546933423303528</v>
      </c>
      <c r="P167">
        <f t="shared" si="3"/>
        <v>6894.0953999999992</v>
      </c>
      <c r="Q167" cm="1">
        <f t="array" ref="Q167">IFERROR(VALUE(_xll.BDP($B167,"INTERVAL_MAE_MOV_AVG","CALC_INTERVAL","520D","TECH_STUDIES_PARAM1_OVERRIDE",50,"USE_PREVIOUS_BUSINESS_DAY","Y")),"")</f>
        <v>44.444978704200011</v>
      </c>
      <c r="R167">
        <f t="shared" si="4"/>
        <v>6892.2477999999992</v>
      </c>
      <c r="S167">
        <f t="shared" si="68"/>
        <v>6.4616067574730009E-3</v>
      </c>
      <c r="T167">
        <f t="shared" si="69"/>
        <v>6.4485462499186425E-3</v>
      </c>
      <c r="U167" s="11" t="str">
        <f t="shared" si="70"/>
        <v>POSITIVE</v>
      </c>
      <c r="V167" s="11" t="str">
        <f t="shared" si="71"/>
        <v/>
      </c>
      <c r="W167" s="11" t="str">
        <f t="shared" si="72"/>
        <v>UP</v>
      </c>
      <c r="X167" s="6" t="str">
        <f t="shared" si="73"/>
        <v>POSITIVE</v>
      </c>
      <c r="Y167" cm="1">
        <f t="array" ref="Y167">IFERROR(VALUE(_xll.BDP($B167,"INTERVAL_MAE_MOV_AVG","CALC_INTERVAL","520D","TECH_STUDIES_PARAM1_OVERRIDE",65,"USE_PREVIOUS_BUSINESS_DAY","N")),"")</f>
        <v>43.920695885310415</v>
      </c>
      <c r="Z167">
        <f t="shared" si="5"/>
        <v>6856.0226153846133</v>
      </c>
      <c r="AA167" cm="1">
        <f t="array" ref="AA167">IFERROR(VALUE(_xll.BDP($B167,"INTERVAL_MAE_MOV_AVG","CALC_INTERVAL","520D","TECH_STUDIES_PARAM1_OVERRIDE",65,"USE_PREVIOUS_BUSINESS_DAY","Y")),"")</f>
        <v>43.834269855692327</v>
      </c>
      <c r="AB167">
        <f t="shared" si="6"/>
        <v>6852.6203076923057</v>
      </c>
      <c r="AC167">
        <f t="shared" si="74"/>
        <v>6.4061480466465065E-3</v>
      </c>
      <c r="AD167">
        <f t="shared" si="75"/>
        <v>6.3967165678925518E-3</v>
      </c>
      <c r="AE167" s="10" t="str">
        <f t="shared" si="76"/>
        <v>UP</v>
      </c>
      <c r="AF167" s="10" t="str">
        <f t="shared" si="77"/>
        <v>UP</v>
      </c>
      <c r="AG167" s="6" t="str">
        <f t="shared" si="78"/>
        <v>POSITIVE</v>
      </c>
      <c r="AH167" cm="1">
        <f t="array" ref="AH167">IFERROR(VALUE(_xll.BDP($B167,"INTERVAL_MAE_MOV_AVG","CALC_INTERVAL","65W","PERIODICITY_OVERRIDE","W","TECH_STUDIES_PARAM1_OVERRIDE",39,"USE_PREVIOUS_BUSINESS_DAY","N")),"")</f>
        <v>41.587792717156667</v>
      </c>
      <c r="AI167">
        <f t="shared" si="7"/>
        <v>6560.7735897435905</v>
      </c>
      <c r="AJ167" cm="1">
        <f t="array" ref="AJ167">IFERROR(VALUE(_xll.BDP($B167,"INTERVAL_MAE_MOV_AVG","CALC_INTERVAL","65W","PERIODICITY_OVERRIDE","W","TECH_STUDIES_PARAM1_OVERRIDE",39,"USE_PREVIOUS_BUSINESS_DAY","Y")),"")</f>
        <v>41.570100401639344</v>
      </c>
      <c r="AK167">
        <f t="shared" si="8"/>
        <v>6560.7823076923087</v>
      </c>
      <c r="AL167">
        <f t="shared" si="79"/>
        <v>6.3388550371819815E-3</v>
      </c>
      <c r="AM167">
        <f t="shared" si="80"/>
        <v>6.336149936403121E-3</v>
      </c>
      <c r="AN167" s="10" t="str">
        <f t="shared" si="81"/>
        <v>UP</v>
      </c>
      <c r="AO167" s="10" t="str">
        <f t="shared" si="82"/>
        <v>UP</v>
      </c>
      <c r="AP167" s="6" t="str">
        <f t="shared" si="83"/>
        <v>POSITIVE</v>
      </c>
      <c r="AQ167" cm="1">
        <f t="array" ref="AQ167">IFERROR(VALUE(_xll.BDP($B167,"INTERVAL_exp_MOV_AVG","CALC_INTERVAL","520D","TECH_STUDIES_PARAM1_OVERRIDE",100,"USE_PREVIOUS_BUSINESS_DAY","N")),"")</f>
        <v>43.401681826623978</v>
      </c>
      <c r="AR167">
        <f t="shared" si="9"/>
        <v>6773.0064518682802</v>
      </c>
      <c r="AS167" cm="1">
        <f t="array" ref="AS167">IFERROR(VALUE(_xll.BDP($B167,"INTERVAL_exp_MOV_AVG","CALC_INTERVAL","520D","TECH_STUDIES_PARAM1_OVERRIDE",100,"USE_PREVIOUS_BUSINESS_DAY","Y")),"")</f>
        <v>43.320309970031566</v>
      </c>
      <c r="AT167">
        <f t="shared" si="10"/>
        <v>6769.6039787132295</v>
      </c>
      <c r="AU167">
        <f t="shared" si="84"/>
        <v>6.4080378684198604E-3</v>
      </c>
      <c r="AV167">
        <f t="shared" si="85"/>
        <v>6.399238434958778E-3</v>
      </c>
      <c r="AW167" s="11" t="str">
        <f t="shared" si="86"/>
        <v>UP</v>
      </c>
      <c r="AX167" s="11" t="str">
        <f t="shared" si="87"/>
        <v>UP</v>
      </c>
      <c r="AY167" s="6" t="str">
        <f t="shared" si="88"/>
        <v>POSITIVE</v>
      </c>
      <c r="AZ167" s="12" cm="1">
        <f t="array" ref="AZ167">_xll.BDP($B167, "INTERVAL_RSI", "TECH_STUDIES_PARAM1_OVERRIDE", "5", "PERIODICITY_OVERRIDE", "W")</f>
        <v>96.808784347190169</v>
      </c>
      <c r="BA167" cm="1">
        <f t="array" ref="BA167">IFERROR(VALUE(_xll.BDP($B167,"INTERVAL_MAE_MOV_AVG","CALC_INTERVAL","520D","TECH_STUDIES_PARAM1_OVERRIDE",31,"USE_PREVIOUS_BUSINESS_DAY","N")),"")</f>
        <v>45.54193549371535</v>
      </c>
      <c r="BB167" cm="1">
        <f t="array" ref="BB167">IFERROR(VALUE(_xll.BDP($B167,"INTERVAL_MAE_MOV_AVG","CALC_INTERVAL","760D","TECH_STUDIES_PARAM1_OVERRIDE",200,"USE_PREVIOUS_BUSINESS_DAY","N")),"")</f>
        <v>41.091473976215951</v>
      </c>
      <c r="BC167" s="13">
        <f t="shared" si="89"/>
        <v>4.1457713332038626E-2</v>
      </c>
      <c r="BD167" s="13">
        <f t="shared" si="90"/>
        <v>6.4719754091721038E-2</v>
      </c>
      <c r="BE167" s="13">
        <f t="shared" si="91"/>
        <v>0.15425404373308282</v>
      </c>
      <c r="BF167" s="14" cm="1">
        <f t="array" ref="BF167">VALUE(_xll.BDP($B167,"INTERVAL_DATE_OF_CALC_HI","CALC_INTERVAL","3M"))</f>
        <v>46064</v>
      </c>
      <c r="BG167" s="14" cm="1">
        <f t="array" ref="BG167">VALUE(_xll.BDP($B167,"INTERVAL_DATE_OF_CALC_LO","CALC_INTERVAL","3M"))</f>
        <v>45981</v>
      </c>
      <c r="BH167" s="14" cm="1">
        <f t="array" ref="BH167">VALUE(_xll.BDP($B167,"INTERVAL_DATE_OF_CALC_HI","CALC_INTERVAL","1M"))</f>
        <v>46064</v>
      </c>
      <c r="BI167" s="14" cm="1">
        <f t="array" ref="BI167">VALUE(_xll.BDP($B167,"INTERVAL_DATE_OF_CALC_LO","CALC_INTERVAL","1M"))</f>
        <v>46042</v>
      </c>
      <c r="BJ167" s="15">
        <f>$F167-MIN(_xll.BDP("NYA Index","RSI_14D"),_xll.BDP("RSP US Equity","RSI_14D"))</f>
        <v>-0.4870386767153434</v>
      </c>
    </row>
    <row r="168" spans="1:62" x14ac:dyDescent="0.25">
      <c r="A168" s="11">
        <v>167</v>
      </c>
      <c r="B168" s="26" t="s">
        <v>163</v>
      </c>
      <c r="C168" s="1" t="s">
        <v>836</v>
      </c>
      <c r="D168" s="1" t="s">
        <v>308</v>
      </c>
      <c r="E168" s="11" t="s">
        <v>787</v>
      </c>
      <c r="F168">
        <f>IFERROR(VALUE((_xll.BDP($B168,"interval_rsi","tech_studies_param1_override",14))),"")</f>
        <v>69.151259997643933</v>
      </c>
      <c r="G168">
        <f t="shared" si="0"/>
        <v>52.525531939815814</v>
      </c>
      <c r="H168">
        <f t="shared" si="65"/>
        <v>1</v>
      </c>
      <c r="I168" cm="1">
        <f t="array" ref="I168">IFERROR(VALUE(_xll.BDP($B168,"px_last")),"")</f>
        <v>80.7</v>
      </c>
      <c r="J168">
        <f t="shared" si="1"/>
        <v>6941.47</v>
      </c>
      <c r="K168" cm="1">
        <f t="array" ref="K168">IFERROR(VALUE(_xll.BDP($B168,"PX_YEST_CLOSE")),"")</f>
        <v>80.48</v>
      </c>
      <c r="L168">
        <f t="shared" si="2"/>
        <v>6941.81</v>
      </c>
      <c r="M168">
        <f t="shared" si="66"/>
        <v>1.1625779553898525E-2</v>
      </c>
      <c r="N168">
        <f t="shared" si="67"/>
        <v>1.1593518117032877E-2</v>
      </c>
      <c r="O168" cm="1">
        <f t="array" ref="O168">IFERROR(VALUE(_xll.BDP($B168,"INTERVAL_MAE_MOV_AVG","CALC_INTERVAL","520D","TECH_STUDIES_PARAM1_OVERRIDE",50,"USE_PREVIOUS_BUSINESS_DAY","N")),"")</f>
        <v>72.37392529096482</v>
      </c>
      <c r="P168">
        <f t="shared" si="3"/>
        <v>6894.0953999999992</v>
      </c>
      <c r="Q168" cm="1">
        <f t="array" ref="Q168">IFERROR(VALUE(_xll.BDP($B168,"INTERVAL_MAE_MOV_AVG","CALC_INTERVAL","520D","TECH_STUDIES_PARAM1_OVERRIDE",50,"USE_PREVIOUS_BUSINESS_DAY","Y")),"")</f>
        <v>72.102558379999991</v>
      </c>
      <c r="R168">
        <f t="shared" si="4"/>
        <v>6892.2477999999992</v>
      </c>
      <c r="S168">
        <f t="shared" si="68"/>
        <v>1.0497958193465792E-2</v>
      </c>
      <c r="T168">
        <f t="shared" si="69"/>
        <v>1.0461399600287151E-2</v>
      </c>
      <c r="U168" s="11" t="str">
        <f t="shared" si="70"/>
        <v>POSITIVE</v>
      </c>
      <c r="V168" s="11" t="str">
        <f t="shared" si="71"/>
        <v/>
      </c>
      <c r="W168" s="11" t="str">
        <f t="shared" si="72"/>
        <v>UP</v>
      </c>
      <c r="X168" s="6" t="str">
        <f t="shared" si="73"/>
        <v>POSITIVE</v>
      </c>
      <c r="Y168" cm="1">
        <f t="array" ref="Y168">IFERROR(VALUE(_xll.BDP($B168,"INTERVAL_MAE_MOV_AVG","CALC_INTERVAL","520D","TECH_STUDIES_PARAM1_OVERRIDE",65,"USE_PREVIOUS_BUSINESS_DAY","N")),"")</f>
        <v>70.915103546896006</v>
      </c>
      <c r="Z168">
        <f t="shared" si="5"/>
        <v>6856.0226153846133</v>
      </c>
      <c r="AA168" cm="1">
        <f t="array" ref="AA168">IFERROR(VALUE(_xll.BDP($B168,"INTERVAL_MAE_MOV_AVG","CALC_INTERVAL","520D","TECH_STUDIES_PARAM1_OVERRIDE",65,"USE_PREVIOUS_BUSINESS_DAY","Y")),"")</f>
        <v>70.684472130769237</v>
      </c>
      <c r="AB168">
        <f t="shared" si="6"/>
        <v>6852.6203076923057</v>
      </c>
      <c r="AC168">
        <f t="shared" si="74"/>
        <v>1.0343475732965879E-2</v>
      </c>
      <c r="AD168">
        <f t="shared" si="75"/>
        <v>1.0314955295483605E-2</v>
      </c>
      <c r="AE168" s="10" t="str">
        <f t="shared" si="76"/>
        <v>UP</v>
      </c>
      <c r="AF168" s="10" t="str">
        <f t="shared" si="77"/>
        <v>UP</v>
      </c>
      <c r="AG168" s="6" t="str">
        <f t="shared" si="78"/>
        <v>POSITIVE</v>
      </c>
      <c r="AH168" cm="1">
        <f t="array" ref="AH168">IFERROR(VALUE(_xll.BDP($B168,"INTERVAL_MAE_MOV_AVG","CALC_INTERVAL","65W","PERIODICITY_OVERRIDE","W","TECH_STUDIES_PARAM1_OVERRIDE",39,"USE_PREVIOUS_BUSINESS_DAY","N")),"")</f>
        <v>65.096536479316839</v>
      </c>
      <c r="AI168">
        <f t="shared" si="7"/>
        <v>6560.7735897435905</v>
      </c>
      <c r="AJ168" cm="1">
        <f t="array" ref="AJ168">IFERROR(VALUE(_xll.BDP($B168,"INTERVAL_MAE_MOV_AVG","CALC_INTERVAL","65W","PERIODICITY_OVERRIDE","W","TECH_STUDIES_PARAM1_OVERRIDE",39,"USE_PREVIOUS_BUSINESS_DAY","Y")),"")</f>
        <v>65.090895531926009</v>
      </c>
      <c r="AK168">
        <f t="shared" si="8"/>
        <v>6560.7823076923087</v>
      </c>
      <c r="AL168">
        <f t="shared" si="79"/>
        <v>9.9220824478811129E-3</v>
      </c>
      <c r="AM168">
        <f t="shared" si="80"/>
        <v>9.9212094654640495E-3</v>
      </c>
      <c r="AN168" s="10" t="str">
        <f t="shared" si="81"/>
        <v>UP</v>
      </c>
      <c r="AO168" s="10" t="str">
        <f t="shared" si="82"/>
        <v>UP</v>
      </c>
      <c r="AP168" s="6" t="str">
        <f t="shared" si="83"/>
        <v>POSITIVE</v>
      </c>
      <c r="AQ168" cm="1">
        <f t="array" ref="AQ168">IFERROR(VALUE(_xll.BDP($B168,"INTERVAL_exp_MOV_AVG","CALC_INTERVAL","520D","TECH_STUDIES_PARAM1_OVERRIDE",100,"USE_PREVIOUS_BUSINESS_DAY","N")),"")</f>
        <v>69.679056791987406</v>
      </c>
      <c r="AR168">
        <f t="shared" si="9"/>
        <v>6773.0064518682802</v>
      </c>
      <c r="AS168" cm="1">
        <f t="array" ref="AS168">IFERROR(VALUE(_xll.BDP($B168,"INTERVAL_exp_MOV_AVG","CALC_INTERVAL","520D","TECH_STUDIES_PARAM1_OVERRIDE",100,"USE_PREVIOUS_BUSINESS_DAY","Y")),"")</f>
        <v>69.456434252071361</v>
      </c>
      <c r="AT168">
        <f t="shared" si="10"/>
        <v>6769.6039787132295</v>
      </c>
      <c r="AU168">
        <f t="shared" si="84"/>
        <v>1.0287758809496924E-2</v>
      </c>
      <c r="AV168">
        <f t="shared" si="85"/>
        <v>1.0260043936170353E-2</v>
      </c>
      <c r="AW168" s="11" t="str">
        <f t="shared" si="86"/>
        <v>UP</v>
      </c>
      <c r="AX168" s="11" t="str">
        <f t="shared" si="87"/>
        <v>UP</v>
      </c>
      <c r="AY168" s="6" t="str">
        <f t="shared" si="88"/>
        <v>POSITIVE</v>
      </c>
      <c r="AZ168" s="12" cm="1">
        <f t="array" ref="AZ168">_xll.BDP($B168, "INTERVAL_RSI", "TECH_STUDIES_PARAM1_OVERRIDE", "5", "PERIODICITY_OVERRIDE", "W")</f>
        <v>86.923054681745171</v>
      </c>
      <c r="BA168" cm="1">
        <f t="array" ref="BA168">IFERROR(VALUE(_xll.BDP($B168,"INTERVAL_MAE_MOV_AVG","CALC_INTERVAL","520D","TECH_STUDIES_PARAM1_OVERRIDE",31,"USE_PREVIOUS_BUSINESS_DAY","N")),"")</f>
        <v>74.656451514459405</v>
      </c>
      <c r="BB168" cm="1">
        <f t="array" ref="BB168">IFERROR(VALUE(_xll.BDP($B168,"INTERVAL_MAE_MOV_AVG","CALC_INTERVAL","760D","TECH_STUDIES_PARAM1_OVERRIDE",200,"USE_PREVIOUS_BUSINESS_DAY","N")),"")</f>
        <v>64.07263059101895</v>
      </c>
      <c r="BC168" s="13">
        <f t="shared" si="89"/>
        <v>8.0951456477543537E-2</v>
      </c>
      <c r="BD168" s="13">
        <f t="shared" si="90"/>
        <v>0.11504246419635078</v>
      </c>
      <c r="BE168" s="13">
        <f t="shared" si="91"/>
        <v>0.25950814342421746</v>
      </c>
      <c r="BF168" s="14" cm="1">
        <f t="array" ref="BF168">VALUE(_xll.BDP($B168,"INTERVAL_DATE_OF_CALC_HI","CALC_INTERVAL","3M"))</f>
        <v>46064</v>
      </c>
      <c r="BG168" s="14" cm="1">
        <f t="array" ref="BG168">VALUE(_xll.BDP($B168,"INTERVAL_DATE_OF_CALC_LO","CALC_INTERVAL","3M"))</f>
        <v>45978</v>
      </c>
      <c r="BH168" s="14" cm="1">
        <f t="array" ref="BH168">VALUE(_xll.BDP($B168,"INTERVAL_DATE_OF_CALC_HI","CALC_INTERVAL","1M"))</f>
        <v>46064</v>
      </c>
      <c r="BI168" s="14" cm="1">
        <f t="array" ref="BI168">VALUE(_xll.BDP($B168,"INTERVAL_DATE_OF_CALC_LO","CALC_INTERVAL","1M"))</f>
        <v>46035</v>
      </c>
      <c r="BJ168" s="15">
        <f>$F168-MIN(_xll.BDP("NYA Index","RSI_14D"),_xll.BDP("RSP US Equity","RSI_14D"))</f>
        <v>2.8054958374876833</v>
      </c>
    </row>
    <row r="169" spans="1:62" x14ac:dyDescent="0.25">
      <c r="A169" s="11">
        <v>168</v>
      </c>
      <c r="B169" s="26" t="s">
        <v>410</v>
      </c>
      <c r="C169" s="1" t="s">
        <v>837</v>
      </c>
      <c r="D169" s="1" t="s">
        <v>308</v>
      </c>
      <c r="E169" s="11" t="s">
        <v>787</v>
      </c>
      <c r="F169">
        <f>IFERROR(VALUE((_xll.BDP($B169,"interval_rsi","tech_studies_param1_override",14))),"")</f>
        <v>72.916858341701086</v>
      </c>
      <c r="G169">
        <f t="shared" si="0"/>
        <v>52.525531939815814</v>
      </c>
      <c r="H169">
        <f t="shared" si="65"/>
        <v>1</v>
      </c>
      <c r="I169" cm="1">
        <f t="array" ref="I169">IFERROR(VALUE(_xll.BDP($B169,"px_last")),"")</f>
        <v>130.6</v>
      </c>
      <c r="J169">
        <f t="shared" si="1"/>
        <v>6941.47</v>
      </c>
      <c r="K169" cm="1">
        <f t="array" ref="K169">IFERROR(VALUE(_xll.BDP($B169,"PX_YEST_CLOSE")),"")</f>
        <v>124.45</v>
      </c>
      <c r="L169">
        <f t="shared" si="2"/>
        <v>6941.81</v>
      </c>
      <c r="M169">
        <f t="shared" si="66"/>
        <v>1.8814458608911368E-2</v>
      </c>
      <c r="N169">
        <f t="shared" si="67"/>
        <v>1.7927601014720945E-2</v>
      </c>
      <c r="O169" cm="1">
        <f t="array" ref="O169">IFERROR(VALUE(_xll.BDP($B169,"INTERVAL_MAE_MOV_AVG","CALC_INTERVAL","520D","TECH_STUDIES_PARAM1_OVERRIDE",50,"USE_PREVIOUS_BUSINESS_DAY","N")),"")</f>
        <v>105.74223067247031</v>
      </c>
      <c r="P169">
        <f t="shared" si="3"/>
        <v>6894.0953999999992</v>
      </c>
      <c r="Q169" cm="1">
        <f t="array" ref="Q169">IFERROR(VALUE(_xll.BDP($B169,"INTERVAL_MAE_MOV_AVG","CALC_INTERVAL","520D","TECH_STUDIES_PARAM1_OVERRIDE",50,"USE_PREVIOUS_BUSINESS_DAY","Y")),"")</f>
        <v>104.9077059072</v>
      </c>
      <c r="R169">
        <f t="shared" si="4"/>
        <v>6892.2477999999992</v>
      </c>
      <c r="S169">
        <f t="shared" si="68"/>
        <v>1.5338086367715527E-2</v>
      </c>
      <c r="T169">
        <f t="shared" si="69"/>
        <v>1.5221116383424289E-2</v>
      </c>
      <c r="U169" s="11" t="str">
        <f t="shared" si="70"/>
        <v>POSITIVE</v>
      </c>
      <c r="V169" s="11" t="str">
        <f t="shared" si="71"/>
        <v/>
      </c>
      <c r="W169" s="11" t="str">
        <f t="shared" si="72"/>
        <v>UP</v>
      </c>
      <c r="X169" s="6" t="str">
        <f t="shared" si="73"/>
        <v>POSITIVE</v>
      </c>
      <c r="Y169" cm="1">
        <f t="array" ref="Y169">IFERROR(VALUE(_xll.BDP($B169,"INTERVAL_MAE_MOV_AVG","CALC_INTERVAL","520D","TECH_STUDIES_PARAM1_OVERRIDE",65,"USE_PREVIOUS_BUSINESS_DAY","N")),"")</f>
        <v>102.13930688528484</v>
      </c>
      <c r="Z169">
        <f t="shared" si="5"/>
        <v>6856.0226153846133</v>
      </c>
      <c r="AA169" cm="1">
        <f t="array" ref="AA169">IFERROR(VALUE(_xll.BDP($B169,"INTERVAL_MAE_MOV_AVG","CALC_INTERVAL","520D","TECH_STUDIES_PARAM1_OVERRIDE",65,"USE_PREVIOUS_BUSINESS_DAY","Y")),"")</f>
        <v>101.53708790399999</v>
      </c>
      <c r="AB169">
        <f t="shared" si="6"/>
        <v>6852.6203076923057</v>
      </c>
      <c r="AC169">
        <f t="shared" si="74"/>
        <v>1.4897749411749128E-2</v>
      </c>
      <c r="AD169">
        <f t="shared" si="75"/>
        <v>1.4817264541860149E-2</v>
      </c>
      <c r="AE169" s="10" t="str">
        <f t="shared" si="76"/>
        <v>UP</v>
      </c>
      <c r="AF169" s="10" t="str">
        <f t="shared" si="77"/>
        <v>UP</v>
      </c>
      <c r="AG169" s="6" t="str">
        <f t="shared" si="78"/>
        <v>POSITIVE</v>
      </c>
      <c r="AH169" cm="1">
        <f t="array" ref="AH169">IFERROR(VALUE(_xll.BDP($B169,"INTERVAL_MAE_MOV_AVG","CALC_INTERVAL","65W","PERIODICITY_OVERRIDE","W","TECH_STUDIES_PARAM1_OVERRIDE",39,"USE_PREVIOUS_BUSINESS_DAY","N")),"")</f>
        <v>84.766301768808077</v>
      </c>
      <c r="AI169">
        <f t="shared" si="7"/>
        <v>6560.7735897435905</v>
      </c>
      <c r="AJ169" cm="1">
        <f t="array" ref="AJ169">IFERROR(VALUE(_xll.BDP($B169,"INTERVAL_MAE_MOV_AVG","CALC_INTERVAL","65W","PERIODICITY_OVERRIDE","W","TECH_STUDIES_PARAM1_OVERRIDE",39,"USE_PREVIOUS_BUSINESS_DAY","Y")),"")</f>
        <v>84.608609304615371</v>
      </c>
      <c r="AK169">
        <f t="shared" si="8"/>
        <v>6560.7823076923087</v>
      </c>
      <c r="AL169">
        <f t="shared" si="79"/>
        <v>1.2920168728474736E-2</v>
      </c>
      <c r="AM169">
        <f t="shared" si="80"/>
        <v>1.2896115941145382E-2</v>
      </c>
      <c r="AN169" s="10" t="str">
        <f t="shared" si="81"/>
        <v>UP</v>
      </c>
      <c r="AO169" s="10" t="str">
        <f t="shared" si="82"/>
        <v>UP</v>
      </c>
      <c r="AP169" s="6" t="str">
        <f t="shared" si="83"/>
        <v>POSITIVE</v>
      </c>
      <c r="AQ169" cm="1">
        <f t="array" ref="AQ169">IFERROR(VALUE(_xll.BDP($B169,"INTERVAL_exp_MOV_AVG","CALC_INTERVAL","520D","TECH_STUDIES_PARAM1_OVERRIDE",100,"USE_PREVIOUS_BUSINESS_DAY","N")),"")</f>
        <v>98.81606886033309</v>
      </c>
      <c r="AR169">
        <f t="shared" si="9"/>
        <v>6773.0064518682802</v>
      </c>
      <c r="AS169" cm="1">
        <f t="array" ref="AS169">IFERROR(VALUE(_xll.BDP($B169,"INTERVAL_exp_MOV_AVG","CALC_INTERVAL","520D","TECH_STUDIES_PARAM1_OVERRIDE",100,"USE_PREVIOUS_BUSINESS_DAY","Y")),"")</f>
        <v>98.174014476034841</v>
      </c>
      <c r="AT169">
        <f t="shared" si="10"/>
        <v>6769.6039787132295</v>
      </c>
      <c r="AU169">
        <f t="shared" si="84"/>
        <v>1.45896906436691E-2</v>
      </c>
      <c r="AV169">
        <f t="shared" si="85"/>
        <v>1.4502179859374258E-2</v>
      </c>
      <c r="AW169" s="11" t="str">
        <f t="shared" si="86"/>
        <v>UP</v>
      </c>
      <c r="AX169" s="11" t="str">
        <f t="shared" si="87"/>
        <v>UP</v>
      </c>
      <c r="AY169" s="6" t="str">
        <f t="shared" si="88"/>
        <v>POSITIVE</v>
      </c>
      <c r="AZ169" s="12" cm="1">
        <f t="array" ref="AZ169">_xll.BDP($B169, "INTERVAL_RSI", "TECH_STUDIES_PARAM1_OVERRIDE", "5", "PERIODICITY_OVERRIDE", "W")</f>
        <v>96.120722916252845</v>
      </c>
      <c r="BA169" cm="1">
        <f t="array" ref="BA169">IFERROR(VALUE(_xll.BDP($B169,"INTERVAL_MAE_MOV_AVG","CALC_INTERVAL","520D","TECH_STUDIES_PARAM1_OVERRIDE",31,"USE_PREVIOUS_BUSINESS_DAY","N")),"")</f>
        <v>114.37806471301661</v>
      </c>
      <c r="BB169" cm="1">
        <f t="array" ref="BB169">IFERROR(VALUE(_xll.BDP($B169,"INTERVAL_MAE_MOV_AVG","CALC_INTERVAL","760D","TECH_STUDIES_PARAM1_OVERRIDE",200,"USE_PREVIOUS_BUSINESS_DAY","N")),"")</f>
        <v>81.740626581717578</v>
      </c>
      <c r="BC169" s="13">
        <f t="shared" si="89"/>
        <v>0.14182732788568742</v>
      </c>
      <c r="BD169" s="13">
        <f t="shared" si="90"/>
        <v>0.23507891945768589</v>
      </c>
      <c r="BE169" s="13">
        <f t="shared" si="91"/>
        <v>0.59773671259342276</v>
      </c>
      <c r="BF169" s="14" cm="1">
        <f t="array" ref="BF169">VALUE(_xll.BDP($B169,"INTERVAL_DATE_OF_CALC_HI","CALC_INTERVAL","3M"))</f>
        <v>46064</v>
      </c>
      <c r="BG169" s="14" cm="1">
        <f t="array" ref="BG169">VALUE(_xll.BDP($B169,"INTERVAL_DATE_OF_CALC_LO","CALC_INTERVAL","3M"))</f>
        <v>45981</v>
      </c>
      <c r="BH169" s="14" cm="1">
        <f t="array" ref="BH169">VALUE(_xll.BDP($B169,"INTERVAL_DATE_OF_CALC_HI","CALC_INTERVAL","1M"))</f>
        <v>46064</v>
      </c>
      <c r="BI169" s="14" cm="1">
        <f t="array" ref="BI169">VALUE(_xll.BDP($B169,"INTERVAL_DATE_OF_CALC_LO","CALC_INTERVAL","1M"))</f>
        <v>46035</v>
      </c>
      <c r="BJ169" s="15">
        <f>$F169-MIN(_xll.BDP("NYA Index","RSI_14D"),_xll.BDP("RSP US Equity","RSI_14D"))</f>
        <v>6.5710941815448365</v>
      </c>
    </row>
    <row r="170" spans="1:62" x14ac:dyDescent="0.25">
      <c r="A170" s="11">
        <v>169</v>
      </c>
      <c r="B170" s="26" t="s">
        <v>146</v>
      </c>
      <c r="C170" s="1" t="s">
        <v>838</v>
      </c>
      <c r="D170" s="1" t="s">
        <v>308</v>
      </c>
      <c r="E170" s="11" t="s">
        <v>787</v>
      </c>
      <c r="F170">
        <f>IFERROR(VALUE((_xll.BDP($B170,"interval_rsi","tech_studies_param1_override",14))),"")</f>
        <v>72.224158577713681</v>
      </c>
      <c r="G170">
        <f t="shared" si="0"/>
        <v>52.525531939815814</v>
      </c>
      <c r="H170">
        <f t="shared" ref="H170:H233" si="119">IF(AND(F170-G170&gt;10,G170&lt;65),1,0)</f>
        <v>1</v>
      </c>
      <c r="I170" cm="1">
        <f t="array" ref="I170">IFERROR(VALUE(_xll.BDP($B170,"px_last")),"")</f>
        <v>39.159999999999997</v>
      </c>
      <c r="J170">
        <f t="shared" si="1"/>
        <v>6941.47</v>
      </c>
      <c r="K170" cm="1">
        <f t="array" ref="K170">IFERROR(VALUE(_xll.BDP($B170,"PX_YEST_CLOSE")),"")</f>
        <v>38.32</v>
      </c>
      <c r="L170">
        <f t="shared" si="2"/>
        <v>6941.81</v>
      </c>
      <c r="M170">
        <f t="shared" ref="M170:M233" si="120">I170/J170</f>
        <v>5.6414563485832243E-3</v>
      </c>
      <c r="N170">
        <f t="shared" ref="N170:N233" si="121">K170/L170</f>
        <v>5.5201741332591928E-3</v>
      </c>
      <c r="O170" cm="1">
        <f t="array" ref="O170">IFERROR(VALUE(_xll.BDP($B170,"INTERVAL_MAE_MOV_AVG","CALC_INTERVAL","520D","TECH_STUDIES_PARAM1_OVERRIDE",50,"USE_PREVIOUS_BUSINESS_DAY","N")),"")</f>
        <v>33.876698017257681</v>
      </c>
      <c r="P170">
        <f t="shared" si="3"/>
        <v>6894.0953999999992</v>
      </c>
      <c r="Q170" cm="1">
        <f t="array" ref="Q170">IFERROR(VALUE(_xll.BDP($B170,"INTERVAL_MAE_MOV_AVG","CALC_INTERVAL","520D","TECH_STUDIES_PARAM1_OVERRIDE",50,"USE_PREVIOUS_BUSINESS_DAY","Y")),"")</f>
        <v>33.742941596954211</v>
      </c>
      <c r="R170">
        <f t="shared" si="4"/>
        <v>6892.2477999999992</v>
      </c>
      <c r="S170">
        <f t="shared" ref="S170:S233" si="122">O170/P170</f>
        <v>4.9138713713270761E-3</v>
      </c>
      <c r="T170">
        <f t="shared" ref="T170:T233" si="123">Q170/R170</f>
        <v>4.8957818372337416E-3</v>
      </c>
      <c r="U170" s="11" t="str">
        <f t="shared" ref="U170:U233" si="124">IF(H170=1,"POSITIVE","NEGATIVE")</f>
        <v>POSITIVE</v>
      </c>
      <c r="V170" s="11" t="str">
        <f t="shared" ref="V170:V233" si="125">IF(AND(K170&lt;Q170,I170&gt;O170),"UP","")</f>
        <v/>
      </c>
      <c r="W170" s="11" t="str">
        <f t="shared" ref="W170:W233" si="126">IF(S170&gt;T170,"UP",IF(S170&lt;T170,"DOWN",""))</f>
        <v>UP</v>
      </c>
      <c r="X170" s="6" t="str">
        <f t="shared" ref="X170:X233" si="127">IF(AND(N170&lt;T170,M170&gt;S170),"BUY",IF(AND(N170&gt;T170,M170&lt;S170),"SELL",IF(M170&gt;S170,"POSITIVE","NEGATIVE")))</f>
        <v>POSITIVE</v>
      </c>
      <c r="Y170" cm="1">
        <f t="array" ref="Y170">IFERROR(VALUE(_xll.BDP($B170,"INTERVAL_MAE_MOV_AVG","CALC_INTERVAL","520D","TECH_STUDIES_PARAM1_OVERRIDE",65,"USE_PREVIOUS_BUSINESS_DAY","N")),"")</f>
        <v>33.366483554480119</v>
      </c>
      <c r="Z170">
        <f t="shared" si="5"/>
        <v>6856.0226153846133</v>
      </c>
      <c r="AA170" cm="1">
        <f t="array" ref="AA170">IFERROR(VALUE(_xll.BDP($B170,"INTERVAL_MAE_MOV_AVG","CALC_INTERVAL","520D","TECH_STUDIES_PARAM1_OVERRIDE",65,"USE_PREVIOUS_BUSINESS_DAY","Y")),"")</f>
        <v>33.240257850094245</v>
      </c>
      <c r="AB170">
        <f t="shared" si="6"/>
        <v>6852.6203076923057</v>
      </c>
      <c r="AC170">
        <f t="shared" ref="AC170:AC233" si="128">Y170/Z170</f>
        <v>4.8667405909086706E-3</v>
      </c>
      <c r="AD170">
        <f t="shared" ref="AD170:AD233" si="129">AA170/AB170</f>
        <v>4.8507368506585571E-3</v>
      </c>
      <c r="AE170" s="10" t="str">
        <f t="shared" ref="AE170:AE233" si="130">IF(Y170&gt;AA170,"UP",IF(Y170&lt;AA170,"DOWN",""))</f>
        <v>UP</v>
      </c>
      <c r="AF170" s="10" t="str">
        <f t="shared" ref="AF170:AF233" si="131">IF(AC170&gt;AD170,"UP",IF(AC170&lt;AD170,"DOWN",""))</f>
        <v>UP</v>
      </c>
      <c r="AG170" s="6" t="str">
        <f t="shared" ref="AG170:AG233" si="132">IF(AND(N170&lt;AD170,M170&gt;AC170),"BUY",IF(AND(N170&gt;AD170,M170&lt;AC170),"SELL",IF(M170&gt;AC170,"POSITIVE","NEGATIVE")))</f>
        <v>POSITIVE</v>
      </c>
      <c r="AH170" cm="1">
        <f t="array" ref="AH170">IFERROR(VALUE(_xll.BDP($B170,"INTERVAL_MAE_MOV_AVG","CALC_INTERVAL","65W","PERIODICITY_OVERRIDE","W","TECH_STUDIES_PARAM1_OVERRIDE",39,"USE_PREVIOUS_BUSINESS_DAY","N")),"")</f>
        <v>29.902331494917398</v>
      </c>
      <c r="AI170">
        <f t="shared" si="7"/>
        <v>6560.7735897435905</v>
      </c>
      <c r="AJ170" cm="1">
        <f t="array" ref="AJ170">IFERROR(VALUE(_xll.BDP($B170,"INTERVAL_MAE_MOV_AVG","CALC_INTERVAL","65W","PERIODICITY_OVERRIDE","W","TECH_STUDIES_PARAM1_OVERRIDE",39,"USE_PREVIOUS_BUSINESS_DAY","Y")),"")</f>
        <v>29.880793037291443</v>
      </c>
      <c r="AK170">
        <f t="shared" si="8"/>
        <v>6560.7823076923087</v>
      </c>
      <c r="AL170">
        <f t="shared" ref="AL170:AL233" si="133">AH170/AI170</f>
        <v>4.5577447668158364E-3</v>
      </c>
      <c r="AM170">
        <f t="shared" ref="AM170:AM233" si="134">AJ170/AK170</f>
        <v>4.5544558005311594E-3</v>
      </c>
      <c r="AN170" s="10" t="str">
        <f t="shared" ref="AN170:AN233" si="135">IF(AH170&gt;AJ170,"UP",IF(AH170&lt;AJ170,"DOWN",""))</f>
        <v>UP</v>
      </c>
      <c r="AO170" s="10" t="str">
        <f t="shared" ref="AO170:AO233" si="136">IF(AL170&gt;AM170,"UP",IF(AL170&lt;AM170,"DOWN",""))</f>
        <v>UP</v>
      </c>
      <c r="AP170" s="6" t="str">
        <f t="shared" ref="AP170:AP233" si="137">IF(AND(N170&lt;AM170,M170&gt;AL170),"BUY",IF(AND(N170&gt;AM170,M170&lt;AL170),"SELL",IF(M170&gt;AL170,"POSITIVE","NEGATIVE")))</f>
        <v>POSITIVE</v>
      </c>
      <c r="AQ170" cm="1">
        <f t="array" ref="AQ170">IFERROR(VALUE(_xll.BDP($B170,"INTERVAL_exp_MOV_AVG","CALC_INTERVAL","520D","TECH_STUDIES_PARAM1_OVERRIDE",100,"USE_PREVIOUS_BUSINESS_DAY","N")),"")</f>
        <v>32.53750889110345</v>
      </c>
      <c r="AR170">
        <f t="shared" si="9"/>
        <v>6773.0064518682802</v>
      </c>
      <c r="AS170" cm="1">
        <f t="array" ref="AS170">IFERROR(VALUE(_xll.BDP($B170,"INTERVAL_exp_MOV_AVG","CALC_INTERVAL","520D","TECH_STUDIES_PARAM1_OVERRIDE",100,"USE_PREVIOUS_BUSINESS_DAY","Y")),"")</f>
        <v>32.403726642273291</v>
      </c>
      <c r="AT170">
        <f t="shared" si="10"/>
        <v>6769.6039787132295</v>
      </c>
      <c r="AU170">
        <f t="shared" ref="AU170:AU233" si="138">AQ170/AR170</f>
        <v>4.8039979176645008E-3</v>
      </c>
      <c r="AV170">
        <f t="shared" ref="AV170:AV233" si="139">AS170/AT170</f>
        <v>4.7866502596260602E-3</v>
      </c>
      <c r="AW170" s="11" t="str">
        <f t="shared" ref="AW170:AW233" si="140">IF(AQ170&gt;AS170,"UP",IF(AQ170&lt;AS170,"DOWN",""))</f>
        <v>UP</v>
      </c>
      <c r="AX170" s="11" t="str">
        <f t="shared" ref="AX170:AX233" si="141">IF(AU170&gt;AV170,"UP",IF(AU170&lt;AV170,"DOWN",""))</f>
        <v>UP</v>
      </c>
      <c r="AY170" s="6" t="str">
        <f t="shared" ref="AY170:AY233" si="142">IF(AND(N170&lt;AV170,M170&gt;AU170),"BUY",IF(AND(N170&gt;AV170,M170&lt;AU170),"SELL",IF(M170&gt;AU170,"POSITIVE","NEGATIVE")))</f>
        <v>POSITIVE</v>
      </c>
      <c r="AZ170" s="12" cm="1">
        <f t="array" ref="AZ170">_xll.BDP($B170, "INTERVAL_RSI", "TECH_STUDIES_PARAM1_OVERRIDE", "5", "PERIODICITY_OVERRIDE", "W")</f>
        <v>92.420423202705251</v>
      </c>
      <c r="BA170" cm="1">
        <f t="array" ref="BA170">IFERROR(VALUE(_xll.BDP($B170,"INTERVAL_MAE_MOV_AVG","CALC_INTERVAL","520D","TECH_STUDIES_PARAM1_OVERRIDE",31,"USE_PREVIOUS_BUSINESS_DAY","N")),"")</f>
        <v>35.131412911206837</v>
      </c>
      <c r="BB170" cm="1">
        <f t="array" ref="BB170">IFERROR(VALUE(_xll.BDP($B170,"INTERVAL_MAE_MOV_AVG","CALC_INTERVAL","760D","TECH_STUDIES_PARAM1_OVERRIDE",200,"USE_PREVIOUS_BUSINESS_DAY","N")),"")</f>
        <v>29.453650390112699</v>
      </c>
      <c r="BC170" s="13">
        <f t="shared" ref="BC170:BC233" si="143">-1+(I170/BA170)</f>
        <v>0.11467193474328075</v>
      </c>
      <c r="BD170" s="13">
        <f t="shared" ref="BD170:BD233" si="144">-1+(I170/O170)</f>
        <v>0.15595681669007</v>
      </c>
      <c r="BE170" s="13">
        <f t="shared" ref="BE170:BE233" si="145">-1+(I170/BB170)</f>
        <v>0.32954657508753571</v>
      </c>
      <c r="BF170" s="14" cm="1">
        <f t="array" ref="BF170">VALUE(_xll.BDP($B170,"INTERVAL_DATE_OF_CALC_HI","CALC_INTERVAL","3M"))</f>
        <v>46064</v>
      </c>
      <c r="BG170" s="14" cm="1">
        <f t="array" ref="BG170">VALUE(_xll.BDP($B170,"INTERVAL_DATE_OF_CALC_LO","CALC_INTERVAL","3M"))</f>
        <v>45981</v>
      </c>
      <c r="BH170" s="14" cm="1">
        <f t="array" ref="BH170">VALUE(_xll.BDP($B170,"INTERVAL_DATE_OF_CALC_HI","CALC_INTERVAL","1M"))</f>
        <v>46064</v>
      </c>
      <c r="BI170" s="14" cm="1">
        <f t="array" ref="BI170">VALUE(_xll.BDP($B170,"INTERVAL_DATE_OF_CALC_LO","CALC_INTERVAL","1M"))</f>
        <v>46035</v>
      </c>
      <c r="BJ170" s="15">
        <f>$F170-MIN(_xll.BDP("NYA Index","RSI_14D"),_xll.BDP("RSP US Equity","RSI_14D"))</f>
        <v>5.8783944175574305</v>
      </c>
    </row>
    <row r="171" spans="1:62" x14ac:dyDescent="0.25">
      <c r="A171" s="11">
        <v>170</v>
      </c>
      <c r="B171" s="26" t="s">
        <v>411</v>
      </c>
      <c r="C171" s="1" t="s">
        <v>839</v>
      </c>
      <c r="D171" s="1" t="s">
        <v>308</v>
      </c>
      <c r="E171" s="11" t="s">
        <v>787</v>
      </c>
      <c r="F171">
        <f>IFERROR(VALUE((_xll.BDP($B171,"interval_rsi","tech_studies_param1_override",14))),"")</f>
        <v>58.329830677673826</v>
      </c>
      <c r="G171">
        <f t="shared" si="0"/>
        <v>52.525531939815814</v>
      </c>
      <c r="H171">
        <f t="shared" si="119"/>
        <v>0</v>
      </c>
      <c r="I171" cm="1">
        <f t="array" ref="I171">IFERROR(VALUE(_xll.BDP($B171,"px_last")),"")</f>
        <v>76.53</v>
      </c>
      <c r="J171">
        <f t="shared" si="1"/>
        <v>6941.47</v>
      </c>
      <c r="K171" cm="1">
        <f t="array" ref="K171">IFERROR(VALUE(_xll.BDP($B171,"PX_YEST_CLOSE")),"")</f>
        <v>75.41</v>
      </c>
      <c r="L171">
        <f t="shared" si="2"/>
        <v>6941.81</v>
      </c>
      <c r="M171">
        <f t="shared" si="120"/>
        <v>1.1025042246094846E-2</v>
      </c>
      <c r="N171">
        <f t="shared" si="121"/>
        <v>1.0863161048775462E-2</v>
      </c>
      <c r="O171" cm="1">
        <f t="array" ref="O171">IFERROR(VALUE(_xll.BDP($B171,"INTERVAL_MAE_MOV_AVG","CALC_INTERVAL","520D","TECH_STUDIES_PARAM1_OVERRIDE",50,"USE_PREVIOUS_BUSINESS_DAY","N")),"")</f>
        <v>70.66955232318594</v>
      </c>
      <c r="P171">
        <f t="shared" si="3"/>
        <v>6894.0953999999992</v>
      </c>
      <c r="Q171" cm="1">
        <f t="array" ref="Q171">IFERROR(VALUE(_xll.BDP($B171,"INTERVAL_MAE_MOV_AVG","CALC_INTERVAL","520D","TECH_STUDIES_PARAM1_OVERRIDE",50,"USE_PREVIOUS_BUSINESS_DAY","Y")),"")</f>
        <v>70.404501588800002</v>
      </c>
      <c r="R171">
        <f t="shared" si="4"/>
        <v>6892.2477999999992</v>
      </c>
      <c r="S171">
        <f t="shared" si="122"/>
        <v>1.0250736060772519E-2</v>
      </c>
      <c r="T171">
        <f t="shared" si="123"/>
        <v>1.0215027612443072E-2</v>
      </c>
      <c r="U171" s="11" t="str">
        <f t="shared" si="124"/>
        <v>NEGATIVE</v>
      </c>
      <c r="V171" s="11" t="str">
        <f t="shared" si="125"/>
        <v/>
      </c>
      <c r="W171" s="11" t="str">
        <f t="shared" si="126"/>
        <v>UP</v>
      </c>
      <c r="X171" s="6" t="str">
        <f t="shared" si="127"/>
        <v>POSITIVE</v>
      </c>
      <c r="Y171" cm="1">
        <f t="array" ref="Y171">IFERROR(VALUE(_xll.BDP($B171,"INTERVAL_MAE_MOV_AVG","CALC_INTERVAL","520D","TECH_STUDIES_PARAM1_OVERRIDE",65,"USE_PREVIOUS_BUSINESS_DAY","N")),"")</f>
        <v>68.88491853014304</v>
      </c>
      <c r="Z171">
        <f t="shared" si="5"/>
        <v>6856.0226153846133</v>
      </c>
      <c r="AA171" cm="1">
        <f t="array" ref="AA171">IFERROR(VALUE(_xll.BDP($B171,"INTERVAL_MAE_MOV_AVG","CALC_INTERVAL","520D","TECH_STUDIES_PARAM1_OVERRIDE",65,"USE_PREVIOUS_BUSINESS_DAY","Y")),"")</f>
        <v>68.636690553538472</v>
      </c>
      <c r="AB171">
        <f t="shared" si="6"/>
        <v>6852.6203076923057</v>
      </c>
      <c r="AC171">
        <f t="shared" si="128"/>
        <v>1.0047358708468714E-2</v>
      </c>
      <c r="AD171">
        <f t="shared" si="129"/>
        <v>1.0016123391002911E-2</v>
      </c>
      <c r="AE171" s="10" t="str">
        <f t="shared" si="130"/>
        <v>UP</v>
      </c>
      <c r="AF171" s="10" t="str">
        <f t="shared" si="131"/>
        <v>UP</v>
      </c>
      <c r="AG171" s="6" t="str">
        <f t="shared" si="132"/>
        <v>POSITIVE</v>
      </c>
      <c r="AH171" cm="1">
        <f t="array" ref="AH171">IFERROR(VALUE(_xll.BDP($B171,"INTERVAL_MAE_MOV_AVG","CALC_INTERVAL","65W","PERIODICITY_OVERRIDE","W","TECH_STUDIES_PARAM1_OVERRIDE",39,"USE_PREVIOUS_BUSINESS_DAY","N")),"")</f>
        <v>60.019046129489453</v>
      </c>
      <c r="AI171">
        <f t="shared" si="7"/>
        <v>6560.7735897435905</v>
      </c>
      <c r="AJ171" cm="1">
        <f t="array" ref="AJ171">IFERROR(VALUE(_xll.BDP($B171,"INTERVAL_MAE_MOV_AVG","CALC_INTERVAL","65W","PERIODICITY_OVERRIDE","W","TECH_STUDIES_PARAM1_OVERRIDE",39,"USE_PREVIOUS_BUSINESS_DAY","Y")),"")</f>
        <v>59.990328212071582</v>
      </c>
      <c r="AK171">
        <f t="shared" si="8"/>
        <v>6560.7823076923087</v>
      </c>
      <c r="AL171">
        <f t="shared" si="133"/>
        <v>9.1481660369010127E-3</v>
      </c>
      <c r="AM171">
        <f t="shared" si="134"/>
        <v>9.1437766715312032E-3</v>
      </c>
      <c r="AN171" s="10" t="str">
        <f t="shared" si="135"/>
        <v>UP</v>
      </c>
      <c r="AO171" s="10" t="str">
        <f t="shared" si="136"/>
        <v>UP</v>
      </c>
      <c r="AP171" s="6" t="str">
        <f t="shared" si="137"/>
        <v>POSITIVE</v>
      </c>
      <c r="AQ171" cm="1">
        <f t="array" ref="AQ171">IFERROR(VALUE(_xll.BDP($B171,"INTERVAL_exp_MOV_AVG","CALC_INTERVAL","520D","TECH_STUDIES_PARAM1_OVERRIDE",100,"USE_PREVIOUS_BUSINESS_DAY","N")),"")</f>
        <v>66.774854472997973</v>
      </c>
      <c r="AR171">
        <f t="shared" si="9"/>
        <v>6773.0064518682802</v>
      </c>
      <c r="AS171" cm="1">
        <f t="array" ref="AS171">IFERROR(VALUE(_xll.BDP($B171,"INTERVAL_exp_MOV_AVG","CALC_INTERVAL","520D","TECH_STUDIES_PARAM1_OVERRIDE",100,"USE_PREVIOUS_BUSINESS_DAY","Y")),"")</f>
        <v>66.577799357309047</v>
      </c>
      <c r="AT171">
        <f t="shared" si="10"/>
        <v>6769.6039787132295</v>
      </c>
      <c r="AU171">
        <f t="shared" si="138"/>
        <v>9.8589680886216578E-3</v>
      </c>
      <c r="AV171">
        <f t="shared" si="139"/>
        <v>9.8348144982572817E-3</v>
      </c>
      <c r="AW171" s="11" t="str">
        <f t="shared" si="140"/>
        <v>UP</v>
      </c>
      <c r="AX171" s="11" t="str">
        <f t="shared" si="141"/>
        <v>UP</v>
      </c>
      <c r="AY171" s="6" t="str">
        <f t="shared" si="142"/>
        <v>POSITIVE</v>
      </c>
      <c r="AZ171" s="12" cm="1">
        <f t="array" ref="AZ171">_xll.BDP($B171, "INTERVAL_RSI", "TECH_STUDIES_PARAM1_OVERRIDE", "5", "PERIODICITY_OVERRIDE", "W")</f>
        <v>75.809575953639694</v>
      </c>
      <c r="BA171" cm="1">
        <f t="array" ref="BA171">IFERROR(VALUE(_xll.BDP($B171,"INTERVAL_MAE_MOV_AVG","CALC_INTERVAL","520D","TECH_STUDIES_PARAM1_OVERRIDE",31,"USE_PREVIOUS_BUSINESS_DAY","N")),"")</f>
        <v>73.583870928364419</v>
      </c>
      <c r="BB171" cm="1">
        <f t="array" ref="BB171">IFERROR(VALUE(_xll.BDP($B171,"INTERVAL_MAE_MOV_AVG","CALC_INTERVAL","760D","TECH_STUDIES_PARAM1_OVERRIDE",200,"USE_PREVIOUS_BUSINESS_DAY","N")),"")</f>
        <v>58.775192320637892</v>
      </c>
      <c r="BC171" s="13">
        <f t="shared" si="143"/>
        <v>4.0037701665677661E-2</v>
      </c>
      <c r="BD171" s="13">
        <f t="shared" si="144"/>
        <v>8.2927477027349372E-2</v>
      </c>
      <c r="BE171" s="13">
        <f t="shared" si="145"/>
        <v>0.302079958879655</v>
      </c>
      <c r="BF171" s="14" cm="1">
        <f t="array" ref="BF171">VALUE(_xll.BDP($B171,"INTERVAL_DATE_OF_CALC_HI","CALC_INTERVAL","3M"))</f>
        <v>46050</v>
      </c>
      <c r="BG171" s="14" cm="1">
        <f t="array" ref="BG171">VALUE(_xll.BDP($B171,"INTERVAL_DATE_OF_CALC_LO","CALC_INTERVAL","3M"))</f>
        <v>45982</v>
      </c>
      <c r="BH171" s="14" cm="1">
        <f t="array" ref="BH171">VALUE(_xll.BDP($B171,"INTERVAL_DATE_OF_CALC_HI","CALC_INTERVAL","1M"))</f>
        <v>46050</v>
      </c>
      <c r="BI171" s="14" cm="1">
        <f t="array" ref="BI171">VALUE(_xll.BDP($B171,"INTERVAL_DATE_OF_CALC_LO","CALC_INTERVAL","1M"))</f>
        <v>46058</v>
      </c>
      <c r="BJ171" s="15">
        <f>$F171-MIN(_xll.BDP("NYA Index","RSI_14D"),_xll.BDP("RSP US Equity","RSI_14D"))</f>
        <v>-8.0159334824824242</v>
      </c>
    </row>
    <row r="172" spans="1:62" x14ac:dyDescent="0.25">
      <c r="A172" s="11">
        <v>171</v>
      </c>
      <c r="B172" s="26" t="s">
        <v>412</v>
      </c>
      <c r="C172" s="1" t="s">
        <v>840</v>
      </c>
      <c r="D172" s="1" t="s">
        <v>308</v>
      </c>
      <c r="E172" s="11" t="s">
        <v>787</v>
      </c>
      <c r="F172">
        <f>IFERROR(VALUE((_xll.BDP($B172,"interval_rsi","tech_studies_param1_override",14))),"")</f>
        <v>64.299896011890013</v>
      </c>
      <c r="G172">
        <f t="shared" si="0"/>
        <v>52.525531939815814</v>
      </c>
      <c r="H172">
        <f t="shared" si="119"/>
        <v>1</v>
      </c>
      <c r="I172" cm="1">
        <f t="array" ref="I172">IFERROR(VALUE(_xll.BDP($B172,"px_last")),"")</f>
        <v>68.260000000000005</v>
      </c>
      <c r="J172">
        <f t="shared" si="1"/>
        <v>6941.47</v>
      </c>
      <c r="K172" cm="1">
        <f t="array" ref="K172">IFERROR(VALUE(_xll.BDP($B172,"PX_YEST_CLOSE")),"")</f>
        <v>68.2</v>
      </c>
      <c r="L172">
        <f t="shared" si="2"/>
        <v>6941.81</v>
      </c>
      <c r="M172">
        <f t="shared" si="120"/>
        <v>9.8336519498031395E-3</v>
      </c>
      <c r="N172">
        <f t="shared" si="121"/>
        <v>9.8245270325750776E-3</v>
      </c>
      <c r="O172" cm="1">
        <f t="array" ref="O172">IFERROR(VALUE(_xll.BDP($B172,"INTERVAL_MAE_MOV_AVG","CALC_INTERVAL","520D","TECH_STUDIES_PARAM1_OVERRIDE",50,"USE_PREVIOUS_BUSINESS_DAY","N")),"")</f>
        <v>65.147675117724603</v>
      </c>
      <c r="P172">
        <f t="shared" si="3"/>
        <v>6894.0953999999992</v>
      </c>
      <c r="Q172" cm="1">
        <f t="array" ref="Q172">IFERROR(VALUE(_xll.BDP($B172,"INTERVAL_MAE_MOV_AVG","CALC_INTERVAL","520D","TECH_STUDIES_PARAM1_OVERRIDE",50,"USE_PREVIOUS_BUSINESS_DAY","Y")),"")</f>
        <v>65.02379097939999</v>
      </c>
      <c r="R172">
        <f t="shared" si="4"/>
        <v>6892.2477999999992</v>
      </c>
      <c r="S172">
        <f t="shared" si="122"/>
        <v>9.4497785913616184E-3</v>
      </c>
      <c r="T172">
        <f t="shared" si="123"/>
        <v>9.4343373695008476E-3</v>
      </c>
      <c r="U172" s="11" t="str">
        <f t="shared" si="124"/>
        <v>POSITIVE</v>
      </c>
      <c r="V172" s="11" t="str">
        <f t="shared" si="125"/>
        <v/>
      </c>
      <c r="W172" s="11" t="str">
        <f t="shared" si="126"/>
        <v>UP</v>
      </c>
      <c r="X172" s="6" t="str">
        <f t="shared" si="127"/>
        <v>POSITIVE</v>
      </c>
      <c r="Y172" cm="1">
        <f t="array" ref="Y172">IFERROR(VALUE(_xll.BDP($B172,"INTERVAL_MAE_MOV_AVG","CALC_INTERVAL","520D","TECH_STUDIES_PARAM1_OVERRIDE",65,"USE_PREVIOUS_BUSINESS_DAY","N")),"")</f>
        <v>64.278751280557387</v>
      </c>
      <c r="Z172">
        <f t="shared" si="5"/>
        <v>6856.0226153846133</v>
      </c>
      <c r="AA172" cm="1">
        <f t="array" ref="AA172">IFERROR(VALUE(_xll.BDP($B172,"INTERVAL_MAE_MOV_AVG","CALC_INTERVAL","520D","TECH_STUDIES_PARAM1_OVERRIDE",65,"USE_PREVIOUS_BUSINESS_DAY","Y")),"")</f>
        <v>64.166540806923081</v>
      </c>
      <c r="AB172">
        <f t="shared" si="6"/>
        <v>6852.6203076923057</v>
      </c>
      <c r="AC172">
        <f t="shared" si="128"/>
        <v>9.3755162266120143E-3</v>
      </c>
      <c r="AD172">
        <f t="shared" si="129"/>
        <v>9.3637963181607917E-3</v>
      </c>
      <c r="AE172" s="10" t="str">
        <f t="shared" si="130"/>
        <v>UP</v>
      </c>
      <c r="AF172" s="10" t="str">
        <f t="shared" si="131"/>
        <v>UP</v>
      </c>
      <c r="AG172" s="6" t="str">
        <f t="shared" si="132"/>
        <v>POSITIVE</v>
      </c>
      <c r="AH172" cm="1">
        <f t="array" ref="AH172">IFERROR(VALUE(_xll.BDP($B172,"INTERVAL_MAE_MOV_AVG","CALC_INTERVAL","65W","PERIODICITY_OVERRIDE","W","TECH_STUDIES_PARAM1_OVERRIDE",39,"USE_PREVIOUS_BUSINESS_DAY","N")),"")</f>
        <v>61.333571523259032</v>
      </c>
      <c r="AI172">
        <f t="shared" si="7"/>
        <v>6560.7735897435905</v>
      </c>
      <c r="AJ172" cm="1">
        <f t="array" ref="AJ172">IFERROR(VALUE(_xll.BDP($B172,"INTERVAL_MAE_MOV_AVG","CALC_INTERVAL","65W","PERIODICITY_OVERRIDE","W","TECH_STUDIES_PARAM1_OVERRIDE",39,"USE_PREVIOUS_BUSINESS_DAY","Y")),"")</f>
        <v>61.332033006945423</v>
      </c>
      <c r="AK172">
        <f t="shared" si="8"/>
        <v>6560.7823076923087</v>
      </c>
      <c r="AL172">
        <f t="shared" si="133"/>
        <v>9.3485273777990686E-3</v>
      </c>
      <c r="AM172">
        <f t="shared" si="134"/>
        <v>9.3482804535421887E-3</v>
      </c>
      <c r="AN172" s="10" t="str">
        <f t="shared" si="135"/>
        <v>UP</v>
      </c>
      <c r="AO172" s="10" t="str">
        <f t="shared" si="136"/>
        <v>UP</v>
      </c>
      <c r="AP172" s="6" t="str">
        <f t="shared" si="137"/>
        <v>POSITIVE</v>
      </c>
      <c r="AQ172" cm="1">
        <f t="array" ref="AQ172">IFERROR(VALUE(_xll.BDP($B172,"INTERVAL_exp_MOV_AVG","CALC_INTERVAL","520D","TECH_STUDIES_PARAM1_OVERRIDE",100,"USE_PREVIOUS_BUSINESS_DAY","N")),"")</f>
        <v>63.586588805758218</v>
      </c>
      <c r="AR172">
        <f t="shared" si="9"/>
        <v>6773.0064518682802</v>
      </c>
      <c r="AS172" cm="1">
        <f t="array" ref="AS172">IFERROR(VALUE(_xll.BDP($B172,"INTERVAL_exp_MOV_AVG","CALC_INTERVAL","520D","TECH_STUDIES_PARAM1_OVERRIDE",100,"USE_PREVIOUS_BUSINESS_DAY","Y")),"")</f>
        <v>63.492185791579999</v>
      </c>
      <c r="AT172">
        <f t="shared" si="10"/>
        <v>6769.6039787132295</v>
      </c>
      <c r="AU172">
        <f t="shared" si="138"/>
        <v>9.3882368572406078E-3</v>
      </c>
      <c r="AV172">
        <f t="shared" si="139"/>
        <v>9.3790103514517012E-3</v>
      </c>
      <c r="AW172" s="11" t="str">
        <f t="shared" si="140"/>
        <v>UP</v>
      </c>
      <c r="AX172" s="11" t="str">
        <f t="shared" si="141"/>
        <v>UP</v>
      </c>
      <c r="AY172" s="6" t="str">
        <f t="shared" si="142"/>
        <v>POSITIVE</v>
      </c>
      <c r="AZ172" s="12" cm="1">
        <f t="array" ref="AZ172">_xll.BDP($B172, "INTERVAL_RSI", "TECH_STUDIES_PARAM1_OVERRIDE", "5", "PERIODICITY_OVERRIDE", "W")</f>
        <v>92.997122726374755</v>
      </c>
      <c r="BA172" cm="1">
        <f t="array" ref="BA172">IFERROR(VALUE(_xll.BDP($B172,"INTERVAL_MAE_MOV_AVG","CALC_INTERVAL","520D","TECH_STUDIES_PARAM1_OVERRIDE",31,"USE_PREVIOUS_BUSINESS_DAY","N")),"")</f>
        <v>66.284516197942921</v>
      </c>
      <c r="BB172" cm="1">
        <f t="array" ref="BB172">IFERROR(VALUE(_xll.BDP($B172,"INTERVAL_MAE_MOV_AVG","CALC_INTERVAL","760D","TECH_STUDIES_PARAM1_OVERRIDE",200,"USE_PREVIOUS_BUSINESS_DAY","N")),"")</f>
        <v>60.728107745411648</v>
      </c>
      <c r="BC172" s="13">
        <f t="shared" si="143"/>
        <v>2.9803096037659405E-2</v>
      </c>
      <c r="BD172" s="13">
        <f t="shared" si="144"/>
        <v>4.7773383726300356E-2</v>
      </c>
      <c r="BE172" s="13">
        <f t="shared" si="145"/>
        <v>0.12402646046809251</v>
      </c>
      <c r="BF172" s="14" cm="1">
        <f t="array" ref="BF172">VALUE(_xll.BDP($B172,"INTERVAL_DATE_OF_CALC_HI","CALC_INTERVAL","3M"))</f>
        <v>46062</v>
      </c>
      <c r="BG172" s="14" cm="1">
        <f t="array" ref="BG172">VALUE(_xll.BDP($B172,"INTERVAL_DATE_OF_CALC_LO","CALC_INTERVAL","3M"))</f>
        <v>45981</v>
      </c>
      <c r="BH172" s="14" cm="1">
        <f t="array" ref="BH172">VALUE(_xll.BDP($B172,"INTERVAL_DATE_OF_CALC_HI","CALC_INTERVAL","1M"))</f>
        <v>46062</v>
      </c>
      <c r="BI172" s="14" cm="1">
        <f t="array" ref="BI172">VALUE(_xll.BDP($B172,"INTERVAL_DATE_OF_CALC_LO","CALC_INTERVAL","1M"))</f>
        <v>46042</v>
      </c>
      <c r="BJ172" s="15">
        <f>$F172-MIN(_xll.BDP("NYA Index","RSI_14D"),_xll.BDP("RSP US Equity","RSI_14D"))</f>
        <v>-2.0458681482662371</v>
      </c>
    </row>
    <row r="173" spans="1:62" x14ac:dyDescent="0.25">
      <c r="A173" s="11">
        <v>172</v>
      </c>
      <c r="B173" s="26" t="s">
        <v>413</v>
      </c>
      <c r="C173" s="1" t="s">
        <v>841</v>
      </c>
      <c r="D173" s="1" t="s">
        <v>308</v>
      </c>
      <c r="E173" s="11" t="s">
        <v>787</v>
      </c>
      <c r="F173">
        <f>IFERROR(VALUE((_xll.BDP($B173,"interval_rsi","tech_studies_param1_override",14))),"")</f>
        <v>65.606486620238286</v>
      </c>
      <c r="G173">
        <f t="shared" si="0"/>
        <v>52.525531939815814</v>
      </c>
      <c r="H173">
        <f t="shared" si="119"/>
        <v>1</v>
      </c>
      <c r="I173" cm="1">
        <f t="array" ref="I173">IFERROR(VALUE(_xll.BDP($B173,"px_last")),"")</f>
        <v>23.25</v>
      </c>
      <c r="J173">
        <f t="shared" si="1"/>
        <v>6941.47</v>
      </c>
      <c r="K173" cm="1">
        <f t="array" ref="K173">IFERROR(VALUE(_xll.BDP($B173,"PX_YEST_CLOSE")),"")</f>
        <v>23.03</v>
      </c>
      <c r="L173">
        <f t="shared" si="2"/>
        <v>6941.81</v>
      </c>
      <c r="M173">
        <f t="shared" si="120"/>
        <v>3.3494346298406532E-3</v>
      </c>
      <c r="N173">
        <f t="shared" si="121"/>
        <v>3.3175785566012324E-3</v>
      </c>
      <c r="O173" cm="1">
        <f t="array" ref="O173">IFERROR(VALUE(_xll.BDP($B173,"INTERVAL_MAE_MOV_AVG","CALC_INTERVAL","520D","TECH_STUDIES_PARAM1_OVERRIDE",50,"USE_PREVIOUS_BUSINESS_DAY","N")),"")</f>
        <v>21.325715292982</v>
      </c>
      <c r="P173">
        <f t="shared" si="3"/>
        <v>6894.0953999999992</v>
      </c>
      <c r="Q173" cm="1">
        <f t="array" ref="Q173">IFERROR(VALUE(_xll.BDP($B173,"INTERVAL_MAE_MOV_AVG","CALC_INTERVAL","520D","TECH_STUDIES_PARAM1_OVERRIDE",50,"USE_PREVIOUS_BUSINESS_DAY","Y")),"")</f>
        <v>21.257051453181997</v>
      </c>
      <c r="R173">
        <f t="shared" si="4"/>
        <v>6892.2477999999992</v>
      </c>
      <c r="S173">
        <f t="shared" si="122"/>
        <v>3.0933304597122349E-3</v>
      </c>
      <c r="T173">
        <f t="shared" si="123"/>
        <v>3.0841972125816488E-3</v>
      </c>
      <c r="U173" s="11" t="str">
        <f t="shared" si="124"/>
        <v>POSITIVE</v>
      </c>
      <c r="V173" s="11" t="str">
        <f t="shared" si="125"/>
        <v/>
      </c>
      <c r="W173" s="11" t="str">
        <f t="shared" si="126"/>
        <v>UP</v>
      </c>
      <c r="X173" s="6" t="str">
        <f t="shared" si="127"/>
        <v>POSITIVE</v>
      </c>
      <c r="Y173" cm="1">
        <f t="array" ref="Y173">IFERROR(VALUE(_xll.BDP($B173,"INTERVAL_MAE_MOV_AVG","CALC_INTERVAL","520D","TECH_STUDIES_PARAM1_OVERRIDE",65,"USE_PREVIOUS_BUSINESS_DAY","N")),"")</f>
        <v>20.988675937586155</v>
      </c>
      <c r="Z173">
        <f t="shared" si="5"/>
        <v>6856.0226153846133</v>
      </c>
      <c r="AA173" cm="1">
        <f t="array" ref="AA173">IFERROR(VALUE(_xll.BDP($B173,"INTERVAL_MAE_MOV_AVG","CALC_INTERVAL","520D","TECH_STUDIES_PARAM1_OVERRIDE",65,"USE_PREVIOUS_BUSINESS_DAY","Y")),"")</f>
        <v>20.943570741926155</v>
      </c>
      <c r="AB173">
        <f t="shared" si="6"/>
        <v>6852.6203076923057</v>
      </c>
      <c r="AC173">
        <f t="shared" si="128"/>
        <v>3.0613487024515481E-3</v>
      </c>
      <c r="AD173">
        <f t="shared" si="129"/>
        <v>3.0562864716751148E-3</v>
      </c>
      <c r="AE173" s="10" t="str">
        <f t="shared" si="130"/>
        <v>UP</v>
      </c>
      <c r="AF173" s="10" t="str">
        <f t="shared" si="131"/>
        <v>UP</v>
      </c>
      <c r="AG173" s="6" t="str">
        <f t="shared" si="132"/>
        <v>POSITIVE</v>
      </c>
      <c r="AH173" cm="1">
        <f t="array" ref="AH173">IFERROR(VALUE(_xll.BDP($B173,"INTERVAL_MAE_MOV_AVG","CALC_INTERVAL","65W","PERIODICITY_OVERRIDE","W","TECH_STUDIES_PARAM1_OVERRIDE",39,"USE_PREVIOUS_BUSINESS_DAY","N")),"")</f>
        <v>19.56346766037036</v>
      </c>
      <c r="AI173">
        <f t="shared" si="7"/>
        <v>6560.7735897435905</v>
      </c>
      <c r="AJ173" cm="1">
        <f t="array" ref="AJ173">IFERROR(VALUE(_xll.BDP($B173,"INTERVAL_MAE_MOV_AVG","CALC_INTERVAL","65W","PERIODICITY_OVERRIDE","W","TECH_STUDIES_PARAM1_OVERRIDE",39,"USE_PREVIOUS_BUSINESS_DAY","Y")),"")</f>
        <v>19.557826634729334</v>
      </c>
      <c r="AK173">
        <f t="shared" si="8"/>
        <v>6560.7823076923087</v>
      </c>
      <c r="AL173">
        <f t="shared" si="133"/>
        <v>2.9818842843401558E-3</v>
      </c>
      <c r="AM173">
        <f t="shared" si="134"/>
        <v>2.981020512111552E-3</v>
      </c>
      <c r="AN173" s="10" t="str">
        <f t="shared" si="135"/>
        <v>UP</v>
      </c>
      <c r="AO173" s="10" t="str">
        <f t="shared" si="136"/>
        <v>UP</v>
      </c>
      <c r="AP173" s="6" t="str">
        <f t="shared" si="137"/>
        <v>POSITIVE</v>
      </c>
      <c r="AQ173" cm="1">
        <f t="array" ref="AQ173">IFERROR(VALUE(_xll.BDP($B173,"INTERVAL_exp_MOV_AVG","CALC_INTERVAL","520D","TECH_STUDIES_PARAM1_OVERRIDE",100,"USE_PREVIOUS_BUSINESS_DAY","N")),"")</f>
        <v>20.703720782369462</v>
      </c>
      <c r="AR173">
        <f t="shared" si="9"/>
        <v>6773.0064518682802</v>
      </c>
      <c r="AS173" cm="1">
        <f t="array" ref="AS173">IFERROR(VALUE(_xll.BDP($B173,"INTERVAL_exp_MOV_AVG","CALC_INTERVAL","520D","TECH_STUDIES_PARAM1_OVERRIDE",100,"USE_PREVIOUS_BUSINESS_DAY","Y")),"")</f>
        <v>20.65228984752607</v>
      </c>
      <c r="AT173">
        <f t="shared" si="10"/>
        <v>6769.6039787132295</v>
      </c>
      <c r="AU173">
        <f t="shared" si="138"/>
        <v>3.0567992116201964E-3</v>
      </c>
      <c r="AV173">
        <f t="shared" si="139"/>
        <v>3.050738257727695E-3</v>
      </c>
      <c r="AW173" s="11" t="str">
        <f t="shared" si="140"/>
        <v>UP</v>
      </c>
      <c r="AX173" s="11" t="str">
        <f t="shared" si="141"/>
        <v>UP</v>
      </c>
      <c r="AY173" s="6" t="str">
        <f t="shared" si="142"/>
        <v>POSITIVE</v>
      </c>
      <c r="AZ173" s="12" cm="1">
        <f t="array" ref="AZ173">_xll.BDP($B173, "INTERVAL_RSI", "TECH_STUDIES_PARAM1_OVERRIDE", "5", "PERIODICITY_OVERRIDE", "W")</f>
        <v>94.894150925778604</v>
      </c>
      <c r="BA173" cm="1">
        <f t="array" ref="BA173">IFERROR(VALUE(_xll.BDP($B173,"INTERVAL_MAE_MOV_AVG","CALC_INTERVAL","520D","TECH_STUDIES_PARAM1_OVERRIDE",31,"USE_PREVIOUS_BUSINESS_DAY","N")),"")</f>
        <v>22.017038709677418</v>
      </c>
      <c r="BB173" cm="1">
        <f t="array" ref="BB173">IFERROR(VALUE(_xll.BDP($B173,"INTERVAL_MAE_MOV_AVG","CALC_INTERVAL","760D","TECH_STUDIES_PARAM1_OVERRIDE",200,"USE_PREVIOUS_BUSINESS_DAY","N")),"")</f>
        <v>19.214611526461187</v>
      </c>
      <c r="BC173" s="13">
        <f t="shared" si="143"/>
        <v>5.6000323503116789E-2</v>
      </c>
      <c r="BD173" s="13">
        <f t="shared" si="144"/>
        <v>9.0233067476580997E-2</v>
      </c>
      <c r="BE173" s="13">
        <f t="shared" si="145"/>
        <v>0.21001665675007386</v>
      </c>
      <c r="BF173" s="14" cm="1">
        <f t="array" ref="BF173">VALUE(_xll.BDP($B173,"INTERVAL_DATE_OF_CALC_HI","CALC_INTERVAL","3M"))</f>
        <v>46064</v>
      </c>
      <c r="BG173" s="14" cm="1">
        <f t="array" ref="BG173">VALUE(_xll.BDP($B173,"INTERVAL_DATE_OF_CALC_LO","CALC_INTERVAL","3M"))</f>
        <v>45982</v>
      </c>
      <c r="BH173" s="14" cm="1">
        <f t="array" ref="BH173">VALUE(_xll.BDP($B173,"INTERVAL_DATE_OF_CALC_HI","CALC_INTERVAL","1M"))</f>
        <v>46064</v>
      </c>
      <c r="BI173" s="14" cm="1">
        <f t="array" ref="BI173">VALUE(_xll.BDP($B173,"INTERVAL_DATE_OF_CALC_LO","CALC_INTERVAL","1M"))</f>
        <v>46034</v>
      </c>
      <c r="BJ173" s="15">
        <f>$F173-MIN(_xll.BDP("NYA Index","RSI_14D"),_xll.BDP("RSP US Equity","RSI_14D"))</f>
        <v>-0.73927753991796408</v>
      </c>
    </row>
    <row r="174" spans="1:62" x14ac:dyDescent="0.25">
      <c r="A174" s="11">
        <v>173</v>
      </c>
      <c r="B174" s="26" t="s">
        <v>414</v>
      </c>
      <c r="C174" s="1" t="s">
        <v>842</v>
      </c>
      <c r="D174" s="1" t="s">
        <v>308</v>
      </c>
      <c r="E174" s="11" t="s">
        <v>787</v>
      </c>
      <c r="F174">
        <f>IFERROR(VALUE((_xll.BDP($B174,"interval_rsi","tech_studies_param1_override",14))),"")</f>
        <v>78.407928450896705</v>
      </c>
      <c r="G174">
        <f t="shared" si="0"/>
        <v>52.525531939815814</v>
      </c>
      <c r="H174">
        <f t="shared" si="119"/>
        <v>1</v>
      </c>
      <c r="I174" cm="1">
        <f t="array" ref="I174">IFERROR(VALUE(_xll.BDP($B174,"px_last")),"")</f>
        <v>30.41</v>
      </c>
      <c r="J174">
        <f t="shared" si="1"/>
        <v>6941.47</v>
      </c>
      <c r="K174" cm="1">
        <f t="array" ref="K174">IFERROR(VALUE(_xll.BDP($B174,"PX_YEST_CLOSE")),"")</f>
        <v>29.66</v>
      </c>
      <c r="L174">
        <f t="shared" si="2"/>
        <v>6941.81</v>
      </c>
      <c r="M174">
        <f t="shared" si="120"/>
        <v>4.3809164341270653E-3</v>
      </c>
      <c r="N174">
        <f t="shared" si="121"/>
        <v>4.2726608766301584E-3</v>
      </c>
      <c r="O174" cm="1">
        <f t="array" ref="O174">IFERROR(VALUE(_xll.BDP($B174,"INTERVAL_MAE_MOV_AVG","CALC_INTERVAL","520D","TECH_STUDIES_PARAM1_OVERRIDE",50,"USE_PREVIOUS_BUSINESS_DAY","N")),"")</f>
        <v>26.220177224948237</v>
      </c>
      <c r="P174">
        <f t="shared" si="3"/>
        <v>6894.0953999999992</v>
      </c>
      <c r="Q174" cm="1">
        <f t="array" ref="Q174">IFERROR(VALUE(_xll.BDP($B174,"INTERVAL_MAE_MOV_AVG","CALC_INTERVAL","520D","TECH_STUDIES_PARAM1_OVERRIDE",50,"USE_PREVIOUS_BUSINESS_DAY","Y")),"")</f>
        <v>26.109972580399994</v>
      </c>
      <c r="R174">
        <f t="shared" si="4"/>
        <v>6892.2477999999992</v>
      </c>
      <c r="S174">
        <f t="shared" si="122"/>
        <v>3.8032803005523018E-3</v>
      </c>
      <c r="T174">
        <f t="shared" si="123"/>
        <v>3.788310191110656E-3</v>
      </c>
      <c r="U174" s="11" t="str">
        <f t="shared" si="124"/>
        <v>POSITIVE</v>
      </c>
      <c r="V174" s="11" t="str">
        <f t="shared" si="125"/>
        <v/>
      </c>
      <c r="W174" s="11" t="str">
        <f t="shared" si="126"/>
        <v>UP</v>
      </c>
      <c r="X174" s="6" t="str">
        <f t="shared" si="127"/>
        <v>POSITIVE</v>
      </c>
      <c r="Y174" cm="1">
        <f t="array" ref="Y174">IFERROR(VALUE(_xll.BDP($B174,"INTERVAL_MAE_MOV_AVG","CALC_INTERVAL","520D","TECH_STUDIES_PARAM1_OVERRIDE",65,"USE_PREVIOUS_BUSINESS_DAY","N")),"")</f>
        <v>25.880809025960183</v>
      </c>
      <c r="Z174">
        <f t="shared" si="5"/>
        <v>6856.0226153846133</v>
      </c>
      <c r="AA174" cm="1">
        <f t="array" ref="AA174">IFERROR(VALUE(_xll.BDP($B174,"INTERVAL_MAE_MOV_AVG","CALC_INTERVAL","520D","TECH_STUDIES_PARAM1_OVERRIDE",65,"USE_PREVIOUS_BUSINESS_DAY","Y")),"")</f>
        <v>25.78595936276923</v>
      </c>
      <c r="AB174">
        <f t="shared" si="6"/>
        <v>6852.6203076923057</v>
      </c>
      <c r="AC174">
        <f t="shared" si="128"/>
        <v>3.7749013499291536E-3</v>
      </c>
      <c r="AD174">
        <f t="shared" si="129"/>
        <v>3.7629342069082083E-3</v>
      </c>
      <c r="AE174" s="10" t="str">
        <f t="shared" si="130"/>
        <v>UP</v>
      </c>
      <c r="AF174" s="10" t="str">
        <f t="shared" si="131"/>
        <v>UP</v>
      </c>
      <c r="AG174" s="6" t="str">
        <f t="shared" si="132"/>
        <v>POSITIVE</v>
      </c>
      <c r="AH174" cm="1">
        <f t="array" ref="AH174">IFERROR(VALUE(_xll.BDP($B174,"INTERVAL_MAE_MOV_AVG","CALC_INTERVAL","65W","PERIODICITY_OVERRIDE","W","TECH_STUDIES_PARAM1_OVERRIDE",39,"USE_PREVIOUS_BUSINESS_DAY","N")),"")</f>
        <v>24.603412040207527</v>
      </c>
      <c r="AI174">
        <f t="shared" si="7"/>
        <v>6560.7735897435905</v>
      </c>
      <c r="AJ174" cm="1">
        <f t="array" ref="AJ174">IFERROR(VALUE(_xll.BDP($B174,"INTERVAL_MAE_MOV_AVG","CALC_INTERVAL","65W","PERIODICITY_OVERRIDE","W","TECH_STUDIES_PARAM1_OVERRIDE",39,"USE_PREVIOUS_BUSINESS_DAY","Y")),"")</f>
        <v>24.584181274889268</v>
      </c>
      <c r="AK174">
        <f t="shared" si="8"/>
        <v>6560.7823076923087</v>
      </c>
      <c r="AL174">
        <f t="shared" si="133"/>
        <v>3.7500778991474207E-3</v>
      </c>
      <c r="AM174">
        <f t="shared" si="134"/>
        <v>3.7471417465056106E-3</v>
      </c>
      <c r="AN174" s="10" t="str">
        <f t="shared" si="135"/>
        <v>UP</v>
      </c>
      <c r="AO174" s="10" t="str">
        <f t="shared" si="136"/>
        <v>UP</v>
      </c>
      <c r="AP174" s="6" t="str">
        <f t="shared" si="137"/>
        <v>POSITIVE</v>
      </c>
      <c r="AQ174" cm="1">
        <f t="array" ref="AQ174">IFERROR(VALUE(_xll.BDP($B174,"INTERVAL_exp_MOV_AVG","CALC_INTERVAL","520D","TECH_STUDIES_PARAM1_OVERRIDE",100,"USE_PREVIOUS_BUSINESS_DAY","N")),"")</f>
        <v>25.722857910103748</v>
      </c>
      <c r="AR174">
        <f t="shared" si="9"/>
        <v>6773.0064518682802</v>
      </c>
      <c r="AS174" cm="1">
        <f t="array" ref="AS174">IFERROR(VALUE(_xll.BDP($B174,"INTERVAL_exp_MOV_AVG","CALC_INTERVAL","520D","TECH_STUDIES_PARAM1_OVERRIDE",100,"USE_PREVIOUS_BUSINESS_DAY","Y")),"")</f>
        <v>25.62817342542343</v>
      </c>
      <c r="AT174">
        <f t="shared" si="10"/>
        <v>6769.6039787132295</v>
      </c>
      <c r="AU174">
        <f t="shared" si="138"/>
        <v>3.7978493144662962E-3</v>
      </c>
      <c r="AV174">
        <f t="shared" si="139"/>
        <v>3.7857714433533005E-3</v>
      </c>
      <c r="AW174" s="11" t="str">
        <f t="shared" si="140"/>
        <v>UP</v>
      </c>
      <c r="AX174" s="11" t="str">
        <f t="shared" si="141"/>
        <v>UP</v>
      </c>
      <c r="AY174" s="6" t="str">
        <f t="shared" si="142"/>
        <v>POSITIVE</v>
      </c>
      <c r="AZ174" s="12" cm="1">
        <f t="array" ref="AZ174">_xll.BDP($B174, "INTERVAL_RSI", "TECH_STUDIES_PARAM1_OVERRIDE", "5", "PERIODICITY_OVERRIDE", "W")</f>
        <v>93.773346399224351</v>
      </c>
      <c r="BA174" cm="1">
        <f t="array" ref="BA174">IFERROR(VALUE(_xll.BDP($B174,"INTERVAL_MAE_MOV_AVG","CALC_INTERVAL","520D","TECH_STUDIES_PARAM1_OVERRIDE",31,"USE_PREVIOUS_BUSINESS_DAY","N")),"")</f>
        <v>27.059999995077803</v>
      </c>
      <c r="BB174" cm="1">
        <f t="array" ref="BB174">IFERROR(VALUE(_xll.BDP($B174,"INTERVAL_MAE_MOV_AVG","CALC_INTERVAL","760D","TECH_STUDIES_PARAM1_OVERRIDE",200,"USE_PREVIOUS_BUSINESS_DAY","N")),"")</f>
        <v>24.275760378307684</v>
      </c>
      <c r="BC174" s="13">
        <f t="shared" si="143"/>
        <v>0.12379896546679814</v>
      </c>
      <c r="BD174" s="13">
        <f t="shared" si="144"/>
        <v>0.15979383888622944</v>
      </c>
      <c r="BE174" s="13">
        <f t="shared" si="145"/>
        <v>0.25268990656102153</v>
      </c>
      <c r="BF174" s="14" cm="1">
        <f t="array" ref="BF174">VALUE(_xll.BDP($B174,"INTERVAL_DATE_OF_CALC_HI","CALC_INTERVAL","3M"))</f>
        <v>46064</v>
      </c>
      <c r="BG174" s="14" cm="1">
        <f t="array" ref="BG174">VALUE(_xll.BDP($B174,"INTERVAL_DATE_OF_CALC_LO","CALC_INTERVAL","3M"))</f>
        <v>46007</v>
      </c>
      <c r="BH174" s="14" cm="1">
        <f t="array" ref="BH174">VALUE(_xll.BDP($B174,"INTERVAL_DATE_OF_CALC_HI","CALC_INTERVAL","1M"))</f>
        <v>46064</v>
      </c>
      <c r="BI174" s="14" cm="1">
        <f t="array" ref="BI174">VALUE(_xll.BDP($B174,"INTERVAL_DATE_OF_CALC_LO","CALC_INTERVAL","1M"))</f>
        <v>46034</v>
      </c>
      <c r="BJ174" s="15">
        <f>$F174-MIN(_xll.BDP("NYA Index","RSI_14D"),_xll.BDP("RSP US Equity","RSI_14D"))</f>
        <v>12.062164290740455</v>
      </c>
    </row>
    <row r="175" spans="1:62" x14ac:dyDescent="0.25">
      <c r="A175" s="11">
        <v>174</v>
      </c>
      <c r="B175" s="26" t="s">
        <v>415</v>
      </c>
      <c r="C175" s="1" t="s">
        <v>416</v>
      </c>
      <c r="D175" s="1" t="s">
        <v>308</v>
      </c>
      <c r="E175" s="11" t="s">
        <v>787</v>
      </c>
      <c r="F175">
        <f>IFERROR(VALUE((_xll.BDP($B175,"interval_rsi","tech_studies_param1_override",14))),"")</f>
        <v>62.200487454928556</v>
      </c>
      <c r="G175">
        <f t="shared" si="0"/>
        <v>52.525531939815814</v>
      </c>
      <c r="H175">
        <f t="shared" si="119"/>
        <v>0</v>
      </c>
      <c r="I175" cm="1">
        <f t="array" ref="I175">IFERROR(VALUE(_xll.BDP($B175,"px_last")),"")</f>
        <v>68.400000000000006</v>
      </c>
      <c r="J175">
        <f t="shared" si="1"/>
        <v>6941.47</v>
      </c>
      <c r="K175" cm="1">
        <f t="array" ref="K175">IFERROR(VALUE(_xll.BDP($B175,"PX_YEST_CLOSE")),"")</f>
        <v>68.180000000000007</v>
      </c>
      <c r="L175">
        <f t="shared" si="2"/>
        <v>6941.81</v>
      </c>
      <c r="M175">
        <f t="shared" si="120"/>
        <v>9.8538205884344393E-3</v>
      </c>
      <c r="N175">
        <f t="shared" si="121"/>
        <v>9.8216459396036487E-3</v>
      </c>
      <c r="O175" cm="1">
        <f t="array" ref="O175">IFERROR(VALUE(_xll.BDP($B175,"INTERVAL_MAE_MOV_AVG","CALC_INTERVAL","520D","TECH_STUDIES_PARAM1_OVERRIDE",50,"USE_PREVIOUS_BUSINESS_DAY","N")),"")</f>
        <v>65.497730645717581</v>
      </c>
      <c r="P175">
        <f t="shared" si="3"/>
        <v>6894.0953999999992</v>
      </c>
      <c r="Q175" cm="1">
        <f t="array" ref="Q175">IFERROR(VALUE(_xll.BDP($B175,"INTERVAL_MAE_MOV_AVG","CALC_INTERVAL","520D","TECH_STUDIES_PARAM1_OVERRIDE",50,"USE_PREVIOUS_BUSINESS_DAY","Y")),"")</f>
        <v>65.381297110399998</v>
      </c>
      <c r="R175">
        <f t="shared" si="4"/>
        <v>6892.2477999999992</v>
      </c>
      <c r="S175">
        <f t="shared" si="122"/>
        <v>9.500554727704752E-3</v>
      </c>
      <c r="T175">
        <f t="shared" si="123"/>
        <v>9.4862081294291248E-3</v>
      </c>
      <c r="U175" s="11" t="str">
        <f t="shared" si="124"/>
        <v>NEGATIVE</v>
      </c>
      <c r="V175" s="11" t="str">
        <f t="shared" si="125"/>
        <v/>
      </c>
      <c r="W175" s="11" t="str">
        <f t="shared" si="126"/>
        <v>UP</v>
      </c>
      <c r="X175" s="6" t="str">
        <f t="shared" si="127"/>
        <v>POSITIVE</v>
      </c>
      <c r="Y175" cm="1">
        <f t="array" ref="Y175">IFERROR(VALUE(_xll.BDP($B175,"INTERVAL_MAE_MOV_AVG","CALC_INTERVAL","520D","TECH_STUDIES_PARAM1_OVERRIDE",65,"USE_PREVIOUS_BUSINESS_DAY","N")),"")</f>
        <v>64.655526227782744</v>
      </c>
      <c r="Z175">
        <f t="shared" si="5"/>
        <v>6856.0226153846133</v>
      </c>
      <c r="AA175" cm="1">
        <f t="array" ref="AA175">IFERROR(VALUE(_xll.BDP($B175,"INTERVAL_MAE_MOV_AVG","CALC_INTERVAL","520D","TECH_STUDIES_PARAM1_OVERRIDE",65,"USE_PREVIOUS_BUSINESS_DAY","Y")),"")</f>
        <v>64.548562991692293</v>
      </c>
      <c r="AB175">
        <f t="shared" si="6"/>
        <v>6852.6203076923057</v>
      </c>
      <c r="AC175">
        <f t="shared" si="128"/>
        <v>9.4304715510562329E-3</v>
      </c>
      <c r="AD175">
        <f t="shared" si="129"/>
        <v>9.4195446549452441E-3</v>
      </c>
      <c r="AE175" s="10" t="str">
        <f t="shared" si="130"/>
        <v>UP</v>
      </c>
      <c r="AF175" s="10" t="str">
        <f t="shared" si="131"/>
        <v>UP</v>
      </c>
      <c r="AG175" s="6" t="str">
        <f t="shared" si="132"/>
        <v>POSITIVE</v>
      </c>
      <c r="AH175" cm="1">
        <f t="array" ref="AH175">IFERROR(VALUE(_xll.BDP($B175,"INTERVAL_MAE_MOV_AVG","CALC_INTERVAL","65W","PERIODICITY_OVERRIDE","W","TECH_STUDIES_PARAM1_OVERRIDE",39,"USE_PREVIOUS_BUSINESS_DAY","N")),"")</f>
        <v>61.612462624880941</v>
      </c>
      <c r="AI175">
        <f t="shared" si="7"/>
        <v>6560.7735897435905</v>
      </c>
      <c r="AJ175" cm="1">
        <f t="array" ref="AJ175">IFERROR(VALUE(_xll.BDP($B175,"INTERVAL_MAE_MOV_AVG","CALC_INTERVAL","65W","PERIODICITY_OVERRIDE","W","TECH_STUDIES_PARAM1_OVERRIDE",39,"USE_PREVIOUS_BUSINESS_DAY","Y")),"")</f>
        <v>61.60682156011481</v>
      </c>
      <c r="AK175">
        <f t="shared" si="8"/>
        <v>6560.7823076923087</v>
      </c>
      <c r="AL175">
        <f t="shared" si="133"/>
        <v>9.3910362523710999E-3</v>
      </c>
      <c r="AM175">
        <f t="shared" si="134"/>
        <v>9.390163957716257E-3</v>
      </c>
      <c r="AN175" s="10" t="str">
        <f t="shared" si="135"/>
        <v>UP</v>
      </c>
      <c r="AO175" s="10" t="str">
        <f t="shared" si="136"/>
        <v>UP</v>
      </c>
      <c r="AP175" s="6" t="str">
        <f t="shared" si="137"/>
        <v>POSITIVE</v>
      </c>
      <c r="AQ175" cm="1">
        <f t="array" ref="AQ175">IFERROR(VALUE(_xll.BDP($B175,"INTERVAL_exp_MOV_AVG","CALC_INTERVAL","520D","TECH_STUDIES_PARAM1_OVERRIDE",100,"USE_PREVIOUS_BUSINESS_DAY","N")),"")</f>
        <v>63.920014523497031</v>
      </c>
      <c r="AR175">
        <f t="shared" si="9"/>
        <v>6773.0064518682802</v>
      </c>
      <c r="AS175" cm="1">
        <f t="array" ref="AS175">IFERROR(VALUE(_xll.BDP($B175,"INTERVAL_exp_MOV_AVG","CALC_INTERVAL","520D","TECH_STUDIES_PARAM1_OVERRIDE",100,"USE_PREVIOUS_BUSINESS_DAY","Y")),"")</f>
        <v>63.829518228259573</v>
      </c>
      <c r="AT175">
        <f t="shared" si="10"/>
        <v>6769.6039787132295</v>
      </c>
      <c r="AU175">
        <f t="shared" si="138"/>
        <v>9.4374654708715353E-3</v>
      </c>
      <c r="AV175">
        <f t="shared" si="139"/>
        <v>9.4288408050115114E-3</v>
      </c>
      <c r="AW175" s="11" t="str">
        <f t="shared" si="140"/>
        <v>UP</v>
      </c>
      <c r="AX175" s="11" t="str">
        <f t="shared" si="141"/>
        <v>UP</v>
      </c>
      <c r="AY175" s="6" t="str">
        <f t="shared" si="142"/>
        <v>POSITIVE</v>
      </c>
      <c r="AZ175" s="12" cm="1">
        <f t="array" ref="AZ175">_xll.BDP($B175, "INTERVAL_RSI", "TECH_STUDIES_PARAM1_OVERRIDE", "5", "PERIODICITY_OVERRIDE", "W")</f>
        <v>92.239293273610713</v>
      </c>
      <c r="BA175" cm="1">
        <f t="array" ref="BA175">IFERROR(VALUE(_xll.BDP($B175,"INTERVAL_MAE_MOV_AVG","CALC_INTERVAL","520D","TECH_STUDIES_PARAM1_OVERRIDE",31,"USE_PREVIOUS_BUSINESS_DAY","N")),"")</f>
        <v>66.567096823415454</v>
      </c>
      <c r="BB175" cm="1">
        <f t="array" ref="BB175">IFERROR(VALUE(_xll.BDP($B175,"INTERVAL_MAE_MOV_AVG","CALC_INTERVAL","760D","TECH_STUDIES_PARAM1_OVERRIDE",200,"USE_PREVIOUS_BUSINESS_DAY","N")),"")</f>
        <v>61.062451895475519</v>
      </c>
      <c r="BC175" s="13">
        <f t="shared" si="143"/>
        <v>2.7534671993383553E-2</v>
      </c>
      <c r="BD175" s="13">
        <f t="shared" si="144"/>
        <v>4.4310991017093793E-2</v>
      </c>
      <c r="BE175" s="13">
        <f t="shared" si="145"/>
        <v>0.12016464908884816</v>
      </c>
      <c r="BF175" s="14" cm="1">
        <f t="array" ref="BF175">VALUE(_xll.BDP($B175,"INTERVAL_DATE_OF_CALC_HI","CALC_INTERVAL","3M"))</f>
        <v>46062</v>
      </c>
      <c r="BG175" s="14" cm="1">
        <f t="array" ref="BG175">VALUE(_xll.BDP($B175,"INTERVAL_DATE_OF_CALC_LO","CALC_INTERVAL","3M"))</f>
        <v>45981</v>
      </c>
      <c r="BH175" s="14" cm="1">
        <f t="array" ref="BH175">VALUE(_xll.BDP($B175,"INTERVAL_DATE_OF_CALC_HI","CALC_INTERVAL","1M"))</f>
        <v>46062</v>
      </c>
      <c r="BI175" s="14" cm="1">
        <f t="array" ref="BI175">VALUE(_xll.BDP($B175,"INTERVAL_DATE_OF_CALC_LO","CALC_INTERVAL","1M"))</f>
        <v>46042</v>
      </c>
      <c r="BJ175" s="15">
        <f>$F175-MIN(_xll.BDP("NYA Index","RSI_14D"),_xll.BDP("RSP US Equity","RSI_14D"))</f>
        <v>-4.145276705227694</v>
      </c>
    </row>
    <row r="176" spans="1:62" x14ac:dyDescent="0.25">
      <c r="A176" s="11">
        <v>175</v>
      </c>
      <c r="B176" s="26" t="s">
        <v>417</v>
      </c>
      <c r="C176" s="1" t="s">
        <v>418</v>
      </c>
      <c r="D176" s="1" t="s">
        <v>308</v>
      </c>
      <c r="E176" s="11" t="s">
        <v>787</v>
      </c>
      <c r="F176">
        <f>IFERROR(VALUE((_xll.BDP($B176,"interval_rsi","tech_studies_param1_override",14))),"")</f>
        <v>58.46434757216673</v>
      </c>
      <c r="G176">
        <f t="shared" si="0"/>
        <v>52.525531939815814</v>
      </c>
      <c r="H176">
        <f t="shared" si="119"/>
        <v>0</v>
      </c>
      <c r="I176" cm="1">
        <f t="array" ref="I176">IFERROR(VALUE(_xll.BDP($B176,"px_last")),"")</f>
        <v>38.79</v>
      </c>
      <c r="J176">
        <f t="shared" si="1"/>
        <v>6941.47</v>
      </c>
      <c r="K176" cm="1">
        <f t="array" ref="K176">IFERROR(VALUE(_xll.BDP($B176,"PX_YEST_CLOSE")),"")</f>
        <v>37.9</v>
      </c>
      <c r="L176">
        <f t="shared" si="2"/>
        <v>6941.81</v>
      </c>
      <c r="M176">
        <f t="shared" si="120"/>
        <v>5.5881535179147929E-3</v>
      </c>
      <c r="N176">
        <f t="shared" si="121"/>
        <v>5.4596711808591698E-3</v>
      </c>
      <c r="O176" cm="1">
        <f t="array" ref="O176">IFERROR(VALUE(_xll.BDP($B176,"INTERVAL_MAE_MOV_AVG","CALC_INTERVAL","520D","TECH_STUDIES_PARAM1_OVERRIDE",50,"USE_PREVIOUS_BUSINESS_DAY","N")),"")</f>
        <v>36.089669846510539</v>
      </c>
      <c r="P176">
        <f t="shared" si="3"/>
        <v>6894.0953999999992</v>
      </c>
      <c r="Q176" cm="1">
        <f t="array" ref="Q176">IFERROR(VALUE(_xll.BDP($B176,"INTERVAL_MAE_MOV_AVG","CALC_INTERVAL","520D","TECH_STUDIES_PARAM1_OVERRIDE",50,"USE_PREVIOUS_BUSINESS_DAY","Y")),"")</f>
        <v>36.01925662699999</v>
      </c>
      <c r="R176">
        <f t="shared" si="4"/>
        <v>6892.2477999999992</v>
      </c>
      <c r="S176">
        <f t="shared" si="122"/>
        <v>5.2348666144815086E-3</v>
      </c>
      <c r="T176">
        <f t="shared" si="123"/>
        <v>5.2260536289771816E-3</v>
      </c>
      <c r="U176" s="11" t="str">
        <f t="shared" si="124"/>
        <v>NEGATIVE</v>
      </c>
      <c r="V176" s="11" t="str">
        <f t="shared" si="125"/>
        <v/>
      </c>
      <c r="W176" s="11" t="str">
        <f t="shared" si="126"/>
        <v>UP</v>
      </c>
      <c r="X176" s="6" t="str">
        <f t="shared" si="127"/>
        <v>POSITIVE</v>
      </c>
      <c r="Y176" cm="1">
        <f t="array" ref="Y176">IFERROR(VALUE(_xll.BDP($B176,"INTERVAL_MAE_MOV_AVG","CALC_INTERVAL","520D","TECH_STUDIES_PARAM1_OVERRIDE",65,"USE_PREVIOUS_BUSINESS_DAY","N")),"")</f>
        <v>35.742318164854275</v>
      </c>
      <c r="Z176">
        <f t="shared" si="5"/>
        <v>6856.0226153846133</v>
      </c>
      <c r="AA176" cm="1">
        <f t="array" ref="AA176">IFERROR(VALUE(_xll.BDP($B176,"INTERVAL_MAE_MOV_AVG","CALC_INTERVAL","520D","TECH_STUDIES_PARAM1_OVERRIDE",65,"USE_PREVIOUS_BUSINESS_DAY","Y")),"")</f>
        <v>35.705461647384624</v>
      </c>
      <c r="AB176">
        <f t="shared" si="6"/>
        <v>6852.6203076923057</v>
      </c>
      <c r="AC176">
        <f t="shared" si="128"/>
        <v>5.2132730841129502E-3</v>
      </c>
      <c r="AD176">
        <f t="shared" si="129"/>
        <v>5.2104830041880467E-3</v>
      </c>
      <c r="AE176" s="10" t="str">
        <f t="shared" si="130"/>
        <v>UP</v>
      </c>
      <c r="AF176" s="10" t="str">
        <f t="shared" si="131"/>
        <v>UP</v>
      </c>
      <c r="AG176" s="6" t="str">
        <f t="shared" si="132"/>
        <v>POSITIVE</v>
      </c>
      <c r="AH176" cm="1">
        <f t="array" ref="AH176">IFERROR(VALUE(_xll.BDP($B176,"INTERVAL_MAE_MOV_AVG","CALC_INTERVAL","65W","PERIODICITY_OVERRIDE","W","TECH_STUDIES_PARAM1_OVERRIDE",39,"USE_PREVIOUS_BUSINESS_DAY","N")),"")</f>
        <v>34.698530110141725</v>
      </c>
      <c r="AI176">
        <f t="shared" si="7"/>
        <v>6560.7735897435905</v>
      </c>
      <c r="AJ176" cm="1">
        <f t="array" ref="AJ176">IFERROR(VALUE(_xll.BDP($B176,"INTERVAL_MAE_MOV_AVG","CALC_INTERVAL","65W","PERIODICITY_OVERRIDE","W","TECH_STUDIES_PARAM1_OVERRIDE",39,"USE_PREVIOUS_BUSINESS_DAY","Y")),"")</f>
        <v>34.675709573846149</v>
      </c>
      <c r="AK176">
        <f t="shared" si="8"/>
        <v>6560.7823076923087</v>
      </c>
      <c r="AL176">
        <f t="shared" si="133"/>
        <v>5.2887863962240191E-3</v>
      </c>
      <c r="AM176">
        <f t="shared" si="134"/>
        <v>5.2853010430158583E-3</v>
      </c>
      <c r="AN176" s="10" t="str">
        <f t="shared" si="135"/>
        <v>UP</v>
      </c>
      <c r="AO176" s="10" t="str">
        <f t="shared" si="136"/>
        <v>UP</v>
      </c>
      <c r="AP176" s="6" t="str">
        <f t="shared" si="137"/>
        <v>POSITIVE</v>
      </c>
      <c r="AQ176" cm="1">
        <f t="array" ref="AQ176">IFERROR(VALUE(_xll.BDP($B176,"INTERVAL_exp_MOV_AVG","CALC_INTERVAL","520D","TECH_STUDIES_PARAM1_OVERRIDE",100,"USE_PREVIOUS_BUSINESS_DAY","N")),"")</f>
        <v>35.962762698894956</v>
      </c>
      <c r="AR176">
        <f t="shared" si="9"/>
        <v>6773.0064518682802</v>
      </c>
      <c r="AS176" cm="1">
        <f t="array" ref="AS176">IFERROR(VALUE(_xll.BDP($B176,"INTERVAL_exp_MOV_AVG","CALC_INTERVAL","520D","TECH_STUDIES_PARAM1_OVERRIDE",100,"USE_PREVIOUS_BUSINESS_DAY","Y")),"")</f>
        <v>35.905651316841976</v>
      </c>
      <c r="AT176">
        <f t="shared" si="10"/>
        <v>6769.6039787132295</v>
      </c>
      <c r="AU176">
        <f t="shared" si="138"/>
        <v>5.3097192442471261E-3</v>
      </c>
      <c r="AV176">
        <f t="shared" si="139"/>
        <v>5.3039515206127234E-3</v>
      </c>
      <c r="AW176" s="11" t="str">
        <f t="shared" si="140"/>
        <v>UP</v>
      </c>
      <c r="AX176" s="11" t="str">
        <f t="shared" si="141"/>
        <v>UP</v>
      </c>
      <c r="AY176" s="6" t="str">
        <f t="shared" si="142"/>
        <v>POSITIVE</v>
      </c>
      <c r="AZ176" s="12" cm="1">
        <f t="array" ref="AZ176">_xll.BDP($B176, "INTERVAL_RSI", "TECH_STUDIES_PARAM1_OVERRIDE", "5", "PERIODICITY_OVERRIDE", "W")</f>
        <v>67.13836543651793</v>
      </c>
      <c r="BA176" cm="1">
        <f t="array" ref="BA176">IFERROR(VALUE(_xll.BDP($B176,"INTERVAL_MAE_MOV_AVG","CALC_INTERVAL","520D","TECH_STUDIES_PARAM1_OVERRIDE",31,"USE_PREVIOUS_BUSINESS_DAY","N")),"")</f>
        <v>36.920016917920236</v>
      </c>
      <c r="BB176" cm="1">
        <f t="array" ref="BB176">IFERROR(VALUE(_xll.BDP($B176,"INTERVAL_MAE_MOV_AVG","CALC_INTERVAL","760D","TECH_STUDIES_PARAM1_OVERRIDE",200,"USE_PREVIOUS_BUSINESS_DAY","N")),"")</f>
        <v>34.201800224872649</v>
      </c>
      <c r="BC176" s="13">
        <f t="shared" si="143"/>
        <v>5.0649572730073977E-2</v>
      </c>
      <c r="BD176" s="13">
        <f t="shared" si="144"/>
        <v>7.482280012463316E-2</v>
      </c>
      <c r="BE176" s="13">
        <f t="shared" si="145"/>
        <v>0.13415082670972001</v>
      </c>
      <c r="BF176" s="14" cm="1">
        <f t="array" ref="BF176">VALUE(_xll.BDP($B176,"INTERVAL_DATE_OF_CALC_HI","CALC_INTERVAL","3M"))</f>
        <v>46050</v>
      </c>
      <c r="BG176" s="14" cm="1">
        <f t="array" ref="BG176">VALUE(_xll.BDP($B176,"INTERVAL_DATE_OF_CALC_LO","CALC_INTERVAL","3M"))</f>
        <v>45981</v>
      </c>
      <c r="BH176" s="14" cm="1">
        <f t="array" ref="BH176">VALUE(_xll.BDP($B176,"INTERVAL_DATE_OF_CALC_HI","CALC_INTERVAL","1M"))</f>
        <v>46050</v>
      </c>
      <c r="BI176" s="14" cm="1">
        <f t="array" ref="BI176">VALUE(_xll.BDP($B176,"INTERVAL_DATE_OF_CALC_LO","CALC_INTERVAL","1M"))</f>
        <v>46058</v>
      </c>
      <c r="BJ176" s="15">
        <f>$F176-MIN(_xll.BDP("NYA Index","RSI_14D"),_xll.BDP("RSP US Equity","RSI_14D"))</f>
        <v>-7.8814165879895199</v>
      </c>
    </row>
    <row r="177" spans="1:62" x14ac:dyDescent="0.25">
      <c r="A177" s="11">
        <v>176</v>
      </c>
      <c r="B177" s="26" t="s">
        <v>419</v>
      </c>
      <c r="C177" s="1" t="s">
        <v>843</v>
      </c>
      <c r="D177" s="1" t="s">
        <v>308</v>
      </c>
      <c r="E177" s="11" t="s">
        <v>787</v>
      </c>
      <c r="F177">
        <f>IFERROR(VALUE((_xll.BDP($B177,"interval_rsi","tech_studies_param1_override",14))),"")</f>
        <v>49.654722016098624</v>
      </c>
      <c r="G177">
        <f t="shared" si="0"/>
        <v>52.525531939815814</v>
      </c>
      <c r="H177">
        <f t="shared" si="119"/>
        <v>0</v>
      </c>
      <c r="I177" cm="1">
        <f t="array" ref="I177">IFERROR(VALUE(_xll.BDP($B177,"px_last")),"")</f>
        <v>74.58</v>
      </c>
      <c r="J177">
        <f t="shared" si="1"/>
        <v>6941.47</v>
      </c>
      <c r="K177" cm="1">
        <f t="array" ref="K177">IFERROR(VALUE(_xll.BDP($B177,"PX_YEST_CLOSE")),"")</f>
        <v>74.23</v>
      </c>
      <c r="L177">
        <f t="shared" si="2"/>
        <v>6941.81</v>
      </c>
      <c r="M177">
        <f t="shared" si="120"/>
        <v>1.074412192230176E-2</v>
      </c>
      <c r="N177">
        <f t="shared" si="121"/>
        <v>1.0693176563461115E-2</v>
      </c>
      <c r="O177" cm="1">
        <f t="array" ref="O177">IFERROR(VALUE(_xll.BDP($B177,"INTERVAL_MAE_MOV_AVG","CALC_INTERVAL","520D","TECH_STUDIES_PARAM1_OVERRIDE",50,"USE_PREVIOUS_BUSINESS_DAY","N")),"")</f>
        <v>74.591311942221125</v>
      </c>
      <c r="P177">
        <f t="shared" si="3"/>
        <v>6894.0953999999992</v>
      </c>
      <c r="Q177" cm="1">
        <f t="array" ref="Q177">IFERROR(VALUE(_xll.BDP($B177,"INTERVAL_MAE_MOV_AVG","CALC_INTERVAL","520D","TECH_STUDIES_PARAM1_OVERRIDE",50,"USE_PREVIOUS_BUSINESS_DAY","Y")),"")</f>
        <v>74.611126311600017</v>
      </c>
      <c r="R177">
        <f t="shared" si="4"/>
        <v>6892.2477999999992</v>
      </c>
      <c r="S177">
        <f t="shared" si="122"/>
        <v>1.0819593813891977E-2</v>
      </c>
      <c r="T177">
        <f t="shared" si="123"/>
        <v>1.0825369092446158E-2</v>
      </c>
      <c r="U177" s="11" t="str">
        <f t="shared" si="124"/>
        <v>NEGATIVE</v>
      </c>
      <c r="V177" s="11" t="str">
        <f t="shared" si="125"/>
        <v/>
      </c>
      <c r="W177" s="11" t="str">
        <f t="shared" si="126"/>
        <v>DOWN</v>
      </c>
      <c r="X177" s="6" t="str">
        <f t="shared" si="127"/>
        <v>NEGATIVE</v>
      </c>
      <c r="Y177" cm="1">
        <f t="array" ref="Y177">IFERROR(VALUE(_xll.BDP($B177,"INTERVAL_MAE_MOV_AVG","CALC_INTERVAL","520D","TECH_STUDIES_PARAM1_OVERRIDE",65,"USE_PREVIOUS_BUSINESS_DAY","N")),"")</f>
        <v>74.258778056785474</v>
      </c>
      <c r="Z177">
        <f t="shared" si="5"/>
        <v>6856.0226153846133</v>
      </c>
      <c r="AA177" cm="1">
        <f t="array" ref="AA177">IFERROR(VALUE(_xll.BDP($B177,"INTERVAL_MAE_MOV_AVG","CALC_INTERVAL","520D","TECH_STUDIES_PARAM1_OVERRIDE",65,"USE_PREVIOUS_BUSINESS_DAY","Y")),"")</f>
        <v>74.186497175076923</v>
      </c>
      <c r="AB177">
        <f t="shared" si="6"/>
        <v>6852.6203076923057</v>
      </c>
      <c r="AC177">
        <f t="shared" si="128"/>
        <v>1.0831174607002031E-2</v>
      </c>
      <c r="AD177">
        <f t="shared" si="129"/>
        <v>1.0826004337610825E-2</v>
      </c>
      <c r="AE177" s="10" t="str">
        <f t="shared" si="130"/>
        <v>UP</v>
      </c>
      <c r="AF177" s="10" t="str">
        <f t="shared" si="131"/>
        <v>UP</v>
      </c>
      <c r="AG177" s="6" t="str">
        <f t="shared" si="132"/>
        <v>NEGATIVE</v>
      </c>
      <c r="AH177" cm="1">
        <f t="array" ref="AH177">IFERROR(VALUE(_xll.BDP($B177,"INTERVAL_MAE_MOV_AVG","CALC_INTERVAL","65W","PERIODICITY_OVERRIDE","W","TECH_STUDIES_PARAM1_OVERRIDE",39,"USE_PREVIOUS_BUSINESS_DAY","N")),"")</f>
        <v>68.419987911250459</v>
      </c>
      <c r="AI177">
        <f t="shared" si="7"/>
        <v>6560.7735897435905</v>
      </c>
      <c r="AJ177" cm="1">
        <f t="array" ref="AJ177">IFERROR(VALUE(_xll.BDP($B177,"INTERVAL_MAE_MOV_AVG","CALC_INTERVAL","65W","PERIODICITY_OVERRIDE","W","TECH_STUDIES_PARAM1_OVERRIDE",39,"USE_PREVIOUS_BUSINESS_DAY","Y")),"")</f>
        <v>68.411013505325968</v>
      </c>
      <c r="AK177">
        <f t="shared" si="8"/>
        <v>6560.7823076923087</v>
      </c>
      <c r="AL177">
        <f t="shared" si="133"/>
        <v>1.042864640508414E-2</v>
      </c>
      <c r="AM177">
        <f t="shared" si="134"/>
        <v>1.0427264660971334E-2</v>
      </c>
      <c r="AN177" s="10" t="str">
        <f t="shared" si="135"/>
        <v>UP</v>
      </c>
      <c r="AO177" s="10" t="str">
        <f t="shared" si="136"/>
        <v>UP</v>
      </c>
      <c r="AP177" s="6" t="str">
        <f t="shared" si="137"/>
        <v>POSITIVE</v>
      </c>
      <c r="AQ177" cm="1">
        <f t="array" ref="AQ177">IFERROR(VALUE(_xll.BDP($B177,"INTERVAL_exp_MOV_AVG","CALC_INTERVAL","520D","TECH_STUDIES_PARAM1_OVERRIDE",100,"USE_PREVIOUS_BUSINESS_DAY","N")),"")</f>
        <v>72.287645646614294</v>
      </c>
      <c r="AR177">
        <f t="shared" si="9"/>
        <v>6773.0064518682802</v>
      </c>
      <c r="AS177" cm="1">
        <f t="array" ref="AS177">IFERROR(VALUE(_xll.BDP($B177,"INTERVAL_exp_MOV_AVG","CALC_INTERVAL","520D","TECH_STUDIES_PARAM1_OVERRIDE",100,"USE_PREVIOUS_BUSINESS_DAY","Y")),"")</f>
        <v>72.241341446430894</v>
      </c>
      <c r="AT177">
        <f t="shared" si="10"/>
        <v>6769.6039787132295</v>
      </c>
      <c r="AU177">
        <f t="shared" si="138"/>
        <v>1.0672903703889772E-2</v>
      </c>
      <c r="AV177">
        <f t="shared" si="139"/>
        <v>1.067142799986397E-2</v>
      </c>
      <c r="AW177" s="11" t="str">
        <f t="shared" si="140"/>
        <v>UP</v>
      </c>
      <c r="AX177" s="11" t="str">
        <f t="shared" si="141"/>
        <v>UP</v>
      </c>
      <c r="AY177" s="6" t="str">
        <f t="shared" si="142"/>
        <v>POSITIVE</v>
      </c>
      <c r="AZ177" s="12" cm="1">
        <f t="array" ref="AZ177">_xll.BDP($B177, "INTERVAL_RSI", "TECH_STUDIES_PARAM1_OVERRIDE", "5", "PERIODICITY_OVERRIDE", "W")</f>
        <v>51.46251213306234</v>
      </c>
      <c r="BA177" cm="1">
        <f t="array" ref="BA177">IFERROR(VALUE(_xll.BDP($B177,"INTERVAL_MAE_MOV_AVG","CALC_INTERVAL","520D","TECH_STUDIES_PARAM1_OVERRIDE",31,"USE_PREVIOUS_BUSINESS_DAY","N")),"")</f>
        <v>74.957419413905001</v>
      </c>
      <c r="BB177" cm="1">
        <f t="array" ref="BB177">IFERROR(VALUE(_xll.BDP($B177,"INTERVAL_MAE_MOV_AVG","CALC_INTERVAL","760D","TECH_STUDIES_PARAM1_OVERRIDE",200,"USE_PREVIOUS_BUSINESS_DAY","N")),"")</f>
        <v>67.803857646662053</v>
      </c>
      <c r="BC177" s="13">
        <f t="shared" si="143"/>
        <v>-5.0351174954536004E-3</v>
      </c>
      <c r="BD177" s="13">
        <f t="shared" si="144"/>
        <v>-1.5165227593649799E-4</v>
      </c>
      <c r="BE177" s="13">
        <f t="shared" si="145"/>
        <v>9.9937416373115928E-2</v>
      </c>
      <c r="BF177" s="14" cm="1">
        <f t="array" ref="BF177">VALUE(_xll.BDP($B177,"INTERVAL_DATE_OF_CALC_HI","CALC_INTERVAL","3M"))</f>
        <v>46029</v>
      </c>
      <c r="BG177" s="14" cm="1">
        <f t="array" ref="BG177">VALUE(_xll.BDP($B177,"INTERVAL_DATE_OF_CALC_LO","CALC_INTERVAL","3M"))</f>
        <v>45972</v>
      </c>
      <c r="BH177" s="14" cm="1">
        <f t="array" ref="BH177">VALUE(_xll.BDP($B177,"INTERVAL_DATE_OF_CALC_HI","CALC_INTERVAL","1M"))</f>
        <v>46044</v>
      </c>
      <c r="BI177" s="14" cm="1">
        <f t="array" ref="BI177">VALUE(_xll.BDP($B177,"INTERVAL_DATE_OF_CALC_LO","CALC_INTERVAL","1M"))</f>
        <v>46058</v>
      </c>
      <c r="BJ177" s="15">
        <f>$F177-MIN(_xll.BDP("NYA Index","RSI_14D"),_xll.BDP("RSP US Equity","RSI_14D"))</f>
        <v>-16.691042144057626</v>
      </c>
    </row>
    <row r="178" spans="1:62" x14ac:dyDescent="0.25">
      <c r="A178" s="11">
        <v>177</v>
      </c>
      <c r="B178" s="26" t="s">
        <v>420</v>
      </c>
      <c r="C178" s="1" t="s">
        <v>844</v>
      </c>
      <c r="D178" s="1" t="s">
        <v>308</v>
      </c>
      <c r="E178" s="11" t="s">
        <v>787</v>
      </c>
      <c r="F178">
        <f>IFERROR(VALUE((_xll.BDP($B178,"interval_rsi","tech_studies_param1_override",14))),"")</f>
        <v>26.706664786090329</v>
      </c>
      <c r="G178">
        <f t="shared" si="0"/>
        <v>52.525531939815814</v>
      </c>
      <c r="H178">
        <f t="shared" si="119"/>
        <v>0</v>
      </c>
      <c r="I178" cm="1">
        <f t="array" ref="I178">IFERROR(VALUE(_xll.BDP($B178,"px_last")),"")</f>
        <v>24.17</v>
      </c>
      <c r="J178">
        <f t="shared" si="1"/>
        <v>6941.47</v>
      </c>
      <c r="K178" cm="1">
        <f t="array" ref="K178">IFERROR(VALUE(_xll.BDP($B178,"PX_YEST_CLOSE")),"")</f>
        <v>25.12</v>
      </c>
      <c r="L178">
        <f t="shared" si="2"/>
        <v>6941.81</v>
      </c>
      <c r="M178">
        <f t="shared" si="120"/>
        <v>3.4819713979891867E-3</v>
      </c>
      <c r="N178">
        <f t="shared" si="121"/>
        <v>3.6186527721156297E-3</v>
      </c>
      <c r="O178" cm="1">
        <f t="array" ref="O178">IFERROR(VALUE(_xll.BDP($B178,"INTERVAL_MAE_MOV_AVG","CALC_INTERVAL","520D","TECH_STUDIES_PARAM1_OVERRIDE",50,"USE_PREVIOUS_BUSINESS_DAY","N")),"")</f>
        <v>28.903687399431885</v>
      </c>
      <c r="P178">
        <f t="shared" si="3"/>
        <v>6894.0953999999992</v>
      </c>
      <c r="Q178" cm="1">
        <f t="array" ref="Q178">IFERROR(VALUE(_xll.BDP($B178,"INTERVAL_MAE_MOV_AVG","CALC_INTERVAL","520D","TECH_STUDIES_PARAM1_OVERRIDE",50,"USE_PREVIOUS_BUSINESS_DAY","Y")),"")</f>
        <v>29.030332272508005</v>
      </c>
      <c r="R178">
        <f t="shared" si="4"/>
        <v>6892.2477999999992</v>
      </c>
      <c r="S178">
        <f t="shared" si="122"/>
        <v>4.1925279130068157E-3</v>
      </c>
      <c r="T178">
        <f t="shared" si="123"/>
        <v>4.2120267748510156E-3</v>
      </c>
      <c r="U178" s="11" t="str">
        <f t="shared" si="124"/>
        <v>NEGATIVE</v>
      </c>
      <c r="V178" s="11" t="str">
        <f t="shared" si="125"/>
        <v/>
      </c>
      <c r="W178" s="11" t="str">
        <f t="shared" si="126"/>
        <v>DOWN</v>
      </c>
      <c r="X178" s="6" t="str">
        <f t="shared" si="127"/>
        <v>NEGATIVE</v>
      </c>
      <c r="Y178" cm="1">
        <f t="array" ref="Y178">IFERROR(VALUE(_xll.BDP($B178,"INTERVAL_MAE_MOV_AVG","CALC_INTERVAL","520D","TECH_STUDIES_PARAM1_OVERRIDE",65,"USE_PREVIOUS_BUSINESS_DAY","N")),"")</f>
        <v>29.150946759455298</v>
      </c>
      <c r="Z178">
        <f t="shared" si="5"/>
        <v>6856.0226153846133</v>
      </c>
      <c r="AA178" cm="1">
        <f t="array" ref="AA178">IFERROR(VALUE(_xll.BDP($B178,"INTERVAL_MAE_MOV_AVG","CALC_INTERVAL","520D","TECH_STUDIES_PARAM1_OVERRIDE",65,"USE_PREVIOUS_BUSINESS_DAY","Y")),"")</f>
        <v>29.257454151050773</v>
      </c>
      <c r="AB178">
        <f t="shared" si="6"/>
        <v>6852.6203076923057</v>
      </c>
      <c r="AC178">
        <f t="shared" si="128"/>
        <v>4.2518743584716093E-3</v>
      </c>
      <c r="AD178">
        <f t="shared" si="129"/>
        <v>4.2695279816113933E-3</v>
      </c>
      <c r="AE178" s="10" t="str">
        <f t="shared" si="130"/>
        <v>DOWN</v>
      </c>
      <c r="AF178" s="10" t="str">
        <f t="shared" si="131"/>
        <v>DOWN</v>
      </c>
      <c r="AG178" s="6" t="str">
        <f t="shared" si="132"/>
        <v>NEGATIVE</v>
      </c>
      <c r="AH178" cm="1">
        <f t="array" ref="AH178">IFERROR(VALUE(_xll.BDP($B178,"INTERVAL_MAE_MOV_AVG","CALC_INTERVAL","65W","PERIODICITY_OVERRIDE","W","TECH_STUDIES_PARAM1_OVERRIDE",39,"USE_PREVIOUS_BUSINESS_DAY","N")),"")</f>
        <v>31.568237346120352</v>
      </c>
      <c r="AI178">
        <f t="shared" si="7"/>
        <v>6560.7735897435905</v>
      </c>
      <c r="AJ178" cm="1">
        <f t="array" ref="AJ178">IFERROR(VALUE(_xll.BDP($B178,"INTERVAL_MAE_MOV_AVG","CALC_INTERVAL","65W","PERIODICITY_OVERRIDE","W","TECH_STUDIES_PARAM1_OVERRIDE",39,"USE_PREVIOUS_BUSINESS_DAY","Y")),"")</f>
        <v>31.592596318523068</v>
      </c>
      <c r="AK178">
        <f t="shared" si="8"/>
        <v>6560.7823076923087</v>
      </c>
      <c r="AL178">
        <f t="shared" si="133"/>
        <v>4.8116638860195918E-3</v>
      </c>
      <c r="AM178">
        <f t="shared" si="134"/>
        <v>4.8153703075137473E-3</v>
      </c>
      <c r="AN178" s="10" t="str">
        <f t="shared" si="135"/>
        <v>DOWN</v>
      </c>
      <c r="AO178" s="10" t="str">
        <f t="shared" si="136"/>
        <v>DOWN</v>
      </c>
      <c r="AP178" s="6" t="str">
        <f t="shared" si="137"/>
        <v>NEGATIVE</v>
      </c>
      <c r="AQ178" cm="1">
        <f t="array" ref="AQ178">IFERROR(VALUE(_xll.BDP($B178,"INTERVAL_exp_MOV_AVG","CALC_INTERVAL","520D","TECH_STUDIES_PARAM1_OVERRIDE",100,"USE_PREVIOUS_BUSINESS_DAY","N")),"")</f>
        <v>29.845322681203342</v>
      </c>
      <c r="AR178">
        <f t="shared" si="9"/>
        <v>6773.0064518682802</v>
      </c>
      <c r="AS178" cm="1">
        <f t="array" ref="AS178">IFERROR(VALUE(_xll.BDP($B178,"INTERVAL_exp_MOV_AVG","CALC_INTERVAL","520D","TECH_STUDIES_PARAM1_OVERRIDE",100,"USE_PREVIOUS_BUSINESS_DAY","Y")),"")</f>
        <v>29.959982095119173</v>
      </c>
      <c r="AT178">
        <f t="shared" si="10"/>
        <v>6769.6039787132295</v>
      </c>
      <c r="AU178">
        <f t="shared" si="138"/>
        <v>4.4065102983876156E-3</v>
      </c>
      <c r="AV178">
        <f t="shared" si="139"/>
        <v>4.4256624448530861E-3</v>
      </c>
      <c r="AW178" s="11" t="str">
        <f t="shared" si="140"/>
        <v>DOWN</v>
      </c>
      <c r="AX178" s="11" t="str">
        <f t="shared" si="141"/>
        <v>DOWN</v>
      </c>
      <c r="AY178" s="6" t="str">
        <f t="shared" si="142"/>
        <v>NEGATIVE</v>
      </c>
      <c r="AZ178" s="12" cm="1">
        <f t="array" ref="AZ178">_xll.BDP($B178, "INTERVAL_RSI", "TECH_STUDIES_PARAM1_OVERRIDE", "5", "PERIODICITY_OVERRIDE", "W")</f>
        <v>10.382707154137577</v>
      </c>
      <c r="BA178" cm="1">
        <f t="array" ref="BA178">IFERROR(VALUE(_xll.BDP($B178,"INTERVAL_MAE_MOV_AVG","CALC_INTERVAL","520D","TECH_STUDIES_PARAM1_OVERRIDE",31,"USE_PREVIOUS_BUSINESS_DAY","N")),"")</f>
        <v>28.159816353983679</v>
      </c>
      <c r="BB178" cm="1">
        <f t="array" ref="BB178">IFERROR(VALUE(_xll.BDP($B178,"INTERVAL_MAE_MOV_AVG","CALC_INTERVAL","760D","TECH_STUDIES_PARAM1_OVERRIDE",200,"USE_PREVIOUS_BUSINESS_DAY","N")),"")</f>
        <v>31.592886630276467</v>
      </c>
      <c r="BC178" s="13">
        <f t="shared" si="143"/>
        <v>-0.14168474338857862</v>
      </c>
      <c r="BD178" s="13">
        <f t="shared" si="144"/>
        <v>-0.1637745154801572</v>
      </c>
      <c r="BE178" s="13">
        <f t="shared" si="145"/>
        <v>-0.23495436542866832</v>
      </c>
      <c r="BF178" s="14" cm="1">
        <f t="array" ref="BF178">VALUE(_xll.BDP($B178,"INTERVAL_DATE_OF_CALC_HI","CALC_INTERVAL","3M"))</f>
        <v>45972</v>
      </c>
      <c r="BG178" s="14" cm="1">
        <f t="array" ref="BG178">VALUE(_xll.BDP($B178,"INTERVAL_DATE_OF_CALC_LO","CALC_INTERVAL","3M"))</f>
        <v>46058</v>
      </c>
      <c r="BH178" s="14" cm="1">
        <f t="array" ref="BH178">VALUE(_xll.BDP($B178,"INTERVAL_DATE_OF_CALC_HI","CALC_INTERVAL","1M"))</f>
        <v>46034</v>
      </c>
      <c r="BI178" s="14" cm="1">
        <f t="array" ref="BI178">VALUE(_xll.BDP($B178,"INTERVAL_DATE_OF_CALC_LO","CALC_INTERVAL","1M"))</f>
        <v>46058</v>
      </c>
      <c r="BJ178" s="15">
        <f>$F178-MIN(_xll.BDP("NYA Index","RSI_14D"),_xll.BDP("RSP US Equity","RSI_14D"))</f>
        <v>-39.639099374065921</v>
      </c>
    </row>
    <row r="179" spans="1:62" x14ac:dyDescent="0.25">
      <c r="A179" s="11">
        <v>178</v>
      </c>
      <c r="B179" s="26" t="s">
        <v>421</v>
      </c>
      <c r="C179" s="1" t="s">
        <v>845</v>
      </c>
      <c r="D179" s="1" t="s">
        <v>308</v>
      </c>
      <c r="E179" s="11" t="s">
        <v>787</v>
      </c>
      <c r="F179">
        <f>IFERROR(VALUE((_xll.BDP($B179,"interval_rsi","tech_studies_param1_override",14))),"")</f>
        <v>51.46709232066636</v>
      </c>
      <c r="G179">
        <f t="shared" si="0"/>
        <v>52.525531939815814</v>
      </c>
      <c r="H179">
        <f t="shared" si="119"/>
        <v>0</v>
      </c>
      <c r="I179" cm="1">
        <f t="array" ref="I179">IFERROR(VALUE(_xll.BDP($B179,"px_last")),"")</f>
        <v>39.47</v>
      </c>
      <c r="J179">
        <f t="shared" si="1"/>
        <v>6941.47</v>
      </c>
      <c r="K179" cm="1">
        <f t="array" ref="K179">IFERROR(VALUE(_xll.BDP($B179,"PX_YEST_CLOSE")),"")</f>
        <v>39.53</v>
      </c>
      <c r="L179">
        <f t="shared" si="2"/>
        <v>6941.81</v>
      </c>
      <c r="M179">
        <f t="shared" si="120"/>
        <v>5.6861154769810998E-3</v>
      </c>
      <c r="N179">
        <f t="shared" si="121"/>
        <v>5.6944802580306863E-3</v>
      </c>
      <c r="O179" cm="1">
        <f t="array" ref="O179">IFERROR(VALUE(_xll.BDP($B179,"INTERVAL_MAE_MOV_AVG","CALC_INTERVAL","520D","TECH_STUDIES_PARAM1_OVERRIDE",50,"USE_PREVIOUS_BUSINESS_DAY","N")),"")</f>
        <v>39.145830099014056</v>
      </c>
      <c r="P179">
        <f t="shared" si="3"/>
        <v>6894.0953999999992</v>
      </c>
      <c r="Q179" cm="1">
        <f t="array" ref="Q179">IFERROR(VALUE(_xll.BDP($B179,"INTERVAL_MAE_MOV_AVG","CALC_INTERVAL","520D","TECH_STUDIES_PARAM1_OVERRIDE",50,"USE_PREVIOUS_BUSINESS_DAY","Y")),"")</f>
        <v>39.138539821199991</v>
      </c>
      <c r="R179">
        <f t="shared" si="4"/>
        <v>6892.2477999999992</v>
      </c>
      <c r="S179">
        <f t="shared" si="122"/>
        <v>5.6781677403266078E-3</v>
      </c>
      <c r="T179">
        <f t="shared" si="123"/>
        <v>5.6786321323502031E-3</v>
      </c>
      <c r="U179" s="11" t="str">
        <f t="shared" si="124"/>
        <v>NEGATIVE</v>
      </c>
      <c r="V179" s="11" t="str">
        <f t="shared" si="125"/>
        <v/>
      </c>
      <c r="W179" s="11" t="str">
        <f t="shared" si="126"/>
        <v>DOWN</v>
      </c>
      <c r="X179" s="6" t="str">
        <f t="shared" si="127"/>
        <v>POSITIVE</v>
      </c>
      <c r="Y179" cm="1">
        <f t="array" ref="Y179">IFERROR(VALUE(_xll.BDP($B179,"INTERVAL_MAE_MOV_AVG","CALC_INTERVAL","520D","TECH_STUDIES_PARAM1_OVERRIDE",65,"USE_PREVIOUS_BUSINESS_DAY","N")),"")</f>
        <v>39.191766651241579</v>
      </c>
      <c r="Z179">
        <f t="shared" si="5"/>
        <v>6856.0226153846133</v>
      </c>
      <c r="AA179" cm="1">
        <f t="array" ref="AA179">IFERROR(VALUE(_xll.BDP($B179,"INTERVAL_MAE_MOV_AVG","CALC_INTERVAL","520D","TECH_STUDIES_PARAM1_OVERRIDE",65,"USE_PREVIOUS_BUSINESS_DAY","Y")),"")</f>
        <v>39.195442579230772</v>
      </c>
      <c r="AB179">
        <f t="shared" si="6"/>
        <v>6852.6203076923057</v>
      </c>
      <c r="AC179">
        <f t="shared" si="128"/>
        <v>5.7163998501546624E-3</v>
      </c>
      <c r="AD179">
        <f t="shared" si="129"/>
        <v>5.7197744540482594E-3</v>
      </c>
      <c r="AE179" s="10" t="str">
        <f t="shared" si="130"/>
        <v>DOWN</v>
      </c>
      <c r="AF179" s="10" t="str">
        <f t="shared" si="131"/>
        <v>DOWN</v>
      </c>
      <c r="AG179" s="6" t="str">
        <f t="shared" si="132"/>
        <v>NEGATIVE</v>
      </c>
      <c r="AH179" cm="1">
        <f t="array" ref="AH179">IFERROR(VALUE(_xll.BDP($B179,"INTERVAL_MAE_MOV_AVG","CALC_INTERVAL","65W","PERIODICITY_OVERRIDE","W","TECH_STUDIES_PARAM1_OVERRIDE",39,"USE_PREVIOUS_BUSINESS_DAY","N")),"")</f>
        <v>38.313196062371084</v>
      </c>
      <c r="AI179">
        <f t="shared" si="7"/>
        <v>6560.7735897435905</v>
      </c>
      <c r="AJ179" cm="1">
        <f t="array" ref="AJ179">IFERROR(VALUE(_xll.BDP($B179,"INTERVAL_MAE_MOV_AVG","CALC_INTERVAL","65W","PERIODICITY_OVERRIDE","W","TECH_STUDIES_PARAM1_OVERRIDE",39,"USE_PREVIOUS_BUSINESS_DAY","Y")),"")</f>
        <v>38.314734492609468</v>
      </c>
      <c r="AK179">
        <f t="shared" si="8"/>
        <v>6560.7823076923087</v>
      </c>
      <c r="AL179">
        <f t="shared" si="133"/>
        <v>5.8397375764141328E-3</v>
      </c>
      <c r="AM179">
        <f t="shared" si="134"/>
        <v>5.839964305428433E-3</v>
      </c>
      <c r="AN179" s="10" t="str">
        <f t="shared" si="135"/>
        <v>DOWN</v>
      </c>
      <c r="AO179" s="10" t="str">
        <f t="shared" si="136"/>
        <v>DOWN</v>
      </c>
      <c r="AP179" s="6" t="str">
        <f t="shared" si="137"/>
        <v>NEGATIVE</v>
      </c>
      <c r="AQ179" cm="1">
        <f t="array" ref="AQ179">IFERROR(VALUE(_xll.BDP($B179,"INTERVAL_exp_MOV_AVG","CALC_INTERVAL","520D","TECH_STUDIES_PARAM1_OVERRIDE",100,"USE_PREVIOUS_BUSINESS_DAY","N")),"")</f>
        <v>39.011691519570419</v>
      </c>
      <c r="AR179">
        <f t="shared" si="9"/>
        <v>6773.0064518682802</v>
      </c>
      <c r="AS179" cm="1">
        <f t="array" ref="AS179">IFERROR(VALUE(_xll.BDP($B179,"INTERVAL_exp_MOV_AVG","CALC_INTERVAL","520D","TECH_STUDIES_PARAM1_OVERRIDE",100,"USE_PREVIOUS_BUSINESS_DAY","Y")),"")</f>
        <v>39.002449686767143</v>
      </c>
      <c r="AT179">
        <f t="shared" si="10"/>
        <v>6769.6039787132295</v>
      </c>
      <c r="AU179">
        <f t="shared" si="138"/>
        <v>5.7598780979766159E-3</v>
      </c>
      <c r="AV179">
        <f t="shared" si="139"/>
        <v>5.7614078769465558E-3</v>
      </c>
      <c r="AW179" s="11" t="str">
        <f t="shared" si="140"/>
        <v>UP</v>
      </c>
      <c r="AX179" s="11" t="str">
        <f t="shared" si="141"/>
        <v>DOWN</v>
      </c>
      <c r="AY179" s="6" t="str">
        <f t="shared" si="142"/>
        <v>NEGATIVE</v>
      </c>
      <c r="AZ179" s="12" cm="1">
        <f t="array" ref="AZ179">_xll.BDP($B179, "INTERVAL_RSI", "TECH_STUDIES_PARAM1_OVERRIDE", "5", "PERIODICITY_OVERRIDE", "W")</f>
        <v>54.537414632766016</v>
      </c>
      <c r="BA179" cm="1">
        <f t="array" ref="BA179">IFERROR(VALUE(_xll.BDP($B179,"INTERVAL_MAE_MOV_AVG","CALC_INTERVAL","520D","TECH_STUDIES_PARAM1_OVERRIDE",31,"USE_PREVIOUS_BUSINESS_DAY","N")),"")</f>
        <v>39.443225845829133</v>
      </c>
      <c r="BB179" cm="1">
        <f t="array" ref="BB179">IFERROR(VALUE(_xll.BDP($B179,"INTERVAL_MAE_MOV_AVG","CALC_INTERVAL","760D","TECH_STUDIES_PARAM1_OVERRIDE",200,"USE_PREVIOUS_BUSINESS_DAY","N")),"")</f>
        <v>38.075574269884569</v>
      </c>
      <c r="BC179" s="13">
        <f t="shared" si="143"/>
        <v>6.7880234429895658E-4</v>
      </c>
      <c r="BD179" s="13">
        <f t="shared" si="144"/>
        <v>8.2810838387128438E-3</v>
      </c>
      <c r="BE179" s="13">
        <f t="shared" si="145"/>
        <v>3.6622579090509921E-2</v>
      </c>
      <c r="BF179" s="14" cm="1">
        <f t="array" ref="BF179">VALUE(_xll.BDP($B179,"INTERVAL_DATE_OF_CALC_HI","CALC_INTERVAL","3M"))</f>
        <v>46051</v>
      </c>
      <c r="BG179" s="14" cm="1">
        <f t="array" ref="BG179">VALUE(_xll.BDP($B179,"INTERVAL_DATE_OF_CALC_LO","CALC_INTERVAL","3M"))</f>
        <v>46008</v>
      </c>
      <c r="BH179" s="14" cm="1">
        <f t="array" ref="BH179">VALUE(_xll.BDP($B179,"INTERVAL_DATE_OF_CALC_HI","CALC_INTERVAL","1M"))</f>
        <v>46051</v>
      </c>
      <c r="BI179" s="14" cm="1">
        <f t="array" ref="BI179">VALUE(_xll.BDP($B179,"INTERVAL_DATE_OF_CALC_LO","CALC_INTERVAL","1M"))</f>
        <v>46058</v>
      </c>
      <c r="BJ179" s="15">
        <f>$F179-MIN(_xll.BDP("NYA Index","RSI_14D"),_xll.BDP("RSP US Equity","RSI_14D"))</f>
        <v>-14.87867183948989</v>
      </c>
    </row>
    <row r="180" spans="1:62" x14ac:dyDescent="0.25">
      <c r="A180" s="11">
        <v>179</v>
      </c>
      <c r="B180" s="26" t="s">
        <v>147</v>
      </c>
      <c r="C180" s="1" t="s">
        <v>846</v>
      </c>
      <c r="D180" s="1" t="s">
        <v>308</v>
      </c>
      <c r="E180" s="11" t="s">
        <v>787</v>
      </c>
      <c r="F180">
        <f>IFERROR(VALUE((_xll.BDP($B180,"interval_rsi","tech_studies_param1_override",14))),"")</f>
        <v>60.110774144518366</v>
      </c>
      <c r="G180">
        <f t="shared" si="0"/>
        <v>52.525531939815814</v>
      </c>
      <c r="H180">
        <f t="shared" si="119"/>
        <v>0</v>
      </c>
      <c r="I180" cm="1">
        <f t="array" ref="I180">IFERROR(VALUE(_xll.BDP($B180,"px_last")),"")</f>
        <v>105.97</v>
      </c>
      <c r="J180">
        <f t="shared" si="1"/>
        <v>6941.47</v>
      </c>
      <c r="K180" cm="1">
        <f t="array" ref="K180">IFERROR(VALUE(_xll.BDP($B180,"PX_YEST_CLOSE")),"")</f>
        <v>103.01</v>
      </c>
      <c r="L180">
        <f t="shared" si="2"/>
        <v>6941.81</v>
      </c>
      <c r="M180">
        <f t="shared" si="120"/>
        <v>1.5266218826847915E-2</v>
      </c>
      <c r="N180">
        <f t="shared" si="121"/>
        <v>1.4839069349348368E-2</v>
      </c>
      <c r="O180" cm="1">
        <f t="array" ref="O180">IFERROR(VALUE(_xll.BDP($B180,"INTERVAL_MAE_MOV_AVG","CALC_INTERVAL","520D","TECH_STUDIES_PARAM1_OVERRIDE",50,"USE_PREVIOUS_BUSINESS_DAY","N")),"")</f>
        <v>92.582835571614055</v>
      </c>
      <c r="P180">
        <f t="shared" si="3"/>
        <v>6894.0953999999992</v>
      </c>
      <c r="Q180" cm="1">
        <f t="array" ref="Q180">IFERROR(VALUE(_xll.BDP($B180,"INTERVAL_MAE_MOV_AVG","CALC_INTERVAL","520D","TECH_STUDIES_PARAM1_OVERRIDE",50,"USE_PREVIOUS_BUSINESS_DAY","Y")),"")</f>
        <v>92.116030452000004</v>
      </c>
      <c r="R180">
        <f t="shared" si="4"/>
        <v>6892.2477999999992</v>
      </c>
      <c r="S180">
        <f t="shared" si="122"/>
        <v>1.3429294229321815E-2</v>
      </c>
      <c r="T180">
        <f t="shared" si="123"/>
        <v>1.3365165200821713E-2</v>
      </c>
      <c r="U180" s="11" t="str">
        <f t="shared" si="124"/>
        <v>NEGATIVE</v>
      </c>
      <c r="V180" s="11" t="str">
        <f t="shared" si="125"/>
        <v/>
      </c>
      <c r="W180" s="11" t="str">
        <f t="shared" si="126"/>
        <v>UP</v>
      </c>
      <c r="X180" s="6" t="str">
        <f t="shared" si="127"/>
        <v>POSITIVE</v>
      </c>
      <c r="Y180" cm="1">
        <f t="array" ref="Y180">IFERROR(VALUE(_xll.BDP($B180,"INTERVAL_MAE_MOV_AVG","CALC_INTERVAL","520D","TECH_STUDIES_PARAM1_OVERRIDE",65,"USE_PREVIOUS_BUSINESS_DAY","N")),"")</f>
        <v>88.810227394164684</v>
      </c>
      <c r="Z180">
        <f t="shared" si="5"/>
        <v>6856.0226153846133</v>
      </c>
      <c r="AA180" cm="1">
        <f t="array" ref="AA180">IFERROR(VALUE(_xll.BDP($B180,"INTERVAL_MAE_MOV_AVG","CALC_INTERVAL","520D","TECH_STUDIES_PARAM1_OVERRIDE",65,"USE_PREVIOUS_BUSINESS_DAY","Y")),"")</f>
        <v>88.260683973538477</v>
      </c>
      <c r="AB180">
        <f t="shared" si="6"/>
        <v>6852.6203076923057</v>
      </c>
      <c r="AC180">
        <f t="shared" si="128"/>
        <v>1.2953607707605636E-2</v>
      </c>
      <c r="AD180">
        <f t="shared" si="129"/>
        <v>1.2879844498966734E-2</v>
      </c>
      <c r="AE180" s="10" t="str">
        <f t="shared" si="130"/>
        <v>UP</v>
      </c>
      <c r="AF180" s="10" t="str">
        <f t="shared" si="131"/>
        <v>UP</v>
      </c>
      <c r="AG180" s="6" t="str">
        <f t="shared" si="132"/>
        <v>POSITIVE</v>
      </c>
      <c r="AH180" cm="1">
        <f t="array" ref="AH180">IFERROR(VALUE(_xll.BDP($B180,"INTERVAL_MAE_MOV_AVG","CALC_INTERVAL","65W","PERIODICITY_OVERRIDE","W","TECH_STUDIES_PARAM1_OVERRIDE",39,"USE_PREVIOUS_BUSINESS_DAY","N")),"")</f>
        <v>71.518761111300066</v>
      </c>
      <c r="AI180">
        <f t="shared" si="7"/>
        <v>6560.7735897435905</v>
      </c>
      <c r="AJ180" cm="1">
        <f t="array" ref="AJ180">IFERROR(VALUE(_xll.BDP($B180,"INTERVAL_MAE_MOV_AVG","CALC_INTERVAL","65W","PERIODICITY_OVERRIDE","W","TECH_STUDIES_PARAM1_OVERRIDE",39,"USE_PREVIOUS_BUSINESS_DAY","Y")),"")</f>
        <v>71.442863644102559</v>
      </c>
      <c r="AK180">
        <f t="shared" si="8"/>
        <v>6560.7823076923087</v>
      </c>
      <c r="AL180">
        <f t="shared" si="133"/>
        <v>1.0900964670249378E-2</v>
      </c>
      <c r="AM180">
        <f t="shared" si="134"/>
        <v>1.0889381828800823E-2</v>
      </c>
      <c r="AN180" s="10" t="str">
        <f t="shared" si="135"/>
        <v>UP</v>
      </c>
      <c r="AO180" s="10" t="str">
        <f t="shared" si="136"/>
        <v>UP</v>
      </c>
      <c r="AP180" s="6" t="str">
        <f t="shared" si="137"/>
        <v>POSITIVE</v>
      </c>
      <c r="AQ180" cm="1">
        <f t="array" ref="AQ180">IFERROR(VALUE(_xll.BDP($B180,"INTERVAL_exp_MOV_AVG","CALC_INTERVAL","520D","TECH_STUDIES_PARAM1_OVERRIDE",100,"USE_PREVIOUS_BUSINESS_DAY","N")),"")</f>
        <v>84.849284035186045</v>
      </c>
      <c r="AR180">
        <f t="shared" si="9"/>
        <v>6773.0064518682802</v>
      </c>
      <c r="AS180" cm="1">
        <f t="array" ref="AS180">IFERROR(VALUE(_xll.BDP($B180,"INTERVAL_exp_MOV_AVG","CALC_INTERVAL","520D","TECH_STUDIES_PARAM1_OVERRIDE",100,"USE_PREVIOUS_BUSINESS_DAY","Y")),"")</f>
        <v>84.422629680846853</v>
      </c>
      <c r="AT180">
        <f t="shared" si="10"/>
        <v>6769.6039787132295</v>
      </c>
      <c r="AU180">
        <f t="shared" si="138"/>
        <v>1.2527565806729896E-2</v>
      </c>
      <c r="AV180">
        <f t="shared" si="139"/>
        <v>1.2470837281813044E-2</v>
      </c>
      <c r="AW180" s="11" t="str">
        <f t="shared" si="140"/>
        <v>UP</v>
      </c>
      <c r="AX180" s="11" t="str">
        <f t="shared" si="141"/>
        <v>UP</v>
      </c>
      <c r="AY180" s="6" t="str">
        <f t="shared" si="142"/>
        <v>POSITIVE</v>
      </c>
      <c r="AZ180" s="12" cm="1">
        <f t="array" ref="AZ180">_xll.BDP($B180, "INTERVAL_RSI", "TECH_STUDIES_PARAM1_OVERRIDE", "5", "PERIODICITY_OVERRIDE", "W")</f>
        <v>69.461111567982257</v>
      </c>
      <c r="BA180" cm="1">
        <f t="array" ref="BA180">IFERROR(VALUE(_xll.BDP($B180,"INTERVAL_MAE_MOV_AVG","CALC_INTERVAL","520D","TECH_STUDIES_PARAM1_OVERRIDE",31,"USE_PREVIOUS_BUSINESS_DAY","N")),"")</f>
        <v>97.532903265183947</v>
      </c>
      <c r="BB180" cm="1">
        <f t="array" ref="BB180">IFERROR(VALUE(_xll.BDP($B180,"INTERVAL_MAE_MOV_AVG","CALC_INTERVAL","760D","TECH_STUDIES_PARAM1_OVERRIDE",200,"USE_PREVIOUS_BUSINESS_DAY","N")),"")</f>
        <v>69.097943900303548</v>
      </c>
      <c r="BC180" s="13">
        <f t="shared" si="143"/>
        <v>8.6505132651247818E-2</v>
      </c>
      <c r="BD180" s="13">
        <f t="shared" si="144"/>
        <v>0.14459661281416247</v>
      </c>
      <c r="BE180" s="13">
        <f t="shared" si="145"/>
        <v>0.5336201631830968</v>
      </c>
      <c r="BF180" s="14" cm="1">
        <f t="array" ref="BF180">VALUE(_xll.BDP($B180,"INTERVAL_DATE_OF_CALC_HI","CALC_INTERVAL","3M"))</f>
        <v>46050</v>
      </c>
      <c r="BG180" s="14" cm="1">
        <f t="array" ref="BG180">VALUE(_xll.BDP($B180,"INTERVAL_DATE_OF_CALC_LO","CALC_INTERVAL","3M"))</f>
        <v>45981</v>
      </c>
      <c r="BH180" s="14" cm="1">
        <f t="array" ref="BH180">VALUE(_xll.BDP($B180,"INTERVAL_DATE_OF_CALC_HI","CALC_INTERVAL","1M"))</f>
        <v>46050</v>
      </c>
      <c r="BI180" s="14" cm="1">
        <f t="array" ref="BI180">VALUE(_xll.BDP($B180,"INTERVAL_DATE_OF_CALC_LO","CALC_INTERVAL","1M"))</f>
        <v>46058</v>
      </c>
      <c r="BJ180" s="15">
        <f>$F180-MIN(_xll.BDP("NYA Index","RSI_14D"),_xll.BDP("RSP US Equity","RSI_14D"))</f>
        <v>-6.2349900156378837</v>
      </c>
    </row>
    <row r="181" spans="1:62" x14ac:dyDescent="0.25">
      <c r="A181" s="11">
        <v>180</v>
      </c>
      <c r="B181" s="26" t="s">
        <v>148</v>
      </c>
      <c r="C181" s="1" t="s">
        <v>847</v>
      </c>
      <c r="D181" s="1" t="s">
        <v>308</v>
      </c>
      <c r="E181" s="11" t="s">
        <v>787</v>
      </c>
      <c r="F181">
        <f>IFERROR(VALUE((_xll.BDP($B181,"interval_rsi","tech_studies_param1_override",14))),"")</f>
        <v>59.714450523685521</v>
      </c>
      <c r="G181">
        <f t="shared" si="0"/>
        <v>52.525531939815814</v>
      </c>
      <c r="H181">
        <f t="shared" si="119"/>
        <v>0</v>
      </c>
      <c r="I181" cm="1">
        <f t="array" ref="I181">IFERROR(VALUE(_xll.BDP($B181,"px_last")),"")</f>
        <v>141.16999999999999</v>
      </c>
      <c r="J181">
        <f t="shared" si="1"/>
        <v>6941.47</v>
      </c>
      <c r="K181" cm="1">
        <f t="array" ref="K181">IFERROR(VALUE(_xll.BDP($B181,"PX_YEST_CLOSE")),"")</f>
        <v>136.33000000000001</v>
      </c>
      <c r="L181">
        <f t="shared" si="2"/>
        <v>6941.81</v>
      </c>
      <c r="M181">
        <f t="shared" si="120"/>
        <v>2.0337190825574409E-2</v>
      </c>
      <c r="N181">
        <f t="shared" si="121"/>
        <v>1.9638970239750152E-2</v>
      </c>
      <c r="O181" cm="1">
        <f t="array" ref="O181">IFERROR(VALUE(_xll.BDP($B181,"INTERVAL_MAE_MOV_AVG","CALC_INTERVAL","520D","TECH_STUDIES_PARAM1_OVERRIDE",50,"USE_PREVIOUS_BUSINESS_DAY","N")),"")</f>
        <v>122.27307508597893</v>
      </c>
      <c r="P181">
        <f t="shared" si="3"/>
        <v>6894.0953999999992</v>
      </c>
      <c r="Q181" cm="1">
        <f t="array" ref="Q181">IFERROR(VALUE(_xll.BDP($B181,"INTERVAL_MAE_MOV_AVG","CALC_INTERVAL","520D","TECH_STUDIES_PARAM1_OVERRIDE",50,"USE_PREVIOUS_BUSINESS_DAY","Y")),"")</f>
        <v>121.58604885380001</v>
      </c>
      <c r="R181">
        <f t="shared" si="4"/>
        <v>6892.2477999999992</v>
      </c>
      <c r="S181">
        <f t="shared" si="122"/>
        <v>1.7735912834333414E-2</v>
      </c>
      <c r="T181">
        <f t="shared" si="123"/>
        <v>1.764098627646557E-2</v>
      </c>
      <c r="U181" s="11" t="str">
        <f t="shared" si="124"/>
        <v>NEGATIVE</v>
      </c>
      <c r="V181" s="11" t="str">
        <f t="shared" si="125"/>
        <v/>
      </c>
      <c r="W181" s="11" t="str">
        <f t="shared" si="126"/>
        <v>UP</v>
      </c>
      <c r="X181" s="6" t="str">
        <f t="shared" si="127"/>
        <v>POSITIVE</v>
      </c>
      <c r="Y181" cm="1">
        <f t="array" ref="Y181">IFERROR(VALUE(_xll.BDP($B181,"INTERVAL_MAE_MOV_AVG","CALC_INTERVAL","520D","TECH_STUDIES_PARAM1_OVERRIDE",65,"USE_PREVIOUS_BUSINESS_DAY","N")),"")</f>
        <v>116.29712173829148</v>
      </c>
      <c r="Z181">
        <f t="shared" si="5"/>
        <v>6856.0226153846133</v>
      </c>
      <c r="AA181" cm="1">
        <f t="array" ref="AA181">IFERROR(VALUE(_xll.BDP($B181,"INTERVAL_MAE_MOV_AVG","CALC_INTERVAL","520D","TECH_STUDIES_PARAM1_OVERRIDE",65,"USE_PREVIOUS_BUSINESS_DAY","Y")),"")</f>
        <v>115.48396864261539</v>
      </c>
      <c r="AB181">
        <f t="shared" si="6"/>
        <v>6852.6203076923057</v>
      </c>
      <c r="AC181">
        <f t="shared" si="128"/>
        <v>1.6962768103670756E-2</v>
      </c>
      <c r="AD181">
        <f t="shared" si="129"/>
        <v>1.6852526983434441E-2</v>
      </c>
      <c r="AE181" s="10" t="str">
        <f t="shared" si="130"/>
        <v>UP</v>
      </c>
      <c r="AF181" s="10" t="str">
        <f t="shared" si="131"/>
        <v>UP</v>
      </c>
      <c r="AG181" s="6" t="str">
        <f t="shared" si="132"/>
        <v>POSITIVE</v>
      </c>
      <c r="AH181" cm="1">
        <f t="array" ref="AH181">IFERROR(VALUE(_xll.BDP($B181,"INTERVAL_MAE_MOV_AVG","CALC_INTERVAL","65W","PERIODICITY_OVERRIDE","W","TECH_STUDIES_PARAM1_OVERRIDE",39,"USE_PREVIOUS_BUSINESS_DAY","N")),"")</f>
        <v>92.124635133306313</v>
      </c>
      <c r="AI181">
        <f t="shared" si="7"/>
        <v>6560.7735897435905</v>
      </c>
      <c r="AJ181" cm="1">
        <f t="array" ref="AJ181">IFERROR(VALUE(_xll.BDP($B181,"INTERVAL_MAE_MOV_AVG","CALC_INTERVAL","65W","PERIODICITY_OVERRIDE","W","TECH_STUDIES_PARAM1_OVERRIDE",39,"USE_PREVIOUS_BUSINESS_DAY","Y")),"")</f>
        <v>92.000532616153862</v>
      </c>
      <c r="AK181">
        <f t="shared" si="8"/>
        <v>6560.7823076923087</v>
      </c>
      <c r="AL181">
        <f t="shared" si="133"/>
        <v>1.4041733626858285E-2</v>
      </c>
      <c r="AM181">
        <f t="shared" si="134"/>
        <v>1.4022799157394105E-2</v>
      </c>
      <c r="AN181" s="10" t="str">
        <f t="shared" si="135"/>
        <v>UP</v>
      </c>
      <c r="AO181" s="10" t="str">
        <f t="shared" si="136"/>
        <v>UP</v>
      </c>
      <c r="AP181" s="6" t="str">
        <f t="shared" si="137"/>
        <v>POSITIVE</v>
      </c>
      <c r="AQ181" cm="1">
        <f t="array" ref="AQ181">IFERROR(VALUE(_xll.BDP($B181,"INTERVAL_exp_MOV_AVG","CALC_INTERVAL","520D","TECH_STUDIES_PARAM1_OVERRIDE",100,"USE_PREVIOUS_BUSINESS_DAY","N")),"")</f>
        <v>110.87815811447739</v>
      </c>
      <c r="AR181">
        <f t="shared" si="9"/>
        <v>6773.0064518682802</v>
      </c>
      <c r="AS181" cm="1">
        <f t="array" ref="AS181">IFERROR(VALUE(_xll.BDP($B181,"INTERVAL_exp_MOV_AVG","CALC_INTERVAL","520D","TECH_STUDIES_PARAM1_OVERRIDE",100,"USE_PREVIOUS_BUSINESS_DAY","Y")),"")</f>
        <v>110.26623132526777</v>
      </c>
      <c r="AT181">
        <f t="shared" si="10"/>
        <v>6769.6039787132295</v>
      </c>
      <c r="AU181">
        <f t="shared" si="138"/>
        <v>1.6370596854206824E-2</v>
      </c>
      <c r="AV181">
        <f t="shared" si="139"/>
        <v>1.6288431593930144E-2</v>
      </c>
      <c r="AW181" s="11" t="str">
        <f t="shared" si="140"/>
        <v>UP</v>
      </c>
      <c r="AX181" s="11" t="str">
        <f t="shared" si="141"/>
        <v>UP</v>
      </c>
      <c r="AY181" s="6" t="str">
        <f t="shared" si="142"/>
        <v>POSITIVE</v>
      </c>
      <c r="AZ181" s="12" cm="1">
        <f t="array" ref="AZ181">_xll.BDP($B181, "INTERVAL_RSI", "TECH_STUDIES_PARAM1_OVERRIDE", "5", "PERIODICITY_OVERRIDE", "W")</f>
        <v>68.076869076008734</v>
      </c>
      <c r="BA181" cm="1">
        <f t="array" ref="BA181">IFERROR(VALUE(_xll.BDP($B181,"INTERVAL_MAE_MOV_AVG","CALC_INTERVAL","520D","TECH_STUDIES_PARAM1_OVERRIDE",31,"USE_PREVIOUS_BUSINESS_DAY","N")),"")</f>
        <v>129.31677413448213</v>
      </c>
      <c r="BB181" cm="1">
        <f t="array" ref="BB181">IFERROR(VALUE(_xll.BDP($B181,"INTERVAL_MAE_MOV_AVG","CALC_INTERVAL","760D","TECH_STUDIES_PARAM1_OVERRIDE",200,"USE_PREVIOUS_BUSINESS_DAY","N")),"")</f>
        <v>88.748775036194729</v>
      </c>
      <c r="BC181" s="13">
        <f t="shared" si="143"/>
        <v>9.1660389341224668E-2</v>
      </c>
      <c r="BD181" s="13">
        <f t="shared" si="144"/>
        <v>0.15454690168488261</v>
      </c>
      <c r="BE181" s="13">
        <f t="shared" si="145"/>
        <v>0.59066984239980913</v>
      </c>
      <c r="BF181" s="14" cm="1">
        <f t="array" ref="BF181">VALUE(_xll.BDP($B181,"INTERVAL_DATE_OF_CALC_HI","CALC_INTERVAL","3M"))</f>
        <v>46050</v>
      </c>
      <c r="BG181" s="14" cm="1">
        <f t="array" ref="BG181">VALUE(_xll.BDP($B181,"INTERVAL_DATE_OF_CALC_LO","CALC_INTERVAL","3M"))</f>
        <v>45981</v>
      </c>
      <c r="BH181" s="14" cm="1">
        <f t="array" ref="BH181">VALUE(_xll.BDP($B181,"INTERVAL_DATE_OF_CALC_HI","CALC_INTERVAL","1M"))</f>
        <v>46050</v>
      </c>
      <c r="BI181" s="14" cm="1">
        <f t="array" ref="BI181">VALUE(_xll.BDP($B181,"INTERVAL_DATE_OF_CALC_LO","CALC_INTERVAL","1M"))</f>
        <v>46058</v>
      </c>
      <c r="BJ181" s="15">
        <f>$F181-MIN(_xll.BDP("NYA Index","RSI_14D"),_xll.BDP("RSP US Equity","RSI_14D"))</f>
        <v>-6.631313636470729</v>
      </c>
    </row>
    <row r="182" spans="1:62" x14ac:dyDescent="0.25">
      <c r="A182" s="11">
        <v>181</v>
      </c>
      <c r="B182" s="26" t="s">
        <v>422</v>
      </c>
      <c r="C182" s="1" t="s">
        <v>423</v>
      </c>
      <c r="D182" s="1" t="s">
        <v>308</v>
      </c>
      <c r="E182" s="11" t="s">
        <v>787</v>
      </c>
      <c r="F182">
        <f>IFERROR(VALUE((_xll.BDP($B182,"interval_rsi","tech_studies_param1_override",14))),"")</f>
        <v>58.955396288713288</v>
      </c>
      <c r="G182">
        <f t="shared" si="0"/>
        <v>52.525531939815814</v>
      </c>
      <c r="H182">
        <f t="shared" si="119"/>
        <v>0</v>
      </c>
      <c r="I182" cm="1">
        <f t="array" ref="I182">IFERROR(VALUE(_xll.BDP($B182,"px_last")),"")</f>
        <v>467.63</v>
      </c>
      <c r="J182">
        <f t="shared" si="1"/>
        <v>6941.47</v>
      </c>
      <c r="K182" cm="1">
        <f t="array" ref="K182">IFERROR(VALUE(_xll.BDP($B182,"PX_YEST_CLOSE")),"")</f>
        <v>462.4</v>
      </c>
      <c r="L182">
        <f t="shared" si="2"/>
        <v>6941.81</v>
      </c>
      <c r="M182">
        <f t="shared" si="120"/>
        <v>6.7367574879672459E-2</v>
      </c>
      <c r="N182">
        <f t="shared" si="121"/>
        <v>6.6610869499453301E-2</v>
      </c>
      <c r="O182" cm="1">
        <f t="array" ref="O182">IFERROR(VALUE(_xll.BDP($B182,"INTERVAL_MAE_MOV_AVG","CALC_INTERVAL","520D","TECH_STUDIES_PARAM1_OVERRIDE",50,"USE_PREVIOUS_BUSINESS_DAY","N")),"")</f>
        <v>421.74700009765621</v>
      </c>
      <c r="P182">
        <f t="shared" si="3"/>
        <v>6894.0953999999992</v>
      </c>
      <c r="Q182" cm="1">
        <f t="array" ref="Q182">IFERROR(VALUE(_xll.BDP($B182,"INTERVAL_MAE_MOV_AVG","CALC_INTERVAL","520D","TECH_STUDIES_PARAM1_OVERRIDE",50,"USE_PREVIOUS_BUSINESS_DAY","Y")),"")</f>
        <v>420.15199999999999</v>
      </c>
      <c r="R182">
        <f t="shared" si="4"/>
        <v>6892.2477999999992</v>
      </c>
      <c r="S182">
        <f t="shared" si="122"/>
        <v>6.1175103567272404E-2</v>
      </c>
      <c r="T182">
        <f t="shared" si="123"/>
        <v>6.0960083298223847E-2</v>
      </c>
      <c r="U182" s="11" t="str">
        <f t="shared" si="124"/>
        <v>NEGATIVE</v>
      </c>
      <c r="V182" s="11" t="str">
        <f t="shared" si="125"/>
        <v/>
      </c>
      <c r="W182" s="11" t="str">
        <f t="shared" si="126"/>
        <v>UP</v>
      </c>
      <c r="X182" s="6" t="str">
        <f t="shared" si="127"/>
        <v>POSITIVE</v>
      </c>
      <c r="Y182" cm="1">
        <f t="array" ref="Y182">IFERROR(VALUE(_xll.BDP($B182,"INTERVAL_MAE_MOV_AVG","CALC_INTERVAL","520D","TECH_STUDIES_PARAM1_OVERRIDE",65,"USE_PREVIOUS_BUSINESS_DAY","N")),"")</f>
        <v>411.69369238281251</v>
      </c>
      <c r="Z182">
        <f t="shared" si="5"/>
        <v>6856.0226153846133</v>
      </c>
      <c r="AA182" cm="1">
        <f t="array" ref="AA182">IFERROR(VALUE(_xll.BDP($B182,"INTERVAL_MAE_MOV_AVG","CALC_INTERVAL","520D","TECH_STUDIES_PARAM1_OVERRIDE",65,"USE_PREVIOUS_BUSINESS_DAY","Y")),"")</f>
        <v>410.1312307692308</v>
      </c>
      <c r="AB182">
        <f t="shared" si="6"/>
        <v>6852.6203076923057</v>
      </c>
      <c r="AC182">
        <f t="shared" si="128"/>
        <v>6.0048473506926589E-2</v>
      </c>
      <c r="AD182">
        <f t="shared" si="129"/>
        <v>5.9850278047485599E-2</v>
      </c>
      <c r="AE182" s="10" t="str">
        <f t="shared" si="130"/>
        <v>UP</v>
      </c>
      <c r="AF182" s="10" t="str">
        <f t="shared" si="131"/>
        <v>UP</v>
      </c>
      <c r="AG182" s="6" t="str">
        <f t="shared" si="132"/>
        <v>POSITIVE</v>
      </c>
      <c r="AH182" cm="1">
        <f t="array" ref="AH182">IFERROR(VALUE(_xll.BDP($B182,"INTERVAL_MAE_MOV_AVG","CALC_INTERVAL","65W","PERIODICITY_OVERRIDE","W","TECH_STUDIES_PARAM1_OVERRIDE",39,"USE_PREVIOUS_BUSINESS_DAY","N")),"")</f>
        <v>359.34358986878999</v>
      </c>
      <c r="AI182">
        <f t="shared" si="7"/>
        <v>6560.7735897435905</v>
      </c>
      <c r="AJ182" cm="1">
        <f t="array" ref="AJ182">IFERROR(VALUE(_xll.BDP($B182,"INTERVAL_MAE_MOV_AVG","CALC_INTERVAL","65W","PERIODICITY_OVERRIDE","W","TECH_STUDIES_PARAM1_OVERRIDE",39,"USE_PREVIOUS_BUSINESS_DAY","Y")),"")</f>
        <v>359.2094871794871</v>
      </c>
      <c r="AK182">
        <f t="shared" si="8"/>
        <v>6560.7823076923087</v>
      </c>
      <c r="AL182">
        <f t="shared" si="133"/>
        <v>5.4771527313570031E-2</v>
      </c>
      <c r="AM182">
        <f t="shared" si="134"/>
        <v>5.4751014487757869E-2</v>
      </c>
      <c r="AN182" s="10" t="str">
        <f t="shared" si="135"/>
        <v>UP</v>
      </c>
      <c r="AO182" s="10" t="str">
        <f t="shared" si="136"/>
        <v>UP</v>
      </c>
      <c r="AP182" s="6" t="str">
        <f t="shared" si="137"/>
        <v>POSITIVE</v>
      </c>
      <c r="AQ182" cm="1">
        <f t="array" ref="AQ182">IFERROR(VALUE(_xll.BDP($B182,"INTERVAL_exp_MOV_AVG","CALC_INTERVAL","520D","TECH_STUDIES_PARAM1_OVERRIDE",100,"USE_PREVIOUS_BUSINESS_DAY","N")),"")</f>
        <v>399.84883820415416</v>
      </c>
      <c r="AR182">
        <f t="shared" si="9"/>
        <v>6773.0064518682802</v>
      </c>
      <c r="AS182" cm="1">
        <f t="array" ref="AS182">IFERROR(VALUE(_xll.BDP($B182,"INTERVAL_exp_MOV_AVG","CALC_INTERVAL","520D","TECH_STUDIES_PARAM1_OVERRIDE",100,"USE_PREVIOUS_BUSINESS_DAY","Y")),"")</f>
        <v>398.47958595118934</v>
      </c>
      <c r="AT182">
        <f t="shared" si="10"/>
        <v>6769.6039787132295</v>
      </c>
      <c r="AU182">
        <f t="shared" si="138"/>
        <v>5.9035649979907963E-2</v>
      </c>
      <c r="AV182">
        <f t="shared" si="139"/>
        <v>5.886305716024065E-2</v>
      </c>
      <c r="AW182" s="11" t="str">
        <f t="shared" si="140"/>
        <v>UP</v>
      </c>
      <c r="AX182" s="11" t="str">
        <f t="shared" si="141"/>
        <v>UP</v>
      </c>
      <c r="AY182" s="6" t="str">
        <f t="shared" si="142"/>
        <v>POSITIVE</v>
      </c>
      <c r="AZ182" s="12" cm="1">
        <f t="array" ref="AZ182">_xll.BDP($B182, "INTERVAL_RSI", "TECH_STUDIES_PARAM1_OVERRIDE", "5", "PERIODICITY_OVERRIDE", "W")</f>
        <v>79.748390810630298</v>
      </c>
      <c r="BA182" cm="1">
        <f t="array" ref="BA182">IFERROR(VALUE(_xll.BDP($B182,"INTERVAL_MAE_MOV_AVG","CALC_INTERVAL","520D","TECH_STUDIES_PARAM1_OVERRIDE",31,"USE_PREVIOUS_BUSINESS_DAY","N")),"")</f>
        <v>437.42741951234876</v>
      </c>
      <c r="BB182" cm="1">
        <f t="array" ref="BB182">IFERROR(VALUE(_xll.BDP($B182,"INTERVAL_MAE_MOV_AVG","CALC_INTERVAL","760D","TECH_STUDIES_PARAM1_OVERRIDE",200,"USE_PREVIOUS_BUSINESS_DAY","N")),"")</f>
        <v>353.30095002441436</v>
      </c>
      <c r="BC182" s="13">
        <f t="shared" si="143"/>
        <v>6.9045924284585558E-2</v>
      </c>
      <c r="BD182" s="13">
        <f t="shared" si="144"/>
        <v>0.10879271196172002</v>
      </c>
      <c r="BE182" s="13">
        <f t="shared" si="145"/>
        <v>0.32360244139645</v>
      </c>
      <c r="BF182" s="14" cm="1">
        <f t="array" ref="BF182">VALUE(_xll.BDP($B182,"INTERVAL_DATE_OF_CALC_HI","CALC_INTERVAL","3M"))</f>
        <v>46051</v>
      </c>
      <c r="BG182" s="14" cm="1">
        <f t="array" ref="BG182">VALUE(_xll.BDP($B182,"INTERVAL_DATE_OF_CALC_LO","CALC_INTERVAL","3M"))</f>
        <v>45978</v>
      </c>
      <c r="BH182" s="14" cm="1">
        <f t="array" ref="BH182">VALUE(_xll.BDP($B182,"INTERVAL_DATE_OF_CALC_HI","CALC_INTERVAL","1M"))</f>
        <v>46051</v>
      </c>
      <c r="BI182" s="14" cm="1">
        <f t="array" ref="BI182">VALUE(_xll.BDP($B182,"INTERVAL_DATE_OF_CALC_LO","CALC_INTERVAL","1M"))</f>
        <v>46038</v>
      </c>
      <c r="BJ182" s="15">
        <f>$F182-MIN(_xll.BDP("NYA Index","RSI_14D"),_xll.BDP("RSP US Equity","RSI_14D"))</f>
        <v>-7.3903678714429617</v>
      </c>
    </row>
    <row r="183" spans="1:62" x14ac:dyDescent="0.25">
      <c r="A183" s="11">
        <v>182</v>
      </c>
      <c r="B183" s="26" t="s">
        <v>424</v>
      </c>
      <c r="C183" s="1" t="s">
        <v>848</v>
      </c>
      <c r="D183" s="1" t="s">
        <v>308</v>
      </c>
      <c r="E183" s="11" t="s">
        <v>787</v>
      </c>
      <c r="F183">
        <f>IFERROR(VALUE((_xll.BDP($B183,"interval_rsi","tech_studies_param1_override",14))),"")</f>
        <v>58.932401606297567</v>
      </c>
      <c r="G183">
        <f t="shared" si="0"/>
        <v>52.525531939815814</v>
      </c>
      <c r="H183">
        <f t="shared" si="119"/>
        <v>0</v>
      </c>
      <c r="I183" cm="1">
        <f t="array" ref="I183">IFERROR(VALUE(_xll.BDP($B183,"px_last")),"")</f>
        <v>100.67</v>
      </c>
      <c r="J183">
        <f t="shared" si="1"/>
        <v>6941.47</v>
      </c>
      <c r="K183" cm="1">
        <f t="array" ref="K183">IFERROR(VALUE(_xll.BDP($B183,"PX_YEST_CLOSE")),"")</f>
        <v>99.58</v>
      </c>
      <c r="L183">
        <f t="shared" si="2"/>
        <v>6941.81</v>
      </c>
      <c r="M183">
        <f t="shared" si="120"/>
        <v>1.4502691792948755E-2</v>
      </c>
      <c r="N183">
        <f t="shared" si="121"/>
        <v>1.4344961904748184E-2</v>
      </c>
      <c r="O183" cm="1">
        <f t="array" ref="O183">IFERROR(VALUE(_xll.BDP($B183,"INTERVAL_MAE_MOV_AVG","CALC_INTERVAL","520D","TECH_STUDIES_PARAM1_OVERRIDE",50,"USE_PREVIOUS_BUSINESS_DAY","N")),"")</f>
        <v>90.801799963378897</v>
      </c>
      <c r="P183">
        <f t="shared" si="3"/>
        <v>6894.0953999999992</v>
      </c>
      <c r="Q183" cm="1">
        <f t="array" ref="Q183">IFERROR(VALUE(_xll.BDP($B183,"INTERVAL_MAE_MOV_AVG","CALC_INTERVAL","520D","TECH_STUDIES_PARAM1_OVERRIDE",50,"USE_PREVIOUS_BUSINESS_DAY","Y")),"")</f>
        <v>90.457599999999999</v>
      </c>
      <c r="R183">
        <f t="shared" si="4"/>
        <v>6892.2477999999992</v>
      </c>
      <c r="S183">
        <f t="shared" si="122"/>
        <v>1.3170952053169862E-2</v>
      </c>
      <c r="T183">
        <f t="shared" si="123"/>
        <v>1.312454262018844E-2</v>
      </c>
      <c r="U183" s="11" t="str">
        <f t="shared" si="124"/>
        <v>NEGATIVE</v>
      </c>
      <c r="V183" s="11" t="str">
        <f t="shared" si="125"/>
        <v/>
      </c>
      <c r="W183" s="11" t="str">
        <f t="shared" si="126"/>
        <v>UP</v>
      </c>
      <c r="X183" s="6" t="str">
        <f t="shared" si="127"/>
        <v>POSITIVE</v>
      </c>
      <c r="Y183" cm="1">
        <f t="array" ref="Y183">IFERROR(VALUE(_xll.BDP($B183,"INTERVAL_MAE_MOV_AVG","CALC_INTERVAL","520D","TECH_STUDIES_PARAM1_OVERRIDE",65,"USE_PREVIOUS_BUSINESS_DAY","N")),"")</f>
        <v>88.628615356445295</v>
      </c>
      <c r="Z183">
        <f t="shared" si="5"/>
        <v>6856.0226153846133</v>
      </c>
      <c r="AA183" cm="1">
        <f t="array" ref="AA183">IFERROR(VALUE(_xll.BDP($B183,"INTERVAL_MAE_MOV_AVG","CALC_INTERVAL","520D","TECH_STUDIES_PARAM1_OVERRIDE",65,"USE_PREVIOUS_BUSINESS_DAY","Y")),"")</f>
        <v>88.292000000000002</v>
      </c>
      <c r="AB183">
        <f t="shared" si="6"/>
        <v>6852.6203076923057</v>
      </c>
      <c r="AC183">
        <f t="shared" si="128"/>
        <v>1.2927118291232963E-2</v>
      </c>
      <c r="AD183">
        <f t="shared" si="129"/>
        <v>1.2884414433539992E-2</v>
      </c>
      <c r="AE183" s="10" t="str">
        <f t="shared" si="130"/>
        <v>UP</v>
      </c>
      <c r="AF183" s="10" t="str">
        <f t="shared" si="131"/>
        <v>UP</v>
      </c>
      <c r="AG183" s="6" t="str">
        <f t="shared" si="132"/>
        <v>POSITIVE</v>
      </c>
      <c r="AH183" cm="1">
        <f t="array" ref="AH183">IFERROR(VALUE(_xll.BDP($B183,"INTERVAL_MAE_MOV_AVG","CALC_INTERVAL","65W","PERIODICITY_OVERRIDE","W","TECH_STUDIES_PARAM1_OVERRIDE",39,"USE_PREVIOUS_BUSINESS_DAY","N")),"")</f>
        <v>77.313846106896051</v>
      </c>
      <c r="AI183">
        <f t="shared" si="7"/>
        <v>6560.7735897435905</v>
      </c>
      <c r="AJ183" cm="1">
        <f t="array" ref="AJ183">IFERROR(VALUE(_xll.BDP($B183,"INTERVAL_MAE_MOV_AVG","CALC_INTERVAL","65W","PERIODICITY_OVERRIDE","W","TECH_STUDIES_PARAM1_OVERRIDE",39,"USE_PREVIOUS_BUSINESS_DAY","Y")),"")</f>
        <v>77.285897435897454</v>
      </c>
      <c r="AK183">
        <f t="shared" si="8"/>
        <v>6560.7823076923087</v>
      </c>
      <c r="AL183">
        <f t="shared" si="133"/>
        <v>1.1784257610681798E-2</v>
      </c>
      <c r="AM183">
        <f t="shared" si="134"/>
        <v>1.1779981991672272E-2</v>
      </c>
      <c r="AN183" s="10" t="str">
        <f t="shared" si="135"/>
        <v>UP</v>
      </c>
      <c r="AO183" s="10" t="str">
        <f t="shared" si="136"/>
        <v>UP</v>
      </c>
      <c r="AP183" s="6" t="str">
        <f t="shared" si="137"/>
        <v>POSITIVE</v>
      </c>
      <c r="AQ183" cm="1">
        <f t="array" ref="AQ183">IFERROR(VALUE(_xll.BDP($B183,"INTERVAL_exp_MOV_AVG","CALC_INTERVAL","520D","TECH_STUDIES_PARAM1_OVERRIDE",100,"USE_PREVIOUS_BUSINESS_DAY","N")),"")</f>
        <v>86.067933308899754</v>
      </c>
      <c r="AR183">
        <f t="shared" si="9"/>
        <v>6773.0064518682802</v>
      </c>
      <c r="AS183" cm="1">
        <f t="array" ref="AS183">IFERROR(VALUE(_xll.BDP($B183,"INTERVAL_exp_MOV_AVG","CALC_INTERVAL","520D","TECH_STUDIES_PARAM1_OVERRIDE",100,"USE_PREVIOUS_BUSINESS_DAY","Y")),"")</f>
        <v>85.772955445308995</v>
      </c>
      <c r="AT183">
        <f t="shared" si="10"/>
        <v>6769.6039787132295</v>
      </c>
      <c r="AU183">
        <f t="shared" si="138"/>
        <v>1.2707493182020902E-2</v>
      </c>
      <c r="AV183">
        <f t="shared" si="139"/>
        <v>1.267030622692537E-2</v>
      </c>
      <c r="AW183" s="11" t="str">
        <f t="shared" si="140"/>
        <v>UP</v>
      </c>
      <c r="AX183" s="11" t="str">
        <f t="shared" si="141"/>
        <v>UP</v>
      </c>
      <c r="AY183" s="6" t="str">
        <f t="shared" si="142"/>
        <v>POSITIVE</v>
      </c>
      <c r="AZ183" s="12" cm="1">
        <f t="array" ref="AZ183">_xll.BDP($B183, "INTERVAL_RSI", "TECH_STUDIES_PARAM1_OVERRIDE", "5", "PERIODICITY_OVERRIDE", "W")</f>
        <v>80.259366703828249</v>
      </c>
      <c r="BA183" cm="1">
        <f t="array" ref="BA183">IFERROR(VALUE(_xll.BDP($B183,"INTERVAL_MAE_MOV_AVG","CALC_INTERVAL","520D","TECH_STUDIES_PARAM1_OVERRIDE",31,"USE_PREVIOUS_BUSINESS_DAY","N")),"")</f>
        <v>94.193225747385341</v>
      </c>
      <c r="BB183" cm="1">
        <f t="array" ref="BB183">IFERROR(VALUE(_xll.BDP($B183,"INTERVAL_MAE_MOV_AVG","CALC_INTERVAL","760D","TECH_STUDIES_PARAM1_OVERRIDE",200,"USE_PREVIOUS_BUSINESS_DAY","N")),"")</f>
        <v>76.005199990844673</v>
      </c>
      <c r="BC183" s="13">
        <f t="shared" si="143"/>
        <v>6.8760510123993202E-2</v>
      </c>
      <c r="BD183" s="13">
        <f t="shared" si="144"/>
        <v>0.10867846276837057</v>
      </c>
      <c r="BE183" s="13">
        <f t="shared" si="145"/>
        <v>0.32451463863165109</v>
      </c>
      <c r="BF183" s="14" cm="1">
        <f t="array" ref="BF183">VALUE(_xll.BDP($B183,"INTERVAL_DATE_OF_CALC_HI","CALC_INTERVAL","3M"))</f>
        <v>46051</v>
      </c>
      <c r="BG183" s="14" cm="1">
        <f t="array" ref="BG183">VALUE(_xll.BDP($B183,"INTERVAL_DATE_OF_CALC_LO","CALC_INTERVAL","3M"))</f>
        <v>45978</v>
      </c>
      <c r="BH183" s="14" cm="1">
        <f t="array" ref="BH183">VALUE(_xll.BDP($B183,"INTERVAL_DATE_OF_CALC_HI","CALC_INTERVAL","1M"))</f>
        <v>46051</v>
      </c>
      <c r="BI183" s="14" cm="1">
        <f t="array" ref="BI183">VALUE(_xll.BDP($B183,"INTERVAL_DATE_OF_CALC_LO","CALC_INTERVAL","1M"))</f>
        <v>46038</v>
      </c>
      <c r="BJ183" s="15">
        <f>$F183-MIN(_xll.BDP("NYA Index","RSI_14D"),_xll.BDP("RSP US Equity","RSI_14D"))</f>
        <v>-7.4133625538586827</v>
      </c>
    </row>
    <row r="184" spans="1:62" x14ac:dyDescent="0.25">
      <c r="A184" s="11">
        <v>183</v>
      </c>
      <c r="B184" s="26" t="s">
        <v>425</v>
      </c>
      <c r="C184" s="1" t="s">
        <v>849</v>
      </c>
      <c r="D184" s="1" t="s">
        <v>308</v>
      </c>
      <c r="E184" s="11" t="s">
        <v>787</v>
      </c>
      <c r="F184">
        <f>IFERROR(VALUE((_xll.BDP($B184,"interval_rsi","tech_studies_param1_override",14))),"")</f>
        <v>59.795787687383658</v>
      </c>
      <c r="G184">
        <f t="shared" si="0"/>
        <v>52.525531939815814</v>
      </c>
      <c r="H184">
        <f t="shared" si="119"/>
        <v>0</v>
      </c>
      <c r="I184" cm="1">
        <f t="array" ref="I184">IFERROR(VALUE(_xll.BDP($B184,"px_last")),"")</f>
        <v>23.08</v>
      </c>
      <c r="J184">
        <f t="shared" si="1"/>
        <v>6941.47</v>
      </c>
      <c r="K184" cm="1">
        <f t="array" ref="K184">IFERROR(VALUE(_xll.BDP($B184,"PX_YEST_CLOSE")),"")</f>
        <v>23.13</v>
      </c>
      <c r="L184">
        <f t="shared" si="2"/>
        <v>6941.81</v>
      </c>
      <c r="M184">
        <f t="shared" si="120"/>
        <v>3.3249441400740763E-3</v>
      </c>
      <c r="N184">
        <f t="shared" si="121"/>
        <v>3.3319840214583803E-3</v>
      </c>
      <c r="O184" cm="1">
        <f t="array" ref="O184">IFERROR(VALUE(_xll.BDP($B184,"INTERVAL_MAE_MOV_AVG","CALC_INTERVAL","520D","TECH_STUDIES_PARAM1_OVERRIDE",50,"USE_PREVIOUS_BUSINESS_DAY","N")),"")</f>
        <v>22.968776126587461</v>
      </c>
      <c r="P184">
        <f t="shared" si="3"/>
        <v>6894.0953999999992</v>
      </c>
      <c r="Q184" cm="1">
        <f t="array" ref="Q184">IFERROR(VALUE(_xll.BDP($B184,"INTERVAL_MAE_MOV_AVG","CALC_INTERVAL","520D","TECH_STUDIES_PARAM1_OVERRIDE",50,"USE_PREVIOUS_BUSINESS_DAY","Y")),"")</f>
        <v>22.968396838606392</v>
      </c>
      <c r="R184">
        <f t="shared" si="4"/>
        <v>6892.2477999999992</v>
      </c>
      <c r="S184">
        <f t="shared" si="122"/>
        <v>3.3316591654051469E-3</v>
      </c>
      <c r="T184">
        <f t="shared" si="123"/>
        <v>3.3324972498241278E-3</v>
      </c>
      <c r="U184" s="11" t="str">
        <f t="shared" si="124"/>
        <v>NEGATIVE</v>
      </c>
      <c r="V184" s="11" t="str">
        <f t="shared" si="125"/>
        <v/>
      </c>
      <c r="W184" s="11" t="str">
        <f t="shared" si="126"/>
        <v>DOWN</v>
      </c>
      <c r="X184" s="6" t="str">
        <f t="shared" si="127"/>
        <v>NEGATIVE</v>
      </c>
      <c r="Y184" cm="1">
        <f t="array" ref="Y184">IFERROR(VALUE(_xll.BDP($B184,"INTERVAL_MAE_MOV_AVG","CALC_INTERVAL","520D","TECH_STUDIES_PARAM1_OVERRIDE",65,"USE_PREVIOUS_BUSINESS_DAY","N")),"")</f>
        <v>22.968493013716667</v>
      </c>
      <c r="Z184">
        <f t="shared" si="5"/>
        <v>6856.0226153846133</v>
      </c>
      <c r="AA184" cm="1">
        <f t="array" ref="AA184">IFERROR(VALUE(_xll.BDP($B184,"INTERVAL_MAE_MOV_AVG","CALC_INTERVAL","520D","TECH_STUDIES_PARAM1_OVERRIDE",65,"USE_PREVIOUS_BUSINESS_DAY","Y")),"")</f>
        <v>22.966142981412414</v>
      </c>
      <c r="AB184">
        <f t="shared" si="6"/>
        <v>6852.6203076923057</v>
      </c>
      <c r="AC184">
        <f t="shared" si="128"/>
        <v>3.3501192020831991E-3</v>
      </c>
      <c r="AD184">
        <f t="shared" si="129"/>
        <v>3.3514395880991856E-3</v>
      </c>
      <c r="AE184" s="10" t="str">
        <f t="shared" si="130"/>
        <v>UP</v>
      </c>
      <c r="AF184" s="10" t="str">
        <f t="shared" si="131"/>
        <v>DOWN</v>
      </c>
      <c r="AG184" s="6" t="str">
        <f t="shared" si="132"/>
        <v>NEGATIVE</v>
      </c>
      <c r="AH184" cm="1">
        <f t="array" ref="AH184">IFERROR(VALUE(_xll.BDP($B184,"INTERVAL_MAE_MOV_AVG","CALC_INTERVAL","65W","PERIODICITY_OVERRIDE","W","TECH_STUDIES_PARAM1_OVERRIDE",39,"USE_PREVIOUS_BUSINESS_DAY","N")),"")</f>
        <v>22.69645669155155</v>
      </c>
      <c r="AI184">
        <f t="shared" si="7"/>
        <v>6560.7735897435905</v>
      </c>
      <c r="AJ184" cm="1">
        <f t="array" ref="AJ184">IFERROR(VALUE(_xll.BDP($B184,"INTERVAL_MAE_MOV_AVG","CALC_INTERVAL","65W","PERIODICITY_OVERRIDE","W","TECH_STUDIES_PARAM1_OVERRIDE",39,"USE_PREVIOUS_BUSINESS_DAY","Y")),"")</f>
        <v>22.697738744789856</v>
      </c>
      <c r="AK184">
        <f t="shared" si="8"/>
        <v>6560.7823076923087</v>
      </c>
      <c r="AL184">
        <f t="shared" si="133"/>
        <v>3.4594177624164254E-3</v>
      </c>
      <c r="AM184">
        <f t="shared" si="134"/>
        <v>3.4596085771932228E-3</v>
      </c>
      <c r="AN184" s="10" t="str">
        <f t="shared" si="135"/>
        <v>DOWN</v>
      </c>
      <c r="AO184" s="10" t="str">
        <f t="shared" si="136"/>
        <v>DOWN</v>
      </c>
      <c r="AP184" s="6" t="str">
        <f t="shared" si="137"/>
        <v>NEGATIVE</v>
      </c>
      <c r="AQ184" cm="1">
        <f t="array" ref="AQ184">IFERROR(VALUE(_xll.BDP($B184,"INTERVAL_exp_MOV_AVG","CALC_INTERVAL","520D","TECH_STUDIES_PARAM1_OVERRIDE",100,"USE_PREVIOUS_BUSINESS_DAY","N")),"")</f>
        <v>22.889540328053545</v>
      </c>
      <c r="AR184">
        <f t="shared" si="9"/>
        <v>6773.0064518682802</v>
      </c>
      <c r="AS184" cm="1">
        <f t="array" ref="AS184">IFERROR(VALUE(_xll.BDP($B184,"INTERVAL_exp_MOV_AVG","CALC_INTERVAL","520D","TECH_STUDIES_PARAM1_OVERRIDE",100,"USE_PREVIOUS_BUSINESS_DAY","Y")),"")</f>
        <v>22.885694106757207</v>
      </c>
      <c r="AT184">
        <f t="shared" si="10"/>
        <v>6769.6039787132295</v>
      </c>
      <c r="AU184">
        <f t="shared" si="138"/>
        <v>3.3795243649501687E-3</v>
      </c>
      <c r="AV184">
        <f t="shared" si="139"/>
        <v>3.3806547884810438E-3</v>
      </c>
      <c r="AW184" s="11" t="str">
        <f t="shared" si="140"/>
        <v>UP</v>
      </c>
      <c r="AX184" s="11" t="str">
        <f t="shared" si="141"/>
        <v>DOWN</v>
      </c>
      <c r="AY184" s="6" t="str">
        <f t="shared" si="142"/>
        <v>NEGATIVE</v>
      </c>
      <c r="AZ184" s="12" cm="1">
        <f t="array" ref="AZ184">_xll.BDP($B184, "INTERVAL_RSI", "TECH_STUDIES_PARAM1_OVERRIDE", "5", "PERIODICITY_OVERRIDE", "W")</f>
        <v>74.012042845437975</v>
      </c>
      <c r="BA184" cm="1">
        <f t="array" ref="BA184">IFERROR(VALUE(_xll.BDP($B184,"INTERVAL_MAE_MOV_AVG","CALC_INTERVAL","520D","TECH_STUDIES_PARAM1_OVERRIDE",31,"USE_PREVIOUS_BUSINESS_DAY","N")),"")</f>
        <v>22.985214511732455</v>
      </c>
      <c r="BB184" cm="1">
        <f t="array" ref="BB184">IFERROR(VALUE(_xll.BDP($B184,"INTERVAL_MAE_MOV_AVG","CALC_INTERVAL","760D","TECH_STUDIES_PARAM1_OVERRIDE",200,"USE_PREVIOUS_BUSINESS_DAY","N")),"")</f>
        <v>22.647480100581888</v>
      </c>
      <c r="BC184" s="13">
        <f t="shared" si="143"/>
        <v>4.1237591330358647E-3</v>
      </c>
      <c r="BD184" s="13">
        <f t="shared" si="144"/>
        <v>4.8423944227393712E-3</v>
      </c>
      <c r="BE184" s="13">
        <f t="shared" si="145"/>
        <v>1.9097926016369282E-2</v>
      </c>
      <c r="BF184" s="14" cm="1">
        <f t="array" ref="BF184">VALUE(_xll.BDP($B184,"INTERVAL_DATE_OF_CALC_HI","CALC_INTERVAL","3M"))</f>
        <v>46063</v>
      </c>
      <c r="BG184" s="14" cm="1">
        <f t="array" ref="BG184">VALUE(_xll.BDP($B184,"INTERVAL_DATE_OF_CALC_LO","CALC_INTERVAL","3M"))</f>
        <v>46000</v>
      </c>
      <c r="BH184" s="14" cm="1">
        <f t="array" ref="BH184">VALUE(_xll.BDP($B184,"INTERVAL_DATE_OF_CALC_HI","CALC_INTERVAL","1M"))</f>
        <v>46063</v>
      </c>
      <c r="BI184" s="14" cm="1">
        <f t="array" ref="BI184">VALUE(_xll.BDP($B184,"INTERVAL_DATE_OF_CALC_LO","CALC_INTERVAL","1M"))</f>
        <v>46042</v>
      </c>
      <c r="BJ184" s="15">
        <f>$F184-MIN(_xll.BDP("NYA Index","RSI_14D"),_xll.BDP("RSP US Equity","RSI_14D"))</f>
        <v>-6.5499764727725918</v>
      </c>
    </row>
    <row r="185" spans="1:62" x14ac:dyDescent="0.25">
      <c r="A185" s="11">
        <v>184</v>
      </c>
      <c r="B185" s="26" t="s">
        <v>426</v>
      </c>
      <c r="C185" s="1" t="s">
        <v>850</v>
      </c>
      <c r="D185" s="1" t="s">
        <v>308</v>
      </c>
      <c r="E185" s="11" t="s">
        <v>787</v>
      </c>
      <c r="F185">
        <f>IFERROR(VALUE((_xll.BDP($B185,"interval_rsi","tech_studies_param1_override",14))),"")</f>
        <v>56.7898961467261</v>
      </c>
      <c r="G185">
        <f t="shared" si="0"/>
        <v>52.525531939815814</v>
      </c>
      <c r="H185">
        <f t="shared" si="119"/>
        <v>0</v>
      </c>
      <c r="I185" cm="1">
        <f t="array" ref="I185">IFERROR(VALUE(_xll.BDP($B185,"px_last")),"")</f>
        <v>73.84</v>
      </c>
      <c r="J185">
        <f t="shared" si="1"/>
        <v>6941.47</v>
      </c>
      <c r="K185" cm="1">
        <f t="array" ref="K185">IFERROR(VALUE(_xll.BDP($B185,"PX_YEST_CLOSE")),"")</f>
        <v>74.540000000000006</v>
      </c>
      <c r="L185">
        <f t="shared" si="2"/>
        <v>6941.81</v>
      </c>
      <c r="M185">
        <f t="shared" si="120"/>
        <v>1.0637516260964897E-2</v>
      </c>
      <c r="N185">
        <f t="shared" si="121"/>
        <v>1.0737833504518275E-2</v>
      </c>
      <c r="O185" cm="1">
        <f t="array" ref="O185">IFERROR(VALUE(_xll.BDP($B185,"INTERVAL_MAE_MOV_AVG","CALC_INTERVAL","520D","TECH_STUDIES_PARAM1_OVERRIDE",50,"USE_PREVIOUS_BUSINESS_DAY","N")),"")</f>
        <v>69.26402295075782</v>
      </c>
      <c r="P185">
        <f t="shared" si="3"/>
        <v>6894.0953999999992</v>
      </c>
      <c r="Q185" cm="1">
        <f t="array" ref="Q185">IFERROR(VALUE(_xll.BDP($B185,"INTERVAL_MAE_MOV_AVG","CALC_INTERVAL","520D","TECH_STUDIES_PARAM1_OVERRIDE",50,"USE_PREVIOUS_BUSINESS_DAY","Y")),"")</f>
        <v>69.066704652000013</v>
      </c>
      <c r="R185">
        <f t="shared" si="4"/>
        <v>6892.2477999999992</v>
      </c>
      <c r="S185">
        <f t="shared" si="122"/>
        <v>1.0046861688446875E-2</v>
      </c>
      <c r="T185">
        <f t="shared" si="123"/>
        <v>1.0020925923760318E-2</v>
      </c>
      <c r="U185" s="11" t="str">
        <f t="shared" si="124"/>
        <v>NEGATIVE</v>
      </c>
      <c r="V185" s="11" t="str">
        <f t="shared" si="125"/>
        <v/>
      </c>
      <c r="W185" s="11" t="str">
        <f t="shared" si="126"/>
        <v>UP</v>
      </c>
      <c r="X185" s="6" t="str">
        <f t="shared" si="127"/>
        <v>POSITIVE</v>
      </c>
      <c r="Y185" cm="1">
        <f t="array" ref="Y185">IFERROR(VALUE(_xll.BDP($B185,"INTERVAL_MAE_MOV_AVG","CALC_INTERVAL","520D","TECH_STUDIES_PARAM1_OVERRIDE",65,"USE_PREVIOUS_BUSINESS_DAY","N")),"")</f>
        <v>67.790733974429116</v>
      </c>
      <c r="Z185">
        <f t="shared" si="5"/>
        <v>6856.0226153846133</v>
      </c>
      <c r="AA185" cm="1">
        <f t="array" ref="AA185">IFERROR(VALUE(_xll.BDP($B185,"INTERVAL_MAE_MOV_AVG","CALC_INTERVAL","520D","TECH_STUDIES_PARAM1_OVERRIDE",65,"USE_PREVIOUS_BUSINESS_DAY","Y")),"")</f>
        <v>67.596007963846162</v>
      </c>
      <c r="AB185">
        <f t="shared" si="6"/>
        <v>6852.6203076923057</v>
      </c>
      <c r="AC185">
        <f t="shared" si="128"/>
        <v>9.8877640546735784E-3</v>
      </c>
      <c r="AD185">
        <f t="shared" si="129"/>
        <v>9.8642570182922995E-3</v>
      </c>
      <c r="AE185" s="10" t="str">
        <f t="shared" si="130"/>
        <v>UP</v>
      </c>
      <c r="AF185" s="10" t="str">
        <f t="shared" si="131"/>
        <v>UP</v>
      </c>
      <c r="AG185" s="6" t="str">
        <f t="shared" si="132"/>
        <v>POSITIVE</v>
      </c>
      <c r="AH185" cm="1">
        <f t="array" ref="AH185">IFERROR(VALUE(_xll.BDP($B185,"INTERVAL_MAE_MOV_AVG","CALC_INTERVAL","65W","PERIODICITY_OVERRIDE","W","TECH_STUDIES_PARAM1_OVERRIDE",39,"USE_PREVIOUS_BUSINESS_DAY","N")),"")</f>
        <v>63.01266172296026</v>
      </c>
      <c r="AI185">
        <f t="shared" si="7"/>
        <v>6560.7735897435905</v>
      </c>
      <c r="AJ185" cm="1">
        <f t="array" ref="AJ185">IFERROR(VALUE(_xll.BDP($B185,"INTERVAL_MAE_MOV_AVG","CALC_INTERVAL","65W","PERIODICITY_OVERRIDE","W","TECH_STUDIES_PARAM1_OVERRIDE",39,"USE_PREVIOUS_BUSINESS_DAY","Y")),"")</f>
        <v>63.03061053480922</v>
      </c>
      <c r="AK185">
        <f t="shared" si="8"/>
        <v>6560.7823076923087</v>
      </c>
      <c r="AL185">
        <f t="shared" si="133"/>
        <v>9.6044560692457818E-3</v>
      </c>
      <c r="AM185">
        <f t="shared" si="134"/>
        <v>9.6071790799868231E-3</v>
      </c>
      <c r="AN185" s="10" t="str">
        <f t="shared" si="135"/>
        <v>DOWN</v>
      </c>
      <c r="AO185" s="10" t="str">
        <f t="shared" si="136"/>
        <v>DOWN</v>
      </c>
      <c r="AP185" s="6" t="str">
        <f t="shared" si="137"/>
        <v>POSITIVE</v>
      </c>
      <c r="AQ185" cm="1">
        <f t="array" ref="AQ185">IFERROR(VALUE(_xll.BDP($B185,"INTERVAL_exp_MOV_AVG","CALC_INTERVAL","520D","TECH_STUDIES_PARAM1_OVERRIDE",100,"USE_PREVIOUS_BUSINESS_DAY","N")),"")</f>
        <v>66.85281678821255</v>
      </c>
      <c r="AR185">
        <f t="shared" si="9"/>
        <v>6773.0064518682802</v>
      </c>
      <c r="AS185" cm="1">
        <f t="array" ref="AS185">IFERROR(VALUE(_xll.BDP($B185,"INTERVAL_exp_MOV_AVG","CALC_INTERVAL","520D","TECH_STUDIES_PARAM1_OVERRIDE",100,"USE_PREVIOUS_BUSINESS_DAY","Y")),"")</f>
        <v>66.711658783589328</v>
      </c>
      <c r="AT185">
        <f t="shared" si="10"/>
        <v>6769.6039787132295</v>
      </c>
      <c r="AU185">
        <f t="shared" si="138"/>
        <v>9.8704788284634994E-3</v>
      </c>
      <c r="AV185">
        <f t="shared" si="139"/>
        <v>9.854588096048408E-3</v>
      </c>
      <c r="AW185" s="11" t="str">
        <f t="shared" si="140"/>
        <v>UP</v>
      </c>
      <c r="AX185" s="11" t="str">
        <f t="shared" si="141"/>
        <v>UP</v>
      </c>
      <c r="AY185" s="6" t="str">
        <f t="shared" si="142"/>
        <v>POSITIVE</v>
      </c>
      <c r="AZ185" s="12" cm="1">
        <f t="array" ref="AZ185">_xll.BDP($B185, "INTERVAL_RSI", "TECH_STUDIES_PARAM1_OVERRIDE", "5", "PERIODICITY_OVERRIDE", "W")</f>
        <v>77.059945500478165</v>
      </c>
      <c r="BA185" cm="1">
        <f t="array" ref="BA185">IFERROR(VALUE(_xll.BDP($B185,"INTERVAL_MAE_MOV_AVG","CALC_INTERVAL","520D","TECH_STUDIES_PARAM1_OVERRIDE",31,"USE_PREVIOUS_BUSINESS_DAY","N")),"")</f>
        <v>71.448498591544862</v>
      </c>
      <c r="BB185" cm="1">
        <f t="array" ref="BB185">IFERROR(VALUE(_xll.BDP($B185,"INTERVAL_MAE_MOV_AVG","CALC_INTERVAL","760D","TECH_STUDIES_PARAM1_OVERRIDE",200,"USE_PREVIOUS_BUSINESS_DAY","N")),"")</f>
        <v>61.789446604038808</v>
      </c>
      <c r="BC185" s="13">
        <f t="shared" si="143"/>
        <v>3.347168177916271E-2</v>
      </c>
      <c r="BD185" s="13">
        <f t="shared" si="144"/>
        <v>6.606571282316942E-2</v>
      </c>
      <c r="BE185" s="13">
        <f t="shared" si="145"/>
        <v>0.1950260774009509</v>
      </c>
      <c r="BF185" s="14" cm="1">
        <f t="array" ref="BF185">VALUE(_xll.BDP($B185,"INTERVAL_DATE_OF_CALC_HI","CALC_INTERVAL","3M"))</f>
        <v>46050</v>
      </c>
      <c r="BG185" s="14" cm="1">
        <f t="array" ref="BG185">VALUE(_xll.BDP($B185,"INTERVAL_DATE_OF_CALC_LO","CALC_INTERVAL","3M"))</f>
        <v>45981</v>
      </c>
      <c r="BH185" s="14" cm="1">
        <f t="array" ref="BH185">VALUE(_xll.BDP($B185,"INTERVAL_DATE_OF_CALC_HI","CALC_INTERVAL","1M"))</f>
        <v>46050</v>
      </c>
      <c r="BI185" s="14" cm="1">
        <f t="array" ref="BI185">VALUE(_xll.BDP($B185,"INTERVAL_DATE_OF_CALC_LO","CALC_INTERVAL","1M"))</f>
        <v>46035</v>
      </c>
      <c r="BJ185" s="15">
        <f>$F185-MIN(_xll.BDP("NYA Index","RSI_14D"),_xll.BDP("RSP US Equity","RSI_14D"))</f>
        <v>-9.5558680134301497</v>
      </c>
    </row>
    <row r="186" spans="1:62" x14ac:dyDescent="0.25">
      <c r="A186" s="11">
        <v>185</v>
      </c>
      <c r="B186" s="26" t="s">
        <v>427</v>
      </c>
      <c r="C186" s="1" t="s">
        <v>851</v>
      </c>
      <c r="D186" s="1" t="s">
        <v>308</v>
      </c>
      <c r="E186" s="11" t="s">
        <v>787</v>
      </c>
      <c r="F186">
        <f>IFERROR(VALUE((_xll.BDP($B186,"interval_rsi","tech_studies_param1_override",14))),"")</f>
        <v>59.401045028461311</v>
      </c>
      <c r="G186">
        <f t="shared" si="0"/>
        <v>52.525531939815814</v>
      </c>
      <c r="H186">
        <f t="shared" si="119"/>
        <v>0</v>
      </c>
      <c r="I186" cm="1">
        <f t="array" ref="I186">IFERROR(VALUE(_xll.BDP($B186,"px_last")),"")</f>
        <v>25.23</v>
      </c>
      <c r="J186">
        <f t="shared" si="1"/>
        <v>6941.47</v>
      </c>
      <c r="K186" cm="1">
        <f t="array" ref="K186">IFERROR(VALUE(_xll.BDP($B186,"PX_YEST_CLOSE")),"")</f>
        <v>24.98</v>
      </c>
      <c r="L186">
        <f t="shared" si="2"/>
        <v>6941.81</v>
      </c>
      <c r="M186">
        <f t="shared" si="120"/>
        <v>3.6346768047690187E-3</v>
      </c>
      <c r="N186">
        <f t="shared" si="121"/>
        <v>3.5984851213156223E-3</v>
      </c>
      <c r="O186" cm="1">
        <f t="array" ref="O186">IFERROR(VALUE(_xll.BDP($B186,"INTERVAL_MAE_MOV_AVG","CALC_INTERVAL","520D","TECH_STUDIES_PARAM1_OVERRIDE",50,"USE_PREVIOUS_BUSINESS_DAY","N")),"")</f>
        <v>23.850199990844732</v>
      </c>
      <c r="P186">
        <f t="shared" si="3"/>
        <v>6894.0953999999992</v>
      </c>
      <c r="Q186" cm="1">
        <f t="array" ref="Q186">IFERROR(VALUE(_xll.BDP($B186,"INTERVAL_MAE_MOV_AVG","CALC_INTERVAL","520D","TECH_STUDIES_PARAM1_OVERRIDE",50,"USE_PREVIOUS_BUSINESS_DAY","Y")),"")</f>
        <v>23.811000000000003</v>
      </c>
      <c r="R186">
        <f t="shared" si="4"/>
        <v>6892.2477999999992</v>
      </c>
      <c r="S186">
        <f t="shared" si="122"/>
        <v>3.4595111623846597E-3</v>
      </c>
      <c r="T186">
        <f t="shared" si="123"/>
        <v>3.4547510030036943E-3</v>
      </c>
      <c r="U186" s="11" t="str">
        <f t="shared" si="124"/>
        <v>NEGATIVE</v>
      </c>
      <c r="V186" s="11" t="str">
        <f t="shared" si="125"/>
        <v/>
      </c>
      <c r="W186" s="11" t="str">
        <f t="shared" si="126"/>
        <v>UP</v>
      </c>
      <c r="X186" s="6" t="str">
        <f t="shared" si="127"/>
        <v>POSITIVE</v>
      </c>
      <c r="Y186" cm="1">
        <f t="array" ref="Y186">IFERROR(VALUE(_xll.BDP($B186,"INTERVAL_MAE_MOV_AVG","CALC_INTERVAL","520D","TECH_STUDIES_PARAM1_OVERRIDE",65,"USE_PREVIOUS_BUSINESS_DAY","N")),"")</f>
        <v>23.686769223726724</v>
      </c>
      <c r="Z186">
        <f t="shared" si="5"/>
        <v>6856.0226153846133</v>
      </c>
      <c r="AA186" cm="1">
        <f t="array" ref="AA186">IFERROR(VALUE(_xll.BDP($B186,"INTERVAL_MAE_MOV_AVG","CALC_INTERVAL","520D","TECH_STUDIES_PARAM1_OVERRIDE",65,"USE_PREVIOUS_BUSINESS_DAY","Y")),"")</f>
        <v>23.653230769230781</v>
      </c>
      <c r="AB186">
        <f t="shared" si="6"/>
        <v>6852.6203076923057</v>
      </c>
      <c r="AC186">
        <f t="shared" si="128"/>
        <v>3.4548849314724626E-3</v>
      </c>
      <c r="AD186">
        <f t="shared" si="129"/>
        <v>3.4517060200576419E-3</v>
      </c>
      <c r="AE186" s="10" t="str">
        <f t="shared" si="130"/>
        <v>UP</v>
      </c>
      <c r="AF186" s="10" t="str">
        <f t="shared" si="131"/>
        <v>UP</v>
      </c>
      <c r="AG186" s="6" t="str">
        <f t="shared" si="132"/>
        <v>POSITIVE</v>
      </c>
      <c r="AH186" cm="1">
        <f t="array" ref="AH186">IFERROR(VALUE(_xll.BDP($B186,"INTERVAL_MAE_MOV_AVG","CALC_INTERVAL","65W","PERIODICITY_OVERRIDE","W","TECH_STUDIES_PARAM1_OVERRIDE",39,"USE_PREVIOUS_BUSINESS_DAY","N")),"")</f>
        <v>23.004871783134259</v>
      </c>
      <c r="AI186">
        <f t="shared" si="7"/>
        <v>6560.7735897435905</v>
      </c>
      <c r="AJ186" cm="1">
        <f t="array" ref="AJ186">IFERROR(VALUE(_xll.BDP($B186,"INTERVAL_MAE_MOV_AVG","CALC_INTERVAL","65W","PERIODICITY_OVERRIDE","W","TECH_STUDIES_PARAM1_OVERRIDE",39,"USE_PREVIOUS_BUSINESS_DAY","Y")),"")</f>
        <v>22.99846153846153</v>
      </c>
      <c r="AK186">
        <f t="shared" si="8"/>
        <v>6560.7823076923087</v>
      </c>
      <c r="AL186">
        <f t="shared" si="133"/>
        <v>3.5064267145413475E-3</v>
      </c>
      <c r="AM186">
        <f t="shared" si="134"/>
        <v>3.5054450002854941E-3</v>
      </c>
      <c r="AN186" s="10" t="str">
        <f t="shared" si="135"/>
        <v>UP</v>
      </c>
      <c r="AO186" s="10" t="str">
        <f t="shared" si="136"/>
        <v>UP</v>
      </c>
      <c r="AP186" s="6" t="str">
        <f t="shared" si="137"/>
        <v>POSITIVE</v>
      </c>
      <c r="AQ186" cm="1">
        <f t="array" ref="AQ186">IFERROR(VALUE(_xll.BDP($B186,"INTERVAL_exp_MOV_AVG","CALC_INTERVAL","520D","TECH_STUDIES_PARAM1_OVERRIDE",100,"USE_PREVIOUS_BUSINESS_DAY","N")),"")</f>
        <v>23.598162592816184</v>
      </c>
      <c r="AR186">
        <f t="shared" si="9"/>
        <v>6773.0064518682802</v>
      </c>
      <c r="AS186" cm="1">
        <f t="array" ref="AS186">IFERROR(VALUE(_xll.BDP($B186,"INTERVAL_exp_MOV_AVG","CALC_INTERVAL","520D","TECH_STUDIES_PARAM1_OVERRIDE",100,"USE_PREVIOUS_BUSINESS_DAY","Y")),"")</f>
        <v>23.56519556906721</v>
      </c>
      <c r="AT186">
        <f t="shared" si="10"/>
        <v>6769.6039787132295</v>
      </c>
      <c r="AU186">
        <f t="shared" si="138"/>
        <v>3.4841488429863841E-3</v>
      </c>
      <c r="AV186">
        <f t="shared" si="139"/>
        <v>3.4810301523053788E-3</v>
      </c>
      <c r="AW186" s="11" t="str">
        <f t="shared" si="140"/>
        <v>UP</v>
      </c>
      <c r="AX186" s="11" t="str">
        <f t="shared" si="141"/>
        <v>UP</v>
      </c>
      <c r="AY186" s="6" t="str">
        <f t="shared" si="142"/>
        <v>POSITIVE</v>
      </c>
      <c r="AZ186" s="12" cm="1">
        <f t="array" ref="AZ186">_xll.BDP($B186, "INTERVAL_RSI", "TECH_STUDIES_PARAM1_OVERRIDE", "5", "PERIODICITY_OVERRIDE", "W")</f>
        <v>72.409656292739427</v>
      </c>
      <c r="BA186" cm="1">
        <f t="array" ref="BA186">IFERROR(VALUE(_xll.BDP($B186,"INTERVAL_MAE_MOV_AVG","CALC_INTERVAL","520D","TECH_STUDIES_PARAM1_OVERRIDE",31,"USE_PREVIOUS_BUSINESS_DAY","N")),"")</f>
        <v>24.302903211039879</v>
      </c>
      <c r="BB186" cm="1">
        <f t="array" ref="BB186">IFERROR(VALUE(_xll.BDP($B186,"INTERVAL_MAE_MOV_AVG","CALC_INTERVAL","760D","TECH_STUDIES_PARAM1_OVERRIDE",200,"USE_PREVIOUS_BUSINESS_DAY","N")),"")</f>
        <v>22.820899997711205</v>
      </c>
      <c r="BC186" s="13">
        <f t="shared" si="143"/>
        <v>3.8147573600958662E-2</v>
      </c>
      <c r="BD186" s="13">
        <f t="shared" si="144"/>
        <v>5.7852764743479224E-2</v>
      </c>
      <c r="BE186" s="13">
        <f t="shared" si="145"/>
        <v>0.1055655124263466</v>
      </c>
      <c r="BF186" s="14" cm="1">
        <f t="array" ref="BF186">VALUE(_xll.BDP($B186,"INTERVAL_DATE_OF_CALC_HI","CALC_INTERVAL","3M"))</f>
        <v>46051</v>
      </c>
      <c r="BG186" s="14" cm="1">
        <f t="array" ref="BG186">VALUE(_xll.BDP($B186,"INTERVAL_DATE_OF_CALC_LO","CALC_INTERVAL","3M"))</f>
        <v>46007</v>
      </c>
      <c r="BH186" s="14" cm="1">
        <f t="array" ref="BH186">VALUE(_xll.BDP($B186,"INTERVAL_DATE_OF_CALC_HI","CALC_INTERVAL","1M"))</f>
        <v>46051</v>
      </c>
      <c r="BI186" s="14" cm="1">
        <f t="array" ref="BI186">VALUE(_xll.BDP($B186,"INTERVAL_DATE_OF_CALC_LO","CALC_INTERVAL","1M"))</f>
        <v>46034</v>
      </c>
      <c r="BJ186" s="15">
        <f>$F186-MIN(_xll.BDP("NYA Index","RSI_14D"),_xll.BDP("RSP US Equity","RSI_14D"))</f>
        <v>-6.9447191316949386</v>
      </c>
    </row>
    <row r="187" spans="1:62" x14ac:dyDescent="0.25">
      <c r="A187" s="11">
        <v>186</v>
      </c>
      <c r="B187" s="26" t="s">
        <v>428</v>
      </c>
      <c r="C187" s="1" t="s">
        <v>852</v>
      </c>
      <c r="D187" s="1" t="s">
        <v>308</v>
      </c>
      <c r="E187" s="11" t="s">
        <v>787</v>
      </c>
      <c r="F187">
        <f>IFERROR(VALUE((_xll.BDP($B187,"interval_rsi","tech_studies_param1_override",14))),"")</f>
        <v>70.708012056312995</v>
      </c>
      <c r="G187">
        <f t="shared" si="0"/>
        <v>52.525531939815814</v>
      </c>
      <c r="H187">
        <f t="shared" si="119"/>
        <v>1</v>
      </c>
      <c r="I187" cm="1">
        <f t="array" ref="I187">IFERROR(VALUE(_xll.BDP($B187,"px_last")),"")</f>
        <v>46.42</v>
      </c>
      <c r="J187">
        <f t="shared" si="1"/>
        <v>6941.47</v>
      </c>
      <c r="K187" cm="1">
        <f t="array" ref="K187">IFERROR(VALUE(_xll.BDP($B187,"PX_YEST_CLOSE")),"")</f>
        <v>46.25</v>
      </c>
      <c r="L187">
        <f t="shared" si="2"/>
        <v>6941.81</v>
      </c>
      <c r="M187">
        <f t="shared" si="120"/>
        <v>6.6873443233205643E-3</v>
      </c>
      <c r="N187">
        <f t="shared" si="121"/>
        <v>6.6625274964310461E-3</v>
      </c>
      <c r="O187" cm="1">
        <f t="array" ref="O187">IFERROR(VALUE(_xll.BDP($B187,"INTERVAL_MAE_MOV_AVG","CALC_INTERVAL","520D","TECH_STUDIES_PARAM1_OVERRIDE",50,"USE_PREVIOUS_BUSINESS_DAY","N")),"")</f>
        <v>43.595143906698922</v>
      </c>
      <c r="P187">
        <f t="shared" si="3"/>
        <v>6894.0953999999992</v>
      </c>
      <c r="Q187" cm="1">
        <f t="array" ref="Q187">IFERROR(VALUE(_xll.BDP($B187,"INTERVAL_MAE_MOV_AVG","CALC_INTERVAL","520D","TECH_STUDIES_PARAM1_OVERRIDE",50,"USE_PREVIOUS_BUSINESS_DAY","Y")),"")</f>
        <v>43.499895813120013</v>
      </c>
      <c r="R187">
        <f t="shared" si="4"/>
        <v>6892.2477999999992</v>
      </c>
      <c r="S187">
        <f t="shared" si="122"/>
        <v>6.3235481056294817E-3</v>
      </c>
      <c r="T187">
        <f t="shared" si="123"/>
        <v>6.3114236567524485E-3</v>
      </c>
      <c r="U187" s="11" t="str">
        <f t="shared" si="124"/>
        <v>POSITIVE</v>
      </c>
      <c r="V187" s="11" t="str">
        <f t="shared" si="125"/>
        <v/>
      </c>
      <c r="W187" s="11" t="str">
        <f t="shared" si="126"/>
        <v>UP</v>
      </c>
      <c r="X187" s="6" t="str">
        <f t="shared" si="127"/>
        <v>POSITIVE</v>
      </c>
      <c r="Y187" cm="1">
        <f t="array" ref="Y187">IFERROR(VALUE(_xll.BDP($B187,"INTERVAL_MAE_MOV_AVG","CALC_INTERVAL","520D","TECH_STUDIES_PARAM1_OVERRIDE",65,"USE_PREVIOUS_BUSINESS_DAY","N")),"")</f>
        <v>43.020130501537636</v>
      </c>
      <c r="Z187">
        <f t="shared" si="5"/>
        <v>6856.0226153846133</v>
      </c>
      <c r="AA187" cm="1">
        <f t="array" ref="AA187">IFERROR(VALUE(_xll.BDP($B187,"INTERVAL_MAE_MOV_AVG","CALC_INTERVAL","520D","TECH_STUDIES_PARAM1_OVERRIDE",65,"USE_PREVIOUS_BUSINESS_DAY","Y")),"")</f>
        <v>42.934770547553853</v>
      </c>
      <c r="AB187">
        <f t="shared" si="6"/>
        <v>6852.6203076923057</v>
      </c>
      <c r="AC187">
        <f t="shared" si="128"/>
        <v>6.2747941357431279E-3</v>
      </c>
      <c r="AD187">
        <f t="shared" si="129"/>
        <v>6.2654530120920425E-3</v>
      </c>
      <c r="AE187" s="10" t="str">
        <f t="shared" si="130"/>
        <v>UP</v>
      </c>
      <c r="AF187" s="10" t="str">
        <f t="shared" si="131"/>
        <v>UP</v>
      </c>
      <c r="AG187" s="6" t="str">
        <f t="shared" si="132"/>
        <v>POSITIVE</v>
      </c>
      <c r="AH187" cm="1">
        <f t="array" ref="AH187">IFERROR(VALUE(_xll.BDP($B187,"INTERVAL_MAE_MOV_AVG","CALC_INTERVAL","65W","PERIODICITY_OVERRIDE","W","TECH_STUDIES_PARAM1_OVERRIDE",39,"USE_PREVIOUS_BUSINESS_DAY","N")),"")</f>
        <v>41.076571214215598</v>
      </c>
      <c r="AI187">
        <f t="shared" si="7"/>
        <v>6560.7735897435905</v>
      </c>
      <c r="AJ187" cm="1">
        <f t="array" ref="AJ187">IFERROR(VALUE(_xll.BDP($B187,"INTERVAL_MAE_MOV_AVG","CALC_INTERVAL","65W","PERIODICITY_OVERRIDE","W","TECH_STUDIES_PARAM1_OVERRIDE",39,"USE_PREVIOUS_BUSINESS_DAY","Y")),"")</f>
        <v>41.072212286806739</v>
      </c>
      <c r="AK187">
        <f t="shared" si="8"/>
        <v>6560.7823076923087</v>
      </c>
      <c r="AL187">
        <f t="shared" si="133"/>
        <v>6.260934118871333E-3</v>
      </c>
      <c r="AM187">
        <f t="shared" si="134"/>
        <v>6.2602614079499139E-3</v>
      </c>
      <c r="AN187" s="10" t="str">
        <f t="shared" si="135"/>
        <v>UP</v>
      </c>
      <c r="AO187" s="10" t="str">
        <f t="shared" si="136"/>
        <v>UP</v>
      </c>
      <c r="AP187" s="6" t="str">
        <f t="shared" si="137"/>
        <v>POSITIVE</v>
      </c>
      <c r="AQ187" cm="1">
        <f t="array" ref="AQ187">IFERROR(VALUE(_xll.BDP($B187,"INTERVAL_exp_MOV_AVG","CALC_INTERVAL","520D","TECH_STUDIES_PARAM1_OVERRIDE",100,"USE_PREVIOUS_BUSINESS_DAY","N")),"")</f>
        <v>42.583884393173854</v>
      </c>
      <c r="AR187">
        <f t="shared" si="9"/>
        <v>6773.0064518682802</v>
      </c>
      <c r="AS187" cm="1">
        <f t="array" ref="AS187">IFERROR(VALUE(_xll.BDP($B187,"INTERVAL_exp_MOV_AVG","CALC_INTERVAL","520D","TECH_STUDIES_PARAM1_OVERRIDE",100,"USE_PREVIOUS_BUSINESS_DAY","Y")),"")</f>
        <v>42.50639475277351</v>
      </c>
      <c r="AT187">
        <f t="shared" si="10"/>
        <v>6769.6039787132295</v>
      </c>
      <c r="AU187">
        <f t="shared" si="138"/>
        <v>6.2872942312682169E-3</v>
      </c>
      <c r="AV187">
        <f t="shared" si="139"/>
        <v>6.279007588395614E-3</v>
      </c>
      <c r="AW187" s="11" t="str">
        <f t="shared" si="140"/>
        <v>UP</v>
      </c>
      <c r="AX187" s="11" t="str">
        <f t="shared" si="141"/>
        <v>UP</v>
      </c>
      <c r="AY187" s="6" t="str">
        <f t="shared" si="142"/>
        <v>POSITIVE</v>
      </c>
      <c r="AZ187" s="12" cm="1">
        <f t="array" ref="AZ187">_xll.BDP($B187, "INTERVAL_RSI", "TECH_STUDIES_PARAM1_OVERRIDE", "5", "PERIODICITY_OVERRIDE", "W")</f>
        <v>95.963892612102839</v>
      </c>
      <c r="BA187" cm="1">
        <f t="array" ref="BA187">IFERROR(VALUE(_xll.BDP($B187,"INTERVAL_MAE_MOV_AVG","CALC_INTERVAL","520D","TECH_STUDIES_PARAM1_OVERRIDE",31,"USE_PREVIOUS_BUSINESS_DAY","N")),"")</f>
        <v>44.369677360288563</v>
      </c>
      <c r="BB187" cm="1">
        <f t="array" ref="BB187">IFERROR(VALUE(_xll.BDP($B187,"INTERVAL_MAE_MOV_AVG","CALC_INTERVAL","760D","TECH_STUDIES_PARAM1_OVERRIDE",200,"USE_PREVIOUS_BUSINESS_DAY","N")),"")</f>
        <v>40.64367338460373</v>
      </c>
      <c r="BC187" s="13">
        <f t="shared" si="143"/>
        <v>4.6209996594352098E-2</v>
      </c>
      <c r="BD187" s="13">
        <f t="shared" si="144"/>
        <v>6.4797494403201261E-2</v>
      </c>
      <c r="BE187" s="13">
        <f t="shared" si="145"/>
        <v>0.14212117494243048</v>
      </c>
      <c r="BF187" s="14" cm="1">
        <f t="array" ref="BF187">VALUE(_xll.BDP($B187,"INTERVAL_DATE_OF_CALC_HI","CALC_INTERVAL","3M"))</f>
        <v>46064</v>
      </c>
      <c r="BG187" s="14" cm="1">
        <f t="array" ref="BG187">VALUE(_xll.BDP($B187,"INTERVAL_DATE_OF_CALC_LO","CALC_INTERVAL","3M"))</f>
        <v>45981</v>
      </c>
      <c r="BH187" s="14" cm="1">
        <f t="array" ref="BH187">VALUE(_xll.BDP($B187,"INTERVAL_DATE_OF_CALC_HI","CALC_INTERVAL","1M"))</f>
        <v>46064</v>
      </c>
      <c r="BI187" s="14" cm="1">
        <f t="array" ref="BI187">VALUE(_xll.BDP($B187,"INTERVAL_DATE_OF_CALC_LO","CALC_INTERVAL","1M"))</f>
        <v>46042</v>
      </c>
      <c r="BJ187" s="15">
        <f>$F187-MIN(_xll.BDP("NYA Index","RSI_14D"),_xll.BDP("RSP US Equity","RSI_14D"))</f>
        <v>4.3622478961567452</v>
      </c>
    </row>
    <row r="188" spans="1:62" x14ac:dyDescent="0.25">
      <c r="A188" s="11">
        <v>187</v>
      </c>
      <c r="B188" s="26" t="s">
        <v>429</v>
      </c>
      <c r="C188" s="1" t="s">
        <v>801</v>
      </c>
      <c r="D188" s="1" t="s">
        <v>308</v>
      </c>
      <c r="E188" s="11" t="s">
        <v>787</v>
      </c>
      <c r="F188">
        <f>IFERROR(VALUE((_xll.BDP($B188,"interval_rsi","tech_studies_param1_override",14))),"")</f>
        <v>45.325795934915398</v>
      </c>
      <c r="G188">
        <f t="shared" si="0"/>
        <v>52.525531939815814</v>
      </c>
      <c r="H188">
        <f t="shared" si="119"/>
        <v>0</v>
      </c>
      <c r="I188" cm="1">
        <f t="array" ref="I188">IFERROR(VALUE(_xll.BDP($B188,"px_last")),"")</f>
        <v>76.98</v>
      </c>
      <c r="J188">
        <f t="shared" si="1"/>
        <v>6941.47</v>
      </c>
      <c r="K188" cm="1">
        <f t="array" ref="K188">IFERROR(VALUE(_xll.BDP($B188,"PX_YEST_CLOSE")),"")</f>
        <v>77.53</v>
      </c>
      <c r="L188">
        <f t="shared" si="2"/>
        <v>6941.81</v>
      </c>
      <c r="M188">
        <f t="shared" si="120"/>
        <v>1.1089870013124021E-2</v>
      </c>
      <c r="N188">
        <f t="shared" si="121"/>
        <v>1.1168556903747006E-2</v>
      </c>
      <c r="O188" cm="1">
        <f t="array" ref="O188">IFERROR(VALUE(_xll.BDP($B188,"INTERVAL_MAE_MOV_AVG","CALC_INTERVAL","520D","TECH_STUDIES_PARAM1_OVERRIDE",50,"USE_PREVIOUS_BUSINESS_DAY","N")),"")</f>
        <v>80.369237432738657</v>
      </c>
      <c r="P188">
        <f t="shared" si="3"/>
        <v>6894.0953999999992</v>
      </c>
      <c r="Q188" cm="1">
        <f t="array" ref="Q188">IFERROR(VALUE(_xll.BDP($B188,"INTERVAL_MAE_MOV_AVG","CALC_INTERVAL","520D","TECH_STUDIES_PARAM1_OVERRIDE",50,"USE_PREVIOUS_BUSINESS_DAY","Y")),"")</f>
        <v>80.503407915599979</v>
      </c>
      <c r="R188">
        <f t="shared" si="4"/>
        <v>6892.2477999999992</v>
      </c>
      <c r="S188">
        <f t="shared" si="122"/>
        <v>1.1657691512760133E-2</v>
      </c>
      <c r="T188">
        <f t="shared" si="123"/>
        <v>1.1680283450574714E-2</v>
      </c>
      <c r="U188" s="11" t="str">
        <f t="shared" si="124"/>
        <v>NEGATIVE</v>
      </c>
      <c r="V188" s="11" t="str">
        <f t="shared" si="125"/>
        <v/>
      </c>
      <c r="W188" s="11" t="str">
        <f t="shared" si="126"/>
        <v>DOWN</v>
      </c>
      <c r="X188" s="6" t="str">
        <f t="shared" si="127"/>
        <v>NEGATIVE</v>
      </c>
      <c r="Y188" cm="1">
        <f t="array" ref="Y188">IFERROR(VALUE(_xll.BDP($B188,"INTERVAL_MAE_MOV_AVG","CALC_INTERVAL","520D","TECH_STUDIES_PARAM1_OVERRIDE",65,"USE_PREVIOUS_BUSINESS_DAY","N")),"")</f>
        <v>81.139378245491287</v>
      </c>
      <c r="Z188">
        <f t="shared" si="5"/>
        <v>6856.0226153846133</v>
      </c>
      <c r="AA188" cm="1">
        <f t="array" ref="AA188">IFERROR(VALUE(_xll.BDP($B188,"INTERVAL_MAE_MOV_AVG","CALC_INTERVAL","520D","TECH_STUDIES_PARAM1_OVERRIDE",65,"USE_PREVIOUS_BUSINESS_DAY","Y")),"")</f>
        <v>81.262725362461538</v>
      </c>
      <c r="AB188">
        <f t="shared" si="6"/>
        <v>6852.6203076923057</v>
      </c>
      <c r="AC188">
        <f t="shared" si="128"/>
        <v>1.1834759422090892E-2</v>
      </c>
      <c r="AD188">
        <f t="shared" si="129"/>
        <v>1.1858635341468035E-2</v>
      </c>
      <c r="AE188" s="10" t="str">
        <f t="shared" si="130"/>
        <v>DOWN</v>
      </c>
      <c r="AF188" s="10" t="str">
        <f t="shared" si="131"/>
        <v>DOWN</v>
      </c>
      <c r="AG188" s="6" t="str">
        <f t="shared" si="132"/>
        <v>NEGATIVE</v>
      </c>
      <c r="AH188" cm="1">
        <f t="array" ref="AH188">IFERROR(VALUE(_xll.BDP($B188,"INTERVAL_MAE_MOV_AVG","CALC_INTERVAL","65W","PERIODICITY_OVERRIDE","W","TECH_STUDIES_PARAM1_OVERRIDE",39,"USE_PREVIOUS_BUSINESS_DAY","N")),"")</f>
        <v>83.209698274793169</v>
      </c>
      <c r="AI188">
        <f t="shared" si="7"/>
        <v>6560.7735897435905</v>
      </c>
      <c r="AJ188" cm="1">
        <f t="array" ref="AJ188">IFERROR(VALUE(_xll.BDP($B188,"INTERVAL_MAE_MOV_AVG","CALC_INTERVAL","65W","PERIODICITY_OVERRIDE","W","TECH_STUDIES_PARAM1_OVERRIDE",39,"USE_PREVIOUS_BUSINESS_DAY","Y")),"")</f>
        <v>83.223800752820523</v>
      </c>
      <c r="AK188">
        <f t="shared" si="8"/>
        <v>6560.7823076923087</v>
      </c>
      <c r="AL188">
        <f t="shared" si="133"/>
        <v>1.2682909589331704E-2</v>
      </c>
      <c r="AM188">
        <f t="shared" si="134"/>
        <v>1.2685042247971444E-2</v>
      </c>
      <c r="AN188" s="10" t="str">
        <f t="shared" si="135"/>
        <v>DOWN</v>
      </c>
      <c r="AO188" s="10" t="str">
        <f t="shared" si="136"/>
        <v>DOWN</v>
      </c>
      <c r="AP188" s="6" t="str">
        <f t="shared" si="137"/>
        <v>NEGATIVE</v>
      </c>
      <c r="AQ188" cm="1">
        <f t="array" ref="AQ188">IFERROR(VALUE(_xll.BDP($B188,"INTERVAL_exp_MOV_AVG","CALC_INTERVAL","520D","TECH_STUDIES_PARAM1_OVERRIDE",100,"USE_PREVIOUS_BUSINESS_DAY","N")),"")</f>
        <v>81.397272043210478</v>
      </c>
      <c r="AR188">
        <f t="shared" si="9"/>
        <v>6773.0064518682802</v>
      </c>
      <c r="AS188" cm="1">
        <f t="array" ref="AS188">IFERROR(VALUE(_xll.BDP($B188,"INTERVAL_exp_MOV_AVG","CALC_INTERVAL","520D","TECH_STUDIES_PARAM1_OVERRIDE",100,"USE_PREVIOUS_BUSINESS_DAY","Y")),"")</f>
        <v>81.486522491473963</v>
      </c>
      <c r="AT188">
        <f t="shared" si="10"/>
        <v>6769.6039787132295</v>
      </c>
      <c r="AU188">
        <f t="shared" si="138"/>
        <v>1.2017893770167262E-2</v>
      </c>
      <c r="AV188">
        <f t="shared" si="139"/>
        <v>1.203711808662742E-2</v>
      </c>
      <c r="AW188" s="11" t="str">
        <f t="shared" si="140"/>
        <v>DOWN</v>
      </c>
      <c r="AX188" s="11" t="str">
        <f t="shared" si="141"/>
        <v>DOWN</v>
      </c>
      <c r="AY188" s="6" t="str">
        <f t="shared" si="142"/>
        <v>NEGATIVE</v>
      </c>
      <c r="AZ188" s="12" cm="1">
        <f t="array" ref="AZ188">_xll.BDP($B188, "INTERVAL_RSI", "TECH_STUDIES_PARAM1_OVERRIDE", "5", "PERIODICITY_OVERRIDE", "W")</f>
        <v>34.842914604953222</v>
      </c>
      <c r="BA188" cm="1">
        <f t="array" ref="BA188">IFERROR(VALUE(_xll.BDP($B188,"INTERVAL_MAE_MOV_AVG","CALC_INTERVAL","520D","TECH_STUDIES_PARAM1_OVERRIDE",31,"USE_PREVIOUS_BUSINESS_DAY","N")),"")</f>
        <v>78.756781970223656</v>
      </c>
      <c r="BB188" cm="1">
        <f t="array" ref="BB188">IFERROR(VALUE(_xll.BDP($B188,"INTERVAL_MAE_MOV_AVG","CALC_INTERVAL","760D","TECH_STUDIES_PARAM1_OVERRIDE",200,"USE_PREVIOUS_BUSINESS_DAY","N")),"")</f>
        <v>83.083190090084642</v>
      </c>
      <c r="BC188" s="13">
        <f t="shared" si="143"/>
        <v>-2.256036782832771E-2</v>
      </c>
      <c r="BD188" s="13">
        <f t="shared" si="144"/>
        <v>-4.2170829797596676E-2</v>
      </c>
      <c r="BE188" s="13">
        <f t="shared" si="145"/>
        <v>-7.3458783701819019E-2</v>
      </c>
      <c r="BF188" s="14" cm="1">
        <f t="array" ref="BF188">VALUE(_xll.BDP($B188,"INTERVAL_DATE_OF_CALC_HI","CALC_INTERVAL","3M"))</f>
        <v>45972</v>
      </c>
      <c r="BG188" s="14" cm="1">
        <f t="array" ref="BG188">VALUE(_xll.BDP($B188,"INTERVAL_DATE_OF_CALC_LO","CALC_INTERVAL","3M"))</f>
        <v>46058</v>
      </c>
      <c r="BH188" s="14" cm="1">
        <f t="array" ref="BH188">VALUE(_xll.BDP($B188,"INTERVAL_DATE_OF_CALC_HI","CALC_INTERVAL","1M"))</f>
        <v>46049</v>
      </c>
      <c r="BI188" s="14" cm="1">
        <f t="array" ref="BI188">VALUE(_xll.BDP($B188,"INTERVAL_DATE_OF_CALC_LO","CALC_INTERVAL","1M"))</f>
        <v>46058</v>
      </c>
      <c r="BJ188" s="15">
        <f>$F188-MIN(_xll.BDP("NYA Index","RSI_14D"),_xll.BDP("RSP US Equity","RSI_14D"))</f>
        <v>-21.019968225240852</v>
      </c>
    </row>
    <row r="189" spans="1:62" x14ac:dyDescent="0.25">
      <c r="A189" s="11">
        <v>188</v>
      </c>
      <c r="B189" s="26" t="s">
        <v>430</v>
      </c>
      <c r="C189" s="1" t="s">
        <v>853</v>
      </c>
      <c r="D189" s="1" t="s">
        <v>308</v>
      </c>
      <c r="E189" s="11" t="s">
        <v>787</v>
      </c>
      <c r="F189">
        <f>IFERROR(VALUE((_xll.BDP($B189,"interval_rsi","tech_studies_param1_override",14))),"")</f>
        <v>60.105837539298825</v>
      </c>
      <c r="G189">
        <f t="shared" si="0"/>
        <v>52.525531939815814</v>
      </c>
      <c r="H189">
        <f t="shared" si="119"/>
        <v>0</v>
      </c>
      <c r="I189" cm="1">
        <f t="array" ref="I189">IFERROR(VALUE(_xll.BDP($B189,"px_last")),"")</f>
        <v>80.83</v>
      </c>
      <c r="J189">
        <f t="shared" si="1"/>
        <v>6941.47</v>
      </c>
      <c r="K189" cm="1">
        <f t="array" ref="K189">IFERROR(VALUE(_xll.BDP($B189,"PX_YEST_CLOSE")),"")</f>
        <v>80.84</v>
      </c>
      <c r="L189">
        <f t="shared" si="2"/>
        <v>6941.81</v>
      </c>
      <c r="M189">
        <f t="shared" si="120"/>
        <v>1.1644507575484731E-2</v>
      </c>
      <c r="N189">
        <f t="shared" si="121"/>
        <v>1.1645377790518611E-2</v>
      </c>
      <c r="O189" cm="1">
        <f t="array" ref="O189">IFERROR(VALUE(_xll.BDP($B189,"INTERVAL_MAE_MOV_AVG","CALC_INTERVAL","520D","TECH_STUDIES_PARAM1_OVERRIDE",50,"USE_PREVIOUS_BUSINESS_DAY","N")),"")</f>
        <v>80.357123962824332</v>
      </c>
      <c r="P189">
        <f t="shared" si="3"/>
        <v>6894.0953999999992</v>
      </c>
      <c r="Q189" cm="1">
        <f t="array" ref="Q189">IFERROR(VALUE(_xll.BDP($B189,"INTERVAL_MAE_MOV_AVG","CALC_INTERVAL","520D","TECH_STUDIES_PARAM1_OVERRIDE",50,"USE_PREVIOUS_BUSINESS_DAY","Y")),"")</f>
        <v>80.337344789733081</v>
      </c>
      <c r="R189">
        <f t="shared" si="4"/>
        <v>6892.2477999999992</v>
      </c>
      <c r="S189">
        <f t="shared" si="122"/>
        <v>1.1655934433809016E-2</v>
      </c>
      <c r="T189">
        <f t="shared" si="123"/>
        <v>1.1656189260887151E-2</v>
      </c>
      <c r="U189" s="11" t="str">
        <f t="shared" si="124"/>
        <v>NEGATIVE</v>
      </c>
      <c r="V189" s="11" t="str">
        <f t="shared" si="125"/>
        <v/>
      </c>
      <c r="W189" s="11" t="str">
        <f t="shared" si="126"/>
        <v>DOWN</v>
      </c>
      <c r="X189" s="6" t="str">
        <f t="shared" si="127"/>
        <v>NEGATIVE</v>
      </c>
      <c r="Y189" cm="1">
        <f t="array" ref="Y189">IFERROR(VALUE(_xll.BDP($B189,"INTERVAL_MAE_MOV_AVG","CALC_INTERVAL","520D","TECH_STUDIES_PARAM1_OVERRIDE",65,"USE_PREVIOUS_BUSINESS_DAY","N")),"")</f>
        <v>80.115787510787925</v>
      </c>
      <c r="Z189">
        <f t="shared" si="5"/>
        <v>6856.0226153846133</v>
      </c>
      <c r="AA189" cm="1">
        <f t="array" ref="AA189">IFERROR(VALUE(_xll.BDP($B189,"INTERVAL_MAE_MOV_AVG","CALC_INTERVAL","520D","TECH_STUDIES_PARAM1_OVERRIDE",65,"USE_PREVIOUS_BUSINESS_DAY","Y")),"")</f>
        <v>80.089501317249912</v>
      </c>
      <c r="AB189">
        <f t="shared" si="6"/>
        <v>6852.6203076923057</v>
      </c>
      <c r="AC189">
        <f t="shared" si="128"/>
        <v>1.1685461382669833E-2</v>
      </c>
      <c r="AD189">
        <f t="shared" si="129"/>
        <v>1.1687427249886681E-2</v>
      </c>
      <c r="AE189" s="10" t="str">
        <f t="shared" si="130"/>
        <v>UP</v>
      </c>
      <c r="AF189" s="10" t="str">
        <f t="shared" si="131"/>
        <v>DOWN</v>
      </c>
      <c r="AG189" s="6" t="str">
        <f t="shared" si="132"/>
        <v>NEGATIVE</v>
      </c>
      <c r="AH189" cm="1">
        <f t="array" ref="AH189">IFERROR(VALUE(_xll.BDP($B189,"INTERVAL_MAE_MOV_AVG","CALC_INTERVAL","65W","PERIODICITY_OVERRIDE","W","TECH_STUDIES_PARAM1_OVERRIDE",39,"USE_PREVIOUS_BUSINESS_DAY","N")),"")</f>
        <v>78.81974480965053</v>
      </c>
      <c r="AI189">
        <f t="shared" si="7"/>
        <v>6560.7735897435905</v>
      </c>
      <c r="AJ189" cm="1">
        <f t="array" ref="AJ189">IFERROR(VALUE(_xll.BDP($B189,"INTERVAL_MAE_MOV_AVG","CALC_INTERVAL","65W","PERIODICITY_OVERRIDE","W","TECH_STUDIES_PARAM1_OVERRIDE",39,"USE_PREVIOUS_BUSINESS_DAY","Y")),"")</f>
        <v>78.820001172956822</v>
      </c>
      <c r="AK189">
        <f t="shared" si="8"/>
        <v>6560.7823076923087</v>
      </c>
      <c r="AL189">
        <f t="shared" si="133"/>
        <v>1.2013788272295947E-2</v>
      </c>
      <c r="AM189">
        <f t="shared" si="134"/>
        <v>1.2013811383520968E-2</v>
      </c>
      <c r="AN189" s="10" t="str">
        <f t="shared" si="135"/>
        <v>DOWN</v>
      </c>
      <c r="AO189" s="10" t="str">
        <f t="shared" si="136"/>
        <v>DOWN</v>
      </c>
      <c r="AP189" s="6" t="str">
        <f t="shared" si="137"/>
        <v>NEGATIVE</v>
      </c>
      <c r="AQ189" cm="1">
        <f t="array" ref="AQ189">IFERROR(VALUE(_xll.BDP($B189,"INTERVAL_exp_MOV_AVG","CALC_INTERVAL","520D","TECH_STUDIES_PARAM1_OVERRIDE",100,"USE_PREVIOUS_BUSINESS_DAY","N")),"")</f>
        <v>79.759075215560898</v>
      </c>
      <c r="AR189">
        <f t="shared" si="9"/>
        <v>6773.0064518682802</v>
      </c>
      <c r="AS189" cm="1">
        <f t="array" ref="AS189">IFERROR(VALUE(_xll.BDP($B189,"INTERVAL_exp_MOV_AVG","CALC_INTERVAL","520D","TECH_STUDIES_PARAM1_OVERRIDE",100,"USE_PREVIOUS_BUSINESS_DAY","Y")),"")</f>
        <v>79.737449391031774</v>
      </c>
      <c r="AT189">
        <f t="shared" si="10"/>
        <v>6769.6039787132295</v>
      </c>
      <c r="AU189">
        <f t="shared" si="138"/>
        <v>1.1776022329575662E-2</v>
      </c>
      <c r="AV189">
        <f t="shared" si="139"/>
        <v>1.1778746532553935E-2</v>
      </c>
      <c r="AW189" s="11" t="str">
        <f t="shared" si="140"/>
        <v>UP</v>
      </c>
      <c r="AX189" s="11" t="str">
        <f t="shared" si="141"/>
        <v>DOWN</v>
      </c>
      <c r="AY189" s="6" t="str">
        <f t="shared" si="142"/>
        <v>NEGATIVE</v>
      </c>
      <c r="AZ189" s="12" cm="1">
        <f t="array" ref="AZ189">_xll.BDP($B189, "INTERVAL_RSI", "TECH_STUDIES_PARAM1_OVERRIDE", "5", "PERIODICITY_OVERRIDE", "W")</f>
        <v>86.587955204063945</v>
      </c>
      <c r="BA189" cm="1">
        <f t="array" ref="BA189">IFERROR(VALUE(_xll.BDP($B189,"INTERVAL_MAE_MOV_AVG","CALC_INTERVAL","520D","TECH_STUDIES_PARAM1_OVERRIDE",31,"USE_PREVIOUS_BUSINESS_DAY","N")),"")</f>
        <v>80.620533921969511</v>
      </c>
      <c r="BB189" cm="1">
        <f t="array" ref="BB189">IFERROR(VALUE(_xll.BDP($B189,"INTERVAL_MAE_MOV_AVG","CALC_INTERVAL","760D","TECH_STUDIES_PARAM1_OVERRIDE",200,"USE_PREVIOUS_BUSINESS_DAY","N")),"")</f>
        <v>78.515422194881921</v>
      </c>
      <c r="BC189" s="13">
        <f t="shared" si="143"/>
        <v>2.598172795943432E-3</v>
      </c>
      <c r="BD189" s="13">
        <f t="shared" si="144"/>
        <v>5.8846809574024661E-3</v>
      </c>
      <c r="BE189" s="13">
        <f t="shared" si="145"/>
        <v>2.9479276050673242E-2</v>
      </c>
      <c r="BF189" s="14" cm="1">
        <f t="array" ref="BF189">VALUE(_xll.BDP($B189,"INTERVAL_DATE_OF_CALC_HI","CALC_INTERVAL","3M"))</f>
        <v>46062</v>
      </c>
      <c r="BG189" s="14" cm="1">
        <f t="array" ref="BG189">VALUE(_xll.BDP($B189,"INTERVAL_DATE_OF_CALC_LO","CALC_INTERVAL","3M"))</f>
        <v>45978</v>
      </c>
      <c r="BH189" s="14" cm="1">
        <f t="array" ref="BH189">VALUE(_xll.BDP($B189,"INTERVAL_DATE_OF_CALC_HI","CALC_INTERVAL","1M"))</f>
        <v>46062</v>
      </c>
      <c r="BI189" s="14" cm="1">
        <f t="array" ref="BI189">VALUE(_xll.BDP($B189,"INTERVAL_DATE_OF_CALC_LO","CALC_INTERVAL","1M"))</f>
        <v>46042</v>
      </c>
      <c r="BJ189" s="15">
        <f>$F189-MIN(_xll.BDP("NYA Index","RSI_14D"),_xll.BDP("RSP US Equity","RSI_14D"))</f>
        <v>-6.2399266208574247</v>
      </c>
    </row>
    <row r="190" spans="1:62" x14ac:dyDescent="0.25">
      <c r="A190" s="11">
        <v>189</v>
      </c>
      <c r="B190" s="26" t="s">
        <v>431</v>
      </c>
      <c r="C190" s="1" t="s">
        <v>854</v>
      </c>
      <c r="D190" s="1" t="s">
        <v>308</v>
      </c>
      <c r="E190" s="11" t="s">
        <v>787</v>
      </c>
      <c r="F190">
        <f>IFERROR(VALUE((_xll.BDP($B190,"interval_rsi","tech_studies_param1_override",14))),"")</f>
        <v>59.000873555272435</v>
      </c>
      <c r="G190">
        <f t="shared" si="0"/>
        <v>52.525531939815814</v>
      </c>
      <c r="H190">
        <f t="shared" si="119"/>
        <v>0</v>
      </c>
      <c r="I190" cm="1">
        <f t="array" ref="I190">IFERROR(VALUE(_xll.BDP($B190,"px_last")),"")</f>
        <v>95.76</v>
      </c>
      <c r="J190">
        <f t="shared" si="1"/>
        <v>6941.47</v>
      </c>
      <c r="K190" cm="1">
        <f t="array" ref="K190">IFERROR(VALUE(_xll.BDP($B190,"PX_YEST_CLOSE")),"")</f>
        <v>94.71</v>
      </c>
      <c r="L190">
        <f t="shared" si="2"/>
        <v>6941.81</v>
      </c>
      <c r="M190">
        <f t="shared" si="120"/>
        <v>1.3795348823808213E-2</v>
      </c>
      <c r="N190">
        <f t="shared" si="121"/>
        <v>1.3643415766205065E-2</v>
      </c>
      <c r="O190" cm="1">
        <f t="array" ref="O190">IFERROR(VALUE(_xll.BDP($B190,"INTERVAL_MAE_MOV_AVG","CALC_INTERVAL","520D","TECH_STUDIES_PARAM1_OVERRIDE",50,"USE_PREVIOUS_BUSINESS_DAY","N")),"")</f>
        <v>86.374200042724624</v>
      </c>
      <c r="P190">
        <f t="shared" si="3"/>
        <v>6894.0953999999992</v>
      </c>
      <c r="Q190" cm="1">
        <f t="array" ref="Q190">IFERROR(VALUE(_xll.BDP($B190,"INTERVAL_MAE_MOV_AVG","CALC_INTERVAL","520D","TECH_STUDIES_PARAM1_OVERRIDE",50,"USE_PREVIOUS_BUSINESS_DAY","Y")),"")</f>
        <v>86.047200000000032</v>
      </c>
      <c r="R190">
        <f t="shared" si="4"/>
        <v>6892.2477999999992</v>
      </c>
      <c r="S190">
        <f t="shared" si="122"/>
        <v>1.2528721323282621E-2</v>
      </c>
      <c r="T190">
        <f t="shared" si="123"/>
        <v>1.2484635273850722E-2</v>
      </c>
      <c r="U190" s="11" t="str">
        <f t="shared" si="124"/>
        <v>NEGATIVE</v>
      </c>
      <c r="V190" s="11" t="str">
        <f t="shared" si="125"/>
        <v/>
      </c>
      <c r="W190" s="11" t="str">
        <f t="shared" si="126"/>
        <v>UP</v>
      </c>
      <c r="X190" s="6" t="str">
        <f t="shared" si="127"/>
        <v>POSITIVE</v>
      </c>
      <c r="Y190" cm="1">
        <f t="array" ref="Y190">IFERROR(VALUE(_xll.BDP($B190,"INTERVAL_MAE_MOV_AVG","CALC_INTERVAL","520D","TECH_STUDIES_PARAM1_OVERRIDE",65,"USE_PREVIOUS_BUSINESS_DAY","N")),"")</f>
        <v>84.312769263634294</v>
      </c>
      <c r="Z190">
        <f t="shared" si="5"/>
        <v>6856.0226153846133</v>
      </c>
      <c r="AA190" cm="1">
        <f t="array" ref="AA190">IFERROR(VALUE(_xll.BDP($B190,"INTERVAL_MAE_MOV_AVG","CALC_INTERVAL","520D","TECH_STUDIES_PARAM1_OVERRIDE",65,"USE_PREVIOUS_BUSINESS_DAY","Y")),"")</f>
        <v>83.992923076923077</v>
      </c>
      <c r="AB190">
        <f t="shared" si="6"/>
        <v>6852.6203076923057</v>
      </c>
      <c r="AC190">
        <f t="shared" si="128"/>
        <v>1.229762122931744E-2</v>
      </c>
      <c r="AD190">
        <f t="shared" si="129"/>
        <v>1.2257051945901348E-2</v>
      </c>
      <c r="AE190" s="10" t="str">
        <f t="shared" si="130"/>
        <v>UP</v>
      </c>
      <c r="AF190" s="10" t="str">
        <f t="shared" si="131"/>
        <v>UP</v>
      </c>
      <c r="AG190" s="6" t="str">
        <f t="shared" si="132"/>
        <v>POSITIVE</v>
      </c>
      <c r="AH190" cm="1">
        <f t="array" ref="AH190">IFERROR(VALUE(_xll.BDP($B190,"INTERVAL_MAE_MOV_AVG","CALC_INTERVAL","65W","PERIODICITY_OVERRIDE","W","TECH_STUDIES_PARAM1_OVERRIDE",39,"USE_PREVIOUS_BUSINESS_DAY","N")),"")</f>
        <v>73.573076977852054</v>
      </c>
      <c r="AI190">
        <f t="shared" si="7"/>
        <v>6560.7735897435905</v>
      </c>
      <c r="AJ190" cm="1">
        <f t="array" ref="AJ190">IFERROR(VALUE(_xll.BDP($B190,"INTERVAL_MAE_MOV_AVG","CALC_INTERVAL","65W","PERIODICITY_OVERRIDE","W","TECH_STUDIES_PARAM1_OVERRIDE",39,"USE_PREVIOUS_BUSINESS_DAY","Y")),"")</f>
        <v>73.546153846153842</v>
      </c>
      <c r="AK190">
        <f t="shared" si="8"/>
        <v>6560.7823076923087</v>
      </c>
      <c r="AL190">
        <f t="shared" si="133"/>
        <v>1.121408565186098E-2</v>
      </c>
      <c r="AM190">
        <f t="shared" si="134"/>
        <v>1.1209967104063689E-2</v>
      </c>
      <c r="AN190" s="10" t="str">
        <f t="shared" si="135"/>
        <v>UP</v>
      </c>
      <c r="AO190" s="10" t="str">
        <f t="shared" si="136"/>
        <v>UP</v>
      </c>
      <c r="AP190" s="6" t="str">
        <f t="shared" si="137"/>
        <v>POSITIVE</v>
      </c>
      <c r="AQ190" cm="1">
        <f t="array" ref="AQ190">IFERROR(VALUE(_xll.BDP($B190,"INTERVAL_exp_MOV_AVG","CALC_INTERVAL","520D","TECH_STUDIES_PARAM1_OVERRIDE",100,"USE_PREVIOUS_BUSINESS_DAY","N")),"")</f>
        <v>81.882416423337062</v>
      </c>
      <c r="AR190">
        <f t="shared" si="9"/>
        <v>6773.0064518682802</v>
      </c>
      <c r="AS190" cm="1">
        <f t="array" ref="AS190">IFERROR(VALUE(_xll.BDP($B190,"INTERVAL_exp_MOV_AVG","CALC_INTERVAL","520D","TECH_STUDIES_PARAM1_OVERRIDE",100,"USE_PREVIOUS_BUSINESS_DAY","Y")),"")</f>
        <v>81.602074812478222</v>
      </c>
      <c r="AT190">
        <f t="shared" si="10"/>
        <v>6769.6039787132295</v>
      </c>
      <c r="AU190">
        <f t="shared" si="138"/>
        <v>1.2089522873664242E-2</v>
      </c>
      <c r="AV190">
        <f t="shared" si="139"/>
        <v>1.2054187374781884E-2</v>
      </c>
      <c r="AW190" s="11" t="str">
        <f t="shared" si="140"/>
        <v>UP</v>
      </c>
      <c r="AX190" s="11" t="str">
        <f t="shared" si="141"/>
        <v>UP</v>
      </c>
      <c r="AY190" s="6" t="str">
        <f t="shared" si="142"/>
        <v>POSITIVE</v>
      </c>
      <c r="AZ190" s="12" cm="1">
        <f t="array" ref="AZ190">_xll.BDP($B190, "INTERVAL_RSI", "TECH_STUDIES_PARAM1_OVERRIDE", "5", "PERIODICITY_OVERRIDE", "W")</f>
        <v>79.965837055006617</v>
      </c>
      <c r="BA190" cm="1">
        <f t="array" ref="BA190">IFERROR(VALUE(_xll.BDP($B190,"INTERVAL_MAE_MOV_AVG","CALC_INTERVAL","520D","TECH_STUDIES_PARAM1_OVERRIDE",31,"USE_PREVIOUS_BUSINESS_DAY","N")),"")</f>
        <v>89.589032326975172</v>
      </c>
      <c r="BB190" cm="1">
        <f t="array" ref="BB190">IFERROR(VALUE(_xll.BDP($B190,"INTERVAL_MAE_MOV_AVG","CALC_INTERVAL","760D","TECH_STUDIES_PARAM1_OVERRIDE",200,"USE_PREVIOUS_BUSINESS_DAY","N")),"")</f>
        <v>72.334150010681185</v>
      </c>
      <c r="BC190" s="13">
        <f t="shared" si="143"/>
        <v>6.8880838566293567E-2</v>
      </c>
      <c r="BD190" s="13">
        <f t="shared" si="144"/>
        <v>0.10866439229113256</v>
      </c>
      <c r="BE190" s="13">
        <f t="shared" si="145"/>
        <v>0.32385602078492193</v>
      </c>
      <c r="BF190" s="14" cm="1">
        <f t="array" ref="BF190">VALUE(_xll.BDP($B190,"INTERVAL_DATE_OF_CALC_HI","CALC_INTERVAL","3M"))</f>
        <v>46051</v>
      </c>
      <c r="BG190" s="14" cm="1">
        <f t="array" ref="BG190">VALUE(_xll.BDP($B190,"INTERVAL_DATE_OF_CALC_LO","CALC_INTERVAL","3M"))</f>
        <v>45978</v>
      </c>
      <c r="BH190" s="14" cm="1">
        <f t="array" ref="BH190">VALUE(_xll.BDP($B190,"INTERVAL_DATE_OF_CALC_HI","CALC_INTERVAL","1M"))</f>
        <v>46051</v>
      </c>
      <c r="BI190" s="14" cm="1">
        <f t="array" ref="BI190">VALUE(_xll.BDP($B190,"INTERVAL_DATE_OF_CALC_LO","CALC_INTERVAL","1M"))</f>
        <v>46038</v>
      </c>
      <c r="BJ190" s="15">
        <f>$F190-MIN(_xll.BDP("NYA Index","RSI_14D"),_xll.BDP("RSP US Equity","RSI_14D"))</f>
        <v>-7.3448906048838154</v>
      </c>
    </row>
    <row r="191" spans="1:62" x14ac:dyDescent="0.25">
      <c r="A191" s="11">
        <v>190</v>
      </c>
      <c r="B191" s="26" t="s">
        <v>432</v>
      </c>
      <c r="C191" s="1" t="s">
        <v>855</v>
      </c>
      <c r="D191" s="1" t="s">
        <v>308</v>
      </c>
      <c r="E191" s="11" t="s">
        <v>787</v>
      </c>
      <c r="F191">
        <f>IFERROR(VALUE((_xll.BDP($B191,"interval_rsi","tech_studies_param1_override",14))),"")</f>
        <v>49.918780376121511</v>
      </c>
      <c r="G191">
        <f t="shared" si="0"/>
        <v>52.525531939815814</v>
      </c>
      <c r="H191">
        <f t="shared" si="119"/>
        <v>0</v>
      </c>
      <c r="I191" cm="1">
        <f t="array" ref="I191">IFERROR(VALUE(_xll.BDP($B191,"px_last")),"")</f>
        <v>172.7</v>
      </c>
      <c r="J191">
        <f t="shared" si="1"/>
        <v>6941.47</v>
      </c>
      <c r="K191" cm="1">
        <f t="array" ref="K191">IFERROR(VALUE(_xll.BDP($B191,"PX_YEST_CLOSE")),"")</f>
        <v>172.06</v>
      </c>
      <c r="L191">
        <f t="shared" si="2"/>
        <v>6941.81</v>
      </c>
      <c r="M191">
        <f t="shared" si="120"/>
        <v>2.487945636875186E-2</v>
      </c>
      <c r="N191">
        <f t="shared" si="121"/>
        <v>2.4786042833209204E-2</v>
      </c>
      <c r="O191" cm="1">
        <f t="array" ref="O191">IFERROR(VALUE(_xll.BDP($B191,"INTERVAL_MAE_MOV_AVG","CALC_INTERVAL","520D","TECH_STUDIES_PARAM1_OVERRIDE",50,"USE_PREVIOUS_BUSINESS_DAY","N")),"")</f>
        <v>171.63897313336483</v>
      </c>
      <c r="P191">
        <f t="shared" si="3"/>
        <v>6894.0953999999992</v>
      </c>
      <c r="Q191" cm="1">
        <f t="array" ref="Q191">IFERROR(VALUE(_xll.BDP($B191,"INTERVAL_MAE_MOV_AVG","CALC_INTERVAL","520D","TECH_STUDIES_PARAM1_OVERRIDE",50,"USE_PREVIOUS_BUSINESS_DAY","Y")),"")</f>
        <v>171.65781498980002</v>
      </c>
      <c r="R191">
        <f t="shared" si="4"/>
        <v>6892.2477999999992</v>
      </c>
      <c r="S191">
        <f t="shared" si="122"/>
        <v>2.4896518422614932E-2</v>
      </c>
      <c r="T191">
        <f t="shared" si="123"/>
        <v>2.4905926189972456E-2</v>
      </c>
      <c r="U191" s="11" t="str">
        <f t="shared" si="124"/>
        <v>NEGATIVE</v>
      </c>
      <c r="V191" s="11" t="str">
        <f t="shared" si="125"/>
        <v/>
      </c>
      <c r="W191" s="11" t="str">
        <f t="shared" si="126"/>
        <v>DOWN</v>
      </c>
      <c r="X191" s="6" t="str">
        <f t="shared" si="127"/>
        <v>NEGATIVE</v>
      </c>
      <c r="Y191" cm="1">
        <f t="array" ref="Y191">IFERROR(VALUE(_xll.BDP($B191,"INTERVAL_MAE_MOV_AVG","CALC_INTERVAL","520D","TECH_STUDIES_PARAM1_OVERRIDE",65,"USE_PREVIOUS_BUSINESS_DAY","N")),"")</f>
        <v>170.32868747320373</v>
      </c>
      <c r="Z191">
        <f t="shared" si="5"/>
        <v>6856.0226153846133</v>
      </c>
      <c r="AA191" cm="1">
        <f t="array" ref="AA191">IFERROR(VALUE(_xll.BDP($B191,"INTERVAL_MAE_MOV_AVG","CALC_INTERVAL","520D","TECH_STUDIES_PARAM1_OVERRIDE",65,"USE_PREVIOUS_BUSINESS_DAY","Y")),"")</f>
        <v>170.1065142458462</v>
      </c>
      <c r="AB191">
        <f t="shared" si="6"/>
        <v>6852.6203076923057</v>
      </c>
      <c r="AC191">
        <f t="shared" si="128"/>
        <v>2.4843658930032354E-2</v>
      </c>
      <c r="AD191">
        <f t="shared" si="129"/>
        <v>2.4823572094735163E-2</v>
      </c>
      <c r="AE191" s="10" t="str">
        <f t="shared" si="130"/>
        <v>UP</v>
      </c>
      <c r="AF191" s="10" t="str">
        <f t="shared" si="131"/>
        <v>UP</v>
      </c>
      <c r="AG191" s="6" t="str">
        <f t="shared" si="132"/>
        <v>BUY</v>
      </c>
      <c r="AH191" cm="1">
        <f t="array" ref="AH191">IFERROR(VALUE(_xll.BDP($B191,"INTERVAL_MAE_MOV_AVG","CALC_INTERVAL","65W","PERIODICITY_OVERRIDE","W","TECH_STUDIES_PARAM1_OVERRIDE",39,"USE_PREVIOUS_BUSINESS_DAY","N")),"")</f>
        <v>149.82005724652862</v>
      </c>
      <c r="AI191">
        <f t="shared" si="7"/>
        <v>6560.7735897435905</v>
      </c>
      <c r="AJ191" cm="1">
        <f t="array" ref="AJ191">IFERROR(VALUE(_xll.BDP($B191,"INTERVAL_MAE_MOV_AVG","CALC_INTERVAL","65W","PERIODICITY_OVERRIDE","W","TECH_STUDIES_PARAM1_OVERRIDE",39,"USE_PREVIOUS_BUSINESS_DAY","Y")),"")</f>
        <v>149.80364706836855</v>
      </c>
      <c r="AK191">
        <f t="shared" si="8"/>
        <v>6560.7823076923087</v>
      </c>
      <c r="AL191">
        <f t="shared" si="133"/>
        <v>2.2835730451168323E-2</v>
      </c>
      <c r="AM191">
        <f t="shared" si="134"/>
        <v>2.2833198853851398E-2</v>
      </c>
      <c r="AN191" s="10" t="str">
        <f t="shared" si="135"/>
        <v>UP</v>
      </c>
      <c r="AO191" s="10" t="str">
        <f t="shared" si="136"/>
        <v>UP</v>
      </c>
      <c r="AP191" s="6" t="str">
        <f t="shared" si="137"/>
        <v>POSITIVE</v>
      </c>
      <c r="AQ191" cm="1">
        <f t="array" ref="AQ191">IFERROR(VALUE(_xll.BDP($B191,"INTERVAL_exp_MOV_AVG","CALC_INTERVAL","520D","TECH_STUDIES_PARAM1_OVERRIDE",100,"USE_PREVIOUS_BUSINESS_DAY","N")),"")</f>
        <v>163.62878349670819</v>
      </c>
      <c r="AR191">
        <f t="shared" si="9"/>
        <v>6773.0064518682802</v>
      </c>
      <c r="AS191" cm="1">
        <f t="array" ref="AS191">IFERROR(VALUE(_xll.BDP($B191,"INTERVAL_exp_MOV_AVG","CALC_INTERVAL","520D","TECH_STUDIES_PARAM1_OVERRIDE",100,"USE_PREVIOUS_BUSINESS_DAY","Y")),"")</f>
        <v>163.44555475263456</v>
      </c>
      <c r="AT191">
        <f t="shared" si="10"/>
        <v>6769.6039787132295</v>
      </c>
      <c r="AU191">
        <f t="shared" si="138"/>
        <v>2.4158958751851253E-2</v>
      </c>
      <c r="AV191">
        <f t="shared" si="139"/>
        <v>2.4144034904638897E-2</v>
      </c>
      <c r="AW191" s="11" t="str">
        <f t="shared" si="140"/>
        <v>UP</v>
      </c>
      <c r="AX191" s="11" t="str">
        <f t="shared" si="141"/>
        <v>UP</v>
      </c>
      <c r="AY191" s="6" t="str">
        <f t="shared" si="142"/>
        <v>POSITIVE</v>
      </c>
      <c r="AZ191" s="12" cm="1">
        <f t="array" ref="AZ191">_xll.BDP($B191, "INTERVAL_RSI", "TECH_STUDIES_PARAM1_OVERRIDE", "5", "PERIODICITY_OVERRIDE", "W")</f>
        <v>55.047226488873832</v>
      </c>
      <c r="BA191" cm="1">
        <f t="array" ref="BA191">IFERROR(VALUE(_xll.BDP($B191,"INTERVAL_MAE_MOV_AVG","CALC_INTERVAL","520D","TECH_STUDIES_PARAM1_OVERRIDE",31,"USE_PREVIOUS_BUSINESS_DAY","N")),"")</f>
        <v>172.64225796607232</v>
      </c>
      <c r="BB191" cm="1">
        <f t="array" ref="BB191">IFERROR(VALUE(_xll.BDP($B191,"INTERVAL_MAE_MOV_AVG","CALC_INTERVAL","760D","TECH_STUDIES_PARAM1_OVERRIDE",200,"USE_PREVIOUS_BUSINESS_DAY","N")),"")</f>
        <v>147.00494338824984</v>
      </c>
      <c r="BC191" s="13">
        <f t="shared" si="143"/>
        <v>3.3446060430364355E-4</v>
      </c>
      <c r="BD191" s="13">
        <f t="shared" si="144"/>
        <v>6.1817362762404127E-3</v>
      </c>
      <c r="BE191" s="13">
        <f t="shared" si="145"/>
        <v>0.17479042554295465</v>
      </c>
      <c r="BF191" s="14" cm="1">
        <f t="array" ref="BF191">VALUE(_xll.BDP($B191,"INTERVAL_DATE_OF_CALC_HI","CALC_INTERVAL","3M"))</f>
        <v>46044</v>
      </c>
      <c r="BG191" s="14" cm="1">
        <f t="array" ref="BG191">VALUE(_xll.BDP($B191,"INTERVAL_DATE_OF_CALC_LO","CALC_INTERVAL","3M"))</f>
        <v>45974</v>
      </c>
      <c r="BH191" s="14" cm="1">
        <f t="array" ref="BH191">VALUE(_xll.BDP($B191,"INTERVAL_DATE_OF_CALC_HI","CALC_INTERVAL","1M"))</f>
        <v>46044</v>
      </c>
      <c r="BI191" s="14" cm="1">
        <f t="array" ref="BI191">VALUE(_xll.BDP($B191,"INTERVAL_DATE_OF_CALC_LO","CALC_INTERVAL","1M"))</f>
        <v>46038</v>
      </c>
      <c r="BJ191" s="15">
        <f>$F191-MIN(_xll.BDP("NYA Index","RSI_14D"),_xll.BDP("RSP US Equity","RSI_14D"))</f>
        <v>-16.426983784034739</v>
      </c>
    </row>
    <row r="192" spans="1:62" x14ac:dyDescent="0.25">
      <c r="A192" s="11">
        <v>191</v>
      </c>
      <c r="B192" s="26" t="s">
        <v>433</v>
      </c>
      <c r="C192" s="1" t="s">
        <v>856</v>
      </c>
      <c r="D192" s="1" t="s">
        <v>308</v>
      </c>
      <c r="E192" s="11" t="s">
        <v>787</v>
      </c>
      <c r="F192">
        <f>IFERROR(VALUE((_xll.BDP($B192,"interval_rsi","tech_studies_param1_override",14))),"")</f>
        <v>29.664165586928277</v>
      </c>
      <c r="G192">
        <f t="shared" si="0"/>
        <v>52.525531939815814</v>
      </c>
      <c r="H192">
        <f t="shared" si="119"/>
        <v>0</v>
      </c>
      <c r="I192" cm="1">
        <f t="array" ref="I192">IFERROR(VALUE(_xll.BDP($B192,"px_last")),"")</f>
        <v>38.29</v>
      </c>
      <c r="J192">
        <f t="shared" si="1"/>
        <v>6941.47</v>
      </c>
      <c r="K192" cm="1">
        <f t="array" ref="K192">IFERROR(VALUE(_xll.BDP($B192,"PX_YEST_CLOSE")),"")</f>
        <v>38.97</v>
      </c>
      <c r="L192">
        <f t="shared" si="2"/>
        <v>6941.81</v>
      </c>
      <c r="M192">
        <f t="shared" si="120"/>
        <v>5.5161226656601555E-3</v>
      </c>
      <c r="N192">
        <f t="shared" si="121"/>
        <v>5.6138096548306558E-3</v>
      </c>
      <c r="O192" cm="1">
        <f t="array" ref="O192">IFERROR(VALUE(_xll.BDP($B192,"INTERVAL_MAE_MOV_AVG","CALC_INTERVAL","520D","TECH_STUDIES_PARAM1_OVERRIDE",50,"USE_PREVIOUS_BUSINESS_DAY","N")),"")</f>
        <v>49.208800018310562</v>
      </c>
      <c r="P192">
        <f t="shared" si="3"/>
        <v>6894.0953999999992</v>
      </c>
      <c r="Q192" cm="1">
        <f t="array" ref="Q192">IFERROR(VALUE(_xll.BDP($B192,"INTERVAL_MAE_MOV_AVG","CALC_INTERVAL","520D","TECH_STUDIES_PARAM1_OVERRIDE",50,"USE_PREVIOUS_BUSINESS_DAY","Y")),"")</f>
        <v>49.474000000000018</v>
      </c>
      <c r="R192">
        <f t="shared" si="4"/>
        <v>6892.2477999999992</v>
      </c>
      <c r="S192">
        <f t="shared" si="122"/>
        <v>7.1378182579705188E-3</v>
      </c>
      <c r="T192">
        <f t="shared" si="123"/>
        <v>7.1782096981481171E-3</v>
      </c>
      <c r="U192" s="11" t="str">
        <f t="shared" si="124"/>
        <v>NEGATIVE</v>
      </c>
      <c r="V192" s="11" t="str">
        <f t="shared" si="125"/>
        <v/>
      </c>
      <c r="W192" s="11" t="str">
        <f t="shared" si="126"/>
        <v>DOWN</v>
      </c>
      <c r="X192" s="6" t="str">
        <f t="shared" si="127"/>
        <v>NEGATIVE</v>
      </c>
      <c r="Y192" cm="1">
        <f t="array" ref="Y192">IFERROR(VALUE(_xll.BDP($B192,"INTERVAL_MAE_MOV_AVG","CALC_INTERVAL","520D","TECH_STUDIES_PARAM1_OVERRIDE",65,"USE_PREVIOUS_BUSINESS_DAY","N")),"")</f>
        <v>50.148384629469668</v>
      </c>
      <c r="Z192">
        <f t="shared" si="5"/>
        <v>6856.0226153846133</v>
      </c>
      <c r="AA192" cm="1">
        <f t="array" ref="AA192">IFERROR(VALUE(_xll.BDP($B192,"INTERVAL_MAE_MOV_AVG","CALC_INTERVAL","520D","TECH_STUDIES_PARAM1_OVERRIDE",65,"USE_PREVIOUS_BUSINESS_DAY","Y")),"")</f>
        <v>50.440230769230787</v>
      </c>
      <c r="AB192">
        <f t="shared" si="6"/>
        <v>6852.6203076923057</v>
      </c>
      <c r="AC192">
        <f t="shared" si="128"/>
        <v>7.3145010515191268E-3</v>
      </c>
      <c r="AD192">
        <f t="shared" si="129"/>
        <v>7.3607216662230452E-3</v>
      </c>
      <c r="AE192" s="10" t="str">
        <f t="shared" si="130"/>
        <v>DOWN</v>
      </c>
      <c r="AF192" s="10" t="str">
        <f t="shared" si="131"/>
        <v>DOWN</v>
      </c>
      <c r="AG192" s="6" t="str">
        <f t="shared" si="132"/>
        <v>NEGATIVE</v>
      </c>
      <c r="AH192" cm="1">
        <f t="array" ref="AH192">IFERROR(VALUE(_xll.BDP($B192,"INTERVAL_MAE_MOV_AVG","CALC_INTERVAL","65W","PERIODICITY_OVERRIDE","W","TECH_STUDIES_PARAM1_OVERRIDE",39,"USE_PREVIOUS_BUSINESS_DAY","N")),"")</f>
        <v>58.233461561936608</v>
      </c>
      <c r="AI192">
        <f t="shared" si="7"/>
        <v>6560.7735897435905</v>
      </c>
      <c r="AJ192" cm="1">
        <f t="array" ref="AJ192">IFERROR(VALUE(_xll.BDP($B192,"INTERVAL_MAE_MOV_AVG","CALC_INTERVAL","65W","PERIODICITY_OVERRIDE","W","TECH_STUDIES_PARAM1_OVERRIDE",39,"USE_PREVIOUS_BUSINESS_DAY","Y")),"")</f>
        <v>58.250897435897457</v>
      </c>
      <c r="AK192">
        <f t="shared" si="8"/>
        <v>6560.7823076923087</v>
      </c>
      <c r="AL192">
        <f t="shared" si="133"/>
        <v>8.8760053620768973E-3</v>
      </c>
      <c r="AM192">
        <f t="shared" si="134"/>
        <v>8.8786511583534983E-3</v>
      </c>
      <c r="AN192" s="10" t="str">
        <f t="shared" si="135"/>
        <v>DOWN</v>
      </c>
      <c r="AO192" s="10" t="str">
        <f t="shared" si="136"/>
        <v>DOWN</v>
      </c>
      <c r="AP192" s="6" t="str">
        <f t="shared" si="137"/>
        <v>NEGATIVE</v>
      </c>
      <c r="AQ192" cm="1">
        <f t="array" ref="AQ192">IFERROR(VALUE(_xll.BDP($B192,"INTERVAL_exp_MOV_AVG","CALC_INTERVAL","520D","TECH_STUDIES_PARAM1_OVERRIDE",100,"USE_PREVIOUS_BUSINESS_DAY","N")),"")</f>
        <v>52.750119051142647</v>
      </c>
      <c r="AR192">
        <f t="shared" si="9"/>
        <v>6773.0064518682802</v>
      </c>
      <c r="AS192" cm="1">
        <f t="array" ref="AS192">IFERROR(VALUE(_xll.BDP($B192,"INTERVAL_exp_MOV_AVG","CALC_INTERVAL","520D","TECH_STUDIES_PARAM1_OVERRIDE",100,"USE_PREVIOUS_BUSINESS_DAY","Y")),"")</f>
        <v>53.042252271162766</v>
      </c>
      <c r="AT192">
        <f t="shared" si="10"/>
        <v>6769.6039787132295</v>
      </c>
      <c r="AU192">
        <f t="shared" si="138"/>
        <v>7.7882871404311074E-3</v>
      </c>
      <c r="AV192">
        <f t="shared" si="139"/>
        <v>7.8353552789723266E-3</v>
      </c>
      <c r="AW192" s="11" t="str">
        <f t="shared" si="140"/>
        <v>DOWN</v>
      </c>
      <c r="AX192" s="11" t="str">
        <f t="shared" si="141"/>
        <v>DOWN</v>
      </c>
      <c r="AY192" s="6" t="str">
        <f t="shared" si="142"/>
        <v>NEGATIVE</v>
      </c>
      <c r="AZ192" s="12" cm="1">
        <f t="array" ref="AZ192">_xll.BDP($B192, "INTERVAL_RSI", "TECH_STUDIES_PARAM1_OVERRIDE", "5", "PERIODICITY_OVERRIDE", "W")</f>
        <v>14.964328219031358</v>
      </c>
      <c r="BA192" cm="1">
        <f t="array" ref="BA192">IFERROR(VALUE(_xll.BDP($B192,"INTERVAL_MAE_MOV_AVG","CALC_INTERVAL","520D","TECH_STUDIES_PARAM1_OVERRIDE",31,"USE_PREVIOUS_BUSINESS_DAY","N")),"")</f>
        <v>48.400322610178314</v>
      </c>
      <c r="BB192" cm="1">
        <f t="array" ref="BB192">IFERROR(VALUE(_xll.BDP($B192,"INTERVAL_MAE_MOV_AVG","CALC_INTERVAL","760D","TECH_STUDIES_PARAM1_OVERRIDE",200,"USE_PREVIOUS_BUSINESS_DAY","N")),"")</f>
        <v>58.750550004577633</v>
      </c>
      <c r="BC192" s="13">
        <f t="shared" si="143"/>
        <v>-0.20888957066687341</v>
      </c>
      <c r="BD192" s="13">
        <f t="shared" si="144"/>
        <v>-0.22188714242671403</v>
      </c>
      <c r="BE192" s="13">
        <f t="shared" si="145"/>
        <v>-0.34826142058216336</v>
      </c>
      <c r="BF192" s="14" cm="1">
        <f t="array" ref="BF192">VALUE(_xll.BDP($B192,"INTERVAL_DATE_OF_CALC_HI","CALC_INTERVAL","3M"))</f>
        <v>45972</v>
      </c>
      <c r="BG192" s="14" cm="1">
        <f t="array" ref="BG192">VALUE(_xll.BDP($B192,"INTERVAL_DATE_OF_CALC_LO","CALC_INTERVAL","3M"))</f>
        <v>46058</v>
      </c>
      <c r="BH192" s="14" cm="1">
        <f t="array" ref="BH192">VALUE(_xll.BDP($B192,"INTERVAL_DATE_OF_CALC_HI","CALC_INTERVAL","1M"))</f>
        <v>46036</v>
      </c>
      <c r="BI192" s="14" cm="1">
        <f t="array" ref="BI192">VALUE(_xll.BDP($B192,"INTERVAL_DATE_OF_CALC_LO","CALC_INTERVAL","1M"))</f>
        <v>46058</v>
      </c>
      <c r="BJ192" s="15">
        <f>$F192-MIN(_xll.BDP("NYA Index","RSI_14D"),_xll.BDP("RSP US Equity","RSI_14D"))</f>
        <v>-36.681598573227973</v>
      </c>
    </row>
    <row r="193" spans="1:62" x14ac:dyDescent="0.25">
      <c r="A193" s="11">
        <v>192</v>
      </c>
      <c r="B193" s="26" t="s">
        <v>434</v>
      </c>
      <c r="C193" s="1" t="s">
        <v>857</v>
      </c>
      <c r="D193" s="1" t="s">
        <v>308</v>
      </c>
      <c r="E193" s="11" t="s">
        <v>787</v>
      </c>
      <c r="F193">
        <f>IFERROR(VALUE((_xll.BDP($B193,"interval_rsi","tech_studies_param1_override",14))),"")</f>
        <v>25.596473199314943</v>
      </c>
      <c r="G193">
        <f t="shared" si="0"/>
        <v>52.525531939815814</v>
      </c>
      <c r="H193">
        <f t="shared" si="119"/>
        <v>0</v>
      </c>
      <c r="I193" cm="1">
        <f t="array" ref="I193">IFERROR(VALUE(_xll.BDP($B193,"px_last")),"")</f>
        <v>66.22</v>
      </c>
      <c r="J193">
        <f t="shared" si="1"/>
        <v>6941.47</v>
      </c>
      <c r="K193" cm="1">
        <f t="array" ref="K193">IFERROR(VALUE(_xll.BDP($B193,"PX_YEST_CLOSE")),"")</f>
        <v>68.175799999999995</v>
      </c>
      <c r="L193">
        <f t="shared" si="2"/>
        <v>6941.81</v>
      </c>
      <c r="M193">
        <f t="shared" si="120"/>
        <v>9.5397660726042176E-3</v>
      </c>
      <c r="N193">
        <f t="shared" si="121"/>
        <v>9.8210409100796467E-3</v>
      </c>
      <c r="O193" cm="1">
        <f t="array" ref="O193">IFERROR(VALUE(_xll.BDP($B193,"INTERVAL_MAE_MOV_AVG","CALC_INTERVAL","520D","TECH_STUDIES_PARAM1_OVERRIDE",50,"USE_PREVIOUS_BUSINESS_DAY","N")),"")</f>
        <v>73.976224192926054</v>
      </c>
      <c r="P193">
        <f t="shared" si="3"/>
        <v>6894.0953999999992</v>
      </c>
      <c r="Q193" cm="1">
        <f t="array" ref="Q193">IFERROR(VALUE(_xll.BDP($B193,"INTERVAL_MAE_MOV_AVG","CALC_INTERVAL","520D","TECH_STUDIES_PARAM1_OVERRIDE",50,"USE_PREVIOUS_BUSINESS_DAY","Y")),"")</f>
        <v>74.124280890511983</v>
      </c>
      <c r="R193">
        <f t="shared" si="4"/>
        <v>6892.2477999999992</v>
      </c>
      <c r="S193">
        <f t="shared" si="122"/>
        <v>1.073037431320229E-2</v>
      </c>
      <c r="T193">
        <f t="shared" si="123"/>
        <v>1.0754732424233499E-2</v>
      </c>
      <c r="U193" s="11" t="str">
        <f t="shared" si="124"/>
        <v>NEGATIVE</v>
      </c>
      <c r="V193" s="11" t="str">
        <f t="shared" si="125"/>
        <v/>
      </c>
      <c r="W193" s="11" t="str">
        <f t="shared" si="126"/>
        <v>DOWN</v>
      </c>
      <c r="X193" s="6" t="str">
        <f t="shared" si="127"/>
        <v>NEGATIVE</v>
      </c>
      <c r="Y193" cm="1">
        <f t="array" ref="Y193">IFERROR(VALUE(_xll.BDP($B193,"INTERVAL_MAE_MOV_AVG","CALC_INTERVAL","520D","TECH_STUDIES_PARAM1_OVERRIDE",65,"USE_PREVIOUS_BUSINESS_DAY","N")),"")</f>
        <v>73.486663804940008</v>
      </c>
      <c r="Z193">
        <f t="shared" si="5"/>
        <v>6856.0226153846133</v>
      </c>
      <c r="AA193" cm="1">
        <f t="array" ref="AA193">IFERROR(VALUE(_xll.BDP($B193,"INTERVAL_MAE_MOV_AVG","CALC_INTERVAL","520D","TECH_STUDIES_PARAM1_OVERRIDE",65,"USE_PREVIOUS_BUSINESS_DAY","Y")),"")</f>
        <v>73.551220662621503</v>
      </c>
      <c r="AB193">
        <f t="shared" si="6"/>
        <v>6852.6203076923057</v>
      </c>
      <c r="AC193">
        <f t="shared" si="128"/>
        <v>1.0718556213633129E-2</v>
      </c>
      <c r="AD193">
        <f t="shared" si="129"/>
        <v>1.0733298703279633E-2</v>
      </c>
      <c r="AE193" s="10" t="str">
        <f t="shared" si="130"/>
        <v>DOWN</v>
      </c>
      <c r="AF193" s="10" t="str">
        <f t="shared" si="131"/>
        <v>DOWN</v>
      </c>
      <c r="AG193" s="6" t="str">
        <f t="shared" si="132"/>
        <v>NEGATIVE</v>
      </c>
      <c r="AH193" cm="1">
        <f t="array" ref="AH193">IFERROR(VALUE(_xll.BDP($B193,"INTERVAL_MAE_MOV_AVG","CALC_INTERVAL","65W","PERIODICITY_OVERRIDE","W","TECH_STUDIES_PARAM1_OVERRIDE",39,"USE_PREVIOUS_BUSINESS_DAY","N")),"")</f>
        <v>72.299070636069331</v>
      </c>
      <c r="AI193">
        <f t="shared" si="7"/>
        <v>6560.7735897435905</v>
      </c>
      <c r="AJ193" cm="1">
        <f t="array" ref="AJ193">IFERROR(VALUE(_xll.BDP($B193,"INTERVAL_MAE_MOV_AVG","CALC_INTERVAL","65W","PERIODICITY_OVERRIDE","W","TECH_STUDIES_PARAM1_OVERRIDE",39,"USE_PREVIOUS_BUSINESS_DAY","Y")),"")</f>
        <v>72.349219322717957</v>
      </c>
      <c r="AK193">
        <f t="shared" si="8"/>
        <v>6560.7823076923087</v>
      </c>
      <c r="AL193">
        <f t="shared" si="133"/>
        <v>1.1019900267415712E-2</v>
      </c>
      <c r="AM193">
        <f t="shared" si="134"/>
        <v>1.1027529329526876E-2</v>
      </c>
      <c r="AN193" s="10" t="str">
        <f t="shared" si="135"/>
        <v>DOWN</v>
      </c>
      <c r="AO193" s="10" t="str">
        <f t="shared" si="136"/>
        <v>DOWN</v>
      </c>
      <c r="AP193" s="6" t="str">
        <f t="shared" si="137"/>
        <v>NEGATIVE</v>
      </c>
      <c r="AQ193" cm="1">
        <f t="array" ref="AQ193">IFERROR(VALUE(_xll.BDP($B193,"INTERVAL_exp_MOV_AVG","CALC_INTERVAL","520D","TECH_STUDIES_PARAM1_OVERRIDE",100,"USE_PREVIOUS_BUSINESS_DAY","N")),"")</f>
        <v>73.085210689732975</v>
      </c>
      <c r="AR193">
        <f t="shared" si="9"/>
        <v>6773.0064518682802</v>
      </c>
      <c r="AS193" cm="1">
        <f t="array" ref="AS193">IFERROR(VALUE(_xll.BDP($B193,"INTERVAL_exp_MOV_AVG","CALC_INTERVAL","520D","TECH_STUDIES_PARAM1_OVERRIDE",100,"USE_PREVIOUS_BUSINESS_DAY","Y")),"")</f>
        <v>73.223909231083113</v>
      </c>
      <c r="AT193">
        <f t="shared" si="10"/>
        <v>6769.6039787132295</v>
      </c>
      <c r="AU193">
        <f t="shared" si="138"/>
        <v>1.0790660131376813E-2</v>
      </c>
      <c r="AV193">
        <f t="shared" si="139"/>
        <v>1.0816572056701248E-2</v>
      </c>
      <c r="AW193" s="11" t="str">
        <f t="shared" si="140"/>
        <v>DOWN</v>
      </c>
      <c r="AX193" s="11" t="str">
        <f t="shared" si="141"/>
        <v>DOWN</v>
      </c>
      <c r="AY193" s="6" t="str">
        <f t="shared" si="142"/>
        <v>NEGATIVE</v>
      </c>
      <c r="AZ193" s="12" cm="1">
        <f t="array" ref="AZ193">_xll.BDP($B193, "INTERVAL_RSI", "TECH_STUDIES_PARAM1_OVERRIDE", "5", "PERIODICITY_OVERRIDE", "W")</f>
        <v>15.315986241780863</v>
      </c>
      <c r="BA193" cm="1">
        <f t="array" ref="BA193">IFERROR(VALUE(_xll.BDP($B193,"INTERVAL_MAE_MOV_AVG","CALC_INTERVAL","520D","TECH_STUDIES_PARAM1_OVERRIDE",31,"USE_PREVIOUS_BUSINESS_DAY","N")),"")</f>
        <v>73.478881298087202</v>
      </c>
      <c r="BB193" cm="1">
        <f t="array" ref="BB193">IFERROR(VALUE(_xll.BDP($B193,"INTERVAL_MAE_MOV_AVG","CALC_INTERVAL","760D","TECH_STUDIES_PARAM1_OVERRIDE",200,"USE_PREVIOUS_BUSINESS_DAY","N")),"")</f>
        <v>71.928652888461002</v>
      </c>
      <c r="BC193" s="13">
        <f t="shared" si="143"/>
        <v>-9.878867464842811E-2</v>
      </c>
      <c r="BD193" s="13">
        <f t="shared" si="144"/>
        <v>-0.10484752739877934</v>
      </c>
      <c r="BE193" s="13">
        <f t="shared" si="145"/>
        <v>-7.9365491486589557E-2</v>
      </c>
      <c r="BF193" s="14" cm="1">
        <f t="array" ref="BF193">VALUE(_xll.BDP($B193,"INTERVAL_DATE_OF_CALC_HI","CALC_INTERVAL","3M"))</f>
        <v>46035</v>
      </c>
      <c r="BG193" s="14" cm="1">
        <f t="array" ref="BG193">VALUE(_xll.BDP($B193,"INTERVAL_DATE_OF_CALC_LO","CALC_INTERVAL","3M"))</f>
        <v>46064</v>
      </c>
      <c r="BH193" s="14" cm="1">
        <f t="array" ref="BH193">VALUE(_xll.BDP($B193,"INTERVAL_DATE_OF_CALC_HI","CALC_INTERVAL","1M"))</f>
        <v>46035</v>
      </c>
      <c r="BI193" s="14" cm="1">
        <f t="array" ref="BI193">VALUE(_xll.BDP($B193,"INTERVAL_DATE_OF_CALC_LO","CALC_INTERVAL","1M"))</f>
        <v>46064</v>
      </c>
      <c r="BJ193" s="15">
        <f>$F193-MIN(_xll.BDP("NYA Index","RSI_14D"),_xll.BDP("RSP US Equity","RSI_14D"))</f>
        <v>-40.749290960841307</v>
      </c>
    </row>
    <row r="194" spans="1:62" x14ac:dyDescent="0.25">
      <c r="A194" s="11">
        <v>193</v>
      </c>
      <c r="B194" s="26" t="s">
        <v>435</v>
      </c>
      <c r="C194" s="1" t="s">
        <v>858</v>
      </c>
      <c r="D194" s="1" t="s">
        <v>308</v>
      </c>
      <c r="E194" s="11" t="s">
        <v>787</v>
      </c>
      <c r="F194">
        <f>IFERROR(VALUE((_xll.BDP($B194,"interval_rsi","tech_studies_param1_override",14))),"")</f>
        <v>62.93028400544577</v>
      </c>
      <c r="G194">
        <f t="shared" si="0"/>
        <v>52.525531939815814</v>
      </c>
      <c r="H194">
        <f t="shared" si="119"/>
        <v>1</v>
      </c>
      <c r="I194" cm="1">
        <f t="array" ref="I194">IFERROR(VALUE(_xll.BDP($B194,"px_last")),"")</f>
        <v>19.04</v>
      </c>
      <c r="J194">
        <f t="shared" si="1"/>
        <v>6941.47</v>
      </c>
      <c r="K194" cm="1">
        <f t="array" ref="K194">IFERROR(VALUE(_xll.BDP($B194,"PX_YEST_CLOSE")),"")</f>
        <v>18.850000000000001</v>
      </c>
      <c r="L194">
        <f t="shared" si="2"/>
        <v>6941.81</v>
      </c>
      <c r="M194">
        <f t="shared" si="120"/>
        <v>2.7429348538566037E-3</v>
      </c>
      <c r="N194">
        <f t="shared" si="121"/>
        <v>2.715430125572437E-3</v>
      </c>
      <c r="O194" cm="1">
        <f t="array" ref="O194">IFERROR(VALUE(_xll.BDP($B194,"INTERVAL_MAE_MOV_AVG","CALC_INTERVAL","520D","TECH_STUDIES_PARAM1_OVERRIDE",50,"USE_PREVIOUS_BUSINESS_DAY","N")),"")</f>
        <v>17.347928658910543</v>
      </c>
      <c r="P194">
        <f t="shared" si="3"/>
        <v>6894.0953999999992</v>
      </c>
      <c r="Q194" cm="1">
        <f t="array" ref="Q194">IFERROR(VALUE(_xll.BDP($B194,"INTERVAL_MAE_MOV_AVG","CALC_INTERVAL","520D","TECH_STUDIES_PARAM1_OVERRIDE",50,"USE_PREVIOUS_BUSINESS_DAY","Y")),"")</f>
        <v>17.304300967200003</v>
      </c>
      <c r="R194">
        <f t="shared" si="4"/>
        <v>6892.2477999999992</v>
      </c>
      <c r="S194">
        <f t="shared" si="122"/>
        <v>2.5163458949103816E-3</v>
      </c>
      <c r="T194">
        <f t="shared" si="123"/>
        <v>2.5106904843438748E-3</v>
      </c>
      <c r="U194" s="11" t="str">
        <f t="shared" si="124"/>
        <v>POSITIVE</v>
      </c>
      <c r="V194" s="11" t="str">
        <f t="shared" si="125"/>
        <v/>
      </c>
      <c r="W194" s="11" t="str">
        <f t="shared" si="126"/>
        <v>UP</v>
      </c>
      <c r="X194" s="6" t="str">
        <f t="shared" si="127"/>
        <v>POSITIVE</v>
      </c>
      <c r="Y194" cm="1">
        <f t="array" ref="Y194">IFERROR(VALUE(_xll.BDP($B194,"INTERVAL_MAE_MOV_AVG","CALC_INTERVAL","520D","TECH_STUDIES_PARAM1_OVERRIDE",65,"USE_PREVIOUS_BUSINESS_DAY","N")),"")</f>
        <v>17.215928371469651</v>
      </c>
      <c r="Z194">
        <f t="shared" si="5"/>
        <v>6856.0226153846133</v>
      </c>
      <c r="AA194" cm="1">
        <f t="array" ref="AA194">IFERROR(VALUE(_xll.BDP($B194,"INTERVAL_MAE_MOV_AVG","CALC_INTERVAL","520D","TECH_STUDIES_PARAM1_OVERRIDE",65,"USE_PREVIOUS_BUSINESS_DAY","Y")),"")</f>
        <v>17.194275812615388</v>
      </c>
      <c r="AB194">
        <f t="shared" si="6"/>
        <v>6852.6203076923057</v>
      </c>
      <c r="AC194">
        <f t="shared" si="128"/>
        <v>2.5110664502240505E-3</v>
      </c>
      <c r="AD194">
        <f t="shared" si="129"/>
        <v>2.5091534392054689E-3</v>
      </c>
      <c r="AE194" s="10" t="str">
        <f t="shared" si="130"/>
        <v>UP</v>
      </c>
      <c r="AF194" s="10" t="str">
        <f t="shared" si="131"/>
        <v>UP</v>
      </c>
      <c r="AG194" s="6" t="str">
        <f t="shared" si="132"/>
        <v>POSITIVE</v>
      </c>
      <c r="AH194" cm="1">
        <f t="array" ref="AH194">IFERROR(VALUE(_xll.BDP($B194,"INTERVAL_MAE_MOV_AVG","CALC_INTERVAL","65W","PERIODICITY_OVERRIDE","W","TECH_STUDIES_PARAM1_OVERRIDE",39,"USE_PREVIOUS_BUSINESS_DAY","N")),"")</f>
        <v>15.402798912291857</v>
      </c>
      <c r="AI194">
        <f t="shared" si="7"/>
        <v>6560.7735897435905</v>
      </c>
      <c r="AJ194" cm="1">
        <f t="array" ref="AJ194">IFERROR(VALUE(_xll.BDP($B194,"INTERVAL_MAE_MOV_AVG","CALC_INTERVAL","65W","PERIODICITY_OVERRIDE","W","TECH_STUDIES_PARAM1_OVERRIDE",39,"USE_PREVIOUS_BUSINESS_DAY","Y")),"")</f>
        <v>15.397927093945004</v>
      </c>
      <c r="AK194">
        <f t="shared" si="8"/>
        <v>6560.7823076923087</v>
      </c>
      <c r="AL194">
        <f t="shared" si="133"/>
        <v>2.3477107846506E-3</v>
      </c>
      <c r="AM194">
        <f t="shared" si="134"/>
        <v>2.3469650983376517E-3</v>
      </c>
      <c r="AN194" s="10" t="str">
        <f t="shared" si="135"/>
        <v>UP</v>
      </c>
      <c r="AO194" s="10" t="str">
        <f t="shared" si="136"/>
        <v>UP</v>
      </c>
      <c r="AP194" s="6" t="str">
        <f t="shared" si="137"/>
        <v>POSITIVE</v>
      </c>
      <c r="AQ194" cm="1">
        <f t="array" ref="AQ194">IFERROR(VALUE(_xll.BDP($B194,"INTERVAL_exp_MOV_AVG","CALC_INTERVAL","520D","TECH_STUDIES_PARAM1_OVERRIDE",100,"USE_PREVIOUS_BUSINESS_DAY","N")),"")</f>
        <v>16.767822859861987</v>
      </c>
      <c r="AR194">
        <f t="shared" si="9"/>
        <v>6773.0064518682802</v>
      </c>
      <c r="AS194" cm="1">
        <f t="array" ref="AS194">IFERROR(VALUE(_xll.BDP($B194,"INTERVAL_exp_MOV_AVG","CALC_INTERVAL","520D","TECH_STUDIES_PARAM1_OVERRIDE",100,"USE_PREVIOUS_BUSINESS_DAY","Y")),"")</f>
        <v>16.721929867364427</v>
      </c>
      <c r="AT194">
        <f t="shared" si="10"/>
        <v>6769.6039787132295</v>
      </c>
      <c r="AU194">
        <f t="shared" si="138"/>
        <v>2.4756838752511027E-3</v>
      </c>
      <c r="AV194">
        <f t="shared" si="139"/>
        <v>2.4701489067818325E-3</v>
      </c>
      <c r="AW194" s="11" t="str">
        <f t="shared" si="140"/>
        <v>UP</v>
      </c>
      <c r="AX194" s="11" t="str">
        <f t="shared" si="141"/>
        <v>UP</v>
      </c>
      <c r="AY194" s="6" t="str">
        <f t="shared" si="142"/>
        <v>POSITIVE</v>
      </c>
      <c r="AZ194" s="12" cm="1">
        <f t="array" ref="AZ194">_xll.BDP($B194, "INTERVAL_RSI", "TECH_STUDIES_PARAM1_OVERRIDE", "5", "PERIODICITY_OVERRIDE", "W")</f>
        <v>87.363630083359993</v>
      </c>
      <c r="BA194" cm="1">
        <f t="array" ref="BA194">IFERROR(VALUE(_xll.BDP($B194,"INTERVAL_MAE_MOV_AVG","CALC_INTERVAL","520D","TECH_STUDIES_PARAM1_OVERRIDE",31,"USE_PREVIOUS_BUSINESS_DAY","N")),"")</f>
        <v>17.85258067469443</v>
      </c>
      <c r="BB194" cm="1">
        <f t="array" ref="BB194">IFERROR(VALUE(_xll.BDP($B194,"INTERVAL_MAE_MOV_AVG","CALC_INTERVAL","760D","TECH_STUDIES_PARAM1_OVERRIDE",200,"USE_PREVIOUS_BUSINESS_DAY","N")),"")</f>
        <v>15.053236600663988</v>
      </c>
      <c r="BC194" s="13">
        <f t="shared" si="143"/>
        <v>6.6512474971683222E-2</v>
      </c>
      <c r="BD194" s="13">
        <f t="shared" si="144"/>
        <v>9.7537370273905522E-2</v>
      </c>
      <c r="BE194" s="13">
        <f t="shared" si="145"/>
        <v>0.26484426606037381</v>
      </c>
      <c r="BF194" s="14" cm="1">
        <f t="array" ref="BF194">VALUE(_xll.BDP($B194,"INTERVAL_DATE_OF_CALC_HI","CALC_INTERVAL","3M"))</f>
        <v>46064</v>
      </c>
      <c r="BG194" s="14" cm="1">
        <f t="array" ref="BG194">VALUE(_xll.BDP($B194,"INTERVAL_DATE_OF_CALC_LO","CALC_INTERVAL","3M"))</f>
        <v>45982</v>
      </c>
      <c r="BH194" s="14" cm="1">
        <f t="array" ref="BH194">VALUE(_xll.BDP($B194,"INTERVAL_DATE_OF_CALC_HI","CALC_INTERVAL","1M"))</f>
        <v>46064</v>
      </c>
      <c r="BI194" s="14" cm="1">
        <f t="array" ref="BI194">VALUE(_xll.BDP($B194,"INTERVAL_DATE_OF_CALC_LO","CALC_INTERVAL","1M"))</f>
        <v>46036</v>
      </c>
      <c r="BJ194" s="15">
        <f>$F194-MIN(_xll.BDP("NYA Index","RSI_14D"),_xll.BDP("RSP US Equity","RSI_14D"))</f>
        <v>-3.4154801547104796</v>
      </c>
    </row>
    <row r="195" spans="1:62" x14ac:dyDescent="0.25">
      <c r="A195" s="11">
        <v>194</v>
      </c>
      <c r="B195" s="26" t="s">
        <v>436</v>
      </c>
      <c r="C195" s="1" t="s">
        <v>859</v>
      </c>
      <c r="D195" s="1" t="s">
        <v>308</v>
      </c>
      <c r="E195" s="11" t="s">
        <v>787</v>
      </c>
      <c r="F195">
        <f>IFERROR(VALUE((_xll.BDP($B195,"interval_rsi","tech_studies_param1_override",14))),"")</f>
        <v>58.293129091402619</v>
      </c>
      <c r="G195">
        <f t="shared" si="0"/>
        <v>52.525531939815814</v>
      </c>
      <c r="H195">
        <f t="shared" si="119"/>
        <v>0</v>
      </c>
      <c r="I195" cm="1">
        <f t="array" ref="I195">IFERROR(VALUE(_xll.BDP($B195,"px_last")),"")</f>
        <v>39.950000000000003</v>
      </c>
      <c r="J195">
        <f t="shared" si="1"/>
        <v>6941.47</v>
      </c>
      <c r="K195" cm="1">
        <f t="array" ref="K195">IFERROR(VALUE(_xll.BDP($B195,"PX_YEST_CLOSE")),"")</f>
        <v>39.5</v>
      </c>
      <c r="L195">
        <f t="shared" si="2"/>
        <v>6941.81</v>
      </c>
      <c r="M195">
        <f t="shared" si="120"/>
        <v>5.7552650951455528E-3</v>
      </c>
      <c r="N195">
        <f t="shared" si="121"/>
        <v>5.6901586185735421E-3</v>
      </c>
      <c r="O195" cm="1">
        <f t="array" ref="O195">IFERROR(VALUE(_xll.BDP($B195,"INTERVAL_MAE_MOV_AVG","CALC_INTERVAL","520D","TECH_STUDIES_PARAM1_OVERRIDE",50,"USE_PREVIOUS_BUSINESS_DAY","N")),"")</f>
        <v>38.741860241832804</v>
      </c>
      <c r="P195">
        <f t="shared" si="3"/>
        <v>6894.0953999999992</v>
      </c>
      <c r="Q195" cm="1">
        <f t="array" ref="Q195">IFERROR(VALUE(_xll.BDP($B195,"INTERVAL_MAE_MOV_AVG","CALC_INTERVAL","520D","TECH_STUDIES_PARAM1_OVERRIDE",50,"USE_PREVIOUS_BUSINESS_DAY","Y")),"")</f>
        <v>38.697012785020014</v>
      </c>
      <c r="R195">
        <f t="shared" si="4"/>
        <v>6892.2477999999992</v>
      </c>
      <c r="S195">
        <f t="shared" si="122"/>
        <v>5.6195712408959129E-3</v>
      </c>
      <c r="T195">
        <f t="shared" si="123"/>
        <v>5.6145707333709067E-3</v>
      </c>
      <c r="U195" s="11" t="str">
        <f t="shared" si="124"/>
        <v>NEGATIVE</v>
      </c>
      <c r="V195" s="11" t="str">
        <f t="shared" si="125"/>
        <v/>
      </c>
      <c r="W195" s="11" t="str">
        <f t="shared" si="126"/>
        <v>UP</v>
      </c>
      <c r="X195" s="6" t="str">
        <f t="shared" si="127"/>
        <v>POSITIVE</v>
      </c>
      <c r="Y195" cm="1">
        <f t="array" ref="Y195">IFERROR(VALUE(_xll.BDP($B195,"INTERVAL_MAE_MOV_AVG","CALC_INTERVAL","520D","TECH_STUDIES_PARAM1_OVERRIDE",65,"USE_PREVIOUS_BUSINESS_DAY","N")),"")</f>
        <v>38.444264415416001</v>
      </c>
      <c r="Z195">
        <f t="shared" si="5"/>
        <v>6856.0226153846133</v>
      </c>
      <c r="AA195" cm="1">
        <f t="array" ref="AA195">IFERROR(VALUE(_xll.BDP($B195,"INTERVAL_MAE_MOV_AVG","CALC_INTERVAL","520D","TECH_STUDIES_PARAM1_OVERRIDE",65,"USE_PREVIOUS_BUSINESS_DAY","Y")),"")</f>
        <v>38.405909891832316</v>
      </c>
      <c r="AB195">
        <f t="shared" si="6"/>
        <v>6852.6203076923057</v>
      </c>
      <c r="AC195">
        <f t="shared" si="128"/>
        <v>5.6073712955888979E-3</v>
      </c>
      <c r="AD195">
        <f t="shared" si="129"/>
        <v>5.6045582809717822E-3</v>
      </c>
      <c r="AE195" s="10" t="str">
        <f t="shared" si="130"/>
        <v>UP</v>
      </c>
      <c r="AF195" s="10" t="str">
        <f t="shared" si="131"/>
        <v>UP</v>
      </c>
      <c r="AG195" s="6" t="str">
        <f t="shared" si="132"/>
        <v>POSITIVE</v>
      </c>
      <c r="AH195" cm="1">
        <f t="array" ref="AH195">IFERROR(VALUE(_xll.BDP($B195,"INTERVAL_MAE_MOV_AVG","CALC_INTERVAL","65W","PERIODICITY_OVERRIDE","W","TECH_STUDIES_PARAM1_OVERRIDE",39,"USE_PREVIOUS_BUSINESS_DAY","N")),"")</f>
        <v>35.530065839131488</v>
      </c>
      <c r="AI195">
        <f t="shared" si="7"/>
        <v>6560.7735897435905</v>
      </c>
      <c r="AJ195" cm="1">
        <f t="array" ref="AJ195">IFERROR(VALUE(_xll.BDP($B195,"INTERVAL_MAE_MOV_AVG","CALC_INTERVAL","65W","PERIODICITY_OVERRIDE","W","TECH_STUDIES_PARAM1_OVERRIDE",39,"USE_PREVIOUS_BUSINESS_DAY","Y")),"")</f>
        <v>35.518527358030475</v>
      </c>
      <c r="AK195">
        <f t="shared" si="8"/>
        <v>6560.7823076923087</v>
      </c>
      <c r="AL195">
        <f t="shared" si="133"/>
        <v>5.4155299452301447E-3</v>
      </c>
      <c r="AM195">
        <f t="shared" si="134"/>
        <v>5.4137640440205023E-3</v>
      </c>
      <c r="AN195" s="10" t="str">
        <f t="shared" si="135"/>
        <v>UP</v>
      </c>
      <c r="AO195" s="10" t="str">
        <f t="shared" si="136"/>
        <v>UP</v>
      </c>
      <c r="AP195" s="6" t="str">
        <f t="shared" si="137"/>
        <v>POSITIVE</v>
      </c>
      <c r="AQ195" cm="1">
        <f t="array" ref="AQ195">IFERROR(VALUE(_xll.BDP($B195,"INTERVAL_exp_MOV_AVG","CALC_INTERVAL","520D","TECH_STUDIES_PARAM1_OVERRIDE",100,"USE_PREVIOUS_BUSINESS_DAY","N")),"")</f>
        <v>37.654286374660067</v>
      </c>
      <c r="AR195">
        <f t="shared" si="9"/>
        <v>6773.0064518682802</v>
      </c>
      <c r="AS195" cm="1">
        <f t="array" ref="AS195">IFERROR(VALUE(_xll.BDP($B195,"INTERVAL_exp_MOV_AVG","CALC_INTERVAL","520D","TECH_STUDIES_PARAM1_OVERRIDE",100,"USE_PREVIOUS_BUSINESS_DAY","Y")),"")</f>
        <v>37.607932342437408</v>
      </c>
      <c r="AT195">
        <f t="shared" si="10"/>
        <v>6769.6039787132295</v>
      </c>
      <c r="AU195">
        <f t="shared" si="138"/>
        <v>5.5594641230960924E-3</v>
      </c>
      <c r="AV195">
        <f t="shared" si="139"/>
        <v>5.5554109901693165E-3</v>
      </c>
      <c r="AW195" s="11" t="str">
        <f t="shared" si="140"/>
        <v>UP</v>
      </c>
      <c r="AX195" s="11" t="str">
        <f t="shared" si="141"/>
        <v>UP</v>
      </c>
      <c r="AY195" s="6" t="str">
        <f t="shared" si="142"/>
        <v>POSITIVE</v>
      </c>
      <c r="AZ195" s="12" cm="1">
        <f t="array" ref="AZ195">_xll.BDP($B195, "INTERVAL_RSI", "TECH_STUDIES_PARAM1_OVERRIDE", "5", "PERIODICITY_OVERRIDE", "W")</f>
        <v>63.459878744564236</v>
      </c>
      <c r="BA195" cm="1">
        <f t="array" ref="BA195">IFERROR(VALUE(_xll.BDP($B195,"INTERVAL_MAE_MOV_AVG","CALC_INTERVAL","520D","TECH_STUDIES_PARAM1_OVERRIDE",31,"USE_PREVIOUS_BUSINESS_DAY","N")),"")</f>
        <v>39.134519379449664</v>
      </c>
      <c r="BB195" cm="1">
        <f t="array" ref="BB195">IFERROR(VALUE(_xll.BDP($B195,"INTERVAL_MAE_MOV_AVG","CALC_INTERVAL","760D","TECH_STUDIES_PARAM1_OVERRIDE",200,"USE_PREVIOUS_BUSINESS_DAY","N")),"")</f>
        <v>35.018586670456003</v>
      </c>
      <c r="BC195" s="13">
        <f t="shared" si="143"/>
        <v>2.0837885158200287E-2</v>
      </c>
      <c r="BD195" s="13">
        <f t="shared" si="144"/>
        <v>3.1184350741699118E-2</v>
      </c>
      <c r="BE195" s="13">
        <f t="shared" si="145"/>
        <v>0.14082274010517004</v>
      </c>
      <c r="BF195" s="14" cm="1">
        <f t="array" ref="BF195">VALUE(_xll.BDP($B195,"INTERVAL_DATE_OF_CALC_HI","CALC_INTERVAL","3M"))</f>
        <v>46044</v>
      </c>
      <c r="BG195" s="14" cm="1">
        <f t="array" ref="BG195">VALUE(_xll.BDP($B195,"INTERVAL_DATE_OF_CALC_LO","CALC_INTERVAL","3M"))</f>
        <v>45981</v>
      </c>
      <c r="BH195" s="14" cm="1">
        <f t="array" ref="BH195">VALUE(_xll.BDP($B195,"INTERVAL_DATE_OF_CALC_HI","CALC_INTERVAL","1M"))</f>
        <v>46044</v>
      </c>
      <c r="BI195" s="14" cm="1">
        <f t="array" ref="BI195">VALUE(_xll.BDP($B195,"INTERVAL_DATE_OF_CALC_LO","CALC_INTERVAL","1M"))</f>
        <v>46058</v>
      </c>
      <c r="BJ195" s="15">
        <f>$F195-MIN(_xll.BDP("NYA Index","RSI_14D"),_xll.BDP("RSP US Equity","RSI_14D"))</f>
        <v>-8.0526350687536308</v>
      </c>
    </row>
    <row r="196" spans="1:62" x14ac:dyDescent="0.25">
      <c r="A196" s="11">
        <v>195</v>
      </c>
      <c r="B196" s="26" t="s">
        <v>437</v>
      </c>
      <c r="C196" s="1" t="s">
        <v>860</v>
      </c>
      <c r="D196" s="1" t="s">
        <v>308</v>
      </c>
      <c r="E196" s="11" t="s">
        <v>787</v>
      </c>
      <c r="F196">
        <f>IFERROR(VALUE((_xll.BDP($B196,"interval_rsi","tech_studies_param1_override",14))),"")</f>
        <v>77.55647358513761</v>
      </c>
      <c r="G196">
        <f t="shared" si="0"/>
        <v>52.525531939815814</v>
      </c>
      <c r="H196">
        <f t="shared" si="119"/>
        <v>1</v>
      </c>
      <c r="I196" cm="1">
        <f t="array" ref="I196">IFERROR(VALUE(_xll.BDP($B196,"px_last")),"")</f>
        <v>60.06</v>
      </c>
      <c r="J196">
        <f t="shared" si="1"/>
        <v>6941.47</v>
      </c>
      <c r="K196" cm="1">
        <f t="array" ref="K196">IFERROR(VALUE(_xll.BDP($B196,"PX_YEST_CLOSE")),"")</f>
        <v>59.36</v>
      </c>
      <c r="L196">
        <f t="shared" si="2"/>
        <v>6941.81</v>
      </c>
      <c r="M196">
        <f t="shared" si="120"/>
        <v>8.6523459728270816E-3</v>
      </c>
      <c r="N196">
        <f t="shared" si="121"/>
        <v>8.5510839392031763E-3</v>
      </c>
      <c r="O196" cm="1">
        <f t="array" ref="O196">IFERROR(VALUE(_xll.BDP($B196,"INTERVAL_MAE_MOV_AVG","CALC_INTERVAL","520D","TECH_STUDIES_PARAM1_OVERRIDE",50,"USE_PREVIOUS_BUSINESS_DAY","N")),"")</f>
        <v>54.830477372165795</v>
      </c>
      <c r="P196">
        <f t="shared" si="3"/>
        <v>6894.0953999999992</v>
      </c>
      <c r="Q196" cm="1">
        <f t="array" ref="Q196">IFERROR(VALUE(_xll.BDP($B196,"INTERVAL_MAE_MOV_AVG","CALC_INTERVAL","520D","TECH_STUDIES_PARAM1_OVERRIDE",50,"USE_PREVIOUS_BUSINESS_DAY","Y")),"")</f>
        <v>54.696855522299977</v>
      </c>
      <c r="R196">
        <f t="shared" si="4"/>
        <v>6892.2477999999992</v>
      </c>
      <c r="S196">
        <f t="shared" si="122"/>
        <v>7.9532519048352308E-3</v>
      </c>
      <c r="T196">
        <f t="shared" si="123"/>
        <v>7.9359966602332525E-3</v>
      </c>
      <c r="U196" s="11" t="str">
        <f t="shared" si="124"/>
        <v>POSITIVE</v>
      </c>
      <c r="V196" s="11" t="str">
        <f t="shared" si="125"/>
        <v/>
      </c>
      <c r="W196" s="11" t="str">
        <f t="shared" si="126"/>
        <v>UP</v>
      </c>
      <c r="X196" s="6" t="str">
        <f t="shared" si="127"/>
        <v>POSITIVE</v>
      </c>
      <c r="Y196" cm="1">
        <f t="array" ref="Y196">IFERROR(VALUE(_xll.BDP($B196,"INTERVAL_MAE_MOV_AVG","CALC_INTERVAL","520D","TECH_STUDIES_PARAM1_OVERRIDE",65,"USE_PREVIOUS_BUSINESS_DAY","N")),"")</f>
        <v>54.153704893635229</v>
      </c>
      <c r="Z196">
        <f t="shared" si="5"/>
        <v>6856.0226153846133</v>
      </c>
      <c r="AA196" cm="1">
        <f t="array" ref="AA196">IFERROR(VALUE(_xll.BDP($B196,"INTERVAL_MAE_MOV_AVG","CALC_INTERVAL","520D","TECH_STUDIES_PARAM1_OVERRIDE",65,"USE_PREVIOUS_BUSINESS_DAY","Y")),"")</f>
        <v>54.025523638969219</v>
      </c>
      <c r="AB196">
        <f t="shared" si="6"/>
        <v>6852.6203076923057</v>
      </c>
      <c r="AC196">
        <f t="shared" si="128"/>
        <v>7.8987056973990576E-3</v>
      </c>
      <c r="AD196">
        <f t="shared" si="129"/>
        <v>7.8839219471015607E-3</v>
      </c>
      <c r="AE196" s="10" t="str">
        <f t="shared" si="130"/>
        <v>UP</v>
      </c>
      <c r="AF196" s="10" t="str">
        <f t="shared" si="131"/>
        <v>UP</v>
      </c>
      <c r="AG196" s="6" t="str">
        <f t="shared" si="132"/>
        <v>POSITIVE</v>
      </c>
      <c r="AH196" cm="1">
        <f t="array" ref="AH196">IFERROR(VALUE(_xll.BDP($B196,"INTERVAL_MAE_MOV_AVG","CALC_INTERVAL","65W","PERIODICITY_OVERRIDE","W","TECH_STUDIES_PARAM1_OVERRIDE",39,"USE_PREVIOUS_BUSINESS_DAY","N")),"")</f>
        <v>51.978551047229438</v>
      </c>
      <c r="AI196">
        <f t="shared" si="7"/>
        <v>6560.7735897435905</v>
      </c>
      <c r="AJ196" cm="1">
        <f t="array" ref="AJ196">IFERROR(VALUE(_xll.BDP($B196,"INTERVAL_MAE_MOV_AVG","CALC_INTERVAL","65W","PERIODICITY_OVERRIDE","W","TECH_STUDIES_PARAM1_OVERRIDE",39,"USE_PREVIOUS_BUSINESS_DAY","Y")),"")</f>
        <v>51.960602294068138</v>
      </c>
      <c r="AK196">
        <f t="shared" si="8"/>
        <v>6560.7823076923087</v>
      </c>
      <c r="AL196">
        <f t="shared" si="133"/>
        <v>7.9226253331599692E-3</v>
      </c>
      <c r="AM196">
        <f t="shared" si="134"/>
        <v>7.9198790414286395E-3</v>
      </c>
      <c r="AN196" s="10" t="str">
        <f t="shared" si="135"/>
        <v>UP</v>
      </c>
      <c r="AO196" s="10" t="str">
        <f t="shared" si="136"/>
        <v>UP</v>
      </c>
      <c r="AP196" s="6" t="str">
        <f t="shared" si="137"/>
        <v>POSITIVE</v>
      </c>
      <c r="AQ196" cm="1">
        <f t="array" ref="AQ196">IFERROR(VALUE(_xll.BDP($B196,"INTERVAL_exp_MOV_AVG","CALC_INTERVAL","520D","TECH_STUDIES_PARAM1_OVERRIDE",100,"USE_PREVIOUS_BUSINESS_DAY","N")),"")</f>
        <v>53.876374856963444</v>
      </c>
      <c r="AR196">
        <f t="shared" si="9"/>
        <v>6773.0064518682802</v>
      </c>
      <c r="AS196" cm="1">
        <f t="array" ref="AS196">IFERROR(VALUE(_xll.BDP($B196,"INTERVAL_exp_MOV_AVG","CALC_INTERVAL","520D","TECH_STUDIES_PARAM1_OVERRIDE",100,"USE_PREVIOUS_BUSINESS_DAY","Y")),"")</f>
        <v>53.751465368845899</v>
      </c>
      <c r="AT196">
        <f t="shared" si="10"/>
        <v>6769.6039787132295</v>
      </c>
      <c r="AU196">
        <f t="shared" si="138"/>
        <v>7.9545730894885047E-3</v>
      </c>
      <c r="AV196">
        <f t="shared" si="139"/>
        <v>7.9401196196801759E-3</v>
      </c>
      <c r="AW196" s="11" t="str">
        <f t="shared" si="140"/>
        <v>UP</v>
      </c>
      <c r="AX196" s="11" t="str">
        <f t="shared" si="141"/>
        <v>UP</v>
      </c>
      <c r="AY196" s="6" t="str">
        <f t="shared" si="142"/>
        <v>POSITIVE</v>
      </c>
      <c r="AZ196" s="12" cm="1">
        <f t="array" ref="AZ196">_xll.BDP($B196, "INTERVAL_RSI", "TECH_STUDIES_PARAM1_OVERRIDE", "5", "PERIODICITY_OVERRIDE", "W")</f>
        <v>88.482712435364988</v>
      </c>
      <c r="BA196" cm="1">
        <f t="array" ref="BA196">IFERROR(VALUE(_xll.BDP($B196,"INTERVAL_MAE_MOV_AVG","CALC_INTERVAL","520D","TECH_STUDIES_PARAM1_OVERRIDE",31,"USE_PREVIOUS_BUSINESS_DAY","N")),"")</f>
        <v>56.008871012041638</v>
      </c>
      <c r="BB196" cm="1">
        <f t="array" ref="BB196">IFERROR(VALUE(_xll.BDP($B196,"INTERVAL_MAE_MOV_AVG","CALC_INTERVAL","760D","TECH_STUDIES_PARAM1_OVERRIDE",200,"USE_PREVIOUS_BUSINESS_DAY","N")),"")</f>
        <v>51.346800299592253</v>
      </c>
      <c r="BC196" s="13">
        <f t="shared" si="143"/>
        <v>7.2330131187386293E-2</v>
      </c>
      <c r="BD196" s="13">
        <f t="shared" si="144"/>
        <v>9.5376200946390544E-2</v>
      </c>
      <c r="BE196" s="13">
        <f t="shared" si="145"/>
        <v>0.16969313860978685</v>
      </c>
      <c r="BF196" s="14" cm="1">
        <f t="array" ref="BF196">VALUE(_xll.BDP($B196,"INTERVAL_DATE_OF_CALC_HI","CALC_INTERVAL","3M"))</f>
        <v>46064</v>
      </c>
      <c r="BG196" s="14" cm="1">
        <f t="array" ref="BG196">VALUE(_xll.BDP($B196,"INTERVAL_DATE_OF_CALC_LO","CALC_INTERVAL","3M"))</f>
        <v>45981</v>
      </c>
      <c r="BH196" s="14" cm="1">
        <f t="array" ref="BH196">VALUE(_xll.BDP($B196,"INTERVAL_DATE_OF_CALC_HI","CALC_INTERVAL","1M"))</f>
        <v>46064</v>
      </c>
      <c r="BI196" s="14" cm="1">
        <f t="array" ref="BI196">VALUE(_xll.BDP($B196,"INTERVAL_DATE_OF_CALC_LO","CALC_INTERVAL","1M"))</f>
        <v>46034</v>
      </c>
      <c r="BJ196" s="15">
        <f>$F196-MIN(_xll.BDP("NYA Index","RSI_14D"),_xll.BDP("RSP US Equity","RSI_14D"))</f>
        <v>11.21070942498136</v>
      </c>
    </row>
    <row r="197" spans="1:62" x14ac:dyDescent="0.25">
      <c r="A197" s="11">
        <v>196</v>
      </c>
      <c r="B197" s="26" t="s">
        <v>438</v>
      </c>
      <c r="C197" s="1" t="s">
        <v>861</v>
      </c>
      <c r="D197" s="1" t="s">
        <v>308</v>
      </c>
      <c r="E197" s="11" t="s">
        <v>787</v>
      </c>
      <c r="F197">
        <f>IFERROR(VALUE((_xll.BDP($B197,"interval_rsi","tech_studies_param1_override",14))),"")</f>
        <v>29.431979776720183</v>
      </c>
      <c r="G197">
        <f t="shared" si="0"/>
        <v>52.525531939815814</v>
      </c>
      <c r="H197">
        <f t="shared" si="119"/>
        <v>0</v>
      </c>
      <c r="I197" cm="1">
        <f t="array" ref="I197">IFERROR(VALUE(_xll.BDP($B197,"px_last")),"")</f>
        <v>83.23</v>
      </c>
      <c r="J197">
        <f t="shared" si="1"/>
        <v>6941.47</v>
      </c>
      <c r="K197" cm="1">
        <f t="array" ref="K197">IFERROR(VALUE(_xll.BDP($B197,"PX_YEST_CLOSE")),"")</f>
        <v>85.41</v>
      </c>
      <c r="L197">
        <f t="shared" si="2"/>
        <v>6941.81</v>
      </c>
      <c r="M197">
        <f t="shared" si="120"/>
        <v>1.1990255666306992E-2</v>
      </c>
      <c r="N197">
        <f t="shared" si="121"/>
        <v>1.2303707534490282E-2</v>
      </c>
      <c r="O197" cm="1">
        <f t="array" ref="O197">IFERROR(VALUE(_xll.BDP($B197,"INTERVAL_MAE_MOV_AVG","CALC_INTERVAL","520D","TECH_STUDIES_PARAM1_OVERRIDE",50,"USE_PREVIOUS_BUSINESS_DAY","N")),"")</f>
        <v>100.71600006713864</v>
      </c>
      <c r="P197">
        <f t="shared" si="3"/>
        <v>6894.0953999999992</v>
      </c>
      <c r="Q197" cm="1">
        <f t="array" ref="Q197">IFERROR(VALUE(_xll.BDP($B197,"INTERVAL_MAE_MOV_AVG","CALC_INTERVAL","520D","TECH_STUDIES_PARAM1_OVERRIDE",50,"USE_PREVIOUS_BUSINESS_DAY","Y")),"")</f>
        <v>101.13319999999999</v>
      </c>
      <c r="R197">
        <f t="shared" si="4"/>
        <v>6892.2477999999992</v>
      </c>
      <c r="S197">
        <f t="shared" si="122"/>
        <v>1.4609023261723163E-2</v>
      </c>
      <c r="T197">
        <f t="shared" si="123"/>
        <v>1.4673471258534843E-2</v>
      </c>
      <c r="U197" s="11" t="str">
        <f t="shared" si="124"/>
        <v>NEGATIVE</v>
      </c>
      <c r="V197" s="11" t="str">
        <f t="shared" si="125"/>
        <v/>
      </c>
      <c r="W197" s="11" t="str">
        <f t="shared" si="126"/>
        <v>DOWN</v>
      </c>
      <c r="X197" s="6" t="str">
        <f t="shared" si="127"/>
        <v>NEGATIVE</v>
      </c>
      <c r="Y197" cm="1">
        <f t="array" ref="Y197">IFERROR(VALUE(_xll.BDP($B197,"INTERVAL_MAE_MOV_AVG","CALC_INTERVAL","520D","TECH_STUDIES_PARAM1_OVERRIDE",65,"USE_PREVIOUS_BUSINESS_DAY","N")),"")</f>
        <v>101.84938466702971</v>
      </c>
      <c r="Z197">
        <f t="shared" si="5"/>
        <v>6856.0226153846133</v>
      </c>
      <c r="AA197" cm="1">
        <f t="array" ref="AA197">IFERROR(VALUE(_xll.BDP($B197,"INTERVAL_MAE_MOV_AVG","CALC_INTERVAL","520D","TECH_STUDIES_PARAM1_OVERRIDE",65,"USE_PREVIOUS_BUSINESS_DAY","Y")),"")</f>
        <v>102.25061538461536</v>
      </c>
      <c r="AB197">
        <f t="shared" si="6"/>
        <v>6852.6203076923057</v>
      </c>
      <c r="AC197">
        <f t="shared" si="128"/>
        <v>1.4855462179848148E-2</v>
      </c>
      <c r="AD197">
        <f t="shared" si="129"/>
        <v>1.492138930707068E-2</v>
      </c>
      <c r="AE197" s="10" t="str">
        <f t="shared" si="130"/>
        <v>DOWN</v>
      </c>
      <c r="AF197" s="10" t="str">
        <f t="shared" si="131"/>
        <v>DOWN</v>
      </c>
      <c r="AG197" s="6" t="str">
        <f t="shared" si="132"/>
        <v>NEGATIVE</v>
      </c>
      <c r="AH197" cm="1">
        <f t="array" ref="AH197">IFERROR(VALUE(_xll.BDP($B197,"INTERVAL_MAE_MOV_AVG","CALC_INTERVAL","65W","PERIODICITY_OVERRIDE","W","TECH_STUDIES_PARAM1_OVERRIDE",39,"USE_PREVIOUS_BUSINESS_DAY","N")),"")</f>
        <v>106.51500008607523</v>
      </c>
      <c r="AI197">
        <f t="shared" si="7"/>
        <v>6560.7735897435905</v>
      </c>
      <c r="AJ197" cm="1">
        <f t="array" ref="AJ197">IFERROR(VALUE(_xll.BDP($B197,"INTERVAL_MAE_MOV_AVG","CALC_INTERVAL","65W","PERIODICITY_OVERRIDE","W","TECH_STUDIES_PARAM1_OVERRIDE",39,"USE_PREVIOUS_BUSINESS_DAY","Y")),"")</f>
        <v>106.57089743589744</v>
      </c>
      <c r="AK197">
        <f t="shared" si="8"/>
        <v>6560.7823076923087</v>
      </c>
      <c r="AL197">
        <f t="shared" si="133"/>
        <v>1.623512816424413E-2</v>
      </c>
      <c r="AM197">
        <f t="shared" si="134"/>
        <v>1.6243626512488677E-2</v>
      </c>
      <c r="AN197" s="10" t="str">
        <f t="shared" si="135"/>
        <v>DOWN</v>
      </c>
      <c r="AO197" s="10" t="str">
        <f t="shared" si="136"/>
        <v>DOWN</v>
      </c>
      <c r="AP197" s="6" t="str">
        <f t="shared" si="137"/>
        <v>NEGATIVE</v>
      </c>
      <c r="AQ197" cm="1">
        <f t="array" ref="AQ197">IFERROR(VALUE(_xll.BDP($B197,"INTERVAL_exp_MOV_AVG","CALC_INTERVAL","520D","TECH_STUDIES_PARAM1_OVERRIDE",100,"USE_PREVIOUS_BUSINESS_DAY","N")),"")</f>
        <v>102.44218685143045</v>
      </c>
      <c r="AR197">
        <f t="shared" si="9"/>
        <v>6773.0064518682802</v>
      </c>
      <c r="AS197" cm="1">
        <f t="array" ref="AS197">IFERROR(VALUE(_xll.BDP($B197,"INTERVAL_exp_MOV_AVG","CALC_INTERVAL","520D","TECH_STUDIES_PARAM1_OVERRIDE",100,"USE_PREVIOUS_BUSINESS_DAY","Y")),"")</f>
        <v>102.83032275743892</v>
      </c>
      <c r="AT197">
        <f t="shared" si="10"/>
        <v>6769.6039787132295</v>
      </c>
      <c r="AU197">
        <f t="shared" si="138"/>
        <v>1.5125068546652954E-2</v>
      </c>
      <c r="AV197">
        <f t="shared" si="139"/>
        <v>1.5190005660712958E-2</v>
      </c>
      <c r="AW197" s="11" t="str">
        <f t="shared" si="140"/>
        <v>DOWN</v>
      </c>
      <c r="AX197" s="11" t="str">
        <f t="shared" si="141"/>
        <v>DOWN</v>
      </c>
      <c r="AY197" s="6" t="str">
        <f t="shared" si="142"/>
        <v>NEGATIVE</v>
      </c>
      <c r="AZ197" s="12" cm="1">
        <f t="array" ref="AZ197">_xll.BDP($B197, "INTERVAL_RSI", "TECH_STUDIES_PARAM1_OVERRIDE", "5", "PERIODICITY_OVERRIDE", "W")</f>
        <v>13.82243282265155</v>
      </c>
      <c r="BA197" cm="1">
        <f t="array" ref="BA197">IFERROR(VALUE(_xll.BDP($B197,"INTERVAL_MAE_MOV_AVG","CALC_INTERVAL","520D","TECH_STUDIES_PARAM1_OVERRIDE",31,"USE_PREVIOUS_BUSINESS_DAY","N")),"")</f>
        <v>96.501613011513953</v>
      </c>
      <c r="BB197" cm="1">
        <f t="array" ref="BB197">IFERROR(VALUE(_xll.BDP($B197,"INTERVAL_MAE_MOV_AVG","CALC_INTERVAL","760D","TECH_STUDIES_PARAM1_OVERRIDE",200,"USE_PREVIOUS_BUSINESS_DAY","N")),"")</f>
        <v>106.7533250167846</v>
      </c>
      <c r="BC197" s="13">
        <f t="shared" si="143"/>
        <v>-0.13752736972314095</v>
      </c>
      <c r="BD197" s="13">
        <f t="shared" si="144"/>
        <v>-0.17361690352557912</v>
      </c>
      <c r="BE197" s="13">
        <f t="shared" si="145"/>
        <v>-0.22035215308830969</v>
      </c>
      <c r="BF197" s="14" cm="1">
        <f t="array" ref="BF197">VALUE(_xll.BDP($B197,"INTERVAL_DATE_OF_CALC_HI","CALC_INTERVAL","3M"))</f>
        <v>45972</v>
      </c>
      <c r="BG197" s="14" cm="1">
        <f t="array" ref="BG197">VALUE(_xll.BDP($B197,"INTERVAL_DATE_OF_CALC_LO","CALC_INTERVAL","3M"))</f>
        <v>46058</v>
      </c>
      <c r="BH197" s="14" cm="1">
        <f t="array" ref="BH197">VALUE(_xll.BDP($B197,"INTERVAL_DATE_OF_CALC_HI","CALC_INTERVAL","1M"))</f>
        <v>46034</v>
      </c>
      <c r="BI197" s="14" cm="1">
        <f t="array" ref="BI197">VALUE(_xll.BDP($B197,"INTERVAL_DATE_OF_CALC_LO","CALC_INTERVAL","1M"))</f>
        <v>46058</v>
      </c>
      <c r="BJ197" s="15">
        <f>$F197-MIN(_xll.BDP("NYA Index","RSI_14D"),_xll.BDP("RSP US Equity","RSI_14D"))</f>
        <v>-36.913784383436067</v>
      </c>
    </row>
    <row r="198" spans="1:62" x14ac:dyDescent="0.25">
      <c r="A198" s="11">
        <v>197</v>
      </c>
      <c r="B198" s="26" t="s">
        <v>439</v>
      </c>
      <c r="C198" s="1" t="s">
        <v>862</v>
      </c>
      <c r="D198" s="1" t="s">
        <v>308</v>
      </c>
      <c r="E198" s="11" t="s">
        <v>787</v>
      </c>
      <c r="F198">
        <f>IFERROR(VALUE((_xll.BDP($B198,"interval_rsi","tech_studies_param1_override",14))),"")</f>
        <v>65.729431842525941</v>
      </c>
      <c r="G198">
        <f t="shared" si="0"/>
        <v>52.525531939815814</v>
      </c>
      <c r="H198">
        <f t="shared" si="119"/>
        <v>1</v>
      </c>
      <c r="I198" cm="1">
        <f t="array" ref="I198">IFERROR(VALUE(_xll.BDP($B198,"px_last")),"")</f>
        <v>131.82</v>
      </c>
      <c r="J198">
        <f t="shared" si="1"/>
        <v>6941.47</v>
      </c>
      <c r="K198" cm="1">
        <f t="array" ref="K198">IFERROR(VALUE(_xll.BDP($B198,"PX_YEST_CLOSE")),"")</f>
        <v>132.07</v>
      </c>
      <c r="L198">
        <f t="shared" si="2"/>
        <v>6941.81</v>
      </c>
      <c r="M198">
        <f t="shared" si="120"/>
        <v>1.8990213888412683E-2</v>
      </c>
      <c r="N198">
        <f t="shared" si="121"/>
        <v>1.9025297436835637E-2</v>
      </c>
      <c r="O198" cm="1">
        <f t="array" ref="O198">IFERROR(VALUE(_xll.BDP($B198,"INTERVAL_MAE_MOV_AVG","CALC_INTERVAL","520D","TECH_STUDIES_PARAM1_OVERRIDE",50,"USE_PREVIOUS_BUSINESS_DAY","N")),"")</f>
        <v>125.26439266028436</v>
      </c>
      <c r="P198">
        <f t="shared" si="3"/>
        <v>6894.0953999999992</v>
      </c>
      <c r="Q198" cm="1">
        <f t="array" ref="Q198">IFERROR(VALUE(_xll.BDP($B198,"INTERVAL_MAE_MOV_AVG","CALC_INTERVAL","520D","TECH_STUDIES_PARAM1_OVERRIDE",50,"USE_PREVIOUS_BUSINESS_DAY","Y")),"")</f>
        <v>125.03422170839998</v>
      </c>
      <c r="R198">
        <f t="shared" si="4"/>
        <v>6892.2477999999992</v>
      </c>
      <c r="S198">
        <f t="shared" si="122"/>
        <v>1.8169808421897436E-2</v>
      </c>
      <c r="T198">
        <f t="shared" si="123"/>
        <v>1.8141283560408259E-2</v>
      </c>
      <c r="U198" s="11" t="str">
        <f t="shared" si="124"/>
        <v>POSITIVE</v>
      </c>
      <c r="V198" s="11" t="str">
        <f t="shared" si="125"/>
        <v/>
      </c>
      <c r="W198" s="11" t="str">
        <f t="shared" si="126"/>
        <v>UP</v>
      </c>
      <c r="X198" s="6" t="str">
        <f t="shared" si="127"/>
        <v>POSITIVE</v>
      </c>
      <c r="Y198" cm="1">
        <f t="array" ref="Y198">IFERROR(VALUE(_xll.BDP($B198,"INTERVAL_MAE_MOV_AVG","CALC_INTERVAL","520D","TECH_STUDIES_PARAM1_OVERRIDE",65,"USE_PREVIOUS_BUSINESS_DAY","N")),"")</f>
        <v>123.29401848606489</v>
      </c>
      <c r="Z198">
        <f t="shared" si="5"/>
        <v>6856.0226153846133</v>
      </c>
      <c r="AA198" cm="1">
        <f t="array" ref="AA198">IFERROR(VALUE(_xll.BDP($B198,"INTERVAL_MAE_MOV_AVG","CALC_INTERVAL","520D","TECH_STUDIES_PARAM1_OVERRIDE",65,"USE_PREVIOUS_BUSINESS_DAY","Y")),"")</f>
        <v>123.05678176199999</v>
      </c>
      <c r="AB198">
        <f t="shared" si="6"/>
        <v>6852.6203076923057</v>
      </c>
      <c r="AC198">
        <f t="shared" si="128"/>
        <v>1.7983315604793736E-2</v>
      </c>
      <c r="AD198">
        <f t="shared" si="129"/>
        <v>1.7957624417606278E-2</v>
      </c>
      <c r="AE198" s="10" t="str">
        <f t="shared" si="130"/>
        <v>UP</v>
      </c>
      <c r="AF198" s="10" t="str">
        <f t="shared" si="131"/>
        <v>UP</v>
      </c>
      <c r="AG198" s="6" t="str">
        <f t="shared" si="132"/>
        <v>POSITIVE</v>
      </c>
      <c r="AH198" cm="1">
        <f t="array" ref="AH198">IFERROR(VALUE(_xll.BDP($B198,"INTERVAL_MAE_MOV_AVG","CALC_INTERVAL","65W","PERIODICITY_OVERRIDE","W","TECH_STUDIES_PARAM1_OVERRIDE",39,"USE_PREVIOUS_BUSINESS_DAY","N")),"")</f>
        <v>116.90973779851109</v>
      </c>
      <c r="AI198">
        <f t="shared" si="7"/>
        <v>6560.7735897435905</v>
      </c>
      <c r="AJ198" cm="1">
        <f t="array" ref="AJ198">IFERROR(VALUE(_xll.BDP($B198,"INTERVAL_MAE_MOV_AVG","CALC_INTERVAL","65W","PERIODICITY_OVERRIDE","W","TECH_STUDIES_PARAM1_OVERRIDE",39,"USE_PREVIOUS_BUSINESS_DAY","Y")),"")</f>
        <v>116.91614786712086</v>
      </c>
      <c r="AK198">
        <f t="shared" si="8"/>
        <v>6560.7823076923087</v>
      </c>
      <c r="AL198">
        <f t="shared" si="133"/>
        <v>1.7819505001860639E-2</v>
      </c>
      <c r="AM198">
        <f t="shared" si="134"/>
        <v>1.782045835144391E-2</v>
      </c>
      <c r="AN198" s="10" t="str">
        <f t="shared" si="135"/>
        <v>DOWN</v>
      </c>
      <c r="AO198" s="10" t="str">
        <f t="shared" si="136"/>
        <v>DOWN</v>
      </c>
      <c r="AP198" s="6" t="str">
        <f t="shared" si="137"/>
        <v>POSITIVE</v>
      </c>
      <c r="AQ198" cm="1">
        <f t="array" ref="AQ198">IFERROR(VALUE(_xll.BDP($B198,"INTERVAL_exp_MOV_AVG","CALC_INTERVAL","520D","TECH_STUDIES_PARAM1_OVERRIDE",100,"USE_PREVIOUS_BUSINESS_DAY","N")),"")</f>
        <v>122.20503129365362</v>
      </c>
      <c r="AR198">
        <f t="shared" si="9"/>
        <v>6773.0064518682802</v>
      </c>
      <c r="AS198" cm="1">
        <f t="array" ref="AS198">IFERROR(VALUE(_xll.BDP($B198,"INTERVAL_exp_MOV_AVG","CALC_INTERVAL","520D","TECH_STUDIES_PARAM1_OVERRIDE",100,"USE_PREVIOUS_BUSINESS_DAY","Y")),"")</f>
        <v>122.0108187107902</v>
      </c>
      <c r="AT198">
        <f t="shared" si="10"/>
        <v>6769.6039787132295</v>
      </c>
      <c r="AU198">
        <f t="shared" si="138"/>
        <v>1.8042952145711354E-2</v>
      </c>
      <c r="AV198">
        <f t="shared" si="139"/>
        <v>1.8023331807067111E-2</v>
      </c>
      <c r="AW198" s="11" t="str">
        <f t="shared" si="140"/>
        <v>UP</v>
      </c>
      <c r="AX198" s="11" t="str">
        <f t="shared" si="141"/>
        <v>UP</v>
      </c>
      <c r="AY198" s="6" t="str">
        <f t="shared" si="142"/>
        <v>POSITIVE</v>
      </c>
      <c r="AZ198" s="12" cm="1">
        <f t="array" ref="AZ198">_xll.BDP($B198, "INTERVAL_RSI", "TECH_STUDIES_PARAM1_OVERRIDE", "5", "PERIODICITY_OVERRIDE", "W")</f>
        <v>78.352650020252938</v>
      </c>
      <c r="BA198" cm="1">
        <f t="array" ref="BA198">IFERROR(VALUE(_xll.BDP($B198,"INTERVAL_MAE_MOV_AVG","CALC_INTERVAL","520D","TECH_STUDIES_PARAM1_OVERRIDE",31,"USE_PREVIOUS_BUSINESS_DAY","N")),"")</f>
        <v>127.17387120400701</v>
      </c>
      <c r="BB198" cm="1">
        <f t="array" ref="BB198">IFERROR(VALUE(_xll.BDP($B198,"INTERVAL_MAE_MOV_AVG","CALC_INTERVAL","760D","TECH_STUDIES_PARAM1_OVERRIDE",200,"USE_PREVIOUS_BUSINESS_DAY","N")),"")</f>
        <v>115.57072953890759</v>
      </c>
      <c r="BC198" s="13">
        <f t="shared" si="143"/>
        <v>3.6533674346830747E-2</v>
      </c>
      <c r="BD198" s="13">
        <f t="shared" si="144"/>
        <v>5.2334164565778662E-2</v>
      </c>
      <c r="BE198" s="13">
        <f t="shared" si="145"/>
        <v>0.14060022400068006</v>
      </c>
      <c r="BF198" s="14" cm="1">
        <f t="array" ref="BF198">VALUE(_xll.BDP($B198,"INTERVAL_DATE_OF_CALC_HI","CALC_INTERVAL","3M"))</f>
        <v>46063</v>
      </c>
      <c r="BG198" s="14" cm="1">
        <f t="array" ref="BG198">VALUE(_xll.BDP($B198,"INTERVAL_DATE_OF_CALC_LO","CALC_INTERVAL","3M"))</f>
        <v>45981</v>
      </c>
      <c r="BH198" s="14" cm="1">
        <f t="array" ref="BH198">VALUE(_xll.BDP($B198,"INTERVAL_DATE_OF_CALC_HI","CALC_INTERVAL","1M"))</f>
        <v>46063</v>
      </c>
      <c r="BI198" s="14" cm="1">
        <f t="array" ref="BI198">VALUE(_xll.BDP($B198,"INTERVAL_DATE_OF_CALC_LO","CALC_INTERVAL","1M"))</f>
        <v>46035</v>
      </c>
      <c r="BJ198" s="15">
        <f>$F198-MIN(_xll.BDP("NYA Index","RSI_14D"),_xll.BDP("RSP US Equity","RSI_14D"))</f>
        <v>-0.61633231763030949</v>
      </c>
    </row>
    <row r="199" spans="1:62" x14ac:dyDescent="0.25">
      <c r="A199" s="11">
        <v>198</v>
      </c>
      <c r="B199" s="26" t="s">
        <v>440</v>
      </c>
      <c r="C199" s="1" t="s">
        <v>863</v>
      </c>
      <c r="D199" s="1" t="s">
        <v>308</v>
      </c>
      <c r="E199" s="11" t="s">
        <v>787</v>
      </c>
      <c r="F199">
        <f>IFERROR(VALUE((_xll.BDP($B199,"interval_rsi","tech_studies_param1_override",14))),"")</f>
        <v>56.381252152416998</v>
      </c>
      <c r="G199">
        <f t="shared" si="0"/>
        <v>52.525531939815814</v>
      </c>
      <c r="H199">
        <f t="shared" si="119"/>
        <v>0</v>
      </c>
      <c r="I199" cm="1">
        <f t="array" ref="I199">IFERROR(VALUE(_xll.BDP($B199,"px_last")),"")</f>
        <v>53.53</v>
      </c>
      <c r="J199">
        <f t="shared" si="1"/>
        <v>6941.47</v>
      </c>
      <c r="K199" cm="1">
        <f t="array" ref="K199">IFERROR(VALUE(_xll.BDP($B199,"PX_YEST_CLOSE")),"")</f>
        <v>53.74</v>
      </c>
      <c r="L199">
        <f t="shared" si="2"/>
        <v>6941.81</v>
      </c>
      <c r="M199">
        <f t="shared" si="120"/>
        <v>7.7116230423815131E-3</v>
      </c>
      <c r="N199">
        <f t="shared" si="121"/>
        <v>7.7414968142314466E-3</v>
      </c>
      <c r="O199" cm="1">
        <f t="array" ref="O199">IFERROR(VALUE(_xll.BDP($B199,"INTERVAL_MAE_MOV_AVG","CALC_INTERVAL","520D","TECH_STUDIES_PARAM1_OVERRIDE",50,"USE_PREVIOUS_BUSINESS_DAY","N")),"")</f>
        <v>53.215399975585932</v>
      </c>
      <c r="P199">
        <f t="shared" si="3"/>
        <v>6894.0953999999992</v>
      </c>
      <c r="Q199" cm="1">
        <f t="array" ref="Q199">IFERROR(VALUE(_xll.BDP($B199,"INTERVAL_MAE_MOV_AVG","CALC_INTERVAL","520D","TECH_STUDIES_PARAM1_OVERRIDE",50,"USE_PREVIOUS_BUSINESS_DAY","Y")),"")</f>
        <v>53.239000000000004</v>
      </c>
      <c r="R199">
        <f t="shared" si="4"/>
        <v>6892.2477999999992</v>
      </c>
      <c r="S199">
        <f t="shared" si="122"/>
        <v>7.7189822432085775E-3</v>
      </c>
      <c r="T199">
        <f t="shared" si="123"/>
        <v>7.7244756057668167E-3</v>
      </c>
      <c r="U199" s="11" t="str">
        <f t="shared" si="124"/>
        <v>NEGATIVE</v>
      </c>
      <c r="V199" s="11" t="str">
        <f t="shared" si="125"/>
        <v/>
      </c>
      <c r="W199" s="11" t="str">
        <f t="shared" si="126"/>
        <v>DOWN</v>
      </c>
      <c r="X199" s="6" t="str">
        <f t="shared" si="127"/>
        <v>SELL</v>
      </c>
      <c r="Y199" cm="1">
        <f t="array" ref="Y199">IFERROR(VALUE(_xll.BDP($B199,"INTERVAL_MAE_MOV_AVG","CALC_INTERVAL","520D","TECH_STUDIES_PARAM1_OVERRIDE",65,"USE_PREVIOUS_BUSINESS_DAY","N")),"")</f>
        <v>53.502923058143026</v>
      </c>
      <c r="Z199">
        <f t="shared" si="5"/>
        <v>6856.0226153846133</v>
      </c>
      <c r="AA199" cm="1">
        <f t="array" ref="AA199">IFERROR(VALUE(_xll.BDP($B199,"INTERVAL_MAE_MOV_AVG","CALC_INTERVAL","520D","TECH_STUDIES_PARAM1_OVERRIDE",65,"USE_PREVIOUS_BUSINESS_DAY","Y")),"")</f>
        <v>53.504307692307691</v>
      </c>
      <c r="AB199">
        <f t="shared" si="6"/>
        <v>6852.6203076923057</v>
      </c>
      <c r="AC199">
        <f t="shared" si="128"/>
        <v>7.8037845059152544E-3</v>
      </c>
      <c r="AD199">
        <f t="shared" si="129"/>
        <v>7.8078611231746252E-3</v>
      </c>
      <c r="AE199" s="10" t="str">
        <f t="shared" si="130"/>
        <v>DOWN</v>
      </c>
      <c r="AF199" s="10" t="str">
        <f t="shared" si="131"/>
        <v>DOWN</v>
      </c>
      <c r="AG199" s="6" t="str">
        <f t="shared" si="132"/>
        <v>NEGATIVE</v>
      </c>
      <c r="AH199" cm="1">
        <f t="array" ref="AH199">IFERROR(VALUE(_xll.BDP($B199,"INTERVAL_MAE_MOV_AVG","CALC_INTERVAL","65W","PERIODICITY_OVERRIDE","W","TECH_STUDIES_PARAM1_OVERRIDE",39,"USE_PREVIOUS_BUSINESS_DAY","N")),"")</f>
        <v>53.651666635366588</v>
      </c>
      <c r="AI199">
        <f t="shared" si="7"/>
        <v>6560.7735897435905</v>
      </c>
      <c r="AJ199" cm="1">
        <f t="array" ref="AJ199">IFERROR(VALUE(_xll.BDP($B199,"INTERVAL_MAE_MOV_AVG","CALC_INTERVAL","65W","PERIODICITY_OVERRIDE","W","TECH_STUDIES_PARAM1_OVERRIDE",39,"USE_PREVIOUS_BUSINESS_DAY","Y")),"")</f>
        <v>53.657051282051292</v>
      </c>
      <c r="AK199">
        <f t="shared" si="8"/>
        <v>6560.7823076923087</v>
      </c>
      <c r="AL199">
        <f t="shared" si="133"/>
        <v>8.1776433680381608E-3</v>
      </c>
      <c r="AM199">
        <f t="shared" si="134"/>
        <v>8.1784532340205985E-3</v>
      </c>
      <c r="AN199" s="10" t="str">
        <f t="shared" si="135"/>
        <v>DOWN</v>
      </c>
      <c r="AO199" s="10" t="str">
        <f t="shared" si="136"/>
        <v>DOWN</v>
      </c>
      <c r="AP199" s="6" t="str">
        <f t="shared" si="137"/>
        <v>NEGATIVE</v>
      </c>
      <c r="AQ199" cm="1">
        <f t="array" ref="AQ199">IFERROR(VALUE(_xll.BDP($B199,"INTERVAL_exp_MOV_AVG","CALC_INTERVAL","520D","TECH_STUDIES_PARAM1_OVERRIDE",100,"USE_PREVIOUS_BUSINESS_DAY","N")),"")</f>
        <v>53.341209026977317</v>
      </c>
      <c r="AR199">
        <f t="shared" si="9"/>
        <v>6773.0064518682802</v>
      </c>
      <c r="AS199" cm="1">
        <f t="array" ref="AS199">IFERROR(VALUE(_xll.BDP($B199,"INTERVAL_exp_MOV_AVG","CALC_INTERVAL","520D","TECH_STUDIES_PARAM1_OVERRIDE",100,"USE_PREVIOUS_BUSINESS_DAY","Y")),"")</f>
        <v>53.337412656223471</v>
      </c>
      <c r="AT199">
        <f t="shared" si="10"/>
        <v>6769.6039787132295</v>
      </c>
      <c r="AU199">
        <f t="shared" si="138"/>
        <v>7.8755585729973088E-3</v>
      </c>
      <c r="AV199">
        <f t="shared" si="139"/>
        <v>7.8789561138201004E-3</v>
      </c>
      <c r="AW199" s="11" t="str">
        <f t="shared" si="140"/>
        <v>UP</v>
      </c>
      <c r="AX199" s="11" t="str">
        <f t="shared" si="141"/>
        <v>DOWN</v>
      </c>
      <c r="AY199" s="6" t="str">
        <f t="shared" si="142"/>
        <v>NEGATIVE</v>
      </c>
      <c r="AZ199" s="12" cm="1">
        <f t="array" ref="AZ199">_xll.BDP($B199, "INTERVAL_RSI", "TECH_STUDIES_PARAM1_OVERRIDE", "5", "PERIODICITY_OVERRIDE", "W")</f>
        <v>56.908770895923553</v>
      </c>
      <c r="BA199" cm="1">
        <f t="array" ref="BA199">IFERROR(VALUE(_xll.BDP($B199,"INTERVAL_MAE_MOV_AVG","CALC_INTERVAL","520D","TECH_STUDIES_PARAM1_OVERRIDE",31,"USE_PREVIOUS_BUSINESS_DAY","N")),"")</f>
        <v>52.969032218686998</v>
      </c>
      <c r="BB199" cm="1">
        <f t="array" ref="BB199">IFERROR(VALUE(_xll.BDP($B199,"INTERVAL_MAE_MOV_AVG","CALC_INTERVAL","760D","TECH_STUDIES_PARAM1_OVERRIDE",200,"USE_PREVIOUS_BUSINESS_DAY","N")),"")</f>
        <v>53.696874993896493</v>
      </c>
      <c r="BC199" s="13">
        <f t="shared" si="143"/>
        <v>1.0590485757734802E-2</v>
      </c>
      <c r="BD199" s="13">
        <f t="shared" si="144"/>
        <v>5.9118229790324772E-3</v>
      </c>
      <c r="BE199" s="13">
        <f t="shared" si="145"/>
        <v>-3.107722635916188E-3</v>
      </c>
      <c r="BF199" s="14" cm="1">
        <f t="array" ref="BF199">VALUE(_xll.BDP($B199,"INTERVAL_DATE_OF_CALC_HI","CALC_INTERVAL","3M"))</f>
        <v>45980</v>
      </c>
      <c r="BG199" s="14" cm="1">
        <f t="array" ref="BG199">VALUE(_xll.BDP($B199,"INTERVAL_DATE_OF_CALC_LO","CALC_INTERVAL","3M"))</f>
        <v>46045</v>
      </c>
      <c r="BH199" s="14" cm="1">
        <f t="array" ref="BH199">VALUE(_xll.BDP($B199,"INTERVAL_DATE_OF_CALC_HI","CALC_INTERVAL","1M"))</f>
        <v>46063</v>
      </c>
      <c r="BI199" s="14" cm="1">
        <f t="array" ref="BI199">VALUE(_xll.BDP($B199,"INTERVAL_DATE_OF_CALC_LO","CALC_INTERVAL","1M"))</f>
        <v>46045</v>
      </c>
      <c r="BJ199" s="15">
        <f>$F199-MIN(_xll.BDP("NYA Index","RSI_14D"),_xll.BDP("RSP US Equity","RSI_14D"))</f>
        <v>-9.9645120077392519</v>
      </c>
    </row>
    <row r="200" spans="1:62" x14ac:dyDescent="0.25">
      <c r="A200" s="11">
        <v>199</v>
      </c>
      <c r="B200" s="26" t="s">
        <v>149</v>
      </c>
      <c r="C200" s="1" t="s">
        <v>864</v>
      </c>
      <c r="D200" s="1" t="s">
        <v>308</v>
      </c>
      <c r="E200" s="11" t="s">
        <v>787</v>
      </c>
      <c r="F200">
        <f>IFERROR(VALUE((_xll.BDP($B200,"interval_rsi","tech_studies_param1_override",14))),"")</f>
        <v>50.71498345196165</v>
      </c>
      <c r="G200">
        <f t="shared" si="0"/>
        <v>52.525531939815814</v>
      </c>
      <c r="H200">
        <f t="shared" si="119"/>
        <v>0</v>
      </c>
      <c r="I200" cm="1">
        <f t="array" ref="I200">IFERROR(VALUE(_xll.BDP($B200,"px_last")),"")</f>
        <v>230.95</v>
      </c>
      <c r="J200">
        <f t="shared" si="1"/>
        <v>6941.47</v>
      </c>
      <c r="K200" cm="1">
        <f t="array" ref="K200">IFERROR(VALUE(_xll.BDP($B200,"PX_YEST_CLOSE")),"")</f>
        <v>233.21</v>
      </c>
      <c r="L200">
        <f t="shared" si="2"/>
        <v>6941.81</v>
      </c>
      <c r="M200">
        <f t="shared" si="120"/>
        <v>3.3271050656417153E-2</v>
      </c>
      <c r="N200">
        <f t="shared" si="121"/>
        <v>3.3594984593355331E-2</v>
      </c>
      <c r="O200" cm="1">
        <f t="array" ref="O200">IFERROR(VALUE(_xll.BDP($B200,"INTERVAL_MAE_MOV_AVG","CALC_INTERVAL","520D","TECH_STUDIES_PARAM1_OVERRIDE",50,"USE_PREVIOUS_BUSINESS_DAY","N")),"")</f>
        <v>222.86119993896486</v>
      </c>
      <c r="P200">
        <f t="shared" si="3"/>
        <v>6894.0953999999992</v>
      </c>
      <c r="Q200" cm="1">
        <f t="array" ref="Q200">IFERROR(VALUE(_xll.BDP($B200,"INTERVAL_MAE_MOV_AVG","CALC_INTERVAL","520D","TECH_STUDIES_PARAM1_OVERRIDE",50,"USE_PREVIOUS_BUSINESS_DAY","Y")),"")</f>
        <v>222.3442</v>
      </c>
      <c r="R200">
        <f t="shared" si="4"/>
        <v>6892.2477999999992</v>
      </c>
      <c r="S200">
        <f t="shared" si="122"/>
        <v>3.2326387583636408E-2</v>
      </c>
      <c r="T200">
        <f t="shared" si="123"/>
        <v>3.2260041491833771E-2</v>
      </c>
      <c r="U200" s="11" t="str">
        <f t="shared" si="124"/>
        <v>NEGATIVE</v>
      </c>
      <c r="V200" s="11" t="str">
        <f t="shared" si="125"/>
        <v/>
      </c>
      <c r="W200" s="11" t="str">
        <f t="shared" si="126"/>
        <v>UP</v>
      </c>
      <c r="X200" s="6" t="str">
        <f t="shared" si="127"/>
        <v>POSITIVE</v>
      </c>
      <c r="Y200" cm="1">
        <f t="array" ref="Y200">IFERROR(VALUE(_xll.BDP($B200,"INTERVAL_MAE_MOV_AVG","CALC_INTERVAL","520D","TECH_STUDIES_PARAM1_OVERRIDE",65,"USE_PREVIOUS_BUSINESS_DAY","N")),"")</f>
        <v>218.65830764535761</v>
      </c>
      <c r="Z200">
        <f t="shared" si="5"/>
        <v>6856.0226153846133</v>
      </c>
      <c r="AA200" cm="1">
        <f t="array" ref="AA200">IFERROR(VALUE(_xll.BDP($B200,"INTERVAL_MAE_MOV_AVG","CALC_INTERVAL","520D","TECH_STUDIES_PARAM1_OVERRIDE",65,"USE_PREVIOUS_BUSINESS_DAY","Y")),"")</f>
        <v>218.2986153846154</v>
      </c>
      <c r="AB200">
        <f t="shared" si="6"/>
        <v>6852.6203076923057</v>
      </c>
      <c r="AC200">
        <f t="shared" si="128"/>
        <v>3.1892880159802565E-2</v>
      </c>
      <c r="AD200">
        <f t="shared" si="129"/>
        <v>3.1856225149315159E-2</v>
      </c>
      <c r="AE200" s="10" t="str">
        <f t="shared" si="130"/>
        <v>UP</v>
      </c>
      <c r="AF200" s="10" t="str">
        <f t="shared" si="131"/>
        <v>UP</v>
      </c>
      <c r="AG200" s="6" t="str">
        <f t="shared" si="132"/>
        <v>POSITIVE</v>
      </c>
      <c r="AH200" cm="1">
        <f t="array" ref="AH200">IFERROR(VALUE(_xll.BDP($B200,"INTERVAL_MAE_MOV_AVG","CALC_INTERVAL","65W","PERIODICITY_OVERRIDE","W","TECH_STUDIES_PARAM1_OVERRIDE",39,"USE_PREVIOUS_BUSINESS_DAY","N")),"")</f>
        <v>204.41941951563749</v>
      </c>
      <c r="AI200">
        <f t="shared" si="7"/>
        <v>6560.7735897435905</v>
      </c>
      <c r="AJ200" cm="1">
        <f t="array" ref="AJ200">IFERROR(VALUE(_xll.BDP($B200,"INTERVAL_MAE_MOV_AVG","CALC_INTERVAL","65W","PERIODICITY_OVERRIDE","W","TECH_STUDIES_PARAM1_OVERRIDE",39,"USE_PREVIOUS_BUSINESS_DAY","Y")),"")</f>
        <v>204.47736831183636</v>
      </c>
      <c r="AK200">
        <f t="shared" si="8"/>
        <v>6560.7823076923087</v>
      </c>
      <c r="AL200">
        <f t="shared" si="133"/>
        <v>3.1157822582874202E-2</v>
      </c>
      <c r="AM200">
        <f t="shared" si="134"/>
        <v>3.1166613785080653E-2</v>
      </c>
      <c r="AN200" s="10" t="str">
        <f t="shared" si="135"/>
        <v>DOWN</v>
      </c>
      <c r="AO200" s="10" t="str">
        <f t="shared" si="136"/>
        <v>DOWN</v>
      </c>
      <c r="AP200" s="6" t="str">
        <f t="shared" si="137"/>
        <v>POSITIVE</v>
      </c>
      <c r="AQ200" cm="1">
        <f t="array" ref="AQ200">IFERROR(VALUE(_xll.BDP($B200,"INTERVAL_exp_MOV_AVG","CALC_INTERVAL","520D","TECH_STUDIES_PARAM1_OVERRIDE",100,"USE_PREVIOUS_BUSINESS_DAY","N")),"")</f>
        <v>216.39285588713471</v>
      </c>
      <c r="AR200">
        <f t="shared" si="9"/>
        <v>6773.0064518682802</v>
      </c>
      <c r="AS200" cm="1">
        <f t="array" ref="AS200">IFERROR(VALUE(_xll.BDP($B200,"INTERVAL_exp_MOV_AVG","CALC_INTERVAL","520D","TECH_STUDIES_PARAM1_OVERRIDE",100,"USE_PREVIOUS_BUSINESS_DAY","Y")),"")</f>
        <v>216.09877161786375</v>
      </c>
      <c r="AT200">
        <f t="shared" si="10"/>
        <v>6769.6039787132295</v>
      </c>
      <c r="AU200">
        <f t="shared" si="138"/>
        <v>3.1949306031953423E-2</v>
      </c>
      <c r="AV200">
        <f t="shared" si="139"/>
        <v>3.1921922212492543E-2</v>
      </c>
      <c r="AW200" s="11" t="str">
        <f t="shared" si="140"/>
        <v>UP</v>
      </c>
      <c r="AX200" s="11" t="str">
        <f t="shared" si="141"/>
        <v>UP</v>
      </c>
      <c r="AY200" s="6" t="str">
        <f t="shared" si="142"/>
        <v>POSITIVE</v>
      </c>
      <c r="AZ200" s="12" cm="1">
        <f t="array" ref="AZ200">_xll.BDP($B200, "INTERVAL_RSI", "TECH_STUDIES_PARAM1_OVERRIDE", "5", "PERIODICITY_OVERRIDE", "W")</f>
        <v>56.884044968984277</v>
      </c>
      <c r="BA200" cm="1">
        <f t="array" ref="BA200">IFERROR(VALUE(_xll.BDP($B200,"INTERVAL_MAE_MOV_AVG","CALC_INTERVAL","520D","TECH_STUDIES_PARAM1_OVERRIDE",31,"USE_PREVIOUS_BUSINESS_DAY","N")),"")</f>
        <v>231.70451603058848</v>
      </c>
      <c r="BB200" cm="1">
        <f t="array" ref="BB200">IFERROR(VALUE(_xll.BDP($B200,"INTERVAL_MAE_MOV_AVG","CALC_INTERVAL","760D","TECH_STUDIES_PARAM1_OVERRIDE",200,"USE_PREVIOUS_BUSINESS_DAY","N")),"")</f>
        <v>200.48850651845117</v>
      </c>
      <c r="BC200" s="13">
        <f t="shared" si="143"/>
        <v>-3.2563717078732957E-3</v>
      </c>
      <c r="BD200" s="13">
        <f t="shared" si="144"/>
        <v>3.6295236960271371E-2</v>
      </c>
      <c r="BE200" s="13">
        <f t="shared" si="145"/>
        <v>0.15193635790162063</v>
      </c>
      <c r="BF200" s="14" cm="1">
        <f t="array" ref="BF200">VALUE(_xll.BDP($B200,"INTERVAL_DATE_OF_CALC_HI","CALC_INTERVAL","3M"))</f>
        <v>46038</v>
      </c>
      <c r="BG200" s="14" cm="1">
        <f t="array" ref="BG200">VALUE(_xll.BDP($B200,"INTERVAL_DATE_OF_CALC_LO","CALC_INTERVAL","3M"))</f>
        <v>45982</v>
      </c>
      <c r="BH200" s="14" cm="1">
        <f t="array" ref="BH200">VALUE(_xll.BDP($B200,"INTERVAL_DATE_OF_CALC_HI","CALC_INTERVAL","1M"))</f>
        <v>46038</v>
      </c>
      <c r="BI200" s="14" cm="1">
        <f t="array" ref="BI200">VALUE(_xll.BDP($B200,"INTERVAL_DATE_OF_CALC_LO","CALC_INTERVAL","1M"))</f>
        <v>46058</v>
      </c>
      <c r="BJ200" s="15">
        <f>$F200-MIN(_xll.BDP("NYA Index","RSI_14D"),_xll.BDP("RSP US Equity","RSI_14D"))</f>
        <v>-15.6307807081946</v>
      </c>
    </row>
    <row r="201" spans="1:62" x14ac:dyDescent="0.25">
      <c r="A201" s="11">
        <v>200</v>
      </c>
      <c r="B201" s="26" t="s">
        <v>164</v>
      </c>
      <c r="C201" s="1" t="s">
        <v>865</v>
      </c>
      <c r="D201" s="1" t="s">
        <v>308</v>
      </c>
      <c r="E201" s="11" t="s">
        <v>787</v>
      </c>
      <c r="F201">
        <f>IFERROR(VALUE((_xll.BDP($B201,"interval_rsi","tech_studies_param1_override",14))),"")</f>
        <v>67.85553213478596</v>
      </c>
      <c r="G201">
        <f t="shared" si="0"/>
        <v>52.525531939815814</v>
      </c>
      <c r="H201">
        <f t="shared" si="119"/>
        <v>1</v>
      </c>
      <c r="I201" cm="1">
        <f t="array" ref="I201">IFERROR(VALUE(_xll.BDP($B201,"px_last")),"")</f>
        <v>112.8</v>
      </c>
      <c r="J201">
        <f t="shared" si="1"/>
        <v>6941.47</v>
      </c>
      <c r="K201" cm="1">
        <f t="array" ref="K201">IFERROR(VALUE(_xll.BDP($B201,"PX_YEST_CLOSE")),"")</f>
        <v>112.47</v>
      </c>
      <c r="L201">
        <f t="shared" si="2"/>
        <v>6941.81</v>
      </c>
      <c r="M201">
        <f t="shared" si="120"/>
        <v>1.6250160268646265E-2</v>
      </c>
      <c r="N201">
        <f t="shared" si="121"/>
        <v>1.6201826324834589E-2</v>
      </c>
      <c r="O201" cm="1">
        <f t="array" ref="O201">IFERROR(VALUE(_xll.BDP($B201,"INTERVAL_MAE_MOV_AVG","CALC_INTERVAL","520D","TECH_STUDIES_PARAM1_OVERRIDE",50,"USE_PREVIOUS_BUSINESS_DAY","N")),"")</f>
        <v>103.17316804403514</v>
      </c>
      <c r="P201">
        <f t="shared" si="3"/>
        <v>6894.0953999999992</v>
      </c>
      <c r="Q201" cm="1">
        <f t="array" ref="Q201">IFERROR(VALUE(_xll.BDP($B201,"INTERVAL_MAE_MOV_AVG","CALC_INTERVAL","520D","TECH_STUDIES_PARAM1_OVERRIDE",50,"USE_PREVIOUS_BUSINESS_DAY","Y")),"")</f>
        <v>102.99192024919999</v>
      </c>
      <c r="R201">
        <f t="shared" si="4"/>
        <v>6892.2477999999992</v>
      </c>
      <c r="S201">
        <f t="shared" si="122"/>
        <v>1.496543956209761E-2</v>
      </c>
      <c r="T201">
        <f t="shared" si="123"/>
        <v>1.4943153995304697E-2</v>
      </c>
      <c r="U201" s="11" t="str">
        <f t="shared" si="124"/>
        <v>POSITIVE</v>
      </c>
      <c r="V201" s="11" t="str">
        <f t="shared" si="125"/>
        <v/>
      </c>
      <c r="W201" s="11" t="str">
        <f t="shared" si="126"/>
        <v>UP</v>
      </c>
      <c r="X201" s="6" t="str">
        <f t="shared" si="127"/>
        <v>POSITIVE</v>
      </c>
      <c r="Y201" cm="1">
        <f t="array" ref="Y201">IFERROR(VALUE(_xll.BDP($B201,"INTERVAL_MAE_MOV_AVG","CALC_INTERVAL","520D","TECH_STUDIES_PARAM1_OVERRIDE",65,"USE_PREVIOUS_BUSINESS_DAY","N")),"")</f>
        <v>102.00143438895012</v>
      </c>
      <c r="Z201">
        <f t="shared" si="5"/>
        <v>6856.0226153846133</v>
      </c>
      <c r="AA201" cm="1">
        <f t="array" ref="AA201">IFERROR(VALUE(_xll.BDP($B201,"INTERVAL_MAE_MOV_AVG","CALC_INTERVAL","520D","TECH_STUDIES_PARAM1_OVERRIDE",65,"USE_PREVIOUS_BUSINESS_DAY","Y")),"")</f>
        <v>101.76801536338462</v>
      </c>
      <c r="AB201">
        <f t="shared" si="6"/>
        <v>6852.6203076923057</v>
      </c>
      <c r="AC201">
        <f t="shared" si="128"/>
        <v>1.4877639720741787E-2</v>
      </c>
      <c r="AD201">
        <f t="shared" si="129"/>
        <v>1.4850963688904005E-2</v>
      </c>
      <c r="AE201" s="10" t="str">
        <f t="shared" si="130"/>
        <v>UP</v>
      </c>
      <c r="AF201" s="10" t="str">
        <f t="shared" si="131"/>
        <v>UP</v>
      </c>
      <c r="AG201" s="6" t="str">
        <f t="shared" si="132"/>
        <v>POSITIVE</v>
      </c>
      <c r="AH201" cm="1">
        <f t="array" ref="AH201">IFERROR(VALUE(_xll.BDP($B201,"INTERVAL_MAE_MOV_AVG","CALC_INTERVAL","65W","PERIODICITY_OVERRIDE","W","TECH_STUDIES_PARAM1_OVERRIDE",39,"USE_PREVIOUS_BUSINESS_DAY","N")),"")</f>
        <v>101.67966913754748</v>
      </c>
      <c r="AI201">
        <f t="shared" si="7"/>
        <v>6560.7735897435905</v>
      </c>
      <c r="AJ201" cm="1">
        <f t="array" ref="AJ201">IFERROR(VALUE(_xll.BDP($B201,"INTERVAL_MAE_MOV_AVG","CALC_INTERVAL","65W","PERIODICITY_OVERRIDE","W","TECH_STUDIES_PARAM1_OVERRIDE",39,"USE_PREVIOUS_BUSINESS_DAY","Y")),"")</f>
        <v>101.67120752083575</v>
      </c>
      <c r="AK201">
        <f t="shared" si="8"/>
        <v>6560.7823076923087</v>
      </c>
      <c r="AL201">
        <f t="shared" si="133"/>
        <v>1.5498121943501078E-2</v>
      </c>
      <c r="AM201">
        <f t="shared" si="134"/>
        <v>1.5496811622850142E-2</v>
      </c>
      <c r="AN201" s="10" t="str">
        <f t="shared" si="135"/>
        <v>UP</v>
      </c>
      <c r="AO201" s="10" t="str">
        <f t="shared" si="136"/>
        <v>UP</v>
      </c>
      <c r="AP201" s="6" t="str">
        <f t="shared" si="137"/>
        <v>POSITIVE</v>
      </c>
      <c r="AQ201" cm="1">
        <f t="array" ref="AQ201">IFERROR(VALUE(_xll.BDP($B201,"INTERVAL_exp_MOV_AVG","CALC_INTERVAL","520D","TECH_STUDIES_PARAM1_OVERRIDE",100,"USE_PREVIOUS_BUSINESS_DAY","N")),"")</f>
        <v>103.12533887090541</v>
      </c>
      <c r="AR201">
        <f t="shared" si="9"/>
        <v>6773.0064518682802</v>
      </c>
      <c r="AS201" cm="1">
        <f t="array" ref="AS201">IFERROR(VALUE(_xll.BDP($B201,"INTERVAL_exp_MOV_AVG","CALC_INTERVAL","520D","TECH_STUDIES_PARAM1_OVERRIDE",100,"USE_PREVIOUS_BUSINESS_DAY","Y")),"")</f>
        <v>102.92990934189349</v>
      </c>
      <c r="AT201">
        <f t="shared" si="10"/>
        <v>6769.6039787132295</v>
      </c>
      <c r="AU201">
        <f t="shared" si="138"/>
        <v>1.5225932472345291E-2</v>
      </c>
      <c r="AV201">
        <f t="shared" si="139"/>
        <v>1.5204716504178501E-2</v>
      </c>
      <c r="AW201" s="11" t="str">
        <f t="shared" si="140"/>
        <v>UP</v>
      </c>
      <c r="AX201" s="11" t="str">
        <f t="shared" si="141"/>
        <v>UP</v>
      </c>
      <c r="AY201" s="6" t="str">
        <f t="shared" si="142"/>
        <v>POSITIVE</v>
      </c>
      <c r="AZ201" s="12" cm="1">
        <f t="array" ref="AZ201">_xll.BDP($B201, "INTERVAL_RSI", "TECH_STUDIES_PARAM1_OVERRIDE", "5", "PERIODICITY_OVERRIDE", "W")</f>
        <v>73.081650456060416</v>
      </c>
      <c r="BA201" cm="1">
        <f t="array" ref="BA201">IFERROR(VALUE(_xll.BDP($B201,"INTERVAL_MAE_MOV_AVG","CALC_INTERVAL","520D","TECH_STUDIES_PARAM1_OVERRIDE",31,"USE_PREVIOUS_BUSINESS_DAY","N")),"")</f>
        <v>104.59387106618573</v>
      </c>
      <c r="BB201" cm="1">
        <f t="array" ref="BB201">IFERROR(VALUE(_xll.BDP($B201,"INTERVAL_MAE_MOV_AVG","CALC_INTERVAL","760D","TECH_STUDIES_PARAM1_OVERRIDE",200,"USE_PREVIOUS_BUSINESS_DAY","N")),"")</f>
        <v>100.65994798781287</v>
      </c>
      <c r="BC201" s="13">
        <f t="shared" si="143"/>
        <v>7.8457072581447296E-2</v>
      </c>
      <c r="BD201" s="13">
        <f t="shared" si="144"/>
        <v>9.3307515301420674E-2</v>
      </c>
      <c r="BE201" s="13">
        <f t="shared" si="145"/>
        <v>0.1206045925401924</v>
      </c>
      <c r="BF201" s="14" cm="1">
        <f t="array" ref="BF201">VALUE(_xll.BDP($B201,"INTERVAL_DATE_OF_CALC_HI","CALC_INTERVAL","3M"))</f>
        <v>46064</v>
      </c>
      <c r="BG201" s="14" cm="1">
        <f t="array" ref="BG201">VALUE(_xll.BDP($B201,"INTERVAL_DATE_OF_CALC_LO","CALC_INTERVAL","3M"))</f>
        <v>45981</v>
      </c>
      <c r="BH201" s="14" cm="1">
        <f t="array" ref="BH201">VALUE(_xll.BDP($B201,"INTERVAL_DATE_OF_CALC_HI","CALC_INTERVAL","1M"))</f>
        <v>46064</v>
      </c>
      <c r="BI201" s="14" cm="1">
        <f t="array" ref="BI201">VALUE(_xll.BDP($B201,"INTERVAL_DATE_OF_CALC_LO","CALC_INTERVAL","1M"))</f>
        <v>46052</v>
      </c>
      <c r="BJ201" s="15">
        <f>$F201-MIN(_xll.BDP("NYA Index","RSI_14D"),_xll.BDP("RSP US Equity","RSI_14D"))</f>
        <v>1.5097679746297104</v>
      </c>
    </row>
    <row r="202" spans="1:62" x14ac:dyDescent="0.25">
      <c r="A202" s="11">
        <v>201</v>
      </c>
      <c r="B202" s="26" t="s">
        <v>441</v>
      </c>
      <c r="C202" s="1" t="s">
        <v>866</v>
      </c>
      <c r="D202" s="1" t="s">
        <v>308</v>
      </c>
      <c r="E202" s="11" t="s">
        <v>787</v>
      </c>
      <c r="F202">
        <f>IFERROR(VALUE((_xll.BDP($B202,"interval_rsi","tech_studies_param1_override",14))),"")</f>
        <v>45.885871883417629</v>
      </c>
      <c r="G202">
        <f t="shared" si="0"/>
        <v>52.525531939815814</v>
      </c>
      <c r="H202">
        <f t="shared" si="119"/>
        <v>0</v>
      </c>
      <c r="I202" cm="1">
        <f t="array" ref="I202">IFERROR(VALUE(_xll.BDP($B202,"px_last")),"")</f>
        <v>121.63</v>
      </c>
      <c r="J202">
        <f t="shared" si="1"/>
        <v>6941.47</v>
      </c>
      <c r="K202" cm="1">
        <f t="array" ref="K202">IFERROR(VALUE(_xll.BDP($B202,"PX_YEST_CLOSE")),"")</f>
        <v>121.89</v>
      </c>
      <c r="L202">
        <f t="shared" si="2"/>
        <v>6941.81</v>
      </c>
      <c r="M202">
        <f t="shared" si="120"/>
        <v>1.7522225119463167E-2</v>
      </c>
      <c r="N202">
        <f t="shared" si="121"/>
        <v>1.755882111437795E-2</v>
      </c>
      <c r="O202" cm="1">
        <f t="array" ref="O202">IFERROR(VALUE(_xll.BDP($B202,"INTERVAL_MAE_MOV_AVG","CALC_INTERVAL","520D","TECH_STUDIES_PARAM1_OVERRIDE",50,"USE_PREVIOUS_BUSINESS_DAY","N")),"")</f>
        <v>123.32612207606839</v>
      </c>
      <c r="P202">
        <f t="shared" si="3"/>
        <v>6894.0953999999992</v>
      </c>
      <c r="Q202" cm="1">
        <f t="array" ref="Q202">IFERROR(VALUE(_xll.BDP($B202,"INTERVAL_MAE_MOV_AVG","CALC_INTERVAL","520D","TECH_STUDIES_PARAM1_OVERRIDE",50,"USE_PREVIOUS_BUSINESS_DAY","Y")),"")</f>
        <v>123.36307934920004</v>
      </c>
      <c r="R202">
        <f t="shared" si="4"/>
        <v>6892.2477999999992</v>
      </c>
      <c r="S202">
        <f t="shared" si="122"/>
        <v>1.7888659051058155E-2</v>
      </c>
      <c r="T202">
        <f t="shared" si="123"/>
        <v>1.7898816602212132E-2</v>
      </c>
      <c r="U202" s="11" t="str">
        <f t="shared" si="124"/>
        <v>NEGATIVE</v>
      </c>
      <c r="V202" s="11" t="str">
        <f t="shared" si="125"/>
        <v/>
      </c>
      <c r="W202" s="11" t="str">
        <f t="shared" si="126"/>
        <v>DOWN</v>
      </c>
      <c r="X202" s="6" t="str">
        <f t="shared" si="127"/>
        <v>NEGATIVE</v>
      </c>
      <c r="Y202" cm="1">
        <f t="array" ref="Y202">IFERROR(VALUE(_xll.BDP($B202,"INTERVAL_MAE_MOV_AVG","CALC_INTERVAL","520D","TECH_STUDIES_PARAM1_OVERRIDE",65,"USE_PREVIOUS_BUSINESS_DAY","N")),"")</f>
        <v>122.84230933682187</v>
      </c>
      <c r="Z202">
        <f t="shared" si="5"/>
        <v>6856.0226153846133</v>
      </c>
      <c r="AA202" cm="1">
        <f t="array" ref="AA202">IFERROR(VALUE(_xll.BDP($B202,"INTERVAL_MAE_MOV_AVG","CALC_INTERVAL","520D","TECH_STUDIES_PARAM1_OVERRIDE",65,"USE_PREVIOUS_BUSINESS_DAY","Y")),"")</f>
        <v>122.84246057707696</v>
      </c>
      <c r="AB202">
        <f t="shared" si="6"/>
        <v>6852.6203076923057</v>
      </c>
      <c r="AC202">
        <f t="shared" si="128"/>
        <v>1.7917430590320565E-2</v>
      </c>
      <c r="AD202">
        <f t="shared" si="129"/>
        <v>1.7926348617211728E-2</v>
      </c>
      <c r="AE202" s="10" t="str">
        <f t="shared" si="130"/>
        <v>DOWN</v>
      </c>
      <c r="AF202" s="10" t="str">
        <f t="shared" si="131"/>
        <v>DOWN</v>
      </c>
      <c r="AG202" s="6" t="str">
        <f t="shared" si="132"/>
        <v>NEGATIVE</v>
      </c>
      <c r="AH202" cm="1">
        <f t="array" ref="AH202">IFERROR(VALUE(_xll.BDP($B202,"INTERVAL_MAE_MOV_AVG","CALC_INTERVAL","65W","PERIODICITY_OVERRIDE","W","TECH_STUDIES_PARAM1_OVERRIDE",39,"USE_PREVIOUS_BUSINESS_DAY","N")),"")</f>
        <v>117.10417329549063</v>
      </c>
      <c r="AI202">
        <f t="shared" si="7"/>
        <v>6560.7735897435905</v>
      </c>
      <c r="AJ202" cm="1">
        <f t="array" ref="AJ202">IFERROR(VALUE(_xll.BDP($B202,"INTERVAL_MAE_MOV_AVG","CALC_INTERVAL","65W","PERIODICITY_OVERRIDE","W","TECH_STUDIES_PARAM1_OVERRIDE",39,"USE_PREVIOUS_BUSINESS_DAY","Y")),"")</f>
        <v>117.11084003258249</v>
      </c>
      <c r="AK202">
        <f t="shared" si="8"/>
        <v>6560.7823076923087</v>
      </c>
      <c r="AL202">
        <f t="shared" si="133"/>
        <v>1.7849141064486471E-2</v>
      </c>
      <c r="AM202">
        <f t="shared" si="134"/>
        <v>1.7850133496317009E-2</v>
      </c>
      <c r="AN202" s="10" t="str">
        <f t="shared" si="135"/>
        <v>DOWN</v>
      </c>
      <c r="AO202" s="10" t="str">
        <f t="shared" si="136"/>
        <v>DOWN</v>
      </c>
      <c r="AP202" s="6" t="str">
        <f t="shared" si="137"/>
        <v>NEGATIVE</v>
      </c>
      <c r="AQ202" cm="1">
        <f t="array" ref="AQ202">IFERROR(VALUE(_xll.BDP($B202,"INTERVAL_exp_MOV_AVG","CALC_INTERVAL","520D","TECH_STUDIES_PARAM1_OVERRIDE",100,"USE_PREVIOUS_BUSINESS_DAY","N")),"")</f>
        <v>121.0583717119779</v>
      </c>
      <c r="AR202">
        <f t="shared" si="9"/>
        <v>6773.0064518682802</v>
      </c>
      <c r="AS202" cm="1">
        <f t="array" ref="AS202">IFERROR(VALUE(_xll.BDP($B202,"INTERVAL_exp_MOV_AVG","CALC_INTERVAL","520D","TECH_STUDIES_PARAM1_OVERRIDE",100,"USE_PREVIOUS_BUSINESS_DAY","Y")),"")</f>
        <v>121.04683540847665</v>
      </c>
      <c r="AT202">
        <f t="shared" si="10"/>
        <v>6769.6039787132295</v>
      </c>
      <c r="AU202">
        <f t="shared" si="138"/>
        <v>1.787365368278734E-2</v>
      </c>
      <c r="AV202">
        <f t="shared" si="139"/>
        <v>1.7880933033764451E-2</v>
      </c>
      <c r="AW202" s="11" t="str">
        <f t="shared" si="140"/>
        <v>UP</v>
      </c>
      <c r="AX202" s="11" t="str">
        <f t="shared" si="141"/>
        <v>DOWN</v>
      </c>
      <c r="AY202" s="6" t="str">
        <f t="shared" si="142"/>
        <v>NEGATIVE</v>
      </c>
      <c r="AZ202" s="12" cm="1">
        <f t="array" ref="AZ202">_xll.BDP($B202, "INTERVAL_RSI", "TECH_STUDIES_PARAM1_OVERRIDE", "5", "PERIODICITY_OVERRIDE", "W")</f>
        <v>39.239955341249278</v>
      </c>
      <c r="BA202" cm="1">
        <f t="array" ref="BA202">IFERROR(VALUE(_xll.BDP($B202,"INTERVAL_MAE_MOV_AVG","CALC_INTERVAL","520D","TECH_STUDIES_PARAM1_OVERRIDE",31,"USE_PREVIOUS_BUSINESS_DAY","N")),"")</f>
        <v>123.34129023398121</v>
      </c>
      <c r="BB202" cm="1">
        <f t="array" ref="BB202">IFERROR(VALUE(_xll.BDP($B202,"INTERVAL_MAE_MOV_AVG","CALC_INTERVAL","760D","TECH_STUDIES_PARAM1_OVERRIDE",200,"USE_PREVIOUS_BUSINESS_DAY","N")),"")</f>
        <v>115.68624098761146</v>
      </c>
      <c r="BC202" s="13">
        <f t="shared" si="143"/>
        <v>-1.3874431106848828E-2</v>
      </c>
      <c r="BD202" s="13">
        <f t="shared" si="144"/>
        <v>-1.3753145298951441E-2</v>
      </c>
      <c r="BE202" s="13">
        <f t="shared" si="145"/>
        <v>5.1378270757583389E-2</v>
      </c>
      <c r="BF202" s="14" cm="1">
        <f t="array" ref="BF202">VALUE(_xll.BDP($B202,"INTERVAL_DATE_OF_CALC_HI","CALC_INTERVAL","3M"))</f>
        <v>46050</v>
      </c>
      <c r="BG202" s="14" cm="1">
        <f t="array" ref="BG202">VALUE(_xll.BDP($B202,"INTERVAL_DATE_OF_CALC_LO","CALC_INTERVAL","3M"))</f>
        <v>45981</v>
      </c>
      <c r="BH202" s="14" cm="1">
        <f t="array" ref="BH202">VALUE(_xll.BDP($B202,"INTERVAL_DATE_OF_CALC_HI","CALC_INTERVAL","1M"))</f>
        <v>46050</v>
      </c>
      <c r="BI202" s="14" cm="1">
        <f t="array" ref="BI202">VALUE(_xll.BDP($B202,"INTERVAL_DATE_OF_CALC_LO","CALC_INTERVAL","1M"))</f>
        <v>46058</v>
      </c>
      <c r="BJ202" s="15">
        <f>$F202-MIN(_xll.BDP("NYA Index","RSI_14D"),_xll.BDP("RSP US Equity","RSI_14D"))</f>
        <v>-20.459892276738621</v>
      </c>
    </row>
    <row r="203" spans="1:62" x14ac:dyDescent="0.25">
      <c r="A203" s="11">
        <v>202</v>
      </c>
      <c r="B203" s="26" t="s">
        <v>442</v>
      </c>
      <c r="C203" s="1" t="s">
        <v>867</v>
      </c>
      <c r="D203" s="1" t="s">
        <v>308</v>
      </c>
      <c r="E203" s="11" t="s">
        <v>787</v>
      </c>
      <c r="F203">
        <f>IFERROR(VALUE((_xll.BDP($B203,"interval_rsi","tech_studies_param1_override",14))),"")</f>
        <v>50.958421967132651</v>
      </c>
      <c r="G203">
        <f t="shared" si="0"/>
        <v>52.525531939815814</v>
      </c>
      <c r="H203">
        <f t="shared" si="119"/>
        <v>0</v>
      </c>
      <c r="I203" cm="1">
        <f t="array" ref="I203">IFERROR(VALUE(_xll.BDP($B203,"px_last")),"")</f>
        <v>168.25</v>
      </c>
      <c r="J203">
        <f t="shared" si="1"/>
        <v>6941.47</v>
      </c>
      <c r="K203" cm="1">
        <f t="array" ref="K203">IFERROR(VALUE(_xll.BDP($B203,"PX_YEST_CLOSE")),"")</f>
        <v>169.95</v>
      </c>
      <c r="L203">
        <f t="shared" si="2"/>
        <v>6941.81</v>
      </c>
      <c r="M203">
        <f t="shared" si="120"/>
        <v>2.4238381783685588E-2</v>
      </c>
      <c r="N203">
        <f t="shared" si="121"/>
        <v>2.4482087524723375E-2</v>
      </c>
      <c r="O203" cm="1">
        <f t="array" ref="O203">IFERROR(VALUE(_xll.BDP($B203,"INTERVAL_MAE_MOV_AVG","CALC_INTERVAL","520D","TECH_STUDIES_PARAM1_OVERRIDE",50,"USE_PREVIOUS_BUSINESS_DAY","N")),"")</f>
        <v>164.77389858000004</v>
      </c>
      <c r="P203">
        <f t="shared" si="3"/>
        <v>6894.0953999999992</v>
      </c>
      <c r="Q203" cm="1">
        <f t="array" ref="Q203">IFERROR(VALUE(_xll.BDP($B203,"INTERVAL_MAE_MOV_AVG","CALC_INTERVAL","520D","TECH_STUDIES_PARAM1_OVERRIDE",50,"USE_PREVIOUS_BUSINESS_DAY","Y")),"")</f>
        <v>164.5417851144</v>
      </c>
      <c r="R203">
        <f t="shared" si="4"/>
        <v>6892.2477999999992</v>
      </c>
      <c r="S203">
        <f t="shared" si="122"/>
        <v>2.3900727944669877E-2</v>
      </c>
      <c r="T203">
        <f t="shared" si="123"/>
        <v>2.3873457526353017E-2</v>
      </c>
      <c r="U203" s="11" t="str">
        <f t="shared" si="124"/>
        <v>NEGATIVE</v>
      </c>
      <c r="V203" s="11" t="str">
        <f t="shared" si="125"/>
        <v/>
      </c>
      <c r="W203" s="11" t="str">
        <f t="shared" si="126"/>
        <v>UP</v>
      </c>
      <c r="X203" s="6" t="str">
        <f t="shared" si="127"/>
        <v>POSITIVE</v>
      </c>
      <c r="Y203" cm="1">
        <f t="array" ref="Y203">IFERROR(VALUE(_xll.BDP($B203,"INTERVAL_MAE_MOV_AVG","CALC_INTERVAL","520D","TECH_STUDIES_PARAM1_OVERRIDE",65,"USE_PREVIOUS_BUSINESS_DAY","N")),"")</f>
        <v>161.25167222030771</v>
      </c>
      <c r="Z203">
        <f t="shared" si="5"/>
        <v>6856.0226153846133</v>
      </c>
      <c r="AA203" cm="1">
        <f t="array" ref="AA203">IFERROR(VALUE(_xll.BDP($B203,"INTERVAL_MAE_MOV_AVG","CALC_INTERVAL","520D","TECH_STUDIES_PARAM1_OVERRIDE",65,"USE_PREVIOUS_BUSINESS_DAY","Y")),"")</f>
        <v>160.93605731753848</v>
      </c>
      <c r="AB203">
        <f t="shared" si="6"/>
        <v>6852.6203076923057</v>
      </c>
      <c r="AC203">
        <f t="shared" si="128"/>
        <v>2.3519711247519233E-2</v>
      </c>
      <c r="AD203">
        <f t="shared" si="129"/>
        <v>2.3485331171330497E-2</v>
      </c>
      <c r="AE203" s="10" t="str">
        <f t="shared" si="130"/>
        <v>UP</v>
      </c>
      <c r="AF203" s="10" t="str">
        <f t="shared" si="131"/>
        <v>UP</v>
      </c>
      <c r="AG203" s="6" t="str">
        <f t="shared" si="132"/>
        <v>POSITIVE</v>
      </c>
      <c r="AH203" cm="1">
        <f t="array" ref="AH203">IFERROR(VALUE(_xll.BDP($B203,"INTERVAL_MAE_MOV_AVG","CALC_INTERVAL","65W","PERIODICITY_OVERRIDE","W","TECH_STUDIES_PARAM1_OVERRIDE",39,"USE_PREVIOUS_BUSINESS_DAY","N")),"")</f>
        <v>146.24227094878415</v>
      </c>
      <c r="AI203">
        <f t="shared" si="7"/>
        <v>6560.7735897435905</v>
      </c>
      <c r="AJ203" cm="1">
        <f t="array" ref="AJ203">IFERROR(VALUE(_xll.BDP($B203,"INTERVAL_MAE_MOV_AVG","CALC_INTERVAL","65W","PERIODICITY_OVERRIDE","W","TECH_STUDIES_PARAM1_OVERRIDE",39,"USE_PREVIOUS_BUSINESS_DAY","Y")),"")</f>
        <v>146.28586069237392</v>
      </c>
      <c r="AK203">
        <f t="shared" si="8"/>
        <v>6560.7823076923087</v>
      </c>
      <c r="AL203">
        <f t="shared" si="133"/>
        <v>2.2290400506642025E-2</v>
      </c>
      <c r="AM203">
        <f t="shared" si="134"/>
        <v>2.2297014872884654E-2</v>
      </c>
      <c r="AN203" s="10" t="str">
        <f t="shared" si="135"/>
        <v>DOWN</v>
      </c>
      <c r="AO203" s="10" t="str">
        <f t="shared" si="136"/>
        <v>DOWN</v>
      </c>
      <c r="AP203" s="6" t="str">
        <f t="shared" si="137"/>
        <v>POSITIVE</v>
      </c>
      <c r="AQ203" cm="1">
        <f t="array" ref="AQ203">IFERROR(VALUE(_xll.BDP($B203,"INTERVAL_exp_MOV_AVG","CALC_INTERVAL","520D","TECH_STUDIES_PARAM1_OVERRIDE",100,"USE_PREVIOUS_BUSINESS_DAY","N")),"")</f>
        <v>157.94672916066827</v>
      </c>
      <c r="AR203">
        <f t="shared" si="9"/>
        <v>6773.0064518682802</v>
      </c>
      <c r="AS203" cm="1">
        <f t="array" ref="AS203">IFERROR(VALUE(_xll.BDP($B203,"INTERVAL_exp_MOV_AVG","CALC_INTERVAL","520D","TECH_STUDIES_PARAM1_OVERRIDE",100,"USE_PREVIOUS_BUSINESS_DAY","Y")),"")</f>
        <v>157.73859054558244</v>
      </c>
      <c r="AT203">
        <f t="shared" si="10"/>
        <v>6769.6039787132295</v>
      </c>
      <c r="AU203">
        <f t="shared" si="138"/>
        <v>2.3320032290401835E-2</v>
      </c>
      <c r="AV203">
        <f t="shared" si="139"/>
        <v>2.3301007125614087E-2</v>
      </c>
      <c r="AW203" s="11" t="str">
        <f t="shared" si="140"/>
        <v>UP</v>
      </c>
      <c r="AX203" s="11" t="str">
        <f t="shared" si="141"/>
        <v>UP</v>
      </c>
      <c r="AY203" s="6" t="str">
        <f t="shared" si="142"/>
        <v>POSITIVE</v>
      </c>
      <c r="AZ203" s="12" cm="1">
        <f t="array" ref="AZ203">_xll.BDP($B203, "INTERVAL_RSI", "TECH_STUDIES_PARAM1_OVERRIDE", "5", "PERIODICITY_OVERRIDE", "W")</f>
        <v>60.954204773098837</v>
      </c>
      <c r="BA203" cm="1">
        <f t="array" ref="BA203">IFERROR(VALUE(_xll.BDP($B203,"INTERVAL_MAE_MOV_AVG","CALC_INTERVAL","520D","TECH_STUDIES_PARAM1_OVERRIDE",31,"USE_PREVIOUS_BUSINESS_DAY","N")),"")</f>
        <v>167.39575161290321</v>
      </c>
      <c r="BB203" cm="1">
        <f t="array" ref="BB203">IFERROR(VALUE(_xll.BDP($B203,"INTERVAL_MAE_MOV_AVG","CALC_INTERVAL","760D","TECH_STUDIES_PARAM1_OVERRIDE",200,"USE_PREVIOUS_BUSINESS_DAY","N")),"")</f>
        <v>143.42212853464704</v>
      </c>
      <c r="BC203" s="13">
        <f t="shared" si="143"/>
        <v>5.1031664714658032E-3</v>
      </c>
      <c r="BD203" s="13">
        <f t="shared" si="144"/>
        <v>2.1096189687544786E-2</v>
      </c>
      <c r="BE203" s="13">
        <f t="shared" si="145"/>
        <v>0.17311046572116084</v>
      </c>
      <c r="BF203" s="14" cm="1">
        <f t="array" ref="BF203">VALUE(_xll.BDP($B203,"INTERVAL_DATE_OF_CALC_HI","CALC_INTERVAL","3M"))</f>
        <v>46044</v>
      </c>
      <c r="BG203" s="14" cm="1">
        <f t="array" ref="BG203">VALUE(_xll.BDP($B203,"INTERVAL_DATE_OF_CALC_LO","CALC_INTERVAL","3M"))</f>
        <v>45981</v>
      </c>
      <c r="BH203" s="14" cm="1">
        <f t="array" ref="BH203">VALUE(_xll.BDP($B203,"INTERVAL_DATE_OF_CALC_HI","CALC_INTERVAL","1M"))</f>
        <v>46044</v>
      </c>
      <c r="BI203" s="14" cm="1">
        <f t="array" ref="BI203">VALUE(_xll.BDP($B203,"INTERVAL_DATE_OF_CALC_LO","CALC_INTERVAL","1M"))</f>
        <v>46058</v>
      </c>
      <c r="BJ203" s="15">
        <f>$F203-MIN(_xll.BDP("NYA Index","RSI_14D"),_xll.BDP("RSP US Equity","RSI_14D"))</f>
        <v>-15.387342193023599</v>
      </c>
    </row>
    <row r="204" spans="1:62" x14ac:dyDescent="0.25">
      <c r="A204" s="11">
        <v>203</v>
      </c>
      <c r="B204" s="26" t="s">
        <v>443</v>
      </c>
      <c r="C204" s="1" t="s">
        <v>868</v>
      </c>
      <c r="D204" s="1" t="s">
        <v>308</v>
      </c>
      <c r="E204" s="11" t="s">
        <v>787</v>
      </c>
      <c r="F204">
        <f>IFERROR(VALUE((_xll.BDP($B204,"interval_rsi","tech_studies_param1_override",14))),"")</f>
        <v>69.646554553080492</v>
      </c>
      <c r="G204">
        <f t="shared" si="0"/>
        <v>52.525531939815814</v>
      </c>
      <c r="H204">
        <f t="shared" si="119"/>
        <v>1</v>
      </c>
      <c r="I204" cm="1">
        <f t="array" ref="I204">IFERROR(VALUE(_xll.BDP($B204,"px_last")),"")</f>
        <v>224.83</v>
      </c>
      <c r="J204">
        <f t="shared" si="1"/>
        <v>6941.47</v>
      </c>
      <c r="K204" cm="1">
        <f t="array" ref="K204">IFERROR(VALUE(_xll.BDP($B204,"PX_YEST_CLOSE")),"")</f>
        <v>224.34</v>
      </c>
      <c r="L204">
        <f t="shared" si="2"/>
        <v>6941.81</v>
      </c>
      <c r="M204">
        <f t="shared" si="120"/>
        <v>3.2389393024820391E-2</v>
      </c>
      <c r="N204">
        <f t="shared" si="121"/>
        <v>3.231721986052629E-2</v>
      </c>
      <c r="O204" cm="1">
        <f t="array" ref="O204">IFERROR(VALUE(_xll.BDP($B204,"INTERVAL_MAE_MOV_AVG","CALC_INTERVAL","520D","TECH_STUDIES_PARAM1_OVERRIDE",50,"USE_PREVIOUS_BUSINESS_DAY","N")),"")</f>
        <v>215.23486899502109</v>
      </c>
      <c r="P204">
        <f t="shared" si="3"/>
        <v>6894.0953999999992</v>
      </c>
      <c r="Q204" cm="1">
        <f t="array" ref="Q204">IFERROR(VALUE(_xll.BDP($B204,"INTERVAL_MAE_MOV_AVG","CALC_INTERVAL","520D","TECH_STUDIES_PARAM1_OVERRIDE",50,"USE_PREVIOUS_BUSINESS_DAY","Y")),"")</f>
        <v>214.91769408000002</v>
      </c>
      <c r="R204">
        <f t="shared" si="4"/>
        <v>6892.2477999999992</v>
      </c>
      <c r="S204">
        <f t="shared" si="122"/>
        <v>3.1220175600561187E-2</v>
      </c>
      <c r="T204">
        <f t="shared" si="123"/>
        <v>3.1182525689224354E-2</v>
      </c>
      <c r="U204" s="11" t="str">
        <f t="shared" si="124"/>
        <v>POSITIVE</v>
      </c>
      <c r="V204" s="11" t="str">
        <f t="shared" si="125"/>
        <v/>
      </c>
      <c r="W204" s="11" t="str">
        <f t="shared" si="126"/>
        <v>UP</v>
      </c>
      <c r="X204" s="6" t="str">
        <f t="shared" si="127"/>
        <v>POSITIVE</v>
      </c>
      <c r="Y204" cm="1">
        <f t="array" ref="Y204">IFERROR(VALUE(_xll.BDP($B204,"INTERVAL_MAE_MOV_AVG","CALC_INTERVAL","520D","TECH_STUDIES_PARAM1_OVERRIDE",65,"USE_PREVIOUS_BUSINESS_DAY","N")),"")</f>
        <v>212.66040827555469</v>
      </c>
      <c r="Z204">
        <f t="shared" si="5"/>
        <v>6856.0226153846133</v>
      </c>
      <c r="AA204" cm="1">
        <f t="array" ref="AA204">IFERROR(VALUE(_xll.BDP($B204,"INTERVAL_MAE_MOV_AVG","CALC_INTERVAL","520D","TECH_STUDIES_PARAM1_OVERRIDE",65,"USE_PREVIOUS_BUSINESS_DAY","Y")),"")</f>
        <v>212.31108990276923</v>
      </c>
      <c r="AB204">
        <f t="shared" si="6"/>
        <v>6852.6203076923057</v>
      </c>
      <c r="AC204">
        <f t="shared" si="128"/>
        <v>3.1018043580888149E-2</v>
      </c>
      <c r="AD204">
        <f t="shared" si="129"/>
        <v>3.0982468073481702E-2</v>
      </c>
      <c r="AE204" s="10" t="str">
        <f t="shared" si="130"/>
        <v>UP</v>
      </c>
      <c r="AF204" s="10" t="str">
        <f t="shared" si="131"/>
        <v>UP</v>
      </c>
      <c r="AG204" s="6" t="str">
        <f t="shared" si="132"/>
        <v>POSITIVE</v>
      </c>
      <c r="AH204" cm="1">
        <f t="array" ref="AH204">IFERROR(VALUE(_xll.BDP($B204,"INTERVAL_MAE_MOV_AVG","CALC_INTERVAL","65W","PERIODICITY_OVERRIDE","W","TECH_STUDIES_PARAM1_OVERRIDE",39,"USE_PREVIOUS_BUSINESS_DAY","N")),"")</f>
        <v>202.60721034683777</v>
      </c>
      <c r="AI204">
        <f t="shared" si="7"/>
        <v>6560.7735897435905</v>
      </c>
      <c r="AJ204" cm="1">
        <f t="array" ref="AJ204">IFERROR(VALUE(_xll.BDP($B204,"INTERVAL_MAE_MOV_AVG","CALC_INTERVAL","65W","PERIODICITY_OVERRIDE","W","TECH_STUDIES_PARAM1_OVERRIDE",39,"USE_PREVIOUS_BUSINESS_DAY","Y")),"")</f>
        <v>202.59464619732356</v>
      </c>
      <c r="AK204">
        <f t="shared" si="8"/>
        <v>6560.7823076923087</v>
      </c>
      <c r="AL204">
        <f t="shared" si="133"/>
        <v>3.0881603758369614E-2</v>
      </c>
      <c r="AM204">
        <f t="shared" si="134"/>
        <v>3.0879647684665255E-2</v>
      </c>
      <c r="AN204" s="10" t="str">
        <f t="shared" si="135"/>
        <v>UP</v>
      </c>
      <c r="AO204" s="10" t="str">
        <f t="shared" si="136"/>
        <v>UP</v>
      </c>
      <c r="AP204" s="6" t="str">
        <f t="shared" si="137"/>
        <v>POSITIVE</v>
      </c>
      <c r="AQ204" cm="1">
        <f t="array" ref="AQ204">IFERROR(VALUE(_xll.BDP($B204,"INTERVAL_exp_MOV_AVG","CALC_INTERVAL","520D","TECH_STUDIES_PARAM1_OVERRIDE",100,"USE_PREVIOUS_BUSINESS_DAY","N")),"")</f>
        <v>210.44124242079488</v>
      </c>
      <c r="AR204">
        <f t="shared" si="9"/>
        <v>6773.0064518682802</v>
      </c>
      <c r="AS204" cm="1">
        <f t="array" ref="AS204">IFERROR(VALUE(_xll.BDP($B204,"INTERVAL_exp_MOV_AVG","CALC_INTERVAL","520D","TECH_STUDIES_PARAM1_OVERRIDE",100,"USE_PREVIOUS_BUSINESS_DAY","Y")),"")</f>
        <v>210.1505927191948</v>
      </c>
      <c r="AT204">
        <f t="shared" si="10"/>
        <v>6769.6039787132295</v>
      </c>
      <c r="AU204">
        <f t="shared" si="138"/>
        <v>3.1070580534106287E-2</v>
      </c>
      <c r="AV204">
        <f t="shared" si="139"/>
        <v>3.1043262409441618E-2</v>
      </c>
      <c r="AW204" s="11" t="str">
        <f t="shared" si="140"/>
        <v>UP</v>
      </c>
      <c r="AX204" s="11" t="str">
        <f t="shared" si="141"/>
        <v>UP</v>
      </c>
      <c r="AY204" s="6" t="str">
        <f t="shared" si="142"/>
        <v>POSITIVE</v>
      </c>
      <c r="AZ204" s="12" cm="1">
        <f t="array" ref="AZ204">_xll.BDP($B204, "INTERVAL_RSI", "TECH_STUDIES_PARAM1_OVERRIDE", "5", "PERIODICITY_OVERRIDE", "W")</f>
        <v>91.94698639280692</v>
      </c>
      <c r="BA204" cm="1">
        <f t="array" ref="BA204">IFERROR(VALUE(_xll.BDP($B204,"INTERVAL_MAE_MOV_AVG","CALC_INTERVAL","520D","TECH_STUDIES_PARAM1_OVERRIDE",31,"USE_PREVIOUS_BUSINESS_DAY","N")),"")</f>
        <v>218.51096780100175</v>
      </c>
      <c r="BB204" cm="1">
        <f t="array" ref="BB204">IFERROR(VALUE(_xll.BDP($B204,"INTERVAL_MAE_MOV_AVG","CALC_INTERVAL","760D","TECH_STUDIES_PARAM1_OVERRIDE",200,"USE_PREVIOUS_BUSINESS_DAY","N")),"")</f>
        <v>200.59102730022158</v>
      </c>
      <c r="BC204" s="13">
        <f t="shared" si="143"/>
        <v>2.8918604235705914E-2</v>
      </c>
      <c r="BD204" s="13">
        <f t="shared" si="144"/>
        <v>4.4579816689464424E-2</v>
      </c>
      <c r="BE204" s="13">
        <f t="shared" si="145"/>
        <v>0.12083777138994511</v>
      </c>
      <c r="BF204" s="14" cm="1">
        <f t="array" ref="BF204">VALUE(_xll.BDP($B204,"INTERVAL_DATE_OF_CALC_HI","CALC_INTERVAL","3M"))</f>
        <v>46064</v>
      </c>
      <c r="BG204" s="14" cm="1">
        <f t="array" ref="BG204">VALUE(_xll.BDP($B204,"INTERVAL_DATE_OF_CALC_LO","CALC_INTERVAL","3M"))</f>
        <v>45981</v>
      </c>
      <c r="BH204" s="14" cm="1">
        <f t="array" ref="BH204">VALUE(_xll.BDP($B204,"INTERVAL_DATE_OF_CALC_HI","CALC_INTERVAL","1M"))</f>
        <v>46064</v>
      </c>
      <c r="BI204" s="14" cm="1">
        <f t="array" ref="BI204">VALUE(_xll.BDP($B204,"INTERVAL_DATE_OF_CALC_LO","CALC_INTERVAL","1M"))</f>
        <v>46042</v>
      </c>
      <c r="BJ204" s="15">
        <f>$F204-MIN(_xll.BDP("NYA Index","RSI_14D"),_xll.BDP("RSP US Equity","RSI_14D"))</f>
        <v>3.3007903929242417</v>
      </c>
    </row>
    <row r="205" spans="1:62" x14ac:dyDescent="0.25">
      <c r="A205" s="11">
        <v>204</v>
      </c>
      <c r="B205" s="26" t="s">
        <v>165</v>
      </c>
      <c r="C205" s="1" t="s">
        <v>869</v>
      </c>
      <c r="D205" s="1" t="s">
        <v>308</v>
      </c>
      <c r="E205" s="11" t="s">
        <v>787</v>
      </c>
      <c r="F205">
        <f>IFERROR(VALUE((_xll.BDP($B205,"interval_rsi","tech_studies_param1_override",14))),"")</f>
        <v>55.999014454086812</v>
      </c>
      <c r="G205">
        <f t="shared" si="0"/>
        <v>52.525531939815814</v>
      </c>
      <c r="H205">
        <f t="shared" si="119"/>
        <v>0</v>
      </c>
      <c r="I205" cm="1">
        <f t="array" ref="I205">IFERROR(VALUE(_xll.BDP($B205,"px_last")),"")</f>
        <v>264.95</v>
      </c>
      <c r="J205">
        <f t="shared" si="1"/>
        <v>6941.47</v>
      </c>
      <c r="K205" cm="1">
        <f t="array" ref="K205">IFERROR(VALUE(_xll.BDP($B205,"PX_YEST_CLOSE")),"")</f>
        <v>266.16000000000003</v>
      </c>
      <c r="L205">
        <f t="shared" si="2"/>
        <v>6941.81</v>
      </c>
      <c r="M205">
        <f t="shared" si="120"/>
        <v>3.8169148609732514E-2</v>
      </c>
      <c r="N205">
        <f t="shared" si="121"/>
        <v>3.8341585263785671E-2</v>
      </c>
      <c r="O205" cm="1">
        <f t="array" ref="O205">IFERROR(VALUE(_xll.BDP($B205,"INTERVAL_MAE_MOV_AVG","CALC_INTERVAL","520D","TECH_STUDIES_PARAM1_OVERRIDE",50,"USE_PREVIOUS_BUSINESS_DAY","N")),"")</f>
        <v>256.76236666334057</v>
      </c>
      <c r="P205">
        <f t="shared" si="3"/>
        <v>6894.0953999999992</v>
      </c>
      <c r="Q205" cm="1">
        <f t="array" ref="Q205">IFERROR(VALUE(_xll.BDP($B205,"INTERVAL_MAE_MOV_AVG","CALC_INTERVAL","520D","TECH_STUDIES_PARAM1_OVERRIDE",50,"USE_PREVIOUS_BUSINESS_DAY","Y")),"")</f>
        <v>256.42173001919997</v>
      </c>
      <c r="R205">
        <f t="shared" si="4"/>
        <v>6892.2477999999992</v>
      </c>
      <c r="S205">
        <f t="shared" si="122"/>
        <v>3.7243808181613006E-2</v>
      </c>
      <c r="T205">
        <f t="shared" si="123"/>
        <v>3.7204368946107826E-2</v>
      </c>
      <c r="U205" s="11" t="str">
        <f t="shared" si="124"/>
        <v>NEGATIVE</v>
      </c>
      <c r="V205" s="11" t="str">
        <f t="shared" si="125"/>
        <v/>
      </c>
      <c r="W205" s="11" t="str">
        <f t="shared" si="126"/>
        <v>UP</v>
      </c>
      <c r="X205" s="6" t="str">
        <f t="shared" si="127"/>
        <v>POSITIVE</v>
      </c>
      <c r="Y205" cm="1">
        <f t="array" ref="Y205">IFERROR(VALUE(_xll.BDP($B205,"INTERVAL_MAE_MOV_AVG","CALC_INTERVAL","520D","TECH_STUDIES_PARAM1_OVERRIDE",65,"USE_PREVIOUS_BUSINESS_DAY","N")),"")</f>
        <v>252.60526982472345</v>
      </c>
      <c r="Z205">
        <f t="shared" si="5"/>
        <v>6856.0226153846133</v>
      </c>
      <c r="AA205" cm="1">
        <f t="array" ref="AA205">IFERROR(VALUE(_xll.BDP($B205,"INTERVAL_MAE_MOV_AVG","CALC_INTERVAL","520D","TECH_STUDIES_PARAM1_OVERRIDE",65,"USE_PREVIOUS_BUSINESS_DAY","Y")),"")</f>
        <v>252.21444301538455</v>
      </c>
      <c r="AB205">
        <f t="shared" si="6"/>
        <v>6852.6203076923057</v>
      </c>
      <c r="AC205">
        <f t="shared" si="128"/>
        <v>3.6844287715429691E-2</v>
      </c>
      <c r="AD205">
        <f t="shared" si="129"/>
        <v>3.6805547613993003E-2</v>
      </c>
      <c r="AE205" s="10" t="str">
        <f t="shared" si="130"/>
        <v>UP</v>
      </c>
      <c r="AF205" s="10" t="str">
        <f t="shared" si="131"/>
        <v>UP</v>
      </c>
      <c r="AG205" s="6" t="str">
        <f t="shared" si="132"/>
        <v>POSITIVE</v>
      </c>
      <c r="AH205" cm="1">
        <f t="array" ref="AH205">IFERROR(VALUE(_xll.BDP($B205,"INTERVAL_MAE_MOV_AVG","CALC_INTERVAL","65W","PERIODICITY_OVERRIDE","W","TECH_STUDIES_PARAM1_OVERRIDE",39,"USE_PREVIOUS_BUSINESS_DAY","N")),"")</f>
        <v>236.50115397317046</v>
      </c>
      <c r="AI205">
        <f t="shared" si="7"/>
        <v>6560.7735897435905</v>
      </c>
      <c r="AJ205" cm="1">
        <f t="array" ref="AJ205">IFERROR(VALUE(_xll.BDP($B205,"INTERVAL_MAE_MOV_AVG","CALC_INTERVAL","65W","PERIODICITY_OVERRIDE","W","TECH_STUDIES_PARAM1_OVERRIDE",39,"USE_PREVIOUS_BUSINESS_DAY","Y")),"")</f>
        <v>236.5321793011953</v>
      </c>
      <c r="AK205">
        <f t="shared" si="8"/>
        <v>6560.7823076923087</v>
      </c>
      <c r="AL205">
        <f t="shared" si="133"/>
        <v>3.6047754237837286E-2</v>
      </c>
      <c r="AM205">
        <f t="shared" si="134"/>
        <v>3.6052435244478216E-2</v>
      </c>
      <c r="AN205" s="10" t="str">
        <f t="shared" si="135"/>
        <v>DOWN</v>
      </c>
      <c r="AO205" s="10" t="str">
        <f t="shared" si="136"/>
        <v>DOWN</v>
      </c>
      <c r="AP205" s="6" t="str">
        <f t="shared" si="137"/>
        <v>POSITIVE</v>
      </c>
      <c r="AQ205" cm="1">
        <f t="array" ref="AQ205">IFERROR(VALUE(_xll.BDP($B205,"INTERVAL_exp_MOV_AVG","CALC_INTERVAL","520D","TECH_STUDIES_PARAM1_OVERRIDE",100,"USE_PREVIOUS_BUSINESS_DAY","N")),"")</f>
        <v>249.53171508779212</v>
      </c>
      <c r="AR205">
        <f t="shared" si="9"/>
        <v>6773.0064518682802</v>
      </c>
      <c r="AS205" cm="1">
        <f t="array" ref="AS205">IFERROR(VALUE(_xll.BDP($B205,"INTERVAL_exp_MOV_AVG","CALC_INTERVAL","520D","TECH_STUDIES_PARAM1_OVERRIDE",100,"USE_PREVIOUS_BUSINESS_DAY","Y")),"")</f>
        <v>249.22027559281395</v>
      </c>
      <c r="AT205">
        <f t="shared" si="10"/>
        <v>6769.6039787132295</v>
      </c>
      <c r="AU205">
        <f t="shared" si="138"/>
        <v>3.6842090268341732E-2</v>
      </c>
      <c r="AV205">
        <f t="shared" si="139"/>
        <v>3.6814601914155975E-2</v>
      </c>
      <c r="AW205" s="11" t="str">
        <f t="shared" si="140"/>
        <v>UP</v>
      </c>
      <c r="AX205" s="11" t="str">
        <f t="shared" si="141"/>
        <v>UP</v>
      </c>
      <c r="AY205" s="6" t="str">
        <f t="shared" si="142"/>
        <v>POSITIVE</v>
      </c>
      <c r="AZ205" s="12" cm="1">
        <f t="array" ref="AZ205">_xll.BDP($B205, "INTERVAL_RSI", "TECH_STUDIES_PARAM1_OVERRIDE", "5", "PERIODICITY_OVERRIDE", "W")</f>
        <v>68.747895607736936</v>
      </c>
      <c r="BA205" cm="1">
        <f t="array" ref="BA205">IFERROR(VALUE(_xll.BDP($B205,"INTERVAL_MAE_MOV_AVG","CALC_INTERVAL","520D","TECH_STUDIES_PARAM1_OVERRIDE",31,"USE_PREVIOUS_BUSINESS_DAY","N")),"")</f>
        <v>260.55709716796872</v>
      </c>
      <c r="BB205" cm="1">
        <f t="array" ref="BB205">IFERROR(VALUE(_xll.BDP($B205,"INTERVAL_MAE_MOV_AVG","CALC_INTERVAL","760D","TECH_STUDIES_PARAM1_OVERRIDE",200,"USE_PREVIOUS_BUSINESS_DAY","N")),"")</f>
        <v>233.25574950598104</v>
      </c>
      <c r="BC205" s="13">
        <f t="shared" si="143"/>
        <v>1.6859655253218309E-2</v>
      </c>
      <c r="BD205" s="13">
        <f t="shared" si="144"/>
        <v>3.1887980481948075E-2</v>
      </c>
      <c r="BE205" s="13">
        <f t="shared" si="145"/>
        <v>0.1358776817340841</v>
      </c>
      <c r="BF205" s="14" cm="1">
        <f t="array" ref="BF205">VALUE(_xll.BDP($B205,"INTERVAL_DATE_OF_CALC_HI","CALC_INTERVAL","3M"))</f>
        <v>46044</v>
      </c>
      <c r="BG205" s="14" cm="1">
        <f t="array" ref="BG205">VALUE(_xll.BDP($B205,"INTERVAL_DATE_OF_CALC_LO","CALC_INTERVAL","3M"))</f>
        <v>45981</v>
      </c>
      <c r="BH205" s="14" cm="1">
        <f t="array" ref="BH205">VALUE(_xll.BDP($B205,"INTERVAL_DATE_OF_CALC_HI","CALC_INTERVAL","1M"))</f>
        <v>46044</v>
      </c>
      <c r="BI205" s="14" cm="1">
        <f t="array" ref="BI205">VALUE(_xll.BDP($B205,"INTERVAL_DATE_OF_CALC_LO","CALC_INTERVAL","1M"))</f>
        <v>46058</v>
      </c>
      <c r="BJ205" s="15">
        <f>$F205-MIN(_xll.BDP("NYA Index","RSI_14D"),_xll.BDP("RSP US Equity","RSI_14D"))</f>
        <v>-10.346749706069438</v>
      </c>
    </row>
    <row r="206" spans="1:62" x14ac:dyDescent="0.25">
      <c r="A206" s="11">
        <v>205</v>
      </c>
      <c r="B206" s="26" t="s">
        <v>444</v>
      </c>
      <c r="C206" s="1" t="s">
        <v>870</v>
      </c>
      <c r="D206" s="1" t="s">
        <v>308</v>
      </c>
      <c r="E206" s="11" t="s">
        <v>787</v>
      </c>
      <c r="F206">
        <f>IFERROR(VALUE((_xll.BDP($B206,"interval_rsi","tech_studies_param1_override",14))),"")</f>
        <v>64.394369730305243</v>
      </c>
      <c r="G206">
        <f t="shared" si="0"/>
        <v>52.525531939815814</v>
      </c>
      <c r="H206">
        <f t="shared" si="119"/>
        <v>1</v>
      </c>
      <c r="I206" cm="1">
        <f t="array" ref="I206">IFERROR(VALUE(_xll.BDP($B206,"px_last")),"")</f>
        <v>200.55</v>
      </c>
      <c r="J206">
        <f t="shared" si="1"/>
        <v>6941.47</v>
      </c>
      <c r="K206" cm="1">
        <f t="array" ref="K206">IFERROR(VALUE(_xll.BDP($B206,"PX_YEST_CLOSE")),"")</f>
        <v>200.82</v>
      </c>
      <c r="L206">
        <f t="shared" si="2"/>
        <v>6941.81</v>
      </c>
      <c r="M206">
        <f t="shared" si="120"/>
        <v>2.8891574839335184E-2</v>
      </c>
      <c r="N206">
        <f t="shared" si="121"/>
        <v>2.8929054526125028E-2</v>
      </c>
      <c r="O206" cm="1">
        <f t="array" ref="O206">IFERROR(VALUE(_xll.BDP($B206,"INTERVAL_MAE_MOV_AVG","CALC_INTERVAL","520D","TECH_STUDIES_PARAM1_OVERRIDE",50,"USE_PREVIOUS_BUSINESS_DAY","N")),"")</f>
        <v>189.70967831303508</v>
      </c>
      <c r="P206">
        <f t="shared" si="3"/>
        <v>6894.0953999999992</v>
      </c>
      <c r="Q206" cm="1">
        <f t="array" ref="Q206">IFERROR(VALUE(_xll.BDP($B206,"INTERVAL_MAE_MOV_AVG","CALC_INTERVAL","520D","TECH_STUDIES_PARAM1_OVERRIDE",50,"USE_PREVIOUS_BUSINESS_DAY","Y")),"")</f>
        <v>189.32247487519996</v>
      </c>
      <c r="R206">
        <f t="shared" si="4"/>
        <v>6892.2477999999992</v>
      </c>
      <c r="S206">
        <f t="shared" si="122"/>
        <v>2.7517704253560968E-2</v>
      </c>
      <c r="T206">
        <f t="shared" si="123"/>
        <v>2.7468901346698531E-2</v>
      </c>
      <c r="U206" s="11" t="str">
        <f t="shared" si="124"/>
        <v>POSITIVE</v>
      </c>
      <c r="V206" s="11" t="str">
        <f t="shared" si="125"/>
        <v/>
      </c>
      <c r="W206" s="11" t="str">
        <f t="shared" si="126"/>
        <v>UP</v>
      </c>
      <c r="X206" s="6" t="str">
        <f t="shared" si="127"/>
        <v>POSITIVE</v>
      </c>
      <c r="Y206" cm="1">
        <f t="array" ref="Y206">IFERROR(VALUE(_xll.BDP($B206,"INTERVAL_MAE_MOV_AVG","CALC_INTERVAL","520D","TECH_STUDIES_PARAM1_OVERRIDE",65,"USE_PREVIOUS_BUSINESS_DAY","N")),"")</f>
        <v>186.22061033125777</v>
      </c>
      <c r="Z206">
        <f t="shared" si="5"/>
        <v>6856.0226153846133</v>
      </c>
      <c r="AA206" cm="1">
        <f t="array" ref="AA206">IFERROR(VALUE(_xll.BDP($B206,"INTERVAL_MAE_MOV_AVG","CALC_INTERVAL","520D","TECH_STUDIES_PARAM1_OVERRIDE",65,"USE_PREVIOUS_BUSINESS_DAY","Y")),"")</f>
        <v>185.80543507692303</v>
      </c>
      <c r="AB206">
        <f t="shared" si="6"/>
        <v>6852.6203076923057</v>
      </c>
      <c r="AC206">
        <f t="shared" si="128"/>
        <v>2.7161609693845949E-2</v>
      </c>
      <c r="AD206">
        <f t="shared" si="129"/>
        <v>2.7114509010275959E-2</v>
      </c>
      <c r="AE206" s="10" t="str">
        <f t="shared" si="130"/>
        <v>UP</v>
      </c>
      <c r="AF206" s="10" t="str">
        <f t="shared" si="131"/>
        <v>UP</v>
      </c>
      <c r="AG206" s="6" t="str">
        <f t="shared" si="132"/>
        <v>POSITIVE</v>
      </c>
      <c r="AH206" cm="1">
        <f t="array" ref="AH206">IFERROR(VALUE(_xll.BDP($B206,"INTERVAL_MAE_MOV_AVG","CALC_INTERVAL","65W","PERIODICITY_OVERRIDE","W","TECH_STUDIES_PARAM1_OVERRIDE",39,"USE_PREVIOUS_BUSINESS_DAY","N")),"")</f>
        <v>173.43437190649678</v>
      </c>
      <c r="AI206">
        <f t="shared" si="7"/>
        <v>6560.7735897435905</v>
      </c>
      <c r="AJ206" cm="1">
        <f t="array" ref="AJ206">IFERROR(VALUE(_xll.BDP($B206,"INTERVAL_MAE_MOV_AVG","CALC_INTERVAL","65W","PERIODICITY_OVERRIDE","W","TECH_STUDIES_PARAM1_OVERRIDE",39,"USE_PREVIOUS_BUSINESS_DAY","Y")),"")</f>
        <v>173.44129490516963</v>
      </c>
      <c r="AK206">
        <f t="shared" si="8"/>
        <v>6560.7823076923087</v>
      </c>
      <c r="AL206">
        <f t="shared" si="133"/>
        <v>2.6435049088971072E-2</v>
      </c>
      <c r="AM206">
        <f t="shared" si="134"/>
        <v>2.6436069171479021E-2</v>
      </c>
      <c r="AN206" s="10" t="str">
        <f t="shared" si="135"/>
        <v>DOWN</v>
      </c>
      <c r="AO206" s="10" t="str">
        <f t="shared" si="136"/>
        <v>DOWN</v>
      </c>
      <c r="AP206" s="6" t="str">
        <f t="shared" si="137"/>
        <v>POSITIVE</v>
      </c>
      <c r="AQ206" cm="1">
        <f t="array" ref="AQ206">IFERROR(VALUE(_xll.BDP($B206,"INTERVAL_exp_MOV_AVG","CALC_INTERVAL","520D","TECH_STUDIES_PARAM1_OVERRIDE",100,"USE_PREVIOUS_BUSINESS_DAY","N")),"")</f>
        <v>183.86532434184298</v>
      </c>
      <c r="AR206">
        <f t="shared" si="9"/>
        <v>6773.0064518682802</v>
      </c>
      <c r="AS206" cm="1">
        <f t="array" ref="AS206">IFERROR(VALUE(_xll.BDP($B206,"INTERVAL_exp_MOV_AVG","CALC_INTERVAL","520D","TECH_STUDIES_PARAM1_OVERRIDE",100,"USE_PREVIOUS_BUSINESS_DAY","Y")),"")</f>
        <v>183.52829783783994</v>
      </c>
      <c r="AT206">
        <f t="shared" si="10"/>
        <v>6769.6039787132295</v>
      </c>
      <c r="AU206">
        <f t="shared" si="138"/>
        <v>2.7146781218719374E-2</v>
      </c>
      <c r="AV206">
        <f t="shared" si="139"/>
        <v>2.7110640210998741E-2</v>
      </c>
      <c r="AW206" s="11" t="str">
        <f t="shared" si="140"/>
        <v>UP</v>
      </c>
      <c r="AX206" s="11" t="str">
        <f t="shared" si="141"/>
        <v>UP</v>
      </c>
      <c r="AY206" s="6" t="str">
        <f t="shared" si="142"/>
        <v>POSITIVE</v>
      </c>
      <c r="AZ206" s="12" cm="1">
        <f t="array" ref="AZ206">_xll.BDP($B206, "INTERVAL_RSI", "TECH_STUDIES_PARAM1_OVERRIDE", "5", "PERIODICITY_OVERRIDE", "W")</f>
        <v>83.291793691264644</v>
      </c>
      <c r="BA206" cm="1">
        <f t="array" ref="BA206">IFERROR(VALUE(_xll.BDP($B206,"INTERVAL_MAE_MOV_AVG","CALC_INTERVAL","520D","TECH_STUDIES_PARAM1_OVERRIDE",31,"USE_PREVIOUS_BUSINESS_DAY","N")),"")</f>
        <v>193.18064525973406</v>
      </c>
      <c r="BB206" cm="1">
        <f t="array" ref="BB206">IFERROR(VALUE(_xll.BDP($B206,"INTERVAL_MAE_MOV_AVG","CALC_INTERVAL","760D","TECH_STUDIES_PARAM1_OVERRIDE",200,"USE_PREVIOUS_BUSINESS_DAY","N")),"")</f>
        <v>170.95687595477347</v>
      </c>
      <c r="BC206" s="13">
        <f t="shared" si="143"/>
        <v>3.8147479683369623E-2</v>
      </c>
      <c r="BD206" s="13">
        <f t="shared" si="144"/>
        <v>5.7141637597833084E-2</v>
      </c>
      <c r="BE206" s="13">
        <f t="shared" si="145"/>
        <v>0.17310285930268976</v>
      </c>
      <c r="BF206" s="14" cm="1">
        <f t="array" ref="BF206">VALUE(_xll.BDP($B206,"INTERVAL_DATE_OF_CALC_HI","CALC_INTERVAL","3M"))</f>
        <v>46062</v>
      </c>
      <c r="BG206" s="14" cm="1">
        <f t="array" ref="BG206">VALUE(_xll.BDP($B206,"INTERVAL_DATE_OF_CALC_LO","CALC_INTERVAL","3M"))</f>
        <v>45981</v>
      </c>
      <c r="BH206" s="14" cm="1">
        <f t="array" ref="BH206">VALUE(_xll.BDP($B206,"INTERVAL_DATE_OF_CALC_HI","CALC_INTERVAL","1M"))</f>
        <v>46062</v>
      </c>
      <c r="BI206" s="14" cm="1">
        <f t="array" ref="BI206">VALUE(_xll.BDP($B206,"INTERVAL_DATE_OF_CALC_LO","CALC_INTERVAL","1M"))</f>
        <v>46034</v>
      </c>
      <c r="BJ206" s="15">
        <f>$F206-MIN(_xll.BDP("NYA Index","RSI_14D"),_xll.BDP("RSP US Equity","RSI_14D"))</f>
        <v>-1.9513944298510069</v>
      </c>
    </row>
    <row r="207" spans="1:62" x14ac:dyDescent="0.25">
      <c r="A207" s="11">
        <v>206</v>
      </c>
      <c r="B207" s="26" t="s">
        <v>166</v>
      </c>
      <c r="C207" s="1" t="s">
        <v>871</v>
      </c>
      <c r="D207" s="1" t="s">
        <v>308</v>
      </c>
      <c r="E207" s="11" t="s">
        <v>787</v>
      </c>
      <c r="F207">
        <f>IFERROR(VALUE((_xll.BDP($B207,"interval_rsi","tech_studies_param1_override",14))),"")</f>
        <v>50.089113567873397</v>
      </c>
      <c r="G207">
        <f t="shared" si="0"/>
        <v>52.525531939815814</v>
      </c>
      <c r="H207">
        <f t="shared" si="119"/>
        <v>0</v>
      </c>
      <c r="I207" cm="1">
        <f t="array" ref="I207">IFERROR(VALUE(_xll.BDP($B207,"px_last")),"")</f>
        <v>339.07</v>
      </c>
      <c r="J207">
        <f t="shared" si="1"/>
        <v>6941.47</v>
      </c>
      <c r="K207" cm="1">
        <f t="array" ref="K207">IFERROR(VALUE(_xll.BDP($B207,"PX_YEST_CLOSE")),"")</f>
        <v>341.28</v>
      </c>
      <c r="L207">
        <f t="shared" si="2"/>
        <v>6941.81</v>
      </c>
      <c r="M207">
        <f t="shared" si="120"/>
        <v>4.8847002147960013E-2</v>
      </c>
      <c r="N207">
        <f t="shared" si="121"/>
        <v>4.9162970464475396E-2</v>
      </c>
      <c r="O207" cm="1">
        <f t="array" ref="O207">IFERROR(VALUE(_xll.BDP($B207,"INTERVAL_MAE_MOV_AVG","CALC_INTERVAL","520D","TECH_STUDIES_PARAM1_OVERRIDE",50,"USE_PREVIOUS_BUSINESS_DAY","N")),"")</f>
        <v>335.96044777128441</v>
      </c>
      <c r="P207">
        <f t="shared" si="3"/>
        <v>6894.0953999999992</v>
      </c>
      <c r="Q207" cm="1">
        <f t="array" ref="Q207">IFERROR(VALUE(_xll.BDP($B207,"INTERVAL_MAE_MOV_AVG","CALC_INTERVAL","520D","TECH_STUDIES_PARAM1_OVERRIDE",50,"USE_PREVIOUS_BUSINESS_DAY","Y")),"")</f>
        <v>335.72692503360008</v>
      </c>
      <c r="R207">
        <f t="shared" si="4"/>
        <v>6892.2477999999992</v>
      </c>
      <c r="S207">
        <f t="shared" si="122"/>
        <v>4.8731621522278973E-2</v>
      </c>
      <c r="T207">
        <f t="shared" si="123"/>
        <v>4.8710803032009399E-2</v>
      </c>
      <c r="U207" s="11" t="str">
        <f t="shared" si="124"/>
        <v>NEGATIVE</v>
      </c>
      <c r="V207" s="11" t="str">
        <f t="shared" si="125"/>
        <v/>
      </c>
      <c r="W207" s="11" t="str">
        <f t="shared" si="126"/>
        <v>UP</v>
      </c>
      <c r="X207" s="6" t="str">
        <f t="shared" si="127"/>
        <v>POSITIVE</v>
      </c>
      <c r="Y207" cm="1">
        <f t="array" ref="Y207">IFERROR(VALUE(_xll.BDP($B207,"INTERVAL_MAE_MOV_AVG","CALC_INTERVAL","520D","TECH_STUDIES_PARAM1_OVERRIDE",65,"USE_PREVIOUS_BUSINESS_DAY","N")),"")</f>
        <v>331.17654022068024</v>
      </c>
      <c r="Z207">
        <f t="shared" si="5"/>
        <v>6856.0226153846133</v>
      </c>
      <c r="AA207" cm="1">
        <f t="array" ref="AA207">IFERROR(VALUE(_xll.BDP($B207,"INTERVAL_MAE_MOV_AVG","CALC_INTERVAL","520D","TECH_STUDIES_PARAM1_OVERRIDE",65,"USE_PREVIOUS_BUSINESS_DAY","Y")),"")</f>
        <v>330.87072566646157</v>
      </c>
      <c r="AB207">
        <f t="shared" si="6"/>
        <v>6852.6203076923057</v>
      </c>
      <c r="AC207">
        <f t="shared" si="128"/>
        <v>4.830447021535994E-2</v>
      </c>
      <c r="AD207">
        <f t="shared" si="129"/>
        <v>4.8283825866588234E-2</v>
      </c>
      <c r="AE207" s="10" t="str">
        <f t="shared" si="130"/>
        <v>UP</v>
      </c>
      <c r="AF207" s="10" t="str">
        <f t="shared" si="131"/>
        <v>UP</v>
      </c>
      <c r="AG207" s="6" t="str">
        <f t="shared" si="132"/>
        <v>POSITIVE</v>
      </c>
      <c r="AH207" cm="1">
        <f t="array" ref="AH207">IFERROR(VALUE(_xll.BDP($B207,"INTERVAL_MAE_MOV_AVG","CALC_INTERVAL","65W","PERIODICITY_OVERRIDE","W","TECH_STUDIES_PARAM1_OVERRIDE",39,"USE_PREVIOUS_BUSINESS_DAY","N")),"")</f>
        <v>311.62087789324539</v>
      </c>
      <c r="AI207">
        <f t="shared" si="7"/>
        <v>6560.7735897435905</v>
      </c>
      <c r="AJ207" cm="1">
        <f t="array" ref="AJ207">IFERROR(VALUE(_xll.BDP($B207,"INTERVAL_MAE_MOV_AVG","CALC_INTERVAL","65W","PERIODICITY_OVERRIDE","W","TECH_STUDIES_PARAM1_OVERRIDE",39,"USE_PREVIOUS_BUSINESS_DAY","Y")),"")</f>
        <v>311.67754437211164</v>
      </c>
      <c r="AK207">
        <f t="shared" si="8"/>
        <v>6560.7823076923087</v>
      </c>
      <c r="AL207">
        <f t="shared" si="133"/>
        <v>4.7497581440761806E-2</v>
      </c>
      <c r="AM207">
        <f t="shared" si="134"/>
        <v>4.7506155478848858E-2</v>
      </c>
      <c r="AN207" s="10" t="str">
        <f t="shared" si="135"/>
        <v>DOWN</v>
      </c>
      <c r="AO207" s="10" t="str">
        <f t="shared" si="136"/>
        <v>DOWN</v>
      </c>
      <c r="AP207" s="6" t="str">
        <f t="shared" si="137"/>
        <v>POSITIVE</v>
      </c>
      <c r="AQ207" cm="1">
        <f t="array" ref="AQ207">IFERROR(VALUE(_xll.BDP($B207,"INTERVAL_exp_MOV_AVG","CALC_INTERVAL","520D","TECH_STUDIES_PARAM1_OVERRIDE",100,"USE_PREVIOUS_BUSINESS_DAY","N")),"")</f>
        <v>327.32110494802305</v>
      </c>
      <c r="AR207">
        <f t="shared" si="9"/>
        <v>6773.0064518682802</v>
      </c>
      <c r="AS207" cm="1">
        <f t="array" ref="AS207">IFERROR(VALUE(_xll.BDP($B207,"INTERVAL_exp_MOV_AVG","CALC_INTERVAL","520D","TECH_STUDIES_PARAM1_OVERRIDE",100,"USE_PREVIOUS_BUSINESS_DAY","Y")),"")</f>
        <v>327.0838069412473</v>
      </c>
      <c r="AT207">
        <f t="shared" si="10"/>
        <v>6769.6039787132295</v>
      </c>
      <c r="AU207">
        <f t="shared" si="138"/>
        <v>4.8327298559967279E-2</v>
      </c>
      <c r="AV207">
        <f t="shared" si="139"/>
        <v>4.8316534906583941E-2</v>
      </c>
      <c r="AW207" s="11" t="str">
        <f t="shared" si="140"/>
        <v>UP</v>
      </c>
      <c r="AX207" s="11" t="str">
        <f t="shared" si="141"/>
        <v>UP</v>
      </c>
      <c r="AY207" s="6" t="str">
        <f t="shared" si="142"/>
        <v>POSITIVE</v>
      </c>
      <c r="AZ207" s="12" cm="1">
        <f t="array" ref="AZ207">_xll.BDP($B207, "INTERVAL_RSI", "TECH_STUDIES_PARAM1_OVERRIDE", "5", "PERIODICITY_OVERRIDE", "W")</f>
        <v>54.621886994230934</v>
      </c>
      <c r="BA207" cm="1">
        <f t="array" ref="BA207">IFERROR(VALUE(_xll.BDP($B207,"INTERVAL_MAE_MOV_AVG","CALC_INTERVAL","520D","TECH_STUDIES_PARAM1_OVERRIDE",31,"USE_PREVIOUS_BUSINESS_DAY","N")),"")</f>
        <v>339.85290346207165</v>
      </c>
      <c r="BB207" cm="1">
        <f t="array" ref="BB207">IFERROR(VALUE(_xll.BDP($B207,"INTERVAL_MAE_MOV_AVG","CALC_INTERVAL","760D","TECH_STUDIES_PARAM1_OVERRIDE",200,"USE_PREVIOUS_BUSINESS_DAY","N")),"")</f>
        <v>307.45981115219848</v>
      </c>
      <c r="BC207" s="13">
        <f t="shared" si="143"/>
        <v>-2.3036538870089274E-3</v>
      </c>
      <c r="BD207" s="13">
        <f t="shared" si="144"/>
        <v>9.2557092638252403E-3</v>
      </c>
      <c r="BE207" s="13">
        <f t="shared" si="145"/>
        <v>0.10281079900928525</v>
      </c>
      <c r="BF207" s="14" cm="1">
        <f t="array" ref="BF207">VALUE(_xll.BDP($B207,"INTERVAL_DATE_OF_CALC_HI","CALC_INTERVAL","3M"))</f>
        <v>46044</v>
      </c>
      <c r="BG207" s="14" cm="1">
        <f t="array" ref="BG207">VALUE(_xll.BDP($B207,"INTERVAL_DATE_OF_CALC_LO","CALC_INTERVAL","3M"))</f>
        <v>45981</v>
      </c>
      <c r="BH207" s="14" cm="1">
        <f t="array" ref="BH207">VALUE(_xll.BDP($B207,"INTERVAL_DATE_OF_CALC_HI","CALC_INTERVAL","1M"))</f>
        <v>46044</v>
      </c>
      <c r="BI207" s="14" cm="1">
        <f t="array" ref="BI207">VALUE(_xll.BDP($B207,"INTERVAL_DATE_OF_CALC_LO","CALC_INTERVAL","1M"))</f>
        <v>46058</v>
      </c>
      <c r="BJ207" s="15">
        <f>$F207-MIN(_xll.BDP("NYA Index","RSI_14D"),_xll.BDP("RSP US Equity","RSI_14D"))</f>
        <v>-16.256650592282853</v>
      </c>
    </row>
    <row r="208" spans="1:62" x14ac:dyDescent="0.25">
      <c r="A208" s="11">
        <v>207</v>
      </c>
      <c r="B208" s="26" t="s">
        <v>445</v>
      </c>
      <c r="C208" s="1" t="s">
        <v>872</v>
      </c>
      <c r="D208" s="1" t="s">
        <v>308</v>
      </c>
      <c r="E208" s="11" t="s">
        <v>787</v>
      </c>
      <c r="F208">
        <f>IFERROR(VALUE((_xll.BDP($B208,"interval_rsi","tech_studies_param1_override",14))),"")</f>
        <v>69.197791096795399</v>
      </c>
      <c r="G208">
        <f t="shared" si="0"/>
        <v>52.525531939815814</v>
      </c>
      <c r="H208">
        <f t="shared" si="119"/>
        <v>1</v>
      </c>
      <c r="I208" cm="1">
        <f t="array" ref="I208">IFERROR(VALUE(_xll.BDP($B208,"px_last")),"")</f>
        <v>152.56</v>
      </c>
      <c r="J208">
        <f t="shared" si="1"/>
        <v>6941.47</v>
      </c>
      <c r="K208" cm="1">
        <f t="array" ref="K208">IFERROR(VALUE(_xll.BDP($B208,"PX_YEST_CLOSE")),"")</f>
        <v>152.57</v>
      </c>
      <c r="L208">
        <f t="shared" si="2"/>
        <v>6941.81</v>
      </c>
      <c r="M208">
        <f t="shared" si="120"/>
        <v>2.1978053639935057E-2</v>
      </c>
      <c r="N208">
        <f t="shared" si="121"/>
        <v>2.197841773255102E-2</v>
      </c>
      <c r="O208" cm="1">
        <f t="array" ref="O208">IFERROR(VALUE(_xll.BDP($B208,"INTERVAL_MAE_MOV_AVG","CALC_INTERVAL","520D","TECH_STUDIES_PARAM1_OVERRIDE",50,"USE_PREVIOUS_BUSINESS_DAY","N")),"")</f>
        <v>145.26957631837189</v>
      </c>
      <c r="P208">
        <f t="shared" si="3"/>
        <v>6894.0953999999992</v>
      </c>
      <c r="Q208" cm="1">
        <f t="array" ref="Q208">IFERROR(VALUE(_xll.BDP($B208,"INTERVAL_MAE_MOV_AVG","CALC_INTERVAL","520D","TECH_STUDIES_PARAM1_OVERRIDE",50,"USE_PREVIOUS_BUSINESS_DAY","Y")),"")</f>
        <v>145.03579049199999</v>
      </c>
      <c r="R208">
        <f t="shared" si="4"/>
        <v>6892.2477999999992</v>
      </c>
      <c r="S208">
        <f t="shared" si="122"/>
        <v>2.1071593572431838E-2</v>
      </c>
      <c r="T208">
        <f t="shared" si="123"/>
        <v>2.1043322106323571E-2</v>
      </c>
      <c r="U208" s="11" t="str">
        <f t="shared" si="124"/>
        <v>POSITIVE</v>
      </c>
      <c r="V208" s="11" t="str">
        <f t="shared" si="125"/>
        <v/>
      </c>
      <c r="W208" s="11" t="str">
        <f t="shared" si="126"/>
        <v>UP</v>
      </c>
      <c r="X208" s="6" t="str">
        <f t="shared" si="127"/>
        <v>POSITIVE</v>
      </c>
      <c r="Y208" cm="1">
        <f t="array" ref="Y208">IFERROR(VALUE(_xll.BDP($B208,"INTERVAL_MAE_MOV_AVG","CALC_INTERVAL","520D","TECH_STUDIES_PARAM1_OVERRIDE",65,"USE_PREVIOUS_BUSINESS_DAY","N")),"")</f>
        <v>143.47389630582455</v>
      </c>
      <c r="Z208">
        <f t="shared" si="5"/>
        <v>6856.0226153846133</v>
      </c>
      <c r="AA208" cm="1">
        <f t="array" ref="AA208">IFERROR(VALUE(_xll.BDP($B208,"INTERVAL_MAE_MOV_AVG","CALC_INTERVAL","520D","TECH_STUDIES_PARAM1_OVERRIDE",65,"USE_PREVIOUS_BUSINESS_DAY","Y")),"")</f>
        <v>143.22468849538467</v>
      </c>
      <c r="AB208">
        <f t="shared" si="6"/>
        <v>6852.6203076923057</v>
      </c>
      <c r="AC208">
        <f t="shared" si="128"/>
        <v>2.0926695309300095E-2</v>
      </c>
      <c r="AD208">
        <f t="shared" si="129"/>
        <v>2.0900718566678786E-2</v>
      </c>
      <c r="AE208" s="10" t="str">
        <f t="shared" si="130"/>
        <v>UP</v>
      </c>
      <c r="AF208" s="10" t="str">
        <f t="shared" si="131"/>
        <v>UP</v>
      </c>
      <c r="AG208" s="6" t="str">
        <f t="shared" si="132"/>
        <v>POSITIVE</v>
      </c>
      <c r="AH208" cm="1">
        <f t="array" ref="AH208">IFERROR(VALUE(_xll.BDP($B208,"INTERVAL_MAE_MOV_AVG","CALC_INTERVAL","65W","PERIODICITY_OVERRIDE","W","TECH_STUDIES_PARAM1_OVERRIDE",39,"USE_PREVIOUS_BUSINESS_DAY","N")),"")</f>
        <v>137.89985088532106</v>
      </c>
      <c r="AI208">
        <f t="shared" si="7"/>
        <v>6560.7735897435905</v>
      </c>
      <c r="AJ208" cm="1">
        <f t="array" ref="AJ208">IFERROR(VALUE(_xll.BDP($B208,"INTERVAL_MAE_MOV_AVG","CALC_INTERVAL","65W","PERIODICITY_OVERRIDE","W","TECH_STUDIES_PARAM1_OVERRIDE",39,"USE_PREVIOUS_BUSINESS_DAY","Y")),"")</f>
        <v>137.90010735817762</v>
      </c>
      <c r="AK208">
        <f t="shared" si="8"/>
        <v>6560.7823076923087</v>
      </c>
      <c r="AL208">
        <f t="shared" si="133"/>
        <v>2.101884008021537E-2</v>
      </c>
      <c r="AM208">
        <f t="shared" si="134"/>
        <v>2.1018851242251117E-2</v>
      </c>
      <c r="AN208" s="10" t="str">
        <f t="shared" si="135"/>
        <v>DOWN</v>
      </c>
      <c r="AO208" s="10" t="str">
        <f t="shared" si="136"/>
        <v>DOWN</v>
      </c>
      <c r="AP208" s="6" t="str">
        <f t="shared" si="137"/>
        <v>POSITIVE</v>
      </c>
      <c r="AQ208" cm="1">
        <f t="array" ref="AQ208">IFERROR(VALUE(_xll.BDP($B208,"INTERVAL_exp_MOV_AVG","CALC_INTERVAL","520D","TECH_STUDIES_PARAM1_OVERRIDE",100,"USE_PREVIOUS_BUSINESS_DAY","N")),"")</f>
        <v>142.46214907153359</v>
      </c>
      <c r="AR208">
        <f t="shared" si="9"/>
        <v>6773.0064518682802</v>
      </c>
      <c r="AS208" cm="1">
        <f t="array" ref="AS208">IFERROR(VALUE(_xll.BDP($B208,"INTERVAL_exp_MOV_AVG","CALC_INTERVAL","520D","TECH_STUDIES_PARAM1_OVERRIDE",100,"USE_PREVIOUS_BUSINESS_DAY","Y")),"")</f>
        <v>142.2581855273952</v>
      </c>
      <c r="AT208">
        <f t="shared" si="10"/>
        <v>6769.6039787132295</v>
      </c>
      <c r="AU208">
        <f t="shared" si="138"/>
        <v>2.1033812692181405E-2</v>
      </c>
      <c r="AV208">
        <f t="shared" si="139"/>
        <v>2.1014255187559099E-2</v>
      </c>
      <c r="AW208" s="11" t="str">
        <f t="shared" si="140"/>
        <v>UP</v>
      </c>
      <c r="AX208" s="11" t="str">
        <f t="shared" si="141"/>
        <v>UP</v>
      </c>
      <c r="AY208" s="6" t="str">
        <f t="shared" si="142"/>
        <v>POSITIVE</v>
      </c>
      <c r="AZ208" s="12" cm="1">
        <f t="array" ref="AZ208">_xll.BDP($B208, "INTERVAL_RSI", "TECH_STUDIES_PARAM1_OVERRIDE", "5", "PERIODICITY_OVERRIDE", "W")</f>
        <v>85.408933712275001</v>
      </c>
      <c r="BA208" cm="1">
        <f t="array" ref="BA208">IFERROR(VALUE(_xll.BDP($B208,"INTERVAL_MAE_MOV_AVG","CALC_INTERVAL","520D","TECH_STUDIES_PARAM1_OVERRIDE",31,"USE_PREVIOUS_BUSINESS_DAY","N")),"")</f>
        <v>147.44064508253533</v>
      </c>
      <c r="BB208" cm="1">
        <f t="array" ref="BB208">IFERROR(VALUE(_xll.BDP($B208,"INTERVAL_MAE_MOV_AVG","CALC_INTERVAL","760D","TECH_STUDIES_PARAM1_OVERRIDE",200,"USE_PREVIOUS_BUSINESS_DAY","N")),"")</f>
        <v>136.56426083429929</v>
      </c>
      <c r="BC208" s="13">
        <f t="shared" si="143"/>
        <v>3.4721463098583927E-2</v>
      </c>
      <c r="BD208" s="13">
        <f t="shared" si="144"/>
        <v>5.0185481822088152E-2</v>
      </c>
      <c r="BE208" s="13">
        <f t="shared" si="145"/>
        <v>0.11712976050966373</v>
      </c>
      <c r="BF208" s="14" cm="1">
        <f t="array" ref="BF208">VALUE(_xll.BDP($B208,"INTERVAL_DATE_OF_CALC_HI","CALC_INTERVAL","3M"))</f>
        <v>46063</v>
      </c>
      <c r="BG208" s="14" cm="1">
        <f t="array" ref="BG208">VALUE(_xll.BDP($B208,"INTERVAL_DATE_OF_CALC_LO","CALC_INTERVAL","3M"))</f>
        <v>45981</v>
      </c>
      <c r="BH208" s="14" cm="1">
        <f t="array" ref="BH208">VALUE(_xll.BDP($B208,"INTERVAL_DATE_OF_CALC_HI","CALC_INTERVAL","1M"))</f>
        <v>46063</v>
      </c>
      <c r="BI208" s="14" cm="1">
        <f t="array" ref="BI208">VALUE(_xll.BDP($B208,"INTERVAL_DATE_OF_CALC_LO","CALC_INTERVAL","1M"))</f>
        <v>46042</v>
      </c>
      <c r="BJ208" s="15">
        <f>$F208-MIN(_xll.BDP("NYA Index","RSI_14D"),_xll.BDP("RSP US Equity","RSI_14D"))</f>
        <v>2.8520269366391489</v>
      </c>
    </row>
    <row r="209" spans="1:62" x14ac:dyDescent="0.25">
      <c r="A209" s="11">
        <v>208</v>
      </c>
      <c r="B209" s="26" t="s">
        <v>446</v>
      </c>
      <c r="C209" s="1" t="s">
        <v>873</v>
      </c>
      <c r="D209" s="1" t="s">
        <v>308</v>
      </c>
      <c r="E209" s="11" t="s">
        <v>787</v>
      </c>
      <c r="F209">
        <f>IFERROR(VALUE((_xll.BDP($B209,"interval_rsi","tech_studies_param1_override",14))),"")</f>
        <v>57.006773555812835</v>
      </c>
      <c r="G209">
        <f t="shared" si="0"/>
        <v>52.525531939815814</v>
      </c>
      <c r="H209">
        <f t="shared" si="119"/>
        <v>0</v>
      </c>
      <c r="I209" cm="1">
        <f t="array" ref="I209">IFERROR(VALUE(_xll.BDP($B209,"px_last")),"")</f>
        <v>100.36</v>
      </c>
      <c r="J209">
        <f t="shared" si="1"/>
        <v>6941.47</v>
      </c>
      <c r="K209" cm="1">
        <f t="array" ref="K209">IFERROR(VALUE(_xll.BDP($B209,"PX_YEST_CLOSE")),"")</f>
        <v>99.57</v>
      </c>
      <c r="L209">
        <f t="shared" si="2"/>
        <v>6941.81</v>
      </c>
      <c r="M209">
        <f t="shared" si="120"/>
        <v>1.445803266455088E-2</v>
      </c>
      <c r="N209">
        <f t="shared" si="121"/>
        <v>1.4343521358262468E-2</v>
      </c>
      <c r="O209" cm="1">
        <f t="array" ref="O209">IFERROR(VALUE(_xll.BDP($B209,"INTERVAL_MAE_MOV_AVG","CALC_INTERVAL","520D","TECH_STUDIES_PARAM1_OVERRIDE",50,"USE_PREVIOUS_BUSINESS_DAY","N")),"")</f>
        <v>98.189443060206997</v>
      </c>
      <c r="P209">
        <f t="shared" si="3"/>
        <v>6894.0953999999992</v>
      </c>
      <c r="Q209" cm="1">
        <f t="array" ref="Q209">IFERROR(VALUE(_xll.BDP($B209,"INTERVAL_MAE_MOV_AVG","CALC_INTERVAL","520D","TECH_STUDIES_PARAM1_OVERRIDE",50,"USE_PREVIOUS_BUSINESS_DAY","Y")),"")</f>
        <v>98.14462882399998</v>
      </c>
      <c r="R209">
        <f t="shared" si="4"/>
        <v>6892.2477999999992</v>
      </c>
      <c r="S209">
        <f t="shared" si="122"/>
        <v>1.4242541967174839E-2</v>
      </c>
      <c r="T209">
        <f t="shared" si="123"/>
        <v>1.423985783331818E-2</v>
      </c>
      <c r="U209" s="11" t="str">
        <f t="shared" si="124"/>
        <v>NEGATIVE</v>
      </c>
      <c r="V209" s="11" t="str">
        <f t="shared" si="125"/>
        <v/>
      </c>
      <c r="W209" s="11" t="str">
        <f t="shared" si="126"/>
        <v>UP</v>
      </c>
      <c r="X209" s="6" t="str">
        <f t="shared" si="127"/>
        <v>POSITIVE</v>
      </c>
      <c r="Y209" cm="1">
        <f t="array" ref="Y209">IFERROR(VALUE(_xll.BDP($B209,"INTERVAL_MAE_MOV_AVG","CALC_INTERVAL","520D","TECH_STUDIES_PARAM1_OVERRIDE",65,"USE_PREVIOUS_BUSINESS_DAY","N")),"")</f>
        <v>97.565589275543829</v>
      </c>
      <c r="Z209">
        <f t="shared" si="5"/>
        <v>6856.0226153846133</v>
      </c>
      <c r="AA209" cm="1">
        <f t="array" ref="AA209">IFERROR(VALUE(_xll.BDP($B209,"INTERVAL_MAE_MOV_AVG","CALC_INTERVAL","520D","TECH_STUDIES_PARAM1_OVERRIDE",65,"USE_PREVIOUS_BUSINESS_DAY","Y")),"")</f>
        <v>97.42637343615381</v>
      </c>
      <c r="AB209">
        <f t="shared" si="6"/>
        <v>6852.6203076923057</v>
      </c>
      <c r="AC209">
        <f t="shared" si="128"/>
        <v>1.4230639942261996E-2</v>
      </c>
      <c r="AD209">
        <f t="shared" si="129"/>
        <v>1.4217389708107613E-2</v>
      </c>
      <c r="AE209" s="10" t="str">
        <f t="shared" si="130"/>
        <v>UP</v>
      </c>
      <c r="AF209" s="10" t="str">
        <f t="shared" si="131"/>
        <v>UP</v>
      </c>
      <c r="AG209" s="6" t="str">
        <f t="shared" si="132"/>
        <v>POSITIVE</v>
      </c>
      <c r="AH209" cm="1">
        <f t="array" ref="AH209">IFERROR(VALUE(_xll.BDP($B209,"INTERVAL_MAE_MOV_AVG","CALC_INTERVAL","65W","PERIODICITY_OVERRIDE","W","TECH_STUDIES_PARAM1_OVERRIDE",39,"USE_PREVIOUS_BUSINESS_DAY","N")),"")</f>
        <v>90.937099362883814</v>
      </c>
      <c r="AI209">
        <f t="shared" si="7"/>
        <v>6560.7735897435905</v>
      </c>
      <c r="AJ209" cm="1">
        <f t="array" ref="AJ209">IFERROR(VALUE(_xll.BDP($B209,"INTERVAL_MAE_MOV_AVG","CALC_INTERVAL","65W","PERIODICITY_OVERRIDE","W","TECH_STUDIES_PARAM1_OVERRIDE",39,"USE_PREVIOUS_BUSINESS_DAY","Y")),"")</f>
        <v>90.916842936977361</v>
      </c>
      <c r="AK209">
        <f t="shared" si="8"/>
        <v>6560.7823076923087</v>
      </c>
      <c r="AL209">
        <f t="shared" si="133"/>
        <v>1.3860728177702264E-2</v>
      </c>
      <c r="AM209">
        <f t="shared" si="134"/>
        <v>1.3857622258001192E-2</v>
      </c>
      <c r="AN209" s="10" t="str">
        <f t="shared" si="135"/>
        <v>UP</v>
      </c>
      <c r="AO209" s="10" t="str">
        <f t="shared" si="136"/>
        <v>UP</v>
      </c>
      <c r="AP209" s="6" t="str">
        <f t="shared" si="137"/>
        <v>POSITIVE</v>
      </c>
      <c r="AQ209" cm="1">
        <f t="array" ref="AQ209">IFERROR(VALUE(_xll.BDP($B209,"INTERVAL_exp_MOV_AVG","CALC_INTERVAL","520D","TECH_STUDIES_PARAM1_OVERRIDE",100,"USE_PREVIOUS_BUSINESS_DAY","N")),"")</f>
        <v>95.483055390281891</v>
      </c>
      <c r="AR209">
        <f t="shared" si="9"/>
        <v>6773.0064518682802</v>
      </c>
      <c r="AS209" cm="1">
        <f t="array" ref="AS209">IFERROR(VALUE(_xll.BDP($B209,"INTERVAL_exp_MOV_AVG","CALC_INTERVAL","520D","TECH_STUDIES_PARAM1_OVERRIDE",100,"USE_PREVIOUS_BUSINESS_DAY","Y")),"")</f>
        <v>95.384543605400538</v>
      </c>
      <c r="AT209">
        <f t="shared" si="10"/>
        <v>6769.6039787132295</v>
      </c>
      <c r="AU209">
        <f t="shared" si="138"/>
        <v>1.4097588134430855E-2</v>
      </c>
      <c r="AV209">
        <f t="shared" si="139"/>
        <v>1.4090121653398593E-2</v>
      </c>
      <c r="AW209" s="11" t="str">
        <f t="shared" si="140"/>
        <v>UP</v>
      </c>
      <c r="AX209" s="11" t="str">
        <f t="shared" si="141"/>
        <v>UP</v>
      </c>
      <c r="AY209" s="6" t="str">
        <f t="shared" si="142"/>
        <v>POSITIVE</v>
      </c>
      <c r="AZ209" s="12" cm="1">
        <f t="array" ref="AZ209">_xll.BDP($B209, "INTERVAL_RSI", "TECH_STUDIES_PARAM1_OVERRIDE", "5", "PERIODICITY_OVERRIDE", "W")</f>
        <v>70.062966717161714</v>
      </c>
      <c r="BA209" cm="1">
        <f t="array" ref="BA209">IFERROR(VALUE(_xll.BDP($B209,"INTERVAL_MAE_MOV_AVG","CALC_INTERVAL","520D","TECH_STUDIES_PARAM1_OVERRIDE",31,"USE_PREVIOUS_BUSINESS_DAY","N")),"")</f>
        <v>99.179354858398426</v>
      </c>
      <c r="BB209" cm="1">
        <f t="array" ref="BB209">IFERROR(VALUE(_xll.BDP($B209,"INTERVAL_MAE_MOV_AVG","CALC_INTERVAL","760D","TECH_STUDIES_PARAM1_OVERRIDE",200,"USE_PREVIOUS_BUSINESS_DAY","N")),"")</f>
        <v>90.201653951599056</v>
      </c>
      <c r="BC209" s="13">
        <f t="shared" si="143"/>
        <v>1.1904142180469091E-2</v>
      </c>
      <c r="BD209" s="13">
        <f t="shared" si="144"/>
        <v>2.2105807632110563E-2</v>
      </c>
      <c r="BE209" s="13">
        <f t="shared" si="145"/>
        <v>0.11261817941666319</v>
      </c>
      <c r="BF209" s="14" cm="1">
        <f t="array" ref="BF209">VALUE(_xll.BDP($B209,"INTERVAL_DATE_OF_CALC_HI","CALC_INTERVAL","3M"))</f>
        <v>46048</v>
      </c>
      <c r="BG209" s="14" cm="1">
        <f t="array" ref="BG209">VALUE(_xll.BDP($B209,"INTERVAL_DATE_OF_CALC_LO","CALC_INTERVAL","3M"))</f>
        <v>46000</v>
      </c>
      <c r="BH209" s="14" cm="1">
        <f t="array" ref="BH209">VALUE(_xll.BDP($B209,"INTERVAL_DATE_OF_CALC_HI","CALC_INTERVAL","1M"))</f>
        <v>46048</v>
      </c>
      <c r="BI209" s="14" cm="1">
        <f t="array" ref="BI209">VALUE(_xll.BDP($B209,"INTERVAL_DATE_OF_CALC_LO","CALC_INTERVAL","1M"))</f>
        <v>46056</v>
      </c>
      <c r="BJ209" s="15">
        <f>$F209-MIN(_xll.BDP("NYA Index","RSI_14D"),_xll.BDP("RSP US Equity","RSI_14D"))</f>
        <v>-9.3389906043434152</v>
      </c>
    </row>
    <row r="210" spans="1:62" x14ac:dyDescent="0.25">
      <c r="A210" s="11">
        <v>209</v>
      </c>
      <c r="B210" s="26" t="s">
        <v>447</v>
      </c>
      <c r="C210" s="1" t="s">
        <v>874</v>
      </c>
      <c r="D210" s="1" t="s">
        <v>308</v>
      </c>
      <c r="E210" s="11" t="s">
        <v>787</v>
      </c>
      <c r="F210">
        <f>IFERROR(VALUE((_xll.BDP($B210,"interval_rsi","tech_studies_param1_override",14))),"")</f>
        <v>41.617562059892677</v>
      </c>
      <c r="G210">
        <f t="shared" si="0"/>
        <v>52.525531939815814</v>
      </c>
      <c r="H210">
        <f t="shared" si="119"/>
        <v>0</v>
      </c>
      <c r="I210" cm="1">
        <f t="array" ref="I210">IFERROR(VALUE(_xll.BDP($B210,"px_last")),"")</f>
        <v>102.51</v>
      </c>
      <c r="J210">
        <f t="shared" si="1"/>
        <v>6941.47</v>
      </c>
      <c r="K210" cm="1">
        <f t="array" ref="K210">IFERROR(VALUE(_xll.BDP($B210,"PX_YEST_CLOSE")),"")</f>
        <v>103.18</v>
      </c>
      <c r="L210">
        <f t="shared" si="2"/>
        <v>6941.81</v>
      </c>
      <c r="M210">
        <f t="shared" si="120"/>
        <v>1.4767765329245822E-2</v>
      </c>
      <c r="N210">
        <f t="shared" si="121"/>
        <v>1.486355863960552E-2</v>
      </c>
      <c r="O210" cm="1">
        <f t="array" ref="O210">IFERROR(VALUE(_xll.BDP($B210,"INTERVAL_MAE_MOV_AVG","CALC_INTERVAL","520D","TECH_STUDIES_PARAM1_OVERRIDE",50,"USE_PREVIOUS_BUSINESS_DAY","N")),"")</f>
        <v>104.26025625172463</v>
      </c>
      <c r="P210">
        <f t="shared" si="3"/>
        <v>6894.0953999999992</v>
      </c>
      <c r="Q210" cm="1">
        <f t="array" ref="Q210">IFERROR(VALUE(_xll.BDP($B210,"INTERVAL_MAE_MOV_AVG","CALC_INTERVAL","520D","TECH_STUDIES_PARAM1_OVERRIDE",50,"USE_PREVIOUS_BUSINESS_DAY","Y")),"")</f>
        <v>104.2611188278</v>
      </c>
      <c r="R210">
        <f t="shared" si="4"/>
        <v>6892.2477999999992</v>
      </c>
      <c r="S210">
        <f t="shared" si="122"/>
        <v>1.5123123514032695E-2</v>
      </c>
      <c r="T210">
        <f t="shared" si="123"/>
        <v>1.5127302710706371E-2</v>
      </c>
      <c r="U210" s="11" t="str">
        <f t="shared" si="124"/>
        <v>NEGATIVE</v>
      </c>
      <c r="V210" s="11" t="str">
        <f t="shared" si="125"/>
        <v/>
      </c>
      <c r="W210" s="11" t="str">
        <f t="shared" si="126"/>
        <v>DOWN</v>
      </c>
      <c r="X210" s="6" t="str">
        <f t="shared" si="127"/>
        <v>NEGATIVE</v>
      </c>
      <c r="Y210" cm="1">
        <f t="array" ref="Y210">IFERROR(VALUE(_xll.BDP($B210,"INTERVAL_MAE_MOV_AVG","CALC_INTERVAL","520D","TECH_STUDIES_PARAM1_OVERRIDE",65,"USE_PREVIOUS_BUSINESS_DAY","N")),"")</f>
        <v>103.43506134071129</v>
      </c>
      <c r="Z210">
        <f t="shared" si="5"/>
        <v>6856.0226153846133</v>
      </c>
      <c r="AA210" cm="1">
        <f t="array" ref="AA210">IFERROR(VALUE(_xll.BDP($B210,"INTERVAL_MAE_MOV_AVG","CALC_INTERVAL","520D","TECH_STUDIES_PARAM1_OVERRIDE",65,"USE_PREVIOUS_BUSINESS_DAY","Y")),"")</f>
        <v>103.41712885476926</v>
      </c>
      <c r="AB210">
        <f t="shared" si="6"/>
        <v>6852.6203076923057</v>
      </c>
      <c r="AC210">
        <f t="shared" si="128"/>
        <v>1.5086744479023093E-2</v>
      </c>
      <c r="AD210">
        <f t="shared" si="129"/>
        <v>1.5091618127255631E-2</v>
      </c>
      <c r="AE210" s="10" t="str">
        <f t="shared" si="130"/>
        <v>UP</v>
      </c>
      <c r="AF210" s="10" t="str">
        <f t="shared" si="131"/>
        <v>DOWN</v>
      </c>
      <c r="AG210" s="6" t="str">
        <f t="shared" si="132"/>
        <v>NEGATIVE</v>
      </c>
      <c r="AH210" cm="1">
        <f t="array" ref="AH210">IFERROR(VALUE(_xll.BDP($B210,"INTERVAL_MAE_MOV_AVG","CALC_INTERVAL","65W","PERIODICITY_OVERRIDE","W","TECH_STUDIES_PARAM1_OVERRIDE",39,"USE_PREVIOUS_BUSINESS_DAY","N")),"")</f>
        <v>101.87355393053905</v>
      </c>
      <c r="AI210">
        <f t="shared" si="7"/>
        <v>6560.7735897435905</v>
      </c>
      <c r="AJ210" cm="1">
        <f t="array" ref="AJ210">IFERROR(VALUE(_xll.BDP($B210,"INTERVAL_MAE_MOV_AVG","CALC_INTERVAL","65W","PERIODICITY_OVERRIDE","W","TECH_STUDIES_PARAM1_OVERRIDE",39,"USE_PREVIOUS_BUSINESS_DAY","Y")),"")</f>
        <v>101.89073336294339</v>
      </c>
      <c r="AK210">
        <f t="shared" si="8"/>
        <v>6560.7823076923087</v>
      </c>
      <c r="AL210">
        <f t="shared" si="133"/>
        <v>1.5527674067246769E-2</v>
      </c>
      <c r="AM210">
        <f t="shared" si="134"/>
        <v>1.5530271937765676E-2</v>
      </c>
      <c r="AN210" s="10" t="str">
        <f t="shared" si="135"/>
        <v>DOWN</v>
      </c>
      <c r="AO210" s="10" t="str">
        <f t="shared" si="136"/>
        <v>DOWN</v>
      </c>
      <c r="AP210" s="6" t="str">
        <f t="shared" si="137"/>
        <v>NEGATIVE</v>
      </c>
      <c r="AQ210" cm="1">
        <f t="array" ref="AQ210">IFERROR(VALUE(_xll.BDP($B210,"INTERVAL_exp_MOV_AVG","CALC_INTERVAL","520D","TECH_STUDIES_PARAM1_OVERRIDE",100,"USE_PREVIOUS_BUSINESS_DAY","N")),"")</f>
        <v>103.18657023368654</v>
      </c>
      <c r="AR210">
        <f t="shared" si="9"/>
        <v>6773.0064518682802</v>
      </c>
      <c r="AS210" cm="1">
        <f t="array" ref="AS210">IFERROR(VALUE(_xll.BDP($B210,"INTERVAL_exp_MOV_AVG","CALC_INTERVAL","520D","TECH_STUDIES_PARAM1_OVERRIDE",100,"USE_PREVIOUS_BUSINESS_DAY","Y")),"")</f>
        <v>103.20025686720494</v>
      </c>
      <c r="AT210">
        <f t="shared" si="10"/>
        <v>6769.6039787132295</v>
      </c>
      <c r="AU210">
        <f t="shared" si="138"/>
        <v>1.5234972972043063E-2</v>
      </c>
      <c r="AV210">
        <f t="shared" si="139"/>
        <v>1.5244652005008616E-2</v>
      </c>
      <c r="AW210" s="11" t="str">
        <f t="shared" si="140"/>
        <v>DOWN</v>
      </c>
      <c r="AX210" s="11" t="str">
        <f t="shared" si="141"/>
        <v>DOWN</v>
      </c>
      <c r="AY210" s="6" t="str">
        <f t="shared" si="142"/>
        <v>NEGATIVE</v>
      </c>
      <c r="AZ210" s="12" cm="1">
        <f t="array" ref="AZ210">_xll.BDP($B210, "INTERVAL_RSI", "TECH_STUDIES_PARAM1_OVERRIDE", "5", "PERIODICITY_OVERRIDE", "W")</f>
        <v>36.034583091580721</v>
      </c>
      <c r="BA210" cm="1">
        <f t="array" ref="BA210">IFERROR(VALUE(_xll.BDP($B210,"INTERVAL_MAE_MOV_AVG","CALC_INTERVAL","520D","TECH_STUDIES_PARAM1_OVERRIDE",31,"USE_PREVIOUS_BUSINESS_DAY","N")),"")</f>
        <v>104.57022587536227</v>
      </c>
      <c r="BB210" cm="1">
        <f t="array" ref="BB210">IFERROR(VALUE(_xll.BDP($B210,"INTERVAL_MAE_MOV_AVG","CALC_INTERVAL","760D","TECH_STUDIES_PARAM1_OVERRIDE",200,"USE_PREVIOUS_BUSINESS_DAY","N")),"")</f>
        <v>101.24909007144883</v>
      </c>
      <c r="BC210" s="13">
        <f t="shared" si="143"/>
        <v>-1.9701840156851724E-2</v>
      </c>
      <c r="BD210" s="13">
        <f t="shared" si="144"/>
        <v>-1.6787377229332989E-2</v>
      </c>
      <c r="BE210" s="13">
        <f t="shared" si="145"/>
        <v>1.2453543312452187E-2</v>
      </c>
      <c r="BF210" s="14" cm="1">
        <f t="array" ref="BF210">VALUE(_xll.BDP($B210,"INTERVAL_DATE_OF_CALC_HI","CALC_INTERVAL","3M"))</f>
        <v>46035</v>
      </c>
      <c r="BG210" s="14" cm="1">
        <f t="array" ref="BG210">VALUE(_xll.BDP($B210,"INTERVAL_DATE_OF_CALC_LO","CALC_INTERVAL","3M"))</f>
        <v>45981</v>
      </c>
      <c r="BH210" s="14" cm="1">
        <f t="array" ref="BH210">VALUE(_xll.BDP($B210,"INTERVAL_DATE_OF_CALC_HI","CALC_INTERVAL","1M"))</f>
        <v>46035</v>
      </c>
      <c r="BI210" s="14" cm="1">
        <f t="array" ref="BI210">VALUE(_xll.BDP($B210,"INTERVAL_DATE_OF_CALC_LO","CALC_INTERVAL","1M"))</f>
        <v>46058</v>
      </c>
      <c r="BJ210" s="15">
        <f>$F210-MIN(_xll.BDP("NYA Index","RSI_14D"),_xll.BDP("RSP US Equity","RSI_14D"))</f>
        <v>-24.728202100263573</v>
      </c>
    </row>
    <row r="211" spans="1:62" x14ac:dyDescent="0.25">
      <c r="A211" s="11">
        <v>210</v>
      </c>
      <c r="B211" s="26" t="s">
        <v>448</v>
      </c>
      <c r="C211" s="1" t="s">
        <v>875</v>
      </c>
      <c r="D211" s="1" t="s">
        <v>308</v>
      </c>
      <c r="E211" s="11" t="s">
        <v>787</v>
      </c>
      <c r="F211">
        <f>IFERROR(VALUE((_xll.BDP($B211,"interval_rsi","tech_studies_param1_override",14))),"")</f>
        <v>79.012948785649755</v>
      </c>
      <c r="G211">
        <f t="shared" si="0"/>
        <v>52.525531939815814</v>
      </c>
      <c r="H211">
        <f t="shared" si="119"/>
        <v>1</v>
      </c>
      <c r="I211" cm="1">
        <f t="array" ref="I211">IFERROR(VALUE(_xll.BDP($B211,"px_last")),"")</f>
        <v>58.07</v>
      </c>
      <c r="J211">
        <f t="shared" si="1"/>
        <v>6941.47</v>
      </c>
      <c r="K211" cm="1">
        <f t="array" ref="K211">IFERROR(VALUE(_xll.BDP($B211,"PX_YEST_CLOSE")),"")</f>
        <v>56.64</v>
      </c>
      <c r="L211">
        <f t="shared" si="2"/>
        <v>6941.81</v>
      </c>
      <c r="M211">
        <f t="shared" si="120"/>
        <v>8.3656631808536226E-3</v>
      </c>
      <c r="N211">
        <f t="shared" si="121"/>
        <v>8.159255295088744E-3</v>
      </c>
      <c r="O211" cm="1">
        <f t="array" ref="O211">IFERROR(VALUE(_xll.BDP($B211,"INTERVAL_MAE_MOV_AVG","CALC_INTERVAL","520D","TECH_STUDIES_PARAM1_OVERRIDE",50,"USE_PREVIOUS_BUSINESS_DAY","N")),"")</f>
        <v>50.184287975496474</v>
      </c>
      <c r="P211">
        <f t="shared" si="3"/>
        <v>6894.0953999999992</v>
      </c>
      <c r="Q211" cm="1">
        <f t="array" ref="Q211">IFERROR(VALUE(_xll.BDP($B211,"INTERVAL_MAE_MOV_AVG","CALC_INTERVAL","520D","TECH_STUDIES_PARAM1_OVERRIDE",50,"USE_PREVIOUS_BUSINESS_DAY","Y")),"")</f>
        <v>49.979241555999991</v>
      </c>
      <c r="R211">
        <f t="shared" si="4"/>
        <v>6892.2477999999992</v>
      </c>
      <c r="S211">
        <f t="shared" si="122"/>
        <v>7.2793144080217512E-3</v>
      </c>
      <c r="T211">
        <f t="shared" si="123"/>
        <v>7.2515154716288636E-3</v>
      </c>
      <c r="U211" s="11" t="str">
        <f t="shared" si="124"/>
        <v>POSITIVE</v>
      </c>
      <c r="V211" s="11" t="str">
        <f t="shared" si="125"/>
        <v/>
      </c>
      <c r="W211" s="11" t="str">
        <f t="shared" si="126"/>
        <v>UP</v>
      </c>
      <c r="X211" s="6" t="str">
        <f t="shared" si="127"/>
        <v>POSITIVE</v>
      </c>
      <c r="Y211" cm="1">
        <f t="array" ref="Y211">IFERROR(VALUE(_xll.BDP($B211,"INTERVAL_MAE_MOV_AVG","CALC_INTERVAL","520D","TECH_STUDIES_PARAM1_OVERRIDE",65,"USE_PREVIOUS_BUSINESS_DAY","N")),"")</f>
        <v>49.570936227304969</v>
      </c>
      <c r="Z211">
        <f t="shared" si="5"/>
        <v>6856.0226153846133</v>
      </c>
      <c r="AA211" cm="1">
        <f t="array" ref="AA211">IFERROR(VALUE(_xll.BDP($B211,"INTERVAL_MAE_MOV_AVG","CALC_INTERVAL","520D","TECH_STUDIES_PARAM1_OVERRIDE",65,"USE_PREVIOUS_BUSINESS_DAY","Y")),"")</f>
        <v>49.393808630153828</v>
      </c>
      <c r="AB211">
        <f t="shared" si="6"/>
        <v>6852.6203076923057</v>
      </c>
      <c r="AC211">
        <f t="shared" si="128"/>
        <v>7.2302760664864152E-3</v>
      </c>
      <c r="AD211">
        <f t="shared" si="129"/>
        <v>7.2080177234841907E-3</v>
      </c>
      <c r="AE211" s="10" t="str">
        <f t="shared" si="130"/>
        <v>UP</v>
      </c>
      <c r="AF211" s="10" t="str">
        <f t="shared" si="131"/>
        <v>UP</v>
      </c>
      <c r="AG211" s="6" t="str">
        <f t="shared" si="132"/>
        <v>POSITIVE</v>
      </c>
      <c r="AH211" cm="1">
        <f t="array" ref="AH211">IFERROR(VALUE(_xll.BDP($B211,"INTERVAL_MAE_MOV_AVG","CALC_INTERVAL","65W","PERIODICITY_OVERRIDE","W","TECH_STUDIES_PARAM1_OVERRIDE",39,"USE_PREVIOUS_BUSINESS_DAY","N")),"")</f>
        <v>47.259831968092975</v>
      </c>
      <c r="AI211">
        <f t="shared" si="7"/>
        <v>6560.7735897435905</v>
      </c>
      <c r="AJ211" cm="1">
        <f t="array" ref="AJ211">IFERROR(VALUE(_xll.BDP($B211,"INTERVAL_MAE_MOV_AVG","CALC_INTERVAL","65W","PERIODICITY_OVERRIDE","W","TECH_STUDIES_PARAM1_OVERRIDE",39,"USE_PREVIOUS_BUSINESS_DAY","Y")),"")</f>
        <v>47.223165309251321</v>
      </c>
      <c r="AK211">
        <f t="shared" si="8"/>
        <v>6560.7823076923087</v>
      </c>
      <c r="AL211">
        <f t="shared" si="133"/>
        <v>7.2033932160033573E-3</v>
      </c>
      <c r="AM211">
        <f t="shared" si="134"/>
        <v>7.1977948809372411E-3</v>
      </c>
      <c r="AN211" s="10" t="str">
        <f t="shared" si="135"/>
        <v>UP</v>
      </c>
      <c r="AO211" s="10" t="str">
        <f t="shared" si="136"/>
        <v>UP</v>
      </c>
      <c r="AP211" s="6" t="str">
        <f t="shared" si="137"/>
        <v>POSITIVE</v>
      </c>
      <c r="AQ211" cm="1">
        <f t="array" ref="AQ211">IFERROR(VALUE(_xll.BDP($B211,"INTERVAL_exp_MOV_AVG","CALC_INTERVAL","520D","TECH_STUDIES_PARAM1_OVERRIDE",100,"USE_PREVIOUS_BUSINESS_DAY","N")),"")</f>
        <v>49.287268452724057</v>
      </c>
      <c r="AR211">
        <f t="shared" si="9"/>
        <v>6773.0064518682802</v>
      </c>
      <c r="AS211" cm="1">
        <f t="array" ref="AS211">IFERROR(VALUE(_xll.BDP($B211,"INTERVAL_exp_MOV_AVG","CALC_INTERVAL","520D","TECH_STUDIES_PARAM1_OVERRIDE",100,"USE_PREVIOUS_BUSINESS_DAY","Y")),"")</f>
        <v>49.109850406751242</v>
      </c>
      <c r="AT211">
        <f t="shared" si="10"/>
        <v>6769.6039787132295</v>
      </c>
      <c r="AU211">
        <f t="shared" si="138"/>
        <v>7.2770148386804732E-3</v>
      </c>
      <c r="AV211">
        <f t="shared" si="139"/>
        <v>7.2544643026645813E-3</v>
      </c>
      <c r="AW211" s="11" t="str">
        <f t="shared" si="140"/>
        <v>UP</v>
      </c>
      <c r="AX211" s="11" t="str">
        <f t="shared" si="141"/>
        <v>UP</v>
      </c>
      <c r="AY211" s="6" t="str">
        <f t="shared" si="142"/>
        <v>POSITIVE</v>
      </c>
      <c r="AZ211" s="12" cm="1">
        <f t="array" ref="AZ211">_xll.BDP($B211, "INTERVAL_RSI", "TECH_STUDIES_PARAM1_OVERRIDE", "5", "PERIODICITY_OVERRIDE", "W")</f>
        <v>93.92218767795984</v>
      </c>
      <c r="BA211" cm="1">
        <f t="array" ref="BA211">IFERROR(VALUE(_xll.BDP($B211,"INTERVAL_MAE_MOV_AVG","CALC_INTERVAL","520D","TECH_STUDIES_PARAM1_OVERRIDE",31,"USE_PREVIOUS_BUSINESS_DAY","N")),"")</f>
        <v>51.739677409510456</v>
      </c>
      <c r="BB211" cm="1">
        <f t="array" ref="BB211">IFERROR(VALUE(_xll.BDP($B211,"INTERVAL_MAE_MOV_AVG","CALC_INTERVAL","760D","TECH_STUDIES_PARAM1_OVERRIDE",200,"USE_PREVIOUS_BUSINESS_DAY","N")),"")</f>
        <v>46.660124749382689</v>
      </c>
      <c r="BC211" s="13">
        <f t="shared" si="143"/>
        <v>0.12234947930552709</v>
      </c>
      <c r="BD211" s="13">
        <f t="shared" si="144"/>
        <v>0.15713507838058582</v>
      </c>
      <c r="BE211" s="13">
        <f t="shared" si="145"/>
        <v>0.24453160620339465</v>
      </c>
      <c r="BF211" s="14" cm="1">
        <f t="array" ref="BF211">VALUE(_xll.BDP($B211,"INTERVAL_DATE_OF_CALC_HI","CALC_INTERVAL","3M"))</f>
        <v>46064</v>
      </c>
      <c r="BG211" s="14" cm="1">
        <f t="array" ref="BG211">VALUE(_xll.BDP($B211,"INTERVAL_DATE_OF_CALC_LO","CALC_INTERVAL","3M"))</f>
        <v>46007</v>
      </c>
      <c r="BH211" s="14" cm="1">
        <f t="array" ref="BH211">VALUE(_xll.BDP($B211,"INTERVAL_DATE_OF_CALC_HI","CALC_INTERVAL","1M"))</f>
        <v>46064</v>
      </c>
      <c r="BI211" s="14" cm="1">
        <f t="array" ref="BI211">VALUE(_xll.BDP($B211,"INTERVAL_DATE_OF_CALC_LO","CALC_INTERVAL","1M"))</f>
        <v>46034</v>
      </c>
      <c r="BJ211" s="15">
        <f>$F211-MIN(_xll.BDP("NYA Index","RSI_14D"),_xll.BDP("RSP US Equity","RSI_14D"))</f>
        <v>12.667184625493505</v>
      </c>
    </row>
    <row r="212" spans="1:62" x14ac:dyDescent="0.25">
      <c r="A212" s="11">
        <v>211</v>
      </c>
      <c r="B212" s="26" t="s">
        <v>449</v>
      </c>
      <c r="C212" s="1" t="s">
        <v>876</v>
      </c>
      <c r="D212" s="1" t="s">
        <v>308</v>
      </c>
      <c r="E212" s="11" t="s">
        <v>787</v>
      </c>
      <c r="F212">
        <f>IFERROR(VALUE((_xll.BDP($B212,"interval_rsi","tech_studies_param1_override",14))),"")</f>
        <v>41.242738508357277</v>
      </c>
      <c r="G212">
        <f t="shared" si="0"/>
        <v>52.525531939815814</v>
      </c>
      <c r="H212">
        <f t="shared" si="119"/>
        <v>0</v>
      </c>
      <c r="I212" cm="1">
        <f t="array" ref="I212">IFERROR(VALUE(_xll.BDP($B212,"px_last")),"")</f>
        <v>125.66</v>
      </c>
      <c r="J212">
        <f t="shared" si="1"/>
        <v>6941.47</v>
      </c>
      <c r="K212" cm="1">
        <f t="array" ref="K212">IFERROR(VALUE(_xll.BDP($B212,"PX_YEST_CLOSE")),"")</f>
        <v>127.7</v>
      </c>
      <c r="L212">
        <f t="shared" si="2"/>
        <v>6941.81</v>
      </c>
      <c r="M212">
        <f t="shared" si="120"/>
        <v>1.8102793788635548E-2</v>
      </c>
      <c r="N212">
        <f t="shared" si="121"/>
        <v>1.8395778622578261E-2</v>
      </c>
      <c r="O212" cm="1">
        <f t="array" ref="O212">IFERROR(VALUE(_xll.BDP($B212,"INTERVAL_MAE_MOV_AVG","CALC_INTERVAL","520D","TECH_STUDIES_PARAM1_OVERRIDE",50,"USE_PREVIOUS_BUSINESS_DAY","N")),"")</f>
        <v>128.56523737684219</v>
      </c>
      <c r="P212">
        <f t="shared" si="3"/>
        <v>6894.0953999999992</v>
      </c>
      <c r="Q212" cm="1">
        <f t="array" ref="Q212">IFERROR(VALUE(_xll.BDP($B212,"INTERVAL_MAE_MOV_AVG","CALC_INTERVAL","520D","TECH_STUDIES_PARAM1_OVERRIDE",50,"USE_PREVIOUS_BUSINESS_DAY","Y")),"")</f>
        <v>128.5603242302</v>
      </c>
      <c r="R212">
        <f t="shared" si="4"/>
        <v>6892.2477999999992</v>
      </c>
      <c r="S212">
        <f t="shared" si="122"/>
        <v>1.8648601436069799E-2</v>
      </c>
      <c r="T212">
        <f t="shared" si="123"/>
        <v>1.8652887702354522E-2</v>
      </c>
      <c r="U212" s="11" t="str">
        <f t="shared" si="124"/>
        <v>NEGATIVE</v>
      </c>
      <c r="V212" s="11" t="str">
        <f t="shared" si="125"/>
        <v/>
      </c>
      <c r="W212" s="11" t="str">
        <f t="shared" si="126"/>
        <v>DOWN</v>
      </c>
      <c r="X212" s="6" t="str">
        <f t="shared" si="127"/>
        <v>NEGATIVE</v>
      </c>
      <c r="Y212" cm="1">
        <f t="array" ref="Y212">IFERROR(VALUE(_xll.BDP($B212,"INTERVAL_MAE_MOV_AVG","CALC_INTERVAL","520D","TECH_STUDIES_PARAM1_OVERRIDE",65,"USE_PREVIOUS_BUSINESS_DAY","N")),"")</f>
        <v>127.26985710603245</v>
      </c>
      <c r="Z212">
        <f t="shared" si="5"/>
        <v>6856.0226153846133</v>
      </c>
      <c r="AA212" cm="1">
        <f t="array" ref="AA212">IFERROR(VALUE(_xll.BDP($B212,"INTERVAL_MAE_MOV_AVG","CALC_INTERVAL","520D","TECH_STUDIES_PARAM1_OVERRIDE",65,"USE_PREVIOUS_BUSINESS_DAY","Y")),"")</f>
        <v>127.21645147999998</v>
      </c>
      <c r="AB212">
        <f t="shared" si="6"/>
        <v>6852.6203076923057</v>
      </c>
      <c r="AC212">
        <f t="shared" si="128"/>
        <v>1.856322014172539E-2</v>
      </c>
      <c r="AD212">
        <f t="shared" si="129"/>
        <v>1.8564643270428258E-2</v>
      </c>
      <c r="AE212" s="10" t="str">
        <f t="shared" si="130"/>
        <v>UP</v>
      </c>
      <c r="AF212" s="10" t="str">
        <f t="shared" si="131"/>
        <v>DOWN</v>
      </c>
      <c r="AG212" s="6" t="str">
        <f t="shared" si="132"/>
        <v>NEGATIVE</v>
      </c>
      <c r="AH212" cm="1">
        <f t="array" ref="AH212">IFERROR(VALUE(_xll.BDP($B212,"INTERVAL_MAE_MOV_AVG","CALC_INTERVAL","65W","PERIODICITY_OVERRIDE","W","TECH_STUDIES_PARAM1_OVERRIDE",39,"USE_PREVIOUS_BUSINESS_DAY","N")),"")</f>
        <v>123.36125715015996</v>
      </c>
      <c r="AI212">
        <f t="shared" si="7"/>
        <v>6560.7735897435905</v>
      </c>
      <c r="AJ212" cm="1">
        <f t="array" ref="AJ212">IFERROR(VALUE(_xll.BDP($B212,"INTERVAL_MAE_MOV_AVG","CALC_INTERVAL","65W","PERIODICITY_OVERRIDE","W","TECH_STUDIES_PARAM1_OVERRIDE",39,"USE_PREVIOUS_BUSINESS_DAY","Y")),"")</f>
        <v>123.41356474856741</v>
      </c>
      <c r="AK212">
        <f t="shared" si="8"/>
        <v>6560.7823076923087</v>
      </c>
      <c r="AL212">
        <f t="shared" si="133"/>
        <v>1.880285235616265E-2</v>
      </c>
      <c r="AM212">
        <f t="shared" si="134"/>
        <v>1.8810800139469484E-2</v>
      </c>
      <c r="AN212" s="10" t="str">
        <f t="shared" si="135"/>
        <v>DOWN</v>
      </c>
      <c r="AO212" s="10" t="str">
        <f t="shared" si="136"/>
        <v>DOWN</v>
      </c>
      <c r="AP212" s="6" t="str">
        <f t="shared" si="137"/>
        <v>NEGATIVE</v>
      </c>
      <c r="AQ212" cm="1">
        <f t="array" ref="AQ212">IFERROR(VALUE(_xll.BDP($B212,"INTERVAL_exp_MOV_AVG","CALC_INTERVAL","520D","TECH_STUDIES_PARAM1_OVERRIDE",100,"USE_PREVIOUS_BUSINESS_DAY","N")),"")</f>
        <v>126.06927974385522</v>
      </c>
      <c r="AR212">
        <f t="shared" si="9"/>
        <v>6773.0064518682802</v>
      </c>
      <c r="AS212" cm="1">
        <f t="array" ref="AS212">IFERROR(VALUE(_xll.BDP($B212,"INTERVAL_exp_MOV_AVG","CALC_INTERVAL","520D","TECH_STUDIES_PARAM1_OVERRIDE",100,"USE_PREVIOUS_BUSINESS_DAY","Y")),"")</f>
        <v>126.07755700071316</v>
      </c>
      <c r="AT212">
        <f t="shared" si="10"/>
        <v>6769.6039787132295</v>
      </c>
      <c r="AU212">
        <f t="shared" si="138"/>
        <v>1.8613488801428796E-2</v>
      </c>
      <c r="AV212">
        <f t="shared" si="139"/>
        <v>1.86240668430767E-2</v>
      </c>
      <c r="AW212" s="11" t="str">
        <f t="shared" si="140"/>
        <v>DOWN</v>
      </c>
      <c r="AX212" s="11" t="str">
        <f t="shared" si="141"/>
        <v>DOWN</v>
      </c>
      <c r="AY212" s="6" t="str">
        <f t="shared" si="142"/>
        <v>NEGATIVE</v>
      </c>
      <c r="AZ212" s="12" cm="1">
        <f t="array" ref="AZ212">_xll.BDP($B212, "INTERVAL_RSI", "TECH_STUDIES_PARAM1_OVERRIDE", "5", "PERIODICITY_OVERRIDE", "W")</f>
        <v>37.928341617253942</v>
      </c>
      <c r="BA212" cm="1">
        <f t="array" ref="BA212">IFERROR(VALUE(_xll.BDP($B212,"INTERVAL_MAE_MOV_AVG","CALC_INTERVAL","520D","TECH_STUDIES_PARAM1_OVERRIDE",31,"USE_PREVIOUS_BUSINESS_DAY","N")),"")</f>
        <v>128.96451624716482</v>
      </c>
      <c r="BB212" cm="1">
        <f t="array" ref="BB212">IFERROR(VALUE(_xll.BDP($B212,"INTERVAL_MAE_MOV_AVG","CALC_INTERVAL","760D","TECH_STUDIES_PARAM1_OVERRIDE",200,"USE_PREVIOUS_BUSINESS_DAY","N")),"")</f>
        <v>122.38184933187839</v>
      </c>
      <c r="BC212" s="13">
        <f t="shared" si="143"/>
        <v>-2.5623453205001034E-2</v>
      </c>
      <c r="BD212" s="13">
        <f t="shared" si="144"/>
        <v>-2.2597378856980987E-2</v>
      </c>
      <c r="BE212" s="13">
        <f t="shared" si="145"/>
        <v>2.6786248827077586E-2</v>
      </c>
      <c r="BF212" s="14" cm="1">
        <f t="array" ref="BF212">VALUE(_xll.BDP($B212,"INTERVAL_DATE_OF_CALC_HI","CALC_INTERVAL","3M"))</f>
        <v>46028</v>
      </c>
      <c r="BG212" s="14" cm="1">
        <f t="array" ref="BG212">VALUE(_xll.BDP($B212,"INTERVAL_DATE_OF_CALC_LO","CALC_INTERVAL","3M"))</f>
        <v>45981</v>
      </c>
      <c r="BH212" s="14" cm="1">
        <f t="array" ref="BH212">VALUE(_xll.BDP($B212,"INTERVAL_DATE_OF_CALC_HI","CALC_INTERVAL","1M"))</f>
        <v>46034</v>
      </c>
      <c r="BI212" s="14" cm="1">
        <f t="array" ref="BI212">VALUE(_xll.BDP($B212,"INTERVAL_DATE_OF_CALC_LO","CALC_INTERVAL","1M"))</f>
        <v>46064</v>
      </c>
      <c r="BJ212" s="15">
        <f>$F212-MIN(_xll.BDP("NYA Index","RSI_14D"),_xll.BDP("RSP US Equity","RSI_14D"))</f>
        <v>-25.103025651798973</v>
      </c>
    </row>
    <row r="213" spans="1:62" x14ac:dyDescent="0.25">
      <c r="A213" s="11">
        <v>212</v>
      </c>
      <c r="B213" s="26" t="s">
        <v>450</v>
      </c>
      <c r="C213" s="1" t="s">
        <v>877</v>
      </c>
      <c r="D213" s="1" t="s">
        <v>308</v>
      </c>
      <c r="E213" s="11" t="s">
        <v>787</v>
      </c>
      <c r="F213">
        <f>IFERROR(VALUE((_xll.BDP($B213,"interval_rsi","tech_studies_param1_override",14))),"")</f>
        <v>49.018359601938251</v>
      </c>
      <c r="G213">
        <f t="shared" si="0"/>
        <v>52.525531939815814</v>
      </c>
      <c r="H213">
        <f t="shared" si="119"/>
        <v>0</v>
      </c>
      <c r="I213" cm="1">
        <f t="array" ref="I213">IFERROR(VALUE(_xll.BDP($B213,"px_last")),"")</f>
        <v>65.23</v>
      </c>
      <c r="J213">
        <f t="shared" si="1"/>
        <v>6941.47</v>
      </c>
      <c r="K213" cm="1">
        <f t="array" ref="K213">IFERROR(VALUE(_xll.BDP($B213,"PX_YEST_CLOSE")),"")</f>
        <v>64.91</v>
      </c>
      <c r="L213">
        <f t="shared" si="2"/>
        <v>6941.81</v>
      </c>
      <c r="M213">
        <f t="shared" si="120"/>
        <v>9.3971449851400352E-3</v>
      </c>
      <c r="N213">
        <f t="shared" si="121"/>
        <v>9.3505872387749014E-3</v>
      </c>
      <c r="O213" cm="1">
        <f t="array" ref="O213">IFERROR(VALUE(_xll.BDP($B213,"INTERVAL_MAE_MOV_AVG","CALC_INTERVAL","520D","TECH_STUDIES_PARAM1_OVERRIDE",50,"USE_PREVIOUS_BUSINESS_DAY","N")),"")</f>
        <v>65.335390390738681</v>
      </c>
      <c r="P213">
        <f t="shared" si="3"/>
        <v>6894.0953999999992</v>
      </c>
      <c r="Q213" cm="1">
        <f t="array" ref="Q213">IFERROR(VALUE(_xll.BDP($B213,"INTERVAL_MAE_MOV_AVG","CALC_INTERVAL","520D","TECH_STUDIES_PARAM1_OVERRIDE",50,"USE_PREVIOUS_BUSINESS_DAY","Y")),"")</f>
        <v>65.353342788399999</v>
      </c>
      <c r="R213">
        <f t="shared" si="4"/>
        <v>6892.2477999999992</v>
      </c>
      <c r="S213">
        <f t="shared" si="122"/>
        <v>9.4770070038106367E-3</v>
      </c>
      <c r="T213">
        <f t="shared" si="123"/>
        <v>9.482152221572766E-3</v>
      </c>
      <c r="U213" s="11" t="str">
        <f t="shared" si="124"/>
        <v>NEGATIVE</v>
      </c>
      <c r="V213" s="11" t="str">
        <f t="shared" si="125"/>
        <v/>
      </c>
      <c r="W213" s="11" t="str">
        <f t="shared" si="126"/>
        <v>DOWN</v>
      </c>
      <c r="X213" s="6" t="str">
        <f t="shared" si="127"/>
        <v>NEGATIVE</v>
      </c>
      <c r="Y213" cm="1">
        <f t="array" ref="Y213">IFERROR(VALUE(_xll.BDP($B213,"INTERVAL_MAE_MOV_AVG","CALC_INTERVAL","520D","TECH_STUDIES_PARAM1_OVERRIDE",65,"USE_PREVIOUS_BUSINESS_DAY","N")),"")</f>
        <v>65.056284006414373</v>
      </c>
      <c r="Z213">
        <f t="shared" si="5"/>
        <v>6856.0226153846133</v>
      </c>
      <c r="AA213" cm="1">
        <f t="array" ref="AA213">IFERROR(VALUE(_xll.BDP($B213,"INTERVAL_MAE_MOV_AVG","CALC_INTERVAL","520D","TECH_STUDIES_PARAM1_OVERRIDE",65,"USE_PREVIOUS_BUSINESS_DAY","Y")),"")</f>
        <v>64.993309666461542</v>
      </c>
      <c r="AB213">
        <f t="shared" si="6"/>
        <v>6852.6203076923057</v>
      </c>
      <c r="AC213">
        <f t="shared" si="128"/>
        <v>9.4889249432215887E-3</v>
      </c>
      <c r="AD213">
        <f t="shared" si="129"/>
        <v>9.4844463501799862E-3</v>
      </c>
      <c r="AE213" s="10" t="str">
        <f t="shared" si="130"/>
        <v>UP</v>
      </c>
      <c r="AF213" s="10" t="str">
        <f t="shared" si="131"/>
        <v>UP</v>
      </c>
      <c r="AG213" s="6" t="str">
        <f t="shared" si="132"/>
        <v>NEGATIVE</v>
      </c>
      <c r="AH213" cm="1">
        <f t="array" ref="AH213">IFERROR(VALUE(_xll.BDP($B213,"INTERVAL_MAE_MOV_AVG","CALC_INTERVAL","65W","PERIODICITY_OVERRIDE","W","TECH_STUDIES_PARAM1_OVERRIDE",39,"USE_PREVIOUS_BUSINESS_DAY","N")),"")</f>
        <v>60.146542020197927</v>
      </c>
      <c r="AI213">
        <f t="shared" si="7"/>
        <v>6560.7735897435905</v>
      </c>
      <c r="AJ213" cm="1">
        <f t="array" ref="AJ213">IFERROR(VALUE(_xll.BDP($B213,"INTERVAL_MAE_MOV_AVG","CALC_INTERVAL","65W","PERIODICITY_OVERRIDE","W","TECH_STUDIES_PARAM1_OVERRIDE",39,"USE_PREVIOUS_BUSINESS_DAY","Y")),"")</f>
        <v>60.138336805917575</v>
      </c>
      <c r="AK213">
        <f t="shared" si="8"/>
        <v>6560.7823076923087</v>
      </c>
      <c r="AL213">
        <f t="shared" si="133"/>
        <v>9.167599094445901E-3</v>
      </c>
      <c r="AM213">
        <f t="shared" si="134"/>
        <v>9.1663362668514825E-3</v>
      </c>
      <c r="AN213" s="10" t="str">
        <f t="shared" si="135"/>
        <v>UP</v>
      </c>
      <c r="AO213" s="10" t="str">
        <f t="shared" si="136"/>
        <v>UP</v>
      </c>
      <c r="AP213" s="6" t="str">
        <f t="shared" si="137"/>
        <v>POSITIVE</v>
      </c>
      <c r="AQ213" cm="1">
        <f t="array" ref="AQ213">IFERROR(VALUE(_xll.BDP($B213,"INTERVAL_exp_MOV_AVG","CALC_INTERVAL","520D","TECH_STUDIES_PARAM1_OVERRIDE",100,"USE_PREVIOUS_BUSINESS_DAY","N")),"")</f>
        <v>63.400505801333232</v>
      </c>
      <c r="AR213">
        <f t="shared" si="9"/>
        <v>6773.0064518682802</v>
      </c>
      <c r="AS213" cm="1">
        <f t="array" ref="AS213">IFERROR(VALUE(_xll.BDP($B213,"INTERVAL_exp_MOV_AVG","CALC_INTERVAL","520D","TECH_STUDIES_PARAM1_OVERRIDE",100,"USE_PREVIOUS_BUSINESS_DAY","Y")),"")</f>
        <v>63.36355128209226</v>
      </c>
      <c r="AT213">
        <f t="shared" si="10"/>
        <v>6769.6039787132295</v>
      </c>
      <c r="AU213">
        <f t="shared" si="138"/>
        <v>9.3607626468220333E-3</v>
      </c>
      <c r="AV213">
        <f t="shared" si="139"/>
        <v>9.3600085738156352E-3</v>
      </c>
      <c r="AW213" s="11" t="str">
        <f t="shared" si="140"/>
        <v>UP</v>
      </c>
      <c r="AX213" s="11" t="str">
        <f t="shared" si="141"/>
        <v>UP</v>
      </c>
      <c r="AY213" s="6" t="str">
        <f t="shared" si="142"/>
        <v>BUY</v>
      </c>
      <c r="AZ213" s="12" cm="1">
        <f t="array" ref="AZ213">_xll.BDP($B213, "INTERVAL_RSI", "TECH_STUDIES_PARAM1_OVERRIDE", "5", "PERIODICITY_OVERRIDE", "W")</f>
        <v>50.050516767807267</v>
      </c>
      <c r="BA213" cm="1">
        <f t="array" ref="BA213">IFERROR(VALUE(_xll.BDP($B213,"INTERVAL_MAE_MOV_AVG","CALC_INTERVAL","520D","TECH_STUDIES_PARAM1_OVERRIDE",31,"USE_PREVIOUS_BUSINESS_DAY","N")),"")</f>
        <v>65.671613011513969</v>
      </c>
      <c r="BB213" cm="1">
        <f t="array" ref="BB213">IFERROR(VALUE(_xll.BDP($B213,"INTERVAL_MAE_MOV_AVG","CALC_INTERVAL","760D","TECH_STUDIES_PARAM1_OVERRIDE",200,"USE_PREVIOUS_BUSINESS_DAY","N")),"")</f>
        <v>59.655774503442125</v>
      </c>
      <c r="BC213" s="13">
        <f t="shared" si="143"/>
        <v>-6.7245647131667363E-3</v>
      </c>
      <c r="BD213" s="13">
        <f t="shared" si="144"/>
        <v>-1.6130674372402121E-3</v>
      </c>
      <c r="BE213" s="13">
        <f t="shared" si="145"/>
        <v>9.3439831147213548E-2</v>
      </c>
      <c r="BF213" s="14" cm="1">
        <f t="array" ref="BF213">VALUE(_xll.BDP($B213,"INTERVAL_DATE_OF_CALC_HI","CALC_INTERVAL","3M"))</f>
        <v>46029</v>
      </c>
      <c r="BG213" s="14" cm="1">
        <f t="array" ref="BG213">VALUE(_xll.BDP($B213,"INTERVAL_DATE_OF_CALC_LO","CALC_INTERVAL","3M"))</f>
        <v>46000</v>
      </c>
      <c r="BH213" s="14" cm="1">
        <f t="array" ref="BH213">VALUE(_xll.BDP($B213,"INTERVAL_DATE_OF_CALC_HI","CALC_INTERVAL","1M"))</f>
        <v>46044</v>
      </c>
      <c r="BI213" s="14" cm="1">
        <f t="array" ref="BI213">VALUE(_xll.BDP($B213,"INTERVAL_DATE_OF_CALC_LO","CALC_INTERVAL","1M"))</f>
        <v>46056</v>
      </c>
      <c r="BJ213" s="15">
        <f>$F213-MIN(_xll.BDP("NYA Index","RSI_14D"),_xll.BDP("RSP US Equity","RSI_14D"))</f>
        <v>-17.327404558217999</v>
      </c>
    </row>
    <row r="214" spans="1:62" x14ac:dyDescent="0.25">
      <c r="A214" s="11">
        <v>213</v>
      </c>
      <c r="B214" s="26" t="s">
        <v>451</v>
      </c>
      <c r="C214" s="1" t="s">
        <v>878</v>
      </c>
      <c r="D214" s="1" t="s">
        <v>308</v>
      </c>
      <c r="E214" s="11" t="s">
        <v>787</v>
      </c>
      <c r="F214">
        <f>IFERROR(VALUE((_xll.BDP($B214,"interval_rsi","tech_studies_param1_override",14))),"")</f>
        <v>81.226403533913171</v>
      </c>
      <c r="G214">
        <f t="shared" si="0"/>
        <v>52.525531939815814</v>
      </c>
      <c r="H214">
        <f t="shared" si="119"/>
        <v>1</v>
      </c>
      <c r="I214" cm="1">
        <f t="array" ref="I214">IFERROR(VALUE(_xll.BDP($B214,"px_last")),"")</f>
        <v>75.56</v>
      </c>
      <c r="J214">
        <f t="shared" si="1"/>
        <v>6941.47</v>
      </c>
      <c r="K214" cm="1">
        <f t="array" ref="K214">IFERROR(VALUE(_xll.BDP($B214,"PX_YEST_CLOSE")),"")</f>
        <v>74.52</v>
      </c>
      <c r="L214">
        <f t="shared" si="2"/>
        <v>6941.81</v>
      </c>
      <c r="M214">
        <f t="shared" si="120"/>
        <v>1.088530239272085E-2</v>
      </c>
      <c r="N214">
        <f t="shared" si="121"/>
        <v>1.0734952411546842E-2</v>
      </c>
      <c r="O214" cm="1">
        <f t="array" ref="O214">IFERROR(VALUE(_xll.BDP($B214,"INTERVAL_MAE_MOV_AVG","CALC_INTERVAL","520D","TECH_STUDIES_PARAM1_OVERRIDE",50,"USE_PREVIOUS_BUSINESS_DAY","N")),"")</f>
        <v>68.872377132171891</v>
      </c>
      <c r="P214">
        <f t="shared" si="3"/>
        <v>6894.0953999999992</v>
      </c>
      <c r="Q214" cm="1">
        <f t="array" ref="Q214">IFERROR(VALUE(_xll.BDP($B214,"INTERVAL_MAE_MOV_AVG","CALC_INTERVAL","520D","TECH_STUDIES_PARAM1_OVERRIDE",50,"USE_PREVIOUS_BUSINESS_DAY","Y")),"")</f>
        <v>68.735280010000025</v>
      </c>
      <c r="R214">
        <f t="shared" si="4"/>
        <v>6892.2477999999992</v>
      </c>
      <c r="S214">
        <f t="shared" si="122"/>
        <v>9.9900528113045697E-3</v>
      </c>
      <c r="T214">
        <f t="shared" si="123"/>
        <v>9.9728393413249065E-3</v>
      </c>
      <c r="U214" s="11" t="str">
        <f t="shared" si="124"/>
        <v>POSITIVE</v>
      </c>
      <c r="V214" s="11" t="str">
        <f t="shared" si="125"/>
        <v/>
      </c>
      <c r="W214" s="11" t="str">
        <f t="shared" si="126"/>
        <v>UP</v>
      </c>
      <c r="X214" s="6" t="str">
        <f t="shared" si="127"/>
        <v>POSITIVE</v>
      </c>
      <c r="Y214" cm="1">
        <f t="array" ref="Y214">IFERROR(VALUE(_xll.BDP($B214,"INTERVAL_MAE_MOV_AVG","CALC_INTERVAL","520D","TECH_STUDIES_PARAM1_OVERRIDE",65,"USE_PREVIOUS_BUSINESS_DAY","N")),"")</f>
        <v>68.548252070901498</v>
      </c>
      <c r="Z214">
        <f t="shared" si="5"/>
        <v>6856.0226153846133</v>
      </c>
      <c r="AA214" cm="1">
        <f t="array" ref="AA214">IFERROR(VALUE(_xll.BDP($B214,"INTERVAL_MAE_MOV_AVG","CALC_INTERVAL","520D","TECH_STUDIES_PARAM1_OVERRIDE",65,"USE_PREVIOUS_BUSINESS_DAY","Y")),"")</f>
        <v>68.398325863076977</v>
      </c>
      <c r="AB214">
        <f t="shared" si="6"/>
        <v>6852.6203076923057</v>
      </c>
      <c r="AC214">
        <f t="shared" si="128"/>
        <v>9.9982534942463924E-3</v>
      </c>
      <c r="AD214">
        <f t="shared" si="129"/>
        <v>9.9813389319553386E-3</v>
      </c>
      <c r="AE214" s="10" t="str">
        <f t="shared" si="130"/>
        <v>UP</v>
      </c>
      <c r="AF214" s="10" t="str">
        <f t="shared" si="131"/>
        <v>UP</v>
      </c>
      <c r="AG214" s="6" t="str">
        <f t="shared" si="132"/>
        <v>POSITIVE</v>
      </c>
      <c r="AH214" cm="1">
        <f t="array" ref="AH214">IFERROR(VALUE(_xll.BDP($B214,"INTERVAL_MAE_MOV_AVG","CALC_INTERVAL","65W","PERIODICITY_OVERRIDE","W","TECH_STUDIES_PARAM1_OVERRIDE",39,"USE_PREVIOUS_BUSINESS_DAY","N")),"")</f>
        <v>68.776365632103847</v>
      </c>
      <c r="AI214">
        <f t="shared" si="7"/>
        <v>6560.7735897435905</v>
      </c>
      <c r="AJ214" cm="1">
        <f t="array" ref="AJ214">IFERROR(VALUE(_xll.BDP($B214,"INTERVAL_MAE_MOV_AVG","CALC_INTERVAL","65W","PERIODICITY_OVERRIDE","W","TECH_STUDIES_PARAM1_OVERRIDE",39,"USE_PREVIOUS_BUSINESS_DAY","Y")),"")</f>
        <v>68.749699028037341</v>
      </c>
      <c r="AK214">
        <f t="shared" si="8"/>
        <v>6560.7823076923087</v>
      </c>
      <c r="AL214">
        <f t="shared" si="133"/>
        <v>1.048296587152793E-2</v>
      </c>
      <c r="AM214">
        <f t="shared" si="134"/>
        <v>1.0478887395399556E-2</v>
      </c>
      <c r="AN214" s="10" t="str">
        <f t="shared" si="135"/>
        <v>UP</v>
      </c>
      <c r="AO214" s="10" t="str">
        <f t="shared" si="136"/>
        <v>UP</v>
      </c>
      <c r="AP214" s="6" t="str">
        <f t="shared" si="137"/>
        <v>POSITIVE</v>
      </c>
      <c r="AQ214" cm="1">
        <f t="array" ref="AQ214">IFERROR(VALUE(_xll.BDP($B214,"INTERVAL_exp_MOV_AVG","CALC_INTERVAL","520D","TECH_STUDIES_PARAM1_OVERRIDE",100,"USE_PREVIOUS_BUSINESS_DAY","N")),"")</f>
        <v>68.938987161907178</v>
      </c>
      <c r="AR214">
        <f t="shared" si="9"/>
        <v>6773.0064518682802</v>
      </c>
      <c r="AS214" cm="1">
        <f t="array" ref="AS214">IFERROR(VALUE(_xll.BDP($B214,"INTERVAL_exp_MOV_AVG","CALC_INTERVAL","520D","TECH_STUDIES_PARAM1_OVERRIDE",100,"USE_PREVIOUS_BUSINESS_DAY","Y")),"")</f>
        <v>68.805233206640438</v>
      </c>
      <c r="AT214">
        <f t="shared" si="10"/>
        <v>6769.6039787132295</v>
      </c>
      <c r="AU214">
        <f t="shared" si="138"/>
        <v>1.0178491287704429E-2</v>
      </c>
      <c r="AV214">
        <f t="shared" si="139"/>
        <v>1.0163849085263474E-2</v>
      </c>
      <c r="AW214" s="11" t="str">
        <f t="shared" si="140"/>
        <v>UP</v>
      </c>
      <c r="AX214" s="11" t="str">
        <f t="shared" si="141"/>
        <v>UP</v>
      </c>
      <c r="AY214" s="6" t="str">
        <f t="shared" si="142"/>
        <v>POSITIVE</v>
      </c>
      <c r="AZ214" s="12" cm="1">
        <f t="array" ref="AZ214">_xll.BDP($B214, "INTERVAL_RSI", "TECH_STUDIES_PARAM1_OVERRIDE", "5", "PERIODICITY_OVERRIDE", "W")</f>
        <v>91.356943602144099</v>
      </c>
      <c r="BA214" cm="1">
        <f t="array" ref="BA214">IFERROR(VALUE(_xll.BDP($B214,"INTERVAL_MAE_MOV_AVG","CALC_INTERVAL","520D","TECH_STUDIES_PARAM1_OVERRIDE",31,"USE_PREVIOUS_BUSINESS_DAY","N")),"")</f>
        <v>69.978677340599802</v>
      </c>
      <c r="BB214" cm="1">
        <f t="array" ref="BB214">IFERROR(VALUE(_xll.BDP($B214,"INTERVAL_MAE_MOV_AVG","CALC_INTERVAL","760D","TECH_STUDIES_PARAM1_OVERRIDE",200,"USE_PREVIOUS_BUSINESS_DAY","N")),"")</f>
        <v>68.531250163986513</v>
      </c>
      <c r="BC214" s="13">
        <f t="shared" si="143"/>
        <v>7.9757475726996319E-2</v>
      </c>
      <c r="BD214" s="13">
        <f t="shared" si="144"/>
        <v>9.7101670456270162E-2</v>
      </c>
      <c r="BE214" s="13">
        <f t="shared" si="145"/>
        <v>0.10256269686011255</v>
      </c>
      <c r="BF214" s="14" cm="1">
        <f t="array" ref="BF214">VALUE(_xll.BDP($B214,"INTERVAL_DATE_OF_CALC_HI","CALC_INTERVAL","3M"))</f>
        <v>46064</v>
      </c>
      <c r="BG214" s="14" cm="1">
        <f t="array" ref="BG214">VALUE(_xll.BDP($B214,"INTERVAL_DATE_OF_CALC_LO","CALC_INTERVAL","3M"))</f>
        <v>46029</v>
      </c>
      <c r="BH214" s="14" cm="1">
        <f t="array" ref="BH214">VALUE(_xll.BDP($B214,"INTERVAL_DATE_OF_CALC_HI","CALC_INTERVAL","1M"))</f>
        <v>46064</v>
      </c>
      <c r="BI214" s="14" cm="1">
        <f t="array" ref="BI214">VALUE(_xll.BDP($B214,"INTERVAL_DATE_OF_CALC_LO","CALC_INTERVAL","1M"))</f>
        <v>46034</v>
      </c>
      <c r="BJ214" s="15">
        <f>$F214-MIN(_xll.BDP("NYA Index","RSI_14D"),_xll.BDP("RSP US Equity","RSI_14D"))</f>
        <v>14.880639373756921</v>
      </c>
    </row>
    <row r="215" spans="1:62" x14ac:dyDescent="0.25">
      <c r="A215" s="11">
        <v>214</v>
      </c>
      <c r="B215" s="26" t="s">
        <v>452</v>
      </c>
      <c r="C215" s="1" t="s">
        <v>879</v>
      </c>
      <c r="D215" s="1" t="s">
        <v>308</v>
      </c>
      <c r="E215" s="11" t="s">
        <v>787</v>
      </c>
      <c r="F215">
        <f>IFERROR(VALUE((_xll.BDP($B215,"interval_rsi","tech_studies_param1_override",14))),"")</f>
        <v>65.052656579521781</v>
      </c>
      <c r="G215">
        <f t="shared" si="0"/>
        <v>52.525531939815814</v>
      </c>
      <c r="H215">
        <f t="shared" si="119"/>
        <v>1</v>
      </c>
      <c r="I215" cm="1">
        <f t="array" ref="I215">IFERROR(VALUE(_xll.BDP($B215,"px_last")),"")</f>
        <v>98.93</v>
      </c>
      <c r="J215">
        <f t="shared" si="1"/>
        <v>6941.47</v>
      </c>
      <c r="K215" cm="1">
        <f t="array" ref="K215">IFERROR(VALUE(_xll.BDP($B215,"PX_YEST_CLOSE")),"")</f>
        <v>99.32</v>
      </c>
      <c r="L215">
        <f t="shared" si="2"/>
        <v>6941.81</v>
      </c>
      <c r="M215">
        <f t="shared" si="120"/>
        <v>1.4252024427102617E-2</v>
      </c>
      <c r="N215">
        <f t="shared" si="121"/>
        <v>1.4307507696119598E-2</v>
      </c>
      <c r="O215" cm="1">
        <f t="array" ref="O215">IFERROR(VALUE(_xll.BDP($B215,"INTERVAL_MAE_MOV_AVG","CALC_INTERVAL","520D","TECH_STUDIES_PARAM1_OVERRIDE",50,"USE_PREVIOUS_BUSINESS_DAY","N")),"")</f>
        <v>95.162700232103532</v>
      </c>
      <c r="P215">
        <f t="shared" si="3"/>
        <v>6894.0953999999992</v>
      </c>
      <c r="Q215" cm="1">
        <f t="array" ref="Q215">IFERROR(VALUE(_xll.BDP($B215,"INTERVAL_MAE_MOV_AVG","CALC_INTERVAL","520D","TECH_STUDIES_PARAM1_OVERRIDE",50,"USE_PREVIOUS_BUSINESS_DAY","Y")),"")</f>
        <v>95.104528380000033</v>
      </c>
      <c r="R215">
        <f t="shared" si="4"/>
        <v>6892.2477999999992</v>
      </c>
      <c r="S215">
        <f t="shared" si="122"/>
        <v>1.3803507887648834E-2</v>
      </c>
      <c r="T215">
        <f t="shared" si="123"/>
        <v>1.3798767998446029E-2</v>
      </c>
      <c r="U215" s="11" t="str">
        <f t="shared" si="124"/>
        <v>POSITIVE</v>
      </c>
      <c r="V215" s="11" t="str">
        <f t="shared" si="125"/>
        <v/>
      </c>
      <c r="W215" s="11" t="str">
        <f t="shared" si="126"/>
        <v>UP</v>
      </c>
      <c r="X215" s="6" t="str">
        <f t="shared" si="127"/>
        <v>POSITIVE</v>
      </c>
      <c r="Y215" cm="1">
        <f t="array" ref="Y215">IFERROR(VALUE(_xll.BDP($B215,"INTERVAL_MAE_MOV_AVG","CALC_INTERVAL","520D","TECH_STUDIES_PARAM1_OVERRIDE",65,"USE_PREVIOUS_BUSINESS_DAY","N")),"")</f>
        <v>94.993913381464253</v>
      </c>
      <c r="Z215">
        <f t="shared" si="5"/>
        <v>6856.0226153846133</v>
      </c>
      <c r="AA215" cm="1">
        <f t="array" ref="AA215">IFERROR(VALUE(_xll.BDP($B215,"INTERVAL_MAE_MOV_AVG","CALC_INTERVAL","520D","TECH_STUDIES_PARAM1_OVERRIDE",65,"USE_PREVIOUS_BUSINESS_DAY","Y")),"")</f>
        <v>94.908918678000035</v>
      </c>
      <c r="AB215">
        <f t="shared" si="6"/>
        <v>6852.6203076923057</v>
      </c>
      <c r="AC215">
        <f t="shared" si="128"/>
        <v>1.3855542595250793E-2</v>
      </c>
      <c r="AD215">
        <f t="shared" si="129"/>
        <v>1.3850018593830664E-2</v>
      </c>
      <c r="AE215" s="10" t="str">
        <f t="shared" si="130"/>
        <v>UP</v>
      </c>
      <c r="AF215" s="10" t="str">
        <f t="shared" si="131"/>
        <v>UP</v>
      </c>
      <c r="AG215" s="6" t="str">
        <f t="shared" si="132"/>
        <v>POSITIVE</v>
      </c>
      <c r="AH215" cm="1">
        <f t="array" ref="AH215">IFERROR(VALUE(_xll.BDP($B215,"INTERVAL_MAE_MOV_AVG","CALC_INTERVAL","65W","PERIODICITY_OVERRIDE","W","TECH_STUDIES_PARAM1_OVERRIDE",39,"USE_PREVIOUS_BUSINESS_DAY","N")),"")</f>
        <v>94.802475952428281</v>
      </c>
      <c r="AI215">
        <f t="shared" si="7"/>
        <v>6560.7735897435905</v>
      </c>
      <c r="AJ215" cm="1">
        <f t="array" ref="AJ215">IFERROR(VALUE(_xll.BDP($B215,"INTERVAL_MAE_MOV_AVG","CALC_INTERVAL","65W","PERIODICITY_OVERRIDE","W","TECH_STUDIES_PARAM1_OVERRIDE",39,"USE_PREVIOUS_BUSINESS_DAY","Y")),"")</f>
        <v>94.812475944603264</v>
      </c>
      <c r="AK215">
        <f t="shared" si="8"/>
        <v>6560.7823076923087</v>
      </c>
      <c r="AL215">
        <f t="shared" si="133"/>
        <v>1.4449892936502534E-2</v>
      </c>
      <c r="AM215">
        <f t="shared" si="134"/>
        <v>1.4451397942809144E-2</v>
      </c>
      <c r="AN215" s="10" t="str">
        <f t="shared" si="135"/>
        <v>DOWN</v>
      </c>
      <c r="AO215" s="10" t="str">
        <f t="shared" si="136"/>
        <v>DOWN</v>
      </c>
      <c r="AP215" s="6" t="str">
        <f t="shared" si="137"/>
        <v>NEGATIVE</v>
      </c>
      <c r="AQ215" cm="1">
        <f t="array" ref="AQ215">IFERROR(VALUE(_xll.BDP($B215,"INTERVAL_exp_MOV_AVG","CALC_INTERVAL","520D","TECH_STUDIES_PARAM1_OVERRIDE",100,"USE_PREVIOUS_BUSINESS_DAY","N")),"")</f>
        <v>95.163593709493682</v>
      </c>
      <c r="AR215">
        <f t="shared" si="9"/>
        <v>6773.0064518682802</v>
      </c>
      <c r="AS215" cm="1">
        <f t="array" ref="AS215">IFERROR(VALUE(_xll.BDP($B215,"INTERVAL_exp_MOV_AVG","CALC_INTERVAL","520D","TECH_STUDIES_PARAM1_OVERRIDE",100,"USE_PREVIOUS_BUSINESS_DAY","Y")),"")</f>
        <v>95.087551940470618</v>
      </c>
      <c r="AT215">
        <f t="shared" si="10"/>
        <v>6769.6039787132295</v>
      </c>
      <c r="AU215">
        <f t="shared" si="138"/>
        <v>1.4050421239927146E-2</v>
      </c>
      <c r="AV215">
        <f t="shared" si="139"/>
        <v>1.4046250303484506E-2</v>
      </c>
      <c r="AW215" s="11" t="str">
        <f t="shared" si="140"/>
        <v>UP</v>
      </c>
      <c r="AX215" s="11" t="str">
        <f t="shared" si="141"/>
        <v>UP</v>
      </c>
      <c r="AY215" s="6" t="str">
        <f t="shared" si="142"/>
        <v>POSITIVE</v>
      </c>
      <c r="AZ215" s="12" cm="1">
        <f t="array" ref="AZ215">_xll.BDP($B215, "INTERVAL_RSI", "TECH_STUDIES_PARAM1_OVERRIDE", "5", "PERIODICITY_OVERRIDE", "W")</f>
        <v>72.068315484457784</v>
      </c>
      <c r="BA215" cm="1">
        <f t="array" ref="BA215">IFERROR(VALUE(_xll.BDP($B215,"INTERVAL_MAE_MOV_AVG","CALC_INTERVAL","520D","TECH_STUDIES_PARAM1_OVERRIDE",31,"USE_PREVIOUS_BUSINESS_DAY","N")),"")</f>
        <v>95.877741945328239</v>
      </c>
      <c r="BB215" cm="1">
        <f t="array" ref="BB215">IFERROR(VALUE(_xll.BDP($B215,"INTERVAL_MAE_MOV_AVG","CALC_INTERVAL","760D","TECH_STUDIES_PARAM1_OVERRIDE",200,"USE_PREVIOUS_BUSINESS_DAY","N")),"")</f>
        <v>94.429037657192055</v>
      </c>
      <c r="BC215" s="13">
        <f t="shared" si="143"/>
        <v>3.1834897159053188E-2</v>
      </c>
      <c r="BD215" s="13">
        <f t="shared" si="144"/>
        <v>3.9587987296576976E-2</v>
      </c>
      <c r="BE215" s="13">
        <f t="shared" si="145"/>
        <v>4.7665023963792796E-2</v>
      </c>
      <c r="BF215" s="14" cm="1">
        <f t="array" ref="BF215">VALUE(_xll.BDP($B215,"INTERVAL_DATE_OF_CALC_HI","CALC_INTERVAL","3M"))</f>
        <v>46063</v>
      </c>
      <c r="BG215" s="14" cm="1">
        <f t="array" ref="BG215">VALUE(_xll.BDP($B215,"INTERVAL_DATE_OF_CALC_LO","CALC_INTERVAL","3M"))</f>
        <v>45981</v>
      </c>
      <c r="BH215" s="14" cm="1">
        <f t="array" ref="BH215">VALUE(_xll.BDP($B215,"INTERVAL_DATE_OF_CALC_HI","CALC_INTERVAL","1M"))</f>
        <v>46063</v>
      </c>
      <c r="BI215" s="14" cm="1">
        <f t="array" ref="BI215">VALUE(_xll.BDP($B215,"INTERVAL_DATE_OF_CALC_LO","CALC_INTERVAL","1M"))</f>
        <v>46034</v>
      </c>
      <c r="BJ215" s="15">
        <f>$F215-MIN(_xll.BDP("NYA Index","RSI_14D"),_xll.BDP("RSP US Equity","RSI_14D"))</f>
        <v>-1.2931075806344694</v>
      </c>
    </row>
    <row r="216" spans="1:62" x14ac:dyDescent="0.25">
      <c r="A216" s="11">
        <v>215</v>
      </c>
      <c r="B216" s="26" t="s">
        <v>167</v>
      </c>
      <c r="C216" s="1" t="s">
        <v>880</v>
      </c>
      <c r="D216" s="1" t="s">
        <v>308</v>
      </c>
      <c r="E216" s="11" t="s">
        <v>787</v>
      </c>
      <c r="F216">
        <f>IFERROR(VALUE((_xll.BDP($B216,"interval_rsi","tech_studies_param1_override",14))),"")</f>
        <v>64.442310193136052</v>
      </c>
      <c r="G216">
        <f t="shared" si="0"/>
        <v>52.525531939815814</v>
      </c>
      <c r="H216">
        <f t="shared" si="119"/>
        <v>1</v>
      </c>
      <c r="I216" cm="1">
        <f t="array" ref="I216">IFERROR(VALUE(_xll.BDP($B216,"px_last")),"")</f>
        <v>81.45</v>
      </c>
      <c r="J216">
        <f t="shared" si="1"/>
        <v>6941.47</v>
      </c>
      <c r="K216" cm="1">
        <f t="array" ref="K216">IFERROR(VALUE(_xll.BDP($B216,"PX_YEST_CLOSE")),"")</f>
        <v>82.12</v>
      </c>
      <c r="L216">
        <f t="shared" si="2"/>
        <v>6941.81</v>
      </c>
      <c r="M216">
        <f t="shared" si="120"/>
        <v>1.1733825832280482E-2</v>
      </c>
      <c r="N216">
        <f t="shared" si="121"/>
        <v>1.1829767740690108E-2</v>
      </c>
      <c r="O216" cm="1">
        <f t="array" ref="O216">IFERROR(VALUE(_xll.BDP($B216,"INTERVAL_MAE_MOV_AVG","CALC_INTERVAL","520D","TECH_STUDIES_PARAM1_OVERRIDE",50,"USE_PREVIOUS_BUSINESS_DAY","N")),"")</f>
        <v>76.855958752964867</v>
      </c>
      <c r="P216">
        <f t="shared" si="3"/>
        <v>6894.0953999999992</v>
      </c>
      <c r="Q216" cm="1">
        <f t="array" ref="Q216">IFERROR(VALUE(_xll.BDP($B216,"INTERVAL_MAE_MOV_AVG","CALC_INTERVAL","520D","TECH_STUDIES_PARAM1_OVERRIDE",50,"USE_PREVIOUS_BUSINESS_DAY","Y")),"")</f>
        <v>76.683690700000014</v>
      </c>
      <c r="R216">
        <f t="shared" si="4"/>
        <v>6892.2477999999992</v>
      </c>
      <c r="S216">
        <f t="shared" si="122"/>
        <v>1.1148084599027289E-2</v>
      </c>
      <c r="T216">
        <f t="shared" si="123"/>
        <v>1.1126078592240985E-2</v>
      </c>
      <c r="U216" s="11" t="str">
        <f t="shared" si="124"/>
        <v>POSITIVE</v>
      </c>
      <c r="V216" s="11" t="str">
        <f t="shared" si="125"/>
        <v/>
      </c>
      <c r="W216" s="11" t="str">
        <f t="shared" si="126"/>
        <v>UP</v>
      </c>
      <c r="X216" s="6" t="str">
        <f t="shared" si="127"/>
        <v>POSITIVE</v>
      </c>
      <c r="Y216" cm="1">
        <f t="array" ref="Y216">IFERROR(VALUE(_xll.BDP($B216,"INTERVAL_MAE_MOV_AVG","CALC_INTERVAL","520D","TECH_STUDIES_PARAM1_OVERRIDE",65,"USE_PREVIOUS_BUSINESS_DAY","N")),"")</f>
        <v>75.523364443819105</v>
      </c>
      <c r="Z216">
        <f t="shared" si="5"/>
        <v>6856.0226153846133</v>
      </c>
      <c r="AA216" cm="1">
        <f t="array" ref="AA216">IFERROR(VALUE(_xll.BDP($B216,"INTERVAL_MAE_MOV_AVG","CALC_INTERVAL","520D","TECH_STUDIES_PARAM1_OVERRIDE",65,"USE_PREVIOUS_BUSINESS_DAY","Y")),"")</f>
        <v>75.361370138461538</v>
      </c>
      <c r="AB216">
        <f t="shared" si="6"/>
        <v>6852.6203076923057</v>
      </c>
      <c r="AC216">
        <f t="shared" si="128"/>
        <v>1.1015623588281053E-2</v>
      </c>
      <c r="AD216">
        <f t="shared" si="129"/>
        <v>1.0997453055127797E-2</v>
      </c>
      <c r="AE216" s="10" t="str">
        <f t="shared" si="130"/>
        <v>UP</v>
      </c>
      <c r="AF216" s="10" t="str">
        <f t="shared" si="131"/>
        <v>UP</v>
      </c>
      <c r="AG216" s="6" t="str">
        <f t="shared" si="132"/>
        <v>POSITIVE</v>
      </c>
      <c r="AH216" cm="1">
        <f t="array" ref="AH216">IFERROR(VALUE(_xll.BDP($B216,"INTERVAL_MAE_MOV_AVG","CALC_INTERVAL","65W","PERIODICITY_OVERRIDE","W","TECH_STUDIES_PARAM1_OVERRIDE",39,"USE_PREVIOUS_BUSINESS_DAY","N")),"")</f>
        <v>71.731282915019946</v>
      </c>
      <c r="AI216">
        <f t="shared" si="7"/>
        <v>6560.7735897435905</v>
      </c>
      <c r="AJ216" cm="1">
        <f t="array" ref="AJ216">IFERROR(VALUE(_xll.BDP($B216,"INTERVAL_MAE_MOV_AVG","CALC_INTERVAL","65W","PERIODICITY_OVERRIDE","W","TECH_STUDIES_PARAM1_OVERRIDE",39,"USE_PREVIOUS_BUSINESS_DAY","Y")),"")</f>
        <v>71.748462480449646</v>
      </c>
      <c r="AK216">
        <f t="shared" si="8"/>
        <v>6560.7823076923087</v>
      </c>
      <c r="AL216">
        <f t="shared" si="133"/>
        <v>1.0933357466740956E-2</v>
      </c>
      <c r="AM216">
        <f t="shared" si="134"/>
        <v>1.0935961462450424E-2</v>
      </c>
      <c r="AN216" s="10" t="str">
        <f t="shared" si="135"/>
        <v>DOWN</v>
      </c>
      <c r="AO216" s="10" t="str">
        <f t="shared" si="136"/>
        <v>DOWN</v>
      </c>
      <c r="AP216" s="6" t="str">
        <f t="shared" si="137"/>
        <v>POSITIVE</v>
      </c>
      <c r="AQ216" cm="1">
        <f t="array" ref="AQ216">IFERROR(VALUE(_xll.BDP($B216,"INTERVAL_exp_MOV_AVG","CALC_INTERVAL","520D","TECH_STUDIES_PARAM1_OVERRIDE",100,"USE_PREVIOUS_BUSINESS_DAY","N")),"")</f>
        <v>74.750715877226739</v>
      </c>
      <c r="AR216">
        <f t="shared" si="9"/>
        <v>6773.0064518682802</v>
      </c>
      <c r="AS216" cm="1">
        <f t="array" ref="AS216">IFERROR(VALUE(_xll.BDP($B216,"INTERVAL_exp_MOV_AVG","CALC_INTERVAL","520D","TECH_STUDIES_PARAM1_OVERRIDE",100,"USE_PREVIOUS_BUSINESS_DAY","Y")),"")</f>
        <v>74.615395241259151</v>
      </c>
      <c r="AT216">
        <f t="shared" si="10"/>
        <v>6769.6039787132295</v>
      </c>
      <c r="AU216">
        <f t="shared" si="138"/>
        <v>1.1036563512590091E-2</v>
      </c>
      <c r="AV216">
        <f t="shared" si="139"/>
        <v>1.1022121157439122E-2</v>
      </c>
      <c r="AW216" s="11" t="str">
        <f t="shared" si="140"/>
        <v>UP</v>
      </c>
      <c r="AX216" s="11" t="str">
        <f t="shared" si="141"/>
        <v>UP</v>
      </c>
      <c r="AY216" s="6" t="str">
        <f t="shared" si="142"/>
        <v>POSITIVE</v>
      </c>
      <c r="AZ216" s="12" cm="1">
        <f t="array" ref="AZ216">_xll.BDP($B216, "INTERVAL_RSI", "TECH_STUDIES_PARAM1_OVERRIDE", "5", "PERIODICITY_OVERRIDE", "W")</f>
        <v>75.679579526329434</v>
      </c>
      <c r="BA216" cm="1">
        <f t="array" ref="BA216">IFERROR(VALUE(_xll.BDP($B216,"INTERVAL_MAE_MOV_AVG","CALC_INTERVAL","520D","TECH_STUDIES_PARAM1_OVERRIDE",31,"USE_PREVIOUS_BUSINESS_DAY","N")),"")</f>
        <v>77.882419256394911</v>
      </c>
      <c r="BB216" cm="1">
        <f t="array" ref="BB216">IFERROR(VALUE(_xll.BDP($B216,"INTERVAL_MAE_MOV_AVG","CALC_INTERVAL","760D","TECH_STUDIES_PARAM1_OVERRIDE",200,"USE_PREVIOUS_BUSINESS_DAY","N")),"")</f>
        <v>70.947090528937267</v>
      </c>
      <c r="BC216" s="13">
        <f t="shared" si="143"/>
        <v>4.5807266616363584E-2</v>
      </c>
      <c r="BD216" s="13">
        <f t="shared" si="144"/>
        <v>5.9774691794576285E-2</v>
      </c>
      <c r="BE216" s="13">
        <f t="shared" si="145"/>
        <v>0.14803862135514789</v>
      </c>
      <c r="BF216" s="14" cm="1">
        <f t="array" ref="BF216">VALUE(_xll.BDP($B216,"INTERVAL_DATE_OF_CALC_HI","CALC_INTERVAL","3M"))</f>
        <v>46059</v>
      </c>
      <c r="BG216" s="14" cm="1">
        <f t="array" ref="BG216">VALUE(_xll.BDP($B216,"INTERVAL_DATE_OF_CALC_LO","CALC_INTERVAL","3M"))</f>
        <v>45981</v>
      </c>
      <c r="BH216" s="14" cm="1">
        <f t="array" ref="BH216">VALUE(_xll.BDP($B216,"INTERVAL_DATE_OF_CALC_HI","CALC_INTERVAL","1M"))</f>
        <v>46059</v>
      </c>
      <c r="BI216" s="14" cm="1">
        <f t="array" ref="BI216">VALUE(_xll.BDP($B216,"INTERVAL_DATE_OF_CALC_LO","CALC_INTERVAL","1M"))</f>
        <v>46050</v>
      </c>
      <c r="BJ216" s="15">
        <f>$F216-MIN(_xll.BDP("NYA Index","RSI_14D"),_xll.BDP("RSP US Equity","RSI_14D"))</f>
        <v>-1.903453967020198</v>
      </c>
    </row>
    <row r="217" spans="1:62" x14ac:dyDescent="0.25">
      <c r="A217" s="11">
        <v>216</v>
      </c>
      <c r="B217" s="26" t="s">
        <v>453</v>
      </c>
      <c r="C217" s="1" t="s">
        <v>881</v>
      </c>
      <c r="D217" s="1" t="s">
        <v>308</v>
      </c>
      <c r="E217" s="11" t="s">
        <v>787</v>
      </c>
      <c r="F217">
        <f>IFERROR(VALUE((_xll.BDP($B217,"interval_rsi","tech_studies_param1_override",14))),"")</f>
        <v>46.56992699459289</v>
      </c>
      <c r="G217">
        <f t="shared" si="0"/>
        <v>52.525531939815814</v>
      </c>
      <c r="H217">
        <f t="shared" si="119"/>
        <v>0</v>
      </c>
      <c r="I217" cm="1">
        <f t="array" ref="I217">IFERROR(VALUE(_xll.BDP($B217,"px_last")),"")</f>
        <v>195.5</v>
      </c>
      <c r="J217">
        <f t="shared" si="1"/>
        <v>6941.47</v>
      </c>
      <c r="K217" cm="1">
        <f t="array" ref="K217">IFERROR(VALUE(_xll.BDP($B217,"PX_YEST_CLOSE")),"")</f>
        <v>195.31</v>
      </c>
      <c r="L217">
        <f t="shared" si="2"/>
        <v>6941.81</v>
      </c>
      <c r="M217">
        <f t="shared" si="120"/>
        <v>2.8164063231563341E-2</v>
      </c>
      <c r="N217">
        <f t="shared" si="121"/>
        <v>2.8135313412496164E-2</v>
      </c>
      <c r="O217" cm="1">
        <f t="array" ref="O217">IFERROR(VALUE(_xll.BDP($B217,"INTERVAL_MAE_MOV_AVG","CALC_INTERVAL","520D","TECH_STUDIES_PARAM1_OVERRIDE",50,"USE_PREVIOUS_BUSINESS_DAY","N")),"")</f>
        <v>199.54969397679997</v>
      </c>
      <c r="P217">
        <f t="shared" si="3"/>
        <v>6894.0953999999992</v>
      </c>
      <c r="Q217" cm="1">
        <f t="array" ref="Q217">IFERROR(VALUE(_xll.BDP($B217,"INTERVAL_MAE_MOV_AVG","CALC_INTERVAL","520D","TECH_STUDIES_PARAM1_OVERRIDE",50,"USE_PREVIOUS_BUSINESS_DAY","Y")),"")</f>
        <v>199.61217342160003</v>
      </c>
      <c r="R217">
        <f t="shared" si="4"/>
        <v>6892.2477999999992</v>
      </c>
      <c r="S217">
        <f t="shared" si="122"/>
        <v>2.8945014885752813E-2</v>
      </c>
      <c r="T217">
        <f t="shared" si="123"/>
        <v>2.896183933224224E-2</v>
      </c>
      <c r="U217" s="11" t="str">
        <f t="shared" si="124"/>
        <v>NEGATIVE</v>
      </c>
      <c r="V217" s="11" t="str">
        <f t="shared" si="125"/>
        <v/>
      </c>
      <c r="W217" s="11" t="str">
        <f t="shared" si="126"/>
        <v>DOWN</v>
      </c>
      <c r="X217" s="6" t="str">
        <f t="shared" si="127"/>
        <v>NEGATIVE</v>
      </c>
      <c r="Y217" cm="1">
        <f t="array" ref="Y217">IFERROR(VALUE(_xll.BDP($B217,"INTERVAL_MAE_MOV_AVG","CALC_INTERVAL","520D","TECH_STUDIES_PARAM1_OVERRIDE",65,"USE_PREVIOUS_BUSINESS_DAY","N")),"")</f>
        <v>198.99462373599994</v>
      </c>
      <c r="Z217">
        <f t="shared" si="5"/>
        <v>6856.0226153846133</v>
      </c>
      <c r="AA217" cm="1">
        <f t="array" ref="AA217">IFERROR(VALUE(_xll.BDP($B217,"INTERVAL_MAE_MOV_AVG","CALC_INTERVAL","520D","TECH_STUDIES_PARAM1_OVERRIDE",65,"USE_PREVIOUS_BUSINESS_DAY","Y")),"")</f>
        <v>199.06452484061538</v>
      </c>
      <c r="AB217">
        <f t="shared" si="6"/>
        <v>6852.6203076923057</v>
      </c>
      <c r="AC217">
        <f t="shared" si="128"/>
        <v>2.9024791034012162E-2</v>
      </c>
      <c r="AD217">
        <f t="shared" si="129"/>
        <v>2.9049402404093292E-2</v>
      </c>
      <c r="AE217" s="10" t="str">
        <f t="shared" si="130"/>
        <v>DOWN</v>
      </c>
      <c r="AF217" s="10" t="str">
        <f t="shared" si="131"/>
        <v>DOWN</v>
      </c>
      <c r="AG217" s="6" t="str">
        <f t="shared" si="132"/>
        <v>NEGATIVE</v>
      </c>
      <c r="AH217" cm="1">
        <f t="array" ref="AH217">IFERROR(VALUE(_xll.BDP($B217,"INTERVAL_MAE_MOV_AVG","CALC_INTERVAL","65W","PERIODICITY_OVERRIDE","W","TECH_STUDIES_PARAM1_OVERRIDE",39,"USE_PREVIOUS_BUSINESS_DAY","N")),"")</f>
        <v>187.92784818079951</v>
      </c>
      <c r="AI217">
        <f t="shared" si="7"/>
        <v>6560.7735897435905</v>
      </c>
      <c r="AJ217" cm="1">
        <f t="array" ref="AJ217">IFERROR(VALUE(_xll.BDP($B217,"INTERVAL_MAE_MOV_AVG","CALC_INTERVAL","65W","PERIODICITY_OVERRIDE","W","TECH_STUDIES_PARAM1_OVERRIDE",39,"USE_PREVIOUS_BUSINESS_DAY","Y")),"")</f>
        <v>187.92297638592774</v>
      </c>
      <c r="AK217">
        <f t="shared" si="8"/>
        <v>6560.7823076923087</v>
      </c>
      <c r="AL217">
        <f t="shared" si="133"/>
        <v>2.8644159962262033E-2</v>
      </c>
      <c r="AM217">
        <f t="shared" si="134"/>
        <v>2.8643379336880912E-2</v>
      </c>
      <c r="AN217" s="10" t="str">
        <f t="shared" si="135"/>
        <v>UP</v>
      </c>
      <c r="AO217" s="10" t="str">
        <f t="shared" si="136"/>
        <v>UP</v>
      </c>
      <c r="AP217" s="6" t="str">
        <f t="shared" si="137"/>
        <v>NEGATIVE</v>
      </c>
      <c r="AQ217" cm="1">
        <f t="array" ref="AQ217">IFERROR(VALUE(_xll.BDP($B217,"INTERVAL_exp_MOV_AVG","CALC_INTERVAL","520D","TECH_STUDIES_PARAM1_OVERRIDE",100,"USE_PREVIOUS_BUSINESS_DAY","N")),"")</f>
        <v>195.56391634579728</v>
      </c>
      <c r="AR217">
        <f t="shared" si="9"/>
        <v>6773.0064518682802</v>
      </c>
      <c r="AS217" cm="1">
        <f t="array" ref="AS217">IFERROR(VALUE(_xll.BDP($B217,"INTERVAL_exp_MOV_AVG","CALC_INTERVAL","520D","TECH_STUDIES_PARAM1_OVERRIDE",100,"USE_PREVIOUS_BUSINESS_DAY","Y")),"")</f>
        <v>195.56522798994541</v>
      </c>
      <c r="AT217">
        <f t="shared" si="10"/>
        <v>6769.6039787132295</v>
      </c>
      <c r="AU217">
        <f t="shared" si="138"/>
        <v>2.8874018906604248E-2</v>
      </c>
      <c r="AV217">
        <f t="shared" si="139"/>
        <v>2.8888725042837522E-2</v>
      </c>
      <c r="AW217" s="11" t="str">
        <f t="shared" si="140"/>
        <v>DOWN</v>
      </c>
      <c r="AX217" s="11" t="str">
        <f t="shared" si="141"/>
        <v>DOWN</v>
      </c>
      <c r="AY217" s="6" t="str">
        <f t="shared" si="142"/>
        <v>NEGATIVE</v>
      </c>
      <c r="AZ217" s="12" cm="1">
        <f t="array" ref="AZ217">_xll.BDP($B217, "INTERVAL_RSI", "TECH_STUDIES_PARAM1_OVERRIDE", "5", "PERIODICITY_OVERRIDE", "W")</f>
        <v>39.60475379941736</v>
      </c>
      <c r="BA217" cm="1">
        <f t="array" ref="BA217">IFERROR(VALUE(_xll.BDP($B217,"INTERVAL_MAE_MOV_AVG","CALC_INTERVAL","520D","TECH_STUDIES_PARAM1_OVERRIDE",31,"USE_PREVIOUS_BUSINESS_DAY","N")),"")</f>
        <v>198.90516129032252</v>
      </c>
      <c r="BB217" cm="1">
        <f t="array" ref="BB217">IFERROR(VALUE(_xll.BDP($B217,"INTERVAL_MAE_MOV_AVG","CALC_INTERVAL","760D","TECH_STUDIES_PARAM1_OVERRIDE",200,"USE_PREVIOUS_BUSINESS_DAY","N")),"")</f>
        <v>185.21540624738549</v>
      </c>
      <c r="BC217" s="13">
        <f t="shared" si="143"/>
        <v>-1.71195220286533E-2</v>
      </c>
      <c r="BD217" s="13">
        <f t="shared" si="144"/>
        <v>-2.0294162802729221E-2</v>
      </c>
      <c r="BE217" s="13">
        <f t="shared" si="145"/>
        <v>5.5527744484050956E-2</v>
      </c>
      <c r="BF217" s="14" cm="1">
        <f t="array" ref="BF217">VALUE(_xll.BDP($B217,"INTERVAL_DATE_OF_CALC_HI","CALC_INTERVAL","3M"))</f>
        <v>46050</v>
      </c>
      <c r="BG217" s="14" cm="1">
        <f t="array" ref="BG217">VALUE(_xll.BDP($B217,"INTERVAL_DATE_OF_CALC_LO","CALC_INTERVAL","3M"))</f>
        <v>46058</v>
      </c>
      <c r="BH217" s="14" cm="1">
        <f t="array" ref="BH217">VALUE(_xll.BDP($B217,"INTERVAL_DATE_OF_CALC_HI","CALC_INTERVAL","1M"))</f>
        <v>46050</v>
      </c>
      <c r="BI217" s="14" cm="1">
        <f t="array" ref="BI217">VALUE(_xll.BDP($B217,"INTERVAL_DATE_OF_CALC_LO","CALC_INTERVAL","1M"))</f>
        <v>46058</v>
      </c>
      <c r="BJ217" s="15">
        <f>$F217-MIN(_xll.BDP("NYA Index","RSI_14D"),_xll.BDP("RSP US Equity","RSI_14D"))</f>
        <v>-19.77583716556336</v>
      </c>
    </row>
    <row r="218" spans="1:62" x14ac:dyDescent="0.25">
      <c r="A218" s="11">
        <v>217</v>
      </c>
      <c r="B218" s="26" t="s">
        <v>454</v>
      </c>
      <c r="C218" s="1" t="s">
        <v>882</v>
      </c>
      <c r="D218" s="1" t="s">
        <v>308</v>
      </c>
      <c r="E218" s="11" t="s">
        <v>787</v>
      </c>
      <c r="F218">
        <f>IFERROR(VALUE((_xll.BDP($B218,"interval_rsi","tech_studies_param1_override",14))),"")</f>
        <v>88.17446417236097</v>
      </c>
      <c r="G218">
        <f t="shared" si="0"/>
        <v>52.525531939815814</v>
      </c>
      <c r="H218">
        <f t="shared" si="119"/>
        <v>1</v>
      </c>
      <c r="I218" cm="1">
        <f t="array" ref="I218">IFERROR(VALUE(_xll.BDP($B218,"px_last")),"")</f>
        <v>38.93</v>
      </c>
      <c r="J218">
        <f t="shared" si="1"/>
        <v>6941.47</v>
      </c>
      <c r="K218" cm="1">
        <f t="array" ref="K218">IFERROR(VALUE(_xll.BDP($B218,"PX_YEST_CLOSE")),"")</f>
        <v>38.880000000000003</v>
      </c>
      <c r="L218">
        <f t="shared" si="2"/>
        <v>6941.81</v>
      </c>
      <c r="M218">
        <f t="shared" si="120"/>
        <v>5.6083221565460918E-3</v>
      </c>
      <c r="N218">
        <f t="shared" si="121"/>
        <v>5.6008447364592233E-3</v>
      </c>
      <c r="O218" cm="1">
        <f t="array" ref="O218">IFERROR(VALUE(_xll.BDP($B218,"INTERVAL_MAE_MOV_AVG","CALC_INTERVAL","520D","TECH_STUDIES_PARAM1_OVERRIDE",50,"USE_PREVIOUS_BUSINESS_DAY","N")),"")</f>
        <v>34.347331950003522</v>
      </c>
      <c r="P218">
        <f t="shared" si="3"/>
        <v>6894.0953999999992</v>
      </c>
      <c r="Q218" cm="1">
        <f t="array" ref="Q218">IFERROR(VALUE(_xll.BDP($B218,"INTERVAL_MAE_MOV_AVG","CALC_INTERVAL","520D","TECH_STUDIES_PARAM1_OVERRIDE",50,"USE_PREVIOUS_BUSINESS_DAY","Y")),"")</f>
        <v>34.22034569809999</v>
      </c>
      <c r="R218">
        <f t="shared" si="4"/>
        <v>6892.2477999999992</v>
      </c>
      <c r="S218">
        <f t="shared" si="122"/>
        <v>4.9821376057551398E-3</v>
      </c>
      <c r="T218">
        <f t="shared" si="123"/>
        <v>4.9650486591761829E-3</v>
      </c>
      <c r="U218" s="11" t="str">
        <f t="shared" si="124"/>
        <v>POSITIVE</v>
      </c>
      <c r="V218" s="11" t="str">
        <f t="shared" si="125"/>
        <v/>
      </c>
      <c r="W218" s="11" t="str">
        <f t="shared" si="126"/>
        <v>UP</v>
      </c>
      <c r="X218" s="6" t="str">
        <f t="shared" si="127"/>
        <v>POSITIVE</v>
      </c>
      <c r="Y218" cm="1">
        <f t="array" ref="Y218">IFERROR(VALUE(_xll.BDP($B218,"INTERVAL_MAE_MOV_AVG","CALC_INTERVAL","520D","TECH_STUDIES_PARAM1_OVERRIDE",65,"USE_PREVIOUS_BUSINESS_DAY","N")),"")</f>
        <v>33.788522921695012</v>
      </c>
      <c r="Z218">
        <f t="shared" si="5"/>
        <v>6856.0226153846133</v>
      </c>
      <c r="AA218" cm="1">
        <f t="array" ref="AA218">IFERROR(VALUE(_xll.BDP($B218,"INTERVAL_MAE_MOV_AVG","CALC_INTERVAL","520D","TECH_STUDIES_PARAM1_OVERRIDE",65,"USE_PREVIOUS_BUSINESS_DAY","Y")),"")</f>
        <v>33.679292906923074</v>
      </c>
      <c r="AB218">
        <f t="shared" si="6"/>
        <v>6852.6203076923057</v>
      </c>
      <c r="AC218">
        <f t="shared" si="128"/>
        <v>4.9282980551836357E-3</v>
      </c>
      <c r="AD218">
        <f t="shared" si="129"/>
        <v>4.9148050518889675E-3</v>
      </c>
      <c r="AE218" s="10" t="str">
        <f t="shared" si="130"/>
        <v>UP</v>
      </c>
      <c r="AF218" s="10" t="str">
        <f t="shared" si="131"/>
        <v>UP</v>
      </c>
      <c r="AG218" s="6" t="str">
        <f t="shared" si="132"/>
        <v>POSITIVE</v>
      </c>
      <c r="AH218" cm="1">
        <f t="array" ref="AH218">IFERROR(VALUE(_xll.BDP($B218,"INTERVAL_MAE_MOV_AVG","CALC_INTERVAL","65W","PERIODICITY_OVERRIDE","W","TECH_STUDIES_PARAM1_OVERRIDE",39,"USE_PREVIOUS_BUSINESS_DAY","N")),"")</f>
        <v>31.680770917821146</v>
      </c>
      <c r="AI218">
        <f t="shared" si="7"/>
        <v>6560.7735897435905</v>
      </c>
      <c r="AJ218" cm="1">
        <f t="array" ref="AJ218">IFERROR(VALUE(_xll.BDP($B218,"INTERVAL_MAE_MOV_AVG","CALC_INTERVAL","65W","PERIODICITY_OVERRIDE","W","TECH_STUDIES_PARAM1_OVERRIDE",39,"USE_PREVIOUS_BUSINESS_DAY","Y")),"")</f>
        <v>31.67948885871407</v>
      </c>
      <c r="AK218">
        <f t="shared" si="8"/>
        <v>6560.7823076923087</v>
      </c>
      <c r="AL218">
        <f t="shared" si="133"/>
        <v>4.8288163711894382E-3</v>
      </c>
      <c r="AM218">
        <f t="shared" si="134"/>
        <v>4.8286145421363664E-3</v>
      </c>
      <c r="AN218" s="10" t="str">
        <f t="shared" si="135"/>
        <v>UP</v>
      </c>
      <c r="AO218" s="10" t="str">
        <f t="shared" si="136"/>
        <v>UP</v>
      </c>
      <c r="AP218" s="6" t="str">
        <f t="shared" si="137"/>
        <v>POSITIVE</v>
      </c>
      <c r="AQ218" cm="1">
        <f t="array" ref="AQ218">IFERROR(VALUE(_xll.BDP($B218,"INTERVAL_exp_MOV_AVG","CALC_INTERVAL","520D","TECH_STUDIES_PARAM1_OVERRIDE",100,"USE_PREVIOUS_BUSINESS_DAY","N")),"")</f>
        <v>33.434161106978785</v>
      </c>
      <c r="AR218">
        <f t="shared" si="9"/>
        <v>6773.0064518682802</v>
      </c>
      <c r="AS218" cm="1">
        <f t="array" ref="AS218">IFERROR(VALUE(_xll.BDP($B218,"INTERVAL_exp_MOV_AVG","CALC_INTERVAL","520D","TECH_STUDIES_PARAM1_OVERRIDE",100,"USE_PREVIOUS_BUSINESS_DAY","Y")),"")</f>
        <v>33.323141766188023</v>
      </c>
      <c r="AT218">
        <f t="shared" si="10"/>
        <v>6769.6039787132295</v>
      </c>
      <c r="AU218">
        <f t="shared" si="138"/>
        <v>4.9363840629084643E-3</v>
      </c>
      <c r="AV218">
        <f t="shared" si="139"/>
        <v>4.9224654604569807E-3</v>
      </c>
      <c r="AW218" s="11" t="str">
        <f t="shared" si="140"/>
        <v>UP</v>
      </c>
      <c r="AX218" s="11" t="str">
        <f t="shared" si="141"/>
        <v>UP</v>
      </c>
      <c r="AY218" s="6" t="str">
        <f t="shared" si="142"/>
        <v>POSITIVE</v>
      </c>
      <c r="AZ218" s="12" cm="1">
        <f t="array" ref="AZ218">_xll.BDP($B218, "INTERVAL_RSI", "TECH_STUDIES_PARAM1_OVERRIDE", "5", "PERIODICITY_OVERRIDE", "W")</f>
        <v>94.989461276909651</v>
      </c>
      <c r="BA218" cm="1">
        <f t="array" ref="BA218">IFERROR(VALUE(_xll.BDP($B218,"INTERVAL_MAE_MOV_AVG","CALC_INTERVAL","520D","TECH_STUDIES_PARAM1_OVERRIDE",31,"USE_PREVIOUS_BUSINESS_DAY","N")),"")</f>
        <v>35.044516138876638</v>
      </c>
      <c r="BB218" cm="1">
        <f t="array" ref="BB218">IFERROR(VALUE(_xll.BDP($B218,"INTERVAL_MAE_MOV_AVG","CALC_INTERVAL","760D","TECH_STUDIES_PARAM1_OVERRIDE",200,"USE_PREVIOUS_BUSINESS_DAY","N")),"")</f>
        <v>31.196807476921858</v>
      </c>
      <c r="BC218" s="13">
        <f t="shared" si="143"/>
        <v>0.1108728066247433</v>
      </c>
      <c r="BD218" s="13">
        <f t="shared" si="144"/>
        <v>0.13342136899212664</v>
      </c>
      <c r="BE218" s="13">
        <f t="shared" si="145"/>
        <v>0.24788409932006172</v>
      </c>
      <c r="BF218" s="14" cm="1">
        <f t="array" ref="BF218">VALUE(_xll.BDP($B218,"INTERVAL_DATE_OF_CALC_HI","CALC_INTERVAL","3M"))</f>
        <v>46064</v>
      </c>
      <c r="BG218" s="14" cm="1">
        <f t="array" ref="BG218">VALUE(_xll.BDP($B218,"INTERVAL_DATE_OF_CALC_LO","CALC_INTERVAL","3M"))</f>
        <v>45981</v>
      </c>
      <c r="BH218" s="14" cm="1">
        <f t="array" ref="BH218">VALUE(_xll.BDP($B218,"INTERVAL_DATE_OF_CALC_HI","CALC_INTERVAL","1M"))</f>
        <v>46064</v>
      </c>
      <c r="BI218" s="14" cm="1">
        <f t="array" ref="BI218">VALUE(_xll.BDP($B218,"INTERVAL_DATE_OF_CALC_LO","CALC_INTERVAL","1M"))</f>
        <v>46042</v>
      </c>
      <c r="BJ218" s="15">
        <f>$F218-MIN(_xll.BDP("NYA Index","RSI_14D"),_xll.BDP("RSP US Equity","RSI_14D"))</f>
        <v>21.82870001220472</v>
      </c>
    </row>
    <row r="219" spans="1:62" x14ac:dyDescent="0.25">
      <c r="A219" s="11">
        <v>218</v>
      </c>
      <c r="B219" s="26" t="s">
        <v>455</v>
      </c>
      <c r="C219" s="1" t="s">
        <v>456</v>
      </c>
      <c r="D219" s="1" t="s">
        <v>308</v>
      </c>
      <c r="E219" s="11" t="s">
        <v>787</v>
      </c>
      <c r="F219">
        <f>IFERROR(VALUE((_xll.BDP($B219,"interval_rsi","tech_studies_param1_override",14))),"")</f>
        <v>56.003445095356028</v>
      </c>
      <c r="G219">
        <f t="shared" si="0"/>
        <v>52.525531939815814</v>
      </c>
      <c r="H219">
        <f t="shared" si="119"/>
        <v>0</v>
      </c>
      <c r="I219" cm="1">
        <f t="array" ref="I219">IFERROR(VALUE(_xll.BDP($B219,"px_last")),"")</f>
        <v>29.87</v>
      </c>
      <c r="J219">
        <f t="shared" si="1"/>
        <v>6941.47</v>
      </c>
      <c r="K219" cm="1">
        <f t="array" ref="K219">IFERROR(VALUE(_xll.BDP($B219,"PX_YEST_CLOSE")),"")</f>
        <v>30.88</v>
      </c>
      <c r="L219">
        <f t="shared" si="2"/>
        <v>6941.81</v>
      </c>
      <c r="M219">
        <f t="shared" si="120"/>
        <v>4.3031231136920565E-3</v>
      </c>
      <c r="N219">
        <f t="shared" si="121"/>
        <v>4.4484075478873663E-3</v>
      </c>
      <c r="O219" cm="1">
        <f t="array" ref="O219">IFERROR(VALUE(_xll.BDP($B219,"INTERVAL_MAE_MOV_AVG","CALC_INTERVAL","520D","TECH_STUDIES_PARAM1_OVERRIDE",50,"USE_PREVIOUS_BUSINESS_DAY","N")),"")</f>
        <v>28.512337968784674</v>
      </c>
      <c r="P219">
        <f t="shared" si="3"/>
        <v>6894.0953999999992</v>
      </c>
      <c r="Q219" cm="1">
        <f t="array" ref="Q219">IFERROR(VALUE(_xll.BDP($B219,"INTERVAL_MAE_MOV_AVG","CALC_INTERVAL","520D","TECH_STUDIES_PARAM1_OVERRIDE",50,"USE_PREVIOUS_BUSINESS_DAY","Y")),"")</f>
        <v>28.436865208000004</v>
      </c>
      <c r="R219">
        <f t="shared" si="4"/>
        <v>6892.2477999999992</v>
      </c>
      <c r="S219">
        <f t="shared" si="122"/>
        <v>4.1357620274278008E-3</v>
      </c>
      <c r="T219">
        <f t="shared" si="123"/>
        <v>4.1259203141245163E-3</v>
      </c>
      <c r="U219" s="11" t="str">
        <f t="shared" si="124"/>
        <v>NEGATIVE</v>
      </c>
      <c r="V219" s="11" t="str">
        <f t="shared" si="125"/>
        <v/>
      </c>
      <c r="W219" s="11" t="str">
        <f t="shared" si="126"/>
        <v>UP</v>
      </c>
      <c r="X219" s="6" t="str">
        <f t="shared" si="127"/>
        <v>POSITIVE</v>
      </c>
      <c r="Y219" cm="1">
        <f t="array" ref="Y219">IFERROR(VALUE(_xll.BDP($B219,"INTERVAL_MAE_MOV_AVG","CALC_INTERVAL","520D","TECH_STUDIES_PARAM1_OVERRIDE",65,"USE_PREVIOUS_BUSINESS_DAY","N")),"")</f>
        <v>27.650679569834363</v>
      </c>
      <c r="Z219">
        <f t="shared" si="5"/>
        <v>6856.0226153846133</v>
      </c>
      <c r="AA219" cm="1">
        <f t="array" ref="AA219">IFERROR(VALUE(_xll.BDP($B219,"INTERVAL_MAE_MOV_AVG","CALC_INTERVAL","520D","TECH_STUDIES_PARAM1_OVERRIDE",65,"USE_PREVIOUS_BUSINESS_DAY","Y")),"")</f>
        <v>27.56805549538462</v>
      </c>
      <c r="AB219">
        <f t="shared" si="6"/>
        <v>6852.6203076923057</v>
      </c>
      <c r="AC219">
        <f t="shared" si="128"/>
        <v>4.0330496442335904E-3</v>
      </c>
      <c r="AD219">
        <f t="shared" si="129"/>
        <v>4.0229947461759286E-3</v>
      </c>
      <c r="AE219" s="10" t="str">
        <f t="shared" si="130"/>
        <v>UP</v>
      </c>
      <c r="AF219" s="10" t="str">
        <f t="shared" si="131"/>
        <v>UP</v>
      </c>
      <c r="AG219" s="6" t="str">
        <f t="shared" si="132"/>
        <v>POSITIVE</v>
      </c>
      <c r="AH219" cm="1">
        <f t="array" ref="AH219">IFERROR(VALUE(_xll.BDP($B219,"INTERVAL_MAE_MOV_AVG","CALC_INTERVAL","65W","PERIODICITY_OVERRIDE","W","TECH_STUDIES_PARAM1_OVERRIDE",39,"USE_PREVIOUS_BUSINESS_DAY","N")),"")</f>
        <v>25.554266226646998</v>
      </c>
      <c r="AI219">
        <f t="shared" si="7"/>
        <v>6560.7735897435905</v>
      </c>
      <c r="AJ219" cm="1">
        <f t="array" ref="AJ219">IFERROR(VALUE(_xll.BDP($B219,"INTERVAL_MAE_MOV_AVG","CALC_INTERVAL","65W","PERIODICITY_OVERRIDE","W","TECH_STUDIES_PARAM1_OVERRIDE",39,"USE_PREVIOUS_BUSINESS_DAY","Y")),"")</f>
        <v>25.580163641025628</v>
      </c>
      <c r="AK219">
        <f t="shared" si="8"/>
        <v>6560.7823076923087</v>
      </c>
      <c r="AL219">
        <f t="shared" si="133"/>
        <v>3.8950080927340333E-3</v>
      </c>
      <c r="AM219">
        <f t="shared" si="134"/>
        <v>3.8989502229076706E-3</v>
      </c>
      <c r="AN219" s="10" t="str">
        <f t="shared" si="135"/>
        <v>DOWN</v>
      </c>
      <c r="AO219" s="10" t="str">
        <f t="shared" si="136"/>
        <v>DOWN</v>
      </c>
      <c r="AP219" s="6" t="str">
        <f t="shared" si="137"/>
        <v>POSITIVE</v>
      </c>
      <c r="AQ219" cm="1">
        <f t="array" ref="AQ219">IFERROR(VALUE(_xll.BDP($B219,"INTERVAL_exp_MOV_AVG","CALC_INTERVAL","520D","TECH_STUDIES_PARAM1_OVERRIDE",100,"USE_PREVIOUS_BUSINESS_DAY","N")),"")</f>
        <v>27.180283878678114</v>
      </c>
      <c r="AR219">
        <f t="shared" si="9"/>
        <v>6773.0064518682802</v>
      </c>
      <c r="AS219" cm="1">
        <f t="array" ref="AS219">IFERROR(VALUE(_xll.BDP($B219,"INTERVAL_exp_MOV_AVG","CALC_INTERVAL","520D","TECH_STUDIES_PARAM1_OVERRIDE",100,"USE_PREVIOUS_BUSINESS_DAY","Y")),"")</f>
        <v>27.125956629034039</v>
      </c>
      <c r="AT219">
        <f t="shared" si="10"/>
        <v>6769.6039787132295</v>
      </c>
      <c r="AU219">
        <f t="shared" si="138"/>
        <v>4.0130308559178547E-3</v>
      </c>
      <c r="AV219">
        <f t="shared" si="139"/>
        <v>4.0070226728669226E-3</v>
      </c>
      <c r="AW219" s="11" t="str">
        <f t="shared" si="140"/>
        <v>UP</v>
      </c>
      <c r="AX219" s="11" t="str">
        <f t="shared" si="141"/>
        <v>UP</v>
      </c>
      <c r="AY219" s="6" t="str">
        <f t="shared" si="142"/>
        <v>POSITIVE</v>
      </c>
      <c r="AZ219" s="12" cm="1">
        <f t="array" ref="AZ219">_xll.BDP($B219, "INTERVAL_RSI", "TECH_STUDIES_PARAM1_OVERRIDE", "5", "PERIODICITY_OVERRIDE", "W")</f>
        <v>60.709944902622276</v>
      </c>
      <c r="BA219" cm="1">
        <f t="array" ref="BA219">IFERROR(VALUE(_xll.BDP($B219,"INTERVAL_MAE_MOV_AVG","CALC_INTERVAL","520D","TECH_STUDIES_PARAM1_OVERRIDE",31,"USE_PREVIOUS_BUSINESS_DAY","N")),"")</f>
        <v>28.967741962555912</v>
      </c>
      <c r="BB219" cm="1">
        <f t="array" ref="BB219">IFERROR(VALUE(_xll.BDP($B219,"INTERVAL_MAE_MOV_AVG","CALC_INTERVAL","760D","TECH_STUDIES_PARAM1_OVERRIDE",200,"USE_PREVIOUS_BUSINESS_DAY","N")),"")</f>
        <v>25.109480260196165</v>
      </c>
      <c r="BC219" s="13">
        <f t="shared" si="143"/>
        <v>3.1146992354818659E-2</v>
      </c>
      <c r="BD219" s="13">
        <f t="shared" si="144"/>
        <v>4.7616650472567246E-2</v>
      </c>
      <c r="BE219" s="13">
        <f t="shared" si="145"/>
        <v>0.18959053275787108</v>
      </c>
      <c r="BF219" s="14" cm="1">
        <f t="array" ref="BF219">VALUE(_xll.BDP($B219,"INTERVAL_DATE_OF_CALC_HI","CALC_INTERVAL","3M"))</f>
        <v>46059</v>
      </c>
      <c r="BG219" s="14" cm="1">
        <f t="array" ref="BG219">VALUE(_xll.BDP($B219,"INTERVAL_DATE_OF_CALC_LO","CALC_INTERVAL","3M"))</f>
        <v>45981</v>
      </c>
      <c r="BH219" s="14" cm="1">
        <f t="array" ref="BH219">VALUE(_xll.BDP($B219,"INTERVAL_DATE_OF_CALC_HI","CALC_INTERVAL","1M"))</f>
        <v>46059</v>
      </c>
      <c r="BI219" s="14" cm="1">
        <f t="array" ref="BI219">VALUE(_xll.BDP($B219,"INTERVAL_DATE_OF_CALC_LO","CALC_INTERVAL","1M"))</f>
        <v>46050</v>
      </c>
      <c r="BJ219" s="15">
        <f>$F219-MIN(_xll.BDP("NYA Index","RSI_14D"),_xll.BDP("RSP US Equity","RSI_14D"))</f>
        <v>-10.342319064800222</v>
      </c>
    </row>
    <row r="220" spans="1:62" x14ac:dyDescent="0.25">
      <c r="A220" s="11">
        <v>219</v>
      </c>
      <c r="B220" s="26" t="s">
        <v>457</v>
      </c>
      <c r="C220" s="1" t="s">
        <v>458</v>
      </c>
      <c r="D220" s="1" t="s">
        <v>308</v>
      </c>
      <c r="E220" s="11" t="s">
        <v>787</v>
      </c>
      <c r="F220">
        <f>IFERROR(VALUE((_xll.BDP($B220,"interval_rsi","tech_studies_param1_override",14))),"")</f>
        <v>62.859878815587336</v>
      </c>
      <c r="G220">
        <f t="shared" si="0"/>
        <v>52.525531939815814</v>
      </c>
      <c r="H220">
        <f t="shared" si="119"/>
        <v>1</v>
      </c>
      <c r="I220" cm="1">
        <f t="array" ref="I220">IFERROR(VALUE(_xll.BDP($B220,"px_last")),"")</f>
        <v>97.48</v>
      </c>
      <c r="J220">
        <f t="shared" si="1"/>
        <v>6941.47</v>
      </c>
      <c r="K220" cm="1">
        <f t="array" ref="K220">IFERROR(VALUE(_xll.BDP($B220,"PX_YEST_CLOSE")),"")</f>
        <v>97.49</v>
      </c>
      <c r="L220">
        <f t="shared" si="2"/>
        <v>6941.81</v>
      </c>
      <c r="M220">
        <f t="shared" si="120"/>
        <v>1.4043134955564167E-2</v>
      </c>
      <c r="N220">
        <f t="shared" si="121"/>
        <v>1.4043887689233786E-2</v>
      </c>
      <c r="O220" cm="1">
        <f t="array" ref="O220">IFERROR(VALUE(_xll.BDP($B220,"INTERVAL_MAE_MOV_AVG","CALC_INTERVAL","520D","TECH_STUDIES_PARAM1_OVERRIDE",50,"USE_PREVIOUS_BUSINESS_DAY","N")),"")</f>
        <v>96.794995066068211</v>
      </c>
      <c r="P220">
        <f t="shared" si="3"/>
        <v>6894.0953999999992</v>
      </c>
      <c r="Q220" cm="1">
        <f t="array" ref="Q220">IFERROR(VALUE(_xll.BDP($B220,"INTERVAL_MAE_MOV_AVG","CALC_INTERVAL","520D","TECH_STUDIES_PARAM1_OVERRIDE",50,"USE_PREVIOUS_BUSINESS_DAY","Y")),"")</f>
        <v>96.766953768013224</v>
      </c>
      <c r="R220">
        <f t="shared" si="4"/>
        <v>6892.2477999999992</v>
      </c>
      <c r="S220">
        <f t="shared" si="122"/>
        <v>1.4040274967194132E-2</v>
      </c>
      <c r="T220">
        <f t="shared" si="123"/>
        <v>1.4039970206528737E-2</v>
      </c>
      <c r="U220" s="11" t="str">
        <f t="shared" si="124"/>
        <v>POSITIVE</v>
      </c>
      <c r="V220" s="11" t="str">
        <f t="shared" si="125"/>
        <v/>
      </c>
      <c r="W220" s="11" t="str">
        <f t="shared" si="126"/>
        <v>UP</v>
      </c>
      <c r="X220" s="6" t="str">
        <f t="shared" si="127"/>
        <v>POSITIVE</v>
      </c>
      <c r="Y220" cm="1">
        <f t="array" ref="Y220">IFERROR(VALUE(_xll.BDP($B220,"INTERVAL_MAE_MOV_AVG","CALC_INTERVAL","520D","TECH_STUDIES_PARAM1_OVERRIDE",65,"USE_PREVIOUS_BUSINESS_DAY","N")),"")</f>
        <v>96.461349066858915</v>
      </c>
      <c r="Z220">
        <f t="shared" si="5"/>
        <v>6856.0226153846133</v>
      </c>
      <c r="AA220" cm="1">
        <f t="array" ref="AA220">IFERROR(VALUE(_xll.BDP($B220,"INTERVAL_MAE_MOV_AVG","CALC_INTERVAL","520D","TECH_STUDIES_PARAM1_OVERRIDE",65,"USE_PREVIOUS_BUSINESS_DAY","Y")),"")</f>
        <v>96.425398745178683</v>
      </c>
      <c r="AB220">
        <f t="shared" si="6"/>
        <v>6852.6203076923057</v>
      </c>
      <c r="AC220">
        <f t="shared" si="128"/>
        <v>1.4069578599464344E-2</v>
      </c>
      <c r="AD220">
        <f t="shared" si="129"/>
        <v>1.4071317892359774E-2</v>
      </c>
      <c r="AE220" s="10" t="str">
        <f t="shared" si="130"/>
        <v>UP</v>
      </c>
      <c r="AF220" s="10" t="str">
        <f t="shared" si="131"/>
        <v>DOWN</v>
      </c>
      <c r="AG220" s="6" t="str">
        <f t="shared" si="132"/>
        <v>NEGATIVE</v>
      </c>
      <c r="AH220" cm="1">
        <f t="array" ref="AH220">IFERROR(VALUE(_xll.BDP($B220,"INTERVAL_MAE_MOV_AVG","CALC_INTERVAL","65W","PERIODICITY_OVERRIDE","W","TECH_STUDIES_PARAM1_OVERRIDE",39,"USE_PREVIOUS_BUSINESS_DAY","N")),"")</f>
        <v>94.751953802559072</v>
      </c>
      <c r="AI220">
        <f t="shared" si="7"/>
        <v>6560.7735897435905</v>
      </c>
      <c r="AJ220" cm="1">
        <f t="array" ref="AJ220">IFERROR(VALUE(_xll.BDP($B220,"INTERVAL_MAE_MOV_AVG","CALC_INTERVAL","65W","PERIODICITY_OVERRIDE","W","TECH_STUDIES_PARAM1_OVERRIDE",39,"USE_PREVIOUS_BUSINESS_DAY","Y")),"")</f>
        <v>94.752210126740252</v>
      </c>
      <c r="AK220">
        <f t="shared" si="8"/>
        <v>6560.7823076923087</v>
      </c>
      <c r="AL220">
        <f t="shared" si="133"/>
        <v>1.4442192297366291E-2</v>
      </c>
      <c r="AM220">
        <f t="shared" si="134"/>
        <v>1.4442212175771523E-2</v>
      </c>
      <c r="AN220" s="10" t="str">
        <f t="shared" si="135"/>
        <v>DOWN</v>
      </c>
      <c r="AO220" s="10" t="str">
        <f t="shared" si="136"/>
        <v>DOWN</v>
      </c>
      <c r="AP220" s="6" t="str">
        <f t="shared" si="137"/>
        <v>NEGATIVE</v>
      </c>
      <c r="AQ220" cm="1">
        <f t="array" ref="AQ220">IFERROR(VALUE(_xll.BDP($B220,"INTERVAL_exp_MOV_AVG","CALC_INTERVAL","520D","TECH_STUDIES_PARAM1_OVERRIDE",100,"USE_PREVIOUS_BUSINESS_DAY","N")),"")</f>
        <v>96.005222984394081</v>
      </c>
      <c r="AR220">
        <f t="shared" si="9"/>
        <v>6773.0064518682802</v>
      </c>
      <c r="AS220" cm="1">
        <f t="array" ref="AS220">IFERROR(VALUE(_xll.BDP($B220,"INTERVAL_exp_MOV_AVG","CALC_INTERVAL","520D","TECH_STUDIES_PARAM1_OVERRIDE",100,"USE_PREVIOUS_BUSINESS_DAY","Y")),"")</f>
        <v>95.97543917373882</v>
      </c>
      <c r="AT220">
        <f t="shared" si="10"/>
        <v>6769.6039787132295</v>
      </c>
      <c r="AU220">
        <f t="shared" si="138"/>
        <v>1.4174683527418137E-2</v>
      </c>
      <c r="AV220">
        <f t="shared" si="139"/>
        <v>1.4177408231785796E-2</v>
      </c>
      <c r="AW220" s="11" t="str">
        <f t="shared" si="140"/>
        <v>UP</v>
      </c>
      <c r="AX220" s="11" t="str">
        <f t="shared" si="141"/>
        <v>DOWN</v>
      </c>
      <c r="AY220" s="6" t="str">
        <f t="shared" si="142"/>
        <v>NEGATIVE</v>
      </c>
      <c r="AZ220" s="12" cm="1">
        <f t="array" ref="AZ220">_xll.BDP($B220, "INTERVAL_RSI", "TECH_STUDIES_PARAM1_OVERRIDE", "5", "PERIODICITY_OVERRIDE", "W")</f>
        <v>86.658948111519479</v>
      </c>
      <c r="BA220" cm="1">
        <f t="array" ref="BA220">IFERROR(VALUE(_xll.BDP($B220,"INTERVAL_MAE_MOV_AVG","CALC_INTERVAL","520D","TECH_STUDIES_PARAM1_OVERRIDE",31,"USE_PREVIOUS_BUSINESS_DAY","N")),"")</f>
        <v>97.153232548288187</v>
      </c>
      <c r="BB220" cm="1">
        <f t="array" ref="BB220">IFERROR(VALUE(_xll.BDP($B220,"INTERVAL_MAE_MOV_AVG","CALC_INTERVAL","760D","TECH_STUDIES_PARAM1_OVERRIDE",200,"USE_PREVIOUS_BUSINESS_DAY","N")),"")</f>
        <v>94.354319877267258</v>
      </c>
      <c r="BC220" s="13">
        <f t="shared" si="143"/>
        <v>3.3634233585526641E-3</v>
      </c>
      <c r="BD220" s="13">
        <f t="shared" si="144"/>
        <v>7.0768631525239822E-3</v>
      </c>
      <c r="BE220" s="13">
        <f t="shared" si="145"/>
        <v>3.3127048414937743E-2</v>
      </c>
      <c r="BF220" s="14" cm="1">
        <f t="array" ref="BF220">VALUE(_xll.BDP($B220,"INTERVAL_DATE_OF_CALC_HI","CALC_INTERVAL","3M"))</f>
        <v>46062</v>
      </c>
      <c r="BG220" s="14" cm="1">
        <f t="array" ref="BG220">VALUE(_xll.BDP($B220,"INTERVAL_DATE_OF_CALC_LO","CALC_INTERVAL","3M"))</f>
        <v>45979</v>
      </c>
      <c r="BH220" s="14" cm="1">
        <f t="array" ref="BH220">VALUE(_xll.BDP($B220,"INTERVAL_DATE_OF_CALC_HI","CALC_INTERVAL","1M"))</f>
        <v>46062</v>
      </c>
      <c r="BI220" s="14" cm="1">
        <f t="array" ref="BI220">VALUE(_xll.BDP($B220,"INTERVAL_DATE_OF_CALC_LO","CALC_INTERVAL","1M"))</f>
        <v>46042</v>
      </c>
      <c r="BJ220" s="15">
        <f>$F220-MIN(_xll.BDP("NYA Index","RSI_14D"),_xll.BDP("RSP US Equity","RSI_14D"))</f>
        <v>-3.4858853445689135</v>
      </c>
    </row>
    <row r="221" spans="1:62" x14ac:dyDescent="0.25">
      <c r="A221" s="11">
        <v>220</v>
      </c>
      <c r="B221" s="26" t="s">
        <v>459</v>
      </c>
      <c r="C221" s="1" t="s">
        <v>460</v>
      </c>
      <c r="D221" s="1" t="s">
        <v>308</v>
      </c>
      <c r="E221" s="11" t="s">
        <v>787</v>
      </c>
      <c r="F221">
        <f>IFERROR(VALUE((_xll.BDP($B221,"interval_rsi","tech_studies_param1_override",14))),"")</f>
        <v>58.085029303859415</v>
      </c>
      <c r="G221">
        <f t="shared" si="0"/>
        <v>52.525531939815814</v>
      </c>
      <c r="H221">
        <f t="shared" si="119"/>
        <v>0</v>
      </c>
      <c r="I221" cm="1">
        <f t="array" ref="I221">IFERROR(VALUE(_xll.BDP($B221,"px_last")),"")</f>
        <v>65.73</v>
      </c>
      <c r="J221">
        <f t="shared" si="1"/>
        <v>6941.47</v>
      </c>
      <c r="K221" cm="1">
        <f t="array" ref="K221">IFERROR(VALUE(_xll.BDP($B221,"PX_YEST_CLOSE")),"")</f>
        <v>66.67</v>
      </c>
      <c r="L221">
        <f t="shared" si="2"/>
        <v>6941.81</v>
      </c>
      <c r="M221">
        <f t="shared" si="120"/>
        <v>9.4691758373946725E-3</v>
      </c>
      <c r="N221">
        <f t="shared" si="121"/>
        <v>9.604123420260709E-3</v>
      </c>
      <c r="O221" cm="1">
        <f t="array" ref="O221">IFERROR(VALUE(_xll.BDP($B221,"INTERVAL_MAE_MOV_AVG","CALC_INTERVAL","520D","TECH_STUDIES_PARAM1_OVERRIDE",50,"USE_PREVIOUS_BUSINESS_DAY","N")),"")</f>
        <v>62.769392602138673</v>
      </c>
      <c r="P221">
        <f t="shared" si="3"/>
        <v>6894.0953999999992</v>
      </c>
      <c r="Q221" cm="1">
        <f t="array" ref="Q221">IFERROR(VALUE(_xll.BDP($B221,"INTERVAL_MAE_MOV_AVG","CALC_INTERVAL","520D","TECH_STUDIES_PARAM1_OVERRIDE",50,"USE_PREVIOUS_BUSINESS_DAY","Y")),"")</f>
        <v>62.626695644999991</v>
      </c>
      <c r="R221">
        <f t="shared" si="4"/>
        <v>6892.2477999999992</v>
      </c>
      <c r="S221">
        <f t="shared" si="122"/>
        <v>9.1048047583064604E-3</v>
      </c>
      <c r="T221">
        <f t="shared" si="123"/>
        <v>9.0865414973907346E-3</v>
      </c>
      <c r="U221" s="11" t="str">
        <f t="shared" si="124"/>
        <v>NEGATIVE</v>
      </c>
      <c r="V221" s="11" t="str">
        <f t="shared" si="125"/>
        <v/>
      </c>
      <c r="W221" s="11" t="str">
        <f t="shared" si="126"/>
        <v>UP</v>
      </c>
      <c r="X221" s="6" t="str">
        <f t="shared" si="127"/>
        <v>POSITIVE</v>
      </c>
      <c r="Y221" cm="1">
        <f t="array" ref="Y221">IFERROR(VALUE(_xll.BDP($B221,"INTERVAL_MAE_MOV_AVG","CALC_INTERVAL","520D","TECH_STUDIES_PARAM1_OVERRIDE",65,"USE_PREVIOUS_BUSINESS_DAY","N")),"")</f>
        <v>61.447539063183591</v>
      </c>
      <c r="Z221">
        <f t="shared" si="5"/>
        <v>6856.0226153846133</v>
      </c>
      <c r="AA221" cm="1">
        <f t="array" ref="AA221">IFERROR(VALUE(_xll.BDP($B221,"INTERVAL_MAE_MOV_AVG","CALC_INTERVAL","520D","TECH_STUDIES_PARAM1_OVERRIDE",65,"USE_PREVIOUS_BUSINESS_DAY","Y")),"")</f>
        <v>61.302924126923067</v>
      </c>
      <c r="AB221">
        <f t="shared" si="6"/>
        <v>6852.6203076923057</v>
      </c>
      <c r="AC221">
        <f t="shared" si="128"/>
        <v>8.9625636480979536E-3</v>
      </c>
      <c r="AD221">
        <f t="shared" si="129"/>
        <v>8.9459099401886302E-3</v>
      </c>
      <c r="AE221" s="10" t="str">
        <f t="shared" si="130"/>
        <v>UP</v>
      </c>
      <c r="AF221" s="10" t="str">
        <f t="shared" si="131"/>
        <v>UP</v>
      </c>
      <c r="AG221" s="6" t="str">
        <f t="shared" si="132"/>
        <v>POSITIVE</v>
      </c>
      <c r="AH221" cm="1">
        <f t="array" ref="AH221">IFERROR(VALUE(_xll.BDP($B221,"INTERVAL_MAE_MOV_AVG","CALC_INTERVAL","65W","PERIODICITY_OVERRIDE","W","TECH_STUDIES_PARAM1_OVERRIDE",39,"USE_PREVIOUS_BUSINESS_DAY","N")),"")</f>
        <v>58.526863490350351</v>
      </c>
      <c r="AI221">
        <f t="shared" si="7"/>
        <v>6560.7735897435905</v>
      </c>
      <c r="AJ221" cm="1">
        <f t="array" ref="AJ221">IFERROR(VALUE(_xll.BDP($B221,"INTERVAL_MAE_MOV_AVG","CALC_INTERVAL","65W","PERIODICITY_OVERRIDE","W","TECH_STUDIES_PARAM1_OVERRIDE",39,"USE_PREVIOUS_BUSINESS_DAY","Y")),"")</f>
        <v>58.550965968377696</v>
      </c>
      <c r="AK221">
        <f t="shared" si="8"/>
        <v>6560.7823076923087</v>
      </c>
      <c r="AL221">
        <f t="shared" si="133"/>
        <v>8.9207259921063233E-3</v>
      </c>
      <c r="AM221">
        <f t="shared" si="134"/>
        <v>8.9243878584004451E-3</v>
      </c>
      <c r="AN221" s="10" t="str">
        <f t="shared" si="135"/>
        <v>DOWN</v>
      </c>
      <c r="AO221" s="10" t="str">
        <f t="shared" si="136"/>
        <v>DOWN</v>
      </c>
      <c r="AP221" s="6" t="str">
        <f t="shared" si="137"/>
        <v>POSITIVE</v>
      </c>
      <c r="AQ221" cm="1">
        <f t="array" ref="AQ221">IFERROR(VALUE(_xll.BDP($B221,"INTERVAL_exp_MOV_AVG","CALC_INTERVAL","520D","TECH_STUDIES_PARAM1_OVERRIDE",100,"USE_PREVIOUS_BUSINESS_DAY","N")),"")</f>
        <v>60.971610180342566</v>
      </c>
      <c r="AR221">
        <f t="shared" si="9"/>
        <v>6773.0064518682802</v>
      </c>
      <c r="AS221" cm="1">
        <f t="array" ref="AS221">IFERROR(VALUE(_xll.BDP($B221,"INTERVAL_exp_MOV_AVG","CALC_INTERVAL","520D","TECH_STUDIES_PARAM1_OVERRIDE",100,"USE_PREVIOUS_BUSINESS_DAY","Y")),"")</f>
        <v>60.875486616975806</v>
      </c>
      <c r="AT221">
        <f t="shared" si="10"/>
        <v>6769.6039787132295</v>
      </c>
      <c r="AU221">
        <f t="shared" si="138"/>
        <v>9.0021485456468191E-3</v>
      </c>
      <c r="AV221">
        <f t="shared" si="139"/>
        <v>8.9924738298424144E-3</v>
      </c>
      <c r="AW221" s="11" t="str">
        <f t="shared" si="140"/>
        <v>UP</v>
      </c>
      <c r="AX221" s="11" t="str">
        <f t="shared" si="141"/>
        <v>UP</v>
      </c>
      <c r="AY221" s="6" t="str">
        <f t="shared" si="142"/>
        <v>POSITIVE</v>
      </c>
      <c r="AZ221" s="12" cm="1">
        <f t="array" ref="AZ221">_xll.BDP($B221, "INTERVAL_RSI", "TECH_STUDIES_PARAM1_OVERRIDE", "5", "PERIODICITY_OVERRIDE", "W")</f>
        <v>68.003188392516989</v>
      </c>
      <c r="BA221" cm="1">
        <f t="array" ref="BA221">IFERROR(VALUE(_xll.BDP($B221,"INTERVAL_MAE_MOV_AVG","CALC_INTERVAL","520D","TECH_STUDIES_PARAM1_OVERRIDE",31,"USE_PREVIOUS_BUSINESS_DAY","N")),"")</f>
        <v>63.676451721191413</v>
      </c>
      <c r="BB221" cm="1">
        <f t="array" ref="BB221">IFERROR(VALUE(_xll.BDP($B221,"INTERVAL_MAE_MOV_AVG","CALC_INTERVAL","760D","TECH_STUDIES_PARAM1_OVERRIDE",200,"USE_PREVIOUS_BUSINESS_DAY","N")),"")</f>
        <v>57.883209784496039</v>
      </c>
      <c r="BC221" s="13">
        <f t="shared" si="143"/>
        <v>3.2249728483617401E-2</v>
      </c>
      <c r="BD221" s="13">
        <f t="shared" si="144"/>
        <v>4.7166417821294271E-2</v>
      </c>
      <c r="BE221" s="13">
        <f t="shared" si="145"/>
        <v>0.13556245834877179</v>
      </c>
      <c r="BF221" s="14" cm="1">
        <f t="array" ref="BF221">VALUE(_xll.BDP($B221,"INTERVAL_DATE_OF_CALC_HI","CALC_INTERVAL","3M"))</f>
        <v>46059</v>
      </c>
      <c r="BG221" s="14" cm="1">
        <f t="array" ref="BG221">VALUE(_xll.BDP($B221,"INTERVAL_DATE_OF_CALC_LO","CALC_INTERVAL","3M"))</f>
        <v>45978</v>
      </c>
      <c r="BH221" s="14" cm="1">
        <f t="array" ref="BH221">VALUE(_xll.BDP($B221,"INTERVAL_DATE_OF_CALC_HI","CALC_INTERVAL","1M"))</f>
        <v>46059</v>
      </c>
      <c r="BI221" s="14" cm="1">
        <f t="array" ref="BI221">VALUE(_xll.BDP($B221,"INTERVAL_DATE_OF_CALC_LO","CALC_INTERVAL","1M"))</f>
        <v>46035</v>
      </c>
      <c r="BJ221" s="15">
        <f>$F221-MIN(_xll.BDP("NYA Index","RSI_14D"),_xll.BDP("RSP US Equity","RSI_14D"))</f>
        <v>-8.2607348562968355</v>
      </c>
    </row>
    <row r="222" spans="1:62" x14ac:dyDescent="0.25">
      <c r="A222" s="11">
        <v>221</v>
      </c>
      <c r="B222" s="26" t="s">
        <v>461</v>
      </c>
      <c r="C222" s="1" t="s">
        <v>883</v>
      </c>
      <c r="D222" s="1" t="s">
        <v>308</v>
      </c>
      <c r="E222" s="11" t="s">
        <v>787</v>
      </c>
      <c r="F222">
        <f>IFERROR(VALUE((_xll.BDP($B222,"interval_rsi","tech_studies_param1_override",14))),"")</f>
        <v>54.806237604214381</v>
      </c>
      <c r="G222">
        <f t="shared" si="0"/>
        <v>52.525531939815814</v>
      </c>
      <c r="H222">
        <f t="shared" si="119"/>
        <v>0</v>
      </c>
      <c r="I222" cm="1">
        <f t="array" ref="I222">IFERROR(VALUE(_xll.BDP($B222,"px_last")),"")</f>
        <v>88.17</v>
      </c>
      <c r="J222">
        <f t="shared" si="1"/>
        <v>6941.47</v>
      </c>
      <c r="K222" cm="1">
        <f t="array" ref="K222">IFERROR(VALUE(_xll.BDP($B222,"PX_YEST_CLOSE")),"")</f>
        <v>89.79</v>
      </c>
      <c r="L222">
        <f t="shared" si="2"/>
        <v>6941.81</v>
      </c>
      <c r="M222">
        <f t="shared" si="120"/>
        <v>1.2701920486582812E-2</v>
      </c>
      <c r="N222">
        <f t="shared" si="121"/>
        <v>1.2934666895233376E-2</v>
      </c>
      <c r="O222" cm="1">
        <f t="array" ref="O222">IFERROR(VALUE(_xll.BDP($B222,"INTERVAL_MAE_MOV_AVG","CALC_INTERVAL","520D","TECH_STUDIES_PARAM1_OVERRIDE",50,"USE_PREVIOUS_BUSINESS_DAY","N")),"")</f>
        <v>85.522355301378909</v>
      </c>
      <c r="P222">
        <f t="shared" si="3"/>
        <v>6894.0953999999992</v>
      </c>
      <c r="Q222" cm="1">
        <f t="array" ref="Q222">IFERROR(VALUE(_xll.BDP($B222,"INTERVAL_MAE_MOV_AVG","CALC_INTERVAL","520D","TECH_STUDIES_PARAM1_OVERRIDE",50,"USE_PREVIOUS_BUSINESS_DAY","Y")),"")</f>
        <v>85.337090193999998</v>
      </c>
      <c r="R222">
        <f t="shared" si="4"/>
        <v>6892.2477999999992</v>
      </c>
      <c r="S222">
        <f t="shared" si="122"/>
        <v>1.240515982726014E-2</v>
      </c>
      <c r="T222">
        <f t="shared" si="123"/>
        <v>1.2381605054014455E-2</v>
      </c>
      <c r="U222" s="11" t="str">
        <f t="shared" si="124"/>
        <v>NEGATIVE</v>
      </c>
      <c r="V222" s="11" t="str">
        <f t="shared" si="125"/>
        <v/>
      </c>
      <c r="W222" s="11" t="str">
        <f t="shared" si="126"/>
        <v>UP</v>
      </c>
      <c r="X222" s="6" t="str">
        <f t="shared" si="127"/>
        <v>POSITIVE</v>
      </c>
      <c r="Y222" cm="1">
        <f t="array" ref="Y222">IFERROR(VALUE(_xll.BDP($B222,"INTERVAL_MAE_MOV_AVG","CALC_INTERVAL","520D","TECH_STUDIES_PARAM1_OVERRIDE",65,"USE_PREVIOUS_BUSINESS_DAY","N")),"")</f>
        <v>83.515574534906875</v>
      </c>
      <c r="Z222">
        <f t="shared" si="5"/>
        <v>6856.0226153846133</v>
      </c>
      <c r="AA222" cm="1">
        <f t="array" ref="AA222">IFERROR(VALUE(_xll.BDP($B222,"INTERVAL_MAE_MOV_AVG","CALC_INTERVAL","520D","TECH_STUDIES_PARAM1_OVERRIDE",65,"USE_PREVIOUS_BUSINESS_DAY","Y")),"")</f>
        <v>83.33786265230772</v>
      </c>
      <c r="AB222">
        <f t="shared" si="6"/>
        <v>6852.6203076923057</v>
      </c>
      <c r="AC222">
        <f t="shared" si="128"/>
        <v>1.2181344668773641E-2</v>
      </c>
      <c r="AD222">
        <f t="shared" si="129"/>
        <v>1.216145925358772E-2</v>
      </c>
      <c r="AE222" s="10" t="str">
        <f t="shared" si="130"/>
        <v>UP</v>
      </c>
      <c r="AF222" s="10" t="str">
        <f t="shared" si="131"/>
        <v>UP</v>
      </c>
      <c r="AG222" s="6" t="str">
        <f t="shared" si="132"/>
        <v>POSITIVE</v>
      </c>
      <c r="AH222" cm="1">
        <f t="array" ref="AH222">IFERROR(VALUE(_xll.BDP($B222,"INTERVAL_MAE_MOV_AVG","CALC_INTERVAL","65W","PERIODICITY_OVERRIDE","W","TECH_STUDIES_PARAM1_OVERRIDE",39,"USE_PREVIOUS_BUSINESS_DAY","N")),"")</f>
        <v>76.9064699234915</v>
      </c>
      <c r="AI222">
        <f t="shared" si="7"/>
        <v>6560.7735897435905</v>
      </c>
      <c r="AJ222" cm="1">
        <f t="array" ref="AJ222">IFERROR(VALUE(_xll.BDP($B222,"INTERVAL_MAE_MOV_AVG","CALC_INTERVAL","65W","PERIODICITY_OVERRIDE","W","TECH_STUDIES_PARAM1_OVERRIDE",39,"USE_PREVIOUS_BUSINESS_DAY","Y")),"")</f>
        <v>76.948008431980085</v>
      </c>
      <c r="AK222">
        <f t="shared" si="8"/>
        <v>6560.7823076923087</v>
      </c>
      <c r="AL222">
        <f t="shared" si="133"/>
        <v>1.1722164905022606E-2</v>
      </c>
      <c r="AM222">
        <f t="shared" si="134"/>
        <v>1.1728480663313732E-2</v>
      </c>
      <c r="AN222" s="10" t="str">
        <f t="shared" si="135"/>
        <v>DOWN</v>
      </c>
      <c r="AO222" s="10" t="str">
        <f t="shared" si="136"/>
        <v>DOWN</v>
      </c>
      <c r="AP222" s="6" t="str">
        <f t="shared" si="137"/>
        <v>POSITIVE</v>
      </c>
      <c r="AQ222" cm="1">
        <f t="array" ref="AQ222">IFERROR(VALUE(_xll.BDP($B222,"INTERVAL_exp_MOV_AVG","CALC_INTERVAL","520D","TECH_STUDIES_PARAM1_OVERRIDE",100,"USE_PREVIOUS_BUSINESS_DAY","N")),"")</f>
        <v>81.834030699090334</v>
      </c>
      <c r="AR222">
        <f t="shared" si="9"/>
        <v>6773.0064518682802</v>
      </c>
      <c r="AS222" cm="1">
        <f t="array" ref="AS222">IFERROR(VALUE(_xll.BDP($B222,"INTERVAL_exp_MOV_AVG","CALC_INTERVAL","520D","TECH_STUDIES_PARAM1_OVERRIDE",100,"USE_PREVIOUS_BUSINESS_DAY","Y")),"")</f>
        <v>81.706040782346832</v>
      </c>
      <c r="AT222">
        <f t="shared" si="10"/>
        <v>6769.6039787132295</v>
      </c>
      <c r="AU222">
        <f t="shared" si="138"/>
        <v>1.2082378967248298E-2</v>
      </c>
      <c r="AV222">
        <f t="shared" si="139"/>
        <v>1.2069545137244139E-2</v>
      </c>
      <c r="AW222" s="11" t="str">
        <f t="shared" si="140"/>
        <v>UP</v>
      </c>
      <c r="AX222" s="11" t="str">
        <f t="shared" si="141"/>
        <v>UP</v>
      </c>
      <c r="AY222" s="6" t="str">
        <f t="shared" si="142"/>
        <v>POSITIVE</v>
      </c>
      <c r="AZ222" s="12" cm="1">
        <f t="array" ref="AZ222">_xll.BDP($B222, "INTERVAL_RSI", "TECH_STUDIES_PARAM1_OVERRIDE", "5", "PERIODICITY_OVERRIDE", "W")</f>
        <v>61.321289454920404</v>
      </c>
      <c r="BA222" cm="1">
        <f t="array" ref="BA222">IFERROR(VALUE(_xll.BDP($B222,"INTERVAL_MAE_MOV_AVG","CALC_INTERVAL","520D","TECH_STUDIES_PARAM1_OVERRIDE",31,"USE_PREVIOUS_BUSINESS_DAY","N")),"")</f>
        <v>86.841935424804689</v>
      </c>
      <c r="BB222" cm="1">
        <f t="array" ref="BB222">IFERROR(VALUE(_xll.BDP($B222,"INTERVAL_MAE_MOV_AVG","CALC_INTERVAL","760D","TECH_STUDIES_PARAM1_OVERRIDE",200,"USE_PREVIOUS_BUSINESS_DAY","N")),"")</f>
        <v>75.516815567365143</v>
      </c>
      <c r="BC222" s="13">
        <f t="shared" si="143"/>
        <v>1.5292894713813343E-2</v>
      </c>
      <c r="BD222" s="13">
        <f t="shared" si="144"/>
        <v>3.0958510079509116E-2</v>
      </c>
      <c r="BE222" s="13">
        <f t="shared" si="145"/>
        <v>0.16755452858506104</v>
      </c>
      <c r="BF222" s="14" cm="1">
        <f t="array" ref="BF222">VALUE(_xll.BDP($B222,"INTERVAL_DATE_OF_CALC_HI","CALC_INTERVAL","3M"))</f>
        <v>46062</v>
      </c>
      <c r="BG222" s="14" cm="1">
        <f t="array" ref="BG222">VALUE(_xll.BDP($B222,"INTERVAL_DATE_OF_CALC_LO","CALC_INTERVAL","3M"))</f>
        <v>45978</v>
      </c>
      <c r="BH222" s="14" cm="1">
        <f t="array" ref="BH222">VALUE(_xll.BDP($B222,"INTERVAL_DATE_OF_CALC_HI","CALC_INTERVAL","1M"))</f>
        <v>46062</v>
      </c>
      <c r="BI222" s="14" cm="1">
        <f t="array" ref="BI222">VALUE(_xll.BDP($B222,"INTERVAL_DATE_OF_CALC_LO","CALC_INTERVAL","1M"))</f>
        <v>46045</v>
      </c>
      <c r="BJ222" s="15">
        <f>$F222-MIN(_xll.BDP("NYA Index","RSI_14D"),_xll.BDP("RSP US Equity","RSI_14D"))</f>
        <v>-11.539526555941869</v>
      </c>
    </row>
    <row r="223" spans="1:62" x14ac:dyDescent="0.25">
      <c r="A223" s="11">
        <v>222</v>
      </c>
      <c r="B223" s="26" t="s">
        <v>462</v>
      </c>
      <c r="C223" s="1" t="s">
        <v>463</v>
      </c>
      <c r="D223" s="1" t="s">
        <v>308</v>
      </c>
      <c r="E223" s="11" t="s">
        <v>787</v>
      </c>
      <c r="F223">
        <f>IFERROR(VALUE((_xll.BDP($B223,"interval_rsi","tech_studies_param1_override",14))),"")</f>
        <v>42.4307035736743</v>
      </c>
      <c r="G223">
        <f t="shared" si="0"/>
        <v>52.525531939815814</v>
      </c>
      <c r="H223">
        <f t="shared" si="119"/>
        <v>0</v>
      </c>
      <c r="I223" cm="1">
        <f t="array" ref="I223">IFERROR(VALUE(_xll.BDP($B223,"px_last")),"")</f>
        <v>57.81</v>
      </c>
      <c r="J223">
        <f t="shared" si="1"/>
        <v>6941.47</v>
      </c>
      <c r="K223" cm="1">
        <f t="array" ref="K223">IFERROR(VALUE(_xll.BDP($B223,"PX_YEST_CLOSE")),"")</f>
        <v>57.87</v>
      </c>
      <c r="L223">
        <f t="shared" si="2"/>
        <v>6941.81</v>
      </c>
      <c r="M223">
        <f t="shared" si="120"/>
        <v>8.3282071376812108E-3</v>
      </c>
      <c r="N223">
        <f t="shared" si="121"/>
        <v>8.3364425128316672E-3</v>
      </c>
      <c r="O223" cm="1">
        <f t="array" ref="O223">IFERROR(VALUE(_xll.BDP($B223,"INTERVAL_MAE_MOV_AVG","CALC_INTERVAL","520D","TECH_STUDIES_PARAM1_OVERRIDE",50,"USE_PREVIOUS_BUSINESS_DAY","N")),"")</f>
        <v>59.249189665865835</v>
      </c>
      <c r="P223">
        <f t="shared" si="3"/>
        <v>6894.0953999999992</v>
      </c>
      <c r="Q223" cm="1">
        <f t="array" ref="Q223">IFERROR(VALUE(_xll.BDP($B223,"INTERVAL_MAE_MOV_AVG","CALC_INTERVAL","520D","TECH_STUDIES_PARAM1_OVERRIDE",50,"USE_PREVIOUS_BUSINESS_DAY","Y")),"")</f>
        <v>59.286971402200017</v>
      </c>
      <c r="R223">
        <f t="shared" si="4"/>
        <v>6892.2477999999992</v>
      </c>
      <c r="S223">
        <f t="shared" si="122"/>
        <v>8.5941934696560536E-3</v>
      </c>
      <c r="T223">
        <f t="shared" si="123"/>
        <v>8.6019790818026055E-3</v>
      </c>
      <c r="U223" s="11" t="str">
        <f t="shared" si="124"/>
        <v>NEGATIVE</v>
      </c>
      <c r="V223" s="11" t="str">
        <f t="shared" si="125"/>
        <v/>
      </c>
      <c r="W223" s="11" t="str">
        <f t="shared" si="126"/>
        <v>DOWN</v>
      </c>
      <c r="X223" s="6" t="str">
        <f t="shared" si="127"/>
        <v>NEGATIVE</v>
      </c>
      <c r="Y223" cm="1">
        <f t="array" ref="Y223">IFERROR(VALUE(_xll.BDP($B223,"INTERVAL_MAE_MOV_AVG","CALC_INTERVAL","520D","TECH_STUDIES_PARAM1_OVERRIDE",65,"USE_PREVIOUS_BUSINESS_DAY","N")),"")</f>
        <v>59.121449148819877</v>
      </c>
      <c r="Z223">
        <f t="shared" si="5"/>
        <v>6856.0226153846133</v>
      </c>
      <c r="AA223" cm="1">
        <f t="array" ref="AA223">IFERROR(VALUE(_xll.BDP($B223,"INTERVAL_MAE_MOV_AVG","CALC_INTERVAL","520D","TECH_STUDIES_PARAM1_OVERRIDE",65,"USE_PREVIOUS_BUSINESS_DAY","Y")),"")</f>
        <v>59.11286195000001</v>
      </c>
      <c r="AB223">
        <f t="shared" si="6"/>
        <v>6852.6203076923057</v>
      </c>
      <c r="AC223">
        <f t="shared" si="128"/>
        <v>8.6232867750689664E-3</v>
      </c>
      <c r="AD223">
        <f t="shared" si="129"/>
        <v>8.6263150876233069E-3</v>
      </c>
      <c r="AE223" s="10" t="str">
        <f t="shared" si="130"/>
        <v>UP</v>
      </c>
      <c r="AF223" s="10" t="str">
        <f t="shared" si="131"/>
        <v>DOWN</v>
      </c>
      <c r="AG223" s="6" t="str">
        <f t="shared" si="132"/>
        <v>NEGATIVE</v>
      </c>
      <c r="AH223" cm="1">
        <f t="array" ref="AH223">IFERROR(VALUE(_xll.BDP($B223,"INTERVAL_MAE_MOV_AVG","CALC_INTERVAL","65W","PERIODICITY_OVERRIDE","W","TECH_STUDIES_PARAM1_OVERRIDE",39,"USE_PREVIOUS_BUSINESS_DAY","N")),"")</f>
        <v>58.293843862295006</v>
      </c>
      <c r="AI223">
        <f t="shared" si="7"/>
        <v>6560.7735897435905</v>
      </c>
      <c r="AJ223" cm="1">
        <f t="array" ref="AJ223">IFERROR(VALUE(_xll.BDP($B223,"INTERVAL_MAE_MOV_AVG","CALC_INTERVAL","65W","PERIODICITY_OVERRIDE","W","TECH_STUDIES_PARAM1_OVERRIDE",39,"USE_PREVIOUS_BUSINESS_DAY","Y")),"")</f>
        <v>58.295382288620878</v>
      </c>
      <c r="AK223">
        <f t="shared" si="8"/>
        <v>6560.7823076923087</v>
      </c>
      <c r="AL223">
        <f t="shared" si="133"/>
        <v>8.8852088957048214E-3</v>
      </c>
      <c r="AM223">
        <f t="shared" si="134"/>
        <v>8.885431577309217E-3</v>
      </c>
      <c r="AN223" s="10" t="str">
        <f t="shared" si="135"/>
        <v>DOWN</v>
      </c>
      <c r="AO223" s="10" t="str">
        <f t="shared" si="136"/>
        <v>DOWN</v>
      </c>
      <c r="AP223" s="6" t="str">
        <f t="shared" si="137"/>
        <v>NEGATIVE</v>
      </c>
      <c r="AQ223" cm="1">
        <f t="array" ref="AQ223">IFERROR(VALUE(_xll.BDP($B223,"INTERVAL_exp_MOV_AVG","CALC_INTERVAL","520D","TECH_STUDIES_PARAM1_OVERRIDE",100,"USE_PREVIOUS_BUSINESS_DAY","N")),"")</f>
        <v>58.655422771621744</v>
      </c>
      <c r="AR223">
        <f t="shared" si="9"/>
        <v>6773.0064518682802</v>
      </c>
      <c r="AS223" cm="1">
        <f t="array" ref="AS223">IFERROR(VALUE(_xll.BDP($B223,"INTERVAL_exp_MOV_AVG","CALC_INTERVAL","520D","TECH_STUDIES_PARAM1_OVERRIDE",100,"USE_PREVIOUS_BUSINESS_DAY","Y")),"")</f>
        <v>58.672503194825637</v>
      </c>
      <c r="AT223">
        <f t="shared" si="10"/>
        <v>6769.6039787132295</v>
      </c>
      <c r="AU223">
        <f t="shared" si="138"/>
        <v>8.6601752395263267E-3</v>
      </c>
      <c r="AV223">
        <f t="shared" si="139"/>
        <v>8.6670510386307915E-3</v>
      </c>
      <c r="AW223" s="11" t="str">
        <f t="shared" si="140"/>
        <v>DOWN</v>
      </c>
      <c r="AX223" s="11" t="str">
        <f t="shared" si="141"/>
        <v>DOWN</v>
      </c>
      <c r="AY223" s="6" t="str">
        <f t="shared" si="142"/>
        <v>NEGATIVE</v>
      </c>
      <c r="AZ223" s="12" cm="1">
        <f t="array" ref="AZ223">_xll.BDP($B223, "INTERVAL_RSI", "TECH_STUDIES_PARAM1_OVERRIDE", "5", "PERIODICITY_OVERRIDE", "W")</f>
        <v>38.13094563345711</v>
      </c>
      <c r="BA223" cm="1">
        <f t="array" ref="BA223">IFERROR(VALUE(_xll.BDP($B223,"INTERVAL_MAE_MOV_AVG","CALC_INTERVAL","520D","TECH_STUDIES_PARAM1_OVERRIDE",31,"USE_PREVIOUS_BUSINESS_DAY","N")),"")</f>
        <v>58.962903270106175</v>
      </c>
      <c r="BB223" cm="1">
        <f t="array" ref="BB223">IFERROR(VALUE(_xll.BDP($B223,"INTERVAL_MAE_MOV_AVG","CALC_INTERVAL","760D","TECH_STUDIES_PARAM1_OVERRIDE",200,"USE_PREVIOUS_BUSINESS_DAY","N")),"")</f>
        <v>58.175582369814251</v>
      </c>
      <c r="BC223" s="13">
        <f t="shared" si="143"/>
        <v>-1.95530275167215E-2</v>
      </c>
      <c r="BD223" s="13">
        <f t="shared" si="144"/>
        <v>-2.4290453151884495E-2</v>
      </c>
      <c r="BE223" s="13">
        <f t="shared" si="145"/>
        <v>-6.2841205007676537E-3</v>
      </c>
      <c r="BF223" s="14" cm="1">
        <f t="array" ref="BF223">VALUE(_xll.BDP($B223,"INTERVAL_DATE_OF_CALC_HI","CALC_INTERVAL","3M"))</f>
        <v>46015</v>
      </c>
      <c r="BG223" s="14" cm="1">
        <f t="array" ref="BG223">VALUE(_xll.BDP($B223,"INTERVAL_DATE_OF_CALC_LO","CALC_INTERVAL","3M"))</f>
        <v>46062</v>
      </c>
      <c r="BH223" s="14" cm="1">
        <f t="array" ref="BH223">VALUE(_xll.BDP($B223,"INTERVAL_DATE_OF_CALC_HI","CALC_INTERVAL","1M"))</f>
        <v>46034</v>
      </c>
      <c r="BI223" s="14" cm="1">
        <f t="array" ref="BI223">VALUE(_xll.BDP($B223,"INTERVAL_DATE_OF_CALC_LO","CALC_INTERVAL","1M"))</f>
        <v>46062</v>
      </c>
      <c r="BJ223" s="15">
        <f>$F223-MIN(_xll.BDP("NYA Index","RSI_14D"),_xll.BDP("RSP US Equity","RSI_14D"))</f>
        <v>-23.91506058648195</v>
      </c>
    </row>
    <row r="224" spans="1:62" x14ac:dyDescent="0.25">
      <c r="A224" s="11">
        <v>223</v>
      </c>
      <c r="B224" s="26" t="s">
        <v>464</v>
      </c>
      <c r="C224" s="1" t="s">
        <v>465</v>
      </c>
      <c r="D224" s="1" t="s">
        <v>308</v>
      </c>
      <c r="E224" s="11" t="s">
        <v>787</v>
      </c>
      <c r="F224">
        <f>IFERROR(VALUE((_xll.BDP($B224,"interval_rsi","tech_studies_param1_override",14))),"")</f>
        <v>61.021807179479751</v>
      </c>
      <c r="G224">
        <f t="shared" si="0"/>
        <v>52.525531939815814</v>
      </c>
      <c r="H224">
        <f t="shared" si="119"/>
        <v>0</v>
      </c>
      <c r="I224" cm="1">
        <f t="array" ref="I224">IFERROR(VALUE(_xll.BDP($B224,"px_last")),"")</f>
        <v>71.81</v>
      </c>
      <c r="J224">
        <f t="shared" si="1"/>
        <v>6941.47</v>
      </c>
      <c r="K224" cm="1">
        <f t="array" ref="K224">IFERROR(VALUE(_xll.BDP($B224,"PX_YEST_CLOSE")),"")</f>
        <v>72.64</v>
      </c>
      <c r="L224">
        <f t="shared" si="2"/>
        <v>6941.81</v>
      </c>
      <c r="M224">
        <f t="shared" si="120"/>
        <v>1.0345071000811067E-2</v>
      </c>
      <c r="N224">
        <f t="shared" si="121"/>
        <v>1.0464129672232458E-2</v>
      </c>
      <c r="O224" cm="1">
        <f t="array" ref="O224">IFERROR(VALUE(_xll.BDP($B224,"INTERVAL_MAE_MOV_AVG","CALC_INTERVAL","520D","TECH_STUDIES_PARAM1_OVERRIDE",50,"USE_PREVIOUS_BUSINESS_DAY","N")),"")</f>
        <v>67.54119323117186</v>
      </c>
      <c r="P224">
        <f t="shared" si="3"/>
        <v>6894.0953999999992</v>
      </c>
      <c r="Q224" cm="1">
        <f t="array" ref="Q224">IFERROR(VALUE(_xll.BDP($B224,"INTERVAL_MAE_MOV_AVG","CALC_INTERVAL","520D","TECH_STUDIES_PARAM1_OVERRIDE",50,"USE_PREVIOUS_BUSINESS_DAY","Y")),"")</f>
        <v>67.356957323999978</v>
      </c>
      <c r="R224">
        <f t="shared" si="4"/>
        <v>6892.2477999999992</v>
      </c>
      <c r="S224">
        <f t="shared" si="122"/>
        <v>9.7969623732175031E-3</v>
      </c>
      <c r="T224">
        <f t="shared" si="123"/>
        <v>9.7728577495428976E-3</v>
      </c>
      <c r="U224" s="11" t="str">
        <f t="shared" si="124"/>
        <v>NEGATIVE</v>
      </c>
      <c r="V224" s="11" t="str">
        <f t="shared" si="125"/>
        <v/>
      </c>
      <c r="W224" s="11" t="str">
        <f t="shared" si="126"/>
        <v>UP</v>
      </c>
      <c r="X224" s="6" t="str">
        <f t="shared" si="127"/>
        <v>POSITIVE</v>
      </c>
      <c r="Y224" cm="1">
        <f t="array" ref="Y224">IFERROR(VALUE(_xll.BDP($B224,"INTERVAL_MAE_MOV_AVG","CALC_INTERVAL","520D","TECH_STUDIES_PARAM1_OVERRIDE",65,"USE_PREVIOUS_BUSINESS_DAY","N")),"")</f>
        <v>65.975318042439881</v>
      </c>
      <c r="Z224">
        <f t="shared" si="5"/>
        <v>6856.0226153846133</v>
      </c>
      <c r="AA224" cm="1">
        <f t="array" ref="AA224">IFERROR(VALUE(_xll.BDP($B224,"INTERVAL_MAE_MOV_AVG","CALC_INTERVAL","520D","TECH_STUDIES_PARAM1_OVERRIDE",65,"USE_PREVIOUS_BUSINESS_DAY","Y")),"")</f>
        <v>65.790330461538446</v>
      </c>
      <c r="AB224">
        <f t="shared" si="6"/>
        <v>6852.6203076923057</v>
      </c>
      <c r="AC224">
        <f t="shared" si="128"/>
        <v>9.6229726393250465E-3</v>
      </c>
      <c r="AD224">
        <f t="shared" si="129"/>
        <v>9.6007552596612568E-3</v>
      </c>
      <c r="AE224" s="10" t="str">
        <f t="shared" si="130"/>
        <v>UP</v>
      </c>
      <c r="AF224" s="10" t="str">
        <f t="shared" si="131"/>
        <v>UP</v>
      </c>
      <c r="AG224" s="6" t="str">
        <f t="shared" si="132"/>
        <v>POSITIVE</v>
      </c>
      <c r="AH224" cm="1">
        <f t="array" ref="AH224">IFERROR(VALUE(_xll.BDP($B224,"INTERVAL_MAE_MOV_AVG","CALC_INTERVAL","65W","PERIODICITY_OVERRIDE","W","TECH_STUDIES_PARAM1_OVERRIDE",39,"USE_PREVIOUS_BUSINESS_DAY","N")),"")</f>
        <v>62.65274185613697</v>
      </c>
      <c r="AI224">
        <f t="shared" si="7"/>
        <v>6560.7735897435905</v>
      </c>
      <c r="AJ224" cm="1">
        <f t="array" ref="AJ224">IFERROR(VALUE(_xll.BDP($B224,"INTERVAL_MAE_MOV_AVG","CALC_INTERVAL","65W","PERIODICITY_OVERRIDE","W","TECH_STUDIES_PARAM1_OVERRIDE",39,"USE_PREVIOUS_BUSINESS_DAY","Y")),"")</f>
        <v>62.674023970019192</v>
      </c>
      <c r="AK224">
        <f t="shared" si="8"/>
        <v>6560.7823076923087</v>
      </c>
      <c r="AL224">
        <f t="shared" si="133"/>
        <v>9.5495967051936591E-3</v>
      </c>
      <c r="AM224">
        <f t="shared" si="134"/>
        <v>9.5528278535527526E-3</v>
      </c>
      <c r="AN224" s="10" t="str">
        <f t="shared" si="135"/>
        <v>DOWN</v>
      </c>
      <c r="AO224" s="10" t="str">
        <f t="shared" si="136"/>
        <v>DOWN</v>
      </c>
      <c r="AP224" s="6" t="str">
        <f t="shared" si="137"/>
        <v>POSITIVE</v>
      </c>
      <c r="AQ224" cm="1">
        <f t="array" ref="AQ224">IFERROR(VALUE(_xll.BDP($B224,"INTERVAL_exp_MOV_AVG","CALC_INTERVAL","520D","TECH_STUDIES_PARAM1_OVERRIDE",100,"USE_PREVIOUS_BUSINESS_DAY","N")),"")</f>
        <v>65.473082055558677</v>
      </c>
      <c r="AR224">
        <f t="shared" si="9"/>
        <v>6773.0064518682802</v>
      </c>
      <c r="AS224" cm="1">
        <f t="array" ref="AS224">IFERROR(VALUE(_xll.BDP($B224,"INTERVAL_exp_MOV_AVG","CALC_INTERVAL","520D","TECH_STUDIES_PARAM1_OVERRIDE",100,"USE_PREVIOUS_BUSINESS_DAY","Y")),"")</f>
        <v>65.3450697254207</v>
      </c>
      <c r="AT224">
        <f t="shared" si="10"/>
        <v>6769.6039787132295</v>
      </c>
      <c r="AU224">
        <f t="shared" si="138"/>
        <v>9.6667680033729261E-3</v>
      </c>
      <c r="AV224">
        <f t="shared" si="139"/>
        <v>9.6527167513632793E-3</v>
      </c>
      <c r="AW224" s="11" t="str">
        <f t="shared" si="140"/>
        <v>UP</v>
      </c>
      <c r="AX224" s="11" t="str">
        <f t="shared" si="141"/>
        <v>UP</v>
      </c>
      <c r="AY224" s="6" t="str">
        <f t="shared" si="142"/>
        <v>POSITIVE</v>
      </c>
      <c r="AZ224" s="12" cm="1">
        <f t="array" ref="AZ224">_xll.BDP($B224, "INTERVAL_RSI", "TECH_STUDIES_PARAM1_OVERRIDE", "5", "PERIODICITY_OVERRIDE", "W")</f>
        <v>71.667908952848848</v>
      </c>
      <c r="BA224" cm="1">
        <f t="array" ref="BA224">IFERROR(VALUE(_xll.BDP($B224,"INTERVAL_MAE_MOV_AVG","CALC_INTERVAL","520D","TECH_STUDIES_PARAM1_OVERRIDE",31,"USE_PREVIOUS_BUSINESS_DAY","N")),"")</f>
        <v>68.623870888986886</v>
      </c>
      <c r="BB224" cm="1">
        <f t="array" ref="BB224">IFERROR(VALUE(_xll.BDP($B224,"INTERVAL_MAE_MOV_AVG","CALC_INTERVAL","760D","TECH_STUDIES_PARAM1_OVERRIDE",200,"USE_PREVIOUS_BUSINESS_DAY","N")),"")</f>
        <v>61.967886978512901</v>
      </c>
      <c r="BC224" s="13">
        <f t="shared" si="143"/>
        <v>4.6428874817733945E-2</v>
      </c>
      <c r="BD224" s="13">
        <f t="shared" si="144"/>
        <v>6.3203010853204677E-2</v>
      </c>
      <c r="BE224" s="13">
        <f t="shared" si="145"/>
        <v>0.15882602266073409</v>
      </c>
      <c r="BF224" s="14" cm="1">
        <f t="array" ref="BF224">VALUE(_xll.BDP($B224,"INTERVAL_DATE_OF_CALC_HI","CALC_INTERVAL","3M"))</f>
        <v>46059</v>
      </c>
      <c r="BG224" s="14" cm="1">
        <f t="array" ref="BG224">VALUE(_xll.BDP($B224,"INTERVAL_DATE_OF_CALC_LO","CALC_INTERVAL","3M"))</f>
        <v>45978</v>
      </c>
      <c r="BH224" s="14" cm="1">
        <f t="array" ref="BH224">VALUE(_xll.BDP($B224,"INTERVAL_DATE_OF_CALC_HI","CALC_INTERVAL","1M"))</f>
        <v>46059</v>
      </c>
      <c r="BI224" s="14" cm="1">
        <f t="array" ref="BI224">VALUE(_xll.BDP($B224,"INTERVAL_DATE_OF_CALC_LO","CALC_INTERVAL","1M"))</f>
        <v>46035</v>
      </c>
      <c r="BJ224" s="15">
        <f>$F224-MIN(_xll.BDP("NYA Index","RSI_14D"),_xll.BDP("RSP US Equity","RSI_14D"))</f>
        <v>-5.323956980676499</v>
      </c>
    </row>
    <row r="225" spans="1:62" x14ac:dyDescent="0.25">
      <c r="A225" s="11">
        <v>224</v>
      </c>
      <c r="B225" s="26" t="s">
        <v>466</v>
      </c>
      <c r="C225" s="1" t="s">
        <v>884</v>
      </c>
      <c r="D225" s="1" t="s">
        <v>308</v>
      </c>
      <c r="E225" s="11" t="s">
        <v>787</v>
      </c>
      <c r="F225">
        <f>IFERROR(VALUE((_xll.BDP($B225,"interval_rsi","tech_studies_param1_override",14))),"")</f>
        <v>55.494316827407175</v>
      </c>
      <c r="G225">
        <f t="shared" si="0"/>
        <v>52.525531939815814</v>
      </c>
      <c r="H225">
        <f t="shared" si="119"/>
        <v>0</v>
      </c>
      <c r="I225" cm="1">
        <f t="array" ref="I225">IFERROR(VALUE(_xll.BDP($B225,"px_last")),"")</f>
        <v>39.19</v>
      </c>
      <c r="J225">
        <f t="shared" si="1"/>
        <v>6941.47</v>
      </c>
      <c r="K225" cm="1">
        <f t="array" ref="K225">IFERROR(VALUE(_xll.BDP($B225,"PX_YEST_CLOSE")),"")</f>
        <v>39.229999999999997</v>
      </c>
      <c r="L225">
        <f t="shared" si="2"/>
        <v>6941.81</v>
      </c>
      <c r="M225">
        <f t="shared" si="120"/>
        <v>5.6457781997185028E-3</v>
      </c>
      <c r="N225">
        <f t="shared" si="121"/>
        <v>5.6512638634592409E-3</v>
      </c>
      <c r="O225" cm="1">
        <f t="array" ref="O225">IFERROR(VALUE(_xll.BDP($B225,"INTERVAL_MAE_MOV_AVG","CALC_INTERVAL","520D","TECH_STUDIES_PARAM1_OVERRIDE",50,"USE_PREVIOUS_BUSINESS_DAY","N")),"")</f>
        <v>37.681397044534179</v>
      </c>
      <c r="P225">
        <f t="shared" si="3"/>
        <v>6894.0953999999992</v>
      </c>
      <c r="Q225" cm="1">
        <f t="array" ref="Q225">IFERROR(VALUE(_xll.BDP($B225,"INTERVAL_MAE_MOV_AVG","CALC_INTERVAL","520D","TECH_STUDIES_PARAM1_OVERRIDE",50,"USE_PREVIOUS_BUSINESS_DAY","Y")),"")</f>
        <v>37.637456400000005</v>
      </c>
      <c r="R225">
        <f t="shared" si="4"/>
        <v>6892.2477999999992</v>
      </c>
      <c r="S225">
        <f t="shared" si="122"/>
        <v>5.4657492909851793E-3</v>
      </c>
      <c r="T225">
        <f t="shared" si="123"/>
        <v>5.4608391184077874E-3</v>
      </c>
      <c r="U225" s="11" t="str">
        <f t="shared" si="124"/>
        <v>NEGATIVE</v>
      </c>
      <c r="V225" s="11" t="str">
        <f t="shared" si="125"/>
        <v/>
      </c>
      <c r="W225" s="11" t="str">
        <f t="shared" si="126"/>
        <v>UP</v>
      </c>
      <c r="X225" s="6" t="str">
        <f t="shared" si="127"/>
        <v>POSITIVE</v>
      </c>
      <c r="Y225" cm="1">
        <f t="array" ref="Y225">IFERROR(VALUE(_xll.BDP($B225,"INTERVAL_MAE_MOV_AVG","CALC_INTERVAL","520D","TECH_STUDIES_PARAM1_OVERRIDE",65,"USE_PREVIOUS_BUSINESS_DAY","N")),"")</f>
        <v>37.763159046564759</v>
      </c>
      <c r="Z225">
        <f t="shared" si="5"/>
        <v>6856.0226153846133</v>
      </c>
      <c r="AA225" cm="1">
        <f t="array" ref="AA225">IFERROR(VALUE(_xll.BDP($B225,"INTERVAL_MAE_MOV_AVG","CALC_INTERVAL","520D","TECH_STUDIES_PARAM1_OVERRIDE",65,"USE_PREVIOUS_BUSINESS_DAY","Y")),"")</f>
        <v>37.757632267692308</v>
      </c>
      <c r="AB225">
        <f t="shared" si="6"/>
        <v>6852.6203076923057</v>
      </c>
      <c r="AC225">
        <f t="shared" si="128"/>
        <v>5.5080271995932295E-3</v>
      </c>
      <c r="AD225">
        <f t="shared" si="129"/>
        <v>5.5099553998793783E-3</v>
      </c>
      <c r="AE225" s="10" t="str">
        <f t="shared" si="130"/>
        <v>UP</v>
      </c>
      <c r="AF225" s="10" t="str">
        <f t="shared" si="131"/>
        <v>DOWN</v>
      </c>
      <c r="AG225" s="6" t="str">
        <f t="shared" si="132"/>
        <v>POSITIVE</v>
      </c>
      <c r="AH225" cm="1">
        <f t="array" ref="AH225">IFERROR(VALUE(_xll.BDP($B225,"INTERVAL_MAE_MOV_AVG","CALC_INTERVAL","65W","PERIODICITY_OVERRIDE","W","TECH_STUDIES_PARAM1_OVERRIDE",39,"USE_PREVIOUS_BUSINESS_DAY","N")),"")</f>
        <v>37.894206331190304</v>
      </c>
      <c r="AI225">
        <f t="shared" si="7"/>
        <v>6560.7735897435905</v>
      </c>
      <c r="AJ225" cm="1">
        <f t="array" ref="AJ225">IFERROR(VALUE(_xll.BDP($B225,"INTERVAL_MAE_MOV_AVG","CALC_INTERVAL","65W","PERIODICITY_OVERRIDE","W","TECH_STUDIES_PARAM1_OVERRIDE",39,"USE_PREVIOUS_BUSINESS_DAY","Y")),"")</f>
        <v>37.895232007428532</v>
      </c>
      <c r="AK225">
        <f t="shared" si="8"/>
        <v>6560.7823076923087</v>
      </c>
      <c r="AL225">
        <f t="shared" si="133"/>
        <v>5.775874721607531E-3</v>
      </c>
      <c r="AM225">
        <f t="shared" si="134"/>
        <v>5.7760233810833167E-3</v>
      </c>
      <c r="AN225" s="10" t="str">
        <f t="shared" si="135"/>
        <v>DOWN</v>
      </c>
      <c r="AO225" s="10" t="str">
        <f t="shared" si="136"/>
        <v>DOWN</v>
      </c>
      <c r="AP225" s="6" t="str">
        <f t="shared" si="137"/>
        <v>NEGATIVE</v>
      </c>
      <c r="AQ225" cm="1">
        <f t="array" ref="AQ225">IFERROR(VALUE(_xll.BDP($B225,"INTERVAL_exp_MOV_AVG","CALC_INTERVAL","520D","TECH_STUDIES_PARAM1_OVERRIDE",100,"USE_PREVIOUS_BUSINESS_DAY","N")),"")</f>
        <v>38.207907914028681</v>
      </c>
      <c r="AR225">
        <f t="shared" si="9"/>
        <v>6773.0064518682802</v>
      </c>
      <c r="AS225" cm="1">
        <f t="array" ref="AS225">IFERROR(VALUE(_xll.BDP($B225,"INTERVAL_exp_MOV_AVG","CALC_INTERVAL","520D","TECH_STUDIES_PARAM1_OVERRIDE",100,"USE_PREVIOUS_BUSINESS_DAY","Y")),"")</f>
        <v>38.188063618583179</v>
      </c>
      <c r="AT225">
        <f t="shared" si="10"/>
        <v>6769.6039787132295</v>
      </c>
      <c r="AU225">
        <f t="shared" si="138"/>
        <v>5.6412035313342023E-3</v>
      </c>
      <c r="AV225">
        <f t="shared" si="139"/>
        <v>5.641107476694965E-3</v>
      </c>
      <c r="AW225" s="11" t="str">
        <f t="shared" si="140"/>
        <v>UP</v>
      </c>
      <c r="AX225" s="11" t="str">
        <f t="shared" si="141"/>
        <v>UP</v>
      </c>
      <c r="AY225" s="6" t="str">
        <f t="shared" si="142"/>
        <v>POSITIVE</v>
      </c>
      <c r="AZ225" s="12" cm="1">
        <f t="array" ref="AZ225">_xll.BDP($B225, "INTERVAL_RSI", "TECH_STUDIES_PARAM1_OVERRIDE", "5", "PERIODICITY_OVERRIDE", "W")</f>
        <v>64.05136867650566</v>
      </c>
      <c r="BA225" cm="1">
        <f t="array" ref="BA225">IFERROR(VALUE(_xll.BDP($B225,"INTERVAL_MAE_MOV_AVG","CALC_INTERVAL","520D","TECH_STUDIES_PARAM1_OVERRIDE",31,"USE_PREVIOUS_BUSINESS_DAY","N")),"")</f>
        <v>38.333548342797073</v>
      </c>
      <c r="BB225" cm="1">
        <f t="array" ref="BB225">IFERROR(VALUE(_xll.BDP($B225,"INTERVAL_MAE_MOV_AVG","CALC_INTERVAL","760D","TECH_STUDIES_PARAM1_OVERRIDE",200,"USE_PREVIOUS_BUSINESS_DAY","N")),"")</f>
        <v>38.015755066546646</v>
      </c>
      <c r="BC225" s="13">
        <f t="shared" si="143"/>
        <v>2.2342091828915001E-2</v>
      </c>
      <c r="BD225" s="13">
        <f t="shared" si="144"/>
        <v>4.0035749037724333E-2</v>
      </c>
      <c r="BE225" s="13">
        <f t="shared" si="145"/>
        <v>3.0888375921978461E-2</v>
      </c>
      <c r="BF225" s="14" cm="1">
        <f t="array" ref="BF225">VALUE(_xll.BDP($B225,"INTERVAL_DATE_OF_CALC_HI","CALC_INTERVAL","3M"))</f>
        <v>46050</v>
      </c>
      <c r="BG225" s="14" cm="1">
        <f t="array" ref="BG225">VALUE(_xll.BDP($B225,"INTERVAL_DATE_OF_CALC_LO","CALC_INTERVAL","3M"))</f>
        <v>46008</v>
      </c>
      <c r="BH225" s="14" cm="1">
        <f t="array" ref="BH225">VALUE(_xll.BDP($B225,"INTERVAL_DATE_OF_CALC_HI","CALC_INTERVAL","1M"))</f>
        <v>46050</v>
      </c>
      <c r="BI225" s="14" cm="1">
        <f t="array" ref="BI225">VALUE(_xll.BDP($B225,"INTERVAL_DATE_OF_CALC_LO","CALC_INTERVAL","1M"))</f>
        <v>46034</v>
      </c>
      <c r="BJ225" s="15">
        <f>$F225-MIN(_xll.BDP("NYA Index","RSI_14D"),_xll.BDP("RSP US Equity","RSI_14D"))</f>
        <v>-10.851447332749075</v>
      </c>
    </row>
    <row r="226" spans="1:62" x14ac:dyDescent="0.25">
      <c r="A226" s="11">
        <v>225</v>
      </c>
      <c r="B226" s="26" t="s">
        <v>179</v>
      </c>
      <c r="C226" s="1" t="s">
        <v>885</v>
      </c>
      <c r="D226" s="1" t="s">
        <v>308</v>
      </c>
      <c r="E226" s="11" t="s">
        <v>787</v>
      </c>
      <c r="F226">
        <f>IFERROR(VALUE((_xll.BDP($B226,"interval_rsi","tech_studies_param1_override",14))),"")</f>
        <v>58.740172403471391</v>
      </c>
      <c r="G226">
        <f t="shared" si="0"/>
        <v>52.525531939815814</v>
      </c>
      <c r="H226">
        <f t="shared" si="119"/>
        <v>0</v>
      </c>
      <c r="I226" cm="1">
        <f t="array" ref="I226">IFERROR(VALUE(_xll.BDP($B226,"px_last")),"")</f>
        <v>18.559999999999999</v>
      </c>
      <c r="J226">
        <f t="shared" si="1"/>
        <v>6941.47</v>
      </c>
      <c r="K226" cm="1">
        <f t="array" ref="K226">IFERROR(VALUE(_xll.BDP($B226,"PX_YEST_CLOSE")),"")</f>
        <v>18.440000000000001</v>
      </c>
      <c r="L226">
        <f t="shared" si="2"/>
        <v>6941.81</v>
      </c>
      <c r="M226">
        <f t="shared" si="120"/>
        <v>2.6737852356921513E-3</v>
      </c>
      <c r="N226">
        <f t="shared" si="121"/>
        <v>2.6563677196581297E-3</v>
      </c>
      <c r="O226" cm="1">
        <f t="array" ref="O226">IFERROR(VALUE(_xll.BDP($B226,"INTERVAL_MAE_MOV_AVG","CALC_INTERVAL","520D","TECH_STUDIES_PARAM1_OVERRIDE",50,"USE_PREVIOUS_BUSINESS_DAY","N")),"")</f>
        <v>18.045274481038845</v>
      </c>
      <c r="P226">
        <f t="shared" si="3"/>
        <v>6894.0953999999992</v>
      </c>
      <c r="Q226" cm="1">
        <f t="array" ref="Q226">IFERROR(VALUE(_xll.BDP($B226,"INTERVAL_MAE_MOV_AVG","CALC_INTERVAL","520D","TECH_STUDIES_PARAM1_OVERRIDE",50,"USE_PREVIOUS_BUSINESS_DAY","Y")),"")</f>
        <v>18.041596865119999</v>
      </c>
      <c r="R226">
        <f t="shared" si="4"/>
        <v>6892.2477999999992</v>
      </c>
      <c r="S226">
        <f t="shared" si="122"/>
        <v>2.6174970658280777E-3</v>
      </c>
      <c r="T226">
        <f t="shared" si="123"/>
        <v>2.6176651491143428E-3</v>
      </c>
      <c r="U226" s="11" t="str">
        <f t="shared" si="124"/>
        <v>NEGATIVE</v>
      </c>
      <c r="V226" s="11" t="str">
        <f t="shared" si="125"/>
        <v/>
      </c>
      <c r="W226" s="11" t="str">
        <f t="shared" si="126"/>
        <v>DOWN</v>
      </c>
      <c r="X226" s="6" t="str">
        <f t="shared" si="127"/>
        <v>POSITIVE</v>
      </c>
      <c r="Y226" cm="1">
        <f t="array" ref="Y226">IFERROR(VALUE(_xll.BDP($B226,"INTERVAL_MAE_MOV_AVG","CALC_INTERVAL","520D","TECH_STUDIES_PARAM1_OVERRIDE",65,"USE_PREVIOUS_BUSINESS_DAY","N")),"")</f>
        <v>18.132540964429879</v>
      </c>
      <c r="Z226">
        <f t="shared" si="5"/>
        <v>6856.0226153846133</v>
      </c>
      <c r="AA226" cm="1">
        <f t="array" ref="AA226">IFERROR(VALUE(_xll.BDP($B226,"INTERVAL_MAE_MOV_AVG","CALC_INTERVAL","520D","TECH_STUDIES_PARAM1_OVERRIDE",65,"USE_PREVIOUS_BUSINESS_DAY","Y")),"")</f>
        <v>18.129712029107694</v>
      </c>
      <c r="AB226">
        <f t="shared" si="6"/>
        <v>6852.6203076923057</v>
      </c>
      <c r="AC226">
        <f t="shared" si="128"/>
        <v>2.6447609615145164E-3</v>
      </c>
      <c r="AD226">
        <f t="shared" si="129"/>
        <v>2.645661252930716E-3</v>
      </c>
      <c r="AE226" s="10" t="str">
        <f t="shared" si="130"/>
        <v>UP</v>
      </c>
      <c r="AF226" s="10" t="str">
        <f t="shared" si="131"/>
        <v>DOWN</v>
      </c>
      <c r="AG226" s="6" t="str">
        <f t="shared" si="132"/>
        <v>POSITIVE</v>
      </c>
      <c r="AH226" cm="1">
        <f t="array" ref="AH226">IFERROR(VALUE(_xll.BDP($B226,"INTERVAL_MAE_MOV_AVG","CALC_INTERVAL","65W","PERIODICITY_OVERRIDE","W","TECH_STUDIES_PARAM1_OVERRIDE",39,"USE_PREVIOUS_BUSINESS_DAY","N")),"")</f>
        <v>18.21520884008827</v>
      </c>
      <c r="AI226">
        <f t="shared" si="7"/>
        <v>6560.7735897435905</v>
      </c>
      <c r="AJ226" cm="1">
        <f t="array" ref="AJ226">IFERROR(VALUE(_xll.BDP($B226,"INTERVAL_MAE_MOV_AVG","CALC_INTERVAL","65W","PERIODICITY_OVERRIDE","W","TECH_STUDIES_PARAM1_OVERRIDE",39,"USE_PREVIOUS_BUSINESS_DAY","Y")),"")</f>
        <v>18.21213193070513</v>
      </c>
      <c r="AK226">
        <f t="shared" si="8"/>
        <v>6560.7823076923087</v>
      </c>
      <c r="AL226">
        <f t="shared" si="133"/>
        <v>2.7763812591496792E-3</v>
      </c>
      <c r="AM226">
        <f t="shared" si="134"/>
        <v>2.775908584766177E-3</v>
      </c>
      <c r="AN226" s="10" t="str">
        <f t="shared" si="135"/>
        <v>UP</v>
      </c>
      <c r="AO226" s="10" t="str">
        <f t="shared" si="136"/>
        <v>UP</v>
      </c>
      <c r="AP226" s="6" t="str">
        <f t="shared" si="137"/>
        <v>NEGATIVE</v>
      </c>
      <c r="AQ226" cm="1">
        <f t="array" ref="AQ226">IFERROR(VALUE(_xll.BDP($B226,"INTERVAL_exp_MOV_AVG","CALC_INTERVAL","520D","TECH_STUDIES_PARAM1_OVERRIDE",100,"USE_PREVIOUS_BUSINESS_DAY","N")),"")</f>
        <v>18.218455740594035</v>
      </c>
      <c r="AR226">
        <f t="shared" si="9"/>
        <v>6773.0064518682802</v>
      </c>
      <c r="AS226" cm="1">
        <f t="array" ref="AS226">IFERROR(VALUE(_xll.BDP($B226,"INTERVAL_exp_MOV_AVG","CALC_INTERVAL","520D","TECH_STUDIES_PARAM1_OVERRIDE",100,"USE_PREVIOUS_BUSINESS_DAY","Y")),"")</f>
        <v>18.211572603765262</v>
      </c>
      <c r="AT226">
        <f t="shared" si="10"/>
        <v>6769.6039787132295</v>
      </c>
      <c r="AU226">
        <f t="shared" si="138"/>
        <v>2.6898624517873622E-3</v>
      </c>
      <c r="AV226">
        <f t="shared" si="139"/>
        <v>2.6901976335736745E-3</v>
      </c>
      <c r="AW226" s="11" t="str">
        <f t="shared" si="140"/>
        <v>UP</v>
      </c>
      <c r="AX226" s="11" t="str">
        <f t="shared" si="141"/>
        <v>DOWN</v>
      </c>
      <c r="AY226" s="6" t="str">
        <f t="shared" si="142"/>
        <v>NEGATIVE</v>
      </c>
      <c r="AZ226" s="12" cm="1">
        <f t="array" ref="AZ226">_xll.BDP($B226, "INTERVAL_RSI", "TECH_STUDIES_PARAM1_OVERRIDE", "5", "PERIODICITY_OVERRIDE", "W")</f>
        <v>58.268630548321106</v>
      </c>
      <c r="BA226" cm="1">
        <f t="array" ref="BA226">IFERROR(VALUE(_xll.BDP($B226,"INTERVAL_MAE_MOV_AVG","CALC_INTERVAL","520D","TECH_STUDIES_PARAM1_OVERRIDE",31,"USE_PREVIOUS_BUSINESS_DAY","N")),"")</f>
        <v>18.180325789223946</v>
      </c>
      <c r="BB226" cm="1">
        <f t="array" ref="BB226">IFERROR(VALUE(_xll.BDP($B226,"INTERVAL_MAE_MOV_AVG","CALC_INTERVAL","760D","TECH_STUDIES_PARAM1_OVERRIDE",200,"USE_PREVIOUS_BUSINESS_DAY","N")),"")</f>
        <v>17.966016057759209</v>
      </c>
      <c r="BC226" s="13">
        <f t="shared" si="143"/>
        <v>2.088379576790067E-2</v>
      </c>
      <c r="BD226" s="13">
        <f t="shared" si="144"/>
        <v>2.8524116909499186E-2</v>
      </c>
      <c r="BE226" s="13">
        <f t="shared" si="145"/>
        <v>3.3061527960967174E-2</v>
      </c>
      <c r="BF226" s="14" cm="1">
        <f t="array" ref="BF226">VALUE(_xll.BDP($B226,"INTERVAL_DATE_OF_CALC_HI","CALC_INTERVAL","3M"))</f>
        <v>46035</v>
      </c>
      <c r="BG226" s="14" cm="1">
        <f t="array" ref="BG226">VALUE(_xll.BDP($B226,"INTERVAL_DATE_OF_CALC_LO","CALC_INTERVAL","3M"))</f>
        <v>46022</v>
      </c>
      <c r="BH226" s="14" cm="1">
        <f t="array" ref="BH226">VALUE(_xll.BDP($B226,"INTERVAL_DATE_OF_CALC_HI","CALC_INTERVAL","1M"))</f>
        <v>46035</v>
      </c>
      <c r="BI226" s="14" cm="1">
        <f t="array" ref="BI226">VALUE(_xll.BDP($B226,"INTERVAL_DATE_OF_CALC_LO","CALC_INTERVAL","1M"))</f>
        <v>46055</v>
      </c>
      <c r="BJ226" s="15">
        <f>$F226-MIN(_xll.BDP("NYA Index","RSI_14D"),_xll.BDP("RSP US Equity","RSI_14D"))</f>
        <v>-7.6055917566848592</v>
      </c>
    </row>
    <row r="227" spans="1:62" x14ac:dyDescent="0.25">
      <c r="A227" s="11">
        <v>226</v>
      </c>
      <c r="B227" s="26" t="s">
        <v>168</v>
      </c>
      <c r="C227" s="1" t="s">
        <v>886</v>
      </c>
      <c r="D227" s="1" t="s">
        <v>308</v>
      </c>
      <c r="E227" s="11" t="s">
        <v>787</v>
      </c>
      <c r="F227">
        <f>IFERROR(VALUE((_xll.BDP($B227,"interval_rsi","tech_studies_param1_override",14))),"")</f>
        <v>41.06426123096162</v>
      </c>
      <c r="G227">
        <f t="shared" si="0"/>
        <v>52.525531939815814</v>
      </c>
      <c r="H227">
        <f t="shared" si="119"/>
        <v>0</v>
      </c>
      <c r="I227" cm="1">
        <f t="array" ref="I227">IFERROR(VALUE(_xll.BDP($B227,"px_last")),"")</f>
        <v>34.1</v>
      </c>
      <c r="J227">
        <f t="shared" si="1"/>
        <v>6941.47</v>
      </c>
      <c r="K227" cm="1">
        <f t="array" ref="K227">IFERROR(VALUE(_xll.BDP($B227,"PX_YEST_CLOSE")),"")</f>
        <v>34.31</v>
      </c>
      <c r="L227">
        <f t="shared" si="2"/>
        <v>6941.81</v>
      </c>
      <c r="M227">
        <f t="shared" si="120"/>
        <v>4.9125041237662913E-3</v>
      </c>
      <c r="N227">
        <f t="shared" si="121"/>
        <v>4.9425149924875499E-3</v>
      </c>
      <c r="O227" cm="1">
        <f t="array" ref="O227">IFERROR(VALUE(_xll.BDP($B227,"INTERVAL_MAE_MOV_AVG","CALC_INTERVAL","520D","TECH_STUDIES_PARAM1_OVERRIDE",50,"USE_PREVIOUS_BUSINESS_DAY","N")),"")</f>
        <v>35.163772599882435</v>
      </c>
      <c r="P227">
        <f t="shared" si="3"/>
        <v>6894.0953999999992</v>
      </c>
      <c r="Q227" cm="1">
        <f t="array" ref="Q227">IFERROR(VALUE(_xll.BDP($B227,"INTERVAL_MAE_MOV_AVG","CALC_INTERVAL","520D","TECH_STUDIES_PARAM1_OVERRIDE",50,"USE_PREVIOUS_BUSINESS_DAY","Y")),"")</f>
        <v>35.190018977000008</v>
      </c>
      <c r="R227">
        <f t="shared" si="4"/>
        <v>6892.2477999999992</v>
      </c>
      <c r="S227">
        <f t="shared" si="122"/>
        <v>5.1005636794469716E-3</v>
      </c>
      <c r="T227">
        <f t="shared" si="123"/>
        <v>5.1057390851501324E-3</v>
      </c>
      <c r="U227" s="11" t="str">
        <f t="shared" si="124"/>
        <v>NEGATIVE</v>
      </c>
      <c r="V227" s="11" t="str">
        <f t="shared" si="125"/>
        <v/>
      </c>
      <c r="W227" s="11" t="str">
        <f t="shared" si="126"/>
        <v>DOWN</v>
      </c>
      <c r="X227" s="6" t="str">
        <f t="shared" si="127"/>
        <v>NEGATIVE</v>
      </c>
      <c r="Y227" cm="1">
        <f t="array" ref="Y227">IFERROR(VALUE(_xll.BDP($B227,"INTERVAL_MAE_MOV_AVG","CALC_INTERVAL","520D","TECH_STUDIES_PARAM1_OVERRIDE",65,"USE_PREVIOUS_BUSINESS_DAY","N")),"")</f>
        <v>35.326986825294171</v>
      </c>
      <c r="Z227">
        <f t="shared" si="5"/>
        <v>6856.0226153846133</v>
      </c>
      <c r="AA227" cm="1">
        <f t="array" ref="AA227">IFERROR(VALUE(_xll.BDP($B227,"INTERVAL_MAE_MOV_AVG","CALC_INTERVAL","520D","TECH_STUDIES_PARAM1_OVERRIDE",65,"USE_PREVIOUS_BUSINESS_DAY","Y")),"")</f>
        <v>35.375163394923071</v>
      </c>
      <c r="AB227">
        <f t="shared" si="6"/>
        <v>6852.6203076923057</v>
      </c>
      <c r="AC227">
        <f t="shared" si="128"/>
        <v>5.152694033713069E-3</v>
      </c>
      <c r="AD227">
        <f t="shared" si="129"/>
        <v>5.1622827190955286E-3</v>
      </c>
      <c r="AE227" s="10" t="str">
        <f t="shared" si="130"/>
        <v>DOWN</v>
      </c>
      <c r="AF227" s="10" t="str">
        <f t="shared" si="131"/>
        <v>DOWN</v>
      </c>
      <c r="AG227" s="6" t="str">
        <f t="shared" si="132"/>
        <v>NEGATIVE</v>
      </c>
      <c r="AH227" cm="1">
        <f t="array" ref="AH227">IFERROR(VALUE(_xll.BDP($B227,"INTERVAL_MAE_MOV_AVG","CALC_INTERVAL","65W","PERIODICITY_OVERRIDE","W","TECH_STUDIES_PARAM1_OVERRIDE",39,"USE_PREVIOUS_BUSINESS_DAY","N")),"")</f>
        <v>35.060749993439011</v>
      </c>
      <c r="AI227">
        <f t="shared" si="7"/>
        <v>6560.7735897435905</v>
      </c>
      <c r="AJ227" cm="1">
        <f t="array" ref="AJ227">IFERROR(VALUE(_xll.BDP($B227,"INTERVAL_MAE_MOV_AVG","CALC_INTERVAL","65W","PERIODICITY_OVERRIDE","W","TECH_STUDIES_PARAM1_OVERRIDE",39,"USE_PREVIOUS_BUSINESS_DAY","Y")),"")</f>
        <v>35.066134647948729</v>
      </c>
      <c r="AK227">
        <f t="shared" si="8"/>
        <v>6560.7823076923087</v>
      </c>
      <c r="AL227">
        <f t="shared" si="133"/>
        <v>5.3439963312023487E-3</v>
      </c>
      <c r="AM227">
        <f t="shared" si="134"/>
        <v>5.3448099637195398E-3</v>
      </c>
      <c r="AN227" s="10" t="str">
        <f t="shared" si="135"/>
        <v>DOWN</v>
      </c>
      <c r="AO227" s="10" t="str">
        <f t="shared" si="136"/>
        <v>DOWN</v>
      </c>
      <c r="AP227" s="6" t="str">
        <f t="shared" si="137"/>
        <v>NEGATIVE</v>
      </c>
      <c r="AQ227" cm="1">
        <f t="array" ref="AQ227">IFERROR(VALUE(_xll.BDP($B227,"INTERVAL_exp_MOV_AVG","CALC_INTERVAL","520D","TECH_STUDIES_PARAM1_OVERRIDE",100,"USE_PREVIOUS_BUSINESS_DAY","N")),"")</f>
        <v>35.507181098726306</v>
      </c>
      <c r="AR227">
        <f t="shared" si="9"/>
        <v>6773.0064518682802</v>
      </c>
      <c r="AS227" cm="1">
        <f t="array" ref="AS227">IFERROR(VALUE(_xll.BDP($B227,"INTERVAL_exp_MOV_AVG","CALC_INTERVAL","520D","TECH_STUDIES_PARAM1_OVERRIDE",100,"USE_PREVIOUS_BUSINESS_DAY","Y")),"")</f>
        <v>35.535627131713468</v>
      </c>
      <c r="AT227">
        <f t="shared" si="10"/>
        <v>6769.6039787132295</v>
      </c>
      <c r="AU227">
        <f t="shared" si="138"/>
        <v>5.2424549350505835E-3</v>
      </c>
      <c r="AV227">
        <f t="shared" si="139"/>
        <v>5.2492918704630199E-3</v>
      </c>
      <c r="AW227" s="11" t="str">
        <f t="shared" si="140"/>
        <v>DOWN</v>
      </c>
      <c r="AX227" s="11" t="str">
        <f t="shared" si="141"/>
        <v>DOWN</v>
      </c>
      <c r="AY227" s="6" t="str">
        <f t="shared" si="142"/>
        <v>NEGATIVE</v>
      </c>
      <c r="AZ227" s="12" cm="1">
        <f t="array" ref="AZ227">_xll.BDP($B227, "INTERVAL_RSI", "TECH_STUDIES_PARAM1_OVERRIDE", "5", "PERIODICITY_OVERRIDE", "W")</f>
        <v>26.063473998317363</v>
      </c>
      <c r="BA227" cm="1">
        <f t="array" ref="BA227">IFERROR(VALUE(_xll.BDP($B227,"INTERVAL_MAE_MOV_AVG","CALC_INTERVAL","520D","TECH_STUDIES_PARAM1_OVERRIDE",31,"USE_PREVIOUS_BUSINESS_DAY","N")),"")</f>
        <v>35.395161241100688</v>
      </c>
      <c r="BB227" cm="1">
        <f t="array" ref="BB227">IFERROR(VALUE(_xll.BDP($B227,"INTERVAL_MAE_MOV_AVG","CALC_INTERVAL","760D","TECH_STUDIES_PARAM1_OVERRIDE",200,"USE_PREVIOUS_BUSINESS_DAY","N")),"")</f>
        <v>34.975745612220585</v>
      </c>
      <c r="BC227" s="13">
        <f t="shared" si="143"/>
        <v>-3.6591477356988311E-2</v>
      </c>
      <c r="BD227" s="13">
        <f t="shared" si="144"/>
        <v>-3.0251947422899383E-2</v>
      </c>
      <c r="BE227" s="13">
        <f t="shared" si="145"/>
        <v>-2.5038654555933126E-2</v>
      </c>
      <c r="BF227" s="14" cm="1">
        <f t="array" ref="BF227">VALUE(_xll.BDP($B227,"INTERVAL_DATE_OF_CALC_HI","CALC_INTERVAL","3M"))</f>
        <v>46034</v>
      </c>
      <c r="BG227" s="14" cm="1">
        <f t="array" ref="BG227">VALUE(_xll.BDP($B227,"INTERVAL_DATE_OF_CALC_LO","CALC_INTERVAL","3M"))</f>
        <v>46058</v>
      </c>
      <c r="BH227" s="14" cm="1">
        <f t="array" ref="BH227">VALUE(_xll.BDP($B227,"INTERVAL_DATE_OF_CALC_HI","CALC_INTERVAL","1M"))</f>
        <v>46034</v>
      </c>
      <c r="BI227" s="14" cm="1">
        <f t="array" ref="BI227">VALUE(_xll.BDP($B227,"INTERVAL_DATE_OF_CALC_LO","CALC_INTERVAL","1M"))</f>
        <v>46058</v>
      </c>
      <c r="BJ227" s="15">
        <f>$F227-MIN(_xll.BDP("NYA Index","RSI_14D"),_xll.BDP("RSP US Equity","RSI_14D"))</f>
        <v>-25.28150292919463</v>
      </c>
    </row>
    <row r="228" spans="1:62" x14ac:dyDescent="0.25">
      <c r="A228" s="11">
        <v>227</v>
      </c>
      <c r="B228" s="26" t="s">
        <v>467</v>
      </c>
      <c r="C228" s="1" t="s">
        <v>887</v>
      </c>
      <c r="D228" s="1" t="s">
        <v>308</v>
      </c>
      <c r="E228" s="11" t="s">
        <v>787</v>
      </c>
      <c r="F228">
        <f>IFERROR(VALUE((_xll.BDP($B228,"interval_rsi","tech_studies_param1_override",14))),"")</f>
        <v>59.28011023907262</v>
      </c>
      <c r="G228">
        <f t="shared" si="0"/>
        <v>52.525531939815814</v>
      </c>
      <c r="H228">
        <f t="shared" si="119"/>
        <v>0</v>
      </c>
      <c r="I228" cm="1">
        <f t="array" ref="I228">IFERROR(VALUE(_xll.BDP($B228,"px_last")),"")</f>
        <v>73.75</v>
      </c>
      <c r="J228">
        <f t="shared" si="1"/>
        <v>6941.47</v>
      </c>
      <c r="K228" cm="1">
        <f t="array" ref="K228">IFERROR(VALUE(_xll.BDP($B228,"PX_YEST_CLOSE")),"")</f>
        <v>71.91</v>
      </c>
      <c r="L228">
        <f t="shared" si="2"/>
        <v>6941.81</v>
      </c>
      <c r="M228">
        <f t="shared" si="120"/>
        <v>1.0624550707559062E-2</v>
      </c>
      <c r="N228">
        <f t="shared" si="121"/>
        <v>1.0358969778775274E-2</v>
      </c>
      <c r="O228" cm="1">
        <f t="array" ref="O228">IFERROR(VALUE(_xll.BDP($B228,"INTERVAL_MAE_MOV_AVG","CALC_INTERVAL","520D","TECH_STUDIES_PARAM1_OVERRIDE",50,"USE_PREVIOUS_BUSINESS_DAY","N")),"")</f>
        <v>68.062174704000014</v>
      </c>
      <c r="P228">
        <f t="shared" si="3"/>
        <v>6894.0953999999992</v>
      </c>
      <c r="Q228" cm="1">
        <f t="array" ref="Q228">IFERROR(VALUE(_xll.BDP($B228,"INTERVAL_MAE_MOV_AVG","CALC_INTERVAL","520D","TECH_STUDIES_PARAM1_OVERRIDE",50,"USE_PREVIOUS_BUSINESS_DAY","Y")),"")</f>
        <v>67.852942787200007</v>
      </c>
      <c r="R228">
        <f t="shared" si="4"/>
        <v>6892.2477999999992</v>
      </c>
      <c r="S228">
        <f t="shared" si="122"/>
        <v>9.8725316020431084E-3</v>
      </c>
      <c r="T228">
        <f t="shared" si="123"/>
        <v>9.8448205514607319E-3</v>
      </c>
      <c r="U228" s="11" t="str">
        <f t="shared" si="124"/>
        <v>NEGATIVE</v>
      </c>
      <c r="V228" s="11" t="str">
        <f t="shared" si="125"/>
        <v/>
      </c>
      <c r="W228" s="11" t="str">
        <f t="shared" si="126"/>
        <v>UP</v>
      </c>
      <c r="X228" s="6" t="str">
        <f t="shared" si="127"/>
        <v>POSITIVE</v>
      </c>
      <c r="Y228" cm="1">
        <f t="array" ref="Y228">IFERROR(VALUE(_xll.BDP($B228,"INTERVAL_MAE_MOV_AVG","CALC_INTERVAL","520D","TECH_STUDIES_PARAM1_OVERRIDE",65,"USE_PREVIOUS_BUSINESS_DAY","N")),"")</f>
        <v>66.681906188307707</v>
      </c>
      <c r="Z228">
        <f t="shared" si="5"/>
        <v>6856.0226153846133</v>
      </c>
      <c r="AA228" cm="1">
        <f t="array" ref="AA228">IFERROR(VALUE(_xll.BDP($B228,"INTERVAL_MAE_MOV_AVG","CALC_INTERVAL","520D","TECH_STUDIES_PARAM1_OVERRIDE",65,"USE_PREVIOUS_BUSINESS_DAY","Y")),"")</f>
        <v>66.471093760000016</v>
      </c>
      <c r="AB228">
        <f t="shared" si="6"/>
        <v>6852.6203076923057</v>
      </c>
      <c r="AC228">
        <f t="shared" si="128"/>
        <v>9.7260335808514453E-3</v>
      </c>
      <c r="AD228">
        <f t="shared" si="129"/>
        <v>9.7000987615472999E-3</v>
      </c>
      <c r="AE228" s="10" t="str">
        <f t="shared" si="130"/>
        <v>UP</v>
      </c>
      <c r="AF228" s="10" t="str">
        <f t="shared" si="131"/>
        <v>UP</v>
      </c>
      <c r="AG228" s="6" t="str">
        <f t="shared" si="132"/>
        <v>POSITIVE</v>
      </c>
      <c r="AH228" cm="1">
        <f t="array" ref="AH228">IFERROR(VALUE(_xll.BDP($B228,"INTERVAL_MAE_MOV_AVG","CALC_INTERVAL","65W","PERIODICITY_OVERRIDE","W","TECH_STUDIES_PARAM1_OVERRIDE",39,"USE_PREVIOUS_BUSINESS_DAY","N")),"")</f>
        <v>54.146980426893968</v>
      </c>
      <c r="AI228">
        <f t="shared" si="7"/>
        <v>6560.7735897435905</v>
      </c>
      <c r="AJ228" cm="1">
        <f t="array" ref="AJ228">IFERROR(VALUE(_xll.BDP($B228,"INTERVAL_MAE_MOV_AVG","CALC_INTERVAL","65W","PERIODICITY_OVERRIDE","W","TECH_STUDIES_PARAM1_OVERRIDE",39,"USE_PREVIOUS_BUSINESS_DAY","Y")),"")</f>
        <v>54.099800939714477</v>
      </c>
      <c r="AK228">
        <f t="shared" si="8"/>
        <v>6560.7823076923087</v>
      </c>
      <c r="AL228">
        <f t="shared" si="133"/>
        <v>8.2531396162704874E-3</v>
      </c>
      <c r="AM228">
        <f t="shared" si="134"/>
        <v>8.2459375120988512E-3</v>
      </c>
      <c r="AN228" s="10" t="str">
        <f t="shared" si="135"/>
        <v>UP</v>
      </c>
      <c r="AO228" s="10" t="str">
        <f t="shared" si="136"/>
        <v>UP</v>
      </c>
      <c r="AP228" s="6" t="str">
        <f t="shared" si="137"/>
        <v>POSITIVE</v>
      </c>
      <c r="AQ228" cm="1">
        <f t="array" ref="AQ228">IFERROR(VALUE(_xll.BDP($B228,"INTERVAL_exp_MOV_AVG","CALC_INTERVAL","520D","TECH_STUDIES_PARAM1_OVERRIDE",100,"USE_PREVIOUS_BUSINESS_DAY","N")),"")</f>
        <v>63.409971215683072</v>
      </c>
      <c r="AR228">
        <f t="shared" si="9"/>
        <v>6773.0064518682802</v>
      </c>
      <c r="AS228" cm="1">
        <f t="array" ref="AS228">IFERROR(VALUE(_xll.BDP($B228,"INTERVAL_exp_MOV_AVG","CALC_INTERVAL","520D","TECH_STUDIES_PARAM1_OVERRIDE",100,"USE_PREVIOUS_BUSINESS_DAY","Y")),"")</f>
        <v>63.20112024632602</v>
      </c>
      <c r="AT228">
        <f t="shared" si="10"/>
        <v>6769.6039787132295</v>
      </c>
      <c r="AU228">
        <f t="shared" si="138"/>
        <v>9.3621601671724283E-3</v>
      </c>
      <c r="AV228">
        <f t="shared" si="139"/>
        <v>9.336014402771509E-3</v>
      </c>
      <c r="AW228" s="11" t="str">
        <f t="shared" si="140"/>
        <v>UP</v>
      </c>
      <c r="AX228" s="11" t="str">
        <f t="shared" si="141"/>
        <v>UP</v>
      </c>
      <c r="AY228" s="6" t="str">
        <f t="shared" si="142"/>
        <v>POSITIVE</v>
      </c>
      <c r="AZ228" s="12" cm="1">
        <f t="array" ref="AZ228">_xll.BDP($B228, "INTERVAL_RSI", "TECH_STUDIES_PARAM1_OVERRIDE", "5", "PERIODICITY_OVERRIDE", "W")</f>
        <v>70.108805040440643</v>
      </c>
      <c r="BA228" cm="1">
        <f t="array" ref="BA228">IFERROR(VALUE(_xll.BDP($B228,"INTERVAL_MAE_MOV_AVG","CALC_INTERVAL","520D","TECH_STUDIES_PARAM1_OVERRIDE",31,"USE_PREVIOUS_BUSINESS_DAY","N")),"")</f>
        <v>70.473944067096795</v>
      </c>
      <c r="BB228" cm="1">
        <f t="array" ref="BB228">IFERROR(VALUE(_xll.BDP($B228,"INTERVAL_MAE_MOV_AVG","CALC_INTERVAL","760D","TECH_STUDIES_PARAM1_OVERRIDE",200,"USE_PREVIOUS_BUSINESS_DAY","N")),"")</f>
        <v>52.480349964189713</v>
      </c>
      <c r="BC228" s="13">
        <f t="shared" si="143"/>
        <v>4.648605915661741E-2</v>
      </c>
      <c r="BD228" s="13">
        <f t="shared" si="144"/>
        <v>8.3568080519556442E-2</v>
      </c>
      <c r="BE228" s="13">
        <f t="shared" si="145"/>
        <v>0.40528788490022949</v>
      </c>
      <c r="BF228" s="14" cm="1">
        <f t="array" ref="BF228">VALUE(_xll.BDP($B228,"INTERVAL_DATE_OF_CALC_HI","CALC_INTERVAL","3M"))</f>
        <v>46049</v>
      </c>
      <c r="BG228" s="14" cm="1">
        <f t="array" ref="BG228">VALUE(_xll.BDP($B228,"INTERVAL_DATE_OF_CALC_LO","CALC_INTERVAL","3M"))</f>
        <v>45982</v>
      </c>
      <c r="BH228" s="14" cm="1">
        <f t="array" ref="BH228">VALUE(_xll.BDP($B228,"INTERVAL_DATE_OF_CALC_HI","CALC_INTERVAL","1M"))</f>
        <v>46049</v>
      </c>
      <c r="BI228" s="14" cm="1">
        <f t="array" ref="BI228">VALUE(_xll.BDP($B228,"INTERVAL_DATE_OF_CALC_LO","CALC_INTERVAL","1M"))</f>
        <v>46058</v>
      </c>
      <c r="BJ228" s="15">
        <f>$F228-MIN(_xll.BDP("NYA Index","RSI_14D"),_xll.BDP("RSP US Equity","RSI_14D"))</f>
        <v>-7.06565392108363</v>
      </c>
    </row>
    <row r="229" spans="1:62" x14ac:dyDescent="0.25">
      <c r="A229" s="11">
        <v>228</v>
      </c>
      <c r="B229" s="26" t="s">
        <v>468</v>
      </c>
      <c r="C229" s="1" t="s">
        <v>888</v>
      </c>
      <c r="D229" s="1" t="s">
        <v>308</v>
      </c>
      <c r="E229" s="11" t="s">
        <v>787</v>
      </c>
      <c r="F229">
        <f>IFERROR(VALUE((_xll.BDP($B229,"interval_rsi","tech_studies_param1_override",14))),"")</f>
        <v>58.257804939583828</v>
      </c>
      <c r="G229">
        <f t="shared" si="0"/>
        <v>52.525531939815814</v>
      </c>
      <c r="H229">
        <f t="shared" si="119"/>
        <v>0</v>
      </c>
      <c r="I229" cm="1">
        <f t="array" ref="I229">IFERROR(VALUE(_xll.BDP($B229,"px_last")),"")</f>
        <v>110.7</v>
      </c>
      <c r="J229">
        <f t="shared" si="1"/>
        <v>6941.47</v>
      </c>
      <c r="K229" cm="1">
        <f t="array" ref="K229">IFERROR(VALUE(_xll.BDP($B229,"PX_YEST_CLOSE")),"")</f>
        <v>110.82</v>
      </c>
      <c r="L229">
        <f t="shared" si="2"/>
        <v>6941.81</v>
      </c>
      <c r="M229">
        <f t="shared" si="120"/>
        <v>1.5947630689176789E-2</v>
      </c>
      <c r="N229">
        <f t="shared" si="121"/>
        <v>1.5964136154691642E-2</v>
      </c>
      <c r="O229" cm="1">
        <f t="array" ref="O229">IFERROR(VALUE(_xll.BDP($B229,"INTERVAL_MAE_MOV_AVG","CALC_INTERVAL","520D","TECH_STUDIES_PARAM1_OVERRIDE",50,"USE_PREVIOUS_BUSINESS_DAY","N")),"")</f>
        <v>110.109462467062</v>
      </c>
      <c r="P229">
        <f t="shared" si="3"/>
        <v>6894.0953999999992</v>
      </c>
      <c r="Q229" cm="1">
        <f t="array" ref="Q229">IFERROR(VALUE(_xll.BDP($B229,"INTERVAL_MAE_MOV_AVG","CALC_INTERVAL","520D","TECH_STUDIES_PARAM1_OVERRIDE",50,"USE_PREVIOUS_BUSINESS_DAY","Y")),"")</f>
        <v>110.10742837882741</v>
      </c>
      <c r="R229">
        <f t="shared" si="4"/>
        <v>6892.2477999999992</v>
      </c>
      <c r="S229">
        <f t="shared" si="122"/>
        <v>1.5971560600548409E-2</v>
      </c>
      <c r="T229">
        <f t="shared" si="123"/>
        <v>1.5975546958544848E-2</v>
      </c>
      <c r="U229" s="11" t="str">
        <f t="shared" si="124"/>
        <v>NEGATIVE</v>
      </c>
      <c r="V229" s="11" t="str">
        <f t="shared" si="125"/>
        <v/>
      </c>
      <c r="W229" s="11" t="str">
        <f t="shared" si="126"/>
        <v>DOWN</v>
      </c>
      <c r="X229" s="6" t="str">
        <f t="shared" si="127"/>
        <v>NEGATIVE</v>
      </c>
      <c r="Y229" cm="1">
        <f t="array" ref="Y229">IFERROR(VALUE(_xll.BDP($B229,"INTERVAL_MAE_MOV_AVG","CALC_INTERVAL","520D","TECH_STUDIES_PARAM1_OVERRIDE",65,"USE_PREVIOUS_BUSINESS_DAY","N")),"")</f>
        <v>110.01159585108596</v>
      </c>
      <c r="Z229">
        <f t="shared" si="5"/>
        <v>6856.0226153846133</v>
      </c>
      <c r="AA229" cm="1">
        <f t="array" ref="AA229">IFERROR(VALUE(_xll.BDP($B229,"INTERVAL_MAE_MOV_AVG","CALC_INTERVAL","520D","TECH_STUDIES_PARAM1_OVERRIDE",65,"USE_PREVIOUS_BUSINESS_DAY","Y")),"")</f>
        <v>109.99588485690985</v>
      </c>
      <c r="AB229">
        <f t="shared" si="6"/>
        <v>6852.6203076923057</v>
      </c>
      <c r="AC229">
        <f t="shared" si="128"/>
        <v>1.6045979137266082E-2</v>
      </c>
      <c r="AD229">
        <f t="shared" si="129"/>
        <v>1.60516532243054E-2</v>
      </c>
      <c r="AE229" s="10" t="str">
        <f t="shared" si="130"/>
        <v>UP</v>
      </c>
      <c r="AF229" s="10" t="str">
        <f t="shared" si="131"/>
        <v>DOWN</v>
      </c>
      <c r="AG229" s="6" t="str">
        <f t="shared" si="132"/>
        <v>NEGATIVE</v>
      </c>
      <c r="AH229" cm="1">
        <f t="array" ref="AH229">IFERROR(VALUE(_xll.BDP($B229,"INTERVAL_MAE_MOV_AVG","CALC_INTERVAL","65W","PERIODICITY_OVERRIDE","W","TECH_STUDIES_PARAM1_OVERRIDE",39,"USE_PREVIOUS_BUSINESS_DAY","N")),"")</f>
        <v>108.32752361129984</v>
      </c>
      <c r="AI229">
        <f t="shared" si="7"/>
        <v>6560.7735897435905</v>
      </c>
      <c r="AJ229" cm="1">
        <f t="array" ref="AJ229">IFERROR(VALUE(_xll.BDP($B229,"INTERVAL_MAE_MOV_AVG","CALC_INTERVAL","65W","PERIODICITY_OVERRIDE","W","TECH_STUDIES_PARAM1_OVERRIDE",39,"USE_PREVIOUS_BUSINESS_DAY","Y")),"")</f>
        <v>108.33060061262698</v>
      </c>
      <c r="AK229">
        <f t="shared" si="8"/>
        <v>6560.7823076923087</v>
      </c>
      <c r="AL229">
        <f t="shared" si="133"/>
        <v>1.6511394903285105E-2</v>
      </c>
      <c r="AM229">
        <f t="shared" si="134"/>
        <v>1.651184196214113E-2</v>
      </c>
      <c r="AN229" s="10" t="str">
        <f t="shared" si="135"/>
        <v>DOWN</v>
      </c>
      <c r="AO229" s="10" t="str">
        <f t="shared" si="136"/>
        <v>DOWN</v>
      </c>
      <c r="AP229" s="6" t="str">
        <f t="shared" si="137"/>
        <v>NEGATIVE</v>
      </c>
      <c r="AQ229" cm="1">
        <f t="array" ref="AQ229">IFERROR(VALUE(_xll.BDP($B229,"INTERVAL_exp_MOV_AVG","CALC_INTERVAL","520D","TECH_STUDIES_PARAM1_OVERRIDE",100,"USE_PREVIOUS_BUSINESS_DAY","N")),"")</f>
        <v>109.59708888523086</v>
      </c>
      <c r="AR229">
        <f t="shared" si="9"/>
        <v>6773.0064518682802</v>
      </c>
      <c r="AS229" cm="1">
        <f t="array" ref="AS229">IFERROR(VALUE(_xll.BDP($B229,"INTERVAL_exp_MOV_AVG","CALC_INTERVAL","520D","TECH_STUDIES_PARAM1_OVERRIDE",100,"USE_PREVIOUS_BUSINESS_DAY","Y")),"")</f>
        <v>109.57481442189052</v>
      </c>
      <c r="AT229">
        <f t="shared" si="10"/>
        <v>6769.6039787132295</v>
      </c>
      <c r="AU229">
        <f t="shared" si="138"/>
        <v>1.6181453489535563E-2</v>
      </c>
      <c r="AV229">
        <f t="shared" si="139"/>
        <v>1.6186296091535709E-2</v>
      </c>
      <c r="AW229" s="11" t="str">
        <f t="shared" si="140"/>
        <v>UP</v>
      </c>
      <c r="AX229" s="11" t="str">
        <f t="shared" si="141"/>
        <v>DOWN</v>
      </c>
      <c r="AY229" s="6" t="str">
        <f t="shared" si="142"/>
        <v>NEGATIVE</v>
      </c>
      <c r="AZ229" s="12" cm="1">
        <f t="array" ref="AZ229">_xll.BDP($B229, "INTERVAL_RSI", "TECH_STUDIES_PARAM1_OVERRIDE", "5", "PERIODICITY_OVERRIDE", "W")</f>
        <v>65.926924759847907</v>
      </c>
      <c r="BA229" cm="1">
        <f t="array" ref="BA229">IFERROR(VALUE(_xll.BDP($B229,"INTERVAL_MAE_MOV_AVG","CALC_INTERVAL","520D","TECH_STUDIES_PARAM1_OVERRIDE",31,"USE_PREVIOUS_BUSINESS_DAY","N")),"")</f>
        <v>110.24279180252393</v>
      </c>
      <c r="BB229" cm="1">
        <f t="array" ref="BB229">IFERROR(VALUE(_xll.BDP($B229,"INTERVAL_MAE_MOV_AVG","CALC_INTERVAL","760D","TECH_STUDIES_PARAM1_OVERRIDE",200,"USE_PREVIOUS_BUSINESS_DAY","N")),"")</f>
        <v>107.92508432877607</v>
      </c>
      <c r="BC229" s="13">
        <f t="shared" si="143"/>
        <v>4.1472842804550769E-3</v>
      </c>
      <c r="BD229" s="13">
        <f t="shared" si="144"/>
        <v>5.363186048743529E-3</v>
      </c>
      <c r="BE229" s="13">
        <f t="shared" si="145"/>
        <v>2.5711498753807849E-2</v>
      </c>
      <c r="BF229" s="14" cm="1">
        <f t="array" ref="BF229">VALUE(_xll.BDP($B229,"INTERVAL_DATE_OF_CALC_HI","CALC_INTERVAL","3M"))</f>
        <v>46063</v>
      </c>
      <c r="BG229" s="14" cm="1">
        <f t="array" ref="BG229">VALUE(_xll.BDP($B229,"INTERVAL_DATE_OF_CALC_LO","CALC_INTERVAL","3M"))</f>
        <v>45975</v>
      </c>
      <c r="BH229" s="14" cm="1">
        <f t="array" ref="BH229">VALUE(_xll.BDP($B229,"INTERVAL_DATE_OF_CALC_HI","CALC_INTERVAL","1M"))</f>
        <v>46063</v>
      </c>
      <c r="BI229" s="14" cm="1">
        <f t="array" ref="BI229">VALUE(_xll.BDP($B229,"INTERVAL_DATE_OF_CALC_LO","CALC_INTERVAL","1M"))</f>
        <v>46042</v>
      </c>
      <c r="BJ229" s="15">
        <f>$F229-MIN(_xll.BDP("NYA Index","RSI_14D"),_xll.BDP("RSP US Equity","RSI_14D"))</f>
        <v>-8.0879592205724222</v>
      </c>
    </row>
    <row r="230" spans="1:62" x14ac:dyDescent="0.25">
      <c r="A230" s="11">
        <v>229</v>
      </c>
      <c r="B230" s="26" t="s">
        <v>469</v>
      </c>
      <c r="C230" s="1" t="s">
        <v>470</v>
      </c>
      <c r="D230" s="1" t="s">
        <v>308</v>
      </c>
      <c r="E230" s="11" t="s">
        <v>787</v>
      </c>
      <c r="F230">
        <f>IFERROR(VALUE((_xll.BDP($B230,"interval_rsi","tech_studies_param1_override",14))),"")</f>
        <v>66.911589446465484</v>
      </c>
      <c r="G230">
        <f t="shared" si="0"/>
        <v>52.525531939815814</v>
      </c>
      <c r="H230">
        <f t="shared" si="119"/>
        <v>1</v>
      </c>
      <c r="I230" cm="1">
        <f t="array" ref="I230">IFERROR(VALUE(_xll.BDP($B230,"px_last")),"")</f>
        <v>653.71</v>
      </c>
      <c r="J230">
        <f t="shared" si="1"/>
        <v>6941.47</v>
      </c>
      <c r="K230" cm="1">
        <f t="array" ref="K230">IFERROR(VALUE(_xll.BDP($B230,"PX_YEST_CLOSE")),"")</f>
        <v>655.36</v>
      </c>
      <c r="L230">
        <f t="shared" si="2"/>
        <v>6941.81</v>
      </c>
      <c r="M230">
        <f t="shared" si="120"/>
        <v>9.4174576854758427E-2</v>
      </c>
      <c r="N230">
        <f t="shared" si="121"/>
        <v>9.4407654487806497E-2</v>
      </c>
      <c r="O230" cm="1">
        <f t="array" ref="O230">IFERROR(VALUE(_xll.BDP($B230,"INTERVAL_MAE_MOV_AVG","CALC_INTERVAL","520D","TECH_STUDIES_PARAM1_OVERRIDE",50,"USE_PREVIOUS_BUSINESS_DAY","N")),"")</f>
        <v>623.59163556225315</v>
      </c>
      <c r="P230">
        <f t="shared" si="3"/>
        <v>6894.0953999999992</v>
      </c>
      <c r="Q230" cm="1">
        <f t="array" ref="Q230">IFERROR(VALUE(_xll.BDP($B230,"INTERVAL_MAE_MOV_AVG","CALC_INTERVAL","520D","TECH_STUDIES_PARAM1_OVERRIDE",50,"USE_PREVIOUS_BUSINESS_DAY","Y")),"")</f>
        <v>622.58354954920003</v>
      </c>
      <c r="R230">
        <f t="shared" si="4"/>
        <v>6892.2477999999992</v>
      </c>
      <c r="S230">
        <f t="shared" si="122"/>
        <v>9.0453003531435497E-2</v>
      </c>
      <c r="T230">
        <f t="shared" si="123"/>
        <v>9.0330987453643222E-2</v>
      </c>
      <c r="U230" s="11" t="str">
        <f t="shared" si="124"/>
        <v>POSITIVE</v>
      </c>
      <c r="V230" s="11" t="str">
        <f t="shared" si="125"/>
        <v/>
      </c>
      <c r="W230" s="11" t="str">
        <f t="shared" si="126"/>
        <v>UP</v>
      </c>
      <c r="X230" s="6" t="str">
        <f t="shared" si="127"/>
        <v>POSITIVE</v>
      </c>
      <c r="Y230" cm="1">
        <f t="array" ref="Y230">IFERROR(VALUE(_xll.BDP($B230,"INTERVAL_MAE_MOV_AVG","CALC_INTERVAL","520D","TECH_STUDIES_PARAM1_OVERRIDE",65,"USE_PREVIOUS_BUSINESS_DAY","N")),"")</f>
        <v>615.10628776250235</v>
      </c>
      <c r="Z230">
        <f t="shared" si="5"/>
        <v>6856.0226153846133</v>
      </c>
      <c r="AA230" cm="1">
        <f t="array" ref="AA230">IFERROR(VALUE(_xll.BDP($B230,"INTERVAL_MAE_MOV_AVG","CALC_INTERVAL","520D","TECH_STUDIES_PARAM1_OVERRIDE",65,"USE_PREVIOUS_BUSINESS_DAY","Y")),"")</f>
        <v>614.03237416430773</v>
      </c>
      <c r="AB230">
        <f t="shared" si="6"/>
        <v>6852.6203076923057</v>
      </c>
      <c r="AC230">
        <f t="shared" si="128"/>
        <v>8.9717657345853977E-2</v>
      </c>
      <c r="AD230">
        <f t="shared" si="129"/>
        <v>8.9605486163451223E-2</v>
      </c>
      <c r="AE230" s="10" t="str">
        <f t="shared" si="130"/>
        <v>UP</v>
      </c>
      <c r="AF230" s="10" t="str">
        <f t="shared" si="131"/>
        <v>UP</v>
      </c>
      <c r="AG230" s="6" t="str">
        <f t="shared" si="132"/>
        <v>POSITIVE</v>
      </c>
      <c r="AH230" cm="1">
        <f t="array" ref="AH230">IFERROR(VALUE(_xll.BDP($B230,"INTERVAL_MAE_MOV_AVG","CALC_INTERVAL","65W","PERIODICITY_OVERRIDE","W","TECH_STUDIES_PARAM1_OVERRIDE",39,"USE_PREVIOUS_BUSINESS_DAY","N")),"")</f>
        <v>592.16808111035664</v>
      </c>
      <c r="AI230">
        <f t="shared" si="7"/>
        <v>6560.7735897435905</v>
      </c>
      <c r="AJ230" cm="1">
        <f t="array" ref="AJ230">IFERROR(VALUE(_xll.BDP($B230,"INTERVAL_MAE_MOV_AVG","CALC_INTERVAL","65W","PERIODICITY_OVERRIDE","W","TECH_STUDIES_PARAM1_OVERRIDE",39,"USE_PREVIOUS_BUSINESS_DAY","Y")),"")</f>
        <v>592.2103882392629</v>
      </c>
      <c r="AK230">
        <f t="shared" si="8"/>
        <v>6560.7823076923087</v>
      </c>
      <c r="AL230">
        <f t="shared" si="133"/>
        <v>9.0258880757002294E-2</v>
      </c>
      <c r="AM230">
        <f t="shared" si="134"/>
        <v>9.0265209309706107E-2</v>
      </c>
      <c r="AN230" s="10" t="str">
        <f t="shared" si="135"/>
        <v>DOWN</v>
      </c>
      <c r="AO230" s="10" t="str">
        <f t="shared" si="136"/>
        <v>DOWN</v>
      </c>
      <c r="AP230" s="6" t="str">
        <f t="shared" si="137"/>
        <v>POSITIVE</v>
      </c>
      <c r="AQ230" cm="1">
        <f t="array" ref="AQ230">IFERROR(VALUE(_xll.BDP($B230,"INTERVAL_exp_MOV_AVG","CALC_INTERVAL","520D","TECH_STUDIES_PARAM1_OVERRIDE",100,"USE_PREVIOUS_BUSINESS_DAY","N")),"")</f>
        <v>611.44413698773701</v>
      </c>
      <c r="AR230">
        <f t="shared" si="9"/>
        <v>6773.0064518682802</v>
      </c>
      <c r="AS230" cm="1">
        <f t="array" ref="AS230">IFERROR(VALUE(_xll.BDP($B230,"INTERVAL_exp_MOV_AVG","CALC_INTERVAL","520D","TECH_STUDIES_PARAM1_OVERRIDE",100,"USE_PREVIOUS_BUSINESS_DAY","Y")),"")</f>
        <v>610.59038645950477</v>
      </c>
      <c r="AT230">
        <f t="shared" si="10"/>
        <v>6769.6039787132295</v>
      </c>
      <c r="AU230">
        <f t="shared" si="138"/>
        <v>9.0276621074098493E-2</v>
      </c>
      <c r="AV230">
        <f t="shared" si="139"/>
        <v>9.0195879755962646E-2</v>
      </c>
      <c r="AW230" s="11" t="str">
        <f t="shared" si="140"/>
        <v>UP</v>
      </c>
      <c r="AX230" s="11" t="str">
        <f t="shared" si="141"/>
        <v>UP</v>
      </c>
      <c r="AY230" s="6" t="str">
        <f t="shared" si="142"/>
        <v>POSITIVE</v>
      </c>
      <c r="AZ230" s="12" cm="1">
        <f t="array" ref="AZ230">_xll.BDP($B230, "INTERVAL_RSI", "TECH_STUDIES_PARAM1_OVERRIDE", "5", "PERIODICITY_OVERRIDE", "W")</f>
        <v>76.229355552562126</v>
      </c>
      <c r="BA230" cm="1">
        <f t="array" ref="BA230">IFERROR(VALUE(_xll.BDP($B230,"INTERVAL_MAE_MOV_AVG","CALC_INTERVAL","520D","TECH_STUDIES_PARAM1_OVERRIDE",31,"USE_PREVIOUS_BUSINESS_DAY","N")),"")</f>
        <v>633.07161361202122</v>
      </c>
      <c r="BB230" cm="1">
        <f t="array" ref="BB230">IFERROR(VALUE(_xll.BDP($B230,"INTERVAL_MAE_MOV_AVG","CALC_INTERVAL","760D","TECH_STUDIES_PARAM1_OVERRIDE",200,"USE_PREVIOUS_BUSINESS_DAY","N")),"")</f>
        <v>586.54835129500611</v>
      </c>
      <c r="BC230" s="13">
        <f t="shared" si="143"/>
        <v>3.2600397718396401E-2</v>
      </c>
      <c r="BD230" s="13">
        <f t="shared" si="144"/>
        <v>4.8298217487460438E-2</v>
      </c>
      <c r="BE230" s="13">
        <f t="shared" si="145"/>
        <v>0.11450317532512311</v>
      </c>
      <c r="BF230" s="14" cm="1">
        <f t="array" ref="BF230">VALUE(_xll.BDP($B230,"INTERVAL_DATE_OF_CALC_HI","CALC_INTERVAL","3M"))</f>
        <v>46062</v>
      </c>
      <c r="BG230" s="14" cm="1">
        <f t="array" ref="BG230">VALUE(_xll.BDP($B230,"INTERVAL_DATE_OF_CALC_LO","CALC_INTERVAL","3M"))</f>
        <v>45981</v>
      </c>
      <c r="BH230" s="14" cm="1">
        <f t="array" ref="BH230">VALUE(_xll.BDP($B230,"INTERVAL_DATE_OF_CALC_HI","CALC_INTERVAL","1M"))</f>
        <v>46062</v>
      </c>
      <c r="BI230" s="14" cm="1">
        <f t="array" ref="BI230">VALUE(_xll.BDP($B230,"INTERVAL_DATE_OF_CALC_LO","CALC_INTERVAL","1M"))</f>
        <v>46052</v>
      </c>
      <c r="BJ230" s="15">
        <f>$F230-MIN(_xll.BDP("NYA Index","RSI_14D"),_xll.BDP("RSP US Equity","RSI_14D"))</f>
        <v>0.56582528630923434</v>
      </c>
    </row>
    <row r="231" spans="1:62" x14ac:dyDescent="0.25">
      <c r="A231" s="11">
        <v>230</v>
      </c>
      <c r="B231" s="26" t="s">
        <v>471</v>
      </c>
      <c r="C231" s="1" t="s">
        <v>472</v>
      </c>
      <c r="D231" s="1" t="s">
        <v>308</v>
      </c>
      <c r="E231" s="11" t="s">
        <v>787</v>
      </c>
      <c r="F231">
        <f>IFERROR(VALUE((_xll.BDP($B231,"interval_rsi","tech_studies_param1_override",14))),"")</f>
        <v>33.015156175792896</v>
      </c>
      <c r="G231">
        <f t="shared" ref="G231:G294" si="146">$F$2</f>
        <v>52.525531939815814</v>
      </c>
      <c r="H231">
        <f t="shared" si="119"/>
        <v>0</v>
      </c>
      <c r="I231" cm="1">
        <f t="array" ref="I231">IFERROR(VALUE(_xll.BDP($B231,"px_last")),"")</f>
        <v>16.89</v>
      </c>
      <c r="J231">
        <f t="shared" ref="J231:J294" si="147">$I$2</f>
        <v>6941.47</v>
      </c>
      <c r="K231" cm="1">
        <f t="array" ref="K231">IFERROR(VALUE(_xll.BDP($B231,"PX_YEST_CLOSE")),"")</f>
        <v>17.12</v>
      </c>
      <c r="L231">
        <f t="shared" ref="L231:L294" si="148">$K$2</f>
        <v>6941.81</v>
      </c>
      <c r="M231">
        <f t="shared" si="120"/>
        <v>2.4332021891616618E-3</v>
      </c>
      <c r="N231">
        <f t="shared" si="121"/>
        <v>2.4662155835437731E-3</v>
      </c>
      <c r="O231" cm="1">
        <f t="array" ref="O231">IFERROR(VALUE(_xll.BDP($B231,"INTERVAL_MAE_MOV_AVG","CALC_INTERVAL","520D","TECH_STUDIES_PARAM1_OVERRIDE",50,"USE_PREVIOUS_BUSINESS_DAY","N")),"")</f>
        <v>18.757335415104961</v>
      </c>
      <c r="P231">
        <f t="shared" ref="P231:P294" si="149">$O$2</f>
        <v>6894.0953999999992</v>
      </c>
      <c r="Q231" cm="1">
        <f t="array" ref="Q231">IFERROR(VALUE(_xll.BDP($B231,"INTERVAL_MAE_MOV_AVG","CALC_INTERVAL","520D","TECH_STUDIES_PARAM1_OVERRIDE",50,"USE_PREVIOUS_BUSINESS_DAY","Y")),"")</f>
        <v>18.804647160111994</v>
      </c>
      <c r="R231">
        <f t="shared" ref="R231:R294" si="150">$Q$2</f>
        <v>6892.2477999999992</v>
      </c>
      <c r="S231">
        <f t="shared" si="122"/>
        <v>2.7207826881979272E-3</v>
      </c>
      <c r="T231">
        <f t="shared" si="123"/>
        <v>2.7283765334310812E-3</v>
      </c>
      <c r="U231" s="11" t="str">
        <f t="shared" si="124"/>
        <v>NEGATIVE</v>
      </c>
      <c r="V231" s="11" t="str">
        <f t="shared" si="125"/>
        <v/>
      </c>
      <c r="W231" s="11" t="str">
        <f t="shared" si="126"/>
        <v>DOWN</v>
      </c>
      <c r="X231" s="6" t="str">
        <f t="shared" si="127"/>
        <v>NEGATIVE</v>
      </c>
      <c r="Y231" cm="1">
        <f t="array" ref="Y231">IFERROR(VALUE(_xll.BDP($B231,"INTERVAL_MAE_MOV_AVG","CALC_INTERVAL","520D","TECH_STUDIES_PARAM1_OVERRIDE",65,"USE_PREVIOUS_BUSINESS_DAY","N")),"")</f>
        <v>18.860337875003818</v>
      </c>
      <c r="Z231">
        <f t="shared" ref="Z231:Z294" si="151">$Y$2</f>
        <v>6856.0226153846133</v>
      </c>
      <c r="AA231" cm="1">
        <f t="array" ref="AA231">IFERROR(VALUE(_xll.BDP($B231,"INTERVAL_MAE_MOV_AVG","CALC_INTERVAL","520D","TECH_STUDIES_PARAM1_OVERRIDE",65,"USE_PREVIOUS_BUSINESS_DAY","Y")),"")</f>
        <v>18.90364225116307</v>
      </c>
      <c r="AB231">
        <f t="shared" ref="AB231:AB294" si="152">$AA$2</f>
        <v>6852.6203076923057</v>
      </c>
      <c r="AC231">
        <f t="shared" si="128"/>
        <v>2.7509153532664916E-3</v>
      </c>
      <c r="AD231">
        <f t="shared" si="129"/>
        <v>2.7586005648004563E-3</v>
      </c>
      <c r="AE231" s="10" t="str">
        <f t="shared" si="130"/>
        <v>DOWN</v>
      </c>
      <c r="AF231" s="10" t="str">
        <f t="shared" si="131"/>
        <v>DOWN</v>
      </c>
      <c r="AG231" s="6" t="str">
        <f t="shared" si="132"/>
        <v>NEGATIVE</v>
      </c>
      <c r="AH231" cm="1">
        <f t="array" ref="AH231">IFERROR(VALUE(_xll.BDP($B231,"INTERVAL_MAE_MOV_AVG","CALC_INTERVAL","65W","PERIODICITY_OVERRIDE","W","TECH_STUDIES_PARAM1_OVERRIDE",39,"USE_PREVIOUS_BUSINESS_DAY","N")),"")</f>
        <v>18.591302490811493</v>
      </c>
      <c r="AI231">
        <f t="shared" ref="AI231:AI294" si="153">$AH$2</f>
        <v>6560.7735897435905</v>
      </c>
      <c r="AJ231" cm="1">
        <f t="array" ref="AJ231">IFERROR(VALUE(_xll.BDP($B231,"INTERVAL_MAE_MOV_AVG","CALC_INTERVAL","65W","PERIODICITY_OVERRIDE","W","TECH_STUDIES_PARAM1_OVERRIDE",39,"USE_PREVIOUS_BUSINESS_DAY","Y")),"")</f>
        <v>18.597199942358969</v>
      </c>
      <c r="AK231">
        <f t="shared" ref="AK231:AK294" si="154">$AJ$2</f>
        <v>6560.7823076923087</v>
      </c>
      <c r="AL231">
        <f t="shared" si="133"/>
        <v>2.8337058483278773E-3</v>
      </c>
      <c r="AM231">
        <f t="shared" si="134"/>
        <v>2.8346009774709862E-3</v>
      </c>
      <c r="AN231" s="10" t="str">
        <f t="shared" si="135"/>
        <v>DOWN</v>
      </c>
      <c r="AO231" s="10" t="str">
        <f t="shared" si="136"/>
        <v>DOWN</v>
      </c>
      <c r="AP231" s="6" t="str">
        <f t="shared" si="137"/>
        <v>NEGATIVE</v>
      </c>
      <c r="AQ231" cm="1">
        <f t="array" ref="AQ231">IFERROR(VALUE(_xll.BDP($B231,"INTERVAL_exp_MOV_AVG","CALC_INTERVAL","520D","TECH_STUDIES_PARAM1_OVERRIDE",100,"USE_PREVIOUS_BUSINESS_DAY","N")),"")</f>
        <v>18.785454653506804</v>
      </c>
      <c r="AR231">
        <f t="shared" ref="AR231:AR294" si="155">$AQ$2</f>
        <v>6773.0064518682802</v>
      </c>
      <c r="AS231" cm="1">
        <f t="array" ref="AS231">IFERROR(VALUE(_xll.BDP($B231,"INTERVAL_exp_MOV_AVG","CALC_INTERVAL","520D","TECH_STUDIES_PARAM1_OVERRIDE",100,"USE_PREVIOUS_BUSINESS_DAY","Y")),"")</f>
        <v>18.823749777154266</v>
      </c>
      <c r="AT231">
        <f t="shared" ref="AT231:AT294" si="156">$AS$2</f>
        <v>6769.6039787132295</v>
      </c>
      <c r="AU231">
        <f t="shared" si="138"/>
        <v>2.7735769612806118E-3</v>
      </c>
      <c r="AV231">
        <f t="shared" si="139"/>
        <v>2.7806279121119718E-3</v>
      </c>
      <c r="AW231" s="11" t="str">
        <f t="shared" si="140"/>
        <v>DOWN</v>
      </c>
      <c r="AX231" s="11" t="str">
        <f t="shared" si="141"/>
        <v>DOWN</v>
      </c>
      <c r="AY231" s="6" t="str">
        <f t="shared" si="142"/>
        <v>NEGATIVE</v>
      </c>
      <c r="AZ231" s="12" cm="1">
        <f t="array" ref="AZ231">_xll.BDP($B231, "INTERVAL_RSI", "TECH_STUDIES_PARAM1_OVERRIDE", "5", "PERIODICITY_OVERRIDE", "W")</f>
        <v>14.898404759638382</v>
      </c>
      <c r="BA231" cm="1">
        <f t="array" ref="BA231">IFERROR(VALUE(_xll.BDP($B231,"INTERVAL_MAE_MOV_AVG","CALC_INTERVAL","520D","TECH_STUDIES_PARAM1_OVERRIDE",31,"USE_PREVIOUS_BUSINESS_DAY","N")),"")</f>
        <v>18.549552176440265</v>
      </c>
      <c r="BB231" cm="1">
        <f t="array" ref="BB231">IFERROR(VALUE(_xll.BDP($B231,"INTERVAL_MAE_MOV_AVG","CALC_INTERVAL","760D","TECH_STUDIES_PARAM1_OVERRIDE",200,"USE_PREVIOUS_BUSINESS_DAY","N")),"")</f>
        <v>18.370542956336248</v>
      </c>
      <c r="BC231" s="13">
        <f t="shared" si="143"/>
        <v>-8.946588902281194E-2</v>
      </c>
      <c r="BD231" s="13">
        <f t="shared" si="144"/>
        <v>-9.9552275084937025E-2</v>
      </c>
      <c r="BE231" s="13">
        <f t="shared" si="145"/>
        <v>-8.0593315061795012E-2</v>
      </c>
      <c r="BF231" s="14" cm="1">
        <f t="array" ref="BF231">VALUE(_xll.BDP($B231,"INTERVAL_DATE_OF_CALC_HI","CALC_INTERVAL","3M"))</f>
        <v>45972</v>
      </c>
      <c r="BG231" s="14" cm="1">
        <f t="array" ref="BG231">VALUE(_xll.BDP($B231,"INTERVAL_DATE_OF_CALC_LO","CALC_INTERVAL","3M"))</f>
        <v>46058</v>
      </c>
      <c r="BH231" s="14" cm="1">
        <f t="array" ref="BH231">VALUE(_xll.BDP($B231,"INTERVAL_DATE_OF_CALC_HI","CALC_INTERVAL","1M"))</f>
        <v>46035</v>
      </c>
      <c r="BI231" s="14" cm="1">
        <f t="array" ref="BI231">VALUE(_xll.BDP($B231,"INTERVAL_DATE_OF_CALC_LO","CALC_INTERVAL","1M"))</f>
        <v>46058</v>
      </c>
      <c r="BJ231" s="15">
        <f>$F231-MIN(_xll.BDP("NYA Index","RSI_14D"),_xll.BDP("RSP US Equity","RSI_14D"))</f>
        <v>-33.330607984363354</v>
      </c>
    </row>
    <row r="232" spans="1:62" x14ac:dyDescent="0.25">
      <c r="A232" s="11">
        <v>231</v>
      </c>
      <c r="B232" s="26" t="s">
        <v>473</v>
      </c>
      <c r="C232" s="1" t="s">
        <v>889</v>
      </c>
      <c r="D232" s="1" t="s">
        <v>308</v>
      </c>
      <c r="E232" s="11" t="s">
        <v>787</v>
      </c>
      <c r="F232">
        <f>IFERROR(VALUE((_xll.BDP($B232,"interval_rsi","tech_studies_param1_override",14))),"")</f>
        <v>49.753632170926558</v>
      </c>
      <c r="G232">
        <f t="shared" si="146"/>
        <v>52.525531939815814</v>
      </c>
      <c r="H232">
        <f t="shared" si="119"/>
        <v>0</v>
      </c>
      <c r="I232" cm="1">
        <f t="array" ref="I232">IFERROR(VALUE(_xll.BDP($B232,"px_last")),"")</f>
        <v>252.15</v>
      </c>
      <c r="J232">
        <f t="shared" si="147"/>
        <v>6941.47</v>
      </c>
      <c r="K232" cm="1">
        <f t="array" ref="K232">IFERROR(VALUE(_xll.BDP($B232,"PX_YEST_CLOSE")),"")</f>
        <v>252.31</v>
      </c>
      <c r="L232">
        <f t="shared" si="148"/>
        <v>6941.81</v>
      </c>
      <c r="M232">
        <f t="shared" si="120"/>
        <v>3.6325158792013798E-2</v>
      </c>
      <c r="N232">
        <f t="shared" si="121"/>
        <v>3.634642838107064E-2</v>
      </c>
      <c r="O232" cm="1">
        <f t="array" ref="O232">IFERROR(VALUE(_xll.BDP($B232,"INTERVAL_MAE_MOV_AVG","CALC_INTERVAL","520D","TECH_STUDIES_PARAM1_OVERRIDE",50,"USE_PREVIOUS_BUSINESS_DAY","N")),"")</f>
        <v>251.99999345032964</v>
      </c>
      <c r="P232">
        <f t="shared" si="149"/>
        <v>6894.0953999999992</v>
      </c>
      <c r="Q232" cm="1">
        <f t="array" ref="Q232">IFERROR(VALUE(_xll.BDP($B232,"INTERVAL_MAE_MOV_AVG","CALC_INTERVAL","520D","TECH_STUDIES_PARAM1_OVERRIDE",50,"USE_PREVIOUS_BUSINESS_DAY","Y")),"")</f>
        <v>251.97802006539996</v>
      </c>
      <c r="R232">
        <f t="shared" si="150"/>
        <v>6892.2477999999992</v>
      </c>
      <c r="S232">
        <f t="shared" si="122"/>
        <v>3.6553018029070163E-2</v>
      </c>
      <c r="T232">
        <f t="shared" si="123"/>
        <v>3.6559628640368963E-2</v>
      </c>
      <c r="U232" s="11" t="str">
        <f t="shared" si="124"/>
        <v>NEGATIVE</v>
      </c>
      <c r="V232" s="11" t="str">
        <f t="shared" si="125"/>
        <v/>
      </c>
      <c r="W232" s="11" t="str">
        <f t="shared" si="126"/>
        <v>DOWN</v>
      </c>
      <c r="X232" s="6" t="str">
        <f t="shared" si="127"/>
        <v>NEGATIVE</v>
      </c>
      <c r="Y232" cm="1">
        <f t="array" ref="Y232">IFERROR(VALUE(_xll.BDP($B232,"INTERVAL_MAE_MOV_AVG","CALC_INTERVAL","520D","TECH_STUDIES_PARAM1_OVERRIDE",65,"USE_PREVIOUS_BUSINESS_DAY","N")),"")</f>
        <v>250.76641258394588</v>
      </c>
      <c r="Z232">
        <f t="shared" si="151"/>
        <v>6856.0226153846133</v>
      </c>
      <c r="AA232" cm="1">
        <f t="array" ref="AA232">IFERROR(VALUE(_xll.BDP($B232,"INTERVAL_MAE_MOV_AVG","CALC_INTERVAL","520D","TECH_STUDIES_PARAM1_OVERRIDE",65,"USE_PREVIOUS_BUSINESS_DAY","Y")),"")</f>
        <v>250.6782951887692</v>
      </c>
      <c r="AB232">
        <f t="shared" si="152"/>
        <v>6852.6203076923057</v>
      </c>
      <c r="AC232">
        <f t="shared" si="128"/>
        <v>3.6576077217312132E-2</v>
      </c>
      <c r="AD232">
        <f t="shared" si="129"/>
        <v>3.6581378207599519E-2</v>
      </c>
      <c r="AE232" s="10" t="str">
        <f t="shared" si="130"/>
        <v>UP</v>
      </c>
      <c r="AF232" s="10" t="str">
        <f t="shared" si="131"/>
        <v>DOWN</v>
      </c>
      <c r="AG232" s="6" t="str">
        <f t="shared" si="132"/>
        <v>NEGATIVE</v>
      </c>
      <c r="AH232" cm="1">
        <f t="array" ref="AH232">IFERROR(VALUE(_xll.BDP($B232,"INTERVAL_MAE_MOV_AVG","CALC_INTERVAL","65W","PERIODICITY_OVERRIDE","W","TECH_STUDIES_PARAM1_OVERRIDE",39,"USE_PREVIOUS_BUSINESS_DAY","N")),"")</f>
        <v>238.53893160595561</v>
      </c>
      <c r="AI232">
        <f t="shared" si="153"/>
        <v>6560.7735897435905</v>
      </c>
      <c r="AJ232" cm="1">
        <f t="array" ref="AJ232">IFERROR(VALUE(_xll.BDP($B232,"INTERVAL_MAE_MOV_AVG","CALC_INTERVAL","65W","PERIODICITY_OVERRIDE","W","TECH_STUDIES_PARAM1_OVERRIDE",39,"USE_PREVIOUS_BUSINESS_DAY","Y")),"")</f>
        <v>238.54303432655863</v>
      </c>
      <c r="AK232">
        <f t="shared" si="154"/>
        <v>6560.7823076923087</v>
      </c>
      <c r="AL232">
        <f t="shared" si="133"/>
        <v>3.6358354444491391E-2</v>
      </c>
      <c r="AM232">
        <f t="shared" si="134"/>
        <v>3.6358931471765873E-2</v>
      </c>
      <c r="AN232" s="10" t="str">
        <f t="shared" si="135"/>
        <v>DOWN</v>
      </c>
      <c r="AO232" s="10" t="str">
        <f t="shared" si="136"/>
        <v>DOWN</v>
      </c>
      <c r="AP232" s="6" t="str">
        <f t="shared" si="137"/>
        <v>NEGATIVE</v>
      </c>
      <c r="AQ232" cm="1">
        <f t="array" ref="AQ232">IFERROR(VALUE(_xll.BDP($B232,"INTERVAL_exp_MOV_AVG","CALC_INTERVAL","520D","TECH_STUDIES_PARAM1_OVERRIDE",100,"USE_PREVIOUS_BUSINESS_DAY","N")),"")</f>
        <v>247.13283661756932</v>
      </c>
      <c r="AR232">
        <f t="shared" si="155"/>
        <v>6773.0064518682802</v>
      </c>
      <c r="AS232" cm="1">
        <f t="array" ref="AS232">IFERROR(VALUE(_xll.BDP($B232,"INTERVAL_exp_MOV_AVG","CALC_INTERVAL","520D","TECH_STUDIES_PARAM1_OVERRIDE",100,"USE_PREVIOUS_BUSINESS_DAY","Y")),"")</f>
        <v>247.03150388322538</v>
      </c>
      <c r="AT232">
        <f t="shared" si="156"/>
        <v>6769.6039787132295</v>
      </c>
      <c r="AU232">
        <f t="shared" si="138"/>
        <v>3.6487908047009125E-2</v>
      </c>
      <c r="AV232">
        <f t="shared" si="139"/>
        <v>3.6491278464738389E-2</v>
      </c>
      <c r="AW232" s="11" t="str">
        <f t="shared" si="140"/>
        <v>UP</v>
      </c>
      <c r="AX232" s="11" t="str">
        <f t="shared" si="141"/>
        <v>DOWN</v>
      </c>
      <c r="AY232" s="6" t="str">
        <f t="shared" si="142"/>
        <v>NEGATIVE</v>
      </c>
      <c r="AZ232" s="12" cm="1">
        <f t="array" ref="AZ232">_xll.BDP($B232, "INTERVAL_RSI", "TECH_STUDIES_PARAM1_OVERRIDE", "5", "PERIODICITY_OVERRIDE", "W")</f>
        <v>52.068132491276536</v>
      </c>
      <c r="BA232" cm="1">
        <f t="array" ref="BA232">IFERROR(VALUE(_xll.BDP($B232,"INTERVAL_MAE_MOV_AVG","CALC_INTERVAL","520D","TECH_STUDIES_PARAM1_OVERRIDE",31,"USE_PREVIOUS_BUSINESS_DAY","N")),"")</f>
        <v>252.69387077085432</v>
      </c>
      <c r="BB232" cm="1">
        <f t="array" ref="BB232">IFERROR(VALUE(_xll.BDP($B232,"INTERVAL_MAE_MOV_AVG","CALC_INTERVAL","760D","TECH_STUDIES_PARAM1_OVERRIDE",200,"USE_PREVIOUS_BUSINESS_DAY","N")),"")</f>
        <v>235.80811644557755</v>
      </c>
      <c r="BC232" s="13">
        <f t="shared" si="143"/>
        <v>-2.1522911070031014E-3</v>
      </c>
      <c r="BD232" s="13">
        <f t="shared" si="144"/>
        <v>5.9526410146482078E-4</v>
      </c>
      <c r="BE232" s="13">
        <f t="shared" si="145"/>
        <v>6.930161607984342E-2</v>
      </c>
      <c r="BF232" s="14" cm="1">
        <f t="array" ref="BF232">VALUE(_xll.BDP($B232,"INTERVAL_DATE_OF_CALC_HI","CALC_INTERVAL","3M"))</f>
        <v>46034</v>
      </c>
      <c r="BG232" s="14" cm="1">
        <f t="array" ref="BG232">VALUE(_xll.BDP($B232,"INTERVAL_DATE_OF_CALC_LO","CALC_INTERVAL","3M"))</f>
        <v>45981</v>
      </c>
      <c r="BH232" s="14" cm="1">
        <f t="array" ref="BH232">VALUE(_xll.BDP($B232,"INTERVAL_DATE_OF_CALC_HI","CALC_INTERVAL","1M"))</f>
        <v>46034</v>
      </c>
      <c r="BI232" s="14" cm="1">
        <f t="array" ref="BI232">VALUE(_xll.BDP($B232,"INTERVAL_DATE_OF_CALC_LO","CALC_INTERVAL","1M"))</f>
        <v>46058</v>
      </c>
      <c r="BJ232" s="15">
        <f>$F232-MIN(_xll.BDP("NYA Index","RSI_14D"),_xll.BDP("RSP US Equity","RSI_14D"))</f>
        <v>-16.592131989229692</v>
      </c>
    </row>
    <row r="233" spans="1:62" x14ac:dyDescent="0.25">
      <c r="A233" s="11">
        <v>232</v>
      </c>
      <c r="B233" s="26" t="s">
        <v>474</v>
      </c>
      <c r="C233" s="1" t="s">
        <v>890</v>
      </c>
      <c r="D233" s="1" t="s">
        <v>308</v>
      </c>
      <c r="E233" s="11" t="s">
        <v>787</v>
      </c>
      <c r="F233">
        <f>IFERROR(VALUE((_xll.BDP($B233,"interval_rsi","tech_studies_param1_override",14))),"")</f>
        <v>40.027316090256527</v>
      </c>
      <c r="G233">
        <f t="shared" si="146"/>
        <v>52.525531939815814</v>
      </c>
      <c r="H233">
        <f t="shared" si="119"/>
        <v>0</v>
      </c>
      <c r="I233" cm="1">
        <f t="array" ref="I233">IFERROR(VALUE(_xll.BDP($B233,"px_last")),"")</f>
        <v>393.92</v>
      </c>
      <c r="J233">
        <f t="shared" si="147"/>
        <v>6941.47</v>
      </c>
      <c r="K233" cm="1">
        <f t="array" ref="K233">IFERROR(VALUE(_xll.BDP($B233,"PX_YEST_CLOSE")),"")</f>
        <v>395.76</v>
      </c>
      <c r="L233">
        <f t="shared" si="148"/>
        <v>6941.81</v>
      </c>
      <c r="M233">
        <f t="shared" si="120"/>
        <v>5.6748786640293772E-2</v>
      </c>
      <c r="N233">
        <f t="shared" si="121"/>
        <v>5.7011067718649742E-2</v>
      </c>
      <c r="O233" cm="1">
        <f t="array" ref="O233">IFERROR(VALUE(_xll.BDP($B233,"INTERVAL_MAE_MOV_AVG","CALC_INTERVAL","520D","TECH_STUDIES_PARAM1_OVERRIDE",50,"USE_PREVIOUS_BUSINESS_DAY","N")),"")</f>
        <v>409.25168364455459</v>
      </c>
      <c r="P233">
        <f t="shared" si="149"/>
        <v>6894.0953999999992</v>
      </c>
      <c r="Q233" cm="1">
        <f t="array" ref="Q233">IFERROR(VALUE(_xll.BDP($B233,"INTERVAL_MAE_MOV_AVG","CALC_INTERVAL","520D","TECH_STUDIES_PARAM1_OVERRIDE",50,"USE_PREVIOUS_BUSINESS_DAY","Y")),"")</f>
        <v>409.65159491359998</v>
      </c>
      <c r="R233">
        <f t="shared" si="150"/>
        <v>6892.2477999999992</v>
      </c>
      <c r="S233">
        <f t="shared" si="122"/>
        <v>5.9362637140842965E-2</v>
      </c>
      <c r="T233">
        <f t="shared" si="123"/>
        <v>5.9436573785637832E-2</v>
      </c>
      <c r="U233" s="11" t="str">
        <f t="shared" si="124"/>
        <v>NEGATIVE</v>
      </c>
      <c r="V233" s="11" t="str">
        <f t="shared" si="125"/>
        <v/>
      </c>
      <c r="W233" s="11" t="str">
        <f t="shared" si="126"/>
        <v>DOWN</v>
      </c>
      <c r="X233" s="6" t="str">
        <f t="shared" si="127"/>
        <v>NEGATIVE</v>
      </c>
      <c r="Y233" cm="1">
        <f t="array" ref="Y233">IFERROR(VALUE(_xll.BDP($B233,"INTERVAL_MAE_MOV_AVG","CALC_INTERVAL","520D","TECH_STUDIES_PARAM1_OVERRIDE",65,"USE_PREVIOUS_BUSINESS_DAY","N")),"")</f>
        <v>408.87427500904198</v>
      </c>
      <c r="Z233">
        <f t="shared" si="151"/>
        <v>6856.0226153846133</v>
      </c>
      <c r="AA233" cm="1">
        <f t="array" ref="AA233">IFERROR(VALUE(_xll.BDP($B233,"INTERVAL_MAE_MOV_AVG","CALC_INTERVAL","520D","TECH_STUDIES_PARAM1_OVERRIDE",65,"USE_PREVIOUS_BUSINESS_DAY","Y")),"")</f>
        <v>409.10981390646157</v>
      </c>
      <c r="AB233">
        <f t="shared" si="152"/>
        <v>6852.6203076923057</v>
      </c>
      <c r="AC233">
        <f t="shared" si="128"/>
        <v>5.9637241290824518E-2</v>
      </c>
      <c r="AD233">
        <f t="shared" si="129"/>
        <v>5.97012231142037E-2</v>
      </c>
      <c r="AE233" s="10" t="str">
        <f t="shared" si="130"/>
        <v>DOWN</v>
      </c>
      <c r="AF233" s="10" t="str">
        <f t="shared" si="131"/>
        <v>DOWN</v>
      </c>
      <c r="AG233" s="6" t="str">
        <f t="shared" si="132"/>
        <v>NEGATIVE</v>
      </c>
      <c r="AH233" cm="1">
        <f t="array" ref="AH233">IFERROR(VALUE(_xll.BDP($B233,"INTERVAL_MAE_MOV_AVG","CALC_INTERVAL","65W","PERIODICITY_OVERRIDE","W","TECH_STUDIES_PARAM1_OVERRIDE",39,"USE_PREVIOUS_BUSINESS_DAY","N")),"")</f>
        <v>390.2881985920543</v>
      </c>
      <c r="AI233">
        <f t="shared" si="153"/>
        <v>6560.7735897435905</v>
      </c>
      <c r="AJ233" cm="1">
        <f t="array" ref="AJ233">IFERROR(VALUE(_xll.BDP($B233,"INTERVAL_MAE_MOV_AVG","CALC_INTERVAL","65W","PERIODICITY_OVERRIDE","W","TECH_STUDIES_PARAM1_OVERRIDE",39,"USE_PREVIOUS_BUSINESS_DAY","Y")),"")</f>
        <v>390.33537773493288</v>
      </c>
      <c r="AK233">
        <f t="shared" si="154"/>
        <v>6560.7823076923087</v>
      </c>
      <c r="AL233">
        <f t="shared" si="133"/>
        <v>5.9488137070023116E-2</v>
      </c>
      <c r="AM233">
        <f t="shared" si="134"/>
        <v>5.949524910730189E-2</v>
      </c>
      <c r="AN233" s="10" t="str">
        <f t="shared" si="135"/>
        <v>DOWN</v>
      </c>
      <c r="AO233" s="10" t="str">
        <f t="shared" si="136"/>
        <v>DOWN</v>
      </c>
      <c r="AP233" s="6" t="str">
        <f t="shared" si="137"/>
        <v>NEGATIVE</v>
      </c>
      <c r="AQ233" cm="1">
        <f t="array" ref="AQ233">IFERROR(VALUE(_xll.BDP($B233,"INTERVAL_exp_MOV_AVG","CALC_INTERVAL","520D","TECH_STUDIES_PARAM1_OVERRIDE",100,"USE_PREVIOUS_BUSINESS_DAY","N")),"")</f>
        <v>402.24975855321429</v>
      </c>
      <c r="AR233">
        <f t="shared" si="155"/>
        <v>6773.0064518682802</v>
      </c>
      <c r="AS233" cm="1">
        <f t="array" ref="AS233">IFERROR(VALUE(_xll.BDP($B233,"INTERVAL_exp_MOV_AVG","CALC_INTERVAL","520D","TECH_STUDIES_PARAM1_OVERRIDE",100,"USE_PREVIOUS_BUSINESS_DAY","Y")),"")</f>
        <v>402.41807808502068</v>
      </c>
      <c r="AT233">
        <f t="shared" si="156"/>
        <v>6769.6039787132295</v>
      </c>
      <c r="AU233">
        <f t="shared" si="138"/>
        <v>5.9390133674279443E-2</v>
      </c>
      <c r="AV233">
        <f t="shared" si="139"/>
        <v>5.9444847785839396E-2</v>
      </c>
      <c r="AW233" s="11" t="str">
        <f t="shared" si="140"/>
        <v>DOWN</v>
      </c>
      <c r="AX233" s="11" t="str">
        <f t="shared" si="141"/>
        <v>DOWN</v>
      </c>
      <c r="AY233" s="6" t="str">
        <f t="shared" si="142"/>
        <v>NEGATIVE</v>
      </c>
      <c r="AZ233" s="12" cm="1">
        <f t="array" ref="AZ233">_xll.BDP($B233, "INTERVAL_RSI", "TECH_STUDIES_PARAM1_OVERRIDE", "5", "PERIODICITY_OVERRIDE", "W")</f>
        <v>25.755172350815442</v>
      </c>
      <c r="BA233" cm="1">
        <f t="array" ref="BA233">IFERROR(VALUE(_xll.BDP($B233,"INTERVAL_MAE_MOV_AVG","CALC_INTERVAL","520D","TECH_STUDIES_PARAM1_OVERRIDE",31,"USE_PREVIOUS_BUSINESS_DAY","N")),"")</f>
        <v>406.60129075573337</v>
      </c>
      <c r="BB233" cm="1">
        <f t="array" ref="BB233">IFERROR(VALUE(_xll.BDP($B233,"INTERVAL_MAE_MOV_AVG","CALC_INTERVAL","760D","TECH_STUDIES_PARAM1_OVERRIDE",200,"USE_PREVIOUS_BUSINESS_DAY","N")),"")</f>
        <v>385.93218568435168</v>
      </c>
      <c r="BC233" s="13">
        <f t="shared" si="143"/>
        <v>-3.1188515737771372E-2</v>
      </c>
      <c r="BD233" s="13">
        <f t="shared" si="144"/>
        <v>-3.7462725890385129E-2</v>
      </c>
      <c r="BE233" s="13">
        <f t="shared" si="145"/>
        <v>2.0697455698036604E-2</v>
      </c>
      <c r="BF233" s="14" cm="1">
        <f t="array" ref="BF233">VALUE(_xll.BDP($B233,"INTERVAL_DATE_OF_CALC_HI","CALC_INTERVAL","3M"))</f>
        <v>46017</v>
      </c>
      <c r="BG233" s="14" cm="1">
        <f t="array" ref="BG233">VALUE(_xll.BDP($B233,"INTERVAL_DATE_OF_CALC_LO","CALC_INTERVAL","3M"))</f>
        <v>46058</v>
      </c>
      <c r="BH233" s="14" cm="1">
        <f t="array" ref="BH233">VALUE(_xll.BDP($B233,"INTERVAL_DATE_OF_CALC_HI","CALC_INTERVAL","1M"))</f>
        <v>46034</v>
      </c>
      <c r="BI233" s="14" cm="1">
        <f t="array" ref="BI233">VALUE(_xll.BDP($B233,"INTERVAL_DATE_OF_CALC_LO","CALC_INTERVAL","1M"))</f>
        <v>46058</v>
      </c>
      <c r="BJ233" s="15">
        <f>$F233-MIN(_xll.BDP("NYA Index","RSI_14D"),_xll.BDP("RSP US Equity","RSI_14D"))</f>
        <v>-26.318448069899723</v>
      </c>
    </row>
    <row r="234" spans="1:62" x14ac:dyDescent="0.25">
      <c r="A234" s="11">
        <v>233</v>
      </c>
      <c r="B234" s="26" t="s">
        <v>475</v>
      </c>
      <c r="C234" s="1" t="s">
        <v>891</v>
      </c>
      <c r="D234" s="1" t="s">
        <v>308</v>
      </c>
      <c r="E234" s="11" t="s">
        <v>787</v>
      </c>
      <c r="F234">
        <f>IFERROR(VALUE((_xll.BDP($B234,"interval_rsi","tech_studies_param1_override",14))),"")</f>
        <v>74.805075571326526</v>
      </c>
      <c r="G234">
        <f t="shared" si="146"/>
        <v>52.525531939815814</v>
      </c>
      <c r="H234">
        <f t="shared" ref="H234:H297" si="157">IF(AND(F234-G234&gt;10,G234&lt;65),1,0)</f>
        <v>1</v>
      </c>
      <c r="I234" cm="1">
        <f t="array" ref="I234">IFERROR(VALUE(_xll.BDP($B234,"px_last")),"")</f>
        <v>153.25</v>
      </c>
      <c r="J234">
        <f t="shared" si="147"/>
        <v>6941.47</v>
      </c>
      <c r="K234" cm="1">
        <f t="array" ref="K234">IFERROR(VALUE(_xll.BDP($B234,"PX_YEST_CLOSE")),"")</f>
        <v>152.44999999999999</v>
      </c>
      <c r="L234">
        <f t="shared" si="148"/>
        <v>6941.81</v>
      </c>
      <c r="M234">
        <f t="shared" ref="M234:M297" si="158">I234/J234</f>
        <v>2.2077456216046457E-2</v>
      </c>
      <c r="N234">
        <f t="shared" ref="N234:N297" si="159">K234/L234</f>
        <v>2.196113117472244E-2</v>
      </c>
      <c r="O234" cm="1">
        <f t="array" ref="O234">IFERROR(VALUE(_xll.BDP($B234,"INTERVAL_MAE_MOV_AVG","CALC_INTERVAL","520D","TECH_STUDIES_PARAM1_OVERRIDE",50,"USE_PREVIOUS_BUSINESS_DAY","N")),"")</f>
        <v>144.50361314879999</v>
      </c>
      <c r="P234">
        <f t="shared" si="149"/>
        <v>6894.0953999999992</v>
      </c>
      <c r="Q234" cm="1">
        <f t="array" ref="Q234">IFERROR(VALUE(_xll.BDP($B234,"INTERVAL_MAE_MOV_AVG","CALC_INTERVAL","520D","TECH_STUDIES_PARAM1_OVERRIDE",50,"USE_PREVIOUS_BUSINESS_DAY","Y")),"")</f>
        <v>144.23832540480001</v>
      </c>
      <c r="R234">
        <f t="shared" si="150"/>
        <v>6892.2477999999992</v>
      </c>
      <c r="S234">
        <f t="shared" ref="S234:S297" si="160">O234/P234</f>
        <v>2.0960489341183181E-2</v>
      </c>
      <c r="T234">
        <f t="shared" ref="T234:T297" si="161">Q234/R234</f>
        <v>2.0927617460997271E-2</v>
      </c>
      <c r="U234" s="11" t="str">
        <f t="shared" ref="U234:U297" si="162">IF(H234=1,"POSITIVE","NEGATIVE")</f>
        <v>POSITIVE</v>
      </c>
      <c r="V234" s="11" t="str">
        <f t="shared" ref="V234:V297" si="163">IF(AND(K234&lt;Q234,I234&gt;O234),"UP","")</f>
        <v/>
      </c>
      <c r="W234" s="11" t="str">
        <f t="shared" ref="W234:W297" si="164">IF(S234&gt;T234,"UP",IF(S234&lt;T234,"DOWN",""))</f>
        <v>UP</v>
      </c>
      <c r="X234" s="6" t="str">
        <f t="shared" ref="X234:X297" si="165">IF(AND(N234&lt;T234,M234&gt;S234),"BUY",IF(AND(N234&gt;T234,M234&lt;S234),"SELL",IF(M234&gt;S234,"POSITIVE","NEGATIVE")))</f>
        <v>POSITIVE</v>
      </c>
      <c r="Y234" cm="1">
        <f t="array" ref="Y234">IFERROR(VALUE(_xll.BDP($B234,"INTERVAL_MAE_MOV_AVG","CALC_INTERVAL","520D","TECH_STUDIES_PARAM1_OVERRIDE",65,"USE_PREVIOUS_BUSINESS_DAY","N")),"")</f>
        <v>142.86064417599999</v>
      </c>
      <c r="Z234">
        <f t="shared" si="151"/>
        <v>6856.0226153846133</v>
      </c>
      <c r="AA234" cm="1">
        <f t="array" ref="AA234">IFERROR(VALUE(_xll.BDP($B234,"INTERVAL_MAE_MOV_AVG","CALC_INTERVAL","520D","TECH_STUDIES_PARAM1_OVERRIDE",65,"USE_PREVIOUS_BUSINESS_DAY","Y")),"")</f>
        <v>142.59585302646153</v>
      </c>
      <c r="AB234">
        <f t="shared" si="152"/>
        <v>6852.6203076923057</v>
      </c>
      <c r="AC234">
        <f t="shared" ref="AC234:AC297" si="166">Y234/Z234</f>
        <v>2.083724809416862E-2</v>
      </c>
      <c r="AD234">
        <f t="shared" ref="AD234:AD297" si="167">AA234/AB234</f>
        <v>2.0808952871121826E-2</v>
      </c>
      <c r="AE234" s="10" t="str">
        <f t="shared" ref="AE234:AE297" si="168">IF(Y234&gt;AA234,"UP",IF(Y234&lt;AA234,"DOWN",""))</f>
        <v>UP</v>
      </c>
      <c r="AF234" s="10" t="str">
        <f t="shared" ref="AF234:AF297" si="169">IF(AC234&gt;AD234,"UP",IF(AC234&lt;AD234,"DOWN",""))</f>
        <v>UP</v>
      </c>
      <c r="AG234" s="6" t="str">
        <f t="shared" ref="AG234:AG297" si="170">IF(AND(N234&lt;AD234,M234&gt;AC234),"BUY",IF(AND(N234&gt;AD234,M234&lt;AC234),"SELL",IF(M234&gt;AC234,"POSITIVE","NEGATIVE")))</f>
        <v>POSITIVE</v>
      </c>
      <c r="AH234" cm="1">
        <f t="array" ref="AH234">IFERROR(VALUE(_xll.BDP($B234,"INTERVAL_MAE_MOV_AVG","CALC_INTERVAL","65W","PERIODICITY_OVERRIDE","W","TECH_STUDIES_PARAM1_OVERRIDE",39,"USE_PREVIOUS_BUSINESS_DAY","N")),"")</f>
        <v>136.20252744458651</v>
      </c>
      <c r="AI234">
        <f t="shared" si="153"/>
        <v>6560.7735897435905</v>
      </c>
      <c r="AJ234" cm="1">
        <f t="array" ref="AJ234">IFERROR(VALUE(_xll.BDP($B234,"INTERVAL_MAE_MOV_AVG","CALC_INTERVAL","65W","PERIODICITY_OVERRIDE","W","TECH_STUDIES_PARAM1_OVERRIDE",39,"USE_PREVIOUS_BUSINESS_DAY","Y")),"")</f>
        <v>136.18201462407367</v>
      </c>
      <c r="AK234">
        <f t="shared" si="154"/>
        <v>6560.7823076923087</v>
      </c>
      <c r="AL234">
        <f t="shared" ref="AL234:AL297" si="171">AH234/AI234</f>
        <v>2.0760132259023682E-2</v>
      </c>
      <c r="AM234">
        <f t="shared" ref="AM234:AM297" si="172">AJ234/AK234</f>
        <v>2.0756978091531035E-2</v>
      </c>
      <c r="AN234" s="10" t="str">
        <f t="shared" ref="AN234:AN297" si="173">IF(AH234&gt;AJ234,"UP",IF(AH234&lt;AJ234,"DOWN",""))</f>
        <v>UP</v>
      </c>
      <c r="AO234" s="10" t="str">
        <f t="shared" ref="AO234:AO297" si="174">IF(AL234&gt;AM234,"UP",IF(AL234&lt;AM234,"DOWN",""))</f>
        <v>UP</v>
      </c>
      <c r="AP234" s="6" t="str">
        <f t="shared" ref="AP234:AP297" si="175">IF(AND(N234&lt;AM234,M234&gt;AL234),"BUY",IF(AND(N234&gt;AM234,M234&lt;AL234),"SELL",IF(M234&gt;AL234,"POSITIVE","NEGATIVE")))</f>
        <v>POSITIVE</v>
      </c>
      <c r="AQ234" cm="1">
        <f t="array" ref="AQ234">IFERROR(VALUE(_xll.BDP($B234,"INTERVAL_exp_MOV_AVG","CALC_INTERVAL","520D","TECH_STUDIES_PARAM1_OVERRIDE",100,"USE_PREVIOUS_BUSINESS_DAY","N")),"")</f>
        <v>141.50030519461092</v>
      </c>
      <c r="AR234">
        <f t="shared" si="155"/>
        <v>6773.0064518682802</v>
      </c>
      <c r="AS234" cm="1">
        <f t="array" ref="AS234">IFERROR(VALUE(_xll.BDP($B234,"INTERVAL_exp_MOV_AVG","CALC_INTERVAL","520D","TECH_STUDIES_PARAM1_OVERRIDE",100,"USE_PREVIOUS_BUSINESS_DAY","Y")),"")</f>
        <v>141.26295542553851</v>
      </c>
      <c r="AT234">
        <f t="shared" si="156"/>
        <v>6769.6039787132295</v>
      </c>
      <c r="AU234">
        <f t="shared" ref="AU234:AU297" si="176">AQ234/AR234</f>
        <v>2.0891801329316492E-2</v>
      </c>
      <c r="AV234">
        <f t="shared" ref="AV234:AV297" si="177">AS234/AT234</f>
        <v>2.0867240664259632E-2</v>
      </c>
      <c r="AW234" s="11" t="str">
        <f t="shared" ref="AW234:AW297" si="178">IF(AQ234&gt;AS234,"UP",IF(AQ234&lt;AS234,"DOWN",""))</f>
        <v>UP</v>
      </c>
      <c r="AX234" s="11" t="str">
        <f t="shared" ref="AX234:AX297" si="179">IF(AU234&gt;AV234,"UP",IF(AU234&lt;AV234,"DOWN",""))</f>
        <v>UP</v>
      </c>
      <c r="AY234" s="6" t="str">
        <f t="shared" ref="AY234:AY297" si="180">IF(AND(N234&lt;AV234,M234&gt;AU234),"BUY",IF(AND(N234&gt;AV234,M234&lt;AU234),"SELL",IF(M234&gt;AU234,"POSITIVE","NEGATIVE")))</f>
        <v>POSITIVE</v>
      </c>
      <c r="AZ234" s="12" cm="1">
        <f t="array" ref="AZ234">_xll.BDP($B234, "INTERVAL_RSI", "TECH_STUDIES_PARAM1_OVERRIDE", "5", "PERIODICITY_OVERRIDE", "W")</f>
        <v>91.888772720267326</v>
      </c>
      <c r="BA234" cm="1">
        <f t="array" ref="BA234">IFERROR(VALUE(_xll.BDP($B234,"INTERVAL_MAE_MOV_AVG","CALC_INTERVAL","520D","TECH_STUDIES_PARAM1_OVERRIDE",31,"USE_PREVIOUS_BUSINESS_DAY","N")),"")</f>
        <v>146.93741935483868</v>
      </c>
      <c r="BB234" cm="1">
        <f t="array" ref="BB234">IFERROR(VALUE(_xll.BDP($B234,"INTERVAL_MAE_MOV_AVG","CALC_INTERVAL","760D","TECH_STUDIES_PARAM1_OVERRIDE",200,"USE_PREVIOUS_BUSINESS_DAY","N")),"")</f>
        <v>134.77708031582094</v>
      </c>
      <c r="BC234" s="13">
        <f t="shared" ref="BC234:BC297" si="181">-1+(I234/BA234)</f>
        <v>4.2961014783559515E-2</v>
      </c>
      <c r="BD234" s="13">
        <f t="shared" ref="BD234:BD297" si="182">-1+(I234/O234)</f>
        <v>6.0527115278381283E-2</v>
      </c>
      <c r="BE234" s="13">
        <f t="shared" ref="BE234:BE297" si="183">-1+(I234/BB234)</f>
        <v>0.13706276794905903</v>
      </c>
      <c r="BF234" s="14" cm="1">
        <f t="array" ref="BF234">VALUE(_xll.BDP($B234,"INTERVAL_DATE_OF_CALC_HI","CALC_INTERVAL","3M"))</f>
        <v>46064</v>
      </c>
      <c r="BG234" s="14" cm="1">
        <f t="array" ref="BG234">VALUE(_xll.BDP($B234,"INTERVAL_DATE_OF_CALC_LO","CALC_INTERVAL","3M"))</f>
        <v>45981</v>
      </c>
      <c r="BH234" s="14" cm="1">
        <f t="array" ref="BH234">VALUE(_xll.BDP($B234,"INTERVAL_DATE_OF_CALC_HI","CALC_INTERVAL","1M"))</f>
        <v>46064</v>
      </c>
      <c r="BI234" s="14" cm="1">
        <f t="array" ref="BI234">VALUE(_xll.BDP($B234,"INTERVAL_DATE_OF_CALC_LO","CALC_INTERVAL","1M"))</f>
        <v>46042</v>
      </c>
      <c r="BJ234" s="15">
        <f>$F234-MIN(_xll.BDP("NYA Index","RSI_14D"),_xll.BDP("RSP US Equity","RSI_14D"))</f>
        <v>8.4593114111702761</v>
      </c>
    </row>
    <row r="235" spans="1:62" x14ac:dyDescent="0.25">
      <c r="A235" s="11">
        <v>234</v>
      </c>
      <c r="B235" s="26" t="s">
        <v>150</v>
      </c>
      <c r="C235" s="1" t="s">
        <v>252</v>
      </c>
      <c r="D235" s="1" t="s">
        <v>308</v>
      </c>
      <c r="E235" s="11" t="s">
        <v>787</v>
      </c>
      <c r="F235">
        <f>IFERROR(VALUE((_xll.BDP($B235,"interval_rsi","tech_studies_param1_override",14))),"")</f>
        <v>41.04445974339891</v>
      </c>
      <c r="G235">
        <f t="shared" si="146"/>
        <v>52.525531939815814</v>
      </c>
      <c r="H235">
        <f t="shared" si="157"/>
        <v>0</v>
      </c>
      <c r="I235" cm="1">
        <f t="array" ref="I235">IFERROR(VALUE(_xll.BDP($B235,"px_last")),"")</f>
        <v>3.96</v>
      </c>
      <c r="J235">
        <f t="shared" si="147"/>
        <v>6941.47</v>
      </c>
      <c r="K235" cm="1">
        <f t="array" ref="K235">IFERROR(VALUE(_xll.BDP($B235,"PX_YEST_CLOSE")),"")</f>
        <v>4.0599999999999996</v>
      </c>
      <c r="L235">
        <f t="shared" si="148"/>
        <v>6941.81</v>
      </c>
      <c r="M235">
        <f t="shared" si="158"/>
        <v>5.7048434985673062E-4</v>
      </c>
      <c r="N235">
        <f t="shared" si="159"/>
        <v>5.848618732002171E-4</v>
      </c>
      <c r="O235" cm="1">
        <f t="array" ref="O235">IFERROR(VALUE(_xll.BDP($B235,"INTERVAL_MAE_MOV_AVG","CALC_INTERVAL","520D","TECH_STUDIES_PARAM1_OVERRIDE",50,"USE_PREVIOUS_BUSINESS_DAY","N")),"")</f>
        <v>4.5140000007629375</v>
      </c>
      <c r="P235">
        <f t="shared" si="149"/>
        <v>6894.0953999999992</v>
      </c>
      <c r="Q235" cm="1">
        <f t="array" ref="Q235">IFERROR(VALUE(_xll.BDP($B235,"INTERVAL_MAE_MOV_AVG","CALC_INTERVAL","520D","TECH_STUDIES_PARAM1_OVERRIDE",50,"USE_PREVIOUS_BUSINESS_DAY","Y")),"")</f>
        <v>4.5043999999999977</v>
      </c>
      <c r="R235">
        <f t="shared" si="150"/>
        <v>6892.2477999999992</v>
      </c>
      <c r="S235">
        <f t="shared" si="160"/>
        <v>6.5476320515711725E-4</v>
      </c>
      <c r="T235">
        <f t="shared" si="161"/>
        <v>6.5354585770987486E-4</v>
      </c>
      <c r="U235" s="11" t="str">
        <f t="shared" si="162"/>
        <v>NEGATIVE</v>
      </c>
      <c r="V235" s="11" t="str">
        <f t="shared" si="163"/>
        <v/>
      </c>
      <c r="W235" s="11" t="str">
        <f t="shared" si="164"/>
        <v>UP</v>
      </c>
      <c r="X235" s="6" t="str">
        <f t="shared" si="165"/>
        <v>NEGATIVE</v>
      </c>
      <c r="Y235" cm="1">
        <f t="array" ref="Y235">IFERROR(VALUE(_xll.BDP($B235,"INTERVAL_MAE_MOV_AVG","CALC_INTERVAL","520D","TECH_STUDIES_PARAM1_OVERRIDE",65,"USE_PREVIOUS_BUSINESS_DAY","N")),"")</f>
        <v>4.3101538467407199</v>
      </c>
      <c r="Z235">
        <f t="shared" si="151"/>
        <v>6856.0226153846133</v>
      </c>
      <c r="AA235" cm="1">
        <f t="array" ref="AA235">IFERROR(VALUE(_xll.BDP($B235,"INTERVAL_MAE_MOV_AVG","CALC_INTERVAL","520D","TECH_STUDIES_PARAM1_OVERRIDE",65,"USE_PREVIOUS_BUSINESS_DAY","Y")),"")</f>
        <v>4.3093846153846131</v>
      </c>
      <c r="AB235">
        <f t="shared" si="152"/>
        <v>6852.6203076923057</v>
      </c>
      <c r="AC235">
        <f t="shared" si="166"/>
        <v>6.2866680705937642E-4</v>
      </c>
      <c r="AD235">
        <f t="shared" si="167"/>
        <v>6.2886668484275689E-4</v>
      </c>
      <c r="AE235" s="10" t="str">
        <f t="shared" si="168"/>
        <v>UP</v>
      </c>
      <c r="AF235" s="10" t="str">
        <f t="shared" si="169"/>
        <v>DOWN</v>
      </c>
      <c r="AG235" s="6" t="str">
        <f t="shared" si="170"/>
        <v>NEGATIVE</v>
      </c>
      <c r="AH235" cm="1">
        <f t="array" ref="AH235">IFERROR(VALUE(_xll.BDP($B235,"INTERVAL_MAE_MOV_AVG","CALC_INTERVAL","65W","PERIODICITY_OVERRIDE","W","TECH_STUDIES_PARAM1_OVERRIDE",39,"USE_PREVIOUS_BUSINESS_DAY","N")),"")</f>
        <v>3.9371794881576152</v>
      </c>
      <c r="AI235">
        <f t="shared" si="153"/>
        <v>6560.7735897435905</v>
      </c>
      <c r="AJ235" cm="1">
        <f t="array" ref="AJ235">IFERROR(VALUE(_xll.BDP($B235,"INTERVAL_MAE_MOV_AVG","CALC_INTERVAL","65W","PERIODICITY_OVERRIDE","W","TECH_STUDIES_PARAM1_OVERRIDE",39,"USE_PREVIOUS_BUSINESS_DAY","Y")),"")</f>
        <v>3.9397435897435904</v>
      </c>
      <c r="AK235">
        <f t="shared" si="154"/>
        <v>6560.7823076923087</v>
      </c>
      <c r="AL235">
        <f t="shared" si="171"/>
        <v>6.0010903200692362E-4</v>
      </c>
      <c r="AM235">
        <f t="shared" si="172"/>
        <v>6.0049905712072883E-4</v>
      </c>
      <c r="AN235" s="10" t="str">
        <f t="shared" si="173"/>
        <v>DOWN</v>
      </c>
      <c r="AO235" s="10" t="str">
        <f t="shared" si="174"/>
        <v>DOWN</v>
      </c>
      <c r="AP235" s="6" t="str">
        <f t="shared" si="175"/>
        <v>NEGATIVE</v>
      </c>
      <c r="AQ235" cm="1">
        <f t="array" ref="AQ235">IFERROR(VALUE(_xll.BDP($B235,"INTERVAL_exp_MOV_AVG","CALC_INTERVAL","520D","TECH_STUDIES_PARAM1_OVERRIDE",100,"USE_PREVIOUS_BUSINESS_DAY","N")),"")</f>
        <v>4.3295231806457437</v>
      </c>
      <c r="AR235">
        <f t="shared" si="155"/>
        <v>6773.0064518682802</v>
      </c>
      <c r="AS235" cm="1">
        <f t="array" ref="AS235">IFERROR(VALUE(_xll.BDP($B235,"INTERVAL_exp_MOV_AVG","CALC_INTERVAL","520D","TECH_STUDIES_PARAM1_OVERRIDE",100,"USE_PREVIOUS_BUSINESS_DAY","Y")),"")</f>
        <v>4.3369988470520138</v>
      </c>
      <c r="AT235">
        <f t="shared" si="156"/>
        <v>6769.6039787132295</v>
      </c>
      <c r="AU235">
        <f t="shared" si="176"/>
        <v>6.3923210636415077E-4</v>
      </c>
      <c r="AV235">
        <f t="shared" si="177"/>
        <v>6.4065768997559488E-4</v>
      </c>
      <c r="AW235" s="11" t="str">
        <f t="shared" si="178"/>
        <v>DOWN</v>
      </c>
      <c r="AX235" s="11" t="str">
        <f t="shared" si="179"/>
        <v>DOWN</v>
      </c>
      <c r="AY235" s="6" t="str">
        <f t="shared" si="180"/>
        <v>NEGATIVE</v>
      </c>
      <c r="AZ235" s="12" cm="1">
        <f t="array" ref="AZ235">_xll.BDP($B235, "INTERVAL_RSI", "TECH_STUDIES_PARAM1_OVERRIDE", "5", "PERIODICITY_OVERRIDE", "W")</f>
        <v>32.87267334817507</v>
      </c>
      <c r="BA235" cm="1">
        <f t="array" ref="BA235">IFERROR(VALUE(_xll.BDP($B235,"INTERVAL_MAE_MOV_AVG","CALC_INTERVAL","520D","TECH_STUDIES_PARAM1_OVERRIDE",31,"USE_PREVIOUS_BUSINESS_DAY","N")),"")</f>
        <v>4.4835483883273204</v>
      </c>
      <c r="BB235" cm="1">
        <f t="array" ref="BB235">IFERROR(VALUE(_xll.BDP($B235,"INTERVAL_MAE_MOV_AVG","CALC_INTERVAL","760D","TECH_STUDIES_PARAM1_OVERRIDE",200,"USE_PREVIOUS_BUSINESS_DAY","N")),"")</f>
        <v>3.8619000001907335</v>
      </c>
      <c r="BC235" s="13">
        <f t="shared" si="181"/>
        <v>-0.11677099096116617</v>
      </c>
      <c r="BD235" s="13">
        <f t="shared" si="182"/>
        <v>-0.12272928681198558</v>
      </c>
      <c r="BE235" s="13">
        <f t="shared" si="183"/>
        <v>2.5402004144183365E-2</v>
      </c>
      <c r="BF235" s="14" cm="1">
        <f t="array" ref="BF235">VALUE(_xll.BDP($B235,"INTERVAL_DATE_OF_CALC_HI","CALC_INTERVAL","3M"))</f>
        <v>46008</v>
      </c>
      <c r="BG235" s="14" cm="1">
        <f t="array" ref="BG235">VALUE(_xll.BDP($B235,"INTERVAL_DATE_OF_CALC_LO","CALC_INTERVAL","3M"))</f>
        <v>45980</v>
      </c>
      <c r="BH235" s="14" cm="1">
        <f t="array" ref="BH235">VALUE(_xll.BDP($B235,"INTERVAL_DATE_OF_CALC_HI","CALC_INTERVAL","1M"))</f>
        <v>46034</v>
      </c>
      <c r="BI235" s="14" cm="1">
        <f t="array" ref="BI235">VALUE(_xll.BDP($B235,"INTERVAL_DATE_OF_CALC_LO","CALC_INTERVAL","1M"))</f>
        <v>46064</v>
      </c>
      <c r="BJ235" s="15">
        <f>$F235-MIN(_xll.BDP("NYA Index","RSI_14D"),_xll.BDP("RSP US Equity","RSI_14D"))</f>
        <v>-25.30130441675734</v>
      </c>
    </row>
    <row r="236" spans="1:62" x14ac:dyDescent="0.25">
      <c r="A236" s="11">
        <v>235</v>
      </c>
      <c r="B236" s="26" t="s">
        <v>169</v>
      </c>
      <c r="C236" s="1" t="s">
        <v>892</v>
      </c>
      <c r="D236" s="1" t="s">
        <v>308</v>
      </c>
      <c r="E236" s="11" t="s">
        <v>787</v>
      </c>
      <c r="F236">
        <f>IFERROR(VALUE((_xll.BDP($B236,"interval_rsi","tech_studies_param1_override",14))),"")</f>
        <v>50.582082332293389</v>
      </c>
      <c r="G236">
        <f t="shared" si="146"/>
        <v>52.525531939815814</v>
      </c>
      <c r="H236">
        <f t="shared" si="157"/>
        <v>0</v>
      </c>
      <c r="I236" cm="1">
        <f t="array" ref="I236">IFERROR(VALUE(_xll.BDP($B236,"px_last")),"")</f>
        <v>255.15</v>
      </c>
      <c r="J236">
        <f t="shared" si="147"/>
        <v>6941.47</v>
      </c>
      <c r="K236" cm="1">
        <f t="array" ref="K236">IFERROR(VALUE(_xll.BDP($B236,"PX_YEST_CLOSE")),"")</f>
        <v>255.06</v>
      </c>
      <c r="L236">
        <f t="shared" si="148"/>
        <v>6941.81</v>
      </c>
      <c r="M236">
        <f t="shared" si="158"/>
        <v>3.6757343905541619E-2</v>
      </c>
      <c r="N236">
        <f t="shared" si="159"/>
        <v>3.6742578664642214E-2</v>
      </c>
      <c r="O236" cm="1">
        <f t="array" ref="O236">IFERROR(VALUE(_xll.BDP($B236,"INTERVAL_MAE_MOV_AVG","CALC_INTERVAL","520D","TECH_STUDIES_PARAM1_OVERRIDE",50,"USE_PREVIOUS_BUSINESS_DAY","N")),"")</f>
        <v>253.69310979172963</v>
      </c>
      <c r="P236">
        <f t="shared" si="149"/>
        <v>6894.0953999999992</v>
      </c>
      <c r="Q236" cm="1">
        <f t="array" ref="Q236">IFERROR(VALUE(_xll.BDP($B236,"INTERVAL_MAE_MOV_AVG","CALC_INTERVAL","520D","TECH_STUDIES_PARAM1_OVERRIDE",50,"USE_PREVIOUS_BUSINESS_DAY","Y")),"")</f>
        <v>253.58159140879994</v>
      </c>
      <c r="R236">
        <f t="shared" si="150"/>
        <v>6892.2477999999992</v>
      </c>
      <c r="S236">
        <f t="shared" si="160"/>
        <v>3.6798607369391736E-2</v>
      </c>
      <c r="T236">
        <f t="shared" si="161"/>
        <v>3.6792291682954288E-2</v>
      </c>
      <c r="U236" s="11" t="str">
        <f t="shared" si="162"/>
        <v>NEGATIVE</v>
      </c>
      <c r="V236" s="11" t="str">
        <f t="shared" si="163"/>
        <v/>
      </c>
      <c r="W236" s="11" t="str">
        <f t="shared" si="164"/>
        <v>UP</v>
      </c>
      <c r="X236" s="6" t="str">
        <f t="shared" si="165"/>
        <v>NEGATIVE</v>
      </c>
      <c r="Y236" cm="1">
        <f t="array" ref="Y236">IFERROR(VALUE(_xll.BDP($B236,"INTERVAL_MAE_MOV_AVG","CALC_INTERVAL","520D","TECH_STUDIES_PARAM1_OVERRIDE",65,"USE_PREVIOUS_BUSINESS_DAY","N")),"")</f>
        <v>251.68251112194594</v>
      </c>
      <c r="Z236">
        <f t="shared" si="151"/>
        <v>6856.0226153846133</v>
      </c>
      <c r="AA236" cm="1">
        <f t="array" ref="AA236">IFERROR(VALUE(_xll.BDP($B236,"INTERVAL_MAE_MOV_AVG","CALC_INTERVAL","520D","TECH_STUDIES_PARAM1_OVERRIDE",65,"USE_PREVIOUS_BUSINESS_DAY","Y")),"")</f>
        <v>251.54578878615388</v>
      </c>
      <c r="AB236">
        <f t="shared" si="152"/>
        <v>6852.6203076923057</v>
      </c>
      <c r="AC236">
        <f t="shared" si="166"/>
        <v>3.6709696750005093E-2</v>
      </c>
      <c r="AD236">
        <f t="shared" si="167"/>
        <v>3.6707971183488008E-2</v>
      </c>
      <c r="AE236" s="10" t="str">
        <f t="shared" si="168"/>
        <v>UP</v>
      </c>
      <c r="AF236" s="10" t="str">
        <f t="shared" si="169"/>
        <v>UP</v>
      </c>
      <c r="AG236" s="6" t="str">
        <f t="shared" si="170"/>
        <v>POSITIVE</v>
      </c>
      <c r="AH236" cm="1">
        <f t="array" ref="AH236">IFERROR(VALUE(_xll.BDP($B236,"INTERVAL_MAE_MOV_AVG","CALC_INTERVAL","65W","PERIODICITY_OVERRIDE","W","TECH_STUDIES_PARAM1_OVERRIDE",39,"USE_PREVIOUS_BUSINESS_DAY","N")),"")</f>
        <v>245.76253031505854</v>
      </c>
      <c r="AI236">
        <f t="shared" si="153"/>
        <v>6560.7735897435905</v>
      </c>
      <c r="AJ236" cm="1">
        <f t="array" ref="AJ236">IFERROR(VALUE(_xll.BDP($B236,"INTERVAL_MAE_MOV_AVG","CALC_INTERVAL","65W","PERIODICITY_OVERRIDE","W","TECH_STUDIES_PARAM1_OVERRIDE",39,"USE_PREVIOUS_BUSINESS_DAY","Y")),"")</f>
        <v>245.76022277925122</v>
      </c>
      <c r="AK236">
        <f t="shared" si="154"/>
        <v>6560.7823076923087</v>
      </c>
      <c r="AL236">
        <f t="shared" si="171"/>
        <v>3.7459382945215072E-2</v>
      </c>
      <c r="AM236">
        <f t="shared" si="172"/>
        <v>3.7458981452730897E-2</v>
      </c>
      <c r="AN236" s="10" t="str">
        <f t="shared" si="173"/>
        <v>UP</v>
      </c>
      <c r="AO236" s="10" t="str">
        <f t="shared" si="174"/>
        <v>UP</v>
      </c>
      <c r="AP236" s="6" t="str">
        <f t="shared" si="175"/>
        <v>NEGATIVE</v>
      </c>
      <c r="AQ236" cm="1">
        <f t="array" ref="AQ236">IFERROR(VALUE(_xll.BDP($B236,"INTERVAL_exp_MOV_AVG","CALC_INTERVAL","520D","TECH_STUDIES_PARAM1_OVERRIDE",100,"USE_PREVIOUS_BUSINESS_DAY","N")),"")</f>
        <v>250.63154406962053</v>
      </c>
      <c r="AR236">
        <f t="shared" si="155"/>
        <v>6773.0064518682802</v>
      </c>
      <c r="AS236" cm="1">
        <f t="array" ref="AS236">IFERROR(VALUE(_xll.BDP($B236,"INTERVAL_exp_MOV_AVG","CALC_INTERVAL","520D","TECH_STUDIES_PARAM1_OVERRIDE",100,"USE_PREVIOUS_BUSINESS_DAY","Y")),"")</f>
        <v>250.54029001517944</v>
      </c>
      <c r="AT236">
        <f t="shared" si="156"/>
        <v>6769.6039787132295</v>
      </c>
      <c r="AU236">
        <f t="shared" si="176"/>
        <v>3.7004474431068315E-2</v>
      </c>
      <c r="AV236">
        <f t="shared" si="177"/>
        <v>3.7009593294230231E-2</v>
      </c>
      <c r="AW236" s="11" t="str">
        <f t="shared" si="178"/>
        <v>UP</v>
      </c>
      <c r="AX236" s="11" t="str">
        <f t="shared" si="179"/>
        <v>DOWN</v>
      </c>
      <c r="AY236" s="6" t="str">
        <f t="shared" si="180"/>
        <v>NEGATIVE</v>
      </c>
      <c r="AZ236" s="12" cm="1">
        <f t="array" ref="AZ236">_xll.BDP($B236, "INTERVAL_RSI", "TECH_STUDIES_PARAM1_OVERRIDE", "5", "PERIODICITY_OVERRIDE", "W")</f>
        <v>54.654088784006916</v>
      </c>
      <c r="BA236" cm="1">
        <f t="array" ref="BA236">IFERROR(VALUE(_xll.BDP($B236,"INTERVAL_MAE_MOV_AVG","CALC_INTERVAL","520D","TECH_STUDIES_PARAM1_OVERRIDE",31,"USE_PREVIOUS_BUSINESS_DAY","N")),"")</f>
        <v>255.47435464182203</v>
      </c>
      <c r="BB236" cm="1">
        <f t="array" ref="BB236">IFERROR(VALUE(_xll.BDP($B236,"INTERVAL_MAE_MOV_AVG","CALC_INTERVAL","760D","TECH_STUDIES_PARAM1_OVERRIDE",200,"USE_PREVIOUS_BUSINESS_DAY","N")),"")</f>
        <v>243.66606955965946</v>
      </c>
      <c r="BC236" s="13">
        <f t="shared" si="181"/>
        <v>-1.2696172274386797E-3</v>
      </c>
      <c r="BD236" s="13">
        <f t="shared" si="182"/>
        <v>5.7427267514928992E-3</v>
      </c>
      <c r="BE236" s="13">
        <f t="shared" si="183"/>
        <v>4.7129788981673526E-2</v>
      </c>
      <c r="BF236" s="14" cm="1">
        <f t="array" ref="BF236">VALUE(_xll.BDP($B236,"INTERVAL_DATE_OF_CALC_HI","CALC_INTERVAL","3M"))</f>
        <v>46051</v>
      </c>
      <c r="BG236" s="14" cm="1">
        <f t="array" ref="BG236">VALUE(_xll.BDP($B236,"INTERVAL_DATE_OF_CALC_LO","CALC_INTERVAL","3M"))</f>
        <v>45982</v>
      </c>
      <c r="BH236" s="14" cm="1">
        <f t="array" ref="BH236">VALUE(_xll.BDP($B236,"INTERVAL_DATE_OF_CALC_HI","CALC_INTERVAL","1M"))</f>
        <v>46051</v>
      </c>
      <c r="BI236" s="14" cm="1">
        <f t="array" ref="BI236">VALUE(_xll.BDP($B236,"INTERVAL_DATE_OF_CALC_LO","CALC_INTERVAL","1M"))</f>
        <v>46058</v>
      </c>
      <c r="BJ236" s="15">
        <f>$F236-MIN(_xll.BDP("NYA Index","RSI_14D"),_xll.BDP("RSP US Equity","RSI_14D"))</f>
        <v>-15.763681827862861</v>
      </c>
    </row>
    <row r="237" spans="1:62" x14ac:dyDescent="0.25">
      <c r="A237" s="11">
        <v>236</v>
      </c>
      <c r="B237" s="26" t="s">
        <v>476</v>
      </c>
      <c r="C237" s="1" t="s">
        <v>893</v>
      </c>
      <c r="D237" s="1" t="s">
        <v>308</v>
      </c>
      <c r="E237" s="11" t="s">
        <v>787</v>
      </c>
      <c r="F237">
        <f>IFERROR(VALUE((_xll.BDP($B237,"interval_rsi","tech_studies_param1_override",14))),"")</f>
        <v>73.339540027812461</v>
      </c>
      <c r="G237">
        <f t="shared" si="146"/>
        <v>52.525531939815814</v>
      </c>
      <c r="H237">
        <f t="shared" si="157"/>
        <v>1</v>
      </c>
      <c r="I237" cm="1">
        <f t="array" ref="I237">IFERROR(VALUE(_xll.BDP($B237,"px_last")),"")</f>
        <v>381.47</v>
      </c>
      <c r="J237">
        <f t="shared" si="147"/>
        <v>6941.47</v>
      </c>
      <c r="K237" cm="1">
        <f t="array" ref="K237">IFERROR(VALUE(_xll.BDP($B237,"PX_YEST_CLOSE")),"")</f>
        <v>368.4</v>
      </c>
      <c r="L237">
        <f t="shared" si="148"/>
        <v>6941.81</v>
      </c>
      <c r="M237">
        <f t="shared" si="158"/>
        <v>5.4955218419153296E-2</v>
      </c>
      <c r="N237">
        <f t="shared" si="159"/>
        <v>5.3069732533733989E-2</v>
      </c>
      <c r="O237" cm="1">
        <f t="array" ref="O237">IFERROR(VALUE(_xll.BDP($B237,"INTERVAL_MAE_MOV_AVG","CALC_INTERVAL","520D","TECH_STUDIES_PARAM1_OVERRIDE",50,"USE_PREVIOUS_BUSINESS_DAY","N")),"")</f>
        <v>316.76308320881412</v>
      </c>
      <c r="P237">
        <f t="shared" si="149"/>
        <v>6894.0953999999992</v>
      </c>
      <c r="Q237" cm="1">
        <f t="array" ref="Q237">IFERROR(VALUE(_xll.BDP($B237,"INTERVAL_MAE_MOV_AVG","CALC_INTERVAL","520D","TECH_STUDIES_PARAM1_OVERRIDE",50,"USE_PREVIOUS_BUSINESS_DAY","Y")),"")</f>
        <v>314.82706246020001</v>
      </c>
      <c r="R237">
        <f t="shared" si="150"/>
        <v>6892.2477999999992</v>
      </c>
      <c r="S237">
        <f t="shared" si="160"/>
        <v>4.5947011874656413E-2</v>
      </c>
      <c r="T237">
        <f t="shared" si="161"/>
        <v>4.5678430549203418E-2</v>
      </c>
      <c r="U237" s="11" t="str">
        <f t="shared" si="162"/>
        <v>POSITIVE</v>
      </c>
      <c r="V237" s="11" t="str">
        <f t="shared" si="163"/>
        <v/>
      </c>
      <c r="W237" s="11" t="str">
        <f t="shared" si="164"/>
        <v>UP</v>
      </c>
      <c r="X237" s="6" t="str">
        <f t="shared" si="165"/>
        <v>POSITIVE</v>
      </c>
      <c r="Y237" cm="1">
        <f t="array" ref="Y237">IFERROR(VALUE(_xll.BDP($B237,"INTERVAL_MAE_MOV_AVG","CALC_INTERVAL","520D","TECH_STUDIES_PARAM1_OVERRIDE",65,"USE_PREVIOUS_BUSINESS_DAY","N")),"")</f>
        <v>308.22969497878012</v>
      </c>
      <c r="Z237">
        <f t="shared" si="151"/>
        <v>6856.0226153846133</v>
      </c>
      <c r="AA237" cm="1">
        <f t="array" ref="AA237">IFERROR(VALUE(_xll.BDP($B237,"INTERVAL_MAE_MOV_AVG","CALC_INTERVAL","520D","TECH_STUDIES_PARAM1_OVERRIDE",65,"USE_PREVIOUS_BUSINESS_DAY","Y")),"")</f>
        <v>306.64850564723076</v>
      </c>
      <c r="AB237">
        <f t="shared" si="152"/>
        <v>6852.6203076923057</v>
      </c>
      <c r="AC237">
        <f t="shared" si="166"/>
        <v>4.4957508495833465E-2</v>
      </c>
      <c r="AD237">
        <f t="shared" si="167"/>
        <v>4.4749087484535967E-2</v>
      </c>
      <c r="AE237" s="10" t="str">
        <f t="shared" si="168"/>
        <v>UP</v>
      </c>
      <c r="AF237" s="10" t="str">
        <f t="shared" si="169"/>
        <v>UP</v>
      </c>
      <c r="AG237" s="6" t="str">
        <f t="shared" si="170"/>
        <v>POSITIVE</v>
      </c>
      <c r="AH237" cm="1">
        <f t="array" ref="AH237">IFERROR(VALUE(_xll.BDP($B237,"INTERVAL_MAE_MOV_AVG","CALC_INTERVAL","65W","PERIODICITY_OVERRIDE","W","TECH_STUDIES_PARAM1_OVERRIDE",39,"USE_PREVIOUS_BUSINESS_DAY","N")),"")</f>
        <v>269.0128390156591</v>
      </c>
      <c r="AI237">
        <f t="shared" si="153"/>
        <v>6560.7735897435905</v>
      </c>
      <c r="AJ237" cm="1">
        <f t="array" ref="AJ237">IFERROR(VALUE(_xll.BDP($B237,"INTERVAL_MAE_MOV_AVG","CALC_INTERVAL","65W","PERIODICITY_OVERRIDE","W","TECH_STUDIES_PARAM1_OVERRIDE",39,"USE_PREVIOUS_BUSINESS_DAY","Y")),"")</f>
        <v>268.67771077923084</v>
      </c>
      <c r="AK237">
        <f t="shared" si="154"/>
        <v>6560.7823076923087</v>
      </c>
      <c r="AL237">
        <f t="shared" si="171"/>
        <v>4.1003219412449304E-2</v>
      </c>
      <c r="AM237">
        <f t="shared" si="172"/>
        <v>4.0952084397650988E-2</v>
      </c>
      <c r="AN237" s="10" t="str">
        <f t="shared" si="173"/>
        <v>UP</v>
      </c>
      <c r="AO237" s="10" t="str">
        <f t="shared" si="174"/>
        <v>UP</v>
      </c>
      <c r="AP237" s="6" t="str">
        <f t="shared" si="175"/>
        <v>POSITIVE</v>
      </c>
      <c r="AQ237" cm="1">
        <f t="array" ref="AQ237">IFERROR(VALUE(_xll.BDP($B237,"INTERVAL_exp_MOV_AVG","CALC_INTERVAL","520D","TECH_STUDIES_PARAM1_OVERRIDE",100,"USE_PREVIOUS_BUSINESS_DAY","N")),"")</f>
        <v>300.61604044757524</v>
      </c>
      <c r="AR237">
        <f t="shared" si="155"/>
        <v>6773.0064518682802</v>
      </c>
      <c r="AS237" cm="1">
        <f t="array" ref="AS237">IFERROR(VALUE(_xll.BDP($B237,"INTERVAL_exp_MOV_AVG","CALC_INTERVAL","520D","TECH_STUDIES_PARAM1_OVERRIDE",100,"USE_PREVIOUS_BUSINESS_DAY","Y")),"")</f>
        <v>298.98266923006025</v>
      </c>
      <c r="AT237">
        <f t="shared" si="156"/>
        <v>6769.6039787132295</v>
      </c>
      <c r="AU237">
        <f t="shared" si="176"/>
        <v>4.43844314314292E-2</v>
      </c>
      <c r="AV237">
        <f t="shared" si="177"/>
        <v>4.416545933413539E-2</v>
      </c>
      <c r="AW237" s="11" t="str">
        <f t="shared" si="178"/>
        <v>UP</v>
      </c>
      <c r="AX237" s="11" t="str">
        <f t="shared" si="179"/>
        <v>UP</v>
      </c>
      <c r="AY237" s="6" t="str">
        <f t="shared" si="180"/>
        <v>POSITIVE</v>
      </c>
      <c r="AZ237" s="12" cm="1">
        <f t="array" ref="AZ237">_xll.BDP($B237, "INTERVAL_RSI", "TECH_STUDIES_PARAM1_OVERRIDE", "5", "PERIODICITY_OVERRIDE", "W")</f>
        <v>93.533221765106532</v>
      </c>
      <c r="BA237" cm="1">
        <f t="array" ref="BA237">IFERROR(VALUE(_xll.BDP($B237,"INTERVAL_MAE_MOV_AVG","CALC_INTERVAL","520D","TECH_STUDIES_PARAM1_OVERRIDE",31,"USE_PREVIOUS_BUSINESS_DAY","N")),"")</f>
        <v>332.89483874905488</v>
      </c>
      <c r="BB237" cm="1">
        <f t="array" ref="BB237">IFERROR(VALUE(_xll.BDP($B237,"INTERVAL_MAE_MOV_AVG","CALC_INTERVAL","760D","TECH_STUDIES_PARAM1_OVERRIDE",200,"USE_PREVIOUS_BUSINESS_DAY","N")),"")</f>
        <v>262.79704287005342</v>
      </c>
      <c r="BC237" s="13">
        <f t="shared" si="181"/>
        <v>0.14591743576884464</v>
      </c>
      <c r="BD237" s="13">
        <f t="shared" si="182"/>
        <v>0.20427543555803274</v>
      </c>
      <c r="BE237" s="13">
        <f t="shared" si="183"/>
        <v>0.45157645548023706</v>
      </c>
      <c r="BF237" s="14" cm="1">
        <f t="array" ref="BF237">VALUE(_xll.BDP($B237,"INTERVAL_DATE_OF_CALC_HI","CALC_INTERVAL","3M"))</f>
        <v>46064</v>
      </c>
      <c r="BG237" s="14" cm="1">
        <f t="array" ref="BG237">VALUE(_xll.BDP($B237,"INTERVAL_DATE_OF_CALC_LO","CALC_INTERVAL","3M"))</f>
        <v>45981</v>
      </c>
      <c r="BH237" s="14" cm="1">
        <f t="array" ref="BH237">VALUE(_xll.BDP($B237,"INTERVAL_DATE_OF_CALC_HI","CALC_INTERVAL","1M"))</f>
        <v>46064</v>
      </c>
      <c r="BI237" s="14" cm="1">
        <f t="array" ref="BI237">VALUE(_xll.BDP($B237,"INTERVAL_DATE_OF_CALC_LO","CALC_INTERVAL","1M"))</f>
        <v>46034</v>
      </c>
      <c r="BJ237" s="15">
        <f>$F237-MIN(_xll.BDP("NYA Index","RSI_14D"),_xll.BDP("RSP US Equity","RSI_14D"))</f>
        <v>6.9937758676562112</v>
      </c>
    </row>
    <row r="238" spans="1:62" x14ac:dyDescent="0.25">
      <c r="A238" s="11">
        <v>237</v>
      </c>
      <c r="B238" s="26" t="s">
        <v>477</v>
      </c>
      <c r="C238" s="1" t="s">
        <v>894</v>
      </c>
      <c r="D238" s="1" t="s">
        <v>308</v>
      </c>
      <c r="E238" s="11" t="s">
        <v>787</v>
      </c>
      <c r="F238">
        <f>IFERROR(VALUE((_xll.BDP($B238,"interval_rsi","tech_studies_param1_override",14))),"")</f>
        <v>77.987193664878163</v>
      </c>
      <c r="G238">
        <f t="shared" si="146"/>
        <v>52.525531939815814</v>
      </c>
      <c r="H238">
        <f t="shared" si="157"/>
        <v>1</v>
      </c>
      <c r="I238" cm="1">
        <f t="array" ref="I238">IFERROR(VALUE(_xll.BDP($B238,"px_last")),"")</f>
        <v>55.64</v>
      </c>
      <c r="J238">
        <f t="shared" si="147"/>
        <v>6941.47</v>
      </c>
      <c r="K238" cm="1">
        <f t="array" ref="K238">IFERROR(VALUE(_xll.BDP($B238,"PX_YEST_CLOSE")),"")</f>
        <v>55.26</v>
      </c>
      <c r="L238">
        <f t="shared" si="148"/>
        <v>6941.81</v>
      </c>
      <c r="M238">
        <f t="shared" si="158"/>
        <v>8.0155932388960831E-3</v>
      </c>
      <c r="N238">
        <f t="shared" si="159"/>
        <v>7.960459880060099E-3</v>
      </c>
      <c r="O238" cm="1">
        <f t="array" ref="O238">IFERROR(VALUE(_xll.BDP($B238,"INTERVAL_MAE_MOV_AVG","CALC_INTERVAL","520D","TECH_STUDIES_PARAM1_OVERRIDE",50,"USE_PREVIOUS_BUSINESS_DAY","N")),"")</f>
        <v>50.111679451148213</v>
      </c>
      <c r="P238">
        <f t="shared" si="149"/>
        <v>6894.0953999999992</v>
      </c>
      <c r="Q238" cm="1">
        <f t="array" ref="Q238">IFERROR(VALUE(_xll.BDP($B238,"INTERVAL_MAE_MOV_AVG","CALC_INTERVAL","520D","TECH_STUDIES_PARAM1_OVERRIDE",50,"USE_PREVIOUS_BUSINESS_DAY","Y")),"")</f>
        <v>49.963180694872001</v>
      </c>
      <c r="R238">
        <f t="shared" si="150"/>
        <v>6892.2477999999992</v>
      </c>
      <c r="S238">
        <f t="shared" si="160"/>
        <v>7.2687824208449766E-3</v>
      </c>
      <c r="T238">
        <f t="shared" si="161"/>
        <v>7.2491851925103453E-3</v>
      </c>
      <c r="U238" s="11" t="str">
        <f t="shared" si="162"/>
        <v>POSITIVE</v>
      </c>
      <c r="V238" s="11" t="str">
        <f t="shared" si="163"/>
        <v/>
      </c>
      <c r="W238" s="11" t="str">
        <f t="shared" si="164"/>
        <v>UP</v>
      </c>
      <c r="X238" s="6" t="str">
        <f t="shared" si="165"/>
        <v>POSITIVE</v>
      </c>
      <c r="Y238" cm="1">
        <f t="array" ref="Y238">IFERROR(VALUE(_xll.BDP($B238,"INTERVAL_MAE_MOV_AVG","CALC_INTERVAL","520D","TECH_STUDIES_PARAM1_OVERRIDE",65,"USE_PREVIOUS_BUSINESS_DAY","N")),"")</f>
        <v>49.375853858818971</v>
      </c>
      <c r="Z238">
        <f t="shared" si="151"/>
        <v>6856.0226153846133</v>
      </c>
      <c r="AA238" cm="1">
        <f t="array" ref="AA238">IFERROR(VALUE(_xll.BDP($B238,"INTERVAL_MAE_MOV_AVG","CALC_INTERVAL","520D","TECH_STUDIES_PARAM1_OVERRIDE",65,"USE_PREVIOUS_BUSINESS_DAY","Y")),"")</f>
        <v>49.24817621447518</v>
      </c>
      <c r="AB238">
        <f t="shared" si="152"/>
        <v>6852.6203076923057</v>
      </c>
      <c r="AC238">
        <f t="shared" si="166"/>
        <v>7.2018219058994533E-3</v>
      </c>
      <c r="AD238">
        <f t="shared" si="167"/>
        <v>7.186765646302099E-3</v>
      </c>
      <c r="AE238" s="10" t="str">
        <f t="shared" si="168"/>
        <v>UP</v>
      </c>
      <c r="AF238" s="10" t="str">
        <f t="shared" si="169"/>
        <v>UP</v>
      </c>
      <c r="AG238" s="6" t="str">
        <f t="shared" si="170"/>
        <v>POSITIVE</v>
      </c>
      <c r="AH238" cm="1">
        <f t="array" ref="AH238">IFERROR(VALUE(_xll.BDP($B238,"INTERVAL_MAE_MOV_AVG","CALC_INTERVAL","65W","PERIODICITY_OVERRIDE","W","TECH_STUDIES_PARAM1_OVERRIDE",39,"USE_PREVIOUS_BUSINESS_DAY","N")),"")</f>
        <v>46.866004193793422</v>
      </c>
      <c r="AI238">
        <f t="shared" si="153"/>
        <v>6560.7735897435905</v>
      </c>
      <c r="AJ238" cm="1">
        <f t="array" ref="AJ238">IFERROR(VALUE(_xll.BDP($B238,"INTERVAL_MAE_MOV_AVG","CALC_INTERVAL","65W","PERIODICITY_OVERRIDE","W","TECH_STUDIES_PARAM1_OVERRIDE",39,"USE_PREVIOUS_BUSINESS_DAY","Y")),"")</f>
        <v>46.856260619699874</v>
      </c>
      <c r="AK238">
        <f t="shared" si="154"/>
        <v>6560.7823076923087</v>
      </c>
      <c r="AL238">
        <f t="shared" si="171"/>
        <v>7.1433655730870982E-3</v>
      </c>
      <c r="AM238">
        <f t="shared" si="172"/>
        <v>7.141870957181798E-3</v>
      </c>
      <c r="AN238" s="10" t="str">
        <f t="shared" si="173"/>
        <v>UP</v>
      </c>
      <c r="AO238" s="10" t="str">
        <f t="shared" si="174"/>
        <v>UP</v>
      </c>
      <c r="AP238" s="6" t="str">
        <f t="shared" si="175"/>
        <v>POSITIVE</v>
      </c>
      <c r="AQ238" cm="1">
        <f t="array" ref="AQ238">IFERROR(VALUE(_xll.BDP($B238,"INTERVAL_exp_MOV_AVG","CALC_INTERVAL","520D","TECH_STUDIES_PARAM1_OVERRIDE",100,"USE_PREVIOUS_BUSINESS_DAY","N")),"")</f>
        <v>48.954639594133234</v>
      </c>
      <c r="AR238">
        <f t="shared" si="155"/>
        <v>6773.0064518682802</v>
      </c>
      <c r="AS238" cm="1">
        <f t="array" ref="AS238">IFERROR(VALUE(_xll.BDP($B238,"INTERVAL_exp_MOV_AVG","CALC_INTERVAL","520D","TECH_STUDIES_PARAM1_OVERRIDE",100,"USE_PREVIOUS_BUSINESS_DAY","Y")),"")</f>
        <v>48.819589771065303</v>
      </c>
      <c r="AT238">
        <f t="shared" si="156"/>
        <v>6769.6039787132295</v>
      </c>
      <c r="AU238">
        <f t="shared" si="176"/>
        <v>7.2279038772552007E-3</v>
      </c>
      <c r="AV238">
        <f t="shared" si="177"/>
        <v>7.2115872545242977E-3</v>
      </c>
      <c r="AW238" s="11" t="str">
        <f t="shared" si="178"/>
        <v>UP</v>
      </c>
      <c r="AX238" s="11" t="str">
        <f t="shared" si="179"/>
        <v>UP</v>
      </c>
      <c r="AY238" s="6" t="str">
        <f t="shared" si="180"/>
        <v>POSITIVE</v>
      </c>
      <c r="AZ238" s="12" cm="1">
        <f t="array" ref="AZ238">_xll.BDP($B238, "INTERVAL_RSI", "TECH_STUDIES_PARAM1_OVERRIDE", "5", "PERIODICITY_OVERRIDE", "W")</f>
        <v>88.660994487100126</v>
      </c>
      <c r="BA238" cm="1">
        <f t="array" ref="BA238">IFERROR(VALUE(_xll.BDP($B238,"INTERVAL_MAE_MOV_AVG","CALC_INTERVAL","520D","TECH_STUDIES_PARAM1_OVERRIDE",31,"USE_PREVIOUS_BUSINESS_DAY","N")),"")</f>
        <v>51.18136072394055</v>
      </c>
      <c r="BB238" cm="1">
        <f t="array" ref="BB238">IFERROR(VALUE(_xll.BDP($B238,"INTERVAL_MAE_MOV_AVG","CALC_INTERVAL","760D","TECH_STUDIES_PARAM1_OVERRIDE",200,"USE_PREVIOUS_BUSINESS_DAY","N")),"")</f>
        <v>46.13590238029213</v>
      </c>
      <c r="BC238" s="13">
        <f t="shared" si="181"/>
        <v>8.7114512255901833E-2</v>
      </c>
      <c r="BD238" s="13">
        <f t="shared" si="182"/>
        <v>0.11032000143282206</v>
      </c>
      <c r="BE238" s="13">
        <f t="shared" si="183"/>
        <v>0.20600220499356126</v>
      </c>
      <c r="BF238" s="14" cm="1">
        <f t="array" ref="BF238">VALUE(_xll.BDP($B238,"INTERVAL_DATE_OF_CALC_HI","CALC_INTERVAL","3M"))</f>
        <v>46064</v>
      </c>
      <c r="BG238" s="14" cm="1">
        <f t="array" ref="BG238">VALUE(_xll.BDP($B238,"INTERVAL_DATE_OF_CALC_LO","CALC_INTERVAL","3M"))</f>
        <v>45981</v>
      </c>
      <c r="BH238" s="14" cm="1">
        <f t="array" ref="BH238">VALUE(_xll.BDP($B238,"INTERVAL_DATE_OF_CALC_HI","CALC_INTERVAL","1M"))</f>
        <v>46064</v>
      </c>
      <c r="BI238" s="14" cm="1">
        <f t="array" ref="BI238">VALUE(_xll.BDP($B238,"INTERVAL_DATE_OF_CALC_LO","CALC_INTERVAL","1M"))</f>
        <v>46034</v>
      </c>
      <c r="BJ238" s="15">
        <f>$F238-MIN(_xll.BDP("NYA Index","RSI_14D"),_xll.BDP("RSP US Equity","RSI_14D"))</f>
        <v>11.641429504721913</v>
      </c>
    </row>
    <row r="239" spans="1:62" x14ac:dyDescent="0.25">
      <c r="A239" s="11">
        <v>238</v>
      </c>
      <c r="B239" s="26" t="s">
        <v>478</v>
      </c>
      <c r="C239" s="1" t="s">
        <v>895</v>
      </c>
      <c r="D239" s="1" t="s">
        <v>308</v>
      </c>
      <c r="E239" s="11" t="s">
        <v>787</v>
      </c>
      <c r="F239">
        <f>IFERROR(VALUE((_xll.BDP($B239,"interval_rsi","tech_studies_param1_override",14))),"")</f>
        <v>52.217942095398513</v>
      </c>
      <c r="G239">
        <f t="shared" si="146"/>
        <v>52.525531939815814</v>
      </c>
      <c r="H239">
        <f t="shared" si="157"/>
        <v>0</v>
      </c>
      <c r="I239" cm="1">
        <f t="array" ref="I239">IFERROR(VALUE(_xll.BDP($B239,"px_last")),"")</f>
        <v>34.51</v>
      </c>
      <c r="J239">
        <f t="shared" si="147"/>
        <v>6941.47</v>
      </c>
      <c r="K239" cm="1">
        <f t="array" ref="K239">IFERROR(VALUE(_xll.BDP($B239,"PX_YEST_CLOSE")),"")</f>
        <v>34.44</v>
      </c>
      <c r="L239">
        <f t="shared" si="148"/>
        <v>6941.81</v>
      </c>
      <c r="M239">
        <f t="shared" si="158"/>
        <v>4.9715694226150943E-3</v>
      </c>
      <c r="N239">
        <f t="shared" si="159"/>
        <v>4.961242096801842E-3</v>
      </c>
      <c r="O239" cm="1">
        <f t="array" ref="O239">IFERROR(VALUE(_xll.BDP($B239,"INTERVAL_MAE_MOV_AVG","CALC_INTERVAL","520D","TECH_STUDIES_PARAM1_OVERRIDE",50,"USE_PREVIOUS_BUSINESS_DAY","N")),"")</f>
        <v>33.137992624230662</v>
      </c>
      <c r="P239">
        <f t="shared" si="149"/>
        <v>6894.0953999999992</v>
      </c>
      <c r="Q239" cm="1">
        <f t="array" ref="Q239">IFERROR(VALUE(_xll.BDP($B239,"INTERVAL_MAE_MOV_AVG","CALC_INTERVAL","520D","TECH_STUDIES_PARAM1_OVERRIDE",50,"USE_PREVIOUS_BUSINESS_DAY","Y")),"")</f>
        <v>33.0783448468</v>
      </c>
      <c r="R239">
        <f t="shared" si="150"/>
        <v>6892.2477999999992</v>
      </c>
      <c r="S239">
        <f t="shared" si="160"/>
        <v>4.8067209258854564E-3</v>
      </c>
      <c r="T239">
        <f t="shared" si="161"/>
        <v>4.7993551315435876E-3</v>
      </c>
      <c r="U239" s="11" t="str">
        <f t="shared" si="162"/>
        <v>NEGATIVE</v>
      </c>
      <c r="V239" s="11" t="str">
        <f t="shared" si="163"/>
        <v/>
      </c>
      <c r="W239" s="11" t="str">
        <f t="shared" si="164"/>
        <v>UP</v>
      </c>
      <c r="X239" s="6" t="str">
        <f t="shared" si="165"/>
        <v>POSITIVE</v>
      </c>
      <c r="Y239" cm="1">
        <f t="array" ref="Y239">IFERROR(VALUE(_xll.BDP($B239,"INTERVAL_MAE_MOV_AVG","CALC_INTERVAL","520D","TECH_STUDIES_PARAM1_OVERRIDE",65,"USE_PREVIOUS_BUSINESS_DAY","N")),"")</f>
        <v>32.52729381786974</v>
      </c>
      <c r="Z239">
        <f t="shared" si="151"/>
        <v>6856.0226153846133</v>
      </c>
      <c r="AA239" cm="1">
        <f t="array" ref="AA239">IFERROR(VALUE(_xll.BDP($B239,"INTERVAL_MAE_MOV_AVG","CALC_INTERVAL","520D","TECH_STUDIES_PARAM1_OVERRIDE",65,"USE_PREVIOUS_BUSINESS_DAY","Y")),"")</f>
        <v>32.478958892461542</v>
      </c>
      <c r="AB239">
        <f t="shared" si="152"/>
        <v>6852.6203076923057</v>
      </c>
      <c r="AC239">
        <f t="shared" si="166"/>
        <v>4.7443387577047842E-3</v>
      </c>
      <c r="AD239">
        <f t="shared" si="167"/>
        <v>4.7396408138946173E-3</v>
      </c>
      <c r="AE239" s="10" t="str">
        <f t="shared" si="168"/>
        <v>UP</v>
      </c>
      <c r="AF239" s="10" t="str">
        <f t="shared" si="169"/>
        <v>UP</v>
      </c>
      <c r="AG239" s="6" t="str">
        <f t="shared" si="170"/>
        <v>POSITIVE</v>
      </c>
      <c r="AH239" cm="1">
        <f t="array" ref="AH239">IFERROR(VALUE(_xll.BDP($B239,"INTERVAL_MAE_MOV_AVG","CALC_INTERVAL","65W","PERIODICITY_OVERRIDE","W","TECH_STUDIES_PARAM1_OVERRIDE",39,"USE_PREVIOUS_BUSINESS_DAY","N")),"")</f>
        <v>27.772403617613513</v>
      </c>
      <c r="AI239">
        <f t="shared" si="153"/>
        <v>6560.7735897435905</v>
      </c>
      <c r="AJ239" cm="1">
        <f t="array" ref="AJ239">IFERROR(VALUE(_xll.BDP($B239,"INTERVAL_MAE_MOV_AVG","CALC_INTERVAL","65W","PERIODICITY_OVERRIDE","W","TECH_STUDIES_PARAM1_OVERRIDE",39,"USE_PREVIOUS_BUSINESS_DAY","Y")),"")</f>
        <v>27.770608788856247</v>
      </c>
      <c r="AK239">
        <f t="shared" si="154"/>
        <v>6560.7823076923087</v>
      </c>
      <c r="AL239">
        <f t="shared" si="171"/>
        <v>4.2330989231254539E-3</v>
      </c>
      <c r="AM239">
        <f t="shared" si="172"/>
        <v>4.2328197288753339E-3</v>
      </c>
      <c r="AN239" s="10" t="str">
        <f t="shared" si="173"/>
        <v>UP</v>
      </c>
      <c r="AO239" s="10" t="str">
        <f t="shared" si="174"/>
        <v>UP</v>
      </c>
      <c r="AP239" s="6" t="str">
        <f t="shared" si="175"/>
        <v>POSITIVE</v>
      </c>
      <c r="AQ239" cm="1">
        <f t="array" ref="AQ239">IFERROR(VALUE(_xll.BDP($B239,"INTERVAL_exp_MOV_AVG","CALC_INTERVAL","520D","TECH_STUDIES_PARAM1_OVERRIDE",100,"USE_PREVIOUS_BUSINESS_DAY","N")),"")</f>
        <v>31.473992664851774</v>
      </c>
      <c r="AR239">
        <f t="shared" si="155"/>
        <v>6773.0064518682802</v>
      </c>
      <c r="AS239" cm="1">
        <f t="array" ref="AS239">IFERROR(VALUE(_xll.BDP($B239,"INTERVAL_exp_MOV_AVG","CALC_INTERVAL","520D","TECH_STUDIES_PARAM1_OVERRIDE",100,"USE_PREVIOUS_BUSINESS_DAY","Y")),"")</f>
        <v>31.412671186486289</v>
      </c>
      <c r="AT239">
        <f t="shared" si="156"/>
        <v>6769.6039787132295</v>
      </c>
      <c r="AU239">
        <f t="shared" si="176"/>
        <v>4.6469751488528296E-3</v>
      </c>
      <c r="AV239">
        <f t="shared" si="177"/>
        <v>4.6402524114057897E-3</v>
      </c>
      <c r="AW239" s="11" t="str">
        <f t="shared" si="178"/>
        <v>UP</v>
      </c>
      <c r="AX239" s="11" t="str">
        <f t="shared" si="179"/>
        <v>UP</v>
      </c>
      <c r="AY239" s="6" t="str">
        <f t="shared" si="180"/>
        <v>POSITIVE</v>
      </c>
      <c r="AZ239" s="12" cm="1">
        <f t="array" ref="AZ239">_xll.BDP($B239, "INTERVAL_RSI", "TECH_STUDIES_PARAM1_OVERRIDE", "5", "PERIODICITY_OVERRIDE", "W")</f>
        <v>61.176263966249309</v>
      </c>
      <c r="BA239" cm="1">
        <f t="array" ref="BA239">IFERROR(VALUE(_xll.BDP($B239,"INTERVAL_MAE_MOV_AVG","CALC_INTERVAL","520D","TECH_STUDIES_PARAM1_OVERRIDE",31,"USE_PREVIOUS_BUSINESS_DAY","N")),"")</f>
        <v>34.081290268436547</v>
      </c>
      <c r="BB239" cm="1">
        <f t="array" ref="BB239">IFERROR(VALUE(_xll.BDP($B239,"INTERVAL_MAE_MOV_AVG","CALC_INTERVAL","760D","TECH_STUDIES_PARAM1_OVERRIDE",200,"USE_PREVIOUS_BUSINESS_DAY","N")),"")</f>
        <v>26.785409831475103</v>
      </c>
      <c r="BC239" s="13">
        <f t="shared" si="181"/>
        <v>1.2579034660565425E-2</v>
      </c>
      <c r="BD239" s="13">
        <f t="shared" si="182"/>
        <v>4.1402851142109176E-2</v>
      </c>
      <c r="BE239" s="13">
        <f t="shared" si="183"/>
        <v>0.28838797752677481</v>
      </c>
      <c r="BF239" s="14" cm="1">
        <f t="array" ref="BF239">VALUE(_xll.BDP($B239,"INTERVAL_DATE_OF_CALC_HI","CALC_INTERVAL","3M"))</f>
        <v>46044</v>
      </c>
      <c r="BG239" s="14" cm="1">
        <f t="array" ref="BG239">VALUE(_xll.BDP($B239,"INTERVAL_DATE_OF_CALC_LO","CALC_INTERVAL","3M"))</f>
        <v>45981</v>
      </c>
      <c r="BH239" s="14" cm="1">
        <f t="array" ref="BH239">VALUE(_xll.BDP($B239,"INTERVAL_DATE_OF_CALC_HI","CALC_INTERVAL","1M"))</f>
        <v>46044</v>
      </c>
      <c r="BI239" s="14" cm="1">
        <f t="array" ref="BI239">VALUE(_xll.BDP($B239,"INTERVAL_DATE_OF_CALC_LO","CALC_INTERVAL","1M"))</f>
        <v>46058</v>
      </c>
      <c r="BJ239" s="15">
        <f>$F239-MIN(_xll.BDP("NYA Index","RSI_14D"),_xll.BDP("RSP US Equity","RSI_14D"))</f>
        <v>-14.127822064757737</v>
      </c>
    </row>
    <row r="240" spans="1:62" x14ac:dyDescent="0.25">
      <c r="A240" s="11">
        <v>239</v>
      </c>
      <c r="B240" s="26" t="s">
        <v>479</v>
      </c>
      <c r="C240" s="1" t="s">
        <v>896</v>
      </c>
      <c r="D240" s="1" t="s">
        <v>308</v>
      </c>
      <c r="E240" s="11" t="s">
        <v>787</v>
      </c>
      <c r="F240">
        <f>IFERROR(VALUE((_xll.BDP($B240,"interval_rsi","tech_studies_param1_override",14))),"")</f>
        <v>51.909643826735426</v>
      </c>
      <c r="G240">
        <f t="shared" si="146"/>
        <v>52.525531939815814</v>
      </c>
      <c r="H240">
        <f t="shared" si="157"/>
        <v>0</v>
      </c>
      <c r="I240" cm="1">
        <f t="array" ref="I240">IFERROR(VALUE(_xll.BDP($B240,"px_last")),"")</f>
        <v>173.13</v>
      </c>
      <c r="J240">
        <f t="shared" si="147"/>
        <v>6941.47</v>
      </c>
      <c r="K240" cm="1">
        <f t="array" ref="K240">IFERROR(VALUE(_xll.BDP($B240,"PX_YEST_CLOSE")),"")</f>
        <v>175.5</v>
      </c>
      <c r="L240">
        <f t="shared" si="148"/>
        <v>6941.81</v>
      </c>
      <c r="M240">
        <f t="shared" si="158"/>
        <v>2.4941402901690852E-2</v>
      </c>
      <c r="N240">
        <f t="shared" si="159"/>
        <v>2.5281590824295104E-2</v>
      </c>
      <c r="O240" cm="1">
        <f t="array" ref="O240">IFERROR(VALUE(_xll.BDP($B240,"INTERVAL_MAE_MOV_AVG","CALC_INTERVAL","520D","TECH_STUDIES_PARAM1_OVERRIDE",50,"USE_PREVIOUS_BUSINESS_DAY","N")),"")</f>
        <v>165.16460009765629</v>
      </c>
      <c r="P240">
        <f t="shared" si="149"/>
        <v>6894.0953999999992</v>
      </c>
      <c r="Q240" cm="1">
        <f t="array" ref="Q240">IFERROR(VALUE(_xll.BDP($B240,"INTERVAL_MAE_MOV_AVG","CALC_INTERVAL","520D","TECH_STUDIES_PARAM1_OVERRIDE",50,"USE_PREVIOUS_BUSINESS_DAY","Y")),"")</f>
        <v>164.72820000000004</v>
      </c>
      <c r="R240">
        <f t="shared" si="150"/>
        <v>6892.2477999999992</v>
      </c>
      <c r="S240">
        <f t="shared" si="160"/>
        <v>2.3957399849392325E-2</v>
      </c>
      <c r="T240">
        <f t="shared" si="161"/>
        <v>2.3900504563982749E-2</v>
      </c>
      <c r="U240" s="11" t="str">
        <f t="shared" si="162"/>
        <v>NEGATIVE</v>
      </c>
      <c r="V240" s="11" t="str">
        <f t="shared" si="163"/>
        <v/>
      </c>
      <c r="W240" s="11" t="str">
        <f t="shared" si="164"/>
        <v>UP</v>
      </c>
      <c r="X240" s="6" t="str">
        <f t="shared" si="165"/>
        <v>POSITIVE</v>
      </c>
      <c r="Y240" cm="1">
        <f t="array" ref="Y240">IFERROR(VALUE(_xll.BDP($B240,"INTERVAL_MAE_MOV_AVG","CALC_INTERVAL","520D","TECH_STUDIES_PARAM1_OVERRIDE",65,"USE_PREVIOUS_BUSINESS_DAY","N")),"")</f>
        <v>161.77153853665877</v>
      </c>
      <c r="Z240">
        <f t="shared" si="151"/>
        <v>6856.0226153846133</v>
      </c>
      <c r="AA240" cm="1">
        <f t="array" ref="AA240">IFERROR(VALUE(_xll.BDP($B240,"INTERVAL_MAE_MOV_AVG","CALC_INTERVAL","520D","TECH_STUDIES_PARAM1_OVERRIDE",65,"USE_PREVIOUS_BUSINESS_DAY","Y")),"")</f>
        <v>161.45523076923087</v>
      </c>
      <c r="AB240">
        <f t="shared" si="152"/>
        <v>6852.6203076923057</v>
      </c>
      <c r="AC240">
        <f t="shared" si="166"/>
        <v>2.3595537472943941E-2</v>
      </c>
      <c r="AD240">
        <f t="shared" si="167"/>
        <v>2.3561093934825444E-2</v>
      </c>
      <c r="AE240" s="10" t="str">
        <f t="shared" si="168"/>
        <v>UP</v>
      </c>
      <c r="AF240" s="10" t="str">
        <f t="shared" si="169"/>
        <v>UP</v>
      </c>
      <c r="AG240" s="6" t="str">
        <f t="shared" si="170"/>
        <v>POSITIVE</v>
      </c>
      <c r="AH240" cm="1">
        <f t="array" ref="AH240">IFERROR(VALUE(_xll.BDP($B240,"INTERVAL_MAE_MOV_AVG","CALC_INTERVAL","65W","PERIODICITY_OVERRIDE","W","TECH_STUDIES_PARAM1_OVERRIDE",39,"USE_PREVIOUS_BUSINESS_DAY","N")),"")</f>
        <v>152.02339286398461</v>
      </c>
      <c r="AI240">
        <f t="shared" si="153"/>
        <v>6560.7735897435905</v>
      </c>
      <c r="AJ240" cm="1">
        <f t="array" ref="AJ240">IFERROR(VALUE(_xll.BDP($B240,"INTERVAL_MAE_MOV_AVG","CALC_INTERVAL","65W","PERIODICITY_OVERRIDE","W","TECH_STUDIES_PARAM1_OVERRIDE",39,"USE_PREVIOUS_BUSINESS_DAY","Y")),"")</f>
        <v>152.08416196955352</v>
      </c>
      <c r="AK240">
        <f t="shared" si="154"/>
        <v>6560.7823076923087</v>
      </c>
      <c r="AL240">
        <f t="shared" si="171"/>
        <v>2.3171565179697966E-2</v>
      </c>
      <c r="AM240">
        <f t="shared" si="172"/>
        <v>2.3180796867964919E-2</v>
      </c>
      <c r="AN240" s="10" t="str">
        <f t="shared" si="173"/>
        <v>DOWN</v>
      </c>
      <c r="AO240" s="10" t="str">
        <f t="shared" si="174"/>
        <v>DOWN</v>
      </c>
      <c r="AP240" s="6" t="str">
        <f t="shared" si="175"/>
        <v>POSITIVE</v>
      </c>
      <c r="AQ240" cm="1">
        <f t="array" ref="AQ240">IFERROR(VALUE(_xll.BDP($B240,"INTERVAL_exp_MOV_AVG","CALC_INTERVAL","520D","TECH_STUDIES_PARAM1_OVERRIDE",100,"USE_PREVIOUS_BUSINESS_DAY","N")),"")</f>
        <v>160.65932143741091</v>
      </c>
      <c r="AR240">
        <f t="shared" si="155"/>
        <v>6773.0064518682802</v>
      </c>
      <c r="AS240" cm="1">
        <f t="array" ref="AS240">IFERROR(VALUE(_xll.BDP($B240,"INTERVAL_exp_MOV_AVG","CALC_INTERVAL","520D","TECH_STUDIES_PARAM1_OVERRIDE",100,"USE_PREVIOUS_BUSINESS_DAY","Y")),"")</f>
        <v>160.40740010414942</v>
      </c>
      <c r="AT240">
        <f t="shared" si="156"/>
        <v>6769.6039787132295</v>
      </c>
      <c r="AU240">
        <f t="shared" si="176"/>
        <v>2.372053276179802E-2</v>
      </c>
      <c r="AV240">
        <f t="shared" si="177"/>
        <v>2.369524134772796E-2</v>
      </c>
      <c r="AW240" s="11" t="str">
        <f t="shared" si="178"/>
        <v>UP</v>
      </c>
      <c r="AX240" s="11" t="str">
        <f t="shared" si="179"/>
        <v>UP</v>
      </c>
      <c r="AY240" s="6" t="str">
        <f t="shared" si="180"/>
        <v>POSITIVE</v>
      </c>
      <c r="AZ240" s="12" cm="1">
        <f t="array" ref="AZ240">_xll.BDP($B240, "INTERVAL_RSI", "TECH_STUDIES_PARAM1_OVERRIDE", "5", "PERIODICITY_OVERRIDE", "W")</f>
        <v>61.812462065625347</v>
      </c>
      <c r="BA240" cm="1">
        <f t="array" ref="BA240">IFERROR(VALUE(_xll.BDP($B240,"INTERVAL_MAE_MOV_AVG","CALC_INTERVAL","520D","TECH_STUDIES_PARAM1_OVERRIDE",31,"USE_PREVIOUS_BUSINESS_DAY","N")),"")</f>
        <v>172.22258080267139</v>
      </c>
      <c r="BB240" cm="1">
        <f t="array" ref="BB240">IFERROR(VALUE(_xll.BDP($B240,"INTERVAL_MAE_MOV_AVG","CALC_INTERVAL","760D","TECH_STUDIES_PARAM1_OVERRIDE",200,"USE_PREVIOUS_BUSINESS_DAY","N")),"")</f>
        <v>149.50569072691434</v>
      </c>
      <c r="BC240" s="13">
        <f t="shared" si="181"/>
        <v>5.2688746916893514E-3</v>
      </c>
      <c r="BD240" s="13">
        <f t="shared" si="182"/>
        <v>4.8227040768021867E-2</v>
      </c>
      <c r="BE240" s="13">
        <f t="shared" si="183"/>
        <v>0.1580161207123385</v>
      </c>
      <c r="BF240" s="14" cm="1">
        <f t="array" ref="BF240">VALUE(_xll.BDP($B240,"INTERVAL_DATE_OF_CALC_HI","CALC_INTERVAL","3M"))</f>
        <v>46038</v>
      </c>
      <c r="BG240" s="14" cm="1">
        <f t="array" ref="BG240">VALUE(_xll.BDP($B240,"INTERVAL_DATE_OF_CALC_LO","CALC_INTERVAL","3M"))</f>
        <v>45981</v>
      </c>
      <c r="BH240" s="14" cm="1">
        <f t="array" ref="BH240">VALUE(_xll.BDP($B240,"INTERVAL_DATE_OF_CALC_HI","CALC_INTERVAL","1M"))</f>
        <v>46038</v>
      </c>
      <c r="BI240" s="14" cm="1">
        <f t="array" ref="BI240">VALUE(_xll.BDP($B240,"INTERVAL_DATE_OF_CALC_LO","CALC_INTERVAL","1M"))</f>
        <v>46058</v>
      </c>
      <c r="BJ240" s="15">
        <f>$F240-MIN(_xll.BDP("NYA Index","RSI_14D"),_xll.BDP("RSP US Equity","RSI_14D"))</f>
        <v>-14.436120333420824</v>
      </c>
    </row>
    <row r="241" spans="1:62" x14ac:dyDescent="0.25">
      <c r="A241" s="11">
        <v>240</v>
      </c>
      <c r="B241" s="26" t="s">
        <v>480</v>
      </c>
      <c r="C241" s="1" t="s">
        <v>897</v>
      </c>
      <c r="D241" s="1" t="s">
        <v>308</v>
      </c>
      <c r="E241" s="11" t="s">
        <v>787</v>
      </c>
      <c r="F241">
        <f>IFERROR(VALUE((_xll.BDP($B241,"interval_rsi","tech_studies_param1_override",14))),"")</f>
        <v>64.125779304453999</v>
      </c>
      <c r="G241">
        <f t="shared" si="146"/>
        <v>52.525531939815814</v>
      </c>
      <c r="H241">
        <f t="shared" si="157"/>
        <v>1</v>
      </c>
      <c r="I241" cm="1">
        <f t="array" ref="I241">IFERROR(VALUE(_xll.BDP($B241,"px_last")),"")</f>
        <v>110.29</v>
      </c>
      <c r="J241">
        <f t="shared" si="147"/>
        <v>6941.47</v>
      </c>
      <c r="K241" cm="1">
        <f t="array" ref="K241">IFERROR(VALUE(_xll.BDP($B241,"PX_YEST_CLOSE")),"")</f>
        <v>109.65</v>
      </c>
      <c r="L241">
        <f t="shared" si="148"/>
        <v>6941.81</v>
      </c>
      <c r="M241">
        <f t="shared" si="158"/>
        <v>1.5888565390327986E-2</v>
      </c>
      <c r="N241">
        <f t="shared" si="159"/>
        <v>1.5795592215863009E-2</v>
      </c>
      <c r="O241" cm="1">
        <f t="array" ref="O241">IFERROR(VALUE(_xll.BDP($B241,"INTERVAL_MAE_MOV_AVG","CALC_INTERVAL","520D","TECH_STUDIES_PARAM1_OVERRIDE",50,"USE_PREVIOUS_BUSINESS_DAY","N")),"")</f>
        <v>104.20276676981452</v>
      </c>
      <c r="P241">
        <f t="shared" si="149"/>
        <v>6894.0953999999992</v>
      </c>
      <c r="Q241" cm="1">
        <f t="array" ref="Q241">IFERROR(VALUE(_xll.BDP($B241,"INTERVAL_MAE_MOV_AVG","CALC_INTERVAL","520D","TECH_STUDIES_PARAM1_OVERRIDE",50,"USE_PREVIOUS_BUSINESS_DAY","Y")),"")</f>
        <v>104.04106945670398</v>
      </c>
      <c r="R241">
        <f t="shared" si="150"/>
        <v>6892.2477999999992</v>
      </c>
      <c r="S241">
        <f t="shared" si="160"/>
        <v>1.5114784569098729E-2</v>
      </c>
      <c r="T241">
        <f t="shared" si="161"/>
        <v>1.5095375627194367E-2</v>
      </c>
      <c r="U241" s="11" t="str">
        <f t="shared" si="162"/>
        <v>POSITIVE</v>
      </c>
      <c r="V241" s="11" t="str">
        <f t="shared" si="163"/>
        <v/>
      </c>
      <c r="W241" s="11" t="str">
        <f t="shared" si="164"/>
        <v>UP</v>
      </c>
      <c r="X241" s="6" t="str">
        <f t="shared" si="165"/>
        <v>POSITIVE</v>
      </c>
      <c r="Y241" cm="1">
        <f t="array" ref="Y241">IFERROR(VALUE(_xll.BDP($B241,"INTERVAL_MAE_MOV_AVG","CALC_INTERVAL","520D","TECH_STUDIES_PARAM1_OVERRIDE",65,"USE_PREVIOUS_BUSINESS_DAY","N")),"")</f>
        <v>103.01778061831887</v>
      </c>
      <c r="Z241">
        <f t="shared" si="151"/>
        <v>6856.0226153846133</v>
      </c>
      <c r="AA241" cm="1">
        <f t="array" ref="AA241">IFERROR(VALUE(_xll.BDP($B241,"INTERVAL_MAE_MOV_AVG","CALC_INTERVAL","520D","TECH_STUDIES_PARAM1_OVERRIDE",65,"USE_PREVIOUS_BUSINESS_DAY","Y")),"")</f>
        <v>102.76746601654152</v>
      </c>
      <c r="AB241">
        <f t="shared" si="152"/>
        <v>6852.6203076923057</v>
      </c>
      <c r="AC241">
        <f t="shared" si="166"/>
        <v>1.5025881097176006E-2</v>
      </c>
      <c r="AD241">
        <f t="shared" si="167"/>
        <v>1.4996813102453882E-2</v>
      </c>
      <c r="AE241" s="10" t="str">
        <f t="shared" si="168"/>
        <v>UP</v>
      </c>
      <c r="AF241" s="10" t="str">
        <f t="shared" si="169"/>
        <v>UP</v>
      </c>
      <c r="AG241" s="6" t="str">
        <f t="shared" si="170"/>
        <v>POSITIVE</v>
      </c>
      <c r="AH241" cm="1">
        <f t="array" ref="AH241">IFERROR(VALUE(_xll.BDP($B241,"INTERVAL_MAE_MOV_AVG","CALC_INTERVAL","65W","PERIODICITY_OVERRIDE","W","TECH_STUDIES_PARAM1_OVERRIDE",39,"USE_PREVIOUS_BUSINESS_DAY","N")),"")</f>
        <v>93.89602378551713</v>
      </c>
      <c r="AI241">
        <f t="shared" si="153"/>
        <v>6560.7735897435905</v>
      </c>
      <c r="AJ241" cm="1">
        <f t="array" ref="AJ241">IFERROR(VALUE(_xll.BDP($B241,"INTERVAL_MAE_MOV_AVG","CALC_INTERVAL","65W","PERIODICITY_OVERRIDE","W","TECH_STUDIES_PARAM1_OVERRIDE",39,"USE_PREVIOUS_BUSINESS_DAY","Y")),"")</f>
        <v>93.879613505631824</v>
      </c>
      <c r="AK241">
        <f t="shared" si="154"/>
        <v>6560.7823076923087</v>
      </c>
      <c r="AL241">
        <f t="shared" si="171"/>
        <v>1.4311730545358873E-2</v>
      </c>
      <c r="AM241">
        <f t="shared" si="172"/>
        <v>1.4309210259203535E-2</v>
      </c>
      <c r="AN241" s="10" t="str">
        <f t="shared" si="173"/>
        <v>UP</v>
      </c>
      <c r="AO241" s="10" t="str">
        <f t="shared" si="174"/>
        <v>UP</v>
      </c>
      <c r="AP241" s="6" t="str">
        <f t="shared" si="175"/>
        <v>POSITIVE</v>
      </c>
      <c r="AQ241" cm="1">
        <f t="array" ref="AQ241">IFERROR(VALUE(_xll.BDP($B241,"INTERVAL_exp_MOV_AVG","CALC_INTERVAL","520D","TECH_STUDIES_PARAM1_OVERRIDE",100,"USE_PREVIOUS_BUSINESS_DAY","N")),"")</f>
        <v>100.20913308116656</v>
      </c>
      <c r="AR241">
        <f t="shared" si="155"/>
        <v>6773.0064518682802</v>
      </c>
      <c r="AS241" cm="1">
        <f t="array" ref="AS241">IFERROR(VALUE(_xll.BDP($B241,"INTERVAL_exp_MOV_AVG","CALC_INTERVAL","520D","TECH_STUDIES_PARAM1_OVERRIDE",100,"USE_PREVIOUS_BUSINESS_DAY","Y")),"")</f>
        <v>100.00549202302629</v>
      </c>
      <c r="AT241">
        <f t="shared" si="156"/>
        <v>6769.6039787132295</v>
      </c>
      <c r="AU241">
        <f t="shared" si="176"/>
        <v>1.4795369499983963E-2</v>
      </c>
      <c r="AV241">
        <f t="shared" si="177"/>
        <v>1.4772724126476214E-2</v>
      </c>
      <c r="AW241" s="11" t="str">
        <f t="shared" si="178"/>
        <v>UP</v>
      </c>
      <c r="AX241" s="11" t="str">
        <f t="shared" si="179"/>
        <v>UP</v>
      </c>
      <c r="AY241" s="6" t="str">
        <f t="shared" si="180"/>
        <v>POSITIVE</v>
      </c>
      <c r="AZ241" s="12" cm="1">
        <f t="array" ref="AZ241">_xll.BDP($B241, "INTERVAL_RSI", "TECH_STUDIES_PARAM1_OVERRIDE", "5", "PERIODICITY_OVERRIDE", "W")</f>
        <v>89.926443982918215</v>
      </c>
      <c r="BA241" cm="1">
        <f t="array" ref="BA241">IFERROR(VALUE(_xll.BDP($B241,"INTERVAL_MAE_MOV_AVG","CALC_INTERVAL","520D","TECH_STUDIES_PARAM1_OVERRIDE",31,"USE_PREVIOUS_BUSINESS_DAY","N")),"")</f>
        <v>106.25191293275893</v>
      </c>
      <c r="BB241" cm="1">
        <f t="array" ref="BB241">IFERROR(VALUE(_xll.BDP($B241,"INTERVAL_MAE_MOV_AVG","CALC_INTERVAL","760D","TECH_STUDIES_PARAM1_OVERRIDE",200,"USE_PREVIOUS_BUSINESS_DAY","N")),"")</f>
        <v>92.791743992781292</v>
      </c>
      <c r="BC241" s="13">
        <f t="shared" si="181"/>
        <v>3.8004841096805242E-2</v>
      </c>
      <c r="BD241" s="13">
        <f t="shared" si="182"/>
        <v>5.841719388922062E-2</v>
      </c>
      <c r="BE241" s="13">
        <f t="shared" si="183"/>
        <v>0.18857556991902191</v>
      </c>
      <c r="BF241" s="14" cm="1">
        <f t="array" ref="BF241">VALUE(_xll.BDP($B241,"INTERVAL_DATE_OF_CALC_HI","CALC_INTERVAL","3M"))</f>
        <v>46059</v>
      </c>
      <c r="BG241" s="14" cm="1">
        <f t="array" ref="BG241">VALUE(_xll.BDP($B241,"INTERVAL_DATE_OF_CALC_LO","CALC_INTERVAL","3M"))</f>
        <v>46000</v>
      </c>
      <c r="BH241" s="14" cm="1">
        <f t="array" ref="BH241">VALUE(_xll.BDP($B241,"INTERVAL_DATE_OF_CALC_HI","CALC_INTERVAL","1M"))</f>
        <v>46059</v>
      </c>
      <c r="BI241" s="14" cm="1">
        <f t="array" ref="BI241">VALUE(_xll.BDP($B241,"INTERVAL_DATE_OF_CALC_LO","CALC_INTERVAL","1M"))</f>
        <v>46042</v>
      </c>
      <c r="BJ241" s="15">
        <f>$F241-MIN(_xll.BDP("NYA Index","RSI_14D"),_xll.BDP("RSP US Equity","RSI_14D"))</f>
        <v>-2.2199848557022506</v>
      </c>
    </row>
    <row r="242" spans="1:62" x14ac:dyDescent="0.25">
      <c r="A242" s="11">
        <v>241</v>
      </c>
      <c r="B242" s="26" t="s">
        <v>170</v>
      </c>
      <c r="C242" s="1" t="s">
        <v>898</v>
      </c>
      <c r="D242" s="1" t="s">
        <v>308</v>
      </c>
      <c r="E242" s="11" t="s">
        <v>787</v>
      </c>
      <c r="F242">
        <f>IFERROR(VALUE((_xll.BDP($B242,"interval_rsi","tech_studies_param1_override",14))),"")</f>
        <v>47.056277934244576</v>
      </c>
      <c r="G242">
        <f t="shared" si="146"/>
        <v>52.525531939815814</v>
      </c>
      <c r="H242">
        <f t="shared" si="157"/>
        <v>0</v>
      </c>
      <c r="I242" cm="1">
        <f t="array" ref="I242">IFERROR(VALUE(_xll.BDP($B242,"px_last")),"")</f>
        <v>613.11</v>
      </c>
      <c r="J242">
        <f t="shared" si="147"/>
        <v>6941.47</v>
      </c>
      <c r="K242" cm="1">
        <f t="array" ref="K242">IFERROR(VALUE(_xll.BDP($B242,"PX_YEST_CLOSE")),"")</f>
        <v>611.47</v>
      </c>
      <c r="L242">
        <f t="shared" si="148"/>
        <v>6941.81</v>
      </c>
      <c r="M242">
        <f t="shared" si="158"/>
        <v>8.8325671651681842E-2</v>
      </c>
      <c r="N242">
        <f t="shared" si="159"/>
        <v>8.8085095962004145E-2</v>
      </c>
      <c r="O242" cm="1">
        <f t="array" ref="O242">IFERROR(VALUE(_xll.BDP($B242,"INTERVAL_MAE_MOV_AVG","CALC_INTERVAL","520D","TECH_STUDIES_PARAM1_OVERRIDE",50,"USE_PREVIOUS_BUSINESS_DAY","N")),"")</f>
        <v>619.05023263563135</v>
      </c>
      <c r="P242">
        <f t="shared" si="149"/>
        <v>6894.0953999999992</v>
      </c>
      <c r="Q242" cm="1">
        <f t="array" ref="Q242">IFERROR(VALUE(_xll.BDP($B242,"INTERVAL_MAE_MOV_AVG","CALC_INTERVAL","520D","TECH_STUDIES_PARAM1_OVERRIDE",50,"USE_PREVIOUS_BUSINESS_DAY","Y")),"")</f>
        <v>619.15709343360015</v>
      </c>
      <c r="R242">
        <f t="shared" si="150"/>
        <v>6892.2477999999992</v>
      </c>
      <c r="S242">
        <f t="shared" si="160"/>
        <v>8.9794265486322022E-2</v>
      </c>
      <c r="T242">
        <f t="shared" si="161"/>
        <v>8.9833841063230516E-2</v>
      </c>
      <c r="U242" s="11" t="str">
        <f t="shared" si="162"/>
        <v>NEGATIVE</v>
      </c>
      <c r="V242" s="11" t="str">
        <f t="shared" si="163"/>
        <v/>
      </c>
      <c r="W242" s="11" t="str">
        <f t="shared" si="164"/>
        <v>DOWN</v>
      </c>
      <c r="X242" s="6" t="str">
        <f t="shared" si="165"/>
        <v>NEGATIVE</v>
      </c>
      <c r="Y242" cm="1">
        <f t="array" ref="Y242">IFERROR(VALUE(_xll.BDP($B242,"INTERVAL_MAE_MOV_AVG","CALC_INTERVAL","520D","TECH_STUDIES_PARAM1_OVERRIDE",65,"USE_PREVIOUS_BUSINESS_DAY","N")),"")</f>
        <v>616.25860463340905</v>
      </c>
      <c r="Z242">
        <f t="shared" si="151"/>
        <v>6856.0226153846133</v>
      </c>
      <c r="AA242" cm="1">
        <f t="array" ref="AA242">IFERROR(VALUE(_xll.BDP($B242,"INTERVAL_MAE_MOV_AVG","CALC_INTERVAL","520D","TECH_STUDIES_PARAM1_OVERRIDE",65,"USE_PREVIOUS_BUSINESS_DAY","Y")),"")</f>
        <v>616.2243399466156</v>
      </c>
      <c r="AB242">
        <f t="shared" si="152"/>
        <v>6852.6203076923057</v>
      </c>
      <c r="AC242">
        <f t="shared" si="166"/>
        <v>8.9885731014152703E-2</v>
      </c>
      <c r="AD242">
        <f t="shared" si="167"/>
        <v>8.9925358808349884E-2</v>
      </c>
      <c r="AE242" s="10" t="str">
        <f t="shared" si="168"/>
        <v>UP</v>
      </c>
      <c r="AF242" s="10" t="str">
        <f t="shared" si="169"/>
        <v>DOWN</v>
      </c>
      <c r="AG242" s="6" t="str">
        <f t="shared" si="170"/>
        <v>NEGATIVE</v>
      </c>
      <c r="AH242" cm="1">
        <f t="array" ref="AH242">IFERROR(VALUE(_xll.BDP($B242,"INTERVAL_MAE_MOV_AVG","CALC_INTERVAL","65W","PERIODICITY_OVERRIDE","W","TECH_STUDIES_PARAM1_OVERRIDE",39,"USE_PREVIOUS_BUSINESS_DAY","N")),"")</f>
        <v>585.79292562834996</v>
      </c>
      <c r="AI242">
        <f t="shared" si="153"/>
        <v>6560.7735897435905</v>
      </c>
      <c r="AJ242" cm="1">
        <f t="array" ref="AJ242">IFERROR(VALUE(_xll.BDP($B242,"INTERVAL_MAE_MOV_AVG","CALC_INTERVAL","65W","PERIODICITY_OVERRIDE","W","TECH_STUDIES_PARAM1_OVERRIDE",39,"USE_PREVIOUS_BUSINESS_DAY","Y")),"")</f>
        <v>585.75087472189966</v>
      </c>
      <c r="AK242">
        <f t="shared" si="154"/>
        <v>6560.7823076923087</v>
      </c>
      <c r="AL242">
        <f t="shared" si="171"/>
        <v>8.9287172863900643E-2</v>
      </c>
      <c r="AM242">
        <f t="shared" si="172"/>
        <v>8.9280644784559521E-2</v>
      </c>
      <c r="AN242" s="10" t="str">
        <f t="shared" si="173"/>
        <v>UP</v>
      </c>
      <c r="AO242" s="10" t="str">
        <f t="shared" si="174"/>
        <v>UP</v>
      </c>
      <c r="AP242" s="6" t="str">
        <f t="shared" si="175"/>
        <v>NEGATIVE</v>
      </c>
      <c r="AQ242" cm="1">
        <f t="array" ref="AQ242">IFERROR(VALUE(_xll.BDP($B242,"INTERVAL_exp_MOV_AVG","CALC_INTERVAL","520D","TECH_STUDIES_PARAM1_OVERRIDE",100,"USE_PREVIOUS_BUSINESS_DAY","N")),"")</f>
        <v>607.03342233547505</v>
      </c>
      <c r="AR242">
        <f t="shared" si="155"/>
        <v>6773.0064518682802</v>
      </c>
      <c r="AS242" cm="1">
        <f t="array" ref="AS242">IFERROR(VALUE(_xll.BDP($B242,"INTERVAL_exp_MOV_AVG","CALC_INTERVAL","520D","TECH_STUDIES_PARAM1_OVERRIDE",100,"USE_PREVIOUS_BUSINESS_DAY","Y")),"")</f>
        <v>606.91073439793752</v>
      </c>
      <c r="AT242">
        <f t="shared" si="156"/>
        <v>6769.6039787132295</v>
      </c>
      <c r="AU242">
        <f t="shared" si="176"/>
        <v>8.9625401459351883E-2</v>
      </c>
      <c r="AV242">
        <f t="shared" si="177"/>
        <v>8.9652324760258653E-2</v>
      </c>
      <c r="AW242" s="11" t="str">
        <f t="shared" si="178"/>
        <v>UP</v>
      </c>
      <c r="AX242" s="11" t="str">
        <f t="shared" si="179"/>
        <v>DOWN</v>
      </c>
      <c r="AY242" s="6" t="str">
        <f t="shared" si="180"/>
        <v>NEGATIVE</v>
      </c>
      <c r="AZ242" s="12" cm="1">
        <f t="array" ref="AZ242">_xll.BDP($B242, "INTERVAL_RSI", "TECH_STUDIES_PARAM1_OVERRIDE", "5", "PERIODICITY_OVERRIDE", "W")</f>
        <v>44.404745466932738</v>
      </c>
      <c r="BA242" cm="1">
        <f t="array" ref="BA242">IFERROR(VALUE(_xll.BDP($B242,"INTERVAL_MAE_MOV_AVG","CALC_INTERVAL","520D","TECH_STUDIES_PARAM1_OVERRIDE",31,"USE_PREVIOUS_BUSINESS_DAY","N")),"")</f>
        <v>619.32903178553431</v>
      </c>
      <c r="BB242" cm="1">
        <f t="array" ref="BB242">IFERROR(VALUE(_xll.BDP($B242,"INTERVAL_MAE_MOV_AVG","CALC_INTERVAL","760D","TECH_STUDIES_PARAM1_OVERRIDE",200,"USE_PREVIOUS_BUSINESS_DAY","N")),"")</f>
        <v>578.94654041960644</v>
      </c>
      <c r="BC242" s="13">
        <f t="shared" si="181"/>
        <v>-1.0041563476533177E-2</v>
      </c>
      <c r="BD242" s="13">
        <f t="shared" si="182"/>
        <v>-9.5957198987560721E-3</v>
      </c>
      <c r="BE242" s="13">
        <f t="shared" si="183"/>
        <v>5.9009696397240186E-2</v>
      </c>
      <c r="BF242" s="14" cm="1">
        <f t="array" ref="BF242">VALUE(_xll.BDP($B242,"INTERVAL_DATE_OF_CALC_HI","CALC_INTERVAL","3M"))</f>
        <v>46050</v>
      </c>
      <c r="BG242" s="14" cm="1">
        <f t="array" ref="BG242">VALUE(_xll.BDP($B242,"INTERVAL_DATE_OF_CALC_LO","CALC_INTERVAL","3M"))</f>
        <v>45981</v>
      </c>
      <c r="BH242" s="14" cm="1">
        <f t="array" ref="BH242">VALUE(_xll.BDP($B242,"INTERVAL_DATE_OF_CALC_HI","CALC_INTERVAL","1M"))</f>
        <v>46050</v>
      </c>
      <c r="BI242" s="14" cm="1">
        <f t="array" ref="BI242">VALUE(_xll.BDP($B242,"INTERVAL_DATE_OF_CALC_LO","CALC_INTERVAL","1M"))</f>
        <v>46058</v>
      </c>
      <c r="BJ242" s="15">
        <f>$F242-MIN(_xll.BDP("NYA Index","RSI_14D"),_xll.BDP("RSP US Equity","RSI_14D"))</f>
        <v>-19.289486225911674</v>
      </c>
    </row>
    <row r="243" spans="1:62" x14ac:dyDescent="0.25">
      <c r="A243" s="11">
        <v>242</v>
      </c>
      <c r="B243" s="26" t="s">
        <v>481</v>
      </c>
      <c r="C243" s="1" t="s">
        <v>899</v>
      </c>
      <c r="D243" s="1" t="s">
        <v>308</v>
      </c>
      <c r="E243" s="11" t="s">
        <v>787</v>
      </c>
      <c r="F243">
        <f>IFERROR(VALUE((_xll.BDP($B243,"interval_rsi","tech_studies_param1_override",14))),"")</f>
        <v>48.519728593694786</v>
      </c>
      <c r="G243">
        <f t="shared" si="146"/>
        <v>52.525531939815814</v>
      </c>
      <c r="H243">
        <f t="shared" si="157"/>
        <v>0</v>
      </c>
      <c r="I243" cm="1">
        <f t="array" ref="I243">IFERROR(VALUE(_xll.BDP($B243,"px_last")),"")</f>
        <v>103.28</v>
      </c>
      <c r="J243">
        <f t="shared" si="147"/>
        <v>6941.47</v>
      </c>
      <c r="K243" cm="1">
        <f t="array" ref="K243">IFERROR(VALUE(_xll.BDP($B243,"PX_YEST_CLOSE")),"")</f>
        <v>102.91</v>
      </c>
      <c r="L243">
        <f t="shared" si="148"/>
        <v>6941.81</v>
      </c>
      <c r="M243">
        <f t="shared" si="158"/>
        <v>1.4878692841717965E-2</v>
      </c>
      <c r="N243">
        <f t="shared" si="159"/>
        <v>1.482466388449122E-2</v>
      </c>
      <c r="O243" cm="1">
        <f t="array" ref="O243">IFERROR(VALUE(_xll.BDP($B243,"INTERVAL_MAE_MOV_AVG","CALC_INTERVAL","520D","TECH_STUDIES_PARAM1_OVERRIDE",50,"USE_PREVIOUS_BUSINESS_DAY","N")),"")</f>
        <v>103.66950305638599</v>
      </c>
      <c r="P243">
        <f t="shared" si="149"/>
        <v>6894.0953999999992</v>
      </c>
      <c r="Q243" cm="1">
        <f t="array" ref="Q243">IFERROR(VALUE(_xll.BDP($B243,"INTERVAL_MAE_MOV_AVG","CALC_INTERVAL","520D","TECH_STUDIES_PARAM1_OVERRIDE",50,"USE_PREVIOUS_BUSINESS_DAY","Y")),"")</f>
        <v>103.64333600280003</v>
      </c>
      <c r="R243">
        <f t="shared" si="150"/>
        <v>6892.2477999999992</v>
      </c>
      <c r="S243">
        <f t="shared" si="160"/>
        <v>1.5037433780853395E-2</v>
      </c>
      <c r="T243">
        <f t="shared" si="161"/>
        <v>1.5037668263001229E-2</v>
      </c>
      <c r="U243" s="11" t="str">
        <f t="shared" si="162"/>
        <v>NEGATIVE</v>
      </c>
      <c r="V243" s="11" t="str">
        <f t="shared" si="163"/>
        <v/>
      </c>
      <c r="W243" s="11" t="str">
        <f t="shared" si="164"/>
        <v>DOWN</v>
      </c>
      <c r="X243" s="6" t="str">
        <f t="shared" si="165"/>
        <v>NEGATIVE</v>
      </c>
      <c r="Y243" cm="1">
        <f t="array" ref="Y243">IFERROR(VALUE(_xll.BDP($B243,"INTERVAL_MAE_MOV_AVG","CALC_INTERVAL","520D","TECH_STUDIES_PARAM1_OVERRIDE",65,"USE_PREVIOUS_BUSINESS_DAY","N")),"")</f>
        <v>102.87500960675844</v>
      </c>
      <c r="Z243">
        <f t="shared" si="151"/>
        <v>6856.0226153846133</v>
      </c>
      <c r="AA243" cm="1">
        <f t="array" ref="AA243">IFERROR(VALUE(_xll.BDP($B243,"INTERVAL_MAE_MOV_AVG","CALC_INTERVAL","520D","TECH_STUDIES_PARAM1_OVERRIDE",65,"USE_PREVIOUS_BUSINESS_DAY","Y")),"")</f>
        <v>102.83860188492309</v>
      </c>
      <c r="AB243">
        <f t="shared" si="152"/>
        <v>6852.6203076923057</v>
      </c>
      <c r="AC243">
        <f t="shared" si="166"/>
        <v>1.5005056922640751E-2</v>
      </c>
      <c r="AD243">
        <f t="shared" si="167"/>
        <v>1.5007193929814434E-2</v>
      </c>
      <c r="AE243" s="10" t="str">
        <f t="shared" si="168"/>
        <v>UP</v>
      </c>
      <c r="AF243" s="10" t="str">
        <f t="shared" si="169"/>
        <v>DOWN</v>
      </c>
      <c r="AG243" s="6" t="str">
        <f t="shared" si="170"/>
        <v>NEGATIVE</v>
      </c>
      <c r="AH243" cm="1">
        <f t="array" ref="AH243">IFERROR(VALUE(_xll.BDP($B243,"INTERVAL_MAE_MOV_AVG","CALC_INTERVAL","65W","PERIODICITY_OVERRIDE","W","TECH_STUDIES_PARAM1_OVERRIDE",39,"USE_PREVIOUS_BUSINESS_DAY","N")),"")</f>
        <v>100.04738897561101</v>
      </c>
      <c r="AI243">
        <f t="shared" si="153"/>
        <v>6560.7735897435905</v>
      </c>
      <c r="AJ243" cm="1">
        <f t="array" ref="AJ243">IFERROR(VALUE(_xll.BDP($B243,"INTERVAL_MAE_MOV_AVG","CALC_INTERVAL","65W","PERIODICITY_OVERRIDE","W","TECH_STUDIES_PARAM1_OVERRIDE",39,"USE_PREVIOUS_BUSINESS_DAY","Y")),"")</f>
        <v>100.03790182742391</v>
      </c>
      <c r="AK243">
        <f t="shared" si="154"/>
        <v>6560.7823076923087</v>
      </c>
      <c r="AL243">
        <f t="shared" si="171"/>
        <v>1.5249328087165569E-2</v>
      </c>
      <c r="AM243">
        <f t="shared" si="172"/>
        <v>1.524786178473452E-2</v>
      </c>
      <c r="AN243" s="10" t="str">
        <f t="shared" si="173"/>
        <v>UP</v>
      </c>
      <c r="AO243" s="10" t="str">
        <f t="shared" si="174"/>
        <v>UP</v>
      </c>
      <c r="AP243" s="6" t="str">
        <f t="shared" si="175"/>
        <v>NEGATIVE</v>
      </c>
      <c r="AQ243" cm="1">
        <f t="array" ref="AQ243">IFERROR(VALUE(_xll.BDP($B243,"INTERVAL_exp_MOV_AVG","CALC_INTERVAL","520D","TECH_STUDIES_PARAM1_OVERRIDE",100,"USE_PREVIOUS_BUSINESS_DAY","N")),"")</f>
        <v>102.16651037907182</v>
      </c>
      <c r="AR243">
        <f t="shared" si="155"/>
        <v>6773.0064518682802</v>
      </c>
      <c r="AS243" cm="1">
        <f t="array" ref="AS243">IFERROR(VALUE(_xll.BDP($B243,"INTERVAL_exp_MOV_AVG","CALC_INTERVAL","520D","TECH_STUDIES_PARAM1_OVERRIDE",100,"USE_PREVIOUS_BUSINESS_DAY","Y")),"")</f>
        <v>102.14403066049687</v>
      </c>
      <c r="AT243">
        <f t="shared" si="156"/>
        <v>6769.6039787132295</v>
      </c>
      <c r="AU243">
        <f t="shared" si="176"/>
        <v>1.5084366315772518E-2</v>
      </c>
      <c r="AV243">
        <f t="shared" si="177"/>
        <v>1.508862719025884E-2</v>
      </c>
      <c r="AW243" s="11" t="str">
        <f t="shared" si="178"/>
        <v>UP</v>
      </c>
      <c r="AX243" s="11" t="str">
        <f t="shared" si="179"/>
        <v>DOWN</v>
      </c>
      <c r="AY243" s="6" t="str">
        <f t="shared" si="180"/>
        <v>NEGATIVE</v>
      </c>
      <c r="AZ243" s="12" cm="1">
        <f t="array" ref="AZ243">_xll.BDP($B243, "INTERVAL_RSI", "TECH_STUDIES_PARAM1_OVERRIDE", "5", "PERIODICITY_OVERRIDE", "W")</f>
        <v>48.968002935664181</v>
      </c>
      <c r="BA243" cm="1">
        <f t="array" ref="BA243">IFERROR(VALUE(_xll.BDP($B243,"INTERVAL_MAE_MOV_AVG","CALC_INTERVAL","520D","TECH_STUDIES_PARAM1_OVERRIDE",31,"USE_PREVIOUS_BUSINESS_DAY","N")),"")</f>
        <v>103.96935479933217</v>
      </c>
      <c r="BB243" cm="1">
        <f t="array" ref="BB243">IFERROR(VALUE(_xll.BDP($B243,"INTERVAL_MAE_MOV_AVG","CALC_INTERVAL","760D","TECH_STUDIES_PARAM1_OVERRIDE",200,"USE_PREVIOUS_BUSINESS_DAY","N")),"")</f>
        <v>99.380464389336083</v>
      </c>
      <c r="BC243" s="13">
        <f t="shared" si="181"/>
        <v>-6.6303652712154104E-3</v>
      </c>
      <c r="BD243" s="13">
        <f t="shared" si="182"/>
        <v>-3.7571614110480933E-3</v>
      </c>
      <c r="BE243" s="13">
        <f t="shared" si="183"/>
        <v>3.9238452291659343E-2</v>
      </c>
      <c r="BF243" s="14" cm="1">
        <f t="array" ref="BF243">VALUE(_xll.BDP($B243,"INTERVAL_DATE_OF_CALC_HI","CALC_INTERVAL","3M"))</f>
        <v>46050</v>
      </c>
      <c r="BG243" s="14" cm="1">
        <f t="array" ref="BG243">VALUE(_xll.BDP($B243,"INTERVAL_DATE_OF_CALC_LO","CALC_INTERVAL","3M"))</f>
        <v>45981</v>
      </c>
      <c r="BH243" s="14" cm="1">
        <f t="array" ref="BH243">VALUE(_xll.BDP($B243,"INTERVAL_DATE_OF_CALC_HI","CALC_INTERVAL","1M"))</f>
        <v>46050</v>
      </c>
      <c r="BI243" s="14" cm="1">
        <f t="array" ref="BI243">VALUE(_xll.BDP($B243,"INTERVAL_DATE_OF_CALC_LO","CALC_INTERVAL","1M"))</f>
        <v>46058</v>
      </c>
      <c r="BJ243" s="15">
        <f>$F243-MIN(_xll.BDP("NYA Index","RSI_14D"),_xll.BDP("RSP US Equity","RSI_14D"))</f>
        <v>-17.826035566461464</v>
      </c>
    </row>
    <row r="244" spans="1:62" x14ac:dyDescent="0.25">
      <c r="A244" s="11">
        <v>243</v>
      </c>
      <c r="B244" s="26" t="s">
        <v>151</v>
      </c>
      <c r="C244" s="1" t="s">
        <v>900</v>
      </c>
      <c r="D244" s="1" t="s">
        <v>308</v>
      </c>
      <c r="E244" s="11" t="s">
        <v>787</v>
      </c>
      <c r="F244">
        <f>IFERROR(VALUE((_xll.BDP($B244,"interval_rsi","tech_studies_param1_override",14))),"")</f>
        <v>57.120810991416015</v>
      </c>
      <c r="G244">
        <f t="shared" si="146"/>
        <v>52.525531939815814</v>
      </c>
      <c r="H244">
        <f t="shared" si="157"/>
        <v>0</v>
      </c>
      <c r="I244" cm="1">
        <f t="array" ref="I244">IFERROR(VALUE(_xll.BDP($B244,"px_last")),"")</f>
        <v>119.1</v>
      </c>
      <c r="J244">
        <f t="shared" si="147"/>
        <v>6941.47</v>
      </c>
      <c r="K244" cm="1">
        <f t="array" ref="K244">IFERROR(VALUE(_xll.BDP($B244,"PX_YEST_CLOSE")),"")</f>
        <v>118.08</v>
      </c>
      <c r="L244">
        <f t="shared" si="148"/>
        <v>6941.81</v>
      </c>
      <c r="M244">
        <f t="shared" si="158"/>
        <v>1.71577490070547E-2</v>
      </c>
      <c r="N244">
        <f t="shared" si="159"/>
        <v>1.7009972903320604E-2</v>
      </c>
      <c r="O244" cm="1">
        <f t="array" ref="O244">IFERROR(VALUE(_xll.BDP($B244,"INTERVAL_MAE_MOV_AVG","CALC_INTERVAL","520D","TECH_STUDIES_PARAM1_OVERRIDE",50,"USE_PREVIOUS_BUSINESS_DAY","N")),"")</f>
        <v>114.30693829990801</v>
      </c>
      <c r="P244">
        <f t="shared" si="149"/>
        <v>6894.0953999999992</v>
      </c>
      <c r="Q244" cm="1">
        <f t="array" ref="Q244">IFERROR(VALUE(_xll.BDP($B244,"INTERVAL_MAE_MOV_AVG","CALC_INTERVAL","520D","TECH_STUDIES_PARAM1_OVERRIDE",50,"USE_PREVIOUS_BUSINESS_DAY","Y")),"")</f>
        <v>114.08567958205819</v>
      </c>
      <c r="R244">
        <f t="shared" si="150"/>
        <v>6892.2477999999992</v>
      </c>
      <c r="S244">
        <f t="shared" si="160"/>
        <v>1.6580411448891181E-2</v>
      </c>
      <c r="T244">
        <f t="shared" si="161"/>
        <v>1.6552753599784704E-2</v>
      </c>
      <c r="U244" s="11" t="str">
        <f t="shared" si="162"/>
        <v>NEGATIVE</v>
      </c>
      <c r="V244" s="11" t="str">
        <f t="shared" si="163"/>
        <v/>
      </c>
      <c r="W244" s="11" t="str">
        <f t="shared" si="164"/>
        <v>UP</v>
      </c>
      <c r="X244" s="6" t="str">
        <f t="shared" si="165"/>
        <v>POSITIVE</v>
      </c>
      <c r="Y244" cm="1">
        <f t="array" ref="Y244">IFERROR(VALUE(_xll.BDP($B244,"INTERVAL_MAE_MOV_AVG","CALC_INTERVAL","520D","TECH_STUDIES_PARAM1_OVERRIDE",65,"USE_PREVIOUS_BUSINESS_DAY","N")),"")</f>
        <v>112.43666359416804</v>
      </c>
      <c r="Z244">
        <f t="shared" si="151"/>
        <v>6856.0226153846133</v>
      </c>
      <c r="AA244" cm="1">
        <f t="array" ref="AA244">IFERROR(VALUE(_xll.BDP($B244,"INTERVAL_MAE_MOV_AVG","CALC_INTERVAL","520D","TECH_STUDIES_PARAM1_OVERRIDE",65,"USE_PREVIOUS_BUSINESS_DAY","Y")),"")</f>
        <v>112.29634484113113</v>
      </c>
      <c r="AB244">
        <f t="shared" si="152"/>
        <v>6852.6203076923057</v>
      </c>
      <c r="AC244">
        <f t="shared" si="166"/>
        <v>1.6399692635474264E-2</v>
      </c>
      <c r="AD244">
        <f t="shared" si="167"/>
        <v>1.6387358382467881E-2</v>
      </c>
      <c r="AE244" s="10" t="str">
        <f t="shared" si="168"/>
        <v>UP</v>
      </c>
      <c r="AF244" s="10" t="str">
        <f t="shared" si="169"/>
        <v>UP</v>
      </c>
      <c r="AG244" s="6" t="str">
        <f t="shared" si="170"/>
        <v>POSITIVE</v>
      </c>
      <c r="AH244" cm="1">
        <f t="array" ref="AH244">IFERROR(VALUE(_xll.BDP($B244,"INTERVAL_MAE_MOV_AVG","CALC_INTERVAL","65W","PERIODICITY_OVERRIDE","W","TECH_STUDIES_PARAM1_OVERRIDE",39,"USE_PREVIOUS_BUSINESS_DAY","N")),"")</f>
        <v>102.47754234364164</v>
      </c>
      <c r="AI244">
        <f t="shared" si="153"/>
        <v>6560.7735897435905</v>
      </c>
      <c r="AJ244" cm="1">
        <f t="array" ref="AJ244">IFERROR(VALUE(_xll.BDP($B244,"INTERVAL_MAE_MOV_AVG","CALC_INTERVAL","65W","PERIODICITY_OVERRIDE","W","TECH_STUDIES_PARAM1_OVERRIDE",39,"USE_PREVIOUS_BUSINESS_DAY","Y")),"")</f>
        <v>102.4513885366129</v>
      </c>
      <c r="AK244">
        <f t="shared" si="154"/>
        <v>6560.7823076923087</v>
      </c>
      <c r="AL244">
        <f t="shared" si="171"/>
        <v>1.5619734615418528E-2</v>
      </c>
      <c r="AM244">
        <f t="shared" si="172"/>
        <v>1.5615727474525698E-2</v>
      </c>
      <c r="AN244" s="10" t="str">
        <f t="shared" si="173"/>
        <v>UP</v>
      </c>
      <c r="AO244" s="10" t="str">
        <f t="shared" si="174"/>
        <v>UP</v>
      </c>
      <c r="AP244" s="6" t="str">
        <f t="shared" si="175"/>
        <v>POSITIVE</v>
      </c>
      <c r="AQ244" cm="1">
        <f t="array" ref="AQ244">IFERROR(VALUE(_xll.BDP($B244,"INTERVAL_exp_MOV_AVG","CALC_INTERVAL","520D","TECH_STUDIES_PARAM1_OVERRIDE",100,"USE_PREVIOUS_BUSINESS_DAY","N")),"")</f>
        <v>110.03936800237148</v>
      </c>
      <c r="AR244">
        <f t="shared" si="155"/>
        <v>6773.0064518682802</v>
      </c>
      <c r="AS244" cm="1">
        <f t="array" ref="AS244">IFERROR(VALUE(_xll.BDP($B244,"INTERVAL_exp_MOV_AVG","CALC_INTERVAL","520D","TECH_STUDIES_PARAM1_OVERRIDE",100,"USE_PREVIOUS_BUSINESS_DAY","Y")),"")</f>
        <v>109.85634069053066</v>
      </c>
      <c r="AT244">
        <f t="shared" si="156"/>
        <v>6769.6039787132295</v>
      </c>
      <c r="AU244">
        <f t="shared" si="176"/>
        <v>1.6246753754681275E-2</v>
      </c>
      <c r="AV244">
        <f t="shared" si="177"/>
        <v>1.6227882906588019E-2</v>
      </c>
      <c r="AW244" s="11" t="str">
        <f t="shared" si="178"/>
        <v>UP</v>
      </c>
      <c r="AX244" s="11" t="str">
        <f t="shared" si="179"/>
        <v>UP</v>
      </c>
      <c r="AY244" s="6" t="str">
        <f t="shared" si="180"/>
        <v>POSITIVE</v>
      </c>
      <c r="AZ244" s="12" cm="1">
        <f t="array" ref="AZ244">_xll.BDP($B244, "INTERVAL_RSI", "TECH_STUDIES_PARAM1_OVERRIDE", "5", "PERIODICITY_OVERRIDE", "W")</f>
        <v>71.506074849951361</v>
      </c>
      <c r="BA244" cm="1">
        <f t="array" ref="BA244">IFERROR(VALUE(_xll.BDP($B244,"INTERVAL_MAE_MOV_AVG","CALC_INTERVAL","520D","TECH_STUDIES_PARAM1_OVERRIDE",31,"USE_PREVIOUS_BUSINESS_DAY","N")),"")</f>
        <v>116.19951607981037</v>
      </c>
      <c r="BB244" cm="1">
        <f t="array" ref="BB244">IFERROR(VALUE(_xll.BDP($B244,"INTERVAL_MAE_MOV_AVG","CALC_INTERVAL","760D","TECH_STUDIES_PARAM1_OVERRIDE",200,"USE_PREVIOUS_BUSINESS_DAY","N")),"")</f>
        <v>100.48735844529149</v>
      </c>
      <c r="BC244" s="13">
        <f t="shared" si="181"/>
        <v>2.4961239237842214E-2</v>
      </c>
      <c r="BD244" s="13">
        <f t="shared" si="182"/>
        <v>4.1931502771217488E-2</v>
      </c>
      <c r="BE244" s="13">
        <f t="shared" si="183"/>
        <v>0.18522371214327249</v>
      </c>
      <c r="BF244" s="14" cm="1">
        <f t="array" ref="BF244">VALUE(_xll.BDP($B244,"INTERVAL_DATE_OF_CALC_HI","CALC_INTERVAL","3M"))</f>
        <v>46050</v>
      </c>
      <c r="BG244" s="14" cm="1">
        <f t="array" ref="BG244">VALUE(_xll.BDP($B244,"INTERVAL_DATE_OF_CALC_LO","CALC_INTERVAL","3M"))</f>
        <v>45981</v>
      </c>
      <c r="BH244" s="14" cm="1">
        <f t="array" ref="BH244">VALUE(_xll.BDP($B244,"INTERVAL_DATE_OF_CALC_HI","CALC_INTERVAL","1M"))</f>
        <v>46050</v>
      </c>
      <c r="BI244" s="14" cm="1">
        <f t="array" ref="BI244">VALUE(_xll.BDP($B244,"INTERVAL_DATE_OF_CALC_LO","CALC_INTERVAL","1M"))</f>
        <v>46058</v>
      </c>
      <c r="BJ244" s="15">
        <f>$F244-MIN(_xll.BDP("NYA Index","RSI_14D"),_xll.BDP("RSP US Equity","RSI_14D"))</f>
        <v>-9.2249531687402353</v>
      </c>
    </row>
    <row r="245" spans="1:62" x14ac:dyDescent="0.25">
      <c r="A245" s="11">
        <v>244</v>
      </c>
      <c r="B245" s="26" t="s">
        <v>482</v>
      </c>
      <c r="C245" s="1" t="s">
        <v>901</v>
      </c>
      <c r="D245" s="1" t="s">
        <v>308</v>
      </c>
      <c r="E245" s="11" t="s">
        <v>787</v>
      </c>
      <c r="F245">
        <f>IFERROR(VALUE((_xll.BDP($B245,"interval_rsi","tech_studies_param1_override",14))),"")</f>
        <v>54.891691408668329</v>
      </c>
      <c r="G245">
        <f t="shared" si="146"/>
        <v>52.525531939815814</v>
      </c>
      <c r="H245">
        <f t="shared" si="157"/>
        <v>0</v>
      </c>
      <c r="I245" cm="1">
        <f t="array" ref="I245">IFERROR(VALUE(_xll.BDP($B245,"px_last")),"")</f>
        <v>203.79</v>
      </c>
      <c r="J245">
        <f t="shared" si="147"/>
        <v>6941.47</v>
      </c>
      <c r="K245" cm="1">
        <f t="array" ref="K245">IFERROR(VALUE(_xll.BDP($B245,"PX_YEST_CLOSE")),"")</f>
        <v>203.62</v>
      </c>
      <c r="L245">
        <f t="shared" si="148"/>
        <v>6941.81</v>
      </c>
      <c r="M245">
        <f t="shared" si="158"/>
        <v>2.9358334761945236E-2</v>
      </c>
      <c r="N245">
        <f t="shared" si="159"/>
        <v>2.9332407542125179E-2</v>
      </c>
      <c r="O245" cm="1">
        <f t="array" ref="O245">IFERROR(VALUE(_xll.BDP($B245,"INTERVAL_MAE_MOV_AVG","CALC_INTERVAL","520D","TECH_STUDIES_PARAM1_OVERRIDE",50,"USE_PREVIOUS_BUSINESS_DAY","N")),"")</f>
        <v>201.04992504772261</v>
      </c>
      <c r="P245">
        <f t="shared" si="149"/>
        <v>6894.0953999999992</v>
      </c>
      <c r="Q245" cm="1">
        <f t="array" ref="Q245">IFERROR(VALUE(_xll.BDP($B245,"INTERVAL_MAE_MOV_AVG","CALC_INTERVAL","520D","TECH_STUDIES_PARAM1_OVERRIDE",50,"USE_PREVIOUS_BUSINESS_DAY","Y")),"")</f>
        <v>200.92360268599995</v>
      </c>
      <c r="R245">
        <f t="shared" si="150"/>
        <v>6892.2477999999992</v>
      </c>
      <c r="S245">
        <f t="shared" si="160"/>
        <v>2.9162625896897602E-2</v>
      </c>
      <c r="T245">
        <f t="shared" si="161"/>
        <v>2.9152115320926212E-2</v>
      </c>
      <c r="U245" s="11" t="str">
        <f t="shared" si="162"/>
        <v>NEGATIVE</v>
      </c>
      <c r="V245" s="11" t="str">
        <f t="shared" si="163"/>
        <v/>
      </c>
      <c r="W245" s="11" t="str">
        <f t="shared" si="164"/>
        <v>UP</v>
      </c>
      <c r="X245" s="6" t="str">
        <f t="shared" si="165"/>
        <v>POSITIVE</v>
      </c>
      <c r="Y245" cm="1">
        <f t="array" ref="Y245">IFERROR(VALUE(_xll.BDP($B245,"INTERVAL_MAE_MOV_AVG","CALC_INTERVAL","520D","TECH_STUDIES_PARAM1_OVERRIDE",65,"USE_PREVIOUS_BUSINESS_DAY","N")),"")</f>
        <v>199.33986018132512</v>
      </c>
      <c r="Z245">
        <f t="shared" si="151"/>
        <v>6856.0226153846133</v>
      </c>
      <c r="AA245" cm="1">
        <f t="array" ref="AA245">IFERROR(VALUE(_xll.BDP($B245,"INTERVAL_MAE_MOV_AVG","CALC_INTERVAL","520D","TECH_STUDIES_PARAM1_OVERRIDE",65,"USE_PREVIOUS_BUSINESS_DAY","Y")),"")</f>
        <v>199.16891557384614</v>
      </c>
      <c r="AB245">
        <f t="shared" si="152"/>
        <v>6852.6203076923057</v>
      </c>
      <c r="AC245">
        <f t="shared" si="166"/>
        <v>2.9075146242081414E-2</v>
      </c>
      <c r="AD245">
        <f t="shared" si="167"/>
        <v>2.9064636099897737E-2</v>
      </c>
      <c r="AE245" s="10" t="str">
        <f t="shared" si="168"/>
        <v>UP</v>
      </c>
      <c r="AF245" s="10" t="str">
        <f t="shared" si="169"/>
        <v>UP</v>
      </c>
      <c r="AG245" s="6" t="str">
        <f t="shared" si="170"/>
        <v>POSITIVE</v>
      </c>
      <c r="AH245" cm="1">
        <f t="array" ref="AH245">IFERROR(VALUE(_xll.BDP($B245,"INTERVAL_MAE_MOV_AVG","CALC_INTERVAL","65W","PERIODICITY_OVERRIDE","W","TECH_STUDIES_PARAM1_OVERRIDE",39,"USE_PREVIOUS_BUSINESS_DAY","N")),"")</f>
        <v>191.02532900711293</v>
      </c>
      <c r="AI245">
        <f t="shared" si="153"/>
        <v>6560.7735897435905</v>
      </c>
      <c r="AJ245" cm="1">
        <f t="array" ref="AJ245">IFERROR(VALUE(_xll.BDP($B245,"INTERVAL_MAE_MOV_AVG","CALC_INTERVAL","65W","PERIODICITY_OVERRIDE","W","TECH_STUDIES_PARAM1_OVERRIDE",39,"USE_PREVIOUS_BUSINESS_DAY","Y")),"")</f>
        <v>191.02097020490439</v>
      </c>
      <c r="AK245">
        <f t="shared" si="154"/>
        <v>6560.7823076923087</v>
      </c>
      <c r="AL245">
        <f t="shared" si="171"/>
        <v>2.9116281242465285E-2</v>
      </c>
      <c r="AM245">
        <f t="shared" si="172"/>
        <v>2.9115578180507282E-2</v>
      </c>
      <c r="AN245" s="10" t="str">
        <f t="shared" si="173"/>
        <v>UP</v>
      </c>
      <c r="AO245" s="10" t="str">
        <f t="shared" si="174"/>
        <v>UP</v>
      </c>
      <c r="AP245" s="6" t="str">
        <f t="shared" si="175"/>
        <v>POSITIVE</v>
      </c>
      <c r="AQ245" cm="1">
        <f t="array" ref="AQ245">IFERROR(VALUE(_xll.BDP($B245,"INTERVAL_exp_MOV_AVG","CALC_INTERVAL","520D","TECH_STUDIES_PARAM1_OVERRIDE",100,"USE_PREVIOUS_BUSINESS_DAY","N")),"")</f>
        <v>197.27500841552427</v>
      </c>
      <c r="AR245">
        <f t="shared" si="155"/>
        <v>6773.0064518682802</v>
      </c>
      <c r="AS245" cm="1">
        <f t="array" ref="AS245">IFERROR(VALUE(_xll.BDP($B245,"INTERVAL_exp_MOV_AVG","CALC_INTERVAL","520D","TECH_STUDIES_PARAM1_OVERRIDE",100,"USE_PREVIOUS_BUSINESS_DAY","Y")),"")</f>
        <v>197.14341050316938</v>
      </c>
      <c r="AT245">
        <f t="shared" si="156"/>
        <v>6769.6039787132295</v>
      </c>
      <c r="AU245">
        <f t="shared" si="176"/>
        <v>2.9126652959426538E-2</v>
      </c>
      <c r="AV245">
        <f t="shared" si="177"/>
        <v>2.9121852788298926E-2</v>
      </c>
      <c r="AW245" s="11" t="str">
        <f t="shared" si="178"/>
        <v>UP</v>
      </c>
      <c r="AX245" s="11" t="str">
        <f t="shared" si="179"/>
        <v>UP</v>
      </c>
      <c r="AY245" s="6" t="str">
        <f t="shared" si="180"/>
        <v>POSITIVE</v>
      </c>
      <c r="AZ245" s="12" cm="1">
        <f t="array" ref="AZ245">_xll.BDP($B245, "INTERVAL_RSI", "TECH_STUDIES_PARAM1_OVERRIDE", "5", "PERIODICITY_OVERRIDE", "W")</f>
        <v>70.593710369183952</v>
      </c>
      <c r="BA245" cm="1">
        <f t="array" ref="BA245">IFERROR(VALUE(_xll.BDP($B245,"INTERVAL_MAE_MOV_AVG","CALC_INTERVAL","520D","TECH_STUDIES_PARAM1_OVERRIDE",31,"USE_PREVIOUS_BUSINESS_DAY","N")),"")</f>
        <v>202.42661268664946</v>
      </c>
      <c r="BB245" cm="1">
        <f t="array" ref="BB245">IFERROR(VALUE(_xll.BDP($B245,"INTERVAL_MAE_MOV_AVG","CALC_INTERVAL","760D","TECH_STUDIES_PARAM1_OVERRIDE",200,"USE_PREVIOUS_BUSINESS_DAY","N")),"")</f>
        <v>189.40347996803095</v>
      </c>
      <c r="BC245" s="13">
        <f t="shared" si="181"/>
        <v>6.735217742644517E-3</v>
      </c>
      <c r="BD245" s="13">
        <f t="shared" si="182"/>
        <v>1.3628828519219649E-2</v>
      </c>
      <c r="BE245" s="13">
        <f t="shared" si="183"/>
        <v>7.5956999493342447E-2</v>
      </c>
      <c r="BF245" s="14" cm="1">
        <f t="array" ref="BF245">VALUE(_xll.BDP($B245,"INTERVAL_DATE_OF_CALC_HI","CALC_INTERVAL","3M"))</f>
        <v>46051</v>
      </c>
      <c r="BG245" s="14" cm="1">
        <f t="array" ref="BG245">VALUE(_xll.BDP($B245,"INTERVAL_DATE_OF_CALC_LO","CALC_INTERVAL","3M"))</f>
        <v>45981</v>
      </c>
      <c r="BH245" s="14" cm="1">
        <f t="array" ref="BH245">VALUE(_xll.BDP($B245,"INTERVAL_DATE_OF_CALC_HI","CALC_INTERVAL","1M"))</f>
        <v>46051</v>
      </c>
      <c r="BI245" s="14" cm="1">
        <f t="array" ref="BI245">VALUE(_xll.BDP($B245,"INTERVAL_DATE_OF_CALC_LO","CALC_INTERVAL","1M"))</f>
        <v>46058</v>
      </c>
      <c r="BJ245" s="15">
        <f>$F245-MIN(_xll.BDP("NYA Index","RSI_14D"),_xll.BDP("RSP US Equity","RSI_14D"))</f>
        <v>-11.454072751487921</v>
      </c>
    </row>
    <row r="246" spans="1:62" x14ac:dyDescent="0.25">
      <c r="A246" s="11">
        <v>245</v>
      </c>
      <c r="B246" s="26" t="s">
        <v>171</v>
      </c>
      <c r="C246" s="1" t="s">
        <v>902</v>
      </c>
      <c r="D246" s="1" t="s">
        <v>308</v>
      </c>
      <c r="E246" s="11" t="s">
        <v>787</v>
      </c>
      <c r="F246">
        <f>IFERROR(VALUE((_xll.BDP($B246,"interval_rsi","tech_studies_param1_override",14))),"")</f>
        <v>56.848445159510256</v>
      </c>
      <c r="G246">
        <f t="shared" si="146"/>
        <v>52.525531939815814</v>
      </c>
      <c r="H246">
        <f t="shared" si="157"/>
        <v>0</v>
      </c>
      <c r="I246" cm="1">
        <f t="array" ref="I246">IFERROR(VALUE(_xll.BDP($B246,"px_last")),"")</f>
        <v>91.92</v>
      </c>
      <c r="J246">
        <f t="shared" si="147"/>
        <v>6941.47</v>
      </c>
      <c r="K246" cm="1">
        <f t="array" ref="K246">IFERROR(VALUE(_xll.BDP($B246,"PX_YEST_CLOSE")),"")</f>
        <v>88.74</v>
      </c>
      <c r="L246">
        <f t="shared" si="148"/>
        <v>6941.81</v>
      </c>
      <c r="M246">
        <f t="shared" si="158"/>
        <v>1.3242151878492595E-2</v>
      </c>
      <c r="N246">
        <f t="shared" si="159"/>
        <v>1.2783409514233318E-2</v>
      </c>
      <c r="O246" cm="1">
        <f t="array" ref="O246">IFERROR(VALUE(_xll.BDP($B246,"INTERVAL_MAE_MOV_AVG","CALC_INTERVAL","520D","TECH_STUDIES_PARAM1_OVERRIDE",50,"USE_PREVIOUS_BUSINESS_DAY","N")),"")</f>
        <v>81.654069556578904</v>
      </c>
      <c r="P246">
        <f t="shared" si="149"/>
        <v>6894.0953999999992</v>
      </c>
      <c r="Q246" cm="1">
        <f t="array" ref="Q246">IFERROR(VALUE(_xll.BDP($B246,"INTERVAL_MAE_MOV_AVG","CALC_INTERVAL","520D","TECH_STUDIES_PARAM1_OVERRIDE",50,"USE_PREVIOUS_BUSINESS_DAY","Y")),"")</f>
        <v>81.285054696800003</v>
      </c>
      <c r="R246">
        <f t="shared" si="150"/>
        <v>6892.2477999999992</v>
      </c>
      <c r="S246">
        <f t="shared" si="160"/>
        <v>1.1844058548504987E-2</v>
      </c>
      <c r="T246">
        <f t="shared" si="161"/>
        <v>1.1793693009238585E-2</v>
      </c>
      <c r="U246" s="11" t="str">
        <f t="shared" si="162"/>
        <v>NEGATIVE</v>
      </c>
      <c r="V246" s="11" t="str">
        <f t="shared" si="163"/>
        <v/>
      </c>
      <c r="W246" s="11" t="str">
        <f t="shared" si="164"/>
        <v>UP</v>
      </c>
      <c r="X246" s="6" t="str">
        <f t="shared" si="165"/>
        <v>POSITIVE</v>
      </c>
      <c r="Y246" cm="1">
        <f t="array" ref="Y246">IFERROR(VALUE(_xll.BDP($B246,"INTERVAL_MAE_MOV_AVG","CALC_INTERVAL","520D","TECH_STUDIES_PARAM1_OVERRIDE",65,"USE_PREVIOUS_BUSINESS_DAY","N")),"")</f>
        <v>78.772460925368392</v>
      </c>
      <c r="Z246">
        <f t="shared" si="151"/>
        <v>6856.0226153846133</v>
      </c>
      <c r="AA246" cm="1">
        <f t="array" ref="AA246">IFERROR(VALUE(_xll.BDP($B246,"INTERVAL_MAE_MOV_AVG","CALC_INTERVAL","520D","TECH_STUDIES_PARAM1_OVERRIDE",65,"USE_PREVIOUS_BUSINESS_DAY","Y")),"")</f>
        <v>78.318628302461534</v>
      </c>
      <c r="AB246">
        <f t="shared" si="152"/>
        <v>6852.6203076923057</v>
      </c>
      <c r="AC246">
        <f t="shared" si="166"/>
        <v>1.1489527579533716E-2</v>
      </c>
      <c r="AD246">
        <f t="shared" si="167"/>
        <v>1.1429004495484178E-2</v>
      </c>
      <c r="AE246" s="10" t="str">
        <f t="shared" si="168"/>
        <v>UP</v>
      </c>
      <c r="AF246" s="10" t="str">
        <f t="shared" si="169"/>
        <v>UP</v>
      </c>
      <c r="AG246" s="6" t="str">
        <f t="shared" si="170"/>
        <v>POSITIVE</v>
      </c>
      <c r="AH246" cm="1">
        <f t="array" ref="AH246">IFERROR(VALUE(_xll.BDP($B246,"INTERVAL_MAE_MOV_AVG","CALC_INTERVAL","65W","PERIODICITY_OVERRIDE","W","TECH_STUDIES_PARAM1_OVERRIDE",39,"USE_PREVIOUS_BUSINESS_DAY","N")),"")</f>
        <v>63.364117995101168</v>
      </c>
      <c r="AI246">
        <f t="shared" si="153"/>
        <v>6560.7735897435905</v>
      </c>
      <c r="AJ246" cm="1">
        <f t="array" ref="AJ246">IFERROR(VALUE(_xll.BDP($B246,"INTERVAL_MAE_MOV_AVG","CALC_INTERVAL","65W","PERIODICITY_OVERRIDE","W","TECH_STUDIES_PARAM1_OVERRIDE",39,"USE_PREVIOUS_BUSINESS_DAY","Y")),"")</f>
        <v>63.282579580512831</v>
      </c>
      <c r="AK246">
        <f t="shared" si="154"/>
        <v>6560.7823076923087</v>
      </c>
      <c r="AL246">
        <f t="shared" si="171"/>
        <v>9.6580254033088158E-3</v>
      </c>
      <c r="AM246">
        <f t="shared" si="172"/>
        <v>9.6455844154920388E-3</v>
      </c>
      <c r="AN246" s="10" t="str">
        <f t="shared" si="173"/>
        <v>UP</v>
      </c>
      <c r="AO246" s="10" t="str">
        <f t="shared" si="174"/>
        <v>UP</v>
      </c>
      <c r="AP246" s="6" t="str">
        <f t="shared" si="175"/>
        <v>POSITIVE</v>
      </c>
      <c r="AQ246" cm="1">
        <f t="array" ref="AQ246">IFERROR(VALUE(_xll.BDP($B246,"INTERVAL_exp_MOV_AVG","CALC_INTERVAL","520D","TECH_STUDIES_PARAM1_OVERRIDE",100,"USE_PREVIOUS_BUSINESS_DAY","N")),"")</f>
        <v>75.705458579301364</v>
      </c>
      <c r="AR246">
        <f t="shared" si="155"/>
        <v>6773.0064518682802</v>
      </c>
      <c r="AS246" cm="1">
        <f t="array" ref="AS246">IFERROR(VALUE(_xll.BDP($B246,"INTERVAL_exp_MOV_AVG","CALC_INTERVAL","520D","TECH_STUDIES_PARAM1_OVERRIDE",100,"USE_PREVIOUS_BUSINESS_DAY","Y")),"")</f>
        <v>75.377935822564964</v>
      </c>
      <c r="AT246">
        <f t="shared" si="156"/>
        <v>6769.6039787132295</v>
      </c>
      <c r="AU246">
        <f t="shared" si="176"/>
        <v>1.11775264230582E-2</v>
      </c>
      <c r="AV246">
        <f t="shared" si="177"/>
        <v>1.1134762987552612E-2</v>
      </c>
      <c r="AW246" s="11" t="str">
        <f t="shared" si="178"/>
        <v>UP</v>
      </c>
      <c r="AX246" s="11" t="str">
        <f t="shared" si="179"/>
        <v>UP</v>
      </c>
      <c r="AY246" s="6" t="str">
        <f t="shared" si="180"/>
        <v>POSITIVE</v>
      </c>
      <c r="AZ246" s="12" cm="1">
        <f t="array" ref="AZ246">_xll.BDP($B246, "INTERVAL_RSI", "TECH_STUDIES_PARAM1_OVERRIDE", "5", "PERIODICITY_OVERRIDE", "W")</f>
        <v>66.09157168150648</v>
      </c>
      <c r="BA246" cm="1">
        <f t="array" ref="BA246">IFERROR(VALUE(_xll.BDP($B246,"INTERVAL_MAE_MOV_AVG","CALC_INTERVAL","520D","TECH_STUDIES_PARAM1_OVERRIDE",31,"USE_PREVIOUS_BUSINESS_DAY","N")),"")</f>
        <v>87.457419295772439</v>
      </c>
      <c r="BB246" cm="1">
        <f t="array" ref="BB246">IFERROR(VALUE(_xll.BDP($B246,"INTERVAL_MAE_MOV_AVG","CALC_INTERVAL","760D","TECH_STUDIES_PARAM1_OVERRIDE",200,"USE_PREVIOUS_BUSINESS_DAY","N")),"")</f>
        <v>60.822634009654692</v>
      </c>
      <c r="BC246" s="13">
        <f t="shared" si="181"/>
        <v>5.1025753334151602E-2</v>
      </c>
      <c r="BD246" s="13">
        <f t="shared" si="182"/>
        <v>0.12572466380634872</v>
      </c>
      <c r="BE246" s="13">
        <f t="shared" si="183"/>
        <v>0.51127950140089395</v>
      </c>
      <c r="BF246" s="14" cm="1">
        <f t="array" ref="BF246">VALUE(_xll.BDP($B246,"INTERVAL_DATE_OF_CALC_HI","CALC_INTERVAL","3M"))</f>
        <v>46045</v>
      </c>
      <c r="BG246" s="14" cm="1">
        <f t="array" ref="BG246">VALUE(_xll.BDP($B246,"INTERVAL_DATE_OF_CALC_LO","CALC_INTERVAL","3M"))</f>
        <v>45972</v>
      </c>
      <c r="BH246" s="14" cm="1">
        <f t="array" ref="BH246">VALUE(_xll.BDP($B246,"INTERVAL_DATE_OF_CALC_HI","CALC_INTERVAL","1M"))</f>
        <v>46045</v>
      </c>
      <c r="BI246" s="14" cm="1">
        <f t="array" ref="BI246">VALUE(_xll.BDP($B246,"INTERVAL_DATE_OF_CALC_LO","CALC_INTERVAL","1M"))</f>
        <v>46058</v>
      </c>
      <c r="BJ246" s="15">
        <f>$F246-MIN(_xll.BDP("NYA Index","RSI_14D"),_xll.BDP("RSP US Equity","RSI_14D"))</f>
        <v>-9.4973190006459944</v>
      </c>
    </row>
    <row r="247" spans="1:62" x14ac:dyDescent="0.25">
      <c r="A247" s="11">
        <v>246</v>
      </c>
      <c r="B247" s="26" t="s">
        <v>483</v>
      </c>
      <c r="C247" s="1" t="s">
        <v>903</v>
      </c>
      <c r="D247" s="1" t="s">
        <v>308</v>
      </c>
      <c r="E247" s="11" t="s">
        <v>787</v>
      </c>
      <c r="F247">
        <f>IFERROR(VALUE((_xll.BDP($B247,"interval_rsi","tech_studies_param1_override",14))),"")</f>
        <v>66.099372022517954</v>
      </c>
      <c r="G247">
        <f t="shared" si="146"/>
        <v>52.525531939815814</v>
      </c>
      <c r="H247">
        <f t="shared" si="157"/>
        <v>1</v>
      </c>
      <c r="I247" cm="1">
        <f t="array" ref="I247">IFERROR(VALUE(_xll.BDP($B247,"px_last")),"")</f>
        <v>76.319999999999993</v>
      </c>
      <c r="J247">
        <f t="shared" si="147"/>
        <v>6941.47</v>
      </c>
      <c r="K247" cm="1">
        <f t="array" ref="K247">IFERROR(VALUE(_xll.BDP($B247,"PX_YEST_CLOSE")),"")</f>
        <v>76.16</v>
      </c>
      <c r="L247">
        <f t="shared" si="148"/>
        <v>6941.81</v>
      </c>
      <c r="M247">
        <f t="shared" si="158"/>
        <v>1.0994789288147898E-2</v>
      </c>
      <c r="N247">
        <f t="shared" si="159"/>
        <v>1.0971202035204073E-2</v>
      </c>
      <c r="O247" cm="1">
        <f t="array" ref="O247">IFERROR(VALUE(_xll.BDP($B247,"INTERVAL_MAE_MOV_AVG","CALC_INTERVAL","520D","TECH_STUDIES_PARAM1_OVERRIDE",50,"USE_PREVIOUS_BUSINESS_DAY","N")),"")</f>
        <v>71.731221825896498</v>
      </c>
      <c r="P247">
        <f t="shared" si="149"/>
        <v>6894.0953999999992</v>
      </c>
      <c r="Q247" cm="1">
        <f t="array" ref="Q247">IFERROR(VALUE(_xll.BDP($B247,"INTERVAL_MAE_MOV_AVG","CALC_INTERVAL","520D","TECH_STUDIES_PARAM1_OVERRIDE",50,"USE_PREVIOUS_BUSINESS_DAY","Y")),"")</f>
        <v>71.565706710800001</v>
      </c>
      <c r="R247">
        <f t="shared" si="150"/>
        <v>6892.2477999999992</v>
      </c>
      <c r="S247">
        <f t="shared" si="160"/>
        <v>1.0404732987288877E-2</v>
      </c>
      <c r="T247">
        <f t="shared" si="161"/>
        <v>1.0383507498206899E-2</v>
      </c>
      <c r="U247" s="11" t="str">
        <f t="shared" si="162"/>
        <v>POSITIVE</v>
      </c>
      <c r="V247" s="11" t="str">
        <f t="shared" si="163"/>
        <v/>
      </c>
      <c r="W247" s="11" t="str">
        <f t="shared" si="164"/>
        <v>UP</v>
      </c>
      <c r="X247" s="6" t="str">
        <f t="shared" si="165"/>
        <v>POSITIVE</v>
      </c>
      <c r="Y247" cm="1">
        <f t="array" ref="Y247">IFERROR(VALUE(_xll.BDP($B247,"INTERVAL_MAE_MOV_AVG","CALC_INTERVAL","520D","TECH_STUDIES_PARAM1_OVERRIDE",65,"USE_PREVIOUS_BUSINESS_DAY","N")),"")</f>
        <v>70.460298782074233</v>
      </c>
      <c r="Z247">
        <f t="shared" si="151"/>
        <v>6856.0226153846133</v>
      </c>
      <c r="AA247" cm="1">
        <f t="array" ref="AA247">IFERROR(VALUE(_xll.BDP($B247,"INTERVAL_MAE_MOV_AVG","CALC_INTERVAL","520D","TECH_STUDIES_PARAM1_OVERRIDE",65,"USE_PREVIOUS_BUSINESS_DAY","Y")),"")</f>
        <v>70.331294232307698</v>
      </c>
      <c r="AB247">
        <f t="shared" si="152"/>
        <v>6852.6203076923057</v>
      </c>
      <c r="AC247">
        <f t="shared" si="166"/>
        <v>1.0277139200790326E-2</v>
      </c>
      <c r="AD247">
        <f t="shared" si="167"/>
        <v>1.0263416193271115E-2</v>
      </c>
      <c r="AE247" s="10" t="str">
        <f t="shared" si="168"/>
        <v>UP</v>
      </c>
      <c r="AF247" s="10" t="str">
        <f t="shared" si="169"/>
        <v>UP</v>
      </c>
      <c r="AG247" s="6" t="str">
        <f t="shared" si="170"/>
        <v>POSITIVE</v>
      </c>
      <c r="AH247" cm="1">
        <f t="array" ref="AH247">IFERROR(VALUE(_xll.BDP($B247,"INTERVAL_MAE_MOV_AVG","CALC_INTERVAL","65W","PERIODICITY_OVERRIDE","W","TECH_STUDIES_PARAM1_OVERRIDE",39,"USE_PREVIOUS_BUSINESS_DAY","N")),"")</f>
        <v>65.576940674698051</v>
      </c>
      <c r="AI247">
        <f t="shared" si="153"/>
        <v>6560.7735897435905</v>
      </c>
      <c r="AJ247" cm="1">
        <f t="array" ref="AJ247">IFERROR(VALUE(_xll.BDP($B247,"INTERVAL_MAE_MOV_AVG","CALC_INTERVAL","65W","PERIODICITY_OVERRIDE","W","TECH_STUDIES_PARAM1_OVERRIDE",39,"USE_PREVIOUS_BUSINESS_DAY","Y")),"")</f>
        <v>65.572838118420506</v>
      </c>
      <c r="AK247">
        <f t="shared" si="154"/>
        <v>6560.7823076923087</v>
      </c>
      <c r="AL247">
        <f t="shared" si="171"/>
        <v>9.9953061598123134E-3</v>
      </c>
      <c r="AM247">
        <f t="shared" si="172"/>
        <v>9.9946675629731599E-3</v>
      </c>
      <c r="AN247" s="10" t="str">
        <f t="shared" si="173"/>
        <v>UP</v>
      </c>
      <c r="AO247" s="10" t="str">
        <f t="shared" si="174"/>
        <v>UP</v>
      </c>
      <c r="AP247" s="6" t="str">
        <f t="shared" si="175"/>
        <v>POSITIVE</v>
      </c>
      <c r="AQ247" cm="1">
        <f t="array" ref="AQ247">IFERROR(VALUE(_xll.BDP($B247,"INTERVAL_exp_MOV_AVG","CALC_INTERVAL","520D","TECH_STUDIES_PARAM1_OVERRIDE",100,"USE_PREVIOUS_BUSINESS_DAY","N")),"")</f>
        <v>69.457377909019485</v>
      </c>
      <c r="AR247">
        <f t="shared" si="155"/>
        <v>6773.0064518682802</v>
      </c>
      <c r="AS247" cm="1">
        <f t="array" ref="AS247">IFERROR(VALUE(_xll.BDP($B247,"INTERVAL_exp_MOV_AVG","CALC_INTERVAL","520D","TECH_STUDIES_PARAM1_OVERRIDE",100,"USE_PREVIOUS_BUSINESS_DAY","Y")),"")</f>
        <v>69.31876890302658</v>
      </c>
      <c r="AT247">
        <f t="shared" si="156"/>
        <v>6769.6039787132295</v>
      </c>
      <c r="AU247">
        <f t="shared" si="176"/>
        <v>1.025502904841619E-2</v>
      </c>
      <c r="AV247">
        <f t="shared" si="177"/>
        <v>1.0239708130785331E-2</v>
      </c>
      <c r="AW247" s="11" t="str">
        <f t="shared" si="178"/>
        <v>UP</v>
      </c>
      <c r="AX247" s="11" t="str">
        <f t="shared" si="179"/>
        <v>UP</v>
      </c>
      <c r="AY247" s="6" t="str">
        <f t="shared" si="180"/>
        <v>POSITIVE</v>
      </c>
      <c r="AZ247" s="12" cm="1">
        <f t="array" ref="AZ247">_xll.BDP($B247, "INTERVAL_RSI", "TECH_STUDIES_PARAM1_OVERRIDE", "5", "PERIODICITY_OVERRIDE", "W")</f>
        <v>77.719524376770948</v>
      </c>
      <c r="BA247" cm="1">
        <f t="array" ref="BA247">IFERROR(VALUE(_xll.BDP($B247,"INTERVAL_MAE_MOV_AVG","CALC_INTERVAL","520D","TECH_STUDIES_PARAM1_OVERRIDE",31,"USE_PREVIOUS_BUSINESS_DAY","N")),"")</f>
        <v>73.089606559833044</v>
      </c>
      <c r="BB247" cm="1">
        <f t="array" ref="BB247">IFERROR(VALUE(_xll.BDP($B247,"INTERVAL_MAE_MOV_AVG","CALC_INTERVAL","760D","TECH_STUDIES_PARAM1_OVERRIDE",200,"USE_PREVIOUS_BUSINESS_DAY","N")),"")</f>
        <v>64.457415943657111</v>
      </c>
      <c r="BC247" s="13">
        <f t="shared" si="181"/>
        <v>4.4197712810541301E-2</v>
      </c>
      <c r="BD247" s="13">
        <f t="shared" si="182"/>
        <v>6.3971839002564534E-2</v>
      </c>
      <c r="BE247" s="13">
        <f t="shared" si="183"/>
        <v>0.18403753676244317</v>
      </c>
      <c r="BF247" s="14" cm="1">
        <f t="array" ref="BF247">VALUE(_xll.BDP($B247,"INTERVAL_DATE_OF_CALC_HI","CALC_INTERVAL","3M"))</f>
        <v>46064</v>
      </c>
      <c r="BG247" s="14" cm="1">
        <f t="array" ref="BG247">VALUE(_xll.BDP($B247,"INTERVAL_DATE_OF_CALC_LO","CALC_INTERVAL","3M"))</f>
        <v>45981</v>
      </c>
      <c r="BH247" s="14" cm="1">
        <f t="array" ref="BH247">VALUE(_xll.BDP($B247,"INTERVAL_DATE_OF_CALC_HI","CALC_INTERVAL","1M"))</f>
        <v>46064</v>
      </c>
      <c r="BI247" s="14" cm="1">
        <f t="array" ref="BI247">VALUE(_xll.BDP($B247,"INTERVAL_DATE_OF_CALC_LO","CALC_INTERVAL","1M"))</f>
        <v>46058</v>
      </c>
      <c r="BJ247" s="15">
        <f>$F247-MIN(_xll.BDP("NYA Index","RSI_14D"),_xll.BDP("RSP US Equity","RSI_14D"))</f>
        <v>-0.24639213763829559</v>
      </c>
    </row>
    <row r="248" spans="1:62" x14ac:dyDescent="0.25">
      <c r="A248" s="11">
        <v>247</v>
      </c>
      <c r="B248" s="26" t="s">
        <v>2</v>
      </c>
      <c r="C248" s="1" t="s">
        <v>904</v>
      </c>
      <c r="D248" s="1" t="s">
        <v>308</v>
      </c>
      <c r="E248" s="11" t="s">
        <v>787</v>
      </c>
      <c r="F248">
        <f>IFERROR(VALUE((_xll.BDP($B248,"interval_rsi","tech_studies_param1_override",14))),"")</f>
        <v>67.301020603175431</v>
      </c>
      <c r="G248">
        <f t="shared" si="146"/>
        <v>52.525531939815814</v>
      </c>
      <c r="H248">
        <f t="shared" si="157"/>
        <v>1</v>
      </c>
      <c r="I248" cm="1">
        <f t="array" ref="I248">IFERROR(VALUE(_xll.BDP($B248,"px_last")),"")</f>
        <v>203.46</v>
      </c>
      <c r="J248">
        <f t="shared" si="147"/>
        <v>6941.47</v>
      </c>
      <c r="K248" cm="1">
        <f t="array" ref="K248">IFERROR(VALUE(_xll.BDP($B248,"PX_YEST_CLOSE")),"")</f>
        <v>203.1</v>
      </c>
      <c r="L248">
        <f t="shared" si="148"/>
        <v>6941.81</v>
      </c>
      <c r="M248">
        <f t="shared" si="158"/>
        <v>2.9310794399457177E-2</v>
      </c>
      <c r="N248">
        <f t="shared" si="159"/>
        <v>2.9257499124868008E-2</v>
      </c>
      <c r="O248" cm="1">
        <f t="array" ref="O248">IFERROR(VALUE(_xll.BDP($B248,"INTERVAL_MAE_MOV_AVG","CALC_INTERVAL","520D","TECH_STUDIES_PARAM1_OVERRIDE",50,"USE_PREVIOUS_BUSINESS_DAY","N")),"")</f>
        <v>195.65490472467732</v>
      </c>
      <c r="P248">
        <f t="shared" si="149"/>
        <v>6894.0953999999992</v>
      </c>
      <c r="Q248" cm="1">
        <f t="array" ref="Q248">IFERROR(VALUE(_xll.BDP($B248,"INTERVAL_MAE_MOV_AVG","CALC_INTERVAL","520D","TECH_STUDIES_PARAM1_OVERRIDE",50,"USE_PREVIOUS_BUSINESS_DAY","Y")),"")</f>
        <v>195.40113924500005</v>
      </c>
      <c r="R248">
        <f t="shared" si="150"/>
        <v>6892.2477999999992</v>
      </c>
      <c r="S248">
        <f t="shared" si="160"/>
        <v>2.8380069229195368E-2</v>
      </c>
      <c r="T248">
        <f t="shared" si="161"/>
        <v>2.8350858082177497E-2</v>
      </c>
      <c r="U248" s="11" t="str">
        <f t="shared" si="162"/>
        <v>POSITIVE</v>
      </c>
      <c r="V248" s="11" t="str">
        <f t="shared" si="163"/>
        <v/>
      </c>
      <c r="W248" s="11" t="str">
        <f t="shared" si="164"/>
        <v>UP</v>
      </c>
      <c r="X248" s="6" t="str">
        <f t="shared" si="165"/>
        <v>POSITIVE</v>
      </c>
      <c r="Y248" cm="1">
        <f t="array" ref="Y248">IFERROR(VALUE(_xll.BDP($B248,"INTERVAL_MAE_MOV_AVG","CALC_INTERVAL","520D","TECH_STUDIES_PARAM1_OVERRIDE",65,"USE_PREVIOUS_BUSINESS_DAY","N")),"")</f>
        <v>193.58576409375181</v>
      </c>
      <c r="Z248">
        <f t="shared" si="151"/>
        <v>6856.0226153846133</v>
      </c>
      <c r="AA248" cm="1">
        <f t="array" ref="AA248">IFERROR(VALUE(_xll.BDP($B248,"INTERVAL_MAE_MOV_AVG","CALC_INTERVAL","520D","TECH_STUDIES_PARAM1_OVERRIDE",65,"USE_PREVIOUS_BUSINESS_DAY","Y")),"")</f>
        <v>193.305819775077</v>
      </c>
      <c r="AB248">
        <f t="shared" si="152"/>
        <v>6852.6203076923057</v>
      </c>
      <c r="AC248">
        <f t="shared" si="166"/>
        <v>2.8235870117953501E-2</v>
      </c>
      <c r="AD248">
        <f t="shared" si="167"/>
        <v>2.8209036995393493E-2</v>
      </c>
      <c r="AE248" s="10" t="str">
        <f t="shared" si="168"/>
        <v>UP</v>
      </c>
      <c r="AF248" s="10" t="str">
        <f t="shared" si="169"/>
        <v>UP</v>
      </c>
      <c r="AG248" s="6" t="str">
        <f t="shared" si="170"/>
        <v>POSITIVE</v>
      </c>
      <c r="AH248" cm="1">
        <f t="array" ref="AH248">IFERROR(VALUE(_xll.BDP($B248,"INTERVAL_MAE_MOV_AVG","CALC_INTERVAL","65W","PERIODICITY_OVERRIDE","W","TECH_STUDIES_PARAM1_OVERRIDE",39,"USE_PREVIOUS_BUSINESS_DAY","N")),"")</f>
        <v>187.43513286505981</v>
      </c>
      <c r="AI248">
        <f t="shared" si="153"/>
        <v>6560.7735897435905</v>
      </c>
      <c r="AJ248" cm="1">
        <f t="array" ref="AJ248">IFERROR(VALUE(_xll.BDP($B248,"INTERVAL_MAE_MOV_AVG","CALC_INTERVAL","65W","PERIODICITY_OVERRIDE","W","TECH_STUDIES_PARAM1_OVERRIDE",39,"USE_PREVIOUS_BUSINESS_DAY","Y")),"")</f>
        <v>187.42590192367862</v>
      </c>
      <c r="AK248">
        <f t="shared" si="154"/>
        <v>6560.7823076923087</v>
      </c>
      <c r="AL248">
        <f t="shared" si="171"/>
        <v>2.8569059776437918E-2</v>
      </c>
      <c r="AM248">
        <f t="shared" si="172"/>
        <v>2.8567614826044099E-2</v>
      </c>
      <c r="AN248" s="10" t="str">
        <f t="shared" si="173"/>
        <v>UP</v>
      </c>
      <c r="AO248" s="10" t="str">
        <f t="shared" si="174"/>
        <v>UP</v>
      </c>
      <c r="AP248" s="6" t="str">
        <f t="shared" si="175"/>
        <v>POSITIVE</v>
      </c>
      <c r="AQ248" cm="1">
        <f t="array" ref="AQ248">IFERROR(VALUE(_xll.BDP($B248,"INTERVAL_exp_MOV_AVG","CALC_INTERVAL","520D","TECH_STUDIES_PARAM1_OVERRIDE",100,"USE_PREVIOUS_BUSINESS_DAY","N")),"")</f>
        <v>192.45835765349295</v>
      </c>
      <c r="AR248">
        <f t="shared" si="155"/>
        <v>6773.0064518682802</v>
      </c>
      <c r="AS248" cm="1">
        <f t="array" ref="AS248">IFERROR(VALUE(_xll.BDP($B248,"INTERVAL_exp_MOV_AVG","CALC_INTERVAL","520D","TECH_STUDIES_PARAM1_OVERRIDE",100,"USE_PREVIOUS_BUSINESS_DAY","Y")),"")</f>
        <v>192.23613876081728</v>
      </c>
      <c r="AT248">
        <f t="shared" si="156"/>
        <v>6769.6039787132295</v>
      </c>
      <c r="AU248">
        <f t="shared" si="176"/>
        <v>2.8415498939972934E-2</v>
      </c>
      <c r="AV248">
        <f t="shared" si="177"/>
        <v>2.8396954883224593E-2</v>
      </c>
      <c r="AW248" s="11" t="str">
        <f t="shared" si="178"/>
        <v>UP</v>
      </c>
      <c r="AX248" s="11" t="str">
        <f t="shared" si="179"/>
        <v>UP</v>
      </c>
      <c r="AY248" s="6" t="str">
        <f t="shared" si="180"/>
        <v>POSITIVE</v>
      </c>
      <c r="AZ248" s="12" cm="1">
        <f t="array" ref="AZ248">_xll.BDP($B248, "INTERVAL_RSI", "TECH_STUDIES_PARAM1_OVERRIDE", "5", "PERIODICITY_OVERRIDE", "W")</f>
        <v>85.934289843039707</v>
      </c>
      <c r="BA248" cm="1">
        <f t="array" ref="BA248">IFERROR(VALUE(_xll.BDP($B248,"INTERVAL_MAE_MOV_AVG","CALC_INTERVAL","520D","TECH_STUDIES_PARAM1_OVERRIDE",31,"USE_PREVIOUS_BUSINESS_DAY","N")),"")</f>
        <v>198.03774215206019</v>
      </c>
      <c r="BB248" cm="1">
        <f t="array" ref="BB248">IFERROR(VALUE(_xll.BDP($B248,"INTERVAL_MAE_MOV_AVG","CALC_INTERVAL","760D","TECH_STUDIES_PARAM1_OVERRIDE",200,"USE_PREVIOUS_BUSINESS_DAY","N")),"")</f>
        <v>185.84092767391778</v>
      </c>
      <c r="BC248" s="13">
        <f t="shared" si="181"/>
        <v>2.7379921569578469E-2</v>
      </c>
      <c r="BD248" s="13">
        <f t="shared" si="182"/>
        <v>3.9892152390996305E-2</v>
      </c>
      <c r="BE248" s="13">
        <f t="shared" si="183"/>
        <v>9.4807277097740172E-2</v>
      </c>
      <c r="BF248" s="14" cm="1">
        <f t="array" ref="BF248">VALUE(_xll.BDP($B248,"INTERVAL_DATE_OF_CALC_HI","CALC_INTERVAL","3M"))</f>
        <v>46064</v>
      </c>
      <c r="BG248" s="14" cm="1">
        <f t="array" ref="BG248">VALUE(_xll.BDP($B248,"INTERVAL_DATE_OF_CALC_LO","CALC_INTERVAL","3M"))</f>
        <v>45981</v>
      </c>
      <c r="BH248" s="14" cm="1">
        <f t="array" ref="BH248">VALUE(_xll.BDP($B248,"INTERVAL_DATE_OF_CALC_HI","CALC_INTERVAL","1M"))</f>
        <v>46064</v>
      </c>
      <c r="BI248" s="14" cm="1">
        <f t="array" ref="BI248">VALUE(_xll.BDP($B248,"INTERVAL_DATE_OF_CALC_LO","CALC_INTERVAL","1M"))</f>
        <v>46042</v>
      </c>
      <c r="BJ248" s="15">
        <f>$F248-MIN(_xll.BDP("NYA Index","RSI_14D"),_xll.BDP("RSP US Equity","RSI_14D"))</f>
        <v>0.95525644301918078</v>
      </c>
    </row>
    <row r="249" spans="1:62" x14ac:dyDescent="0.25">
      <c r="A249" s="11">
        <v>248</v>
      </c>
      <c r="B249" s="26" t="s">
        <v>484</v>
      </c>
      <c r="C249" s="1" t="s">
        <v>905</v>
      </c>
      <c r="D249" s="1" t="s">
        <v>308</v>
      </c>
      <c r="E249" s="11" t="s">
        <v>787</v>
      </c>
      <c r="F249">
        <f>IFERROR(VALUE((_xll.BDP($B249,"interval_rsi","tech_studies_param1_override",14))),"")</f>
        <v>84.1860823171059</v>
      </c>
      <c r="G249">
        <f t="shared" si="146"/>
        <v>52.525531939815814</v>
      </c>
      <c r="H249">
        <f t="shared" si="157"/>
        <v>1</v>
      </c>
      <c r="I249" cm="1">
        <f t="array" ref="I249">IFERROR(VALUE(_xll.BDP($B249,"px_last")),"")</f>
        <v>31.64</v>
      </c>
      <c r="J249">
        <f t="shared" si="147"/>
        <v>6941.47</v>
      </c>
      <c r="K249" cm="1">
        <f t="array" ref="K249">IFERROR(VALUE(_xll.BDP($B249,"PX_YEST_CLOSE")),"")</f>
        <v>31.3</v>
      </c>
      <c r="L249">
        <f t="shared" si="148"/>
        <v>6941.81</v>
      </c>
      <c r="M249">
        <f t="shared" si="158"/>
        <v>4.5581123306734743E-3</v>
      </c>
      <c r="N249">
        <f t="shared" si="159"/>
        <v>4.5089105002873893E-3</v>
      </c>
      <c r="O249" cm="1">
        <f t="array" ref="O249">IFERROR(VALUE(_xll.BDP($B249,"INTERVAL_MAE_MOV_AVG","CALC_INTERVAL","520D","TECH_STUDIES_PARAM1_OVERRIDE",50,"USE_PREVIOUS_BUSINESS_DAY","N")),"")</f>
        <v>28.584847725192958</v>
      </c>
      <c r="P249">
        <f t="shared" si="149"/>
        <v>6894.0953999999992</v>
      </c>
      <c r="Q249" cm="1">
        <f t="array" ref="Q249">IFERROR(VALUE(_xll.BDP($B249,"INTERVAL_MAE_MOV_AVG","CALC_INTERVAL","520D","TECH_STUDIES_PARAM1_OVERRIDE",50,"USE_PREVIOUS_BUSINESS_DAY","Y")),"")</f>
        <v>28.49825745159999</v>
      </c>
      <c r="R249">
        <f t="shared" si="150"/>
        <v>6892.2477999999992</v>
      </c>
      <c r="S249">
        <f t="shared" si="160"/>
        <v>4.1462796881506685E-3</v>
      </c>
      <c r="T249">
        <f t="shared" si="161"/>
        <v>4.1348277483000528E-3</v>
      </c>
      <c r="U249" s="11" t="str">
        <f t="shared" si="162"/>
        <v>POSITIVE</v>
      </c>
      <c r="V249" s="11" t="str">
        <f t="shared" si="163"/>
        <v/>
      </c>
      <c r="W249" s="11" t="str">
        <f t="shared" si="164"/>
        <v>UP</v>
      </c>
      <c r="X249" s="6" t="str">
        <f t="shared" si="165"/>
        <v>POSITIVE</v>
      </c>
      <c r="Y249" cm="1">
        <f t="array" ref="Y249">IFERROR(VALUE(_xll.BDP($B249,"INTERVAL_MAE_MOV_AVG","CALC_INTERVAL","520D","TECH_STUDIES_PARAM1_OVERRIDE",65,"USE_PREVIOUS_BUSINESS_DAY","N")),"")</f>
        <v>28.177919117225347</v>
      </c>
      <c r="Z249">
        <f t="shared" si="151"/>
        <v>6856.0226153846133</v>
      </c>
      <c r="AA249" cm="1">
        <f t="array" ref="AA249">IFERROR(VALUE(_xll.BDP($B249,"INTERVAL_MAE_MOV_AVG","CALC_INTERVAL","520D","TECH_STUDIES_PARAM1_OVERRIDE",65,"USE_PREVIOUS_BUSINESS_DAY","Y")),"")</f>
        <v>28.095016447846138</v>
      </c>
      <c r="AB249">
        <f t="shared" si="152"/>
        <v>6852.6203076923057</v>
      </c>
      <c r="AC249">
        <f t="shared" si="166"/>
        <v>4.1099513082111681E-3</v>
      </c>
      <c r="AD249">
        <f t="shared" si="167"/>
        <v>4.0998939363835031E-3</v>
      </c>
      <c r="AE249" s="10" t="str">
        <f t="shared" si="168"/>
        <v>UP</v>
      </c>
      <c r="AF249" s="10" t="str">
        <f t="shared" si="169"/>
        <v>UP</v>
      </c>
      <c r="AG249" s="6" t="str">
        <f t="shared" si="170"/>
        <v>POSITIVE</v>
      </c>
      <c r="AH249" cm="1">
        <f t="array" ref="AH249">IFERROR(VALUE(_xll.BDP($B249,"INTERVAL_MAE_MOV_AVG","CALC_INTERVAL","65W","PERIODICITY_OVERRIDE","W","TECH_STUDIES_PARAM1_OVERRIDE",39,"USE_PREVIOUS_BUSINESS_DAY","N")),"")</f>
        <v>27.201353106124337</v>
      </c>
      <c r="AI249">
        <f t="shared" si="153"/>
        <v>6560.7735897435905</v>
      </c>
      <c r="AJ249" cm="1">
        <f t="array" ref="AJ249">IFERROR(VALUE(_xll.BDP($B249,"INTERVAL_MAE_MOV_AVG","CALC_INTERVAL","65W","PERIODICITY_OVERRIDE","W","TECH_STUDIES_PARAM1_OVERRIDE",39,"USE_PREVIOUS_BUSINESS_DAY","Y")),"")</f>
        <v>27.192635173056434</v>
      </c>
      <c r="AK249">
        <f t="shared" si="154"/>
        <v>6560.7823076923087</v>
      </c>
      <c r="AL249">
        <f t="shared" si="171"/>
        <v>4.1460588045056168E-3</v>
      </c>
      <c r="AM249">
        <f t="shared" si="172"/>
        <v>4.1447245004873788E-3</v>
      </c>
      <c r="AN249" s="10" t="str">
        <f t="shared" si="173"/>
        <v>UP</v>
      </c>
      <c r="AO249" s="10" t="str">
        <f t="shared" si="174"/>
        <v>UP</v>
      </c>
      <c r="AP249" s="6" t="str">
        <f t="shared" si="175"/>
        <v>POSITIVE</v>
      </c>
      <c r="AQ249" cm="1">
        <f t="array" ref="AQ249">IFERROR(VALUE(_xll.BDP($B249,"INTERVAL_exp_MOV_AVG","CALC_INTERVAL","520D","TECH_STUDIES_PARAM1_OVERRIDE",100,"USE_PREVIOUS_BUSINESS_DAY","N")),"")</f>
        <v>28.094779805427692</v>
      </c>
      <c r="AR249">
        <f t="shared" si="155"/>
        <v>6773.0064518682802</v>
      </c>
      <c r="AS249" cm="1">
        <f t="array" ref="AS249">IFERROR(VALUE(_xll.BDP($B249,"INTERVAL_exp_MOV_AVG","CALC_INTERVAL","520D","TECH_STUDIES_PARAM1_OVERRIDE",100,"USE_PREVIOUS_BUSINESS_DAY","Y")),"")</f>
        <v>28.023163623004805</v>
      </c>
      <c r="AT249">
        <f t="shared" si="156"/>
        <v>6769.6039787132295</v>
      </c>
      <c r="AU249">
        <f t="shared" si="176"/>
        <v>4.1480515344375565E-3</v>
      </c>
      <c r="AV249">
        <f t="shared" si="177"/>
        <v>4.1395573080969892E-3</v>
      </c>
      <c r="AW249" s="11" t="str">
        <f t="shared" si="178"/>
        <v>UP</v>
      </c>
      <c r="AX249" s="11" t="str">
        <f t="shared" si="179"/>
        <v>UP</v>
      </c>
      <c r="AY249" s="6" t="str">
        <f t="shared" si="180"/>
        <v>POSITIVE</v>
      </c>
      <c r="AZ249" s="12" cm="1">
        <f t="array" ref="AZ249">_xll.BDP($B249, "INTERVAL_RSI", "TECH_STUDIES_PARAM1_OVERRIDE", "5", "PERIODICITY_OVERRIDE", "W")</f>
        <v>97.085194774875063</v>
      </c>
      <c r="BA249" cm="1">
        <f t="array" ref="BA249">IFERROR(VALUE(_xll.BDP($B249,"INTERVAL_MAE_MOV_AVG","CALC_INTERVAL","520D","TECH_STUDIES_PARAM1_OVERRIDE",31,"USE_PREVIOUS_BUSINESS_DAY","N")),"")</f>
        <v>29.251935464182203</v>
      </c>
      <c r="BB249" cm="1">
        <f t="array" ref="BB249">IFERROR(VALUE(_xll.BDP($B249,"INTERVAL_MAE_MOV_AVG","CALC_INTERVAL","760D","TECH_STUDIES_PARAM1_OVERRIDE",200,"USE_PREVIOUS_BUSINESS_DAY","N")),"")</f>
        <v>26.942809447735662</v>
      </c>
      <c r="BC249" s="13">
        <f t="shared" si="181"/>
        <v>8.1637830041772164E-2</v>
      </c>
      <c r="BD249" s="13">
        <f t="shared" si="182"/>
        <v>0.10688013118623041</v>
      </c>
      <c r="BE249" s="13">
        <f t="shared" si="183"/>
        <v>0.17433930048668711</v>
      </c>
      <c r="BF249" s="14" cm="1">
        <f t="array" ref="BF249">VALUE(_xll.BDP($B249,"INTERVAL_DATE_OF_CALC_HI","CALC_INTERVAL","3M"))</f>
        <v>46064</v>
      </c>
      <c r="BG249" s="14" cm="1">
        <f t="array" ref="BG249">VALUE(_xll.BDP($B249,"INTERVAL_DATE_OF_CALC_LO","CALC_INTERVAL","3M"))</f>
        <v>45981</v>
      </c>
      <c r="BH249" s="14" cm="1">
        <f t="array" ref="BH249">VALUE(_xll.BDP($B249,"INTERVAL_DATE_OF_CALC_HI","CALC_INTERVAL","1M"))</f>
        <v>46064</v>
      </c>
      <c r="BI249" s="14" cm="1">
        <f t="array" ref="BI249">VALUE(_xll.BDP($B249,"INTERVAL_DATE_OF_CALC_LO","CALC_INTERVAL","1M"))</f>
        <v>46034</v>
      </c>
      <c r="BJ249" s="15">
        <f>$F249-MIN(_xll.BDP("NYA Index","RSI_14D"),_xll.BDP("RSP US Equity","RSI_14D"))</f>
        <v>17.84031815694965</v>
      </c>
    </row>
    <row r="250" spans="1:62" x14ac:dyDescent="0.25">
      <c r="A250" s="11">
        <v>249</v>
      </c>
      <c r="B250" s="26" t="s">
        <v>485</v>
      </c>
      <c r="C250" s="1" t="s">
        <v>906</v>
      </c>
      <c r="D250" s="1" t="s">
        <v>308</v>
      </c>
      <c r="E250" s="11" t="s">
        <v>787</v>
      </c>
      <c r="F250">
        <f>IFERROR(VALUE((_xll.BDP($B250,"interval_rsi","tech_studies_param1_override",14))),"")</f>
        <v>39.072608001007062</v>
      </c>
      <c r="G250">
        <f t="shared" si="146"/>
        <v>52.525531939815814</v>
      </c>
      <c r="H250">
        <f t="shared" si="157"/>
        <v>0</v>
      </c>
      <c r="I250" cm="1">
        <f t="array" ref="I250">IFERROR(VALUE(_xll.BDP($B250,"px_last")),"")</f>
        <v>31.13</v>
      </c>
      <c r="J250">
        <f t="shared" si="147"/>
        <v>6941.47</v>
      </c>
      <c r="K250" cm="1">
        <f t="array" ref="K250">IFERROR(VALUE(_xll.BDP($B250,"PX_YEST_CLOSE")),"")</f>
        <v>31.28</v>
      </c>
      <c r="L250">
        <f t="shared" si="148"/>
        <v>6941.81</v>
      </c>
      <c r="M250">
        <f t="shared" si="158"/>
        <v>4.484640861373743E-3</v>
      </c>
      <c r="N250">
        <f t="shared" si="159"/>
        <v>4.5060294073159595E-3</v>
      </c>
      <c r="O250" cm="1">
        <f t="array" ref="O250">IFERROR(VALUE(_xll.BDP($B250,"INTERVAL_MAE_MOV_AVG","CALC_INTERVAL","520D","TECH_STUDIES_PARAM1_OVERRIDE",50,"USE_PREVIOUS_BUSINESS_DAY","N")),"")</f>
        <v>32.38675657641533</v>
      </c>
      <c r="P250">
        <f t="shared" si="149"/>
        <v>6894.0953999999992</v>
      </c>
      <c r="Q250" cm="1">
        <f t="array" ref="Q250">IFERROR(VALUE(_xll.BDP($B250,"INTERVAL_MAE_MOV_AVG","CALC_INTERVAL","520D","TECH_STUDIES_PARAM1_OVERRIDE",50,"USE_PREVIOUS_BUSINESS_DAY","Y")),"")</f>
        <v>32.41952289719999</v>
      </c>
      <c r="R250">
        <f t="shared" si="150"/>
        <v>6892.2477999999992</v>
      </c>
      <c r="S250">
        <f t="shared" si="160"/>
        <v>4.6977528881331308E-3</v>
      </c>
      <c r="T250">
        <f t="shared" si="161"/>
        <v>4.7037662948218421E-3</v>
      </c>
      <c r="U250" s="11" t="str">
        <f t="shared" si="162"/>
        <v>NEGATIVE</v>
      </c>
      <c r="V250" s="11" t="str">
        <f t="shared" si="163"/>
        <v/>
      </c>
      <c r="W250" s="11" t="str">
        <f t="shared" si="164"/>
        <v>DOWN</v>
      </c>
      <c r="X250" s="6" t="str">
        <f t="shared" si="165"/>
        <v>NEGATIVE</v>
      </c>
      <c r="Y250" cm="1">
        <f t="array" ref="Y250">IFERROR(VALUE(_xll.BDP($B250,"INTERVAL_MAE_MOV_AVG","CALC_INTERVAL","520D","TECH_STUDIES_PARAM1_OVERRIDE",65,"USE_PREVIOUS_BUSINESS_DAY","N")),"")</f>
        <v>32.349237677550249</v>
      </c>
      <c r="Z250">
        <f t="shared" si="151"/>
        <v>6856.0226153846133</v>
      </c>
      <c r="AA250" cm="1">
        <f t="array" ref="AA250">IFERROR(VALUE(_xll.BDP($B250,"INTERVAL_MAE_MOV_AVG","CALC_INTERVAL","520D","TECH_STUDIES_PARAM1_OVERRIDE",65,"USE_PREVIOUS_BUSINESS_DAY","Y")),"")</f>
        <v>32.368755730769223</v>
      </c>
      <c r="AB250">
        <f t="shared" si="152"/>
        <v>6852.6203076923057</v>
      </c>
      <c r="AC250">
        <f t="shared" si="166"/>
        <v>4.7183679944345549E-3</v>
      </c>
      <c r="AD250">
        <f t="shared" si="167"/>
        <v>4.7235589128488799E-3</v>
      </c>
      <c r="AE250" s="10" t="str">
        <f t="shared" si="168"/>
        <v>DOWN</v>
      </c>
      <c r="AF250" s="10" t="str">
        <f t="shared" si="169"/>
        <v>DOWN</v>
      </c>
      <c r="AG250" s="6" t="str">
        <f t="shared" si="170"/>
        <v>NEGATIVE</v>
      </c>
      <c r="AH250" cm="1">
        <f t="array" ref="AH250">IFERROR(VALUE(_xll.BDP($B250,"INTERVAL_MAE_MOV_AVG","CALC_INTERVAL","65W","PERIODICITY_OVERRIDE","W","TECH_STUDIES_PARAM1_OVERRIDE",39,"USE_PREVIOUS_BUSINESS_DAY","N")),"")</f>
        <v>30.970053177865786</v>
      </c>
      <c r="AI250">
        <f t="shared" si="153"/>
        <v>6560.7735897435905</v>
      </c>
      <c r="AJ250" cm="1">
        <f t="array" ref="AJ250">IFERROR(VALUE(_xll.BDP($B250,"INTERVAL_MAE_MOV_AVG","CALC_INTERVAL","65W","PERIODICITY_OVERRIDE","W","TECH_STUDIES_PARAM1_OVERRIDE",39,"USE_PREVIOUS_BUSINESS_DAY","Y")),"")</f>
        <v>30.973899353230745</v>
      </c>
      <c r="AK250">
        <f t="shared" si="154"/>
        <v>6560.7823076923087</v>
      </c>
      <c r="AL250">
        <f t="shared" si="171"/>
        <v>4.7204880269425915E-3</v>
      </c>
      <c r="AM250">
        <f t="shared" si="172"/>
        <v>4.7210679916806315E-3</v>
      </c>
      <c r="AN250" s="10" t="str">
        <f t="shared" si="173"/>
        <v>DOWN</v>
      </c>
      <c r="AO250" s="10" t="str">
        <f t="shared" si="174"/>
        <v>DOWN</v>
      </c>
      <c r="AP250" s="6" t="str">
        <f t="shared" si="175"/>
        <v>NEGATIVE</v>
      </c>
      <c r="AQ250" cm="1">
        <f t="array" ref="AQ250">IFERROR(VALUE(_xll.BDP($B250,"INTERVAL_exp_MOV_AVG","CALC_INTERVAL","520D","TECH_STUDIES_PARAM1_OVERRIDE",100,"USE_PREVIOUS_BUSINESS_DAY","N")),"")</f>
        <v>31.867163599279291</v>
      </c>
      <c r="AR250">
        <f t="shared" si="155"/>
        <v>6773.0064518682802</v>
      </c>
      <c r="AS250" cm="1">
        <f t="array" ref="AS250">IFERROR(VALUE(_xll.BDP($B250,"INTERVAL_exp_MOV_AVG","CALC_INTERVAL","520D","TECH_STUDIES_PARAM1_OVERRIDE",100,"USE_PREVIOUS_BUSINESS_DAY","Y")),"")</f>
        <v>31.882058657607885</v>
      </c>
      <c r="AT250">
        <f t="shared" si="156"/>
        <v>6769.6039787132295</v>
      </c>
      <c r="AU250">
        <f t="shared" si="176"/>
        <v>4.705024840259673E-3</v>
      </c>
      <c r="AV250">
        <f t="shared" si="177"/>
        <v>4.7095899195669123E-3</v>
      </c>
      <c r="AW250" s="11" t="str">
        <f t="shared" si="178"/>
        <v>DOWN</v>
      </c>
      <c r="AX250" s="11" t="str">
        <f t="shared" si="179"/>
        <v>DOWN</v>
      </c>
      <c r="AY250" s="6" t="str">
        <f t="shared" si="180"/>
        <v>NEGATIVE</v>
      </c>
      <c r="AZ250" s="12" cm="1">
        <f t="array" ref="AZ250">_xll.BDP($B250, "INTERVAL_RSI", "TECH_STUDIES_PARAM1_OVERRIDE", "5", "PERIODICITY_OVERRIDE", "W")</f>
        <v>24.443283690624042</v>
      </c>
      <c r="BA250" cm="1">
        <f t="array" ref="BA250">IFERROR(VALUE(_xll.BDP($B250,"INTERVAL_MAE_MOV_AVG","CALC_INTERVAL","520D","TECH_STUDIES_PARAM1_OVERRIDE",31,"USE_PREVIOUS_BUSINESS_DAY","N")),"")</f>
        <v>32.181612876153757</v>
      </c>
      <c r="BB250" cm="1">
        <f t="array" ref="BB250">IFERROR(VALUE(_xll.BDP($B250,"INTERVAL_MAE_MOV_AVG","CALC_INTERVAL","760D","TECH_STUDIES_PARAM1_OVERRIDE",200,"USE_PREVIOUS_BUSINESS_DAY","N")),"")</f>
        <v>30.645397804500654</v>
      </c>
      <c r="BC250" s="13">
        <f t="shared" si="181"/>
        <v>-3.2677444732205796E-2</v>
      </c>
      <c r="BD250" s="13">
        <f t="shared" si="182"/>
        <v>-3.8804644529626175E-2</v>
      </c>
      <c r="BE250" s="13">
        <f t="shared" si="183"/>
        <v>1.5813212756800255E-2</v>
      </c>
      <c r="BF250" s="14" cm="1">
        <f t="array" ref="BF250">VALUE(_xll.BDP($B250,"INTERVAL_DATE_OF_CALC_HI","CALC_INTERVAL","3M"))</f>
        <v>46015</v>
      </c>
      <c r="BG250" s="14" cm="1">
        <f t="array" ref="BG250">VALUE(_xll.BDP($B250,"INTERVAL_DATE_OF_CALC_LO","CALC_INTERVAL","3M"))</f>
        <v>46058</v>
      </c>
      <c r="BH250" s="14" cm="1">
        <f t="array" ref="BH250">VALUE(_xll.BDP($B250,"INTERVAL_DATE_OF_CALC_HI","CALC_INTERVAL","1M"))</f>
        <v>46034</v>
      </c>
      <c r="BI250" s="14" cm="1">
        <f t="array" ref="BI250">VALUE(_xll.BDP($B250,"INTERVAL_DATE_OF_CALC_LO","CALC_INTERVAL","1M"))</f>
        <v>46058</v>
      </c>
      <c r="BJ250" s="15">
        <f>$F250-MIN(_xll.BDP("NYA Index","RSI_14D"),_xll.BDP("RSP US Equity","RSI_14D"))</f>
        <v>-27.273156159149188</v>
      </c>
    </row>
    <row r="251" spans="1:62" x14ac:dyDescent="0.25">
      <c r="A251" s="11">
        <v>250</v>
      </c>
      <c r="B251" s="26" t="s">
        <v>486</v>
      </c>
      <c r="C251" s="1" t="s">
        <v>907</v>
      </c>
      <c r="D251" s="1" t="s">
        <v>308</v>
      </c>
      <c r="E251" s="11" t="s">
        <v>787</v>
      </c>
      <c r="F251">
        <f>IFERROR(VALUE((_xll.BDP($B251,"interval_rsi","tech_studies_param1_override",14))),"")</f>
        <v>75.919710484868602</v>
      </c>
      <c r="G251">
        <f t="shared" si="146"/>
        <v>52.525531939815814</v>
      </c>
      <c r="H251">
        <f t="shared" si="157"/>
        <v>1</v>
      </c>
      <c r="I251" cm="1">
        <f t="array" ref="I251">IFERROR(VALUE(_xll.BDP($B251,"px_last")),"")</f>
        <v>32.200000000000003</v>
      </c>
      <c r="J251">
        <f t="shared" si="147"/>
        <v>6941.47</v>
      </c>
      <c r="K251" cm="1">
        <f t="array" ref="K251">IFERROR(VALUE(_xll.BDP($B251,"PX_YEST_CLOSE")),"")</f>
        <v>32.07</v>
      </c>
      <c r="L251">
        <f t="shared" si="148"/>
        <v>6941.81</v>
      </c>
      <c r="M251">
        <f t="shared" si="158"/>
        <v>4.6387868851986685E-3</v>
      </c>
      <c r="N251">
        <f t="shared" si="159"/>
        <v>4.6198325796874299E-3</v>
      </c>
      <c r="O251" cm="1">
        <f t="array" ref="O251">IFERROR(VALUE(_xll.BDP($B251,"INTERVAL_MAE_MOV_AVG","CALC_INTERVAL","520D","TECH_STUDIES_PARAM1_OVERRIDE",50,"USE_PREVIOUS_BUSINESS_DAY","N")),"")</f>
        <v>30.388603327258789</v>
      </c>
      <c r="P251">
        <f t="shared" si="149"/>
        <v>6894.0953999999992</v>
      </c>
      <c r="Q251" cm="1">
        <f t="array" ref="Q251">IFERROR(VALUE(_xll.BDP($B251,"INTERVAL_MAE_MOV_AVG","CALC_INTERVAL","520D","TECH_STUDIES_PARAM1_OVERRIDE",50,"USE_PREVIOUS_BUSINESS_DAY","Y")),"")</f>
        <v>30.332682601000002</v>
      </c>
      <c r="R251">
        <f t="shared" si="150"/>
        <v>6892.2477999999992</v>
      </c>
      <c r="S251">
        <f t="shared" si="160"/>
        <v>4.4079174371823735E-3</v>
      </c>
      <c r="T251">
        <f t="shared" si="161"/>
        <v>4.4009854957623561E-3</v>
      </c>
      <c r="U251" s="11" t="str">
        <f t="shared" si="162"/>
        <v>POSITIVE</v>
      </c>
      <c r="V251" s="11" t="str">
        <f t="shared" si="163"/>
        <v/>
      </c>
      <c r="W251" s="11" t="str">
        <f t="shared" si="164"/>
        <v>UP</v>
      </c>
      <c r="X251" s="6" t="str">
        <f t="shared" si="165"/>
        <v>POSITIVE</v>
      </c>
      <c r="Y251" cm="1">
        <f t="array" ref="Y251">IFERROR(VALUE(_xll.BDP($B251,"INTERVAL_MAE_MOV_AVG","CALC_INTERVAL","520D","TECH_STUDIES_PARAM1_OVERRIDE",65,"USE_PREVIOUS_BUSINESS_DAY","N")),"")</f>
        <v>30.025530681737536</v>
      </c>
      <c r="Z251">
        <f t="shared" si="151"/>
        <v>6856.0226153846133</v>
      </c>
      <c r="AA251" cm="1">
        <f t="array" ref="AA251">IFERROR(VALUE(_xll.BDP($B251,"INTERVAL_MAE_MOV_AVG","CALC_INTERVAL","520D","TECH_STUDIES_PARAM1_OVERRIDE",65,"USE_PREVIOUS_BUSINESS_DAY","Y")),"")</f>
        <v>29.969970189230771</v>
      </c>
      <c r="AB251">
        <f t="shared" si="152"/>
        <v>6852.6203076923057</v>
      </c>
      <c r="AC251">
        <f t="shared" si="166"/>
        <v>4.3794386871422453E-3</v>
      </c>
      <c r="AD251">
        <f t="shared" si="167"/>
        <v>4.3735051474526367E-3</v>
      </c>
      <c r="AE251" s="10" t="str">
        <f t="shared" si="168"/>
        <v>UP</v>
      </c>
      <c r="AF251" s="10" t="str">
        <f t="shared" si="169"/>
        <v>UP</v>
      </c>
      <c r="AG251" s="6" t="str">
        <f t="shared" si="170"/>
        <v>POSITIVE</v>
      </c>
      <c r="AH251" cm="1">
        <f t="array" ref="AH251">IFERROR(VALUE(_xll.BDP($B251,"INTERVAL_MAE_MOV_AVG","CALC_INTERVAL","65W","PERIODICITY_OVERRIDE","W","TECH_STUDIES_PARAM1_OVERRIDE",39,"USE_PREVIOUS_BUSINESS_DAY","N")),"")</f>
        <v>28.75683116993925</v>
      </c>
      <c r="AI251">
        <f t="shared" si="153"/>
        <v>6560.7735897435905</v>
      </c>
      <c r="AJ251" cm="1">
        <f t="array" ref="AJ251">IFERROR(VALUE(_xll.BDP($B251,"INTERVAL_MAE_MOV_AVG","CALC_INTERVAL","65W","PERIODICITY_OVERRIDE","W","TECH_STUDIES_PARAM1_OVERRIDE",39,"USE_PREVIOUS_BUSINESS_DAY","Y")),"")</f>
        <v>28.753497817043371</v>
      </c>
      <c r="AK251">
        <f t="shared" si="154"/>
        <v>6560.7823076923087</v>
      </c>
      <c r="AL251">
        <f t="shared" si="171"/>
        <v>4.3831464043957548E-3</v>
      </c>
      <c r="AM251">
        <f t="shared" si="172"/>
        <v>4.3826325076097719E-3</v>
      </c>
      <c r="AN251" s="10" t="str">
        <f t="shared" si="173"/>
        <v>UP</v>
      </c>
      <c r="AO251" s="10" t="str">
        <f t="shared" si="174"/>
        <v>UP</v>
      </c>
      <c r="AP251" s="6" t="str">
        <f t="shared" si="175"/>
        <v>POSITIVE</v>
      </c>
      <c r="AQ251" cm="1">
        <f t="array" ref="AQ251">IFERROR(VALUE(_xll.BDP($B251,"INTERVAL_exp_MOV_AVG","CALC_INTERVAL","520D","TECH_STUDIES_PARAM1_OVERRIDE",100,"USE_PREVIOUS_BUSINESS_DAY","N")),"")</f>
        <v>29.783484336661846</v>
      </c>
      <c r="AR251">
        <f t="shared" si="155"/>
        <v>6773.0064518682802</v>
      </c>
      <c r="AS251" cm="1">
        <f t="array" ref="AS251">IFERROR(VALUE(_xll.BDP($B251,"INTERVAL_exp_MOV_AVG","CALC_INTERVAL","520D","TECH_STUDIES_PARAM1_OVERRIDE",100,"USE_PREVIOUS_BUSINESS_DAY","Y")),"")</f>
        <v>29.734670080231719</v>
      </c>
      <c r="AT251">
        <f t="shared" si="156"/>
        <v>6769.6039787132295</v>
      </c>
      <c r="AU251">
        <f t="shared" si="176"/>
        <v>4.3973801809160107E-3</v>
      </c>
      <c r="AV251">
        <f t="shared" si="177"/>
        <v>4.3923795503741864E-3</v>
      </c>
      <c r="AW251" s="11" t="str">
        <f t="shared" si="178"/>
        <v>UP</v>
      </c>
      <c r="AX251" s="11" t="str">
        <f t="shared" si="179"/>
        <v>UP</v>
      </c>
      <c r="AY251" s="6" t="str">
        <f t="shared" si="180"/>
        <v>POSITIVE</v>
      </c>
      <c r="AZ251" s="12" cm="1">
        <f t="array" ref="AZ251">_xll.BDP($B251, "INTERVAL_RSI", "TECH_STUDIES_PARAM1_OVERRIDE", "5", "PERIODICITY_OVERRIDE", "W")</f>
        <v>91.036121110237417</v>
      </c>
      <c r="BA251" cm="1">
        <f t="array" ref="BA251">IFERROR(VALUE(_xll.BDP($B251,"INTERVAL_MAE_MOV_AVG","CALC_INTERVAL","520D","TECH_STUDIES_PARAM1_OVERRIDE",31,"USE_PREVIOUS_BUSINESS_DAY","N")),"")</f>
        <v>30.892258089127072</v>
      </c>
      <c r="BB251" cm="1">
        <f t="array" ref="BB251">IFERROR(VALUE(_xll.BDP($B251,"INTERVAL_MAE_MOV_AVG","CALC_INTERVAL","760D","TECH_STUDIES_PARAM1_OVERRIDE",200,"USE_PREVIOUS_BUSINESS_DAY","N")),"")</f>
        <v>28.455930760788817</v>
      </c>
      <c r="BC251" s="13">
        <f t="shared" si="181"/>
        <v>4.2332350943721009E-2</v>
      </c>
      <c r="BD251" s="13">
        <f t="shared" si="182"/>
        <v>5.9607763253679336E-2</v>
      </c>
      <c r="BE251" s="13">
        <f t="shared" si="183"/>
        <v>0.13157430240765033</v>
      </c>
      <c r="BF251" s="14" cm="1">
        <f t="array" ref="BF251">VALUE(_xll.BDP($B251,"INTERVAL_DATE_OF_CALC_HI","CALC_INTERVAL","3M"))</f>
        <v>46064</v>
      </c>
      <c r="BG251" s="14" cm="1">
        <f t="array" ref="BG251">VALUE(_xll.BDP($B251,"INTERVAL_DATE_OF_CALC_LO","CALC_INTERVAL","3M"))</f>
        <v>45981</v>
      </c>
      <c r="BH251" s="14" cm="1">
        <f t="array" ref="BH251">VALUE(_xll.BDP($B251,"INTERVAL_DATE_OF_CALC_HI","CALC_INTERVAL","1M"))</f>
        <v>46064</v>
      </c>
      <c r="BI251" s="14" cm="1">
        <f t="array" ref="BI251">VALUE(_xll.BDP($B251,"INTERVAL_DATE_OF_CALC_LO","CALC_INTERVAL","1M"))</f>
        <v>46042</v>
      </c>
      <c r="BJ251" s="15">
        <f>$F251-MIN(_xll.BDP("NYA Index","RSI_14D"),_xll.BDP("RSP US Equity","RSI_14D"))</f>
        <v>9.5739463247123524</v>
      </c>
    </row>
    <row r="252" spans="1:62" x14ac:dyDescent="0.25">
      <c r="A252" s="11">
        <v>251</v>
      </c>
      <c r="B252" s="26" t="s">
        <v>487</v>
      </c>
      <c r="C252" s="1" t="s">
        <v>908</v>
      </c>
      <c r="D252" s="1" t="s">
        <v>308</v>
      </c>
      <c r="E252" s="11" t="s">
        <v>787</v>
      </c>
      <c r="F252">
        <f>IFERROR(VALUE((_xll.BDP($B252,"interval_rsi","tech_studies_param1_override",14))),"")</f>
        <v>99.988295033869178</v>
      </c>
      <c r="G252">
        <f t="shared" si="146"/>
        <v>52.525531939815814</v>
      </c>
      <c r="H252">
        <f t="shared" si="157"/>
        <v>1</v>
      </c>
      <c r="I252" cm="1">
        <f t="array" ref="I252">IFERROR(VALUE(_xll.BDP($B252,"px_last")),"")</f>
        <v>100.46</v>
      </c>
      <c r="J252">
        <f t="shared" si="147"/>
        <v>6941.47</v>
      </c>
      <c r="K252" cm="1">
        <f t="array" ref="K252">IFERROR(VALUE(_xll.BDP($B252,"PX_YEST_CLOSE")),"")</f>
        <v>100.46</v>
      </c>
      <c r="L252">
        <f t="shared" si="148"/>
        <v>6941.81</v>
      </c>
      <c r="M252">
        <f t="shared" si="158"/>
        <v>1.4472438835001806E-2</v>
      </c>
      <c r="N252">
        <f t="shared" si="159"/>
        <v>1.4471729995491088E-2</v>
      </c>
      <c r="O252" cm="1">
        <f t="array" ref="O252">IFERROR(VALUE(_xll.BDP($B252,"INTERVAL_MAE_MOV_AVG","CALC_INTERVAL","520D","TECH_STUDIES_PARAM1_OVERRIDE",50,"USE_PREVIOUS_BUSINESS_DAY","N")),"")</f>
        <v>100.11803440532141</v>
      </c>
      <c r="P252">
        <f t="shared" si="149"/>
        <v>6894.0953999999992</v>
      </c>
      <c r="Q252" cm="1">
        <f t="array" ref="Q252">IFERROR(VALUE(_xll.BDP($B252,"INTERVAL_MAE_MOV_AVG","CALC_INTERVAL","520D","TECH_STUDIES_PARAM1_OVERRIDE",50,"USE_PREVIOUS_BUSINESS_DAY","Y")),"")</f>
        <v>100.10338369889045</v>
      </c>
      <c r="R252">
        <f t="shared" si="150"/>
        <v>6892.2477999999992</v>
      </c>
      <c r="S252">
        <f t="shared" si="160"/>
        <v>1.4522287348289585E-2</v>
      </c>
      <c r="T252">
        <f t="shared" si="161"/>
        <v>1.4524054648599615E-2</v>
      </c>
      <c r="U252" s="11" t="str">
        <f t="shared" si="162"/>
        <v>POSITIVE</v>
      </c>
      <c r="V252" s="11" t="str">
        <f t="shared" si="163"/>
        <v/>
      </c>
      <c r="W252" s="11" t="str">
        <f t="shared" si="164"/>
        <v>DOWN</v>
      </c>
      <c r="X252" s="6" t="str">
        <f t="shared" si="165"/>
        <v>NEGATIVE</v>
      </c>
      <c r="Y252" cm="1">
        <f t="array" ref="Y252">IFERROR(VALUE(_xll.BDP($B252,"INTERVAL_MAE_MOV_AVG","CALC_INTERVAL","520D","TECH_STUDIES_PARAM1_OVERRIDE",65,"USE_PREVIOUS_BUSINESS_DAY","N")),"")</f>
        <v>100.00123171257253</v>
      </c>
      <c r="Z252">
        <f t="shared" si="151"/>
        <v>6856.0226153846133</v>
      </c>
      <c r="AA252" cm="1">
        <f t="array" ref="AA252">IFERROR(VALUE(_xll.BDP($B252,"INTERVAL_MAE_MOV_AVG","CALC_INTERVAL","520D","TECH_STUDIES_PARAM1_OVERRIDE",65,"USE_PREVIOUS_BUSINESS_DAY","Y")),"")</f>
        <v>99.986304200423419</v>
      </c>
      <c r="AB252">
        <f t="shared" si="152"/>
        <v>6852.6203076923057</v>
      </c>
      <c r="AC252">
        <f t="shared" si="166"/>
        <v>1.4585895835316262E-2</v>
      </c>
      <c r="AD252">
        <f t="shared" si="167"/>
        <v>1.4590959328096042E-2</v>
      </c>
      <c r="AE252" s="10" t="str">
        <f t="shared" si="168"/>
        <v>UP</v>
      </c>
      <c r="AF252" s="10" t="str">
        <f t="shared" si="169"/>
        <v>DOWN</v>
      </c>
      <c r="AG252" s="6" t="str">
        <f t="shared" si="170"/>
        <v>NEGATIVE</v>
      </c>
      <c r="AH252" cm="1">
        <f t="array" ref="AH252">IFERROR(VALUE(_xll.BDP($B252,"INTERVAL_MAE_MOV_AVG","CALC_INTERVAL","65W","PERIODICITY_OVERRIDE","W","TECH_STUDIES_PARAM1_OVERRIDE",39,"USE_PREVIOUS_BUSINESS_DAY","N")),"")</f>
        <v>99.10523537904065</v>
      </c>
      <c r="AI252">
        <f t="shared" si="153"/>
        <v>6560.7735897435905</v>
      </c>
      <c r="AJ252" cm="1">
        <f t="array" ref="AJ252">IFERROR(VALUE(_xll.BDP($B252,"INTERVAL_MAE_MOV_AVG","CALC_INTERVAL","65W","PERIODICITY_OVERRIDE","W","TECH_STUDIES_PARAM1_OVERRIDE",39,"USE_PREVIOUS_BUSINESS_DAY","Y")),"")</f>
        <v>99.105235402515717</v>
      </c>
      <c r="AK252">
        <f t="shared" si="154"/>
        <v>6560.7823076923087</v>
      </c>
      <c r="AL252">
        <f t="shared" si="171"/>
        <v>1.5105724046623274E-2</v>
      </c>
      <c r="AM252">
        <f t="shared" si="172"/>
        <v>1.5105703977758563E-2</v>
      </c>
      <c r="AN252" s="10" t="str">
        <f t="shared" si="173"/>
        <v>DOWN</v>
      </c>
      <c r="AO252" s="10" t="str">
        <f t="shared" si="174"/>
        <v>UP</v>
      </c>
      <c r="AP252" s="6" t="str">
        <f t="shared" si="175"/>
        <v>NEGATIVE</v>
      </c>
      <c r="AQ252" cm="1">
        <f t="array" ref="AQ252">IFERROR(VALUE(_xll.BDP($B252,"INTERVAL_exp_MOV_AVG","CALC_INTERVAL","520D","TECH_STUDIES_PARAM1_OVERRIDE",100,"USE_PREVIOUS_BUSINESS_DAY","N")),"")</f>
        <v>99.721993899901875</v>
      </c>
      <c r="AR252">
        <f t="shared" si="155"/>
        <v>6773.0064518682802</v>
      </c>
      <c r="AS252" cm="1">
        <f t="array" ref="AS252">IFERROR(VALUE(_xll.BDP($B252,"INTERVAL_exp_MOV_AVG","CALC_INTERVAL","520D","TECH_STUDIES_PARAM1_OVERRIDE",100,"USE_PREVIOUS_BUSINESS_DAY","Y")),"")</f>
        <v>99.70708442199539</v>
      </c>
      <c r="AT252">
        <f t="shared" si="156"/>
        <v>6769.6039787132295</v>
      </c>
      <c r="AU252">
        <f t="shared" si="176"/>
        <v>1.4723445874231281E-2</v>
      </c>
      <c r="AV252">
        <f t="shared" si="177"/>
        <v>1.4728643615715284E-2</v>
      </c>
      <c r="AW252" s="11" t="str">
        <f t="shared" si="178"/>
        <v>UP</v>
      </c>
      <c r="AX252" s="11" t="str">
        <f t="shared" si="179"/>
        <v>DOWN</v>
      </c>
      <c r="AY252" s="6" t="str">
        <f t="shared" si="180"/>
        <v>NEGATIVE</v>
      </c>
      <c r="AZ252" s="12" cm="1">
        <f t="array" ref="AZ252">_xll.BDP($B252, "INTERVAL_RSI", "TECH_STUDIES_PARAM1_OVERRIDE", "5", "PERIODICITY_OVERRIDE", "W")</f>
        <v>0</v>
      </c>
      <c r="BA252" cm="1">
        <f t="array" ref="BA252">IFERROR(VALUE(_xll.BDP($B252,"INTERVAL_MAE_MOV_AVG","CALC_INTERVAL","520D","TECH_STUDIES_PARAM1_OVERRIDE",31,"USE_PREVIOUS_BUSINESS_DAY","N")),"")</f>
        <v>100.26058348530557</v>
      </c>
      <c r="BB252" cm="1">
        <f t="array" ref="BB252">IFERROR(VALUE(_xll.BDP($B252,"INTERVAL_MAE_MOV_AVG","CALC_INTERVAL","760D","TECH_STUDIES_PARAM1_OVERRIDE",200,"USE_PREVIOUS_BUSINESS_DAY","N")),"")</f>
        <v>98.929892855175694</v>
      </c>
      <c r="BC252" s="13">
        <f t="shared" si="181"/>
        <v>1.9889821878369407E-3</v>
      </c>
      <c r="BD252" s="13">
        <f t="shared" si="182"/>
        <v>3.415624334914158E-3</v>
      </c>
      <c r="BE252" s="13">
        <f t="shared" si="183"/>
        <v>1.5466580430489651E-2</v>
      </c>
      <c r="BF252" s="14" cm="1">
        <f t="array" ref="BF252">VALUE(_xll.BDP($B252,"INTERVAL_DATE_OF_CALC_HI","CALC_INTERVAL","3M"))</f>
        <v>46063</v>
      </c>
      <c r="BG252" s="14" cm="1">
        <f t="array" ref="BG252">VALUE(_xll.BDP($B252,"INTERVAL_DATE_OF_CALC_LO","CALC_INTERVAL","3M"))</f>
        <v>45972</v>
      </c>
      <c r="BH252" s="14" cm="1">
        <f t="array" ref="BH252">VALUE(_xll.BDP($B252,"INTERVAL_DATE_OF_CALC_HI","CALC_INTERVAL","1M"))</f>
        <v>46063</v>
      </c>
      <c r="BI252" s="14" cm="1">
        <f t="array" ref="BI252">VALUE(_xll.BDP($B252,"INTERVAL_DATE_OF_CALC_LO","CALC_INTERVAL","1M"))</f>
        <v>46034</v>
      </c>
      <c r="BJ252" s="15">
        <f>$F252-MIN(_xll.BDP("NYA Index","RSI_14D"),_xll.BDP("RSP US Equity","RSI_14D"))</f>
        <v>33.642530873712928</v>
      </c>
    </row>
    <row r="253" spans="1:62" x14ac:dyDescent="0.25">
      <c r="A253" s="11">
        <v>252</v>
      </c>
      <c r="B253" s="26" t="s">
        <v>180</v>
      </c>
      <c r="C253" s="1" t="s">
        <v>909</v>
      </c>
      <c r="D253" s="1" t="s">
        <v>308</v>
      </c>
      <c r="E253" s="11" t="s">
        <v>787</v>
      </c>
      <c r="F253">
        <f>IFERROR(VALUE((_xll.BDP($B253,"interval_rsi","tech_studies_param1_override",14))),"")</f>
        <v>44.503528601154628</v>
      </c>
      <c r="G253">
        <f t="shared" si="146"/>
        <v>52.525531939815814</v>
      </c>
      <c r="H253">
        <f t="shared" si="157"/>
        <v>0</v>
      </c>
      <c r="I253" cm="1">
        <f t="array" ref="I253">IFERROR(VALUE(_xll.BDP($B253,"px_last")),"")</f>
        <v>71.39</v>
      </c>
      <c r="J253">
        <f t="shared" si="147"/>
        <v>6941.47</v>
      </c>
      <c r="K253" cm="1">
        <f t="array" ref="K253">IFERROR(VALUE(_xll.BDP($B253,"PX_YEST_CLOSE")),"")</f>
        <v>72.92</v>
      </c>
      <c r="L253">
        <f t="shared" si="148"/>
        <v>6941.81</v>
      </c>
      <c r="M253">
        <f t="shared" si="158"/>
        <v>1.0284565084917171E-2</v>
      </c>
      <c r="N253">
        <f t="shared" si="159"/>
        <v>1.0504464973832473E-2</v>
      </c>
      <c r="O253" cm="1">
        <f t="array" ref="O253">IFERROR(VALUE(_xll.BDP($B253,"INTERVAL_MAE_MOV_AVG","CALC_INTERVAL","520D","TECH_STUDIES_PARAM1_OVERRIDE",50,"USE_PREVIOUS_BUSINESS_DAY","N")),"")</f>
        <v>69.928332157537966</v>
      </c>
      <c r="P253">
        <f t="shared" si="149"/>
        <v>6894.0953999999992</v>
      </c>
      <c r="Q253" cm="1">
        <f t="array" ref="Q253">IFERROR(VALUE(_xll.BDP($B253,"INTERVAL_MAE_MOV_AVG","CALC_INTERVAL","520D","TECH_STUDIES_PARAM1_OVERRIDE",50,"USE_PREVIOUS_BUSINESS_DAY","Y")),"")</f>
        <v>69.744027283013992</v>
      </c>
      <c r="R253">
        <f t="shared" si="150"/>
        <v>6892.2477999999992</v>
      </c>
      <c r="S253">
        <f t="shared" si="160"/>
        <v>1.014322084338113E-2</v>
      </c>
      <c r="T253">
        <f t="shared" si="161"/>
        <v>1.0119199034459266E-2</v>
      </c>
      <c r="U253" s="11" t="str">
        <f t="shared" si="162"/>
        <v>NEGATIVE</v>
      </c>
      <c r="V253" s="11" t="str">
        <f t="shared" si="163"/>
        <v/>
      </c>
      <c r="W253" s="11" t="str">
        <f t="shared" si="164"/>
        <v>UP</v>
      </c>
      <c r="X253" s="6" t="str">
        <f t="shared" si="165"/>
        <v>POSITIVE</v>
      </c>
      <c r="Y253" cm="1">
        <f t="array" ref="Y253">IFERROR(VALUE(_xll.BDP($B253,"INTERVAL_MAE_MOV_AVG","CALC_INTERVAL","520D","TECH_STUDIES_PARAM1_OVERRIDE",65,"USE_PREVIOUS_BUSINESS_DAY","N")),"")</f>
        <v>68.458350047578222</v>
      </c>
      <c r="Z253">
        <f t="shared" si="151"/>
        <v>6856.0226153846133</v>
      </c>
      <c r="AA253" cm="1">
        <f t="array" ref="AA253">IFERROR(VALUE(_xll.BDP($B253,"INTERVAL_MAE_MOV_AVG","CALC_INTERVAL","520D","TECH_STUDIES_PARAM1_OVERRIDE",65,"USE_PREVIOUS_BUSINESS_DAY","Y")),"")</f>
        <v>68.358425460410189</v>
      </c>
      <c r="AB253">
        <f t="shared" si="152"/>
        <v>6852.6203076923057</v>
      </c>
      <c r="AC253">
        <f t="shared" si="166"/>
        <v>9.9851406402832882E-3</v>
      </c>
      <c r="AD253">
        <f t="shared" si="167"/>
        <v>9.975516282972146E-3</v>
      </c>
      <c r="AE253" s="10" t="str">
        <f t="shared" si="168"/>
        <v>UP</v>
      </c>
      <c r="AF253" s="10" t="str">
        <f t="shared" si="169"/>
        <v>UP</v>
      </c>
      <c r="AG253" s="6" t="str">
        <f t="shared" si="170"/>
        <v>POSITIVE</v>
      </c>
      <c r="AH253" cm="1">
        <f t="array" ref="AH253">IFERROR(VALUE(_xll.BDP($B253,"INTERVAL_MAE_MOV_AVG","CALC_INTERVAL","65W","PERIODICITY_OVERRIDE","W","TECH_STUDIES_PARAM1_OVERRIDE",39,"USE_PREVIOUS_BUSINESS_DAY","N")),"")</f>
        <v>64.693916262309799</v>
      </c>
      <c r="AI253">
        <f t="shared" si="153"/>
        <v>6560.7735897435905</v>
      </c>
      <c r="AJ253" cm="1">
        <f t="array" ref="AJ253">IFERROR(VALUE(_xll.BDP($B253,"INTERVAL_MAE_MOV_AVG","CALC_INTERVAL","65W","PERIODICITY_OVERRIDE","W","TECH_STUDIES_PARAM1_OVERRIDE",39,"USE_PREVIOUS_BUSINESS_DAY","Y")),"")</f>
        <v>64.733147047190613</v>
      </c>
      <c r="AK253">
        <f t="shared" si="154"/>
        <v>6560.7823076923087</v>
      </c>
      <c r="AL253">
        <f t="shared" si="171"/>
        <v>9.8607146516144564E-3</v>
      </c>
      <c r="AM253">
        <f t="shared" si="172"/>
        <v>9.8666811382071094E-3</v>
      </c>
      <c r="AN253" s="10" t="str">
        <f t="shared" si="173"/>
        <v>DOWN</v>
      </c>
      <c r="AO253" s="10" t="str">
        <f t="shared" si="174"/>
        <v>DOWN</v>
      </c>
      <c r="AP253" s="6" t="str">
        <f t="shared" si="175"/>
        <v>POSITIVE</v>
      </c>
      <c r="AQ253" cm="1">
        <f t="array" ref="AQ253">IFERROR(VALUE(_xll.BDP($B253,"INTERVAL_exp_MOV_AVG","CALC_INTERVAL","520D","TECH_STUDIES_PARAM1_OVERRIDE",100,"USE_PREVIOUS_BUSINESS_DAY","N")),"")</f>
        <v>68.318949449284219</v>
      </c>
      <c r="AR253">
        <f t="shared" si="155"/>
        <v>6773.0064518682802</v>
      </c>
      <c r="AS253" cm="1">
        <f t="array" ref="AS253">IFERROR(VALUE(_xll.BDP($B253,"INTERVAL_exp_MOV_AVG","CALC_INTERVAL","520D","TECH_STUDIES_PARAM1_OVERRIDE",100,"USE_PREVIOUS_BUSINESS_DAY","Y")),"")</f>
        <v>68.25690812229341</v>
      </c>
      <c r="AT253">
        <f t="shared" si="156"/>
        <v>6769.6039787132295</v>
      </c>
      <c r="AU253">
        <f t="shared" si="176"/>
        <v>1.0086945868837757E-2</v>
      </c>
      <c r="AV253">
        <f t="shared" si="177"/>
        <v>1.008285098167112E-2</v>
      </c>
      <c r="AW253" s="11" t="str">
        <f t="shared" si="178"/>
        <v>UP</v>
      </c>
      <c r="AX253" s="11" t="str">
        <f t="shared" si="179"/>
        <v>UP</v>
      </c>
      <c r="AY253" s="6" t="str">
        <f t="shared" si="180"/>
        <v>POSITIVE</v>
      </c>
      <c r="AZ253" s="12" cm="1">
        <f t="array" ref="AZ253">_xll.BDP($B253, "INTERVAL_RSI", "TECH_STUDIES_PARAM1_OVERRIDE", "5", "PERIODICITY_OVERRIDE", "W")</f>
        <v>47.731945351647752</v>
      </c>
      <c r="BA253" cm="1">
        <f t="array" ref="BA253">IFERROR(VALUE(_xll.BDP($B253,"INTERVAL_MAE_MOV_AVG","CALC_INTERVAL","520D","TECH_STUDIES_PARAM1_OVERRIDE",31,"USE_PREVIOUS_BUSINESS_DAY","N")),"")</f>
        <v>73.641706944731951</v>
      </c>
      <c r="BB253" cm="1">
        <f t="array" ref="BB253">IFERROR(VALUE(_xll.BDP($B253,"INTERVAL_MAE_MOV_AVG","CALC_INTERVAL","760D","TECH_STUDIES_PARAM1_OVERRIDE",200,"USE_PREVIOUS_BUSINESS_DAY","N")),"")</f>
        <v>63.685059802760627</v>
      </c>
      <c r="BC253" s="13">
        <f t="shared" si="181"/>
        <v>-3.0576517548973392E-2</v>
      </c>
      <c r="BD253" s="13">
        <f t="shared" si="182"/>
        <v>2.0902369574167912E-2</v>
      </c>
      <c r="BE253" s="13">
        <f t="shared" si="183"/>
        <v>0.12098505082828526</v>
      </c>
      <c r="BF253" s="14" cm="1">
        <f t="array" ref="BF253">VALUE(_xll.BDP($B253,"INTERVAL_DATE_OF_CALC_HI","CALC_INTERVAL","3M"))</f>
        <v>46038</v>
      </c>
      <c r="BG253" s="14" cm="1">
        <f t="array" ref="BG253">VALUE(_xll.BDP($B253,"INTERVAL_DATE_OF_CALC_LO","CALC_INTERVAL","3M"))</f>
        <v>45992</v>
      </c>
      <c r="BH253" s="14" cm="1">
        <f t="array" ref="BH253">VALUE(_xll.BDP($B253,"INTERVAL_DATE_OF_CALC_HI","CALC_INTERVAL","1M"))</f>
        <v>46038</v>
      </c>
      <c r="BI253" s="14" cm="1">
        <f t="array" ref="BI253">VALUE(_xll.BDP($B253,"INTERVAL_DATE_OF_CALC_LO","CALC_INTERVAL","1M"))</f>
        <v>46058</v>
      </c>
      <c r="BJ253" s="15">
        <f>$F253-MIN(_xll.BDP("NYA Index","RSI_14D"),_xll.BDP("RSP US Equity","RSI_14D"))</f>
        <v>-21.842235559001622</v>
      </c>
    </row>
    <row r="254" spans="1:62" x14ac:dyDescent="0.25">
      <c r="A254" s="11">
        <v>253</v>
      </c>
      <c r="B254" s="26" t="s">
        <v>488</v>
      </c>
      <c r="C254" s="1" t="s">
        <v>910</v>
      </c>
      <c r="D254" s="1" t="s">
        <v>308</v>
      </c>
      <c r="E254" s="11" t="s">
        <v>787</v>
      </c>
      <c r="F254">
        <f>IFERROR(VALUE((_xll.BDP($B254,"interval_rsi","tech_studies_param1_override",14))),"")</f>
        <v>58.060219417963353</v>
      </c>
      <c r="G254">
        <f t="shared" si="146"/>
        <v>52.525531939815814</v>
      </c>
      <c r="H254">
        <f t="shared" si="157"/>
        <v>0</v>
      </c>
      <c r="I254" cm="1">
        <f t="array" ref="I254">IFERROR(VALUE(_xll.BDP($B254,"px_last")),"")</f>
        <v>105.19</v>
      </c>
      <c r="J254">
        <f t="shared" si="147"/>
        <v>6941.47</v>
      </c>
      <c r="K254" cm="1">
        <f t="array" ref="K254">IFERROR(VALUE(_xll.BDP($B254,"PX_YEST_CLOSE")),"")</f>
        <v>102.52</v>
      </c>
      <c r="L254">
        <f t="shared" si="148"/>
        <v>6941.81</v>
      </c>
      <c r="M254">
        <f t="shared" si="158"/>
        <v>1.5153850697330679E-2</v>
      </c>
      <c r="N254">
        <f t="shared" si="159"/>
        <v>1.4768482571548341E-2</v>
      </c>
      <c r="O254" cm="1">
        <f t="array" ref="O254">IFERROR(VALUE(_xll.BDP($B254,"INTERVAL_MAE_MOV_AVG","CALC_INTERVAL","520D","TECH_STUDIES_PARAM1_OVERRIDE",50,"USE_PREVIOUS_BUSINESS_DAY","N")),"")</f>
        <v>91.021146810628125</v>
      </c>
      <c r="P254">
        <f t="shared" si="149"/>
        <v>6894.0953999999992</v>
      </c>
      <c r="Q254" cm="1">
        <f t="array" ref="Q254">IFERROR(VALUE(_xll.BDP($B254,"INTERVAL_MAE_MOV_AVG","CALC_INTERVAL","520D","TECH_STUDIES_PARAM1_OVERRIDE",50,"USE_PREVIOUS_BUSINESS_DAY","Y")),"")</f>
        <v>90.454000522200019</v>
      </c>
      <c r="R254">
        <f t="shared" si="150"/>
        <v>6892.2477999999992</v>
      </c>
      <c r="S254">
        <f t="shared" si="160"/>
        <v>1.3202768678052836E-2</v>
      </c>
      <c r="T254">
        <f t="shared" si="161"/>
        <v>1.3124020369987282E-2</v>
      </c>
      <c r="U254" s="11" t="str">
        <f t="shared" si="162"/>
        <v>NEGATIVE</v>
      </c>
      <c r="V254" s="11" t="str">
        <f t="shared" si="163"/>
        <v/>
      </c>
      <c r="W254" s="11" t="str">
        <f t="shared" si="164"/>
        <v>UP</v>
      </c>
      <c r="X254" s="6" t="str">
        <f t="shared" si="165"/>
        <v>POSITIVE</v>
      </c>
      <c r="Y254" cm="1">
        <f t="array" ref="Y254">IFERROR(VALUE(_xll.BDP($B254,"INTERVAL_MAE_MOV_AVG","CALC_INTERVAL","520D","TECH_STUDIES_PARAM1_OVERRIDE",65,"USE_PREVIOUS_BUSINESS_DAY","N")),"")</f>
        <v>85.686762221252422</v>
      </c>
      <c r="Z254">
        <f t="shared" si="151"/>
        <v>6856.0226153846133</v>
      </c>
      <c r="AA254" cm="1">
        <f t="array" ref="AA254">IFERROR(VALUE(_xll.BDP($B254,"INTERVAL_MAE_MOV_AVG","CALC_INTERVAL","520D","TECH_STUDIES_PARAM1_OVERRIDE",65,"USE_PREVIOUS_BUSINESS_DAY","Y")),"")</f>
        <v>85.02903432476927</v>
      </c>
      <c r="AB254">
        <f t="shared" si="152"/>
        <v>6852.6203076923057</v>
      </c>
      <c r="AC254">
        <f t="shared" si="166"/>
        <v>1.2498027942465519E-2</v>
      </c>
      <c r="AD254">
        <f t="shared" si="167"/>
        <v>1.240825122461859E-2</v>
      </c>
      <c r="AE254" s="10" t="str">
        <f t="shared" si="168"/>
        <v>UP</v>
      </c>
      <c r="AF254" s="10" t="str">
        <f t="shared" si="169"/>
        <v>UP</v>
      </c>
      <c r="AG254" s="6" t="str">
        <f t="shared" si="170"/>
        <v>POSITIVE</v>
      </c>
      <c r="AH254" cm="1">
        <f t="array" ref="AH254">IFERROR(VALUE(_xll.BDP($B254,"INTERVAL_MAE_MOV_AVG","CALC_INTERVAL","65W","PERIODICITY_OVERRIDE","W","TECH_STUDIES_PARAM1_OVERRIDE",39,"USE_PREVIOUS_BUSINESS_DAY","N")),"")</f>
        <v>67.331034762175619</v>
      </c>
      <c r="AI254">
        <f t="shared" si="153"/>
        <v>6560.7735897435905</v>
      </c>
      <c r="AJ254" cm="1">
        <f t="array" ref="AJ254">IFERROR(VALUE(_xll.BDP($B254,"INTERVAL_MAE_MOV_AVG","CALC_INTERVAL","65W","PERIODICITY_OVERRIDE","W","TECH_STUDIES_PARAM1_OVERRIDE",39,"USE_PREVIOUS_BUSINESS_DAY","Y")),"")</f>
        <v>67.26257316111392</v>
      </c>
      <c r="AK254">
        <f t="shared" si="154"/>
        <v>6560.7823076923087</v>
      </c>
      <c r="AL254">
        <f t="shared" si="171"/>
        <v>1.0262667022595283E-2</v>
      </c>
      <c r="AM254">
        <f t="shared" si="172"/>
        <v>1.025221841033358E-2</v>
      </c>
      <c r="AN254" s="10" t="str">
        <f t="shared" si="173"/>
        <v>UP</v>
      </c>
      <c r="AO254" s="10" t="str">
        <f t="shared" si="174"/>
        <v>UP</v>
      </c>
      <c r="AP254" s="6" t="str">
        <f t="shared" si="175"/>
        <v>POSITIVE</v>
      </c>
      <c r="AQ254" cm="1">
        <f t="array" ref="AQ254">IFERROR(VALUE(_xll.BDP($B254,"INTERVAL_exp_MOV_AVG","CALC_INTERVAL","520D","TECH_STUDIES_PARAM1_OVERRIDE",100,"USE_PREVIOUS_BUSINESS_DAY","N")),"")</f>
        <v>82.007157780462421</v>
      </c>
      <c r="AR254">
        <f t="shared" si="155"/>
        <v>6773.0064518682802</v>
      </c>
      <c r="AS254" cm="1">
        <f t="array" ref="AS254">IFERROR(VALUE(_xll.BDP($B254,"INTERVAL_exp_MOV_AVG","CALC_INTERVAL","520D","TECH_STUDIES_PARAM1_OVERRIDE",100,"USE_PREVIOUS_BUSINESS_DAY","Y")),"")</f>
        <v>81.538842641692213</v>
      </c>
      <c r="AT254">
        <f t="shared" si="156"/>
        <v>6769.6039787132295</v>
      </c>
      <c r="AU254">
        <f t="shared" si="176"/>
        <v>1.2107940301436063E-2</v>
      </c>
      <c r="AV254">
        <f t="shared" si="177"/>
        <v>1.2044846773620452E-2</v>
      </c>
      <c r="AW254" s="11" t="str">
        <f t="shared" si="178"/>
        <v>UP</v>
      </c>
      <c r="AX254" s="11" t="str">
        <f t="shared" si="179"/>
        <v>UP</v>
      </c>
      <c r="AY254" s="6" t="str">
        <f t="shared" si="180"/>
        <v>POSITIVE</v>
      </c>
      <c r="AZ254" s="12" cm="1">
        <f t="array" ref="AZ254">_xll.BDP($B254, "INTERVAL_RSI", "TECH_STUDIES_PARAM1_OVERRIDE", "5", "PERIODICITY_OVERRIDE", "W")</f>
        <v>66.609032243571363</v>
      </c>
      <c r="BA254" cm="1">
        <f t="array" ref="BA254">IFERROR(VALUE(_xll.BDP($B254,"INTERVAL_MAE_MOV_AVG","CALC_INTERVAL","520D","TECH_STUDIES_PARAM1_OVERRIDE",31,"USE_PREVIOUS_BUSINESS_DAY","N")),"")</f>
        <v>97.333930135206657</v>
      </c>
      <c r="BB254" cm="1">
        <f t="array" ref="BB254">IFERROR(VALUE(_xll.BDP($B254,"INTERVAL_MAE_MOV_AVG","CALC_INTERVAL","760D","TECH_STUDIES_PARAM1_OVERRIDE",200,"USE_PREVIOUS_BUSINESS_DAY","N")),"")</f>
        <v>64.516368623269287</v>
      </c>
      <c r="BC254" s="13">
        <f t="shared" si="181"/>
        <v>8.0712551664979149E-2</v>
      </c>
      <c r="BD254" s="13">
        <f t="shared" si="182"/>
        <v>0.1556655094540893</v>
      </c>
      <c r="BE254" s="13">
        <f t="shared" si="183"/>
        <v>0.63043894510300835</v>
      </c>
      <c r="BF254" s="14" cm="1">
        <f t="array" ref="BF254">VALUE(_xll.BDP($B254,"INTERVAL_DATE_OF_CALC_HI","CALC_INTERVAL","3M"))</f>
        <v>46050</v>
      </c>
      <c r="BG254" s="14" cm="1">
        <f t="array" ref="BG254">VALUE(_xll.BDP($B254,"INTERVAL_DATE_OF_CALC_LO","CALC_INTERVAL","3M"))</f>
        <v>45981</v>
      </c>
      <c r="BH254" s="14" cm="1">
        <f t="array" ref="BH254">VALUE(_xll.BDP($B254,"INTERVAL_DATE_OF_CALC_HI","CALC_INTERVAL","1M"))</f>
        <v>46050</v>
      </c>
      <c r="BI254" s="14" cm="1">
        <f t="array" ref="BI254">VALUE(_xll.BDP($B254,"INTERVAL_DATE_OF_CALC_LO","CALC_INTERVAL","1M"))</f>
        <v>46058</v>
      </c>
      <c r="BJ254" s="15">
        <f>$F254-MIN(_xll.BDP("NYA Index","RSI_14D"),_xll.BDP("RSP US Equity","RSI_14D"))</f>
        <v>-8.2855447421928972</v>
      </c>
    </row>
    <row r="255" spans="1:62" x14ac:dyDescent="0.25">
      <c r="A255" s="11">
        <v>254</v>
      </c>
      <c r="B255" s="26" t="s">
        <v>489</v>
      </c>
      <c r="C255" s="1" t="s">
        <v>490</v>
      </c>
      <c r="D255" s="1" t="s">
        <v>308</v>
      </c>
      <c r="E255" s="11" t="s">
        <v>787</v>
      </c>
      <c r="F255">
        <f>IFERROR(VALUE((_xll.BDP($B255,"interval_rsi","tech_studies_param1_override",14))),"")</f>
        <v>56.300696610224612</v>
      </c>
      <c r="G255">
        <f t="shared" si="146"/>
        <v>52.525531939815814</v>
      </c>
      <c r="H255">
        <f t="shared" si="157"/>
        <v>0</v>
      </c>
      <c r="I255" cm="1">
        <f t="array" ref="I255">IFERROR(VALUE(_xll.BDP($B255,"px_last")),"")</f>
        <v>35.19</v>
      </c>
      <c r="J255">
        <f t="shared" si="147"/>
        <v>6941.47</v>
      </c>
      <c r="K255" cm="1">
        <f t="array" ref="K255">IFERROR(VALUE(_xll.BDP($B255,"PX_YEST_CLOSE")),"")</f>
        <v>34.380000000000003</v>
      </c>
      <c r="L255">
        <f t="shared" si="148"/>
        <v>6941.81</v>
      </c>
      <c r="M255">
        <f t="shared" si="158"/>
        <v>5.0695313816814013E-3</v>
      </c>
      <c r="N255">
        <f t="shared" si="159"/>
        <v>4.9525988178875536E-3</v>
      </c>
      <c r="O255" cm="1">
        <f t="array" ref="O255">IFERROR(VALUE(_xll.BDP($B255,"INTERVAL_MAE_MOV_AVG","CALC_INTERVAL","520D","TECH_STUDIES_PARAM1_OVERRIDE",50,"USE_PREVIOUS_BUSINESS_DAY","N")),"")</f>
        <v>30.62814152453419</v>
      </c>
      <c r="P255">
        <f t="shared" si="149"/>
        <v>6894.0953999999992</v>
      </c>
      <c r="Q255" cm="1">
        <f t="array" ref="Q255">IFERROR(VALUE(_xll.BDP($B255,"INTERVAL_MAE_MOV_AVG","CALC_INTERVAL","520D","TECH_STUDIES_PARAM1_OVERRIDE",50,"USE_PREVIOUS_BUSINESS_DAY","Y")),"")</f>
        <v>30.436503906000013</v>
      </c>
      <c r="R255">
        <f t="shared" si="150"/>
        <v>6892.2477999999992</v>
      </c>
      <c r="S255">
        <f t="shared" si="160"/>
        <v>4.4426628509570947E-3</v>
      </c>
      <c r="T255">
        <f t="shared" si="161"/>
        <v>4.4160489856444243E-3</v>
      </c>
      <c r="U255" s="11" t="str">
        <f t="shared" si="162"/>
        <v>NEGATIVE</v>
      </c>
      <c r="V255" s="11" t="str">
        <f t="shared" si="163"/>
        <v/>
      </c>
      <c r="W255" s="11" t="str">
        <f t="shared" si="164"/>
        <v>UP</v>
      </c>
      <c r="X255" s="6" t="str">
        <f t="shared" si="165"/>
        <v>POSITIVE</v>
      </c>
      <c r="Y255" cm="1">
        <f t="array" ref="Y255">IFERROR(VALUE(_xll.BDP($B255,"INTERVAL_MAE_MOV_AVG","CALC_INTERVAL","520D","TECH_STUDIES_PARAM1_OVERRIDE",65,"USE_PREVIOUS_BUSINESS_DAY","N")),"")</f>
        <v>28.764935948103226</v>
      </c>
      <c r="Z255">
        <f t="shared" si="151"/>
        <v>6856.0226153846133</v>
      </c>
      <c r="AA255" cm="1">
        <f t="array" ref="AA255">IFERROR(VALUE(_xll.BDP($B255,"INTERVAL_MAE_MOV_AVG","CALC_INTERVAL","520D","TECH_STUDIES_PARAM1_OVERRIDE",65,"USE_PREVIOUS_BUSINESS_DAY","Y")),"")</f>
        <v>28.543681138461551</v>
      </c>
      <c r="AB255">
        <f t="shared" si="152"/>
        <v>6852.6203076923057</v>
      </c>
      <c r="AC255">
        <f t="shared" si="166"/>
        <v>4.1955719170989857E-3</v>
      </c>
      <c r="AD255">
        <f t="shared" si="167"/>
        <v>4.1653673860231645E-3</v>
      </c>
      <c r="AE255" s="10" t="str">
        <f t="shared" si="168"/>
        <v>UP</v>
      </c>
      <c r="AF255" s="10" t="str">
        <f t="shared" si="169"/>
        <v>UP</v>
      </c>
      <c r="AG255" s="6" t="str">
        <f t="shared" si="170"/>
        <v>POSITIVE</v>
      </c>
      <c r="AH255" cm="1">
        <f t="array" ref="AH255">IFERROR(VALUE(_xll.BDP($B255,"INTERVAL_MAE_MOV_AVG","CALC_INTERVAL","65W","PERIODICITY_OVERRIDE","W","TECH_STUDIES_PARAM1_OVERRIDE",39,"USE_PREVIOUS_BUSINESS_DAY","N")),"")</f>
        <v>21.84101123914639</v>
      </c>
      <c r="AI255">
        <f t="shared" si="153"/>
        <v>6560.7735897435905</v>
      </c>
      <c r="AJ255" cm="1">
        <f t="array" ref="AJ255">IFERROR(VALUE(_xll.BDP($B255,"INTERVAL_MAE_MOV_AVG","CALC_INTERVAL","65W","PERIODICITY_OVERRIDE","W","TECH_STUDIES_PARAM1_OVERRIDE",39,"USE_PREVIOUS_BUSINESS_DAY","Y")),"")</f>
        <v>21.820242043589751</v>
      </c>
      <c r="AK255">
        <f t="shared" si="154"/>
        <v>6560.7823076923087</v>
      </c>
      <c r="AL255">
        <f t="shared" si="171"/>
        <v>3.3290298682597864E-3</v>
      </c>
      <c r="AM255">
        <f t="shared" si="172"/>
        <v>3.3258597862645452E-3</v>
      </c>
      <c r="AN255" s="10" t="str">
        <f t="shared" si="173"/>
        <v>UP</v>
      </c>
      <c r="AO255" s="10" t="str">
        <f t="shared" si="174"/>
        <v>UP</v>
      </c>
      <c r="AP255" s="6" t="str">
        <f t="shared" si="175"/>
        <v>POSITIVE</v>
      </c>
      <c r="AQ255" cm="1">
        <f t="array" ref="AQ255">IFERROR(VALUE(_xll.BDP($B255,"INTERVAL_exp_MOV_AVG","CALC_INTERVAL","520D","TECH_STUDIES_PARAM1_OVERRIDE",100,"USE_PREVIOUS_BUSINESS_DAY","N")),"")</f>
        <v>27.342433597751196</v>
      </c>
      <c r="AR255">
        <f t="shared" si="155"/>
        <v>6773.0064518682802</v>
      </c>
      <c r="AS255" cm="1">
        <f t="array" ref="AS255">IFERROR(VALUE(_xll.BDP($B255,"INTERVAL_exp_MOV_AVG","CALC_INTERVAL","520D","TECH_STUDIES_PARAM1_OVERRIDE",100,"USE_PREVIOUS_BUSINESS_DAY","Y")),"")</f>
        <v>27.183905175915985</v>
      </c>
      <c r="AT255">
        <f t="shared" si="156"/>
        <v>6769.6039787132295</v>
      </c>
      <c r="AU255">
        <f t="shared" si="176"/>
        <v>4.0369714383202754E-3</v>
      </c>
      <c r="AV255">
        <f t="shared" si="177"/>
        <v>4.0155827817099452E-3</v>
      </c>
      <c r="AW255" s="11" t="str">
        <f t="shared" si="178"/>
        <v>UP</v>
      </c>
      <c r="AX255" s="11" t="str">
        <f t="shared" si="179"/>
        <v>UP</v>
      </c>
      <c r="AY255" s="6" t="str">
        <f t="shared" si="180"/>
        <v>POSITIVE</v>
      </c>
      <c r="AZ255" s="12" cm="1">
        <f t="array" ref="AZ255">_xll.BDP($B255, "INTERVAL_RSI", "TECH_STUDIES_PARAM1_OVERRIDE", "5", "PERIODICITY_OVERRIDE", "W")</f>
        <v>64.264219616329626</v>
      </c>
      <c r="BA255" cm="1">
        <f t="array" ref="BA255">IFERROR(VALUE(_xll.BDP($B255,"INTERVAL_MAE_MOV_AVG","CALC_INTERVAL","520D","TECH_STUDIES_PARAM1_OVERRIDE",31,"USE_PREVIOUS_BUSINESS_DAY","N")),"")</f>
        <v>32.938387052474482</v>
      </c>
      <c r="BB255" cm="1">
        <f t="array" ref="BB255">IFERROR(VALUE(_xll.BDP($B255,"INTERVAL_MAE_MOV_AVG","CALC_INTERVAL","760D","TECH_STUDIES_PARAM1_OVERRIDE",200,"USE_PREVIOUS_BUSINESS_DAY","N")),"")</f>
        <v>20.840210193633553</v>
      </c>
      <c r="BC255" s="13">
        <f t="shared" si="181"/>
        <v>6.835832440545575E-2</v>
      </c>
      <c r="BD255" s="13">
        <f t="shared" si="182"/>
        <v>0.14894336542788933</v>
      </c>
      <c r="BE255" s="13">
        <f t="shared" si="183"/>
        <v>0.68856262355502262</v>
      </c>
      <c r="BF255" s="14" cm="1">
        <f t="array" ref="BF255">VALUE(_xll.BDP($B255,"INTERVAL_DATE_OF_CALC_HI","CALC_INTERVAL","3M"))</f>
        <v>46050</v>
      </c>
      <c r="BG255" s="14" cm="1">
        <f t="array" ref="BG255">VALUE(_xll.BDP($B255,"INTERVAL_DATE_OF_CALC_LO","CALC_INTERVAL","3M"))</f>
        <v>45981</v>
      </c>
      <c r="BH255" s="14" cm="1">
        <f t="array" ref="BH255">VALUE(_xll.BDP($B255,"INTERVAL_DATE_OF_CALC_HI","CALC_INTERVAL","1M"))</f>
        <v>46050</v>
      </c>
      <c r="BI255" s="14" cm="1">
        <f t="array" ref="BI255">VALUE(_xll.BDP($B255,"INTERVAL_DATE_OF_CALC_LO","CALC_INTERVAL","1M"))</f>
        <v>46058</v>
      </c>
      <c r="BJ255" s="15">
        <f>$F255-MIN(_xll.BDP("NYA Index","RSI_14D"),_xll.BDP("RSP US Equity","RSI_14D"))</f>
        <v>-10.045067549931638</v>
      </c>
    </row>
    <row r="256" spans="1:62" x14ac:dyDescent="0.25">
      <c r="A256" s="11">
        <v>255</v>
      </c>
      <c r="B256" s="26" t="s">
        <v>491</v>
      </c>
      <c r="C256" s="1" t="s">
        <v>492</v>
      </c>
      <c r="D256" s="1" t="s">
        <v>308</v>
      </c>
      <c r="E256" s="11" t="s">
        <v>787</v>
      </c>
      <c r="F256">
        <f>IFERROR(VALUE((_xll.BDP($B256,"interval_rsi","tech_studies_param1_override",14))),"")</f>
        <v>36.469097341148775</v>
      </c>
      <c r="G256">
        <f t="shared" si="146"/>
        <v>52.525531939815814</v>
      </c>
      <c r="H256">
        <f t="shared" si="157"/>
        <v>0</v>
      </c>
      <c r="I256" cm="1">
        <f t="array" ref="I256">IFERROR(VALUE(_xll.BDP($B256,"px_last")),"")</f>
        <v>113.07</v>
      </c>
      <c r="J256">
        <f t="shared" si="147"/>
        <v>6941.47</v>
      </c>
      <c r="K256" cm="1">
        <f t="array" ref="K256">IFERROR(VALUE(_xll.BDP($B256,"PX_YEST_CLOSE")),"")</f>
        <v>115.78</v>
      </c>
      <c r="L256">
        <f t="shared" si="148"/>
        <v>6941.81</v>
      </c>
      <c r="M256">
        <f t="shared" si="158"/>
        <v>1.628905692886377E-2</v>
      </c>
      <c r="N256">
        <f t="shared" si="159"/>
        <v>1.6678647211606196E-2</v>
      </c>
      <c r="O256" cm="1">
        <f t="array" ref="O256">IFERROR(VALUE(_xll.BDP($B256,"INTERVAL_MAE_MOV_AVG","CALC_INTERVAL","520D","TECH_STUDIES_PARAM1_OVERRIDE",50,"USE_PREVIOUS_BUSINESS_DAY","N")),"")</f>
        <v>126.50379999389646</v>
      </c>
      <c r="P256">
        <f t="shared" si="149"/>
        <v>6894.0953999999992</v>
      </c>
      <c r="Q256" cm="1">
        <f t="array" ref="Q256">IFERROR(VALUE(_xll.BDP($B256,"INTERVAL_MAE_MOV_AVG","CALC_INTERVAL","520D","TECH_STUDIES_PARAM1_OVERRIDE",50,"USE_PREVIOUS_BUSINESS_DAY","Y")),"")</f>
        <v>126.81919999999998</v>
      </c>
      <c r="R256">
        <f t="shared" si="150"/>
        <v>6892.2477999999992</v>
      </c>
      <c r="S256">
        <f t="shared" si="160"/>
        <v>1.834958651629574E-2</v>
      </c>
      <c r="T256">
        <f t="shared" si="161"/>
        <v>1.8400267036249043E-2</v>
      </c>
      <c r="U256" s="11" t="str">
        <f t="shared" si="162"/>
        <v>NEGATIVE</v>
      </c>
      <c r="V256" s="11" t="str">
        <f t="shared" si="163"/>
        <v/>
      </c>
      <c r="W256" s="11" t="str">
        <f t="shared" si="164"/>
        <v>DOWN</v>
      </c>
      <c r="X256" s="6" t="str">
        <f t="shared" si="165"/>
        <v>NEGATIVE</v>
      </c>
      <c r="Y256" cm="1">
        <f t="array" ref="Y256">IFERROR(VALUE(_xll.BDP($B256,"INTERVAL_MAE_MOV_AVG","CALC_INTERVAL","520D","TECH_STUDIES_PARAM1_OVERRIDE",65,"USE_PREVIOUS_BUSINESS_DAY","N")),"")</f>
        <v>127.42530768761267</v>
      </c>
      <c r="Z256">
        <f t="shared" si="151"/>
        <v>6856.0226153846133</v>
      </c>
      <c r="AA256" cm="1">
        <f t="array" ref="AA256">IFERROR(VALUE(_xll.BDP($B256,"INTERVAL_MAE_MOV_AVG","CALC_INTERVAL","520D","TECH_STUDIES_PARAM1_OVERRIDE",65,"USE_PREVIOUS_BUSINESS_DAY","Y")),"")</f>
        <v>127.79223076923073</v>
      </c>
      <c r="AB256">
        <f t="shared" si="152"/>
        <v>6852.6203076923057</v>
      </c>
      <c r="AC256">
        <f t="shared" si="166"/>
        <v>1.8585893722356733E-2</v>
      </c>
      <c r="AD256">
        <f t="shared" si="167"/>
        <v>1.8648666499992635E-2</v>
      </c>
      <c r="AE256" s="10" t="str">
        <f t="shared" si="168"/>
        <v>DOWN</v>
      </c>
      <c r="AF256" s="10" t="str">
        <f t="shared" si="169"/>
        <v>DOWN</v>
      </c>
      <c r="AG256" s="6" t="str">
        <f t="shared" si="170"/>
        <v>NEGATIVE</v>
      </c>
      <c r="AH256" cm="1">
        <f t="array" ref="AH256">IFERROR(VALUE(_xll.BDP($B256,"INTERVAL_MAE_MOV_AVG","CALC_INTERVAL","65W","PERIODICITY_OVERRIDE","W","TECH_STUDIES_PARAM1_OVERRIDE",39,"USE_PREVIOUS_BUSINESS_DAY","N")),"")</f>
        <v>126.00153845371344</v>
      </c>
      <c r="AI256">
        <f t="shared" si="153"/>
        <v>6560.7735897435905</v>
      </c>
      <c r="AJ256" cm="1">
        <f t="array" ref="AJ256">IFERROR(VALUE(_xll.BDP($B256,"INTERVAL_MAE_MOV_AVG","CALC_INTERVAL","65W","PERIODICITY_OVERRIDE","W","TECH_STUDIES_PARAM1_OVERRIDE",39,"USE_PREVIOUS_BUSINESS_DAY","Y")),"")</f>
        <v>126.07102564102563</v>
      </c>
      <c r="AK256">
        <f t="shared" si="154"/>
        <v>6560.7823076923087</v>
      </c>
      <c r="AL256">
        <f t="shared" si="171"/>
        <v>1.9205286805002799E-2</v>
      </c>
      <c r="AM256">
        <f t="shared" si="172"/>
        <v>1.9215852581057499E-2</v>
      </c>
      <c r="AN256" s="10" t="str">
        <f t="shared" si="173"/>
        <v>DOWN</v>
      </c>
      <c r="AO256" s="10" t="str">
        <f t="shared" si="174"/>
        <v>DOWN</v>
      </c>
      <c r="AP256" s="6" t="str">
        <f t="shared" si="175"/>
        <v>NEGATIVE</v>
      </c>
      <c r="AQ256" cm="1">
        <f t="array" ref="AQ256">IFERROR(VALUE(_xll.BDP($B256,"INTERVAL_exp_MOV_AVG","CALC_INTERVAL","520D","TECH_STUDIES_PARAM1_OVERRIDE",100,"USE_PREVIOUS_BUSINESS_DAY","N")),"")</f>
        <v>126.51764905568353</v>
      </c>
      <c r="AR256">
        <f t="shared" si="155"/>
        <v>6773.0064518682802</v>
      </c>
      <c r="AS256" cm="1">
        <f t="array" ref="AS256">IFERROR(VALUE(_xll.BDP($B256,"INTERVAL_exp_MOV_AVG","CALC_INTERVAL","520D","TECH_STUDIES_PARAM1_OVERRIDE",100,"USE_PREVIOUS_BUSINESS_DAY","Y")),"")</f>
        <v>126.78933115434879</v>
      </c>
      <c r="AT256">
        <f t="shared" si="156"/>
        <v>6769.6039787132295</v>
      </c>
      <c r="AU256">
        <f t="shared" si="176"/>
        <v>1.8679688252885785E-2</v>
      </c>
      <c r="AV256">
        <f t="shared" si="177"/>
        <v>1.8729209500737882E-2</v>
      </c>
      <c r="AW256" s="11" t="str">
        <f t="shared" si="178"/>
        <v>DOWN</v>
      </c>
      <c r="AX256" s="11" t="str">
        <f t="shared" si="179"/>
        <v>DOWN</v>
      </c>
      <c r="AY256" s="6" t="str">
        <f t="shared" si="180"/>
        <v>NEGATIVE</v>
      </c>
      <c r="AZ256" s="12" cm="1">
        <f t="array" ref="AZ256">_xll.BDP($B256, "INTERVAL_RSI", "TECH_STUDIES_PARAM1_OVERRIDE", "5", "PERIODICITY_OVERRIDE", "W")</f>
        <v>14.198024504799889</v>
      </c>
      <c r="BA256" cm="1">
        <f t="array" ref="BA256">IFERROR(VALUE(_xll.BDP($B256,"INTERVAL_MAE_MOV_AVG","CALC_INTERVAL","520D","TECH_STUDIES_PARAM1_OVERRIDE",31,"USE_PREVIOUS_BUSINESS_DAY","N")),"")</f>
        <v>123.27387095789754</v>
      </c>
      <c r="BB256" cm="1">
        <f t="array" ref="BB256">IFERROR(VALUE(_xll.BDP($B256,"INTERVAL_MAE_MOV_AVG","CALC_INTERVAL","760D","TECH_STUDIES_PARAM1_OVERRIDE",200,"USE_PREVIOUS_BUSINESS_DAY","N")),"")</f>
        <v>125.33067499847421</v>
      </c>
      <c r="BC256" s="13">
        <f t="shared" si="181"/>
        <v>-8.2773996456901533E-2</v>
      </c>
      <c r="BD256" s="13">
        <f t="shared" si="182"/>
        <v>-0.10619285740463624</v>
      </c>
      <c r="BE256" s="13">
        <f t="shared" si="183"/>
        <v>-9.7826609476279303E-2</v>
      </c>
      <c r="BF256" s="14" cm="1">
        <f t="array" ref="BF256">VALUE(_xll.BDP($B256,"INTERVAL_DATE_OF_CALC_HI","CALC_INTERVAL","3M"))</f>
        <v>45972</v>
      </c>
      <c r="BG256" s="14" cm="1">
        <f t="array" ref="BG256">VALUE(_xll.BDP($B256,"INTERVAL_DATE_OF_CALC_LO","CALC_INTERVAL","3M"))</f>
        <v>46058</v>
      </c>
      <c r="BH256" s="14" cm="1">
        <f t="array" ref="BH256">VALUE(_xll.BDP($B256,"INTERVAL_DATE_OF_CALC_HI","CALC_INTERVAL","1M"))</f>
        <v>46034</v>
      </c>
      <c r="BI256" s="14" cm="1">
        <f t="array" ref="BI256">VALUE(_xll.BDP($B256,"INTERVAL_DATE_OF_CALC_LO","CALC_INTERVAL","1M"))</f>
        <v>46058</v>
      </c>
      <c r="BJ256" s="15">
        <f>$F256-MIN(_xll.BDP("NYA Index","RSI_14D"),_xll.BDP("RSP US Equity","RSI_14D"))</f>
        <v>-29.876666819007475</v>
      </c>
    </row>
    <row r="257" spans="1:62" x14ac:dyDescent="0.25">
      <c r="A257" s="11">
        <v>256</v>
      </c>
      <c r="B257" s="26" t="s">
        <v>493</v>
      </c>
      <c r="C257" s="1" t="s">
        <v>911</v>
      </c>
      <c r="D257" s="1" t="s">
        <v>308</v>
      </c>
      <c r="E257" s="11" t="s">
        <v>787</v>
      </c>
      <c r="F257">
        <f>IFERROR(VALUE((_xll.BDP($B257,"interval_rsi","tech_studies_param1_override",14))),"")</f>
        <v>49.140420195566527</v>
      </c>
      <c r="G257">
        <f t="shared" si="146"/>
        <v>52.525531939815814</v>
      </c>
      <c r="H257">
        <f t="shared" si="157"/>
        <v>0</v>
      </c>
      <c r="I257" cm="1">
        <f t="array" ref="I257">IFERROR(VALUE(_xll.BDP($B257,"px_last")),"")</f>
        <v>76.56</v>
      </c>
      <c r="J257">
        <f t="shared" si="147"/>
        <v>6941.47</v>
      </c>
      <c r="K257" cm="1">
        <f t="array" ref="K257">IFERROR(VALUE(_xll.BDP($B257,"PX_YEST_CLOSE")),"")</f>
        <v>73.41</v>
      </c>
      <c r="L257">
        <f t="shared" si="148"/>
        <v>6941.81</v>
      </c>
      <c r="M257">
        <f t="shared" si="158"/>
        <v>1.1029364097230125E-2</v>
      </c>
      <c r="N257">
        <f t="shared" si="159"/>
        <v>1.0575051751632498E-2</v>
      </c>
      <c r="O257" cm="1">
        <f t="array" ref="O257">IFERROR(VALUE(_xll.BDP($B257,"INTERVAL_MAE_MOV_AVG","CALC_INTERVAL","520D","TECH_STUDIES_PARAM1_OVERRIDE",50,"USE_PREVIOUS_BUSINESS_DAY","N")),"")</f>
        <v>71.084599951171896</v>
      </c>
      <c r="P257">
        <f t="shared" si="149"/>
        <v>6894.0953999999992</v>
      </c>
      <c r="Q257" cm="1">
        <f t="array" ref="Q257">IFERROR(VALUE(_xll.BDP($B257,"INTERVAL_MAE_MOV_AVG","CALC_INTERVAL","520D","TECH_STUDIES_PARAM1_OVERRIDE",50,"USE_PREVIOUS_BUSINESS_DAY","Y")),"")</f>
        <v>70.577600000000018</v>
      </c>
      <c r="R257">
        <f t="shared" si="150"/>
        <v>6892.2477999999992</v>
      </c>
      <c r="S257">
        <f t="shared" si="160"/>
        <v>1.031093940927651E-2</v>
      </c>
      <c r="T257">
        <f t="shared" si="161"/>
        <v>1.0240142555524488E-2</v>
      </c>
      <c r="U257" s="11" t="str">
        <f t="shared" si="162"/>
        <v>NEGATIVE</v>
      </c>
      <c r="V257" s="11" t="str">
        <f t="shared" si="163"/>
        <v/>
      </c>
      <c r="W257" s="11" t="str">
        <f t="shared" si="164"/>
        <v>UP</v>
      </c>
      <c r="X257" s="6" t="str">
        <f t="shared" si="165"/>
        <v>POSITIVE</v>
      </c>
      <c r="Y257" cm="1">
        <f t="array" ref="Y257">IFERROR(VALUE(_xll.BDP($B257,"INTERVAL_MAE_MOV_AVG","CALC_INTERVAL","520D","TECH_STUDIES_PARAM1_OVERRIDE",65,"USE_PREVIOUS_BUSINESS_DAY","N")),"")</f>
        <v>65.447692270132222</v>
      </c>
      <c r="Z257">
        <f t="shared" si="151"/>
        <v>6856.0226153846133</v>
      </c>
      <c r="AA257" cm="1">
        <f t="array" ref="AA257">IFERROR(VALUE(_xll.BDP($B257,"INTERVAL_MAE_MOV_AVG","CALC_INTERVAL","520D","TECH_STUDIES_PARAM1_OVERRIDE",65,"USE_PREVIOUS_BUSINESS_DAY","Y")),"")</f>
        <v>64.939846153846176</v>
      </c>
      <c r="AB257">
        <f t="shared" si="152"/>
        <v>6852.6203076923057</v>
      </c>
      <c r="AC257">
        <f t="shared" si="166"/>
        <v>9.5460146416773018E-3</v>
      </c>
      <c r="AD257">
        <f t="shared" si="167"/>
        <v>9.4766444422652359E-3</v>
      </c>
      <c r="AE257" s="10" t="str">
        <f t="shared" si="168"/>
        <v>UP</v>
      </c>
      <c r="AF257" s="10" t="str">
        <f t="shared" si="169"/>
        <v>UP</v>
      </c>
      <c r="AG257" s="6" t="str">
        <f t="shared" si="170"/>
        <v>POSITIVE</v>
      </c>
      <c r="AH257" cm="1">
        <f t="array" ref="AH257">IFERROR(VALUE(_xll.BDP($B257,"INTERVAL_MAE_MOV_AVG","CALC_INTERVAL","65W","PERIODICITY_OVERRIDE","W","TECH_STUDIES_PARAM1_OVERRIDE",39,"USE_PREVIOUS_BUSINESS_DAY","N")),"")</f>
        <v>47.330512757912651</v>
      </c>
      <c r="AI257">
        <f t="shared" si="153"/>
        <v>6560.7735897435905</v>
      </c>
      <c r="AJ257" cm="1">
        <f t="array" ref="AJ257">IFERROR(VALUE(_xll.BDP($B257,"INTERVAL_MAE_MOV_AVG","CALC_INTERVAL","65W","PERIODICITY_OVERRIDE","W","TECH_STUDIES_PARAM1_OVERRIDE",39,"USE_PREVIOUS_BUSINESS_DAY","Y")),"")</f>
        <v>47.249743589743581</v>
      </c>
      <c r="AK257">
        <f t="shared" si="154"/>
        <v>6560.7823076923087</v>
      </c>
      <c r="AL257">
        <f t="shared" si="171"/>
        <v>7.2141664562093864E-3</v>
      </c>
      <c r="AM257">
        <f t="shared" si="172"/>
        <v>7.2018459649765788E-3</v>
      </c>
      <c r="AN257" s="10" t="str">
        <f t="shared" si="173"/>
        <v>UP</v>
      </c>
      <c r="AO257" s="10" t="str">
        <f t="shared" si="174"/>
        <v>UP</v>
      </c>
      <c r="AP257" s="6" t="str">
        <f t="shared" si="175"/>
        <v>POSITIVE</v>
      </c>
      <c r="AQ257" cm="1">
        <f t="array" ref="AQ257">IFERROR(VALUE(_xll.BDP($B257,"INTERVAL_exp_MOV_AVG","CALC_INTERVAL","520D","TECH_STUDIES_PARAM1_OVERRIDE",100,"USE_PREVIOUS_BUSINESS_DAY","N")),"")</f>
        <v>61.827669641544325</v>
      </c>
      <c r="AR257">
        <f t="shared" si="155"/>
        <v>6773.0064518682802</v>
      </c>
      <c r="AS257" cm="1">
        <f t="array" ref="AS257">IFERROR(VALUE(_xll.BDP($B257,"INTERVAL_exp_MOV_AVG","CALC_INTERVAL","520D","TECH_STUDIES_PARAM1_OVERRIDE",100,"USE_PREVIOUS_BUSINESS_DAY","Y")),"")</f>
        <v>61.530056476662146</v>
      </c>
      <c r="AT257">
        <f t="shared" si="156"/>
        <v>6769.6039787132295</v>
      </c>
      <c r="AU257">
        <f t="shared" si="176"/>
        <v>9.1285413768489258E-3</v>
      </c>
      <c r="AV257">
        <f t="shared" si="177"/>
        <v>9.0891663190551687E-3</v>
      </c>
      <c r="AW257" s="11" t="str">
        <f t="shared" si="178"/>
        <v>UP</v>
      </c>
      <c r="AX257" s="11" t="str">
        <f t="shared" si="179"/>
        <v>UP</v>
      </c>
      <c r="AY257" s="6" t="str">
        <f t="shared" si="180"/>
        <v>POSITIVE</v>
      </c>
      <c r="AZ257" s="12" cm="1">
        <f t="array" ref="AZ257">_xll.BDP($B257, "INTERVAL_RSI", "TECH_STUDIES_PARAM1_OVERRIDE", "5", "PERIODICITY_OVERRIDE", "W")</f>
        <v>57.07617973463762</v>
      </c>
      <c r="BA257" cm="1">
        <f t="array" ref="BA257">IFERROR(VALUE(_xll.BDP($B257,"INTERVAL_MAE_MOV_AVG","CALC_INTERVAL","520D","TECH_STUDIES_PARAM1_OVERRIDE",31,"USE_PREVIOUS_BUSINESS_DAY","N")),"")</f>
        <v>79.133225727696583</v>
      </c>
      <c r="BB257" cm="1">
        <f t="array" ref="BB257">IFERROR(VALUE(_xll.BDP($B257,"INTERVAL_MAE_MOV_AVG","CALC_INTERVAL","760D","TECH_STUDIES_PARAM1_OVERRIDE",200,"USE_PREVIOUS_BUSINESS_DAY","N")),"")</f>
        <v>45.632549987792984</v>
      </c>
      <c r="BC257" s="13">
        <f t="shared" si="181"/>
        <v>-3.2517639765517026E-2</v>
      </c>
      <c r="BD257" s="13">
        <f t="shared" si="182"/>
        <v>7.7026529692636236E-2</v>
      </c>
      <c r="BE257" s="13">
        <f t="shared" si="183"/>
        <v>0.67774976459742708</v>
      </c>
      <c r="BF257" s="14" cm="1">
        <f t="array" ref="BF257">VALUE(_xll.BDP($B257,"INTERVAL_DATE_OF_CALC_HI","CALC_INTERVAL","3M"))</f>
        <v>46050</v>
      </c>
      <c r="BG257" s="14" cm="1">
        <f t="array" ref="BG257">VALUE(_xll.BDP($B257,"INTERVAL_DATE_OF_CALC_LO","CALC_INTERVAL","3M"))</f>
        <v>45982</v>
      </c>
      <c r="BH257" s="14" cm="1">
        <f t="array" ref="BH257">VALUE(_xll.BDP($B257,"INTERVAL_DATE_OF_CALC_HI","CALC_INTERVAL","1M"))</f>
        <v>46050</v>
      </c>
      <c r="BI257" s="14" cm="1">
        <f t="array" ref="BI257">VALUE(_xll.BDP($B257,"INTERVAL_DATE_OF_CALC_LO","CALC_INTERVAL","1M"))</f>
        <v>46058</v>
      </c>
      <c r="BJ257" s="15">
        <f>$F257-MIN(_xll.BDP("NYA Index","RSI_14D"),_xll.BDP("RSP US Equity","RSI_14D"))</f>
        <v>-17.205343964589723</v>
      </c>
    </row>
    <row r="258" spans="1:62" x14ac:dyDescent="0.25">
      <c r="A258" s="11">
        <v>257</v>
      </c>
      <c r="B258" s="26" t="s">
        <v>172</v>
      </c>
      <c r="C258" s="1" t="s">
        <v>912</v>
      </c>
      <c r="D258" s="1" t="s">
        <v>308</v>
      </c>
      <c r="E258" s="11" t="s">
        <v>787</v>
      </c>
      <c r="F258">
        <f>IFERROR(VALUE((_xll.BDP($B258,"interval_rsi","tech_studies_param1_override",14))),"")</f>
        <v>61.144857923343899</v>
      </c>
      <c r="G258">
        <f t="shared" si="146"/>
        <v>52.525531939815814</v>
      </c>
      <c r="H258">
        <f t="shared" si="157"/>
        <v>0</v>
      </c>
      <c r="I258" cm="1">
        <f t="array" ref="I258">IFERROR(VALUE(_xll.BDP($B258,"px_last")),"")</f>
        <v>414.78</v>
      </c>
      <c r="J258">
        <f t="shared" si="147"/>
        <v>6941.47</v>
      </c>
      <c r="K258" cm="1">
        <f t="array" ref="K258">IFERROR(VALUE(_xll.BDP($B258,"PX_YEST_CLOSE")),"")</f>
        <v>404.76</v>
      </c>
      <c r="L258">
        <f t="shared" si="148"/>
        <v>6941.81</v>
      </c>
      <c r="M258">
        <f t="shared" si="158"/>
        <v>5.975391379635725E-2</v>
      </c>
      <c r="N258">
        <f t="shared" si="159"/>
        <v>5.830755955579308E-2</v>
      </c>
      <c r="O258" cm="1">
        <f t="array" ref="O258">IFERROR(VALUE(_xll.BDP($B258,"INTERVAL_MAE_MOV_AVG","CALC_INTERVAL","520D","TECH_STUDIES_PARAM1_OVERRIDE",50,"USE_PREVIOUS_BUSINESS_DAY","N")),"")</f>
        <v>380.10789823558582</v>
      </c>
      <c r="P258">
        <f t="shared" si="149"/>
        <v>6894.0953999999992</v>
      </c>
      <c r="Q258" cm="1">
        <f t="array" ref="Q258">IFERROR(VALUE(_xll.BDP($B258,"INTERVAL_MAE_MOV_AVG","CALC_INTERVAL","520D","TECH_STUDIES_PARAM1_OVERRIDE",50,"USE_PREVIOUS_BUSINESS_DAY","Y")),"")</f>
        <v>378.83604985439996</v>
      </c>
      <c r="R258">
        <f t="shared" si="150"/>
        <v>6892.2477999999992</v>
      </c>
      <c r="S258">
        <f t="shared" si="160"/>
        <v>5.5135282612362148E-2</v>
      </c>
      <c r="T258">
        <f t="shared" si="161"/>
        <v>5.4965529511924981E-2</v>
      </c>
      <c r="U258" s="11" t="str">
        <f t="shared" si="162"/>
        <v>NEGATIVE</v>
      </c>
      <c r="V258" s="11" t="str">
        <f t="shared" si="163"/>
        <v/>
      </c>
      <c r="W258" s="11" t="str">
        <f t="shared" si="164"/>
        <v>UP</v>
      </c>
      <c r="X258" s="6" t="str">
        <f t="shared" si="165"/>
        <v>POSITIVE</v>
      </c>
      <c r="Y258" cm="1">
        <f t="array" ref="Y258">IFERROR(VALUE(_xll.BDP($B258,"INTERVAL_MAE_MOV_AVG","CALC_INTERVAL","520D","TECH_STUDIES_PARAM1_OVERRIDE",65,"USE_PREVIOUS_BUSINESS_DAY","N")),"")</f>
        <v>371.32469366321993</v>
      </c>
      <c r="Z258">
        <f t="shared" si="151"/>
        <v>6856.0226153846133</v>
      </c>
      <c r="AA258" cm="1">
        <f t="array" ref="AA258">IFERROR(VALUE(_xll.BDP($B258,"INTERVAL_MAE_MOV_AVG","CALC_INTERVAL","520D","TECH_STUDIES_PARAM1_OVERRIDE",65,"USE_PREVIOUS_BUSINESS_DAY","Y")),"")</f>
        <v>370.32809783446163</v>
      </c>
      <c r="AB258">
        <f t="shared" si="152"/>
        <v>6852.6203076923057</v>
      </c>
      <c r="AC258">
        <f t="shared" si="166"/>
        <v>5.416036592848799E-2</v>
      </c>
      <c r="AD258">
        <f t="shared" si="167"/>
        <v>5.4041823595385168E-2</v>
      </c>
      <c r="AE258" s="10" t="str">
        <f t="shared" si="168"/>
        <v>UP</v>
      </c>
      <c r="AF258" s="10" t="str">
        <f t="shared" si="169"/>
        <v>UP</v>
      </c>
      <c r="AG258" s="6" t="str">
        <f t="shared" si="170"/>
        <v>POSITIVE</v>
      </c>
      <c r="AH258" cm="1">
        <f t="array" ref="AH258">IFERROR(VALUE(_xll.BDP($B258,"INTERVAL_MAE_MOV_AVG","CALC_INTERVAL","65W","PERIODICITY_OVERRIDE","W","TECH_STUDIES_PARAM1_OVERRIDE",39,"USE_PREVIOUS_BUSINESS_DAY","N")),"")</f>
        <v>324.38926404587937</v>
      </c>
      <c r="AI258">
        <f t="shared" si="153"/>
        <v>6560.7735897435905</v>
      </c>
      <c r="AJ258" cm="1">
        <f t="array" ref="AJ258">IFERROR(VALUE(_xll.BDP($B258,"INTERVAL_MAE_MOV_AVG","CALC_INTERVAL","65W","PERIODICITY_OVERRIDE","W","TECH_STUDIES_PARAM1_OVERRIDE",39,"USE_PREVIOUS_BUSINESS_DAY","Y")),"")</f>
        <v>324.13234100025636</v>
      </c>
      <c r="AK258">
        <f t="shared" si="154"/>
        <v>6560.7823076923087</v>
      </c>
      <c r="AL258">
        <f t="shared" si="171"/>
        <v>4.9443752266195365E-2</v>
      </c>
      <c r="AM258">
        <f t="shared" si="172"/>
        <v>4.9404526137107385E-2</v>
      </c>
      <c r="AN258" s="10" t="str">
        <f t="shared" si="173"/>
        <v>UP</v>
      </c>
      <c r="AO258" s="10" t="str">
        <f t="shared" si="174"/>
        <v>UP</v>
      </c>
      <c r="AP258" s="6" t="str">
        <f t="shared" si="175"/>
        <v>POSITIVE</v>
      </c>
      <c r="AQ258" cm="1">
        <f t="array" ref="AQ258">IFERROR(VALUE(_xll.BDP($B258,"INTERVAL_exp_MOV_AVG","CALC_INTERVAL","520D","TECH_STUDIES_PARAM1_OVERRIDE",100,"USE_PREVIOUS_BUSINESS_DAY","N")),"")</f>
        <v>360.48708061671249</v>
      </c>
      <c r="AR258">
        <f t="shared" si="155"/>
        <v>6773.0064518682802</v>
      </c>
      <c r="AS258" cm="1">
        <f t="array" ref="AS258">IFERROR(VALUE(_xll.BDP($B258,"INTERVAL_exp_MOV_AVG","CALC_INTERVAL","520D","TECH_STUDIES_PARAM1_OVERRIDE",100,"USE_PREVIOUS_BUSINESS_DAY","Y")),"")</f>
        <v>359.39028663909198</v>
      </c>
      <c r="AT258">
        <f t="shared" si="156"/>
        <v>6769.6039787132295</v>
      </c>
      <c r="AU258">
        <f t="shared" si="176"/>
        <v>5.3224086405125895E-2</v>
      </c>
      <c r="AV258">
        <f t="shared" si="177"/>
        <v>5.3088819932330091E-2</v>
      </c>
      <c r="AW258" s="11" t="str">
        <f t="shared" si="178"/>
        <v>UP</v>
      </c>
      <c r="AX258" s="11" t="str">
        <f t="shared" si="179"/>
        <v>UP</v>
      </c>
      <c r="AY258" s="6" t="str">
        <f t="shared" si="180"/>
        <v>POSITIVE</v>
      </c>
      <c r="AZ258" s="12" cm="1">
        <f t="array" ref="AZ258">_xll.BDP($B258, "INTERVAL_RSI", "TECH_STUDIES_PARAM1_OVERRIDE", "5", "PERIODICITY_OVERRIDE", "W")</f>
        <v>86.687816504450097</v>
      </c>
      <c r="BA258" cm="1">
        <f t="array" ref="BA258">IFERROR(VALUE(_xll.BDP($B258,"INTERVAL_MAE_MOV_AVG","CALC_INTERVAL","520D","TECH_STUDIES_PARAM1_OVERRIDE",31,"USE_PREVIOUS_BUSINESS_DAY","N")),"")</f>
        <v>392.97451608965463</v>
      </c>
      <c r="BB258" cm="1">
        <f t="array" ref="BB258">IFERROR(VALUE(_xll.BDP($B258,"INTERVAL_MAE_MOV_AVG","CALC_INTERVAL","760D","TECH_STUDIES_PARAM1_OVERRIDE",200,"USE_PREVIOUS_BUSINESS_DAY","N")),"")</f>
        <v>315.76588392834651</v>
      </c>
      <c r="BC258" s="13">
        <f t="shared" si="181"/>
        <v>5.548828999733546E-2</v>
      </c>
      <c r="BD258" s="13">
        <f t="shared" si="182"/>
        <v>9.1216472810372595E-2</v>
      </c>
      <c r="BE258" s="13">
        <f t="shared" si="183"/>
        <v>0.31356812471268025</v>
      </c>
      <c r="BF258" s="14" cm="1">
        <f t="array" ref="BF258">VALUE(_xll.BDP($B258,"INTERVAL_DATE_OF_CALC_HI","CALC_INTERVAL","3M"))</f>
        <v>46051</v>
      </c>
      <c r="BG258" s="14" cm="1">
        <f t="array" ref="BG258">VALUE(_xll.BDP($B258,"INTERVAL_DATE_OF_CALC_LO","CALC_INTERVAL","3M"))</f>
        <v>45981</v>
      </c>
      <c r="BH258" s="14" cm="1">
        <f t="array" ref="BH258">VALUE(_xll.BDP($B258,"INTERVAL_DATE_OF_CALC_HI","CALC_INTERVAL","1M"))</f>
        <v>46051</v>
      </c>
      <c r="BI258" s="14" cm="1">
        <f t="array" ref="BI258">VALUE(_xll.BDP($B258,"INTERVAL_DATE_OF_CALC_LO","CALC_INTERVAL","1M"))</f>
        <v>46058</v>
      </c>
      <c r="BJ258" s="15">
        <f>$F258-MIN(_xll.BDP("NYA Index","RSI_14D"),_xll.BDP("RSP US Equity","RSI_14D"))</f>
        <v>-5.2009062368123509</v>
      </c>
    </row>
    <row r="259" spans="1:62" x14ac:dyDescent="0.25">
      <c r="A259" s="11">
        <v>258</v>
      </c>
      <c r="B259" s="26" t="s">
        <v>173</v>
      </c>
      <c r="C259" s="1" t="s">
        <v>913</v>
      </c>
      <c r="D259" s="1" t="s">
        <v>308</v>
      </c>
      <c r="E259" s="11" t="s">
        <v>787</v>
      </c>
      <c r="F259">
        <f>IFERROR(VALUE((_xll.BDP($B259,"interval_rsi","tech_studies_param1_override",14))),"")</f>
        <v>58.616075230767784</v>
      </c>
      <c r="G259">
        <f t="shared" si="146"/>
        <v>52.525531939815814</v>
      </c>
      <c r="H259">
        <f t="shared" si="157"/>
        <v>0</v>
      </c>
      <c r="I259" cm="1">
        <f t="array" ref="I259">IFERROR(VALUE(_xll.BDP($B259,"px_last")),"")</f>
        <v>124.83</v>
      </c>
      <c r="J259">
        <f t="shared" si="147"/>
        <v>6941.47</v>
      </c>
      <c r="K259" cm="1">
        <f t="array" ref="K259">IFERROR(VALUE(_xll.BDP($B259,"PX_YEST_CLOSE")),"")</f>
        <v>124.51</v>
      </c>
      <c r="L259">
        <f t="shared" si="148"/>
        <v>6941.81</v>
      </c>
      <c r="M259">
        <f t="shared" si="158"/>
        <v>1.798322257389285E-2</v>
      </c>
      <c r="N259">
        <f t="shared" si="159"/>
        <v>1.7936244293635235E-2</v>
      </c>
      <c r="O259" cm="1">
        <f t="array" ref="O259">IFERROR(VALUE(_xll.BDP($B259,"INTERVAL_MAE_MOV_AVG","CALC_INTERVAL","520D","TECH_STUDIES_PARAM1_OVERRIDE",50,"USE_PREVIOUS_BUSINESS_DAY","N")),"")</f>
        <v>120.28957289062113</v>
      </c>
      <c r="P259">
        <f t="shared" si="149"/>
        <v>6894.0953999999992</v>
      </c>
      <c r="Q259" cm="1">
        <f t="array" ref="Q259">IFERROR(VALUE(_xll.BDP($B259,"INTERVAL_MAE_MOV_AVG","CALC_INTERVAL","520D","TECH_STUDIES_PARAM1_OVERRIDE",50,"USE_PREVIOUS_BUSINESS_DAY","Y")),"")</f>
        <v>120.05313039980003</v>
      </c>
      <c r="R259">
        <f t="shared" si="150"/>
        <v>6892.2477999999992</v>
      </c>
      <c r="S259">
        <f t="shared" si="160"/>
        <v>1.7448202543095231E-2</v>
      </c>
      <c r="T259">
        <f t="shared" si="161"/>
        <v>1.7418574300215966E-2</v>
      </c>
      <c r="U259" s="11" t="str">
        <f t="shared" si="162"/>
        <v>NEGATIVE</v>
      </c>
      <c r="V259" s="11" t="str">
        <f t="shared" si="163"/>
        <v/>
      </c>
      <c r="W259" s="11" t="str">
        <f t="shared" si="164"/>
        <v>UP</v>
      </c>
      <c r="X259" s="6" t="str">
        <f t="shared" si="165"/>
        <v>POSITIVE</v>
      </c>
      <c r="Y259" cm="1">
        <f t="array" ref="Y259">IFERROR(VALUE(_xll.BDP($B259,"INTERVAL_MAE_MOV_AVG","CALC_INTERVAL","520D","TECH_STUDIES_PARAM1_OVERRIDE",65,"USE_PREVIOUS_BUSINESS_DAY","N")),"")</f>
        <v>117.93350128909317</v>
      </c>
      <c r="Z259">
        <f t="shared" si="151"/>
        <v>6856.0226153846133</v>
      </c>
      <c r="AA259" cm="1">
        <f t="array" ref="AA259">IFERROR(VALUE(_xll.BDP($B259,"INTERVAL_MAE_MOV_AVG","CALC_INTERVAL","520D","TECH_STUDIES_PARAM1_OVERRIDE",65,"USE_PREVIOUS_BUSINESS_DAY","Y")),"")</f>
        <v>117.73365141200001</v>
      </c>
      <c r="AB259">
        <f t="shared" si="152"/>
        <v>6852.6203076923057</v>
      </c>
      <c r="AC259">
        <f t="shared" si="166"/>
        <v>1.7201445780598155E-2</v>
      </c>
      <c r="AD259">
        <f t="shared" si="167"/>
        <v>1.718082224398744E-2</v>
      </c>
      <c r="AE259" s="10" t="str">
        <f t="shared" si="168"/>
        <v>UP</v>
      </c>
      <c r="AF259" s="10" t="str">
        <f t="shared" si="169"/>
        <v>UP</v>
      </c>
      <c r="AG259" s="6" t="str">
        <f t="shared" si="170"/>
        <v>POSITIVE</v>
      </c>
      <c r="AH259" cm="1">
        <f t="array" ref="AH259">IFERROR(VALUE(_xll.BDP($B259,"INTERVAL_MAE_MOV_AVG","CALC_INTERVAL","65W","PERIODICITY_OVERRIDE","W","TECH_STUDIES_PARAM1_OVERRIDE",39,"USE_PREVIOUS_BUSINESS_DAY","N")),"")</f>
        <v>108.35790532708863</v>
      </c>
      <c r="AI259">
        <f t="shared" si="153"/>
        <v>6560.7735897435905</v>
      </c>
      <c r="AJ259" cm="1">
        <f t="array" ref="AJ259">IFERROR(VALUE(_xll.BDP($B259,"INTERVAL_MAE_MOV_AVG","CALC_INTERVAL","65W","PERIODICITY_OVERRIDE","W","TECH_STUDIES_PARAM1_OVERRIDE",39,"USE_PREVIOUS_BUSINESS_DAY","Y")),"")</f>
        <v>108.34970015193339</v>
      </c>
      <c r="AK259">
        <f t="shared" si="154"/>
        <v>6560.7823076923087</v>
      </c>
      <c r="AL259">
        <f t="shared" si="171"/>
        <v>1.6516025716309394E-2</v>
      </c>
      <c r="AM259">
        <f t="shared" si="172"/>
        <v>1.6514753130110232E-2</v>
      </c>
      <c r="AN259" s="10" t="str">
        <f t="shared" si="173"/>
        <v>UP</v>
      </c>
      <c r="AO259" s="10" t="str">
        <f t="shared" si="174"/>
        <v>UP</v>
      </c>
      <c r="AP259" s="6" t="str">
        <f t="shared" si="175"/>
        <v>POSITIVE</v>
      </c>
      <c r="AQ259" cm="1">
        <f t="array" ref="AQ259">IFERROR(VALUE(_xll.BDP($B259,"INTERVAL_exp_MOV_AVG","CALC_INTERVAL","520D","TECH_STUDIES_PARAM1_OVERRIDE",100,"USE_PREVIOUS_BUSINESS_DAY","N")),"")</f>
        <v>115.59616513427662</v>
      </c>
      <c r="AR259">
        <f t="shared" si="155"/>
        <v>6773.0064518682802</v>
      </c>
      <c r="AS259" cm="1">
        <f t="array" ref="AS259">IFERROR(VALUE(_xll.BDP($B259,"INTERVAL_exp_MOV_AVG","CALC_INTERVAL","520D","TECH_STUDIES_PARAM1_OVERRIDE",100,"USE_PREVIOUS_BUSINESS_DAY","Y")),"")</f>
        <v>115.40965079285868</v>
      </c>
      <c r="AT259">
        <f t="shared" si="156"/>
        <v>6769.6039787132295</v>
      </c>
      <c r="AU259">
        <f t="shared" si="176"/>
        <v>1.7067186626168108E-2</v>
      </c>
      <c r="AV259">
        <f t="shared" si="177"/>
        <v>1.7048213035173117E-2</v>
      </c>
      <c r="AW259" s="11" t="str">
        <f t="shared" si="178"/>
        <v>UP</v>
      </c>
      <c r="AX259" s="11" t="str">
        <f t="shared" si="179"/>
        <v>UP</v>
      </c>
      <c r="AY259" s="6" t="str">
        <f t="shared" si="180"/>
        <v>POSITIVE</v>
      </c>
      <c r="AZ259" s="12" cm="1">
        <f t="array" ref="AZ259">_xll.BDP($B259, "INTERVAL_RSI", "TECH_STUDIES_PARAM1_OVERRIDE", "5", "PERIODICITY_OVERRIDE", "W")</f>
        <v>77.917924267915254</v>
      </c>
      <c r="BA259" cm="1">
        <f t="array" ref="BA259">IFERROR(VALUE(_xll.BDP($B259,"INTERVAL_MAE_MOV_AVG","CALC_INTERVAL","520D","TECH_STUDIES_PARAM1_OVERRIDE",31,"USE_PREVIOUS_BUSINESS_DAY","N")),"")</f>
        <v>121.89032263971147</v>
      </c>
      <c r="BB259" cm="1">
        <f t="array" ref="BB259">IFERROR(VALUE(_xll.BDP($B259,"INTERVAL_MAE_MOV_AVG","CALC_INTERVAL","760D","TECH_STUDIES_PARAM1_OVERRIDE",200,"USE_PREVIOUS_BUSINESS_DAY","N")),"")</f>
        <v>106.22411696693877</v>
      </c>
      <c r="BC259" s="13">
        <f t="shared" si="181"/>
        <v>2.4117397481814518E-2</v>
      </c>
      <c r="BD259" s="13">
        <f t="shared" si="182"/>
        <v>3.7745807888996952E-2</v>
      </c>
      <c r="BE259" s="13">
        <f t="shared" si="183"/>
        <v>0.17515686234277794</v>
      </c>
      <c r="BF259" s="14" cm="1">
        <f t="array" ref="BF259">VALUE(_xll.BDP($B259,"INTERVAL_DATE_OF_CALC_HI","CALC_INTERVAL","3M"))</f>
        <v>46064</v>
      </c>
      <c r="BG259" s="14" cm="1">
        <f t="array" ref="BG259">VALUE(_xll.BDP($B259,"INTERVAL_DATE_OF_CALC_LO","CALC_INTERVAL","3M"))</f>
        <v>45981</v>
      </c>
      <c r="BH259" s="14" cm="1">
        <f t="array" ref="BH259">VALUE(_xll.BDP($B259,"INTERVAL_DATE_OF_CALC_HI","CALC_INTERVAL","1M"))</f>
        <v>46064</v>
      </c>
      <c r="BI259" s="14" cm="1">
        <f t="array" ref="BI259">VALUE(_xll.BDP($B259,"INTERVAL_DATE_OF_CALC_LO","CALC_INTERVAL","1M"))</f>
        <v>46058</v>
      </c>
      <c r="BJ259" s="15">
        <f>$F259-MIN(_xll.BDP("NYA Index","RSI_14D"),_xll.BDP("RSP US Equity","RSI_14D"))</f>
        <v>-7.7296889293884661</v>
      </c>
    </row>
    <row r="260" spans="1:62" x14ac:dyDescent="0.25">
      <c r="A260" s="11">
        <v>259</v>
      </c>
      <c r="B260" s="26" t="s">
        <v>494</v>
      </c>
      <c r="C260" s="1" t="s">
        <v>962</v>
      </c>
      <c r="D260" s="1" t="s">
        <v>308</v>
      </c>
      <c r="E260" s="11" t="s">
        <v>787</v>
      </c>
      <c r="F260">
        <f>IFERROR(VALUE((_xll.BDP($B260,"interval_rsi","tech_studies_param1_override",14))),"")</f>
        <v>67.09354799074498</v>
      </c>
      <c r="G260">
        <f t="shared" si="146"/>
        <v>52.525531939815814</v>
      </c>
      <c r="H260">
        <f t="shared" si="157"/>
        <v>1</v>
      </c>
      <c r="I260" cm="1">
        <f t="array" ref="I260">IFERROR(VALUE(_xll.BDP($B260,"px_last")),"")</f>
        <v>80.27</v>
      </c>
      <c r="J260">
        <f t="shared" si="147"/>
        <v>6941.47</v>
      </c>
      <c r="K260" cm="1">
        <f t="array" ref="K260">IFERROR(VALUE(_xll.BDP($B260,"PX_YEST_CLOSE")),"")</f>
        <v>79.53</v>
      </c>
      <c r="L260">
        <f t="shared" si="148"/>
        <v>6941.81</v>
      </c>
      <c r="M260">
        <f t="shared" si="158"/>
        <v>1.1563833020959537E-2</v>
      </c>
      <c r="N260">
        <f t="shared" si="159"/>
        <v>1.1456666200889969E-2</v>
      </c>
      <c r="O260" cm="1">
        <f t="array" ref="O260">IFERROR(VALUE(_xll.BDP($B260,"INTERVAL_MAE_MOV_AVG","CALC_INTERVAL","520D","TECH_STUDIES_PARAM1_OVERRIDE",50,"USE_PREVIOUS_BUSINESS_DAY","N")),"")</f>
        <v>76.604555357061329</v>
      </c>
      <c r="P260">
        <f t="shared" si="149"/>
        <v>6894.0953999999992</v>
      </c>
      <c r="Q260" cm="1">
        <f t="array" ref="Q260">IFERROR(VALUE(_xll.BDP($B260,"INTERVAL_MAE_MOV_AVG","CALC_INTERVAL","520D","TECH_STUDIES_PARAM1_OVERRIDE",50,"USE_PREVIOUS_BUSINESS_DAY","Y")),"")</f>
        <v>76.489097629</v>
      </c>
      <c r="R260">
        <f t="shared" si="150"/>
        <v>6892.2477999999992</v>
      </c>
      <c r="S260">
        <f t="shared" si="160"/>
        <v>1.1111618118464292E-2</v>
      </c>
      <c r="T260">
        <f t="shared" si="161"/>
        <v>1.1097844977222091E-2</v>
      </c>
      <c r="U260" s="11" t="str">
        <f t="shared" si="162"/>
        <v>POSITIVE</v>
      </c>
      <c r="V260" s="11" t="str">
        <f t="shared" si="163"/>
        <v/>
      </c>
      <c r="W260" s="11" t="str">
        <f t="shared" si="164"/>
        <v>UP</v>
      </c>
      <c r="X260" s="6" t="str">
        <f t="shared" si="165"/>
        <v>POSITIVE</v>
      </c>
      <c r="Y260" cm="1">
        <f t="array" ref="Y260">IFERROR(VALUE(_xll.BDP($B260,"INTERVAL_MAE_MOV_AVG","CALC_INTERVAL","520D","TECH_STUDIES_PARAM1_OVERRIDE",65,"USE_PREVIOUS_BUSINESS_DAY","N")),"")</f>
        <v>75.815742249431807</v>
      </c>
      <c r="Z260">
        <f t="shared" si="151"/>
        <v>6856.0226153846133</v>
      </c>
      <c r="AA260" cm="1">
        <f t="array" ref="AA260">IFERROR(VALUE(_xll.BDP($B260,"INTERVAL_MAE_MOV_AVG","CALC_INTERVAL","520D","TECH_STUDIES_PARAM1_OVERRIDE",65,"USE_PREVIOUS_BUSINESS_DAY","Y")),"")</f>
        <v>75.703306978923081</v>
      </c>
      <c r="AB260">
        <f t="shared" si="152"/>
        <v>6852.6203076923057</v>
      </c>
      <c r="AC260">
        <f t="shared" si="166"/>
        <v>1.105826898518459E-2</v>
      </c>
      <c r="AD260">
        <f t="shared" si="167"/>
        <v>1.1047351754473172E-2</v>
      </c>
      <c r="AE260" s="10" t="str">
        <f t="shared" si="168"/>
        <v>UP</v>
      </c>
      <c r="AF260" s="10" t="str">
        <f t="shared" si="169"/>
        <v>UP</v>
      </c>
      <c r="AG260" s="6" t="str">
        <f t="shared" si="170"/>
        <v>POSITIVE</v>
      </c>
      <c r="AH260" cm="1">
        <f t="array" ref="AH260">IFERROR(VALUE(_xll.BDP($B260,"INTERVAL_MAE_MOV_AVG","CALC_INTERVAL","65W","PERIODICITY_OVERRIDE","W","TECH_STUDIES_PARAM1_OVERRIDE",39,"USE_PREVIOUS_BUSINESS_DAY","N")),"")</f>
        <v>73.276995324726414</v>
      </c>
      <c r="AI260">
        <f t="shared" si="153"/>
        <v>6560.7735897435905</v>
      </c>
      <c r="AJ260" cm="1">
        <f t="array" ref="AJ260">IFERROR(VALUE(_xll.BDP($B260,"INTERVAL_MAE_MOV_AVG","CALC_INTERVAL","65W","PERIODICITY_OVERRIDE","W","TECH_STUDIES_PARAM1_OVERRIDE",39,"USE_PREVIOUS_BUSINESS_DAY","Y")),"")</f>
        <v>73.258021051827271</v>
      </c>
      <c r="AK260">
        <f t="shared" si="154"/>
        <v>6560.7823076923087</v>
      </c>
      <c r="AL260">
        <f t="shared" si="171"/>
        <v>1.1168956575376997E-2</v>
      </c>
      <c r="AM260">
        <f t="shared" si="172"/>
        <v>1.1166049659342389E-2</v>
      </c>
      <c r="AN260" s="10" t="str">
        <f t="shared" si="173"/>
        <v>UP</v>
      </c>
      <c r="AO260" s="10" t="str">
        <f t="shared" si="174"/>
        <v>UP</v>
      </c>
      <c r="AP260" s="6" t="str">
        <f t="shared" si="175"/>
        <v>POSITIVE</v>
      </c>
      <c r="AQ260" cm="1">
        <f t="array" ref="AQ260">IFERROR(VALUE(_xll.BDP($B260,"INTERVAL_exp_MOV_AVG","CALC_INTERVAL","520D","TECH_STUDIES_PARAM1_OVERRIDE",100,"USE_PREVIOUS_BUSINESS_DAY","N")),"")</f>
        <v>75.278251276638059</v>
      </c>
      <c r="AR260">
        <f t="shared" si="155"/>
        <v>6773.0064518682802</v>
      </c>
      <c r="AS260" cm="1">
        <f t="array" ref="AS260">IFERROR(VALUE(_xll.BDP($B260,"INTERVAL_exp_MOV_AVG","CALC_INTERVAL","520D","TECH_STUDIES_PARAM1_OVERRIDE",100,"USE_PREVIOUS_BUSINESS_DAY","Y")),"")</f>
        <v>75.177416121748948</v>
      </c>
      <c r="AT260">
        <f t="shared" si="156"/>
        <v>6769.6039787132295</v>
      </c>
      <c r="AU260">
        <f t="shared" si="176"/>
        <v>1.1114451434764711E-2</v>
      </c>
      <c r="AV260">
        <f t="shared" si="177"/>
        <v>1.1105142392101749E-2</v>
      </c>
      <c r="AW260" s="11" t="str">
        <f t="shared" si="178"/>
        <v>UP</v>
      </c>
      <c r="AX260" s="11" t="str">
        <f t="shared" si="179"/>
        <v>UP</v>
      </c>
      <c r="AY260" s="6" t="str">
        <f t="shared" si="180"/>
        <v>POSITIVE</v>
      </c>
      <c r="AZ260" s="12" cm="1">
        <f t="array" ref="AZ260">_xll.BDP($B260, "INTERVAL_RSI", "TECH_STUDIES_PARAM1_OVERRIDE", "5", "PERIODICITY_OVERRIDE", "W")</f>
        <v>84.246055031673905</v>
      </c>
      <c r="BA260" cm="1">
        <f t="array" ref="BA260">IFERROR(VALUE(_xll.BDP($B260,"INTERVAL_MAE_MOV_AVG","CALC_INTERVAL","520D","TECH_STUDIES_PARAM1_OVERRIDE",31,"USE_PREVIOUS_BUSINESS_DAY","N")),"")</f>
        <v>77.480322472356988</v>
      </c>
      <c r="BB260" cm="1">
        <f t="array" ref="BB260">IFERROR(VALUE(_xll.BDP($B260,"INTERVAL_MAE_MOV_AVG","CALC_INTERVAL","760D","TECH_STUDIES_PARAM1_OVERRIDE",200,"USE_PREVIOUS_BUSINESS_DAY","N")),"")</f>
        <v>72.694024626315937</v>
      </c>
      <c r="BC260" s="13">
        <f t="shared" si="181"/>
        <v>3.6004980859989155E-2</v>
      </c>
      <c r="BD260" s="13">
        <f t="shared" si="182"/>
        <v>4.7848912193976911E-2</v>
      </c>
      <c r="BE260" s="13">
        <f t="shared" si="183"/>
        <v>0.10421730551621544</v>
      </c>
      <c r="BF260" s="14" cm="1">
        <f t="array" ref="BF260">VALUE(_xll.BDP($B260,"INTERVAL_DATE_OF_CALC_HI","CALC_INTERVAL","3M"))</f>
        <v>46064</v>
      </c>
      <c r="BG260" s="14" cm="1">
        <f t="array" ref="BG260">VALUE(_xll.BDP($B260,"INTERVAL_DATE_OF_CALC_LO","CALC_INTERVAL","3M"))</f>
        <v>45981</v>
      </c>
      <c r="BH260" s="14" cm="1">
        <f t="array" ref="BH260">VALUE(_xll.BDP($B260,"INTERVAL_DATE_OF_CALC_HI","CALC_INTERVAL","1M"))</f>
        <v>46064</v>
      </c>
      <c r="BI260" s="14" cm="1">
        <f t="array" ref="BI260">VALUE(_xll.BDP($B260,"INTERVAL_DATE_OF_CALC_LO","CALC_INTERVAL","1M"))</f>
        <v>46042</v>
      </c>
      <c r="BJ260" s="15">
        <f>$F260-MIN(_xll.BDP("NYA Index","RSI_14D"),_xll.BDP("RSP US Equity","RSI_14D"))</f>
        <v>0.74778383058873032</v>
      </c>
    </row>
    <row r="261" spans="1:62" x14ac:dyDescent="0.25">
      <c r="A261" s="11">
        <v>260</v>
      </c>
      <c r="B261" s="26" t="s">
        <v>495</v>
      </c>
      <c r="C261" s="1" t="s">
        <v>914</v>
      </c>
      <c r="D261" s="1" t="s">
        <v>308</v>
      </c>
      <c r="E261" s="11" t="s">
        <v>787</v>
      </c>
      <c r="F261">
        <f>IFERROR(VALUE((_xll.BDP($B261,"interval_rsi","tech_studies_param1_override",14))),"")</f>
        <v>73.285859609300132</v>
      </c>
      <c r="G261">
        <f t="shared" si="146"/>
        <v>52.525531939815814</v>
      </c>
      <c r="H261">
        <f t="shared" si="157"/>
        <v>1</v>
      </c>
      <c r="I261" cm="1">
        <f t="array" ref="I261">IFERROR(VALUE(_xll.BDP($B261,"px_last")),"")</f>
        <v>75.39</v>
      </c>
      <c r="J261">
        <f t="shared" si="147"/>
        <v>6941.47</v>
      </c>
      <c r="K261" cm="1">
        <f t="array" ref="K261">IFERROR(VALUE(_xll.BDP($B261,"PX_YEST_CLOSE")),"")</f>
        <v>75.13</v>
      </c>
      <c r="L261">
        <f t="shared" si="148"/>
        <v>6941.81</v>
      </c>
      <c r="M261">
        <f t="shared" si="158"/>
        <v>1.0860811902954274E-2</v>
      </c>
      <c r="N261">
        <f t="shared" si="159"/>
        <v>1.0822825747175448E-2</v>
      </c>
      <c r="O261" cm="1">
        <f t="array" ref="O261">IFERROR(VALUE(_xll.BDP($B261,"INTERVAL_MAE_MOV_AVG","CALC_INTERVAL","520D","TECH_STUDIES_PARAM1_OVERRIDE",50,"USE_PREVIOUS_BUSINESS_DAY","N")),"")</f>
        <v>72.254649408422978</v>
      </c>
      <c r="P261">
        <f t="shared" si="149"/>
        <v>6894.0953999999992</v>
      </c>
      <c r="Q261" cm="1">
        <f t="array" ref="Q261">IFERROR(VALUE(_xll.BDP($B261,"INTERVAL_MAE_MOV_AVG","CALC_INTERVAL","520D","TECH_STUDIES_PARAM1_OVERRIDE",50,"USE_PREVIOUS_BUSINESS_DAY","Y")),"")</f>
        <v>72.204817938360009</v>
      </c>
      <c r="R261">
        <f t="shared" si="150"/>
        <v>6892.2477999999992</v>
      </c>
      <c r="S261">
        <f t="shared" si="160"/>
        <v>1.0480657028393165E-2</v>
      </c>
      <c r="T261">
        <f t="shared" si="161"/>
        <v>1.047623649549571E-2</v>
      </c>
      <c r="U261" s="11" t="str">
        <f t="shared" si="162"/>
        <v>POSITIVE</v>
      </c>
      <c r="V261" s="11" t="str">
        <f t="shared" si="163"/>
        <v/>
      </c>
      <c r="W261" s="11" t="str">
        <f t="shared" si="164"/>
        <v>UP</v>
      </c>
      <c r="X261" s="6" t="str">
        <f t="shared" si="165"/>
        <v>POSITIVE</v>
      </c>
      <c r="Y261" cm="1">
        <f t="array" ref="Y261">IFERROR(VALUE(_xll.BDP($B261,"INTERVAL_MAE_MOV_AVG","CALC_INTERVAL","520D","TECH_STUDIES_PARAM1_OVERRIDE",65,"USE_PREVIOUS_BUSINESS_DAY","N")),"")</f>
        <v>72.132851610538893</v>
      </c>
      <c r="Z261">
        <f t="shared" si="151"/>
        <v>6856.0226153846133</v>
      </c>
      <c r="AA261" cm="1">
        <f t="array" ref="AA261">IFERROR(VALUE(_xll.BDP($B261,"INTERVAL_MAE_MOV_AVG","CALC_INTERVAL","520D","TECH_STUDIES_PARAM1_OVERRIDE",65,"USE_PREVIOUS_BUSINESS_DAY","Y")),"")</f>
        <v>72.053270404625678</v>
      </c>
      <c r="AB261">
        <f t="shared" si="152"/>
        <v>6852.6203076923057</v>
      </c>
      <c r="AC261">
        <f t="shared" si="166"/>
        <v>1.0521093009331087E-2</v>
      </c>
      <c r="AD261">
        <f t="shared" si="167"/>
        <v>1.0514703452012854E-2</v>
      </c>
      <c r="AE261" s="10" t="str">
        <f t="shared" si="168"/>
        <v>UP</v>
      </c>
      <c r="AF261" s="10" t="str">
        <f t="shared" si="169"/>
        <v>UP</v>
      </c>
      <c r="AG261" s="6" t="str">
        <f t="shared" si="170"/>
        <v>POSITIVE</v>
      </c>
      <c r="AH261" cm="1">
        <f t="array" ref="AH261">IFERROR(VALUE(_xll.BDP($B261,"INTERVAL_MAE_MOV_AVG","CALC_INTERVAL","65W","PERIODICITY_OVERRIDE","W","TECH_STUDIES_PARAM1_OVERRIDE",39,"USE_PREVIOUS_BUSINESS_DAY","N")),"")</f>
        <v>72.173692046072361</v>
      </c>
      <c r="AI261">
        <f t="shared" si="153"/>
        <v>6560.7735897435905</v>
      </c>
      <c r="AJ261" cm="1">
        <f t="array" ref="AJ261">IFERROR(VALUE(_xll.BDP($B261,"INTERVAL_MAE_MOV_AVG","CALC_INTERVAL","65W","PERIODICITY_OVERRIDE","W","TECH_STUDIES_PARAM1_OVERRIDE",39,"USE_PREVIOUS_BUSINESS_DAY","Y")),"")</f>
        <v>72.167025395055731</v>
      </c>
      <c r="AK261">
        <f t="shared" si="154"/>
        <v>6560.7823076923087</v>
      </c>
      <c r="AL261">
        <f t="shared" si="171"/>
        <v>1.1000789931068643E-2</v>
      </c>
      <c r="AM261">
        <f t="shared" si="172"/>
        <v>1.0999759176652179E-2</v>
      </c>
      <c r="AN261" s="10" t="str">
        <f t="shared" si="173"/>
        <v>UP</v>
      </c>
      <c r="AO261" s="10" t="str">
        <f t="shared" si="174"/>
        <v>UP</v>
      </c>
      <c r="AP261" s="6" t="str">
        <f t="shared" si="175"/>
        <v>NEGATIVE</v>
      </c>
      <c r="AQ261" cm="1">
        <f t="array" ref="AQ261">IFERROR(VALUE(_xll.BDP($B261,"INTERVAL_exp_MOV_AVG","CALC_INTERVAL","520D","TECH_STUDIES_PARAM1_OVERRIDE",100,"USE_PREVIOUS_BUSINESS_DAY","N")),"")</f>
        <v>72.304934822656335</v>
      </c>
      <c r="AR261">
        <f t="shared" si="155"/>
        <v>6773.0064518682802</v>
      </c>
      <c r="AS261" cm="1">
        <f t="array" ref="AS261">IFERROR(VALUE(_xll.BDP($B261,"INTERVAL_exp_MOV_AVG","CALC_INTERVAL","520D","TECH_STUDIES_PARAM1_OVERRIDE",100,"USE_PREVIOUS_BUSINESS_DAY","Y")),"")</f>
        <v>72.242615049565572</v>
      </c>
      <c r="AT261">
        <f t="shared" si="156"/>
        <v>6769.6039787132295</v>
      </c>
      <c r="AU261">
        <f t="shared" si="176"/>
        <v>1.0675456362914226E-2</v>
      </c>
      <c r="AV261">
        <f t="shared" si="177"/>
        <v>1.0671616135409075E-2</v>
      </c>
      <c r="AW261" s="11" t="str">
        <f t="shared" si="178"/>
        <v>UP</v>
      </c>
      <c r="AX261" s="11" t="str">
        <f t="shared" si="179"/>
        <v>UP</v>
      </c>
      <c r="AY261" s="6" t="str">
        <f t="shared" si="180"/>
        <v>POSITIVE</v>
      </c>
      <c r="AZ261" s="12" cm="1">
        <f t="array" ref="AZ261">_xll.BDP($B261, "INTERVAL_RSI", "TECH_STUDIES_PARAM1_OVERRIDE", "5", "PERIODICITY_OVERRIDE", "W")</f>
        <v>82.164787374075672</v>
      </c>
      <c r="BA261" cm="1">
        <f t="array" ref="BA261">IFERROR(VALUE(_xll.BDP($B261,"INTERVAL_MAE_MOV_AVG","CALC_INTERVAL","520D","TECH_STUDIES_PARAM1_OVERRIDE",31,"USE_PREVIOUS_BUSINESS_DAY","N")),"")</f>
        <v>72.87214496095639</v>
      </c>
      <c r="BB261" cm="1">
        <f t="array" ref="BB261">IFERROR(VALUE(_xll.BDP($B261,"INTERVAL_MAE_MOV_AVG","CALC_INTERVAL","760D","TECH_STUDIES_PARAM1_OVERRIDE",200,"USE_PREVIOUS_BUSINESS_DAY","N")),"")</f>
        <v>72.017970102577749</v>
      </c>
      <c r="BC261" s="13">
        <f t="shared" si="181"/>
        <v>3.4551680074637936E-2</v>
      </c>
      <c r="BD261" s="13">
        <f t="shared" si="182"/>
        <v>4.3393063522518815E-2</v>
      </c>
      <c r="BE261" s="13">
        <f t="shared" si="183"/>
        <v>4.6822062502169137E-2</v>
      </c>
      <c r="BF261" s="14" cm="1">
        <f t="array" ref="BF261">VALUE(_xll.BDP($B261,"INTERVAL_DATE_OF_CALC_HI","CALC_INTERVAL","3M"))</f>
        <v>46064</v>
      </c>
      <c r="BG261" s="14" cm="1">
        <f t="array" ref="BG261">VALUE(_xll.BDP($B261,"INTERVAL_DATE_OF_CALC_LO","CALC_INTERVAL","3M"))</f>
        <v>46000</v>
      </c>
      <c r="BH261" s="14" cm="1">
        <f t="array" ref="BH261">VALUE(_xll.BDP($B261,"INTERVAL_DATE_OF_CALC_HI","CALC_INTERVAL","1M"))</f>
        <v>46064</v>
      </c>
      <c r="BI261" s="14" cm="1">
        <f t="array" ref="BI261">VALUE(_xll.BDP($B261,"INTERVAL_DATE_OF_CALC_LO","CALC_INTERVAL","1M"))</f>
        <v>46034</v>
      </c>
      <c r="BJ261" s="15">
        <f>$F261-MIN(_xll.BDP("NYA Index","RSI_14D"),_xll.BDP("RSP US Equity","RSI_14D"))</f>
        <v>6.9400954491438824</v>
      </c>
    </row>
    <row r="262" spans="1:62" x14ac:dyDescent="0.25">
      <c r="A262" s="11">
        <v>261</v>
      </c>
      <c r="B262" s="26" t="s">
        <v>496</v>
      </c>
      <c r="C262" s="1" t="s">
        <v>915</v>
      </c>
      <c r="D262" s="1" t="s">
        <v>308</v>
      </c>
      <c r="E262" s="11" t="s">
        <v>787</v>
      </c>
      <c r="F262">
        <f>IFERROR(VALUE((_xll.BDP($B262,"interval_rsi","tech_studies_param1_override",14))),"")</f>
        <v>54.144103121615977</v>
      </c>
      <c r="G262">
        <f t="shared" si="146"/>
        <v>52.525531939815814</v>
      </c>
      <c r="H262">
        <f t="shared" si="157"/>
        <v>0</v>
      </c>
      <c r="I262" cm="1">
        <f t="array" ref="I262">IFERROR(VALUE(_xll.BDP($B262,"px_last")),"")</f>
        <v>120.59</v>
      </c>
      <c r="J262">
        <f t="shared" si="147"/>
        <v>6941.47</v>
      </c>
      <c r="K262" cm="1">
        <f t="array" ref="K262">IFERROR(VALUE(_xll.BDP($B262,"PX_YEST_CLOSE")),"")</f>
        <v>120.78</v>
      </c>
      <c r="L262">
        <f t="shared" si="148"/>
        <v>6941.81</v>
      </c>
      <c r="M262">
        <f t="shared" si="158"/>
        <v>1.737240094677352E-2</v>
      </c>
      <c r="N262">
        <f t="shared" si="159"/>
        <v>1.7398920454463604E-2</v>
      </c>
      <c r="O262" cm="1">
        <f t="array" ref="O262">IFERROR(VALUE(_xll.BDP($B262,"INTERVAL_MAE_MOV_AVG","CALC_INTERVAL","520D","TECH_STUDIES_PARAM1_OVERRIDE",50,"USE_PREVIOUS_BUSINESS_DAY","N")),"")</f>
        <v>119.55585973115778</v>
      </c>
      <c r="P262">
        <f t="shared" si="149"/>
        <v>6894.0953999999992</v>
      </c>
      <c r="Q262" cm="1">
        <f t="array" ref="Q262">IFERROR(VALUE(_xll.BDP($B262,"INTERVAL_MAE_MOV_AVG","CALC_INTERVAL","520D","TECH_STUDIES_PARAM1_OVERRIDE",50,"USE_PREVIOUS_BUSINESS_DAY","Y")),"")</f>
        <v>119.54061236279999</v>
      </c>
      <c r="R262">
        <f t="shared" si="150"/>
        <v>6892.2477999999992</v>
      </c>
      <c r="S262">
        <f t="shared" si="160"/>
        <v>1.7341776229432188E-2</v>
      </c>
      <c r="T262">
        <f t="shared" si="161"/>
        <v>1.7344212778130235E-2</v>
      </c>
      <c r="U262" s="11" t="str">
        <f t="shared" si="162"/>
        <v>NEGATIVE</v>
      </c>
      <c r="V262" s="11" t="str">
        <f t="shared" si="163"/>
        <v/>
      </c>
      <c r="W262" s="11" t="str">
        <f t="shared" si="164"/>
        <v>DOWN</v>
      </c>
      <c r="X262" s="6" t="str">
        <f t="shared" si="165"/>
        <v>POSITIVE</v>
      </c>
      <c r="Y262" cm="1">
        <f t="array" ref="Y262">IFERROR(VALUE(_xll.BDP($B262,"INTERVAL_MAE_MOV_AVG","CALC_INTERVAL","520D","TECH_STUDIES_PARAM1_OVERRIDE",65,"USE_PREVIOUS_BUSINESS_DAY","N")),"")</f>
        <v>119.09155367565984</v>
      </c>
      <c r="Z262">
        <f t="shared" si="151"/>
        <v>6856.0226153846133</v>
      </c>
      <c r="AA262" cm="1">
        <f t="array" ref="AA262">IFERROR(VALUE(_xll.BDP($B262,"INTERVAL_MAE_MOV_AVG","CALC_INTERVAL","520D","TECH_STUDIES_PARAM1_OVERRIDE",65,"USE_PREVIOUS_BUSINESS_DAY","Y")),"")</f>
        <v>119.04943753569231</v>
      </c>
      <c r="AB262">
        <f t="shared" si="152"/>
        <v>6852.6203076923057</v>
      </c>
      <c r="AC262">
        <f t="shared" si="166"/>
        <v>1.7370356014932569E-2</v>
      </c>
      <c r="AD262">
        <f t="shared" si="167"/>
        <v>1.7372834359734649E-2</v>
      </c>
      <c r="AE262" s="10" t="str">
        <f t="shared" si="168"/>
        <v>UP</v>
      </c>
      <c r="AF262" s="10" t="str">
        <f t="shared" si="169"/>
        <v>DOWN</v>
      </c>
      <c r="AG262" s="6" t="str">
        <f t="shared" si="170"/>
        <v>POSITIVE</v>
      </c>
      <c r="AH262" cm="1">
        <f t="array" ref="AH262">IFERROR(VALUE(_xll.BDP($B262,"INTERVAL_MAE_MOV_AVG","CALC_INTERVAL","65W","PERIODICITY_OVERRIDE","W","TECH_STUDIES_PARAM1_OVERRIDE",39,"USE_PREVIOUS_BUSINESS_DAY","N")),"")</f>
        <v>116.23974072297901</v>
      </c>
      <c r="AI262">
        <f t="shared" si="153"/>
        <v>6560.7735897435905</v>
      </c>
      <c r="AJ262" cm="1">
        <f t="array" ref="AJ262">IFERROR(VALUE(_xll.BDP($B262,"INTERVAL_MAE_MOV_AVG","CALC_INTERVAL","65W","PERIODICITY_OVERRIDE","W","TECH_STUDIES_PARAM1_OVERRIDE",39,"USE_PREVIOUS_BUSINESS_DAY","Y")),"")</f>
        <v>116.24461261175104</v>
      </c>
      <c r="AK262">
        <f t="shared" si="154"/>
        <v>6560.7823076923087</v>
      </c>
      <c r="AL262">
        <f t="shared" si="171"/>
        <v>1.7717383344045854E-2</v>
      </c>
      <c r="AM262">
        <f t="shared" si="172"/>
        <v>1.7718102378653521E-2</v>
      </c>
      <c r="AN262" s="10" t="str">
        <f t="shared" si="173"/>
        <v>DOWN</v>
      </c>
      <c r="AO262" s="10" t="str">
        <f t="shared" si="174"/>
        <v>DOWN</v>
      </c>
      <c r="AP262" s="6" t="str">
        <f t="shared" si="175"/>
        <v>NEGATIVE</v>
      </c>
      <c r="AQ262" cm="1">
        <f t="array" ref="AQ262">IFERROR(VALUE(_xll.BDP($B262,"INTERVAL_exp_MOV_AVG","CALC_INTERVAL","520D","TECH_STUDIES_PARAM1_OVERRIDE",100,"USE_PREVIOUS_BUSINESS_DAY","N")),"")</f>
        <v>118.30654934155788</v>
      </c>
      <c r="AR262">
        <f t="shared" si="155"/>
        <v>6773.0064518682802</v>
      </c>
      <c r="AS262" cm="1">
        <f t="array" ref="AS262">IFERROR(VALUE(_xll.BDP($B262,"INTERVAL_exp_MOV_AVG","CALC_INTERVAL","520D","TECH_STUDIES_PARAM1_OVERRIDE",100,"USE_PREVIOUS_BUSINESS_DAY","Y")),"")</f>
        <v>118.26043073980316</v>
      </c>
      <c r="AT262">
        <f t="shared" si="156"/>
        <v>6769.6039787132295</v>
      </c>
      <c r="AU262">
        <f t="shared" si="176"/>
        <v>1.7467361087323927E-2</v>
      </c>
      <c r="AV262">
        <f t="shared" si="177"/>
        <v>1.746932776447023E-2</v>
      </c>
      <c r="AW262" s="11" t="str">
        <f t="shared" si="178"/>
        <v>UP</v>
      </c>
      <c r="AX262" s="11" t="str">
        <f t="shared" si="179"/>
        <v>DOWN</v>
      </c>
      <c r="AY262" s="6" t="str">
        <f t="shared" si="180"/>
        <v>NEGATIVE</v>
      </c>
      <c r="AZ262" s="12" cm="1">
        <f t="array" ref="AZ262">_xll.BDP($B262, "INTERVAL_RSI", "TECH_STUDIES_PARAM1_OVERRIDE", "5", "PERIODICITY_OVERRIDE", "W")</f>
        <v>59.751466901848261</v>
      </c>
      <c r="BA262" cm="1">
        <f t="array" ref="BA262">IFERROR(VALUE(_xll.BDP($B262,"INTERVAL_MAE_MOV_AVG","CALC_INTERVAL","520D","TECH_STUDIES_PARAM1_OVERRIDE",31,"USE_PREVIOUS_BUSINESS_DAY","N")),"")</f>
        <v>119.48225794638357</v>
      </c>
      <c r="BB262" cm="1">
        <f t="array" ref="BB262">IFERROR(VALUE(_xll.BDP($B262,"INTERVAL_MAE_MOV_AVG","CALC_INTERVAL","760D","TECH_STUDIES_PARAM1_OVERRIDE",200,"USE_PREVIOUS_BUSINESS_DAY","N")),"")</f>
        <v>114.91800954736571</v>
      </c>
      <c r="BC262" s="13">
        <f t="shared" si="181"/>
        <v>9.2711844641697461E-3</v>
      </c>
      <c r="BD262" s="13">
        <f t="shared" si="182"/>
        <v>8.6498501300369401E-3</v>
      </c>
      <c r="BE262" s="13">
        <f t="shared" si="183"/>
        <v>4.9356845589084708E-2</v>
      </c>
      <c r="BF262" s="14" cm="1">
        <f t="array" ref="BF262">VALUE(_xll.BDP($B262,"INTERVAL_DATE_OF_CALC_HI","CALC_INTERVAL","3M"))</f>
        <v>46062</v>
      </c>
      <c r="BG262" s="14" cm="1">
        <f t="array" ref="BG262">VALUE(_xll.BDP($B262,"INTERVAL_DATE_OF_CALC_LO","CALC_INTERVAL","3M"))</f>
        <v>45982</v>
      </c>
      <c r="BH262" s="14" cm="1">
        <f t="array" ref="BH262">VALUE(_xll.BDP($B262,"INTERVAL_DATE_OF_CALC_HI","CALC_INTERVAL","1M"))</f>
        <v>46062</v>
      </c>
      <c r="BI262" s="14" cm="1">
        <f t="array" ref="BI262">VALUE(_xll.BDP($B262,"INTERVAL_DATE_OF_CALC_LO","CALC_INTERVAL","1M"))</f>
        <v>46058</v>
      </c>
      <c r="BJ262" s="15">
        <f>$F262-MIN(_xll.BDP("NYA Index","RSI_14D"),_xll.BDP("RSP US Equity","RSI_14D"))</f>
        <v>-12.201661038540273</v>
      </c>
    </row>
    <row r="263" spans="1:62" x14ac:dyDescent="0.25">
      <c r="A263" s="11">
        <v>262</v>
      </c>
      <c r="B263" s="26" t="s">
        <v>174</v>
      </c>
      <c r="C263" s="1" t="s">
        <v>253</v>
      </c>
      <c r="D263" s="1" t="s">
        <v>308</v>
      </c>
      <c r="E263" s="11" t="s">
        <v>787</v>
      </c>
      <c r="F263">
        <f>IFERROR(VALUE((_xll.BDP($B263,"interval_rsi","tech_studies_param1_override",14))),"")</f>
        <v>52.819390934343282</v>
      </c>
      <c r="G263">
        <f t="shared" si="146"/>
        <v>52.525531939815814</v>
      </c>
      <c r="H263">
        <f t="shared" si="157"/>
        <v>0</v>
      </c>
      <c r="I263" cm="1">
        <f t="array" ref="I263">IFERROR(VALUE(_xll.BDP($B263,"px_last")),"")</f>
        <v>691.96</v>
      </c>
      <c r="J263">
        <f t="shared" si="147"/>
        <v>6941.47</v>
      </c>
      <c r="K263" cm="1">
        <f t="array" ref="K263">IFERROR(VALUE(_xll.BDP($B263,"PX_YEST_CLOSE")),"")</f>
        <v>692.12</v>
      </c>
      <c r="L263">
        <f t="shared" si="148"/>
        <v>6941.81</v>
      </c>
      <c r="M263">
        <f t="shared" si="158"/>
        <v>9.9684937052238215E-2</v>
      </c>
      <c r="N263">
        <f t="shared" si="159"/>
        <v>9.9703103369294166E-2</v>
      </c>
      <c r="O263" cm="1">
        <f t="array" ref="O263">IFERROR(VALUE(_xll.BDP($B263,"INTERVAL_MAE_MOV_AVG","CALC_INTERVAL","520D","TECH_STUDIES_PARAM1_OVERRIDE",50,"USE_PREVIOUS_BUSINESS_DAY","N")),"")</f>
        <v>686.7682171540531</v>
      </c>
      <c r="P263">
        <f t="shared" si="149"/>
        <v>6894.0953999999992</v>
      </c>
      <c r="Q263" cm="1">
        <f t="array" ref="Q263">IFERROR(VALUE(_xll.BDP($B263,"INTERVAL_MAE_MOV_AVG","CALC_INTERVAL","520D","TECH_STUDIES_PARAM1_OVERRIDE",50,"USE_PREVIOUS_BUSINESS_DAY","Y")),"")</f>
        <v>686.55653770799995</v>
      </c>
      <c r="R263">
        <f t="shared" si="150"/>
        <v>6892.2477999999992</v>
      </c>
      <c r="S263">
        <f t="shared" si="160"/>
        <v>9.9616871729691053E-2</v>
      </c>
      <c r="T263">
        <f t="shared" si="161"/>
        <v>9.961286326762657E-2</v>
      </c>
      <c r="U263" s="11" t="str">
        <f t="shared" si="162"/>
        <v>NEGATIVE</v>
      </c>
      <c r="V263" s="11" t="str">
        <f t="shared" si="163"/>
        <v/>
      </c>
      <c r="W263" s="11" t="str">
        <f t="shared" si="164"/>
        <v>UP</v>
      </c>
      <c r="X263" s="6" t="str">
        <f t="shared" si="165"/>
        <v>POSITIVE</v>
      </c>
      <c r="Y263" cm="1">
        <f t="array" ref="Y263">IFERROR(VALUE(_xll.BDP($B263,"INTERVAL_MAE_MOV_AVG","CALC_INTERVAL","520D","TECH_STUDIES_PARAM1_OVERRIDE",65,"USE_PREVIOUS_BUSINESS_DAY","N")),"")</f>
        <v>682.74239972711769</v>
      </c>
      <c r="Z263">
        <f t="shared" si="151"/>
        <v>6856.0226153846133</v>
      </c>
      <c r="AA263" cm="1">
        <f t="array" ref="AA263">IFERROR(VALUE(_xll.BDP($B263,"INTERVAL_MAE_MOV_AVG","CALC_INTERVAL","520D","TECH_STUDIES_PARAM1_OVERRIDE",65,"USE_PREVIOUS_BUSINESS_DAY","Y")),"")</f>
        <v>682.37893164184618</v>
      </c>
      <c r="AB263">
        <f t="shared" si="152"/>
        <v>6852.6203076923057</v>
      </c>
      <c r="AC263">
        <f t="shared" si="166"/>
        <v>9.9582868673022421E-2</v>
      </c>
      <c r="AD263">
        <f t="shared" si="167"/>
        <v>9.957927055667333E-2</v>
      </c>
      <c r="AE263" s="10" t="str">
        <f t="shared" si="168"/>
        <v>UP</v>
      </c>
      <c r="AF263" s="10" t="str">
        <f t="shared" si="169"/>
        <v>UP</v>
      </c>
      <c r="AG263" s="6" t="str">
        <f t="shared" si="170"/>
        <v>POSITIVE</v>
      </c>
      <c r="AH263" cm="1">
        <f t="array" ref="AH263">IFERROR(VALUE(_xll.BDP($B263,"INTERVAL_MAE_MOV_AVG","CALC_INTERVAL","65W","PERIODICITY_OVERRIDE","W","TECH_STUDIES_PARAM1_OVERRIDE",39,"USE_PREVIOUS_BUSINESS_DAY","N")),"")</f>
        <v>651.78472580296852</v>
      </c>
      <c r="AI263">
        <f t="shared" si="153"/>
        <v>6560.7735897435905</v>
      </c>
      <c r="AJ263" cm="1">
        <f t="array" ref="AJ263">IFERROR(VALUE(_xll.BDP($B263,"INTERVAL_MAE_MOV_AVG","CALC_INTERVAL","65W","PERIODICITY_OVERRIDE","W","TECH_STUDIES_PARAM1_OVERRIDE",39,"USE_PREVIOUS_BUSINESS_DAY","Y")),"")</f>
        <v>651.78882780366951</v>
      </c>
      <c r="AK263">
        <f t="shared" si="154"/>
        <v>6560.7823076923087</v>
      </c>
      <c r="AL263">
        <f t="shared" si="171"/>
        <v>9.9345712344333731E-2</v>
      </c>
      <c r="AM263">
        <f t="shared" si="172"/>
        <v>9.9346205564459569E-2</v>
      </c>
      <c r="AN263" s="10" t="str">
        <f t="shared" si="173"/>
        <v>DOWN</v>
      </c>
      <c r="AO263" s="10" t="str">
        <f t="shared" si="174"/>
        <v>DOWN</v>
      </c>
      <c r="AP263" s="6" t="str">
        <f t="shared" si="175"/>
        <v>POSITIVE</v>
      </c>
      <c r="AQ263" cm="1">
        <f t="array" ref="AQ263">IFERROR(VALUE(_xll.BDP($B263,"INTERVAL_exp_MOV_AVG","CALC_INTERVAL","520D","TECH_STUDIES_PARAM1_OVERRIDE",100,"USE_PREVIOUS_BUSINESS_DAY","N")),"")</f>
        <v>673.99609868845459</v>
      </c>
      <c r="AR263">
        <f t="shared" si="155"/>
        <v>6773.0064518682802</v>
      </c>
      <c r="AS263" cm="1">
        <f t="array" ref="AS263">IFERROR(VALUE(_xll.BDP($B263,"INTERVAL_exp_MOV_AVG","CALC_INTERVAL","520D","TECH_STUDIES_PARAM1_OVERRIDE",100,"USE_PREVIOUS_BUSINESS_DAY","Y")),"")</f>
        <v>673.63327110716784</v>
      </c>
      <c r="AT263">
        <f t="shared" si="156"/>
        <v>6769.6039787132295</v>
      </c>
      <c r="AU263">
        <f t="shared" si="176"/>
        <v>9.9512100494535641E-2</v>
      </c>
      <c r="AV263">
        <f t="shared" si="177"/>
        <v>9.9508519734002585E-2</v>
      </c>
      <c r="AW263" s="11" t="str">
        <f t="shared" si="178"/>
        <v>UP</v>
      </c>
      <c r="AX263" s="11" t="str">
        <f t="shared" si="179"/>
        <v>UP</v>
      </c>
      <c r="AY263" s="6" t="str">
        <f t="shared" si="180"/>
        <v>POSITIVE</v>
      </c>
      <c r="AZ263" s="12" cm="1">
        <f t="array" ref="AZ263">_xll.BDP($B263, "INTERVAL_RSI", "TECH_STUDIES_PARAM1_OVERRIDE", "5", "PERIODICITY_OVERRIDE", "W")</f>
        <v>62.52866561457801</v>
      </c>
      <c r="BA263" cm="1">
        <f t="array" ref="BA263">IFERROR(VALUE(_xll.BDP($B263,"INTERVAL_MAE_MOV_AVG","CALC_INTERVAL","520D","TECH_STUDIES_PARAM1_OVERRIDE",31,"USE_PREVIOUS_BUSINESS_DAY","N")),"")</f>
        <v>689.80871038621456</v>
      </c>
      <c r="BB263" cm="1">
        <f t="array" ref="BB263">IFERROR(VALUE(_xll.BDP($B263,"INTERVAL_MAE_MOV_AVG","CALC_INTERVAL","760D","TECH_STUDIES_PARAM1_OVERRIDE",200,"USE_PREVIOUS_BUSINESS_DAY","N")),"")</f>
        <v>644.65769102627758</v>
      </c>
      <c r="BC263" s="13">
        <f t="shared" si="181"/>
        <v>3.1186756290464412E-3</v>
      </c>
      <c r="BD263" s="13">
        <f t="shared" si="182"/>
        <v>7.5597308032999688E-3</v>
      </c>
      <c r="BE263" s="13">
        <f t="shared" si="183"/>
        <v>7.3375854553784148E-2</v>
      </c>
      <c r="BF263" s="14" cm="1">
        <f t="array" ref="BF263">VALUE(_xll.BDP($B263,"INTERVAL_DATE_OF_CALC_HI","CALC_INTERVAL","3M"))</f>
        <v>46049</v>
      </c>
      <c r="BG263" s="14" cm="1">
        <f t="array" ref="BG263">VALUE(_xll.BDP($B263,"INTERVAL_DATE_OF_CALC_LO","CALC_INTERVAL","3M"))</f>
        <v>45981</v>
      </c>
      <c r="BH263" s="14" cm="1">
        <f t="array" ref="BH263">VALUE(_xll.BDP($B263,"INTERVAL_DATE_OF_CALC_HI","CALC_INTERVAL","1M"))</f>
        <v>46049</v>
      </c>
      <c r="BI263" s="14" cm="1">
        <f t="array" ref="BI263">VALUE(_xll.BDP($B263,"INTERVAL_DATE_OF_CALC_LO","CALC_INTERVAL","1M"))</f>
        <v>46042</v>
      </c>
      <c r="BJ263" s="15">
        <f>$F263-MIN(_xll.BDP("NYA Index","RSI_14D"),_xll.BDP("RSP US Equity","RSI_14D"))</f>
        <v>-13.526373225812968</v>
      </c>
    </row>
    <row r="264" spans="1:62" x14ac:dyDescent="0.25">
      <c r="A264" s="11">
        <v>263</v>
      </c>
      <c r="B264" s="26" t="s">
        <v>497</v>
      </c>
      <c r="C264" s="1" t="s">
        <v>916</v>
      </c>
      <c r="D264" s="1" t="s">
        <v>308</v>
      </c>
      <c r="E264" s="11" t="s">
        <v>787</v>
      </c>
      <c r="F264">
        <f>IFERROR(VALUE((_xll.BDP($B264,"interval_rsi","tech_studies_param1_override",14))),"")</f>
        <v>63.833488012049926</v>
      </c>
      <c r="G264">
        <f t="shared" si="146"/>
        <v>52.525531939815814</v>
      </c>
      <c r="H264">
        <f t="shared" si="157"/>
        <v>1</v>
      </c>
      <c r="I264" cm="1">
        <f t="array" ref="I264">IFERROR(VALUE(_xll.BDP($B264,"px_last")),"")</f>
        <v>58.38</v>
      </c>
      <c r="J264">
        <f t="shared" si="147"/>
        <v>6941.47</v>
      </c>
      <c r="K264" cm="1">
        <f t="array" ref="K264">IFERROR(VALUE(_xll.BDP($B264,"PX_YEST_CLOSE")),"")</f>
        <v>58.59</v>
      </c>
      <c r="L264">
        <f t="shared" si="148"/>
        <v>6941.81</v>
      </c>
      <c r="M264">
        <f t="shared" si="158"/>
        <v>8.410322309251499E-3</v>
      </c>
      <c r="N264">
        <f t="shared" si="159"/>
        <v>8.4401618598031348E-3</v>
      </c>
      <c r="O264" cm="1">
        <f t="array" ref="O264">IFERROR(VALUE(_xll.BDP($B264,"INTERVAL_MAE_MOV_AVG","CALC_INTERVAL","520D","TECH_STUDIES_PARAM1_OVERRIDE",50,"USE_PREVIOUS_BUSINESS_DAY","N")),"")</f>
        <v>51.686600021362324</v>
      </c>
      <c r="P264">
        <f t="shared" si="149"/>
        <v>6894.0953999999992</v>
      </c>
      <c r="Q264" cm="1">
        <f t="array" ref="Q264">IFERROR(VALUE(_xll.BDP($B264,"INTERVAL_MAE_MOV_AVG","CALC_INTERVAL","520D","TECH_STUDIES_PARAM1_OVERRIDE",50,"USE_PREVIOUS_BUSINESS_DAY","Y")),"")</f>
        <v>51.497199999999992</v>
      </c>
      <c r="R264">
        <f t="shared" si="150"/>
        <v>6892.2477999999992</v>
      </c>
      <c r="S264">
        <f t="shared" si="160"/>
        <v>7.4972272680419146E-3</v>
      </c>
      <c r="T264">
        <f t="shared" si="161"/>
        <v>7.4717568918517404E-3</v>
      </c>
      <c r="U264" s="11" t="str">
        <f t="shared" si="162"/>
        <v>POSITIVE</v>
      </c>
      <c r="V264" s="11" t="str">
        <f t="shared" si="163"/>
        <v/>
      </c>
      <c r="W264" s="11" t="str">
        <f t="shared" si="164"/>
        <v>UP</v>
      </c>
      <c r="X264" s="6" t="str">
        <f t="shared" si="165"/>
        <v>POSITIVE</v>
      </c>
      <c r="Y264" cm="1">
        <f t="array" ref="Y264">IFERROR(VALUE(_xll.BDP($B264,"INTERVAL_MAE_MOV_AVG","CALC_INTERVAL","520D","TECH_STUDIES_PARAM1_OVERRIDE",65,"USE_PREVIOUS_BUSINESS_DAY","N")),"")</f>
        <v>50.992923093355635</v>
      </c>
      <c r="Z264">
        <f t="shared" si="151"/>
        <v>6856.0226153846133</v>
      </c>
      <c r="AA264" cm="1">
        <f t="array" ref="AA264">IFERROR(VALUE(_xll.BDP($B264,"INTERVAL_MAE_MOV_AVG","CALC_INTERVAL","520D","TECH_STUDIES_PARAM1_OVERRIDE",65,"USE_PREVIOUS_BUSINESS_DAY","Y")),"")</f>
        <v>50.867692307692302</v>
      </c>
      <c r="AB264">
        <f t="shared" si="152"/>
        <v>6852.6203076923057</v>
      </c>
      <c r="AC264">
        <f t="shared" si="166"/>
        <v>7.4376830349027374E-3</v>
      </c>
      <c r="AD264">
        <f t="shared" si="167"/>
        <v>7.4231009487847359E-3</v>
      </c>
      <c r="AE264" s="10" t="str">
        <f t="shared" si="168"/>
        <v>UP</v>
      </c>
      <c r="AF264" s="10" t="str">
        <f t="shared" si="169"/>
        <v>UP</v>
      </c>
      <c r="AG264" s="6" t="str">
        <f t="shared" si="170"/>
        <v>POSITIVE</v>
      </c>
      <c r="AH264" cm="1">
        <f t="array" ref="AH264">IFERROR(VALUE(_xll.BDP($B264,"INTERVAL_MAE_MOV_AVG","CALC_INTERVAL","65W","PERIODICITY_OVERRIDE","W","TECH_STUDIES_PARAM1_OVERRIDE",39,"USE_PREVIOUS_BUSINESS_DAY","N")),"")</f>
        <v>44.242307719695262</v>
      </c>
      <c r="AI264">
        <f t="shared" si="153"/>
        <v>6560.7735897435905</v>
      </c>
      <c r="AJ264" cm="1">
        <f t="array" ref="AJ264">IFERROR(VALUE(_xll.BDP($B264,"INTERVAL_MAE_MOV_AVG","CALC_INTERVAL","65W","PERIODICITY_OVERRIDE","W","TECH_STUDIES_PARAM1_OVERRIDE",39,"USE_PREVIOUS_BUSINESS_DAY","Y")),"")</f>
        <v>44.247692307692304</v>
      </c>
      <c r="AK264">
        <f t="shared" si="154"/>
        <v>6560.7823076923087</v>
      </c>
      <c r="AL264">
        <f t="shared" si="171"/>
        <v>6.7434590013682131E-3</v>
      </c>
      <c r="AM264">
        <f t="shared" si="172"/>
        <v>6.7442707641455031E-3</v>
      </c>
      <c r="AN264" s="10" t="str">
        <f t="shared" si="173"/>
        <v>DOWN</v>
      </c>
      <c r="AO264" s="10" t="str">
        <f t="shared" si="174"/>
        <v>DOWN</v>
      </c>
      <c r="AP264" s="6" t="str">
        <f t="shared" si="175"/>
        <v>POSITIVE</v>
      </c>
      <c r="AQ264" cm="1">
        <f t="array" ref="AQ264">IFERROR(VALUE(_xll.BDP($B264,"INTERVAL_exp_MOV_AVG","CALC_INTERVAL","520D","TECH_STUDIES_PARAM1_OVERRIDE",100,"USE_PREVIOUS_BUSINESS_DAY","N")),"")</f>
        <v>49.429787777612439</v>
      </c>
      <c r="AR264">
        <f t="shared" si="155"/>
        <v>6773.0064518682802</v>
      </c>
      <c r="AS264" cm="1">
        <f t="array" ref="AS264">IFERROR(VALUE(_xll.BDP($B264,"INTERVAL_exp_MOV_AVG","CALC_INTERVAL","520D","TECH_STUDIES_PARAM1_OVERRIDE",100,"USE_PREVIOUS_BUSINESS_DAY","Y")),"")</f>
        <v>49.249018007618567</v>
      </c>
      <c r="AT264">
        <f t="shared" si="156"/>
        <v>6769.6039787132295</v>
      </c>
      <c r="AU264">
        <f t="shared" si="176"/>
        <v>7.2980570930915954E-3</v>
      </c>
      <c r="AV264">
        <f t="shared" si="177"/>
        <v>7.2750220193796107E-3</v>
      </c>
      <c r="AW264" s="11" t="str">
        <f t="shared" si="178"/>
        <v>UP</v>
      </c>
      <c r="AX264" s="11" t="str">
        <f t="shared" si="179"/>
        <v>UP</v>
      </c>
      <c r="AY264" s="6" t="str">
        <f t="shared" si="180"/>
        <v>POSITIVE</v>
      </c>
      <c r="AZ264" s="12" cm="1">
        <f t="array" ref="AZ264">_xll.BDP($B264, "INTERVAL_RSI", "TECH_STUDIES_PARAM1_OVERRIDE", "5", "PERIODICITY_OVERRIDE", "W")</f>
        <v>80.692728220272471</v>
      </c>
      <c r="BA264" cm="1">
        <f t="array" ref="BA264">IFERROR(VALUE(_xll.BDP($B264,"INTERVAL_MAE_MOV_AVG","CALC_INTERVAL","520D","TECH_STUDIES_PARAM1_OVERRIDE",31,"USE_PREVIOUS_BUSINESS_DAY","N")),"")</f>
        <v>53.600322615100495</v>
      </c>
      <c r="BB264" cm="1">
        <f t="array" ref="BB264">IFERROR(VALUE(_xll.BDP($B264,"INTERVAL_MAE_MOV_AVG","CALC_INTERVAL","760D","TECH_STUDIES_PARAM1_OVERRIDE",200,"USE_PREVIOUS_BUSINESS_DAY","N")),"")</f>
        <v>42.933650005340581</v>
      </c>
      <c r="BC264" s="13">
        <f t="shared" si="181"/>
        <v>8.9172548815087849E-2</v>
      </c>
      <c r="BD264" s="13">
        <f t="shared" si="182"/>
        <v>0.12949971512676917</v>
      </c>
      <c r="BE264" s="13">
        <f t="shared" si="183"/>
        <v>0.35977257914801153</v>
      </c>
      <c r="BF264" s="14" cm="1">
        <f t="array" ref="BF264">VALUE(_xll.BDP($B264,"INTERVAL_DATE_OF_CALC_HI","CALC_INTERVAL","3M"))</f>
        <v>46062</v>
      </c>
      <c r="BG264" s="14" cm="1">
        <f t="array" ref="BG264">VALUE(_xll.BDP($B264,"INTERVAL_DATE_OF_CALC_LO","CALC_INTERVAL","3M"))</f>
        <v>45981</v>
      </c>
      <c r="BH264" s="14" cm="1">
        <f t="array" ref="BH264">VALUE(_xll.BDP($B264,"INTERVAL_DATE_OF_CALC_HI","CALC_INTERVAL","1M"))</f>
        <v>46062</v>
      </c>
      <c r="BI264" s="14" cm="1">
        <f t="array" ref="BI264">VALUE(_xll.BDP($B264,"INTERVAL_DATE_OF_CALC_LO","CALC_INTERVAL","1M"))</f>
        <v>46036</v>
      </c>
      <c r="BJ264" s="15">
        <f>$F264-MIN(_xll.BDP("NYA Index","RSI_14D"),_xll.BDP("RSP US Equity","RSI_14D"))</f>
        <v>-2.5122761481063236</v>
      </c>
    </row>
    <row r="265" spans="1:62" x14ac:dyDescent="0.25">
      <c r="A265" s="11">
        <v>264</v>
      </c>
      <c r="B265" s="26" t="s">
        <v>498</v>
      </c>
      <c r="C265" s="1" t="s">
        <v>963</v>
      </c>
      <c r="D265" s="1" t="s">
        <v>308</v>
      </c>
      <c r="E265" s="11" t="s">
        <v>787</v>
      </c>
      <c r="F265">
        <f>IFERROR(VALUE((_xll.BDP($B265,"interval_rsi","tech_studies_param1_override",14))),"")</f>
        <v>45.250520163320282</v>
      </c>
      <c r="G265">
        <f t="shared" si="146"/>
        <v>52.525531939815814</v>
      </c>
      <c r="H265">
        <f t="shared" si="157"/>
        <v>0</v>
      </c>
      <c r="I265" cm="1">
        <f t="array" ref="I265">IFERROR(VALUE(_xll.BDP($B265,"px_last")),"")</f>
        <v>34.18</v>
      </c>
      <c r="J265">
        <f t="shared" si="147"/>
        <v>6941.47</v>
      </c>
      <c r="K265" cm="1">
        <f t="array" ref="K265">IFERROR(VALUE(_xll.BDP($B265,"PX_YEST_CLOSE")),"")</f>
        <v>33.82</v>
      </c>
      <c r="L265">
        <f t="shared" si="148"/>
        <v>6941.81</v>
      </c>
      <c r="M265">
        <f t="shared" si="158"/>
        <v>4.9240290601270335E-3</v>
      </c>
      <c r="N265">
        <f t="shared" si="159"/>
        <v>4.871928214687524E-3</v>
      </c>
      <c r="O265" cm="1">
        <f t="array" ref="O265">IFERROR(VALUE(_xll.BDP($B265,"INTERVAL_MAE_MOV_AVG","CALC_INTERVAL","520D","TECH_STUDIES_PARAM1_OVERRIDE",50,"USE_PREVIOUS_BUSINESS_DAY","N")),"")</f>
        <v>34.483376613303527</v>
      </c>
      <c r="P265">
        <f t="shared" si="149"/>
        <v>6894.0953999999992</v>
      </c>
      <c r="Q265" cm="1">
        <f t="array" ref="Q265">IFERROR(VALUE(_xll.BDP($B265,"INTERVAL_MAE_MOV_AVG","CALC_INTERVAL","520D","TECH_STUDIES_PARAM1_OVERRIDE",50,"USE_PREVIOUS_BUSINESS_DAY","Y")),"")</f>
        <v>34.455718353600012</v>
      </c>
      <c r="R265">
        <f t="shared" si="150"/>
        <v>6892.2477999999992</v>
      </c>
      <c r="S265">
        <f t="shared" si="160"/>
        <v>5.0018711103567747E-3</v>
      </c>
      <c r="T265">
        <f t="shared" si="161"/>
        <v>4.9991990063967253E-3</v>
      </c>
      <c r="U265" s="11" t="str">
        <f t="shared" si="162"/>
        <v>NEGATIVE</v>
      </c>
      <c r="V265" s="11" t="str">
        <f t="shared" si="163"/>
        <v/>
      </c>
      <c r="W265" s="11" t="str">
        <f t="shared" si="164"/>
        <v>UP</v>
      </c>
      <c r="X265" s="6" t="str">
        <f t="shared" si="165"/>
        <v>NEGATIVE</v>
      </c>
      <c r="Y265" cm="1">
        <f t="array" ref="Y265">IFERROR(VALUE(_xll.BDP($B265,"INTERVAL_MAE_MOV_AVG","CALC_INTERVAL","520D","TECH_STUDIES_PARAM1_OVERRIDE",65,"USE_PREVIOUS_BUSINESS_DAY","N")),"")</f>
        <v>34.185113577618097</v>
      </c>
      <c r="Z265">
        <f t="shared" si="151"/>
        <v>6856.0226153846133</v>
      </c>
      <c r="AA265" cm="1">
        <f t="array" ref="AA265">IFERROR(VALUE(_xll.BDP($B265,"INTERVAL_MAE_MOV_AVG","CALC_INTERVAL","520D","TECH_STUDIES_PARAM1_OVERRIDE",65,"USE_PREVIOUS_BUSINESS_DAY","Y")),"")</f>
        <v>34.166277742153852</v>
      </c>
      <c r="AB265">
        <f t="shared" si="152"/>
        <v>6852.6203076923057</v>
      </c>
      <c r="AC265">
        <f t="shared" si="166"/>
        <v>4.9861436426578004E-3</v>
      </c>
      <c r="AD265">
        <f t="shared" si="167"/>
        <v>4.9858705441188696E-3</v>
      </c>
      <c r="AE265" s="10" t="str">
        <f t="shared" si="168"/>
        <v>UP</v>
      </c>
      <c r="AF265" s="10" t="str">
        <f t="shared" si="169"/>
        <v>UP</v>
      </c>
      <c r="AG265" s="6" t="str">
        <f t="shared" si="170"/>
        <v>NEGATIVE</v>
      </c>
      <c r="AH265" cm="1">
        <f t="array" ref="AH265">IFERROR(VALUE(_xll.BDP($B265,"INTERVAL_MAE_MOV_AVG","CALC_INTERVAL","65W","PERIODICITY_OVERRIDE","W","TECH_STUDIES_PARAM1_OVERRIDE",39,"USE_PREVIOUS_BUSINESS_DAY","N")),"")</f>
        <v>34.573727024028429</v>
      </c>
      <c r="AI265">
        <f t="shared" si="153"/>
        <v>6560.7735897435905</v>
      </c>
      <c r="AJ265" cm="1">
        <f t="array" ref="AJ265">IFERROR(VALUE(_xll.BDP($B265,"INTERVAL_MAE_MOV_AVG","CALC_INTERVAL","65W","PERIODICITY_OVERRIDE","W","TECH_STUDIES_PARAM1_OVERRIDE",39,"USE_PREVIOUS_BUSINESS_DAY","Y")),"")</f>
        <v>34.564496246972638</v>
      </c>
      <c r="AK265">
        <f t="shared" si="154"/>
        <v>6560.7823076923087</v>
      </c>
      <c r="AL265">
        <f t="shared" si="171"/>
        <v>5.2697637787832343E-3</v>
      </c>
      <c r="AM265">
        <f t="shared" si="172"/>
        <v>5.2683498134737479E-3</v>
      </c>
      <c r="AN265" s="10" t="str">
        <f t="shared" si="173"/>
        <v>UP</v>
      </c>
      <c r="AO265" s="10" t="str">
        <f t="shared" si="174"/>
        <v>UP</v>
      </c>
      <c r="AP265" s="6" t="str">
        <f t="shared" si="175"/>
        <v>NEGATIVE</v>
      </c>
      <c r="AQ265" cm="1">
        <f t="array" ref="AQ265">IFERROR(VALUE(_xll.BDP($B265,"INTERVAL_exp_MOV_AVG","CALC_INTERVAL","520D","TECH_STUDIES_PARAM1_OVERRIDE",100,"USE_PREVIOUS_BUSINESS_DAY","N")),"")</f>
        <v>34.209205966856786</v>
      </c>
      <c r="AR265">
        <f t="shared" si="155"/>
        <v>6773.0064518682802</v>
      </c>
      <c r="AS265" cm="1">
        <f t="array" ref="AS265">IFERROR(VALUE(_xll.BDP($B265,"INTERVAL_exp_MOV_AVG","CALC_INTERVAL","520D","TECH_STUDIES_PARAM1_OVERRIDE",100,"USE_PREVIOUS_BUSINESS_DAY","Y")),"")</f>
        <v>34.209794267710421</v>
      </c>
      <c r="AT265">
        <f t="shared" si="156"/>
        <v>6769.6039787132295</v>
      </c>
      <c r="AU265">
        <f t="shared" si="176"/>
        <v>5.0508154997284029E-3</v>
      </c>
      <c r="AV265">
        <f t="shared" si="177"/>
        <v>5.053440995260854E-3</v>
      </c>
      <c r="AW265" s="11" t="str">
        <f t="shared" si="178"/>
        <v>DOWN</v>
      </c>
      <c r="AX265" s="11" t="str">
        <f t="shared" si="179"/>
        <v>DOWN</v>
      </c>
      <c r="AY265" s="6" t="str">
        <f t="shared" si="180"/>
        <v>NEGATIVE</v>
      </c>
      <c r="AZ265" s="12" cm="1">
        <f t="array" ref="AZ265">_xll.BDP($B265, "INTERVAL_RSI", "TECH_STUDIES_PARAM1_OVERRIDE", "5", "PERIODICITY_OVERRIDE", "W")</f>
        <v>43.390799435255133</v>
      </c>
      <c r="BA265" cm="1">
        <f t="array" ref="BA265">IFERROR(VALUE(_xll.BDP($B265,"INTERVAL_MAE_MOV_AVG","CALC_INTERVAL","520D","TECH_STUDIES_PARAM1_OVERRIDE",31,"USE_PREVIOUS_BUSINESS_DAY","N")),"")</f>
        <v>34.621290332425012</v>
      </c>
      <c r="BB265" cm="1">
        <f t="array" ref="BB265">IFERROR(VALUE(_xll.BDP($B265,"INTERVAL_MAE_MOV_AVG","CALC_INTERVAL","760D","TECH_STUDIES_PARAM1_OVERRIDE",200,"USE_PREVIOUS_BUSINESS_DAY","N")),"")</f>
        <v>34.574880789210873</v>
      </c>
      <c r="BC265" s="13">
        <f t="shared" si="181"/>
        <v>-1.2746212754864206E-2</v>
      </c>
      <c r="BD265" s="13">
        <f t="shared" si="182"/>
        <v>-8.7977641141583351E-3</v>
      </c>
      <c r="BE265" s="13">
        <f t="shared" si="183"/>
        <v>-1.1421031112682667E-2</v>
      </c>
      <c r="BF265" s="14" cm="1">
        <f t="array" ref="BF265">VALUE(_xll.BDP($B265,"INTERVAL_DATE_OF_CALC_HI","CALC_INTERVAL","3M"))</f>
        <v>46042</v>
      </c>
      <c r="BG265" s="14" cm="1">
        <f t="array" ref="BG265">VALUE(_xll.BDP($B265,"INTERVAL_DATE_OF_CALC_LO","CALC_INTERVAL","3M"))</f>
        <v>45987</v>
      </c>
      <c r="BH265" s="14" cm="1">
        <f t="array" ref="BH265">VALUE(_xll.BDP($B265,"INTERVAL_DATE_OF_CALC_HI","CALC_INTERVAL","1M"))</f>
        <v>46042</v>
      </c>
      <c r="BI265" s="14" cm="1">
        <f t="array" ref="BI265">VALUE(_xll.BDP($B265,"INTERVAL_DATE_OF_CALC_LO","CALC_INTERVAL","1M"))</f>
        <v>46063</v>
      </c>
      <c r="BJ265" s="15">
        <f>$F265-MIN(_xll.BDP("NYA Index","RSI_14D"),_xll.BDP("RSP US Equity","RSI_14D"))</f>
        <v>-21.095243996835968</v>
      </c>
    </row>
    <row r="266" spans="1:62" x14ac:dyDescent="0.25">
      <c r="A266" s="11">
        <v>265</v>
      </c>
      <c r="B266" s="26" t="s">
        <v>118</v>
      </c>
      <c r="C266" s="1" t="s">
        <v>964</v>
      </c>
      <c r="D266" s="1" t="s">
        <v>308</v>
      </c>
      <c r="E266" s="11" t="s">
        <v>787</v>
      </c>
      <c r="F266">
        <f>IFERROR(VALUE((_xll.BDP($B266,"interval_rsi","tech_studies_param1_override",14))),"")</f>
        <v>43.210681415689038</v>
      </c>
      <c r="G266">
        <f t="shared" si="146"/>
        <v>52.525531939815814</v>
      </c>
      <c r="H266">
        <f t="shared" si="157"/>
        <v>0</v>
      </c>
      <c r="I266" cm="1">
        <f t="array" ref="I266">IFERROR(VALUE(_xll.BDP($B266,"px_last")),"")</f>
        <v>8.36</v>
      </c>
      <c r="J266">
        <f t="shared" si="147"/>
        <v>6941.47</v>
      </c>
      <c r="K266" cm="1">
        <f t="array" ref="K266">IFERROR(VALUE(_xll.BDP($B266,"PX_YEST_CLOSE")),"")</f>
        <v>8.42</v>
      </c>
      <c r="L266">
        <f t="shared" si="148"/>
        <v>6941.81</v>
      </c>
      <c r="M266">
        <f t="shared" si="158"/>
        <v>1.2043558496975424E-3</v>
      </c>
      <c r="N266">
        <f t="shared" si="159"/>
        <v>1.2129401409718789E-3</v>
      </c>
      <c r="O266" cm="1">
        <f t="array" ref="O266">IFERROR(VALUE(_xll.BDP($B266,"INTERVAL_MAE_MOV_AVG","CALC_INTERVAL","520D","TECH_STUDIES_PARAM1_OVERRIDE",50,"USE_PREVIOUS_BUSINESS_DAY","N")),"")</f>
        <v>9.0691999931335427</v>
      </c>
      <c r="P266">
        <f t="shared" si="149"/>
        <v>6894.0953999999992</v>
      </c>
      <c r="Q266" cm="1">
        <f t="array" ref="Q266">IFERROR(VALUE(_xll.BDP($B266,"INTERVAL_MAE_MOV_AVG","CALC_INTERVAL","520D","TECH_STUDIES_PARAM1_OVERRIDE",50,"USE_PREVIOUS_BUSINESS_DAY","Y")),"")</f>
        <v>9.0783999999999985</v>
      </c>
      <c r="R266">
        <f t="shared" si="150"/>
        <v>6892.2477999999992</v>
      </c>
      <c r="S266">
        <f t="shared" si="160"/>
        <v>1.3155025375966721E-3</v>
      </c>
      <c r="T266">
        <f t="shared" si="161"/>
        <v>1.3171900174570044E-3</v>
      </c>
      <c r="U266" s="11" t="str">
        <f t="shared" si="162"/>
        <v>NEGATIVE</v>
      </c>
      <c r="V266" s="11" t="str">
        <f t="shared" si="163"/>
        <v/>
      </c>
      <c r="W266" s="11" t="str">
        <f t="shared" si="164"/>
        <v>DOWN</v>
      </c>
      <c r="X266" s="6" t="str">
        <f t="shared" si="165"/>
        <v>NEGATIVE</v>
      </c>
      <c r="Y266" cm="1">
        <f t="array" ref="Y266">IFERROR(VALUE(_xll.BDP($B266,"INTERVAL_MAE_MOV_AVG","CALC_INTERVAL","520D","TECH_STUDIES_PARAM1_OVERRIDE",65,"USE_PREVIOUS_BUSINESS_DAY","N")),"")</f>
        <v>9.1059999947181094</v>
      </c>
      <c r="Z266">
        <f t="shared" si="151"/>
        <v>6856.0226153846133</v>
      </c>
      <c r="AA266" cm="1">
        <f t="array" ref="AA266">IFERROR(VALUE(_xll.BDP($B266,"INTERVAL_MAE_MOV_AVG","CALC_INTERVAL","520D","TECH_STUDIES_PARAM1_OVERRIDE",65,"USE_PREVIOUS_BUSINESS_DAY","Y")),"")</f>
        <v>9.1366153846153839</v>
      </c>
      <c r="AB266">
        <f t="shared" si="152"/>
        <v>6852.6203076923057</v>
      </c>
      <c r="AC266">
        <f t="shared" si="166"/>
        <v>1.3281753146911514E-3</v>
      </c>
      <c r="AD266">
        <f t="shared" si="167"/>
        <v>1.3333024411638879E-3</v>
      </c>
      <c r="AE266" s="10" t="str">
        <f t="shared" si="168"/>
        <v>DOWN</v>
      </c>
      <c r="AF266" s="10" t="str">
        <f t="shared" si="169"/>
        <v>DOWN</v>
      </c>
      <c r="AG266" s="6" t="str">
        <f t="shared" si="170"/>
        <v>NEGATIVE</v>
      </c>
      <c r="AH266" cm="1">
        <f t="array" ref="AH266">IFERROR(VALUE(_xll.BDP($B266,"INTERVAL_MAE_MOV_AVG","CALC_INTERVAL","65W","PERIODICITY_OVERRIDE","W","TECH_STUDIES_PARAM1_OVERRIDE",39,"USE_PREVIOUS_BUSINESS_DAY","N")),"")</f>
        <v>9.701282042478903</v>
      </c>
      <c r="AI266">
        <f t="shared" si="153"/>
        <v>6560.7735897435905</v>
      </c>
      <c r="AJ266" cm="1">
        <f t="array" ref="AJ266">IFERROR(VALUE(_xll.BDP($B266,"INTERVAL_MAE_MOV_AVG","CALC_INTERVAL","65W","PERIODICITY_OVERRIDE","W","TECH_STUDIES_PARAM1_OVERRIDE",39,"USE_PREVIOUS_BUSINESS_DAY","Y")),"")</f>
        <v>9.7028205128205123</v>
      </c>
      <c r="AK266">
        <f t="shared" si="154"/>
        <v>6560.7823076923087</v>
      </c>
      <c r="AL266">
        <f t="shared" si="171"/>
        <v>1.4786795962056741E-3</v>
      </c>
      <c r="AM266">
        <f t="shared" si="172"/>
        <v>1.4789121262938818E-3</v>
      </c>
      <c r="AN266" s="10" t="str">
        <f t="shared" si="173"/>
        <v>DOWN</v>
      </c>
      <c r="AO266" s="10" t="str">
        <f t="shared" si="174"/>
        <v>DOWN</v>
      </c>
      <c r="AP266" s="6" t="str">
        <f t="shared" si="175"/>
        <v>NEGATIVE</v>
      </c>
      <c r="AQ266" cm="1">
        <f t="array" ref="AQ266">IFERROR(VALUE(_xll.BDP($B266,"INTERVAL_exp_MOV_AVG","CALC_INTERVAL","520D","TECH_STUDIES_PARAM1_OVERRIDE",100,"USE_PREVIOUS_BUSINESS_DAY","N")),"")</f>
        <v>9.3212491810613809</v>
      </c>
      <c r="AR266">
        <f t="shared" si="155"/>
        <v>6773.0064518682802</v>
      </c>
      <c r="AS266" cm="1">
        <f t="array" ref="AS266">IFERROR(VALUE(_xll.BDP($B266,"INTERVAL_exp_MOV_AVG","CALC_INTERVAL","520D","TECH_STUDIES_PARAM1_OVERRIDE",100,"USE_PREVIOUS_BUSINESS_DAY","Y")),"")</f>
        <v>9.3406665011810439</v>
      </c>
      <c r="AT266">
        <f t="shared" si="156"/>
        <v>6769.6039787132295</v>
      </c>
      <c r="AU266">
        <f t="shared" si="176"/>
        <v>1.3762350954929605E-3</v>
      </c>
      <c r="AV266">
        <f t="shared" si="177"/>
        <v>1.3797951151282152E-3</v>
      </c>
      <c r="AW266" s="11" t="str">
        <f t="shared" si="178"/>
        <v>DOWN</v>
      </c>
      <c r="AX266" s="11" t="str">
        <f t="shared" si="179"/>
        <v>DOWN</v>
      </c>
      <c r="AY266" s="6" t="str">
        <f t="shared" si="180"/>
        <v>NEGATIVE</v>
      </c>
      <c r="AZ266" s="12" cm="1">
        <f t="array" ref="AZ266">_xll.BDP($B266, "INTERVAL_RSI", "TECH_STUDIES_PARAM1_OVERRIDE", "5", "PERIODICITY_OVERRIDE", "W")</f>
        <v>35.721144604826947</v>
      </c>
      <c r="BA266" cm="1">
        <f t="array" ref="BA266">IFERROR(VALUE(_xll.BDP($B266,"INTERVAL_MAE_MOV_AVG","CALC_INTERVAL","520D","TECH_STUDIES_PARAM1_OVERRIDE",31,"USE_PREVIOUS_BUSINESS_DAY","N")),"")</f>
        <v>9.1090322469895852</v>
      </c>
      <c r="BB266" cm="1">
        <f t="array" ref="BB266">IFERROR(VALUE(_xll.BDP($B266,"INTERVAL_MAE_MOV_AVG","CALC_INTERVAL","760D","TECH_STUDIES_PARAM1_OVERRIDE",200,"USE_PREVIOUS_BUSINESS_DAY","N")),"")</f>
        <v>9.6931749982833892</v>
      </c>
      <c r="BC266" s="13">
        <f t="shared" si="181"/>
        <v>-8.2229618545606842E-2</v>
      </c>
      <c r="BD266" s="13">
        <f t="shared" si="182"/>
        <v>-7.8198737889835002E-2</v>
      </c>
      <c r="BE266" s="13">
        <f t="shared" si="183"/>
        <v>-0.13753749401197113</v>
      </c>
      <c r="BF266" s="14" cm="1">
        <f t="array" ref="BF266">VALUE(_xll.BDP($B266,"INTERVAL_DATE_OF_CALC_HI","CALC_INTERVAL","3M"))</f>
        <v>46027</v>
      </c>
      <c r="BG266" s="14" cm="1">
        <f t="array" ref="BG266">VALUE(_xll.BDP($B266,"INTERVAL_DATE_OF_CALC_LO","CALC_INTERVAL","3M"))</f>
        <v>46058</v>
      </c>
      <c r="BH266" s="14" cm="1">
        <f t="array" ref="BH266">VALUE(_xll.BDP($B266,"INTERVAL_DATE_OF_CALC_HI","CALC_INTERVAL","1M"))</f>
        <v>46034</v>
      </c>
      <c r="BI266" s="14" cm="1">
        <f t="array" ref="BI266">VALUE(_xll.BDP($B266,"INTERVAL_DATE_OF_CALC_LO","CALC_INTERVAL","1M"))</f>
        <v>46058</v>
      </c>
      <c r="BJ266" s="15">
        <f>$F266-MIN(_xll.BDP("NYA Index","RSI_14D"),_xll.BDP("RSP US Equity","RSI_14D"))</f>
        <v>-23.135082744467212</v>
      </c>
    </row>
    <row r="267" spans="1:62" x14ac:dyDescent="0.25">
      <c r="A267" s="11">
        <v>266</v>
      </c>
      <c r="B267" s="26" t="s">
        <v>499</v>
      </c>
      <c r="C267" s="1" t="s">
        <v>917</v>
      </c>
      <c r="D267" s="1" t="s">
        <v>308</v>
      </c>
      <c r="E267" s="11" t="s">
        <v>787</v>
      </c>
      <c r="F267">
        <f>IFERROR(VALUE((_xll.BDP($B267,"interval_rsi","tech_studies_param1_override",14))),"")</f>
        <v>60.017323181599444</v>
      </c>
      <c r="G267">
        <f t="shared" si="146"/>
        <v>52.525531939815814</v>
      </c>
      <c r="H267">
        <f t="shared" si="157"/>
        <v>0</v>
      </c>
      <c r="I267" cm="1">
        <f t="array" ref="I267">IFERROR(VALUE(_xll.BDP($B267,"px_last")),"")</f>
        <v>110.81</v>
      </c>
      <c r="J267">
        <f t="shared" si="147"/>
        <v>6941.47</v>
      </c>
      <c r="K267" cm="1">
        <f t="array" ref="K267">IFERROR(VALUE(_xll.BDP($B267,"PX_YEST_CLOSE")),"")</f>
        <v>110.99</v>
      </c>
      <c r="L267">
        <f t="shared" si="148"/>
        <v>6941.81</v>
      </c>
      <c r="M267">
        <f t="shared" si="158"/>
        <v>1.5963477476672809E-2</v>
      </c>
      <c r="N267">
        <f t="shared" si="159"/>
        <v>1.5988625444948792E-2</v>
      </c>
      <c r="O267" cm="1">
        <f t="array" ref="O267">IFERROR(VALUE(_xll.BDP($B267,"INTERVAL_MAE_MOV_AVG","CALC_INTERVAL","520D","TECH_STUDIES_PARAM1_OVERRIDE",50,"USE_PREVIOUS_BUSINESS_DAY","N")),"")</f>
        <v>110.1799396911719</v>
      </c>
      <c r="P267">
        <f t="shared" si="149"/>
        <v>6894.0953999999992</v>
      </c>
      <c r="Q267" cm="1">
        <f t="array" ref="Q267">IFERROR(VALUE(_xll.BDP($B267,"INTERVAL_MAE_MOV_AVG","CALC_INTERVAL","520D","TECH_STUDIES_PARAM1_OVERRIDE",50,"USE_PREVIOUS_BUSINESS_DAY","Y")),"")</f>
        <v>110.17562407490861</v>
      </c>
      <c r="R267">
        <f t="shared" si="150"/>
        <v>6892.2477999999992</v>
      </c>
      <c r="S267">
        <f t="shared" si="160"/>
        <v>1.5981783439082076E-2</v>
      </c>
      <c r="T267">
        <f t="shared" si="161"/>
        <v>1.5985441509359054E-2</v>
      </c>
      <c r="U267" s="11" t="str">
        <f t="shared" si="162"/>
        <v>NEGATIVE</v>
      </c>
      <c r="V267" s="11" t="str">
        <f t="shared" si="163"/>
        <v/>
      </c>
      <c r="W267" s="11" t="str">
        <f t="shared" si="164"/>
        <v>DOWN</v>
      </c>
      <c r="X267" s="6" t="str">
        <f t="shared" si="165"/>
        <v>SELL</v>
      </c>
      <c r="Y267" cm="1">
        <f t="array" ref="Y267">IFERROR(VALUE(_xll.BDP($B267,"INTERVAL_MAE_MOV_AVG","CALC_INTERVAL","520D","TECH_STUDIES_PARAM1_OVERRIDE",65,"USE_PREVIOUS_BUSINESS_DAY","N")),"")</f>
        <v>110.21850086422351</v>
      </c>
      <c r="Z267">
        <f t="shared" si="151"/>
        <v>6856.0226153846133</v>
      </c>
      <c r="AA267" cm="1">
        <f t="array" ref="AA267">IFERROR(VALUE(_xll.BDP($B267,"INTERVAL_MAE_MOV_AVG","CALC_INTERVAL","520D","TECH_STUDIES_PARAM1_OVERRIDE",65,"USE_PREVIOUS_BUSINESS_DAY","Y")),"")</f>
        <v>110.20936998912349</v>
      </c>
      <c r="AB267">
        <f t="shared" si="152"/>
        <v>6852.6203076923057</v>
      </c>
      <c r="AC267">
        <f t="shared" si="166"/>
        <v>1.6076157715247036E-2</v>
      </c>
      <c r="AD267">
        <f t="shared" si="167"/>
        <v>1.6082807019879623E-2</v>
      </c>
      <c r="AE267" s="10" t="str">
        <f t="shared" si="168"/>
        <v>UP</v>
      </c>
      <c r="AF267" s="10" t="str">
        <f t="shared" si="169"/>
        <v>DOWN</v>
      </c>
      <c r="AG267" s="6" t="str">
        <f t="shared" si="170"/>
        <v>NEGATIVE</v>
      </c>
      <c r="AH267" cm="1">
        <f t="array" ref="AH267">IFERROR(VALUE(_xll.BDP($B267,"INTERVAL_MAE_MOV_AVG","CALC_INTERVAL","65W","PERIODICITY_OVERRIDE","W","TECH_STUDIES_PARAM1_OVERRIDE",39,"USE_PREVIOUS_BUSINESS_DAY","N")),"")</f>
        <v>109.27457039412316</v>
      </c>
      <c r="AI267">
        <f t="shared" si="153"/>
        <v>6560.7735897435905</v>
      </c>
      <c r="AJ267" cm="1">
        <f t="array" ref="AJ267">IFERROR(VALUE(_xll.BDP($B267,"INTERVAL_MAE_MOV_AVG","CALC_INTERVAL","65W","PERIODICITY_OVERRIDE","W","TECH_STUDIES_PARAM1_OVERRIDE",39,"USE_PREVIOUS_BUSINESS_DAY","Y")),"")</f>
        <v>109.2791858413387</v>
      </c>
      <c r="AK267">
        <f t="shared" si="154"/>
        <v>6560.7823076923087</v>
      </c>
      <c r="AL267">
        <f t="shared" si="171"/>
        <v>1.6655744768414398E-2</v>
      </c>
      <c r="AM267">
        <f t="shared" si="172"/>
        <v>1.6656426126684973E-2</v>
      </c>
      <c r="AN267" s="10" t="str">
        <f t="shared" si="173"/>
        <v>DOWN</v>
      </c>
      <c r="AO267" s="10" t="str">
        <f t="shared" si="174"/>
        <v>DOWN</v>
      </c>
      <c r="AP267" s="6" t="str">
        <f t="shared" si="175"/>
        <v>NEGATIVE</v>
      </c>
      <c r="AQ267" cm="1">
        <f t="array" ref="AQ267">IFERROR(VALUE(_xll.BDP($B267,"INTERVAL_exp_MOV_AVG","CALC_INTERVAL","520D","TECH_STUDIES_PARAM1_OVERRIDE",100,"USE_PREVIOUS_BUSINESS_DAY","N")),"")</f>
        <v>109.97994813307385</v>
      </c>
      <c r="AR267">
        <f t="shared" si="155"/>
        <v>6773.0064518682802</v>
      </c>
      <c r="AS267" cm="1">
        <f t="array" ref="AS267">IFERROR(VALUE(_xll.BDP($B267,"INTERVAL_exp_MOV_AVG","CALC_INTERVAL","520D","TECH_STUDIES_PARAM1_OVERRIDE",100,"USE_PREVIOUS_BUSINESS_DAY","Y")),"")</f>
        <v>109.96318910732239</v>
      </c>
      <c r="AT267">
        <f t="shared" si="156"/>
        <v>6769.6039787132295</v>
      </c>
      <c r="AU267">
        <f t="shared" si="176"/>
        <v>1.6237980712795089E-2</v>
      </c>
      <c r="AV267">
        <f t="shared" si="177"/>
        <v>1.6243666461597694E-2</v>
      </c>
      <c r="AW267" s="11" t="str">
        <f t="shared" si="178"/>
        <v>UP</v>
      </c>
      <c r="AX267" s="11" t="str">
        <f t="shared" si="179"/>
        <v>DOWN</v>
      </c>
      <c r="AY267" s="6" t="str">
        <f t="shared" si="180"/>
        <v>NEGATIVE</v>
      </c>
      <c r="AZ267" s="12" cm="1">
        <f t="array" ref="AZ267">_xll.BDP($B267, "INTERVAL_RSI", "TECH_STUDIES_PARAM1_OVERRIDE", "5", "PERIODICITY_OVERRIDE", "W")</f>
        <v>76.376870212120082</v>
      </c>
      <c r="BA267" cm="1">
        <f t="array" ref="BA267">IFERROR(VALUE(_xll.BDP($B267,"INTERVAL_MAE_MOV_AVG","CALC_INTERVAL","520D","TECH_STUDIES_PARAM1_OVERRIDE",31,"USE_PREVIOUS_BUSINESS_DAY","N")),"")</f>
        <v>110.28129024382561</v>
      </c>
      <c r="BB267" cm="1">
        <f t="array" ref="BB267">IFERROR(VALUE(_xll.BDP($B267,"INTERVAL_MAE_MOV_AVG","CALC_INTERVAL","760D","TECH_STUDIES_PARAM1_OVERRIDE",200,"USE_PREVIOUS_BUSINESS_DAY","N")),"")</f>
        <v>109.03262061466519</v>
      </c>
      <c r="BC267" s="13">
        <f t="shared" si="181"/>
        <v>4.7941926958365855E-3</v>
      </c>
      <c r="BD267" s="13">
        <f t="shared" si="182"/>
        <v>5.7184666337095624E-3</v>
      </c>
      <c r="BE267" s="13">
        <f t="shared" si="183"/>
        <v>1.6301354359043563E-2</v>
      </c>
      <c r="BF267" s="14" cm="1">
        <f t="array" ref="BF267">VALUE(_xll.BDP($B267,"INTERVAL_DATE_OF_CALC_HI","CALC_INTERVAL","3M"))</f>
        <v>46063</v>
      </c>
      <c r="BG267" s="14" cm="1">
        <f t="array" ref="BG267">VALUE(_xll.BDP($B267,"INTERVAL_DATE_OF_CALC_LO","CALC_INTERVAL","3M"))</f>
        <v>46042</v>
      </c>
      <c r="BH267" s="14" cm="1">
        <f t="array" ref="BH267">VALUE(_xll.BDP($B267,"INTERVAL_DATE_OF_CALC_HI","CALC_INTERVAL","1M"))</f>
        <v>46063</v>
      </c>
      <c r="BI267" s="14" cm="1">
        <f t="array" ref="BI267">VALUE(_xll.BDP($B267,"INTERVAL_DATE_OF_CALC_LO","CALC_INTERVAL","1M"))</f>
        <v>46042</v>
      </c>
      <c r="BJ267" s="15">
        <f>$F267-MIN(_xll.BDP("NYA Index","RSI_14D"),_xll.BDP("RSP US Equity","RSI_14D"))</f>
        <v>-6.3284409785568059</v>
      </c>
    </row>
    <row r="268" spans="1:62" x14ac:dyDescent="0.25">
      <c r="A268" s="11">
        <v>267</v>
      </c>
      <c r="B268" s="26" t="s">
        <v>175</v>
      </c>
      <c r="C268" s="1" t="s">
        <v>918</v>
      </c>
      <c r="D268" s="1" t="s">
        <v>308</v>
      </c>
      <c r="E268" s="11" t="s">
        <v>787</v>
      </c>
      <c r="F268">
        <f>IFERROR(VALUE((_xll.BDP($B268,"interval_rsi","tech_studies_param1_override",14))),"")</f>
        <v>56.124064801157374</v>
      </c>
      <c r="G268">
        <f t="shared" si="146"/>
        <v>52.525531939815814</v>
      </c>
      <c r="H268">
        <f t="shared" si="157"/>
        <v>0</v>
      </c>
      <c r="I268" cm="1">
        <f t="array" ref="I268">IFERROR(VALUE(_xll.BDP($B268,"px_last")),"")</f>
        <v>88.06</v>
      </c>
      <c r="J268">
        <f t="shared" si="147"/>
        <v>6941.47</v>
      </c>
      <c r="K268" cm="1">
        <f t="array" ref="K268">IFERROR(VALUE(_xll.BDP($B268,"PX_YEST_CLOSE")),"")</f>
        <v>88.53</v>
      </c>
      <c r="L268">
        <f t="shared" si="148"/>
        <v>6941.81</v>
      </c>
      <c r="M268">
        <f t="shared" si="158"/>
        <v>1.2686073699086793E-2</v>
      </c>
      <c r="N268">
        <f t="shared" si="159"/>
        <v>1.2753158038033308E-2</v>
      </c>
      <c r="O268" cm="1">
        <f t="array" ref="O268">IFERROR(VALUE(_xll.BDP($B268,"INTERVAL_MAE_MOV_AVG","CALC_INTERVAL","520D","TECH_STUDIES_PARAM1_OVERRIDE",50,"USE_PREVIOUS_BUSINESS_DAY","N")),"")</f>
        <v>87.373137802107379</v>
      </c>
      <c r="P268">
        <f t="shared" si="149"/>
        <v>6894.0953999999992</v>
      </c>
      <c r="Q268" cm="1">
        <f t="array" ref="Q268">IFERROR(VALUE(_xll.BDP($B268,"INTERVAL_MAE_MOV_AVG","CALC_INTERVAL","520D","TECH_STUDIES_PARAM1_OVERRIDE",50,"USE_PREVIOUS_BUSINESS_DAY","Y")),"")</f>
        <v>87.395925520661422</v>
      </c>
      <c r="R268">
        <f t="shared" si="150"/>
        <v>6892.2477999999992</v>
      </c>
      <c r="S268">
        <f t="shared" si="160"/>
        <v>1.2673618906130512E-2</v>
      </c>
      <c r="T268">
        <f t="shared" si="161"/>
        <v>1.2680322596738531E-2</v>
      </c>
      <c r="U268" s="11" t="str">
        <f t="shared" si="162"/>
        <v>NEGATIVE</v>
      </c>
      <c r="V268" s="11" t="str">
        <f t="shared" si="163"/>
        <v/>
      </c>
      <c r="W268" s="11" t="str">
        <f t="shared" si="164"/>
        <v>DOWN</v>
      </c>
      <c r="X268" s="6" t="str">
        <f t="shared" si="165"/>
        <v>POSITIVE</v>
      </c>
      <c r="Y268" cm="1">
        <f t="array" ref="Y268">IFERROR(VALUE(_xll.BDP($B268,"INTERVAL_MAE_MOV_AVG","CALC_INTERVAL","520D","TECH_STUDIES_PARAM1_OVERRIDE",65,"USE_PREVIOUS_BUSINESS_DAY","N")),"")</f>
        <v>87.660102712622376</v>
      </c>
      <c r="Z268">
        <f t="shared" si="151"/>
        <v>6856.0226153846133</v>
      </c>
      <c r="AA268" cm="1">
        <f t="array" ref="AA268">IFERROR(VALUE(_xll.BDP($B268,"INTERVAL_MAE_MOV_AVG","CALC_INTERVAL","520D","TECH_STUDIES_PARAM1_OVERRIDE",65,"USE_PREVIOUS_BUSINESS_DAY","Y")),"")</f>
        <v>87.67078620873302</v>
      </c>
      <c r="AB268">
        <f t="shared" si="152"/>
        <v>6852.6203076923057</v>
      </c>
      <c r="AC268">
        <f t="shared" si="166"/>
        <v>1.2785853785825758E-2</v>
      </c>
      <c r="AD268">
        <f t="shared" si="167"/>
        <v>1.2793760966198506E-2</v>
      </c>
      <c r="AE268" s="10" t="str">
        <f t="shared" si="168"/>
        <v>DOWN</v>
      </c>
      <c r="AF268" s="10" t="str">
        <f t="shared" si="169"/>
        <v>DOWN</v>
      </c>
      <c r="AG268" s="6" t="str">
        <f t="shared" si="170"/>
        <v>NEGATIVE</v>
      </c>
      <c r="AH268" cm="1">
        <f t="array" ref="AH268">IFERROR(VALUE(_xll.BDP($B268,"INTERVAL_MAE_MOV_AVG","CALC_INTERVAL","65W","PERIODICITY_OVERRIDE","W","TECH_STUDIES_PARAM1_OVERRIDE",39,"USE_PREVIOUS_BUSINESS_DAY","N")),"")</f>
        <v>86.481956728935273</v>
      </c>
      <c r="AI268">
        <f t="shared" si="153"/>
        <v>6560.7735897435905</v>
      </c>
      <c r="AJ268" cm="1">
        <f t="array" ref="AJ268">IFERROR(VALUE(_xll.BDP($B268,"INTERVAL_MAE_MOV_AVG","CALC_INTERVAL","65W","PERIODICITY_OVERRIDE","W","TECH_STUDIES_PARAM1_OVERRIDE",39,"USE_PREVIOUS_BUSINESS_DAY","Y")),"")</f>
        <v>86.494008073586713</v>
      </c>
      <c r="AK268">
        <f t="shared" si="154"/>
        <v>6560.7823076923087</v>
      </c>
      <c r="AL268">
        <f t="shared" si="171"/>
        <v>1.3181670659102135E-2</v>
      </c>
      <c r="AM268">
        <f t="shared" si="172"/>
        <v>1.3183490019501979E-2</v>
      </c>
      <c r="AN268" s="10" t="str">
        <f t="shared" si="173"/>
        <v>DOWN</v>
      </c>
      <c r="AO268" s="10" t="str">
        <f t="shared" si="174"/>
        <v>DOWN</v>
      </c>
      <c r="AP268" s="6" t="str">
        <f t="shared" si="175"/>
        <v>NEGATIVE</v>
      </c>
      <c r="AQ268" cm="1">
        <f t="array" ref="AQ268">IFERROR(VALUE(_xll.BDP($B268,"INTERVAL_exp_MOV_AVG","CALC_INTERVAL","520D","TECH_STUDIES_PARAM1_OVERRIDE",100,"USE_PREVIOUS_BUSINESS_DAY","N")),"")</f>
        <v>87.427638305438919</v>
      </c>
      <c r="AR268">
        <f t="shared" si="155"/>
        <v>6773.0064518682802</v>
      </c>
      <c r="AS268" cm="1">
        <f t="array" ref="AS268">IFERROR(VALUE(_xll.BDP($B268,"INTERVAL_exp_MOV_AVG","CALC_INTERVAL","520D","TECH_STUDIES_PARAM1_OVERRIDE",100,"USE_PREVIOUS_BUSINESS_DAY","Y")),"")</f>
        <v>87.414867636003393</v>
      </c>
      <c r="AT268">
        <f t="shared" si="156"/>
        <v>6769.6039787132295</v>
      </c>
      <c r="AU268">
        <f t="shared" si="176"/>
        <v>1.2908246718312618E-2</v>
      </c>
      <c r="AV268">
        <f t="shared" si="177"/>
        <v>1.2912848064802052E-2</v>
      </c>
      <c r="AW268" s="11" t="str">
        <f t="shared" si="178"/>
        <v>UP</v>
      </c>
      <c r="AX268" s="11" t="str">
        <f t="shared" si="179"/>
        <v>DOWN</v>
      </c>
      <c r="AY268" s="6" t="str">
        <f t="shared" si="180"/>
        <v>NEGATIVE</v>
      </c>
      <c r="AZ268" s="12" cm="1">
        <f t="array" ref="AZ268">_xll.BDP($B268, "INTERVAL_RSI", "TECH_STUDIES_PARAM1_OVERRIDE", "5", "PERIODICITY_OVERRIDE", "W")</f>
        <v>60.792725830067873</v>
      </c>
      <c r="BA268" cm="1">
        <f t="array" ref="BA268">IFERROR(VALUE(_xll.BDP($B268,"INTERVAL_MAE_MOV_AVG","CALC_INTERVAL","520D","TECH_STUDIES_PARAM1_OVERRIDE",31,"USE_PREVIOUS_BUSINESS_DAY","N")),"")</f>
        <v>87.330363938664291</v>
      </c>
      <c r="BB268" cm="1">
        <f t="array" ref="BB268">IFERROR(VALUE(_xll.BDP($B268,"INTERVAL_MAE_MOV_AVG","CALC_INTERVAL","760D","TECH_STUDIES_PARAM1_OVERRIDE",200,"USE_PREVIOUS_BUSINESS_DAY","N")),"")</f>
        <v>86.351585872584309</v>
      </c>
      <c r="BC268" s="13">
        <f t="shared" si="181"/>
        <v>8.3548954616536886E-3</v>
      </c>
      <c r="BD268" s="13">
        <f t="shared" si="182"/>
        <v>7.8612513544873419E-3</v>
      </c>
      <c r="BE268" s="13">
        <f t="shared" si="183"/>
        <v>1.9784397821442923E-2</v>
      </c>
      <c r="BF268" s="14" cm="1">
        <f t="array" ref="BF268">VALUE(_xll.BDP($B268,"INTERVAL_DATE_OF_CALC_HI","CALC_INTERVAL","3M"))</f>
        <v>45987</v>
      </c>
      <c r="BG268" s="14" cm="1">
        <f t="array" ref="BG268">VALUE(_xll.BDP($B268,"INTERVAL_DATE_OF_CALC_LO","CALC_INTERVAL","3M"))</f>
        <v>46042</v>
      </c>
      <c r="BH268" s="14" cm="1">
        <f t="array" ref="BH268">VALUE(_xll.BDP($B268,"INTERVAL_DATE_OF_CALC_HI","CALC_INTERVAL","1M"))</f>
        <v>46063</v>
      </c>
      <c r="BI268" s="14" cm="1">
        <f t="array" ref="BI268">VALUE(_xll.BDP($B268,"INTERVAL_DATE_OF_CALC_LO","CALC_INTERVAL","1M"))</f>
        <v>46042</v>
      </c>
      <c r="BJ268" s="15">
        <f>$F268-MIN(_xll.BDP("NYA Index","RSI_14D"),_xll.BDP("RSP US Equity","RSI_14D"))</f>
        <v>-10.221699358998876</v>
      </c>
    </row>
    <row r="269" spans="1:62" x14ac:dyDescent="0.25">
      <c r="A269" s="11">
        <v>268</v>
      </c>
      <c r="B269" s="26" t="s">
        <v>500</v>
      </c>
      <c r="C269" s="1" t="s">
        <v>919</v>
      </c>
      <c r="D269" s="1" t="s">
        <v>308</v>
      </c>
      <c r="E269" s="11" t="s">
        <v>787</v>
      </c>
      <c r="F269">
        <f>IFERROR(VALUE((_xll.BDP($B269,"interval_rsi","tech_studies_param1_override",14))),"")</f>
        <v>67.627534240250156</v>
      </c>
      <c r="G269">
        <f t="shared" si="146"/>
        <v>52.525531939815814</v>
      </c>
      <c r="H269">
        <f t="shared" si="157"/>
        <v>1</v>
      </c>
      <c r="I269" cm="1">
        <f t="array" ref="I269">IFERROR(VALUE(_xll.BDP($B269,"px_last")),"")</f>
        <v>41.21</v>
      </c>
      <c r="J269">
        <f t="shared" si="147"/>
        <v>6941.47</v>
      </c>
      <c r="K269" cm="1">
        <f t="array" ref="K269">IFERROR(VALUE(_xll.BDP($B269,"PX_YEST_CLOSE")),"")</f>
        <v>40.97</v>
      </c>
      <c r="L269">
        <f t="shared" si="148"/>
        <v>6941.81</v>
      </c>
      <c r="M269">
        <f t="shared" si="158"/>
        <v>5.9367828428272392E-3</v>
      </c>
      <c r="N269">
        <f t="shared" si="159"/>
        <v>5.9019189519736205E-3</v>
      </c>
      <c r="O269" cm="1">
        <f t="array" ref="O269">IFERROR(VALUE(_xll.BDP($B269,"INTERVAL_MAE_MOV_AVG","CALC_INTERVAL","520D","TECH_STUDIES_PARAM1_OVERRIDE",50,"USE_PREVIOUS_BUSINESS_DAY","N")),"")</f>
        <v>37.017405151089456</v>
      </c>
      <c r="P269">
        <f t="shared" si="149"/>
        <v>6894.0953999999992</v>
      </c>
      <c r="Q269" cm="1">
        <f t="array" ref="Q269">IFERROR(VALUE(_xll.BDP($B269,"INTERVAL_MAE_MOV_AVG","CALC_INTERVAL","520D","TECH_STUDIES_PARAM1_OVERRIDE",50,"USE_PREVIOUS_BUSINESS_DAY","Y")),"")</f>
        <v>36.856383899400001</v>
      </c>
      <c r="R269">
        <f t="shared" si="150"/>
        <v>6892.2477999999992</v>
      </c>
      <c r="S269">
        <f t="shared" si="160"/>
        <v>5.3694361628777955E-3</v>
      </c>
      <c r="T269">
        <f t="shared" si="161"/>
        <v>5.3475128824300262E-3</v>
      </c>
      <c r="U269" s="11" t="str">
        <f t="shared" si="162"/>
        <v>POSITIVE</v>
      </c>
      <c r="V269" s="11" t="str">
        <f t="shared" si="163"/>
        <v/>
      </c>
      <c r="W269" s="11" t="str">
        <f t="shared" si="164"/>
        <v>UP</v>
      </c>
      <c r="X269" s="6" t="str">
        <f t="shared" si="165"/>
        <v>POSITIVE</v>
      </c>
      <c r="Y269" cm="1">
        <f t="array" ref="Y269">IFERROR(VALUE(_xll.BDP($B269,"INTERVAL_MAE_MOV_AVG","CALC_INTERVAL","520D","TECH_STUDIES_PARAM1_OVERRIDE",65,"USE_PREVIOUS_BUSINESS_DAY","N")),"")</f>
        <v>36.099731216068804</v>
      </c>
      <c r="Z269">
        <f t="shared" si="151"/>
        <v>6856.0226153846133</v>
      </c>
      <c r="AA269" cm="1">
        <f t="array" ref="AA269">IFERROR(VALUE(_xll.BDP($B269,"INTERVAL_MAE_MOV_AVG","CALC_INTERVAL","520D","TECH_STUDIES_PARAM1_OVERRIDE",65,"USE_PREVIOUS_BUSINESS_DAY","Y")),"")</f>
        <v>35.987289703230751</v>
      </c>
      <c r="AB269">
        <f t="shared" si="152"/>
        <v>6852.6203076923057</v>
      </c>
      <c r="AC269">
        <f t="shared" si="166"/>
        <v>5.2654043373577264E-3</v>
      </c>
      <c r="AD269">
        <f t="shared" si="167"/>
        <v>5.2516100538700155E-3</v>
      </c>
      <c r="AE269" s="10" t="str">
        <f t="shared" si="168"/>
        <v>UP</v>
      </c>
      <c r="AF269" s="10" t="str">
        <f t="shared" si="169"/>
        <v>UP</v>
      </c>
      <c r="AG269" s="6" t="str">
        <f t="shared" si="170"/>
        <v>POSITIVE</v>
      </c>
      <c r="AH269" cm="1">
        <f t="array" ref="AH269">IFERROR(VALUE(_xll.BDP($B269,"INTERVAL_MAE_MOV_AVG","CALC_INTERVAL","65W","PERIODICITY_OVERRIDE","W","TECH_STUDIES_PARAM1_OVERRIDE",39,"USE_PREVIOUS_BUSINESS_DAY","N")),"")</f>
        <v>34.019764494814339</v>
      </c>
      <c r="AI269">
        <f t="shared" si="153"/>
        <v>6560.7735897435905</v>
      </c>
      <c r="AJ269" cm="1">
        <f t="array" ref="AJ269">IFERROR(VALUE(_xll.BDP($B269,"INTERVAL_MAE_MOV_AVG","CALC_INTERVAL","65W","PERIODICITY_OVERRIDE","W","TECH_STUDIES_PARAM1_OVERRIDE",39,"USE_PREVIOUS_BUSINESS_DAY","Y")),"")</f>
        <v>34.013610672135556</v>
      </c>
      <c r="AK269">
        <f t="shared" si="154"/>
        <v>6560.7823076923087</v>
      </c>
      <c r="AL269">
        <f t="shared" si="171"/>
        <v>5.1853282283658118E-3</v>
      </c>
      <c r="AM269">
        <f t="shared" si="172"/>
        <v>5.1843833672480912E-3</v>
      </c>
      <c r="AN269" s="10" t="str">
        <f t="shared" si="173"/>
        <v>UP</v>
      </c>
      <c r="AO269" s="10" t="str">
        <f t="shared" si="174"/>
        <v>UP</v>
      </c>
      <c r="AP269" s="6" t="str">
        <f t="shared" si="175"/>
        <v>POSITIVE</v>
      </c>
      <c r="AQ269" cm="1">
        <f t="array" ref="AQ269">IFERROR(VALUE(_xll.BDP($B269,"INTERVAL_exp_MOV_AVG","CALC_INTERVAL","520D","TECH_STUDIES_PARAM1_OVERRIDE",100,"USE_PREVIOUS_BUSINESS_DAY","N")),"")</f>
        <v>36.098445542097167</v>
      </c>
      <c r="AR269">
        <f t="shared" si="155"/>
        <v>6773.0064518682802</v>
      </c>
      <c r="AS269" cm="1">
        <f t="array" ref="AS269">IFERROR(VALUE(_xll.BDP($B269,"INTERVAL_exp_MOV_AVG","CALC_INTERVAL","520D","TECH_STUDIES_PARAM1_OVERRIDE",100,"USE_PREVIOUS_BUSINESS_DAY","Y")),"")</f>
        <v>35.995186001464546</v>
      </c>
      <c r="AT269">
        <f t="shared" si="156"/>
        <v>6769.6039787132295</v>
      </c>
      <c r="AU269">
        <f t="shared" si="176"/>
        <v>5.3297521268623176E-3</v>
      </c>
      <c r="AV269">
        <f t="shared" si="177"/>
        <v>5.3171775061953523E-3</v>
      </c>
      <c r="AW269" s="11" t="str">
        <f t="shared" si="178"/>
        <v>UP</v>
      </c>
      <c r="AX269" s="11" t="str">
        <f t="shared" si="179"/>
        <v>UP</v>
      </c>
      <c r="AY269" s="6" t="str">
        <f t="shared" si="180"/>
        <v>POSITIVE</v>
      </c>
      <c r="AZ269" s="12" cm="1">
        <f t="array" ref="AZ269">_xll.BDP($B269, "INTERVAL_RSI", "TECH_STUDIES_PARAM1_OVERRIDE", "5", "PERIODICITY_OVERRIDE", "W")</f>
        <v>87.743728143156901</v>
      </c>
      <c r="BA269" cm="1">
        <f t="array" ref="BA269">IFERROR(VALUE(_xll.BDP($B269,"INTERVAL_MAE_MOV_AVG","CALC_INTERVAL","520D","TECH_STUDIES_PARAM1_OVERRIDE",31,"USE_PREVIOUS_BUSINESS_DAY","N")),"")</f>
        <v>38.658387067241058</v>
      </c>
      <c r="BB269" cm="1">
        <f t="array" ref="BB269">IFERROR(VALUE(_xll.BDP($B269,"INTERVAL_MAE_MOV_AVG","CALC_INTERVAL","760D","TECH_STUDIES_PARAM1_OVERRIDE",200,"USE_PREVIOUS_BUSINESS_DAY","N")),"")</f>
        <v>33.69076504177287</v>
      </c>
      <c r="BC269" s="13">
        <f t="shared" si="181"/>
        <v>6.6004122942862509E-2</v>
      </c>
      <c r="BD269" s="13">
        <f t="shared" si="182"/>
        <v>0.11326009567116158</v>
      </c>
      <c r="BE269" s="13">
        <f t="shared" si="183"/>
        <v>0.22318385910513161</v>
      </c>
      <c r="BF269" s="14" cm="1">
        <f t="array" ref="BF269">VALUE(_xll.BDP($B269,"INTERVAL_DATE_OF_CALC_HI","CALC_INTERVAL","3M"))</f>
        <v>46051</v>
      </c>
      <c r="BG269" s="14" cm="1">
        <f t="array" ref="BG269">VALUE(_xll.BDP($B269,"INTERVAL_DATE_OF_CALC_LO","CALC_INTERVAL","3M"))</f>
        <v>45974</v>
      </c>
      <c r="BH269" s="14" cm="1">
        <f t="array" ref="BH269">VALUE(_xll.BDP($B269,"INTERVAL_DATE_OF_CALC_HI","CALC_INTERVAL","1M"))</f>
        <v>46051</v>
      </c>
      <c r="BI269" s="14" cm="1">
        <f t="array" ref="BI269">VALUE(_xll.BDP($B269,"INTERVAL_DATE_OF_CALC_LO","CALC_INTERVAL","1M"))</f>
        <v>46034</v>
      </c>
      <c r="BJ269" s="15">
        <f>$F269-MIN(_xll.BDP("NYA Index","RSI_14D"),_xll.BDP("RSP US Equity","RSI_14D"))</f>
        <v>1.2817700800939065</v>
      </c>
    </row>
    <row r="270" spans="1:62" x14ac:dyDescent="0.25">
      <c r="A270" s="11">
        <v>269</v>
      </c>
      <c r="B270" s="26" t="s">
        <v>501</v>
      </c>
      <c r="C270" s="1" t="s">
        <v>920</v>
      </c>
      <c r="D270" s="1" t="s">
        <v>308</v>
      </c>
      <c r="E270" s="11" t="s">
        <v>787</v>
      </c>
      <c r="F270">
        <f>IFERROR(VALUE((_xll.BDP($B270,"interval_rsi","tech_studies_param1_override",14))),"")</f>
        <v>77.758207545834139</v>
      </c>
      <c r="G270">
        <f t="shared" si="146"/>
        <v>52.525531939815814</v>
      </c>
      <c r="H270">
        <f t="shared" si="157"/>
        <v>1</v>
      </c>
      <c r="I270" cm="1">
        <f t="array" ref="I270">IFERROR(VALUE(_xll.BDP($B270,"px_last")),"")</f>
        <v>21.83</v>
      </c>
      <c r="J270">
        <f t="shared" si="147"/>
        <v>6941.47</v>
      </c>
      <c r="K270" cm="1">
        <f t="array" ref="K270">IFERROR(VALUE(_xll.BDP($B270,"PX_YEST_CLOSE")),"")</f>
        <v>21.9</v>
      </c>
      <c r="L270">
        <f t="shared" si="148"/>
        <v>6941.81</v>
      </c>
      <c r="M270">
        <f t="shared" si="158"/>
        <v>3.144867009437482E-3</v>
      </c>
      <c r="N270">
        <f t="shared" si="159"/>
        <v>3.1547968037154571E-3</v>
      </c>
      <c r="O270" cm="1">
        <f t="array" ref="O270">IFERROR(VALUE(_xll.BDP($B270,"INTERVAL_MAE_MOV_AVG","CALC_INTERVAL","520D","TECH_STUDIES_PARAM1_OVERRIDE",50,"USE_PREVIOUS_BUSINESS_DAY","N")),"")</f>
        <v>19.853073161362119</v>
      </c>
      <c r="P270">
        <f t="shared" si="149"/>
        <v>6894.0953999999992</v>
      </c>
      <c r="Q270" cm="1">
        <f t="array" ref="Q270">IFERROR(VALUE(_xll.BDP($B270,"INTERVAL_MAE_MOV_AVG","CALC_INTERVAL","520D","TECH_STUDIES_PARAM1_OVERRIDE",50,"USE_PREVIOUS_BUSINESS_DAY","Y")),"")</f>
        <v>19.784461954087998</v>
      </c>
      <c r="R270">
        <f t="shared" si="150"/>
        <v>6892.2477999999992</v>
      </c>
      <c r="S270">
        <f t="shared" si="160"/>
        <v>2.8797212700831091E-3</v>
      </c>
      <c r="T270">
        <f t="shared" si="161"/>
        <v>2.8705383973698681E-3</v>
      </c>
      <c r="U270" s="11" t="str">
        <f t="shared" si="162"/>
        <v>POSITIVE</v>
      </c>
      <c r="V270" s="11" t="str">
        <f t="shared" si="163"/>
        <v/>
      </c>
      <c r="W270" s="11" t="str">
        <f t="shared" si="164"/>
        <v>UP</v>
      </c>
      <c r="X270" s="6" t="str">
        <f t="shared" si="165"/>
        <v>POSITIVE</v>
      </c>
      <c r="Y270" cm="1">
        <f t="array" ref="Y270">IFERROR(VALUE(_xll.BDP($B270,"INTERVAL_MAE_MOV_AVG","CALC_INTERVAL","520D","TECH_STUDIES_PARAM1_OVERRIDE",65,"USE_PREVIOUS_BUSINESS_DAY","N")),"")</f>
        <v>19.615858274777011</v>
      </c>
      <c r="Z270">
        <f t="shared" si="151"/>
        <v>6856.0226153846133</v>
      </c>
      <c r="AA270" cm="1">
        <f t="array" ref="AA270">IFERROR(VALUE(_xll.BDP($B270,"INTERVAL_MAE_MOV_AVG","CALC_INTERVAL","520D","TECH_STUDIES_PARAM1_OVERRIDE",65,"USE_PREVIOUS_BUSINESS_DAY","Y")),"")</f>
        <v>19.574202051643077</v>
      </c>
      <c r="AB270">
        <f t="shared" si="152"/>
        <v>6852.6203076923057</v>
      </c>
      <c r="AC270">
        <f t="shared" si="166"/>
        <v>2.8611134144685998E-3</v>
      </c>
      <c r="AD270">
        <f t="shared" si="167"/>
        <v>2.8564550745165834E-3</v>
      </c>
      <c r="AE270" s="10" t="str">
        <f t="shared" si="168"/>
        <v>UP</v>
      </c>
      <c r="AF270" s="10" t="str">
        <f t="shared" si="169"/>
        <v>UP</v>
      </c>
      <c r="AG270" s="6" t="str">
        <f t="shared" si="170"/>
        <v>POSITIVE</v>
      </c>
      <c r="AH270" cm="1">
        <f t="array" ref="AH270">IFERROR(VALUE(_xll.BDP($B270,"INTERVAL_MAE_MOV_AVG","CALC_INTERVAL","65W","PERIODICITY_OVERRIDE","W","TECH_STUDIES_PARAM1_OVERRIDE",39,"USE_PREVIOUS_BUSINESS_DAY","N")),"")</f>
        <v>19.218379486045343</v>
      </c>
      <c r="AI270">
        <f t="shared" si="153"/>
        <v>6560.7735897435905</v>
      </c>
      <c r="AJ270" cm="1">
        <f t="array" ref="AJ270">IFERROR(VALUE(_xll.BDP($B270,"INTERVAL_MAE_MOV_AVG","CALC_INTERVAL","65W","PERIODICITY_OVERRIDE","W","TECH_STUDIES_PARAM1_OVERRIDE",39,"USE_PREVIOUS_BUSINESS_DAY","Y")),"")</f>
        <v>19.22017435979647</v>
      </c>
      <c r="AK270">
        <f t="shared" si="154"/>
        <v>6560.7823076923087</v>
      </c>
      <c r="AL270">
        <f t="shared" si="171"/>
        <v>2.9292855824333422E-3</v>
      </c>
      <c r="AM270">
        <f t="shared" si="172"/>
        <v>2.9295552661854712E-3</v>
      </c>
      <c r="AN270" s="10" t="str">
        <f t="shared" si="173"/>
        <v>DOWN</v>
      </c>
      <c r="AO270" s="10" t="str">
        <f t="shared" si="174"/>
        <v>DOWN</v>
      </c>
      <c r="AP270" s="6" t="str">
        <f t="shared" si="175"/>
        <v>POSITIVE</v>
      </c>
      <c r="AQ270" cm="1">
        <f t="array" ref="AQ270">IFERROR(VALUE(_xll.BDP($B270,"INTERVAL_exp_MOV_AVG","CALC_INTERVAL","520D","TECH_STUDIES_PARAM1_OVERRIDE",100,"USE_PREVIOUS_BUSINESS_DAY","N")),"")</f>
        <v>19.655827364015941</v>
      </c>
      <c r="AR270">
        <f t="shared" si="155"/>
        <v>6773.0064518682802</v>
      </c>
      <c r="AS270" cm="1">
        <f t="array" ref="AS270">IFERROR(VALUE(_xll.BDP($B270,"INTERVAL_exp_MOV_AVG","CALC_INTERVAL","520D","TECH_STUDIES_PARAM1_OVERRIDE",100,"USE_PREVIOUS_BUSINESS_DAY","Y")),"")</f>
        <v>19.611901830661211</v>
      </c>
      <c r="AT270">
        <f t="shared" si="156"/>
        <v>6769.6039787132295</v>
      </c>
      <c r="AU270">
        <f t="shared" si="176"/>
        <v>2.9020830710406362E-3</v>
      </c>
      <c r="AV270">
        <f t="shared" si="177"/>
        <v>2.8970530465785168E-3</v>
      </c>
      <c r="AW270" s="11" t="str">
        <f t="shared" si="178"/>
        <v>UP</v>
      </c>
      <c r="AX270" s="11" t="str">
        <f t="shared" si="179"/>
        <v>UP</v>
      </c>
      <c r="AY270" s="6" t="str">
        <f t="shared" si="180"/>
        <v>POSITIVE</v>
      </c>
      <c r="AZ270" s="12" cm="1">
        <f t="array" ref="AZ270">_xll.BDP($B270, "INTERVAL_RSI", "TECH_STUDIES_PARAM1_OVERRIDE", "5", "PERIODICITY_OVERRIDE", "W")</f>
        <v>91.346572402943991</v>
      </c>
      <c r="BA270" cm="1">
        <f t="array" ref="BA270">IFERROR(VALUE(_xll.BDP($B270,"INTERVAL_MAE_MOV_AVG","CALC_INTERVAL","520D","TECH_STUDIES_PARAM1_OVERRIDE",31,"USE_PREVIOUS_BUSINESS_DAY","N")),"")</f>
        <v>20.304196771732453</v>
      </c>
      <c r="BB270" cm="1">
        <f t="array" ref="BB270">IFERROR(VALUE(_xll.BDP($B270,"INTERVAL_MAE_MOV_AVG","CALC_INTERVAL","760D","TECH_STUDIES_PARAM1_OVERRIDE",200,"USE_PREVIOUS_BUSINESS_DAY","N")),"")</f>
        <v>19.047077378251142</v>
      </c>
      <c r="BC270" s="13">
        <f t="shared" si="181"/>
        <v>7.5147184861396266E-2</v>
      </c>
      <c r="BD270" s="13">
        <f t="shared" si="182"/>
        <v>9.9577875050869125E-2</v>
      </c>
      <c r="BE270" s="13">
        <f t="shared" si="183"/>
        <v>0.14610759259719974</v>
      </c>
      <c r="BF270" s="14" cm="1">
        <f t="array" ref="BF270">VALUE(_xll.BDP($B270,"INTERVAL_DATE_OF_CALC_HI","CALC_INTERVAL","3M"))</f>
        <v>46063</v>
      </c>
      <c r="BG270" s="14" cm="1">
        <f t="array" ref="BG270">VALUE(_xll.BDP($B270,"INTERVAL_DATE_OF_CALC_LO","CALC_INTERVAL","3M"))</f>
        <v>45992</v>
      </c>
      <c r="BH270" s="14" cm="1">
        <f t="array" ref="BH270">VALUE(_xll.BDP($B270,"INTERVAL_DATE_OF_CALC_HI","CALC_INTERVAL","1M"))</f>
        <v>46063</v>
      </c>
      <c r="BI270" s="14" cm="1">
        <f t="array" ref="BI270">VALUE(_xll.BDP($B270,"INTERVAL_DATE_OF_CALC_LO","CALC_INTERVAL","1M"))</f>
        <v>46034</v>
      </c>
      <c r="BJ270" s="15">
        <f>$F270-MIN(_xll.BDP("NYA Index","RSI_14D"),_xll.BDP("RSP US Equity","RSI_14D"))</f>
        <v>11.412443385677889</v>
      </c>
    </row>
    <row r="271" spans="1:62" x14ac:dyDescent="0.25">
      <c r="A271" s="11">
        <v>270</v>
      </c>
      <c r="B271" s="26" t="s">
        <v>502</v>
      </c>
      <c r="C271" s="1" t="s">
        <v>503</v>
      </c>
      <c r="D271" s="1" t="s">
        <v>308</v>
      </c>
      <c r="E271" s="11" t="s">
        <v>787</v>
      </c>
      <c r="F271">
        <f>IFERROR(VALUE((_xll.BDP($B271,"interval_rsi","tech_studies_param1_override",14))),"")</f>
        <v>48.584168754837656</v>
      </c>
      <c r="G271">
        <f t="shared" si="146"/>
        <v>52.525531939815814</v>
      </c>
      <c r="H271">
        <f t="shared" si="157"/>
        <v>0</v>
      </c>
      <c r="I271" cm="1">
        <f t="array" ref="I271">IFERROR(VALUE(_xll.BDP($B271,"px_last")),"")</f>
        <v>43.52</v>
      </c>
      <c r="J271">
        <f t="shared" si="147"/>
        <v>6941.47</v>
      </c>
      <c r="K271" cm="1">
        <f t="array" ref="K271">IFERROR(VALUE(_xll.BDP($B271,"PX_YEST_CLOSE")),"")</f>
        <v>44.54</v>
      </c>
      <c r="L271">
        <f t="shared" si="148"/>
        <v>6941.81</v>
      </c>
      <c r="M271">
        <f t="shared" si="158"/>
        <v>6.2695653802436659E-3</v>
      </c>
      <c r="N271">
        <f t="shared" si="159"/>
        <v>6.4161940473738115E-3</v>
      </c>
      <c r="O271" cm="1">
        <f t="array" ref="O271">IFERROR(VALUE(_xll.BDP($B271,"INTERVAL_MAE_MOV_AVG","CALC_INTERVAL","520D","TECH_STUDIES_PARAM1_OVERRIDE",50,"USE_PREVIOUS_BUSINESS_DAY","N")),"")</f>
        <v>41.437916036825285</v>
      </c>
      <c r="P271">
        <f t="shared" si="149"/>
        <v>6894.0953999999992</v>
      </c>
      <c r="Q271" cm="1">
        <f t="array" ref="Q271">IFERROR(VALUE(_xll.BDP($B271,"INTERVAL_MAE_MOV_AVG","CALC_INTERVAL","520D","TECH_STUDIES_PARAM1_OVERRIDE",50,"USE_PREVIOUS_BUSINESS_DAY","Y")),"")</f>
        <v>41.233059057752008</v>
      </c>
      <c r="R271">
        <f t="shared" si="150"/>
        <v>6892.2477999999992</v>
      </c>
      <c r="S271">
        <f t="shared" si="160"/>
        <v>6.0106386164637772E-3</v>
      </c>
      <c r="T271">
        <f t="shared" si="161"/>
        <v>5.9825270730620005E-3</v>
      </c>
      <c r="U271" s="11" t="str">
        <f t="shared" si="162"/>
        <v>NEGATIVE</v>
      </c>
      <c r="V271" s="11" t="str">
        <f t="shared" si="163"/>
        <v/>
      </c>
      <c r="W271" s="11" t="str">
        <f t="shared" si="164"/>
        <v>UP</v>
      </c>
      <c r="X271" s="6" t="str">
        <f t="shared" si="165"/>
        <v>POSITIVE</v>
      </c>
      <c r="Y271" cm="1">
        <f t="array" ref="Y271">IFERROR(VALUE(_xll.BDP($B271,"INTERVAL_MAE_MOV_AVG","CALC_INTERVAL","520D","TECH_STUDIES_PARAM1_OVERRIDE",65,"USE_PREVIOUS_BUSINESS_DAY","N")),"")</f>
        <v>39.512749084797917</v>
      </c>
      <c r="Z271">
        <f t="shared" si="151"/>
        <v>6856.0226153846133</v>
      </c>
      <c r="AA271" cm="1">
        <f t="array" ref="AA271">IFERROR(VALUE(_xll.BDP($B271,"INTERVAL_MAE_MOV_AVG","CALC_INTERVAL","520D","TECH_STUDIES_PARAM1_OVERRIDE",65,"USE_PREVIOUS_BUSINESS_DAY","Y")),"")</f>
        <v>39.366152094524629</v>
      </c>
      <c r="AB271">
        <f t="shared" si="152"/>
        <v>6852.6203076923057</v>
      </c>
      <c r="AC271">
        <f t="shared" si="166"/>
        <v>5.7632174369047504E-3</v>
      </c>
      <c r="AD271">
        <f t="shared" si="167"/>
        <v>5.7446860218323707E-3</v>
      </c>
      <c r="AE271" s="10" t="str">
        <f t="shared" si="168"/>
        <v>UP</v>
      </c>
      <c r="AF271" s="10" t="str">
        <f t="shared" si="169"/>
        <v>UP</v>
      </c>
      <c r="AG271" s="6" t="str">
        <f t="shared" si="170"/>
        <v>POSITIVE</v>
      </c>
      <c r="AH271" cm="1">
        <f t="array" ref="AH271">IFERROR(VALUE(_xll.BDP($B271,"INTERVAL_MAE_MOV_AVG","CALC_INTERVAL","65W","PERIODICITY_OVERRIDE","W","TECH_STUDIES_PARAM1_OVERRIDE",39,"USE_PREVIOUS_BUSINESS_DAY","N")),"")</f>
        <v>34.714563700622399</v>
      </c>
      <c r="AI271">
        <f t="shared" si="153"/>
        <v>6560.7735897435905</v>
      </c>
      <c r="AJ271" cm="1">
        <f t="array" ref="AJ271">IFERROR(VALUE(_xll.BDP($B271,"INTERVAL_MAE_MOV_AVG","CALC_INTERVAL","65W","PERIODICITY_OVERRIDE","W","TECH_STUDIES_PARAM1_OVERRIDE",39,"USE_PREVIOUS_BUSINESS_DAY","Y")),"")</f>
        <v>34.740717535038719</v>
      </c>
      <c r="AK271">
        <f t="shared" si="154"/>
        <v>6560.7823076923087</v>
      </c>
      <c r="AL271">
        <f t="shared" si="171"/>
        <v>5.2912302529219152E-3</v>
      </c>
      <c r="AM271">
        <f t="shared" si="172"/>
        <v>5.295209611559026E-3</v>
      </c>
      <c r="AN271" s="10" t="str">
        <f t="shared" si="173"/>
        <v>DOWN</v>
      </c>
      <c r="AO271" s="10" t="str">
        <f t="shared" si="174"/>
        <v>DOWN</v>
      </c>
      <c r="AP271" s="6" t="str">
        <f t="shared" si="175"/>
        <v>POSITIVE</v>
      </c>
      <c r="AQ271" cm="1">
        <f t="array" ref="AQ271">IFERROR(VALUE(_xll.BDP($B271,"INTERVAL_exp_MOV_AVG","CALC_INTERVAL","520D","TECH_STUDIES_PARAM1_OVERRIDE",100,"USE_PREVIOUS_BUSINESS_DAY","N")),"")</f>
        <v>39.089085618912037</v>
      </c>
      <c r="AR271">
        <f t="shared" si="155"/>
        <v>6773.0064518682802</v>
      </c>
      <c r="AS271" cm="1">
        <f t="array" ref="AS271">IFERROR(VALUE(_xll.BDP($B271,"INTERVAL_exp_MOV_AVG","CALC_INTERVAL","520D","TECH_STUDIES_PARAM1_OVERRIDE",100,"USE_PREVIOUS_BUSINESS_DAY","Y")),"")</f>
        <v>38.999577018390312</v>
      </c>
      <c r="AT271">
        <f t="shared" si="156"/>
        <v>6769.6039787132295</v>
      </c>
      <c r="AU271">
        <f t="shared" si="176"/>
        <v>5.7713049436309959E-3</v>
      </c>
      <c r="AV271">
        <f t="shared" si="177"/>
        <v>5.7609835288774712E-3</v>
      </c>
      <c r="AW271" s="11" t="str">
        <f t="shared" si="178"/>
        <v>UP</v>
      </c>
      <c r="AX271" s="11" t="str">
        <f t="shared" si="179"/>
        <v>UP</v>
      </c>
      <c r="AY271" s="6" t="str">
        <f t="shared" si="180"/>
        <v>POSITIVE</v>
      </c>
      <c r="AZ271" s="12" cm="1">
        <f t="array" ref="AZ271">_xll.BDP($B271, "INTERVAL_RSI", "TECH_STUDIES_PARAM1_OVERRIDE", "5", "PERIODICITY_OVERRIDE", "W")</f>
        <v>55.452782648059298</v>
      </c>
      <c r="BA271" cm="1">
        <f t="array" ref="BA271">IFERROR(VALUE(_xll.BDP($B271,"INTERVAL_MAE_MOV_AVG","CALC_INTERVAL","520D","TECH_STUDIES_PARAM1_OVERRIDE",31,"USE_PREVIOUS_BUSINESS_DAY","N")),"")</f>
        <v>44.229032272831084</v>
      </c>
      <c r="BB271" cm="1">
        <f t="array" ref="BB271">IFERROR(VALUE(_xll.BDP($B271,"INTERVAL_MAE_MOV_AVG","CALC_INTERVAL","760D","TECH_STUDIES_PARAM1_OVERRIDE",200,"USE_PREVIOUS_BUSINESS_DAY","N")),"")</f>
        <v>33.622578909637198</v>
      </c>
      <c r="BC271" s="13">
        <f t="shared" si="181"/>
        <v>-1.6030924404073499E-2</v>
      </c>
      <c r="BD271" s="13">
        <f t="shared" si="182"/>
        <v>5.0245865678293367E-2</v>
      </c>
      <c r="BE271" s="13">
        <f t="shared" si="183"/>
        <v>0.29436829093219608</v>
      </c>
      <c r="BF271" s="14" cm="1">
        <f t="array" ref="BF271">VALUE(_xll.BDP($B271,"INTERVAL_DATE_OF_CALC_HI","CALC_INTERVAL","3M"))</f>
        <v>46050</v>
      </c>
      <c r="BG271" s="14" cm="1">
        <f t="array" ref="BG271">VALUE(_xll.BDP($B271,"INTERVAL_DATE_OF_CALC_LO","CALC_INTERVAL","3M"))</f>
        <v>45981</v>
      </c>
      <c r="BH271" s="14" cm="1">
        <f t="array" ref="BH271">VALUE(_xll.BDP($B271,"INTERVAL_DATE_OF_CALC_HI","CALC_INTERVAL","1M"))</f>
        <v>46050</v>
      </c>
      <c r="BI271" s="14" cm="1">
        <f t="array" ref="BI271">VALUE(_xll.BDP($B271,"INTERVAL_DATE_OF_CALC_LO","CALC_INTERVAL","1M"))</f>
        <v>46058</v>
      </c>
      <c r="BJ271" s="15">
        <f>$F271-MIN(_xll.BDP("NYA Index","RSI_14D"),_xll.BDP("RSP US Equity","RSI_14D"))</f>
        <v>-17.761595405318594</v>
      </c>
    </row>
    <row r="272" spans="1:62" x14ac:dyDescent="0.25">
      <c r="A272" s="11">
        <v>271</v>
      </c>
      <c r="B272" s="26" t="s">
        <v>504</v>
      </c>
      <c r="C272" s="1" t="s">
        <v>505</v>
      </c>
      <c r="D272" s="1" t="s">
        <v>308</v>
      </c>
      <c r="E272" s="11" t="s">
        <v>787</v>
      </c>
      <c r="F272">
        <f>IFERROR(VALUE((_xll.BDP($B272,"interval_rsi","tech_studies_param1_override",14))),"")</f>
        <v>45.920083295689118</v>
      </c>
      <c r="G272">
        <f t="shared" si="146"/>
        <v>52.525531939815814</v>
      </c>
      <c r="H272">
        <f t="shared" si="157"/>
        <v>0</v>
      </c>
      <c r="I272" cm="1">
        <f t="array" ref="I272">IFERROR(VALUE(_xll.BDP($B272,"px_last")),"")</f>
        <v>12.32</v>
      </c>
      <c r="J272">
        <f t="shared" si="147"/>
        <v>6941.47</v>
      </c>
      <c r="K272" cm="1">
        <f t="array" ref="K272">IFERROR(VALUE(_xll.BDP($B272,"PX_YEST_CLOSE")),"")</f>
        <v>12.13</v>
      </c>
      <c r="L272">
        <f t="shared" si="148"/>
        <v>6941.81</v>
      </c>
      <c r="M272">
        <f t="shared" si="158"/>
        <v>1.774840199554273E-3</v>
      </c>
      <c r="N272">
        <f t="shared" si="159"/>
        <v>1.7473828871720776E-3</v>
      </c>
      <c r="O272" cm="1">
        <f t="array" ref="O272">IFERROR(VALUE(_xll.BDP($B272,"INTERVAL_MAE_MOV_AVG","CALC_INTERVAL","520D","TECH_STUDIES_PARAM1_OVERRIDE",50,"USE_PREVIOUS_BUSINESS_DAY","N")),"")</f>
        <v>13.009599993896487</v>
      </c>
      <c r="P272">
        <f t="shared" si="149"/>
        <v>6894.0953999999992</v>
      </c>
      <c r="Q272" cm="1">
        <f t="array" ref="Q272">IFERROR(VALUE(_xll.BDP($B272,"INTERVAL_MAE_MOV_AVG","CALC_INTERVAL","520D","TECH_STUDIES_PARAM1_OVERRIDE",50,"USE_PREVIOUS_BUSINESS_DAY","Y")),"")</f>
        <v>13.057800000000002</v>
      </c>
      <c r="R272">
        <f t="shared" si="150"/>
        <v>6892.2477999999992</v>
      </c>
      <c r="S272">
        <f t="shared" si="160"/>
        <v>1.8870641090775286E-3</v>
      </c>
      <c r="T272">
        <f t="shared" si="161"/>
        <v>1.8945633382479376E-3</v>
      </c>
      <c r="U272" s="11" t="str">
        <f t="shared" si="162"/>
        <v>NEGATIVE</v>
      </c>
      <c r="V272" s="11" t="str">
        <f t="shared" si="163"/>
        <v/>
      </c>
      <c r="W272" s="11" t="str">
        <f t="shared" si="164"/>
        <v>DOWN</v>
      </c>
      <c r="X272" s="6" t="str">
        <f t="shared" si="165"/>
        <v>NEGATIVE</v>
      </c>
      <c r="Y272" cm="1">
        <f t="array" ref="Y272">IFERROR(VALUE(_xll.BDP($B272,"INTERVAL_MAE_MOV_AVG","CALC_INTERVAL","520D","TECH_STUDIES_PARAM1_OVERRIDE",65,"USE_PREVIOUS_BUSINESS_DAY","N")),"")</f>
        <v>13.329846149151143</v>
      </c>
      <c r="Z272">
        <f t="shared" si="151"/>
        <v>6856.0226153846133</v>
      </c>
      <c r="AA272" cm="1">
        <f t="array" ref="AA272">IFERROR(VALUE(_xll.BDP($B272,"INTERVAL_MAE_MOV_AVG","CALC_INTERVAL","520D","TECH_STUDIES_PARAM1_OVERRIDE",65,"USE_PREVIOUS_BUSINESS_DAY","Y")),"")</f>
        <v>13.358307692307692</v>
      </c>
      <c r="AB272">
        <f t="shared" si="152"/>
        <v>6852.6203076923057</v>
      </c>
      <c r="AC272">
        <f t="shared" si="166"/>
        <v>1.9442535267079712E-3</v>
      </c>
      <c r="AD272">
        <f t="shared" si="167"/>
        <v>1.9493722244193984E-3</v>
      </c>
      <c r="AE272" s="10" t="str">
        <f t="shared" si="168"/>
        <v>DOWN</v>
      </c>
      <c r="AF272" s="10" t="str">
        <f t="shared" si="169"/>
        <v>DOWN</v>
      </c>
      <c r="AG272" s="6" t="str">
        <f t="shared" si="170"/>
        <v>NEGATIVE</v>
      </c>
      <c r="AH272" cm="1">
        <f t="array" ref="AH272">IFERROR(VALUE(_xll.BDP($B272,"INTERVAL_MAE_MOV_AVG","CALC_INTERVAL","65W","PERIODICITY_OVERRIDE","W","TECH_STUDIES_PARAM1_OVERRIDE",39,"USE_PREVIOUS_BUSINESS_DAY","N")),"")</f>
        <v>13.838974351149341</v>
      </c>
      <c r="AI272">
        <f t="shared" si="153"/>
        <v>6560.7735897435905</v>
      </c>
      <c r="AJ272" cm="1">
        <f t="array" ref="AJ272">IFERROR(VALUE(_xll.BDP($B272,"INTERVAL_MAE_MOV_AVG","CALC_INTERVAL","65W","PERIODICITY_OVERRIDE","W","TECH_STUDIES_PARAM1_OVERRIDE",39,"USE_PREVIOUS_BUSINESS_DAY","Y")),"")</f>
        <v>13.834102564102565</v>
      </c>
      <c r="AK272">
        <f t="shared" si="154"/>
        <v>6560.7823076923087</v>
      </c>
      <c r="AL272">
        <f t="shared" si="171"/>
        <v>2.1093510028731533E-3</v>
      </c>
      <c r="AM272">
        <f t="shared" si="172"/>
        <v>2.108605638062784E-3</v>
      </c>
      <c r="AN272" s="10" t="str">
        <f t="shared" si="173"/>
        <v>UP</v>
      </c>
      <c r="AO272" s="10" t="str">
        <f t="shared" si="174"/>
        <v>UP</v>
      </c>
      <c r="AP272" s="6" t="str">
        <f t="shared" si="175"/>
        <v>NEGATIVE</v>
      </c>
      <c r="AQ272" cm="1">
        <f t="array" ref="AQ272">IFERROR(VALUE(_xll.BDP($B272,"INTERVAL_exp_MOV_AVG","CALC_INTERVAL","520D","TECH_STUDIES_PARAM1_OVERRIDE",100,"USE_PREVIOUS_BUSINESS_DAY","N")),"")</f>
        <v>13.306924106206298</v>
      </c>
      <c r="AR272">
        <f t="shared" si="155"/>
        <v>6773.0064518682802</v>
      </c>
      <c r="AS272" cm="1">
        <f t="array" ref="AS272">IFERROR(VALUE(_xll.BDP($B272,"INTERVAL_exp_MOV_AVG","CALC_INTERVAL","520D","TECH_STUDIES_PARAM1_OVERRIDE",100,"USE_PREVIOUS_BUSINESS_DAY","Y")),"")</f>
        <v>13.326857007259894</v>
      </c>
      <c r="AT272">
        <f t="shared" si="156"/>
        <v>6769.6039787132295</v>
      </c>
      <c r="AU272">
        <f t="shared" si="176"/>
        <v>1.9646997534655659E-3</v>
      </c>
      <c r="AV272">
        <f t="shared" si="177"/>
        <v>1.9686317027060528E-3</v>
      </c>
      <c r="AW272" s="11" t="str">
        <f t="shared" si="178"/>
        <v>DOWN</v>
      </c>
      <c r="AX272" s="11" t="str">
        <f t="shared" si="179"/>
        <v>DOWN</v>
      </c>
      <c r="AY272" s="6" t="str">
        <f t="shared" si="180"/>
        <v>NEGATIVE</v>
      </c>
      <c r="AZ272" s="12" cm="1">
        <f t="array" ref="AZ272">_xll.BDP($B272, "INTERVAL_RSI", "TECH_STUDIES_PARAM1_OVERRIDE", "5", "PERIODICITY_OVERRIDE", "W")</f>
        <v>44.360503621178374</v>
      </c>
      <c r="BA272" cm="1">
        <f t="array" ref="BA272">IFERROR(VALUE(_xll.BDP($B272,"INTERVAL_MAE_MOV_AVG","CALC_INTERVAL","520D","TECH_STUDIES_PARAM1_OVERRIDE",31,"USE_PREVIOUS_BUSINESS_DAY","N")),"")</f>
        <v>12.651612893381424</v>
      </c>
      <c r="BB272" cm="1">
        <f t="array" ref="BB272">IFERROR(VALUE(_xll.BDP($B272,"INTERVAL_MAE_MOV_AVG","CALC_INTERVAL","760D","TECH_STUDIES_PARAM1_OVERRIDE",200,"USE_PREVIOUS_BUSINESS_DAY","N")),"")</f>
        <v>14.083549998474119</v>
      </c>
      <c r="BC272" s="13">
        <f t="shared" si="181"/>
        <v>-2.621111601943682E-2</v>
      </c>
      <c r="BD272" s="13">
        <f t="shared" si="182"/>
        <v>-5.3007009763560431E-2</v>
      </c>
      <c r="BE272" s="13">
        <f t="shared" si="183"/>
        <v>-0.12522055864218828</v>
      </c>
      <c r="BF272" s="14" cm="1">
        <f t="array" ref="BF272">VALUE(_xll.BDP($B272,"INTERVAL_DATE_OF_CALC_HI","CALC_INTERVAL","3M"))</f>
        <v>46052</v>
      </c>
      <c r="BG272" s="14" cm="1">
        <f t="array" ref="BG272">VALUE(_xll.BDP($B272,"INTERVAL_DATE_OF_CALC_LO","CALC_INTERVAL","3M"))</f>
        <v>46036</v>
      </c>
      <c r="BH272" s="14" cm="1">
        <f t="array" ref="BH272">VALUE(_xll.BDP($B272,"INTERVAL_DATE_OF_CALC_HI","CALC_INTERVAL","1M"))</f>
        <v>46052</v>
      </c>
      <c r="BI272" s="14" cm="1">
        <f t="array" ref="BI272">VALUE(_xll.BDP($B272,"INTERVAL_DATE_OF_CALC_LO","CALC_INTERVAL","1M"))</f>
        <v>46036</v>
      </c>
      <c r="BJ272" s="15">
        <f>$F272-MIN(_xll.BDP("NYA Index","RSI_14D"),_xll.BDP("RSP US Equity","RSI_14D"))</f>
        <v>-20.425680864467132</v>
      </c>
    </row>
    <row r="273" spans="1:62" x14ac:dyDescent="0.25">
      <c r="A273" s="11">
        <v>272</v>
      </c>
      <c r="B273" s="26" t="s">
        <v>153</v>
      </c>
      <c r="C273" s="1" t="s">
        <v>921</v>
      </c>
      <c r="D273" s="1" t="s">
        <v>308</v>
      </c>
      <c r="E273" s="11" t="s">
        <v>787</v>
      </c>
      <c r="F273">
        <f>IFERROR(VALUE((_xll.BDP($B273,"interval_rsi","tech_studies_param1_override",14))),"")</f>
        <v>51.899983587664721</v>
      </c>
      <c r="G273">
        <f t="shared" si="146"/>
        <v>52.525531939815814</v>
      </c>
      <c r="H273">
        <f t="shared" si="157"/>
        <v>0</v>
      </c>
      <c r="I273" cm="1">
        <f t="array" ref="I273">IFERROR(VALUE(_xll.BDP($B273,"px_last")),"")</f>
        <v>53.71</v>
      </c>
      <c r="J273">
        <f t="shared" si="147"/>
        <v>6941.47</v>
      </c>
      <c r="K273" cm="1">
        <f t="array" ref="K273">IFERROR(VALUE(_xll.BDP($B273,"PX_YEST_CLOSE")),"")</f>
        <v>53.5</v>
      </c>
      <c r="L273">
        <f t="shared" si="148"/>
        <v>6941.81</v>
      </c>
      <c r="M273">
        <f t="shared" si="158"/>
        <v>7.7375541491931819E-3</v>
      </c>
      <c r="N273">
        <f t="shared" si="159"/>
        <v>7.7069236985742905E-3</v>
      </c>
      <c r="O273" cm="1">
        <f t="array" ref="O273">IFERROR(VALUE(_xll.BDP($B273,"INTERVAL_MAE_MOV_AVG","CALC_INTERVAL","520D","TECH_STUDIES_PARAM1_OVERRIDE",50,"USE_PREVIOUS_BUSINESS_DAY","N")),"")</f>
        <v>49.235047902889448</v>
      </c>
      <c r="P273">
        <f t="shared" si="149"/>
        <v>6894.0953999999992</v>
      </c>
      <c r="Q273" cm="1">
        <f t="array" ref="Q273">IFERROR(VALUE(_xll.BDP($B273,"INTERVAL_MAE_MOV_AVG","CALC_INTERVAL","520D","TECH_STUDIES_PARAM1_OVERRIDE",50,"USE_PREVIOUS_BUSINESS_DAY","Y")),"")</f>
        <v>49.025180634799995</v>
      </c>
      <c r="R273">
        <f t="shared" si="150"/>
        <v>6892.2477999999992</v>
      </c>
      <c r="S273">
        <f t="shared" si="160"/>
        <v>7.141625557268827E-3</v>
      </c>
      <c r="T273">
        <f t="shared" si="161"/>
        <v>7.1130902511659551E-3</v>
      </c>
      <c r="U273" s="11" t="str">
        <f t="shared" si="162"/>
        <v>NEGATIVE</v>
      </c>
      <c r="V273" s="11" t="str">
        <f t="shared" si="163"/>
        <v/>
      </c>
      <c r="W273" s="11" t="str">
        <f t="shared" si="164"/>
        <v>UP</v>
      </c>
      <c r="X273" s="6" t="str">
        <f t="shared" si="165"/>
        <v>POSITIVE</v>
      </c>
      <c r="Y273" cm="1">
        <f t="array" ref="Y273">IFERROR(VALUE(_xll.BDP($B273,"INTERVAL_MAE_MOV_AVG","CALC_INTERVAL","520D","TECH_STUDIES_PARAM1_OVERRIDE",65,"USE_PREVIOUS_BUSINESS_DAY","N")),"")</f>
        <v>47.791120216838053</v>
      </c>
      <c r="Z273">
        <f t="shared" si="151"/>
        <v>6856.0226153846133</v>
      </c>
      <c r="AA273" cm="1">
        <f t="array" ref="AA273">IFERROR(VALUE(_xll.BDP($B273,"INTERVAL_MAE_MOV_AVG","CALC_INTERVAL","520D","TECH_STUDIES_PARAM1_OVERRIDE",65,"USE_PREVIOUS_BUSINESS_DAY","Y")),"")</f>
        <v>47.65699526692309</v>
      </c>
      <c r="AB273">
        <f t="shared" si="152"/>
        <v>6852.6203076923057</v>
      </c>
      <c r="AC273">
        <f t="shared" si="166"/>
        <v>6.9706771546518649E-3</v>
      </c>
      <c r="AD273">
        <f t="shared" si="167"/>
        <v>6.9545652797115354E-3</v>
      </c>
      <c r="AE273" s="10" t="str">
        <f t="shared" si="168"/>
        <v>UP</v>
      </c>
      <c r="AF273" s="10" t="str">
        <f t="shared" si="169"/>
        <v>UP</v>
      </c>
      <c r="AG273" s="6" t="str">
        <f t="shared" si="170"/>
        <v>POSITIVE</v>
      </c>
      <c r="AH273" cm="1">
        <f t="array" ref="AH273">IFERROR(VALUE(_xll.BDP($B273,"INTERVAL_MAE_MOV_AVG","CALC_INTERVAL","65W","PERIODICITY_OVERRIDE","W","TECH_STUDIES_PARAM1_OVERRIDE",39,"USE_PREVIOUS_BUSINESS_DAY","N")),"")</f>
        <v>43.006663781909552</v>
      </c>
      <c r="AI273">
        <f t="shared" si="153"/>
        <v>6560.7735897435905</v>
      </c>
      <c r="AJ273" cm="1">
        <f t="array" ref="AJ273">IFERROR(VALUE(_xll.BDP($B273,"INTERVAL_MAE_MOV_AVG","CALC_INTERVAL","65W","PERIODICITY_OVERRIDE","W","TECH_STUDIES_PARAM1_OVERRIDE",39,"USE_PREVIOUS_BUSINESS_DAY","Y")),"")</f>
        <v>43.001279189999998</v>
      </c>
      <c r="AK273">
        <f t="shared" si="154"/>
        <v>6560.7823076923087</v>
      </c>
      <c r="AL273">
        <f t="shared" si="171"/>
        <v>6.5551208548244302E-3</v>
      </c>
      <c r="AM273">
        <f t="shared" si="172"/>
        <v>6.5542914203360119E-3</v>
      </c>
      <c r="AN273" s="10" t="str">
        <f t="shared" si="173"/>
        <v>UP</v>
      </c>
      <c r="AO273" s="10" t="str">
        <f t="shared" si="174"/>
        <v>UP</v>
      </c>
      <c r="AP273" s="6" t="str">
        <f t="shared" si="175"/>
        <v>POSITIVE</v>
      </c>
      <c r="AQ273" cm="1">
        <f t="array" ref="AQ273">IFERROR(VALUE(_xll.BDP($B273,"INTERVAL_exp_MOV_AVG","CALC_INTERVAL","520D","TECH_STUDIES_PARAM1_OVERRIDE",100,"USE_PREVIOUS_BUSINESS_DAY","N")),"")</f>
        <v>47.56625456638843</v>
      </c>
      <c r="AR273">
        <f t="shared" si="155"/>
        <v>6773.0064518682802</v>
      </c>
      <c r="AS273" cm="1">
        <f t="array" ref="AS273">IFERROR(VALUE(_xll.BDP($B273,"INTERVAL_exp_MOV_AVG","CALC_INTERVAL","520D","TECH_STUDIES_PARAM1_OVERRIDE",100,"USE_PREVIOUS_BUSINESS_DAY","Y")),"")</f>
        <v>47.442156381404963</v>
      </c>
      <c r="AT273">
        <f t="shared" si="156"/>
        <v>6769.6039787132295</v>
      </c>
      <c r="AU273">
        <f t="shared" si="176"/>
        <v>7.0229158800325158E-3</v>
      </c>
      <c r="AV273">
        <f t="shared" si="177"/>
        <v>7.0081139946420908E-3</v>
      </c>
      <c r="AW273" s="11" t="str">
        <f t="shared" si="178"/>
        <v>UP</v>
      </c>
      <c r="AX273" s="11" t="str">
        <f t="shared" si="179"/>
        <v>UP</v>
      </c>
      <c r="AY273" s="6" t="str">
        <f t="shared" si="180"/>
        <v>POSITIVE</v>
      </c>
      <c r="AZ273" s="12" cm="1">
        <f t="array" ref="AZ273">_xll.BDP($B273, "INTERVAL_RSI", "TECH_STUDIES_PARAM1_OVERRIDE", "5", "PERIODICITY_OVERRIDE", "W")</f>
        <v>61.926250661430203</v>
      </c>
      <c r="BA273" cm="1">
        <f t="array" ref="BA273">IFERROR(VALUE(_xll.BDP($B273,"INTERVAL_MAE_MOV_AVG","CALC_INTERVAL","520D","TECH_STUDIES_PARAM1_OVERRIDE",31,"USE_PREVIOUS_BUSINESS_DAY","N")),"")</f>
        <v>52.363408807241044</v>
      </c>
      <c r="BB273" cm="1">
        <f t="array" ref="BB273">IFERROR(VALUE(_xll.BDP($B273,"INTERVAL_MAE_MOV_AVG","CALC_INTERVAL","760D","TECH_STUDIES_PARAM1_OVERRIDE",200,"USE_PREVIOUS_BUSINESS_DAY","N")),"")</f>
        <v>41.516927539422369</v>
      </c>
      <c r="BC273" s="13">
        <f t="shared" si="181"/>
        <v>2.5716263005642004E-2</v>
      </c>
      <c r="BD273" s="13">
        <f t="shared" si="182"/>
        <v>9.0889565212506573E-2</v>
      </c>
      <c r="BE273" s="13">
        <f t="shared" si="183"/>
        <v>0.29368918133452215</v>
      </c>
      <c r="BF273" s="14" cm="1">
        <f t="array" ref="BF273">VALUE(_xll.BDP($B273,"INTERVAL_DATE_OF_CALC_HI","CALC_INTERVAL","3M"))</f>
        <v>46050</v>
      </c>
      <c r="BG273" s="14" cm="1">
        <f t="array" ref="BG273">VALUE(_xll.BDP($B273,"INTERVAL_DATE_OF_CALC_LO","CALC_INTERVAL","3M"))</f>
        <v>45982</v>
      </c>
      <c r="BH273" s="14" cm="1">
        <f t="array" ref="BH273">VALUE(_xll.BDP($B273,"INTERVAL_DATE_OF_CALC_HI","CALC_INTERVAL","1M"))</f>
        <v>46050</v>
      </c>
      <c r="BI273" s="14" cm="1">
        <f t="array" ref="BI273">VALUE(_xll.BDP($B273,"INTERVAL_DATE_OF_CALC_LO","CALC_INTERVAL","1M"))</f>
        <v>46058</v>
      </c>
      <c r="BJ273" s="15">
        <f>$F273-MIN(_xll.BDP("NYA Index","RSI_14D"),_xll.BDP("RSP US Equity","RSI_14D"))</f>
        <v>-14.445780572491529</v>
      </c>
    </row>
    <row r="274" spans="1:62" x14ac:dyDescent="0.25">
      <c r="A274" s="11">
        <v>273</v>
      </c>
      <c r="B274" s="26" t="s">
        <v>506</v>
      </c>
      <c r="C274" s="1" t="s">
        <v>507</v>
      </c>
      <c r="D274" s="1" t="s">
        <v>308</v>
      </c>
      <c r="E274" s="11" t="s">
        <v>787</v>
      </c>
      <c r="F274">
        <f>IFERROR(VALUE((_xll.BDP($B274,"interval_rsi","tech_studies_param1_override",14))),"")</f>
        <v>53.465259137526679</v>
      </c>
      <c r="G274">
        <f t="shared" si="146"/>
        <v>52.525531939815814</v>
      </c>
      <c r="H274">
        <f t="shared" si="157"/>
        <v>0</v>
      </c>
      <c r="I274" cm="1">
        <f t="array" ref="I274">IFERROR(VALUE(_xll.BDP($B274,"px_last")),"")</f>
        <v>72.099999999999994</v>
      </c>
      <c r="J274">
        <f t="shared" si="147"/>
        <v>6941.47</v>
      </c>
      <c r="K274" cm="1">
        <f t="array" ref="K274">IFERROR(VALUE(_xll.BDP($B274,"PX_YEST_CLOSE")),"")</f>
        <v>70.88</v>
      </c>
      <c r="L274">
        <f t="shared" si="148"/>
        <v>6941.81</v>
      </c>
      <c r="M274">
        <f t="shared" si="158"/>
        <v>1.0386848895118756E-2</v>
      </c>
      <c r="N274">
        <f t="shared" si="159"/>
        <v>1.0210593490746649E-2</v>
      </c>
      <c r="O274" cm="1">
        <f t="array" ref="O274">IFERROR(VALUE(_xll.BDP($B274,"INTERVAL_MAE_MOV_AVG","CALC_INTERVAL","520D","TECH_STUDIES_PARAM1_OVERRIDE",50,"USE_PREVIOUS_BUSINESS_DAY","N")),"")</f>
        <v>63.603257457482421</v>
      </c>
      <c r="P274">
        <f t="shared" si="149"/>
        <v>6894.0953999999992</v>
      </c>
      <c r="Q274" cm="1">
        <f t="array" ref="Q274">IFERROR(VALUE(_xll.BDP($B274,"INTERVAL_MAE_MOV_AVG","CALC_INTERVAL","520D","TECH_STUDIES_PARAM1_OVERRIDE",50,"USE_PREVIOUS_BUSINESS_DAY","Y")),"")</f>
        <v>63.23663492</v>
      </c>
      <c r="R274">
        <f t="shared" si="150"/>
        <v>6892.2477999999992</v>
      </c>
      <c r="S274">
        <f t="shared" si="160"/>
        <v>9.2257582419707201E-3</v>
      </c>
      <c r="T274">
        <f t="shared" si="161"/>
        <v>9.1750379201397843E-3</v>
      </c>
      <c r="U274" s="11" t="str">
        <f t="shared" si="162"/>
        <v>NEGATIVE</v>
      </c>
      <c r="V274" s="11" t="str">
        <f t="shared" si="163"/>
        <v/>
      </c>
      <c r="W274" s="11" t="str">
        <f t="shared" si="164"/>
        <v>UP</v>
      </c>
      <c r="X274" s="6" t="str">
        <f t="shared" si="165"/>
        <v>POSITIVE</v>
      </c>
      <c r="Y274" cm="1">
        <f t="array" ref="Y274">IFERROR(VALUE(_xll.BDP($B274,"INTERVAL_MAE_MOV_AVG","CALC_INTERVAL","520D","TECH_STUDIES_PARAM1_OVERRIDE",65,"USE_PREVIOUS_BUSINESS_DAY","N")),"")</f>
        <v>61.096884401140315</v>
      </c>
      <c r="Z274">
        <f t="shared" si="151"/>
        <v>6856.0226153846133</v>
      </c>
      <c r="AA274" cm="1">
        <f t="array" ref="AA274">IFERROR(VALUE(_xll.BDP($B274,"INTERVAL_MAE_MOV_AVG","CALC_INTERVAL","520D","TECH_STUDIES_PARAM1_OVERRIDE",65,"USE_PREVIOUS_BUSINESS_DAY","Y")),"")</f>
        <v>60.805492276923061</v>
      </c>
      <c r="AB274">
        <f t="shared" si="152"/>
        <v>6852.6203076923057</v>
      </c>
      <c r="AC274">
        <f t="shared" si="166"/>
        <v>8.911418154316118E-3</v>
      </c>
      <c r="AD274">
        <f t="shared" si="167"/>
        <v>8.8733199194863856E-3</v>
      </c>
      <c r="AE274" s="10" t="str">
        <f t="shared" si="168"/>
        <v>UP</v>
      </c>
      <c r="AF274" s="10" t="str">
        <f t="shared" si="169"/>
        <v>UP</v>
      </c>
      <c r="AG274" s="6" t="str">
        <f t="shared" si="170"/>
        <v>POSITIVE</v>
      </c>
      <c r="AH274" cm="1">
        <f t="array" ref="AH274">IFERROR(VALUE(_xll.BDP($B274,"INTERVAL_MAE_MOV_AVG","CALC_INTERVAL","65W","PERIODICITY_OVERRIDE","W","TECH_STUDIES_PARAM1_OVERRIDE",39,"USE_PREVIOUS_BUSINESS_DAY","N")),"")</f>
        <v>53.682546883951822</v>
      </c>
      <c r="AI274">
        <f t="shared" si="153"/>
        <v>6560.7735897435905</v>
      </c>
      <c r="AJ274" cm="1">
        <f t="array" ref="AJ274">IFERROR(VALUE(_xll.BDP($B274,"INTERVAL_MAE_MOV_AVG","CALC_INTERVAL","65W","PERIODICITY_OVERRIDE","W","TECH_STUDIES_PARAM1_OVERRIDE",39,"USE_PREVIOUS_BUSINESS_DAY","Y")),"")</f>
        <v>53.651264871794872</v>
      </c>
      <c r="AK274">
        <f t="shared" si="154"/>
        <v>6560.7823076923087</v>
      </c>
      <c r="AL274">
        <f t="shared" si="171"/>
        <v>8.1823501679547904E-3</v>
      </c>
      <c r="AM274">
        <f t="shared" si="172"/>
        <v>8.177571264464981E-3</v>
      </c>
      <c r="AN274" s="10" t="str">
        <f t="shared" si="173"/>
        <v>UP</v>
      </c>
      <c r="AO274" s="10" t="str">
        <f t="shared" si="174"/>
        <v>UP</v>
      </c>
      <c r="AP274" s="6" t="str">
        <f t="shared" si="175"/>
        <v>POSITIVE</v>
      </c>
      <c r="AQ274" cm="1">
        <f t="array" ref="AQ274">IFERROR(VALUE(_xll.BDP($B274,"INTERVAL_exp_MOV_AVG","CALC_INTERVAL","520D","TECH_STUDIES_PARAM1_OVERRIDE",100,"USE_PREVIOUS_BUSINESS_DAY","N")),"")</f>
        <v>60.686234284485394</v>
      </c>
      <c r="AR274">
        <f t="shared" si="155"/>
        <v>6773.0064518682802</v>
      </c>
      <c r="AS274" cm="1">
        <f t="array" ref="AS274">IFERROR(VALUE(_xll.BDP($B274,"INTERVAL_exp_MOV_AVG","CALC_INTERVAL","520D","TECH_STUDIES_PARAM1_OVERRIDE",100,"USE_PREVIOUS_BUSINESS_DAY","Y")),"")</f>
        <v>60.455673625593512</v>
      </c>
      <c r="AT274">
        <f t="shared" si="156"/>
        <v>6769.6039787132295</v>
      </c>
      <c r="AU274">
        <f t="shared" si="176"/>
        <v>8.9600142441538019E-3</v>
      </c>
      <c r="AV274">
        <f t="shared" si="177"/>
        <v>8.9304594206240356E-3</v>
      </c>
      <c r="AW274" s="11" t="str">
        <f t="shared" si="178"/>
        <v>UP</v>
      </c>
      <c r="AX274" s="11" t="str">
        <f t="shared" si="179"/>
        <v>UP</v>
      </c>
      <c r="AY274" s="6" t="str">
        <f t="shared" si="180"/>
        <v>POSITIVE</v>
      </c>
      <c r="AZ274" s="12" cm="1">
        <f t="array" ref="AZ274">_xll.BDP($B274, "INTERVAL_RSI", "TECH_STUDIES_PARAM1_OVERRIDE", "5", "PERIODICITY_OVERRIDE", "W")</f>
        <v>65.669845585450375</v>
      </c>
      <c r="BA274" cm="1">
        <f t="array" ref="BA274">IFERROR(VALUE(_xll.BDP($B274,"INTERVAL_MAE_MOV_AVG","CALC_INTERVAL","520D","TECH_STUDIES_PARAM1_OVERRIDE",31,"USE_PREVIOUS_BUSINESS_DAY","N")),"")</f>
        <v>68.704516079810347</v>
      </c>
      <c r="BB274" cm="1">
        <f t="array" ref="BB274">IFERROR(VALUE(_xll.BDP($B274,"INTERVAL_MAE_MOV_AVG","CALC_INTERVAL","760D","TECH_STUDIES_PARAM1_OVERRIDE",200,"USE_PREVIOUS_BUSINESS_DAY","N")),"")</f>
        <v>52.027857070370601</v>
      </c>
      <c r="BC274" s="13">
        <f t="shared" si="181"/>
        <v>4.9421553544534147E-2</v>
      </c>
      <c r="BD274" s="13">
        <f t="shared" si="182"/>
        <v>0.13358973867332957</v>
      </c>
      <c r="BE274" s="13">
        <f t="shared" si="183"/>
        <v>0.38579607271698113</v>
      </c>
      <c r="BF274" s="14" cm="1">
        <f t="array" ref="BF274">VALUE(_xll.BDP($B274,"INTERVAL_DATE_OF_CALC_HI","CALC_INTERVAL","3M"))</f>
        <v>46050</v>
      </c>
      <c r="BG274" s="14" cm="1">
        <f t="array" ref="BG274">VALUE(_xll.BDP($B274,"INTERVAL_DATE_OF_CALC_LO","CALC_INTERVAL","3M"))</f>
        <v>45982</v>
      </c>
      <c r="BH274" s="14" cm="1">
        <f t="array" ref="BH274">VALUE(_xll.BDP($B274,"INTERVAL_DATE_OF_CALC_HI","CALC_INTERVAL","1M"))</f>
        <v>46050</v>
      </c>
      <c r="BI274" s="14" cm="1">
        <f t="array" ref="BI274">VALUE(_xll.BDP($B274,"INTERVAL_DATE_OF_CALC_LO","CALC_INTERVAL","1M"))</f>
        <v>46035</v>
      </c>
      <c r="BJ274" s="15">
        <f>$F274-MIN(_xll.BDP("NYA Index","RSI_14D"),_xll.BDP("RSP US Equity","RSI_14D"))</f>
        <v>-12.880505022629571</v>
      </c>
    </row>
    <row r="275" spans="1:62" x14ac:dyDescent="0.25">
      <c r="A275" s="11">
        <v>274</v>
      </c>
      <c r="B275" s="26" t="s">
        <v>508</v>
      </c>
      <c r="C275" s="1" t="s">
        <v>922</v>
      </c>
      <c r="D275" s="1" t="s">
        <v>308</v>
      </c>
      <c r="E275" s="11" t="s">
        <v>787</v>
      </c>
      <c r="F275">
        <f>IFERROR(VALUE((_xll.BDP($B275,"interval_rsi","tech_studies_param1_override",14))),"")</f>
        <v>61.211224474693076</v>
      </c>
      <c r="G275">
        <f t="shared" si="146"/>
        <v>52.525531939815814</v>
      </c>
      <c r="H275">
        <f t="shared" si="157"/>
        <v>0</v>
      </c>
      <c r="I275" cm="1">
        <f t="array" ref="I275">IFERROR(VALUE(_xll.BDP($B275,"px_last")),"")</f>
        <v>96.03</v>
      </c>
      <c r="J275">
        <f t="shared" si="147"/>
        <v>6941.47</v>
      </c>
      <c r="K275" cm="1">
        <f t="array" ref="K275">IFERROR(VALUE(_xll.BDP($B275,"PX_YEST_CLOSE")),"")</f>
        <v>95.93</v>
      </c>
      <c r="L275">
        <f t="shared" si="148"/>
        <v>6941.81</v>
      </c>
      <c r="M275">
        <f t="shared" si="158"/>
        <v>1.3834245484025717E-2</v>
      </c>
      <c r="N275">
        <f t="shared" si="159"/>
        <v>1.3819162437462276E-2</v>
      </c>
      <c r="O275" cm="1">
        <f t="array" ref="O275">IFERROR(VALUE(_xll.BDP($B275,"INTERVAL_MAE_MOV_AVG","CALC_INTERVAL","520D","TECH_STUDIES_PARAM1_OVERRIDE",50,"USE_PREVIOUS_BUSINESS_DAY","N")),"")</f>
        <v>94.575248839785942</v>
      </c>
      <c r="P275">
        <f t="shared" si="149"/>
        <v>6894.0953999999992</v>
      </c>
      <c r="Q275" cm="1">
        <f t="array" ref="Q275">IFERROR(VALUE(_xll.BDP($B275,"INTERVAL_MAE_MOV_AVG","CALC_INTERVAL","520D","TECH_STUDIES_PARAM1_OVERRIDE",50,"USE_PREVIOUS_BUSINESS_DAY","Y")),"")</f>
        <v>94.553391765599969</v>
      </c>
      <c r="R275">
        <f t="shared" si="150"/>
        <v>6892.2477999999992</v>
      </c>
      <c r="S275">
        <f t="shared" si="160"/>
        <v>1.3718297086487367E-2</v>
      </c>
      <c r="T275">
        <f t="shared" si="161"/>
        <v>1.3718803285859801E-2</v>
      </c>
      <c r="U275" s="11" t="str">
        <f t="shared" si="162"/>
        <v>NEGATIVE</v>
      </c>
      <c r="V275" s="11" t="str">
        <f t="shared" si="163"/>
        <v/>
      </c>
      <c r="W275" s="11" t="str">
        <f t="shared" si="164"/>
        <v>DOWN</v>
      </c>
      <c r="X275" s="6" t="str">
        <f t="shared" si="165"/>
        <v>POSITIVE</v>
      </c>
      <c r="Y275" cm="1">
        <f t="array" ref="Y275">IFERROR(VALUE(_xll.BDP($B275,"INTERVAL_MAE_MOV_AVG","CALC_INTERVAL","520D","TECH_STUDIES_PARAM1_OVERRIDE",65,"USE_PREVIOUS_BUSINESS_DAY","N")),"")</f>
        <v>94.337017831373785</v>
      </c>
      <c r="Z275">
        <f t="shared" si="151"/>
        <v>6856.0226153846133</v>
      </c>
      <c r="AA275" cm="1">
        <f t="array" ref="AA275">IFERROR(VALUE(_xll.BDP($B275,"INTERVAL_MAE_MOV_AVG","CALC_INTERVAL","520D","TECH_STUDIES_PARAM1_OVERRIDE",65,"USE_PREVIOUS_BUSINESS_DAY","Y")),"")</f>
        <v>94.274394263384579</v>
      </c>
      <c r="AB275">
        <f t="shared" si="152"/>
        <v>6852.6203076923057</v>
      </c>
      <c r="AC275">
        <f t="shared" si="166"/>
        <v>1.3759729674707557E-2</v>
      </c>
      <c r="AD275">
        <f t="shared" si="167"/>
        <v>1.3757422712821004E-2</v>
      </c>
      <c r="AE275" s="10" t="str">
        <f t="shared" si="168"/>
        <v>UP</v>
      </c>
      <c r="AF275" s="10" t="str">
        <f t="shared" si="169"/>
        <v>UP</v>
      </c>
      <c r="AG275" s="6" t="str">
        <f t="shared" si="170"/>
        <v>POSITIVE</v>
      </c>
      <c r="AH275" cm="1">
        <f t="array" ref="AH275">IFERROR(VALUE(_xll.BDP($B275,"INTERVAL_MAE_MOV_AVG","CALC_INTERVAL","65W","PERIODICITY_OVERRIDE","W","TECH_STUDIES_PARAM1_OVERRIDE",39,"USE_PREVIOUS_BUSINESS_DAY","N")),"")</f>
        <v>93.508163763767243</v>
      </c>
      <c r="AI275">
        <f t="shared" si="153"/>
        <v>6560.7735897435905</v>
      </c>
      <c r="AJ275" cm="1">
        <f t="array" ref="AJ275">IFERROR(VALUE(_xll.BDP($B275,"INTERVAL_MAE_MOV_AVG","CALC_INTERVAL","65W","PERIODICITY_OVERRIDE","W","TECH_STUDIES_PARAM1_OVERRIDE",39,"USE_PREVIOUS_BUSINESS_DAY","Y")),"")</f>
        <v>93.505599692503225</v>
      </c>
      <c r="AK275">
        <f t="shared" si="154"/>
        <v>6560.7823076923087</v>
      </c>
      <c r="AL275">
        <f t="shared" si="171"/>
        <v>1.4252612513552955E-2</v>
      </c>
      <c r="AM275">
        <f t="shared" si="172"/>
        <v>1.4252202756807048E-2</v>
      </c>
      <c r="AN275" s="10" t="str">
        <f t="shared" si="173"/>
        <v>UP</v>
      </c>
      <c r="AO275" s="10" t="str">
        <f t="shared" si="174"/>
        <v>UP</v>
      </c>
      <c r="AP275" s="6" t="str">
        <f t="shared" si="175"/>
        <v>NEGATIVE</v>
      </c>
      <c r="AQ275" cm="1">
        <f t="array" ref="AQ275">IFERROR(VALUE(_xll.BDP($B275,"INTERVAL_exp_MOV_AVG","CALC_INTERVAL","520D","TECH_STUDIES_PARAM1_OVERRIDE",100,"USE_PREVIOUS_BUSINESS_DAY","N")),"")</f>
        <v>94.149049841699764</v>
      </c>
      <c r="AR275">
        <f t="shared" si="155"/>
        <v>6773.0064518682802</v>
      </c>
      <c r="AS275" cm="1">
        <f t="array" ref="AS275">IFERROR(VALUE(_xll.BDP($B275,"INTERVAL_exp_MOV_AVG","CALC_INTERVAL","520D","TECH_STUDIES_PARAM1_OVERRIDE",100,"USE_PREVIOUS_BUSINESS_DAY","Y")),"")</f>
        <v>94.111055983287358</v>
      </c>
      <c r="AT275">
        <f t="shared" si="156"/>
        <v>6769.6039787132295</v>
      </c>
      <c r="AU275">
        <f t="shared" si="176"/>
        <v>1.3900628991092942E-2</v>
      </c>
      <c r="AV275">
        <f t="shared" si="177"/>
        <v>1.3902003171709322E-2</v>
      </c>
      <c r="AW275" s="11" t="str">
        <f t="shared" si="178"/>
        <v>UP</v>
      </c>
      <c r="AX275" s="11" t="str">
        <f t="shared" si="179"/>
        <v>DOWN</v>
      </c>
      <c r="AY275" s="6" t="str">
        <f t="shared" si="180"/>
        <v>NEGATIVE</v>
      </c>
      <c r="AZ275" s="12" cm="1">
        <f t="array" ref="AZ275">_xll.BDP($B275, "INTERVAL_RSI", "TECH_STUDIES_PARAM1_OVERRIDE", "5", "PERIODICITY_OVERRIDE", "W")</f>
        <v>73.570604063274999</v>
      </c>
      <c r="BA275" cm="1">
        <f t="array" ref="BA275">IFERROR(VALUE(_xll.BDP($B275,"INTERVAL_MAE_MOV_AVG","CALC_INTERVAL","520D","TECH_STUDIES_PARAM1_OVERRIDE",31,"USE_PREVIOUS_BUSINESS_DAY","N")),"")</f>
        <v>94.837096734816015</v>
      </c>
      <c r="BB275" cm="1">
        <f t="array" ref="BB275">IFERROR(VALUE(_xll.BDP($B275,"INTERVAL_MAE_MOV_AVG","CALC_INTERVAL","760D","TECH_STUDIES_PARAM1_OVERRIDE",200,"USE_PREVIOUS_BUSINESS_DAY","N")),"")</f>
        <v>93.282943800711706</v>
      </c>
      <c r="BC275" s="13">
        <f t="shared" si="181"/>
        <v>1.257844563208832E-2</v>
      </c>
      <c r="BD275" s="13">
        <f t="shared" si="182"/>
        <v>1.538194377556934E-2</v>
      </c>
      <c r="BE275" s="13">
        <f t="shared" si="183"/>
        <v>2.9448643957431964E-2</v>
      </c>
      <c r="BF275" s="14" cm="1">
        <f t="array" ref="BF275">VALUE(_xll.BDP($B275,"INTERVAL_DATE_OF_CALC_HI","CALC_INTERVAL","3M"))</f>
        <v>46059</v>
      </c>
      <c r="BG275" s="14" cm="1">
        <f t="array" ref="BG275">VALUE(_xll.BDP($B275,"INTERVAL_DATE_OF_CALC_LO","CALC_INTERVAL","3M"))</f>
        <v>45981</v>
      </c>
      <c r="BH275" s="14" cm="1">
        <f t="array" ref="BH275">VALUE(_xll.BDP($B275,"INTERVAL_DATE_OF_CALC_HI","CALC_INTERVAL","1M"))</f>
        <v>46059</v>
      </c>
      <c r="BI275" s="14" cm="1">
        <f t="array" ref="BI275">VALUE(_xll.BDP($B275,"INTERVAL_DATE_OF_CALC_LO","CALC_INTERVAL","1M"))</f>
        <v>46042</v>
      </c>
      <c r="BJ275" s="15">
        <f>$F275-MIN(_xll.BDP("NYA Index","RSI_14D"),_xll.BDP("RSP US Equity","RSI_14D"))</f>
        <v>-5.1345396854631744</v>
      </c>
    </row>
    <row r="276" spans="1:62" x14ac:dyDescent="0.25">
      <c r="A276" s="11">
        <v>275</v>
      </c>
      <c r="B276" s="26" t="s">
        <v>509</v>
      </c>
      <c r="C276" s="1" t="s">
        <v>510</v>
      </c>
      <c r="D276" s="1" t="s">
        <v>308</v>
      </c>
      <c r="E276" s="11" t="s">
        <v>787</v>
      </c>
      <c r="F276">
        <f>IFERROR(VALUE((_xll.BDP($B276,"interval_rsi","tech_studies_param1_override",14))),"")</f>
        <v>63.116375353876698</v>
      </c>
      <c r="G276">
        <f t="shared" si="146"/>
        <v>52.525531939815814</v>
      </c>
      <c r="H276">
        <f t="shared" si="157"/>
        <v>1</v>
      </c>
      <c r="I276" cm="1">
        <f t="array" ref="I276">IFERROR(VALUE(_xll.BDP($B276,"px_last")),"")</f>
        <v>78.89</v>
      </c>
      <c r="J276">
        <f t="shared" si="147"/>
        <v>6941.47</v>
      </c>
      <c r="K276" cm="1">
        <f t="array" ref="K276">IFERROR(VALUE(_xll.BDP($B276,"PX_YEST_CLOSE")),"")</f>
        <v>78.03</v>
      </c>
      <c r="L276">
        <f t="shared" si="148"/>
        <v>6941.81</v>
      </c>
      <c r="M276">
        <f t="shared" si="158"/>
        <v>1.1365027868736737E-2</v>
      </c>
      <c r="N276">
        <f t="shared" si="159"/>
        <v>1.1240584228032747E-2</v>
      </c>
      <c r="O276" cm="1">
        <f t="array" ref="O276">IFERROR(VALUE(_xll.BDP($B276,"INTERVAL_MAE_MOV_AVG","CALC_INTERVAL","520D","TECH_STUDIES_PARAM1_OVERRIDE",50,"USE_PREVIOUS_BUSINESS_DAY","N")),"")</f>
        <v>72.013399987792951</v>
      </c>
      <c r="P276">
        <f t="shared" si="149"/>
        <v>6894.0953999999992</v>
      </c>
      <c r="Q276" cm="1">
        <f t="array" ref="Q276">IFERROR(VALUE(_xll.BDP($B276,"INTERVAL_MAE_MOV_AVG","CALC_INTERVAL","520D","TECH_STUDIES_PARAM1_OVERRIDE",50,"USE_PREVIOUS_BUSINESS_DAY","Y")),"")</f>
        <v>71.856999999999985</v>
      </c>
      <c r="R276">
        <f t="shared" si="150"/>
        <v>6892.2477999999992</v>
      </c>
      <c r="S276">
        <f t="shared" si="160"/>
        <v>1.0445663398825749E-2</v>
      </c>
      <c r="T276">
        <f t="shared" si="161"/>
        <v>1.0425771400732283E-2</v>
      </c>
      <c r="U276" s="11" t="str">
        <f t="shared" si="162"/>
        <v>POSITIVE</v>
      </c>
      <c r="V276" s="11" t="str">
        <f t="shared" si="163"/>
        <v/>
      </c>
      <c r="W276" s="11" t="str">
        <f t="shared" si="164"/>
        <v>UP</v>
      </c>
      <c r="X276" s="6" t="str">
        <f t="shared" si="165"/>
        <v>POSITIVE</v>
      </c>
      <c r="Y276" cm="1">
        <f t="array" ref="Y276">IFERROR(VALUE(_xll.BDP($B276,"INTERVAL_MAE_MOV_AVG","CALC_INTERVAL","520D","TECH_STUDIES_PARAM1_OVERRIDE",65,"USE_PREVIOUS_BUSINESS_DAY","N")),"")</f>
        <v>71.727076913686915</v>
      </c>
      <c r="Z276">
        <f t="shared" si="151"/>
        <v>6856.0226153846133</v>
      </c>
      <c r="AA276" cm="1">
        <f t="array" ref="AA276">IFERROR(VALUE(_xll.BDP($B276,"INTERVAL_MAE_MOV_AVG","CALC_INTERVAL","520D","TECH_STUDIES_PARAM1_OVERRIDE",65,"USE_PREVIOUS_BUSINESS_DAY","Y")),"")</f>
        <v>71.603846153846177</v>
      </c>
      <c r="AB276">
        <f t="shared" si="152"/>
        <v>6852.6203076923057</v>
      </c>
      <c r="AC276">
        <f t="shared" si="166"/>
        <v>1.0461907863713068E-2</v>
      </c>
      <c r="AD276">
        <f t="shared" si="167"/>
        <v>1.044911916007784E-2</v>
      </c>
      <c r="AE276" s="10" t="str">
        <f t="shared" si="168"/>
        <v>UP</v>
      </c>
      <c r="AF276" s="10" t="str">
        <f t="shared" si="169"/>
        <v>UP</v>
      </c>
      <c r="AG276" s="6" t="str">
        <f t="shared" si="170"/>
        <v>POSITIVE</v>
      </c>
      <c r="AH276" cm="1">
        <f t="array" ref="AH276">IFERROR(VALUE(_xll.BDP($B276,"INTERVAL_MAE_MOV_AVG","CALC_INTERVAL","65W","PERIODICITY_OVERRIDE","W","TECH_STUDIES_PARAM1_OVERRIDE",39,"USE_PREVIOUS_BUSINESS_DAY","N")),"")</f>
        <v>73.121282035632007</v>
      </c>
      <c r="AI276">
        <f t="shared" si="153"/>
        <v>6560.7735897435905</v>
      </c>
      <c r="AJ276" cm="1">
        <f t="array" ref="AJ276">IFERROR(VALUE(_xll.BDP($B276,"INTERVAL_MAE_MOV_AVG","CALC_INTERVAL","65W","PERIODICITY_OVERRIDE","W","TECH_STUDIES_PARAM1_OVERRIDE",39,"USE_PREVIOUS_BUSINESS_DAY","Y")),"")</f>
        <v>73.099230769230758</v>
      </c>
      <c r="AK276">
        <f t="shared" si="154"/>
        <v>6560.7823076923087</v>
      </c>
      <c r="AL276">
        <f t="shared" si="171"/>
        <v>1.1145222592339106E-2</v>
      </c>
      <c r="AM276">
        <f t="shared" si="172"/>
        <v>1.1141846709884617E-2</v>
      </c>
      <c r="AN276" s="10" t="str">
        <f t="shared" si="173"/>
        <v>UP</v>
      </c>
      <c r="AO276" s="10" t="str">
        <f t="shared" si="174"/>
        <v>UP</v>
      </c>
      <c r="AP276" s="6" t="str">
        <f t="shared" si="175"/>
        <v>POSITIVE</v>
      </c>
      <c r="AQ276" cm="1">
        <f t="array" ref="AQ276">IFERROR(VALUE(_xll.BDP($B276,"INTERVAL_exp_MOV_AVG","CALC_INTERVAL","520D","TECH_STUDIES_PARAM1_OVERRIDE",100,"USE_PREVIOUS_BUSINESS_DAY","N")),"")</f>
        <v>72.668433431494421</v>
      </c>
      <c r="AR276">
        <f t="shared" si="155"/>
        <v>6773.0064518682802</v>
      </c>
      <c r="AS276" cm="1">
        <f t="array" ref="AS276">IFERROR(VALUE(_xll.BDP($B276,"INTERVAL_exp_MOV_AVG","CALC_INTERVAL","520D","TECH_STUDIES_PARAM1_OVERRIDE",100,"USE_PREVIOUS_BUSINESS_DAY","Y")),"")</f>
        <v>72.542723815121605</v>
      </c>
      <c r="AT276">
        <f t="shared" si="156"/>
        <v>6769.6039787132295</v>
      </c>
      <c r="AU276">
        <f t="shared" si="176"/>
        <v>1.0729125086164566E-2</v>
      </c>
      <c r="AV276">
        <f t="shared" si="177"/>
        <v>1.0715947940711085E-2</v>
      </c>
      <c r="AW276" s="11" t="str">
        <f t="shared" si="178"/>
        <v>UP</v>
      </c>
      <c r="AX276" s="11" t="str">
        <f t="shared" si="179"/>
        <v>UP</v>
      </c>
      <c r="AY276" s="6" t="str">
        <f t="shared" si="180"/>
        <v>POSITIVE</v>
      </c>
      <c r="AZ276" s="12" cm="1">
        <f t="array" ref="AZ276">_xll.BDP($B276, "INTERVAL_RSI", "TECH_STUDIES_PARAM1_OVERRIDE", "5", "PERIODICITY_OVERRIDE", "W")</f>
        <v>73.542615712195584</v>
      </c>
      <c r="BA276" cm="1">
        <f t="array" ref="BA276">IFERROR(VALUE(_xll.BDP($B276,"INTERVAL_MAE_MOV_AVG","CALC_INTERVAL","520D","TECH_STUDIES_PARAM1_OVERRIDE",31,"USE_PREVIOUS_BUSINESS_DAY","N")),"")</f>
        <v>73.565161270633808</v>
      </c>
      <c r="BB276" cm="1">
        <f t="array" ref="BB276">IFERROR(VALUE(_xll.BDP($B276,"INTERVAL_MAE_MOV_AVG","CALC_INTERVAL","760D","TECH_STUDIES_PARAM1_OVERRIDE",200,"USE_PREVIOUS_BUSINESS_DAY","N")),"")</f>
        <v>72.403999996948272</v>
      </c>
      <c r="BC276" s="13">
        <f t="shared" si="181"/>
        <v>7.2382614778441212E-2</v>
      </c>
      <c r="BD276" s="13">
        <f t="shared" si="182"/>
        <v>9.5490561664533402E-2</v>
      </c>
      <c r="BE276" s="13">
        <f t="shared" si="183"/>
        <v>8.9580686195860793E-2</v>
      </c>
      <c r="BF276" s="14" cm="1">
        <f t="array" ref="BF276">VALUE(_xll.BDP($B276,"INTERVAL_DATE_OF_CALC_HI","CALC_INTERVAL","3M"))</f>
        <v>46052</v>
      </c>
      <c r="BG276" s="14" cm="1">
        <f t="array" ref="BG276">VALUE(_xll.BDP($B276,"INTERVAL_DATE_OF_CALC_LO","CALC_INTERVAL","3M"))</f>
        <v>46007</v>
      </c>
      <c r="BH276" s="14" cm="1">
        <f t="array" ref="BH276">VALUE(_xll.BDP($B276,"INTERVAL_DATE_OF_CALC_HI","CALC_INTERVAL","1M"))</f>
        <v>46052</v>
      </c>
      <c r="BI276" s="14" cm="1">
        <f t="array" ref="BI276">VALUE(_xll.BDP($B276,"INTERVAL_DATE_OF_CALC_LO","CALC_INTERVAL","1M"))</f>
        <v>46037</v>
      </c>
      <c r="BJ276" s="15">
        <f>$F276-MIN(_xll.BDP("NYA Index","RSI_14D"),_xll.BDP("RSP US Equity","RSI_14D"))</f>
        <v>-3.2293888062795517</v>
      </c>
    </row>
    <row r="277" spans="1:62" x14ac:dyDescent="0.25">
      <c r="A277" s="11">
        <v>276</v>
      </c>
      <c r="B277" s="26" t="s">
        <v>511</v>
      </c>
      <c r="C277" s="1" t="s">
        <v>923</v>
      </c>
      <c r="D277" s="1" t="s">
        <v>308</v>
      </c>
      <c r="E277" s="11" t="s">
        <v>787</v>
      </c>
      <c r="F277">
        <f>IFERROR(VALUE((_xll.BDP($B277,"interval_rsi","tech_studies_param1_override",14))),"")</f>
        <v>44.418342680983649</v>
      </c>
      <c r="G277">
        <f t="shared" si="146"/>
        <v>52.525531939815814</v>
      </c>
      <c r="H277">
        <f t="shared" si="157"/>
        <v>0</v>
      </c>
      <c r="I277" cm="1">
        <f t="array" ref="I277">IFERROR(VALUE(_xll.BDP($B277,"px_last")),"")</f>
        <v>26.83</v>
      </c>
      <c r="J277">
        <f t="shared" si="147"/>
        <v>6941.47</v>
      </c>
      <c r="K277" cm="1">
        <f t="array" ref="K277">IFERROR(VALUE(_xll.BDP($B277,"PX_YEST_CLOSE")),"")</f>
        <v>26.8</v>
      </c>
      <c r="L277">
        <f t="shared" si="148"/>
        <v>6941.81</v>
      </c>
      <c r="M277">
        <f t="shared" si="158"/>
        <v>3.8651755319838591E-3</v>
      </c>
      <c r="N277">
        <f t="shared" si="159"/>
        <v>3.8606645817157196E-3</v>
      </c>
      <c r="O277" cm="1">
        <f t="array" ref="O277">IFERROR(VALUE(_xll.BDP($B277,"INTERVAL_MAE_MOV_AVG","CALC_INTERVAL","520D","TECH_STUDIES_PARAM1_OVERRIDE",50,"USE_PREVIOUS_BUSINESS_DAY","N")),"")</f>
        <v>27.058822550474119</v>
      </c>
      <c r="P277">
        <f t="shared" si="149"/>
        <v>6894.0953999999992</v>
      </c>
      <c r="Q277" cm="1">
        <f t="array" ref="Q277">IFERROR(VALUE(_xll.BDP($B277,"INTERVAL_MAE_MOV_AVG","CALC_INTERVAL","520D","TECH_STUDIES_PARAM1_OVERRIDE",50,"USE_PREVIOUS_BUSINESS_DAY","Y")),"")</f>
        <v>27.067792667999999</v>
      </c>
      <c r="R277">
        <f t="shared" si="150"/>
        <v>6892.2477999999992</v>
      </c>
      <c r="S277">
        <f t="shared" si="160"/>
        <v>3.9249271993645638E-3</v>
      </c>
      <c r="T277">
        <f t="shared" si="161"/>
        <v>3.9272808310809723E-3</v>
      </c>
      <c r="U277" s="11" t="str">
        <f t="shared" si="162"/>
        <v>NEGATIVE</v>
      </c>
      <c r="V277" s="11" t="str">
        <f t="shared" si="163"/>
        <v/>
      </c>
      <c r="W277" s="11" t="str">
        <f t="shared" si="164"/>
        <v>DOWN</v>
      </c>
      <c r="X277" s="6" t="str">
        <f t="shared" si="165"/>
        <v>NEGATIVE</v>
      </c>
      <c r="Y277" cm="1">
        <f t="array" ref="Y277">IFERROR(VALUE(_xll.BDP($B277,"INTERVAL_MAE_MOV_AVG","CALC_INTERVAL","520D","TECH_STUDIES_PARAM1_OVERRIDE",65,"USE_PREVIOUS_BUSINESS_DAY","N")),"")</f>
        <v>27.11517179882625</v>
      </c>
      <c r="Z277">
        <f t="shared" si="151"/>
        <v>6856.0226153846133</v>
      </c>
      <c r="AA277" cm="1">
        <f t="array" ref="AA277">IFERROR(VALUE(_xll.BDP($B277,"INTERVAL_MAE_MOV_AVG","CALC_INTERVAL","520D","TECH_STUDIES_PARAM1_OVERRIDE",65,"USE_PREVIOUS_BUSINESS_DAY","Y")),"")</f>
        <v>27.121625590769234</v>
      </c>
      <c r="AB277">
        <f t="shared" si="152"/>
        <v>6852.6203076923057</v>
      </c>
      <c r="AC277">
        <f t="shared" si="166"/>
        <v>3.9549420006259892E-3</v>
      </c>
      <c r="AD277">
        <f t="shared" si="167"/>
        <v>3.9578474179175318E-3</v>
      </c>
      <c r="AE277" s="10" t="str">
        <f t="shared" si="168"/>
        <v>DOWN</v>
      </c>
      <c r="AF277" s="10" t="str">
        <f t="shared" si="169"/>
        <v>DOWN</v>
      </c>
      <c r="AG277" s="6" t="str">
        <f t="shared" si="170"/>
        <v>NEGATIVE</v>
      </c>
      <c r="AH277" cm="1">
        <f t="array" ref="AH277">IFERROR(VALUE(_xll.BDP($B277,"INTERVAL_MAE_MOV_AVG","CALC_INTERVAL","65W","PERIODICITY_OVERRIDE","W","TECH_STUDIES_PARAM1_OVERRIDE",39,"USE_PREVIOUS_BUSINESS_DAY","N")),"")</f>
        <v>26.767268336505285</v>
      </c>
      <c r="AI277">
        <f t="shared" si="153"/>
        <v>6560.7735897435905</v>
      </c>
      <c r="AJ277" cm="1">
        <f t="array" ref="AJ277">IFERROR(VALUE(_xll.BDP($B277,"INTERVAL_MAE_MOV_AVG","CALC_INTERVAL","65W","PERIODICITY_OVERRIDE","W","TECH_STUDIES_PARAM1_OVERRIDE",39,"USE_PREVIOUS_BUSINESS_DAY","Y")),"")</f>
        <v>26.766499107692308</v>
      </c>
      <c r="AK277">
        <f t="shared" si="154"/>
        <v>6560.7823076923087</v>
      </c>
      <c r="AL277">
        <f t="shared" si="171"/>
        <v>4.0798951480889934E-3</v>
      </c>
      <c r="AM277">
        <f t="shared" si="172"/>
        <v>4.0797724802283776E-3</v>
      </c>
      <c r="AN277" s="10" t="str">
        <f t="shared" si="173"/>
        <v>UP</v>
      </c>
      <c r="AO277" s="10" t="str">
        <f t="shared" si="174"/>
        <v>UP</v>
      </c>
      <c r="AP277" s="6" t="str">
        <f t="shared" si="175"/>
        <v>NEGATIVE</v>
      </c>
      <c r="AQ277" cm="1">
        <f t="array" ref="AQ277">IFERROR(VALUE(_xll.BDP($B277,"INTERVAL_exp_MOV_AVG","CALC_INTERVAL","520D","TECH_STUDIES_PARAM1_OVERRIDE",100,"USE_PREVIOUS_BUSINESS_DAY","N")),"")</f>
        <v>26.991018766749697</v>
      </c>
      <c r="AR277">
        <f t="shared" si="155"/>
        <v>6773.0064518682802</v>
      </c>
      <c r="AS277" cm="1">
        <f t="array" ref="AS277">IFERROR(VALUE(_xll.BDP($B277,"INTERVAL_exp_MOV_AVG","CALC_INTERVAL","520D","TECH_STUDIES_PARAM1_OVERRIDE",100,"USE_PREVIOUS_BUSINESS_DAY","Y")),"")</f>
        <v>26.994271098355814</v>
      </c>
      <c r="AT277">
        <f t="shared" si="156"/>
        <v>6769.6039787132295</v>
      </c>
      <c r="AU277">
        <f t="shared" si="176"/>
        <v>3.9850868234895063E-3</v>
      </c>
      <c r="AV277">
        <f t="shared" si="177"/>
        <v>3.9875702010395741E-3</v>
      </c>
      <c r="AW277" s="11" t="str">
        <f t="shared" si="178"/>
        <v>DOWN</v>
      </c>
      <c r="AX277" s="11" t="str">
        <f t="shared" si="179"/>
        <v>DOWN</v>
      </c>
      <c r="AY277" s="6" t="str">
        <f t="shared" si="180"/>
        <v>NEGATIVE</v>
      </c>
      <c r="AZ277" s="12" cm="1">
        <f t="array" ref="AZ277">_xll.BDP($B277, "INTERVAL_RSI", "TECH_STUDIES_PARAM1_OVERRIDE", "5", "PERIODICITY_OVERRIDE", "W")</f>
        <v>37.160801764699819</v>
      </c>
      <c r="BA277" cm="1">
        <f t="array" ref="BA277">IFERROR(VALUE(_xll.BDP($B277,"INTERVAL_MAE_MOV_AVG","CALC_INTERVAL","520D","TECH_STUDIES_PARAM1_OVERRIDE",31,"USE_PREVIOUS_BUSINESS_DAY","N")),"")</f>
        <v>27.042580642700194</v>
      </c>
      <c r="BB277" cm="1">
        <f t="array" ref="BB277">IFERROR(VALUE(_xll.BDP($B277,"INTERVAL_MAE_MOV_AVG","CALC_INTERVAL","760D","TECH_STUDIES_PARAM1_OVERRIDE",200,"USE_PREVIOUS_BUSINESS_DAY","N")),"")</f>
        <v>26.761803688618528</v>
      </c>
      <c r="BC277" s="13">
        <f t="shared" si="181"/>
        <v>-7.8609599249759299E-3</v>
      </c>
      <c r="BD277" s="13">
        <f t="shared" si="182"/>
        <v>-8.4564858669399223E-3</v>
      </c>
      <c r="BE277" s="13">
        <f t="shared" si="183"/>
        <v>2.5482703697761178E-3</v>
      </c>
      <c r="BF277" s="14" cm="1">
        <f t="array" ref="BF277">VALUE(_xll.BDP($B277,"INTERVAL_DATE_OF_CALC_HI","CALC_INTERVAL","3M"))</f>
        <v>45981</v>
      </c>
      <c r="BG277" s="14" cm="1">
        <f t="array" ref="BG277">VALUE(_xll.BDP($B277,"INTERVAL_DATE_OF_CALC_LO","CALC_INTERVAL","3M"))</f>
        <v>46049</v>
      </c>
      <c r="BH277" s="14" cm="1">
        <f t="array" ref="BH277">VALUE(_xll.BDP($B277,"INTERVAL_DATE_OF_CALC_HI","CALC_INTERVAL","1M"))</f>
        <v>46037</v>
      </c>
      <c r="BI277" s="14" cm="1">
        <f t="array" ref="BI277">VALUE(_xll.BDP($B277,"INTERVAL_DATE_OF_CALC_LO","CALC_INTERVAL","1M"))</f>
        <v>46049</v>
      </c>
      <c r="BJ277" s="15">
        <f>$F277-MIN(_xll.BDP("NYA Index","RSI_14D"),_xll.BDP("RSP US Equity","RSI_14D"))</f>
        <v>-21.927421479172601</v>
      </c>
    </row>
    <row r="278" spans="1:62" x14ac:dyDescent="0.25">
      <c r="A278" s="11">
        <v>277</v>
      </c>
      <c r="B278" s="26" t="s">
        <v>512</v>
      </c>
      <c r="C278" s="1" t="s">
        <v>924</v>
      </c>
      <c r="D278" s="1" t="s">
        <v>308</v>
      </c>
      <c r="E278" s="11" t="s">
        <v>787</v>
      </c>
      <c r="F278">
        <f>IFERROR(VALUE((_xll.BDP($B278,"interval_rsi","tech_studies_param1_override",14))),"")</f>
        <v>74.430727686356292</v>
      </c>
      <c r="G278">
        <f t="shared" si="146"/>
        <v>52.525531939815814</v>
      </c>
      <c r="H278">
        <f t="shared" si="157"/>
        <v>1</v>
      </c>
      <c r="I278" cm="1">
        <f t="array" ref="I278">IFERROR(VALUE(_xll.BDP($B278,"px_last")),"")</f>
        <v>339.28</v>
      </c>
      <c r="J278">
        <f t="shared" si="147"/>
        <v>6941.47</v>
      </c>
      <c r="K278" cm="1">
        <f t="array" ref="K278">IFERROR(VALUE(_xll.BDP($B278,"PX_YEST_CLOSE")),"")</f>
        <v>337.23</v>
      </c>
      <c r="L278">
        <f t="shared" si="148"/>
        <v>6941.81</v>
      </c>
      <c r="M278">
        <f t="shared" si="158"/>
        <v>4.8877255105906958E-2</v>
      </c>
      <c r="N278">
        <f t="shared" si="159"/>
        <v>4.85795491377609E-2</v>
      </c>
      <c r="O278" cm="1">
        <f t="array" ref="O278">IFERROR(VALUE(_xll.BDP($B278,"INTERVAL_MAE_MOV_AVG","CALC_INTERVAL","520D","TECH_STUDIES_PARAM1_OVERRIDE",50,"USE_PREVIOUS_BUSINESS_DAY","N")),"")</f>
        <v>311.82609137638593</v>
      </c>
      <c r="P278">
        <f t="shared" si="149"/>
        <v>6894.0953999999992</v>
      </c>
      <c r="Q278" cm="1">
        <f t="array" ref="Q278">IFERROR(VALUE(_xll.BDP($B278,"INTERVAL_MAE_MOV_AVG","CALC_INTERVAL","520D","TECH_STUDIES_PARAM1_OVERRIDE",50,"USE_PREVIOUS_BUSINESS_DAY","Y")),"")</f>
        <v>310.96340858879995</v>
      </c>
      <c r="R278">
        <f t="shared" si="150"/>
        <v>6892.2477999999992</v>
      </c>
      <c r="S278">
        <f t="shared" si="160"/>
        <v>4.5230893001043465E-2</v>
      </c>
      <c r="T278">
        <f t="shared" si="161"/>
        <v>4.5117850897467733E-2</v>
      </c>
      <c r="U278" s="11" t="str">
        <f t="shared" si="162"/>
        <v>POSITIVE</v>
      </c>
      <c r="V278" s="11" t="str">
        <f t="shared" si="163"/>
        <v/>
      </c>
      <c r="W278" s="11" t="str">
        <f t="shared" si="164"/>
        <v>UP</v>
      </c>
      <c r="X278" s="6" t="str">
        <f t="shared" si="165"/>
        <v>POSITIVE</v>
      </c>
      <c r="Y278" cm="1">
        <f t="array" ref="Y278">IFERROR(VALUE(_xll.BDP($B278,"INTERVAL_MAE_MOV_AVG","CALC_INTERVAL","520D","TECH_STUDIES_PARAM1_OVERRIDE",65,"USE_PREVIOUS_BUSINESS_DAY","N")),"")</f>
        <v>307.09874103045075</v>
      </c>
      <c r="Z278">
        <f t="shared" si="151"/>
        <v>6856.0226153846133</v>
      </c>
      <c r="AA278" cm="1">
        <f t="array" ref="AA278">IFERROR(VALUE(_xll.BDP($B278,"INTERVAL_MAE_MOV_AVG","CALC_INTERVAL","520D","TECH_STUDIES_PARAM1_OVERRIDE",65,"USE_PREVIOUS_BUSINESS_DAY","Y")),"")</f>
        <v>306.39524720615384</v>
      </c>
      <c r="AB278">
        <f t="shared" si="152"/>
        <v>6852.6203076923057</v>
      </c>
      <c r="AC278">
        <f t="shared" si="166"/>
        <v>4.479255076278988E-2</v>
      </c>
      <c r="AD278">
        <f t="shared" si="167"/>
        <v>4.4712129586723853E-2</v>
      </c>
      <c r="AE278" s="10" t="str">
        <f t="shared" si="168"/>
        <v>UP</v>
      </c>
      <c r="AF278" s="10" t="str">
        <f t="shared" si="169"/>
        <v>UP</v>
      </c>
      <c r="AG278" s="6" t="str">
        <f t="shared" si="170"/>
        <v>POSITIVE</v>
      </c>
      <c r="AH278" cm="1">
        <f t="array" ref="AH278">IFERROR(VALUE(_xll.BDP($B278,"INTERVAL_MAE_MOV_AVG","CALC_INTERVAL","65W","PERIODICITY_OVERRIDE","W","TECH_STUDIES_PARAM1_OVERRIDE",39,"USE_PREVIOUS_BUSINESS_DAY","N")),"")</f>
        <v>294.20160193166356</v>
      </c>
      <c r="AI278">
        <f t="shared" si="153"/>
        <v>6560.7735897435905</v>
      </c>
      <c r="AJ278" cm="1">
        <f t="array" ref="AJ278">IFERROR(VALUE(_xll.BDP($B278,"INTERVAL_MAE_MOV_AVG","CALC_INTERVAL","65W","PERIODICITY_OVERRIDE","W","TECH_STUDIES_PARAM1_OVERRIDE",39,"USE_PREVIOUS_BUSINESS_DAY","Y")),"")</f>
        <v>294.14903786039957</v>
      </c>
      <c r="AK278">
        <f t="shared" si="154"/>
        <v>6560.7823076923087</v>
      </c>
      <c r="AL278">
        <f t="shared" si="171"/>
        <v>4.4842517106761126E-2</v>
      </c>
      <c r="AM278">
        <f t="shared" si="172"/>
        <v>4.4834445659859674E-2</v>
      </c>
      <c r="AN278" s="10" t="str">
        <f t="shared" si="173"/>
        <v>UP</v>
      </c>
      <c r="AO278" s="10" t="str">
        <f t="shared" si="174"/>
        <v>UP</v>
      </c>
      <c r="AP278" s="6" t="str">
        <f t="shared" si="175"/>
        <v>POSITIVE</v>
      </c>
      <c r="AQ278" cm="1">
        <f t="array" ref="AQ278">IFERROR(VALUE(_xll.BDP($B278,"INTERVAL_exp_MOV_AVG","CALC_INTERVAL","520D","TECH_STUDIES_PARAM1_OVERRIDE",100,"USE_PREVIOUS_BUSINESS_DAY","N")),"")</f>
        <v>305.42937480785372</v>
      </c>
      <c r="AR278">
        <f t="shared" si="155"/>
        <v>6773.0064518682802</v>
      </c>
      <c r="AS278" cm="1">
        <f t="array" ref="AS278">IFERROR(VALUE(_xll.BDP($B278,"INTERVAL_exp_MOV_AVG","CALC_INTERVAL","520D","TECH_STUDIES_PARAM1_OVERRIDE",100,"USE_PREVIOUS_BUSINESS_DAY","Y")),"")</f>
        <v>304.74557081958898</v>
      </c>
      <c r="AT278">
        <f t="shared" si="156"/>
        <v>6769.6039787132295</v>
      </c>
      <c r="AU278">
        <f t="shared" si="176"/>
        <v>4.5095095801009233E-2</v>
      </c>
      <c r="AV278">
        <f t="shared" si="177"/>
        <v>4.5016750134549997E-2</v>
      </c>
      <c r="AW278" s="11" t="str">
        <f t="shared" si="178"/>
        <v>UP</v>
      </c>
      <c r="AX278" s="11" t="str">
        <f t="shared" si="179"/>
        <v>UP</v>
      </c>
      <c r="AY278" s="6" t="str">
        <f t="shared" si="180"/>
        <v>POSITIVE</v>
      </c>
      <c r="AZ278" s="12" cm="1">
        <f t="array" ref="AZ278">_xll.BDP($B278, "INTERVAL_RSI", "TECH_STUDIES_PARAM1_OVERRIDE", "5", "PERIODICITY_OVERRIDE", "W")</f>
        <v>88.168049183167255</v>
      </c>
      <c r="BA278" cm="1">
        <f t="array" ref="BA278">IFERROR(VALUE(_xll.BDP($B278,"INTERVAL_MAE_MOV_AVG","CALC_INTERVAL","520D","TECH_STUDIES_PARAM1_OVERRIDE",31,"USE_PREVIOUS_BUSINESS_DAY","N")),"")</f>
        <v>319.47677415417087</v>
      </c>
      <c r="BB278" cm="1">
        <f t="array" ref="BB278">IFERROR(VALUE(_xll.BDP($B278,"INTERVAL_MAE_MOV_AVG","CALC_INTERVAL","760D","TECH_STUDIES_PARAM1_OVERRIDE",200,"USE_PREVIOUS_BUSINESS_DAY","N")),"")</f>
        <v>290.3849687136281</v>
      </c>
      <c r="BC278" s="13">
        <f t="shared" si="181"/>
        <v>6.1986433593675283E-2</v>
      </c>
      <c r="BD278" s="13">
        <f t="shared" si="182"/>
        <v>8.8042371638735517E-2</v>
      </c>
      <c r="BE278" s="13">
        <f t="shared" si="183"/>
        <v>0.16838003531302337</v>
      </c>
      <c r="BF278" s="14" cm="1">
        <f t="array" ref="BF278">VALUE(_xll.BDP($B278,"INTERVAL_DATE_OF_CALC_HI","CALC_INTERVAL","3M"))</f>
        <v>46064</v>
      </c>
      <c r="BG278" s="14" cm="1">
        <f t="array" ref="BG278">VALUE(_xll.BDP($B278,"INTERVAL_DATE_OF_CALC_LO","CALC_INTERVAL","3M"))</f>
        <v>45981</v>
      </c>
      <c r="BH278" s="14" cm="1">
        <f t="array" ref="BH278">VALUE(_xll.BDP($B278,"INTERVAL_DATE_OF_CALC_HI","CALC_INTERVAL","1M"))</f>
        <v>46064</v>
      </c>
      <c r="BI278" s="14" cm="1">
        <f t="array" ref="BI278">VALUE(_xll.BDP($B278,"INTERVAL_DATE_OF_CALC_LO","CALC_INTERVAL","1M"))</f>
        <v>46034</v>
      </c>
      <c r="BJ278" s="15">
        <f>$F278-MIN(_xll.BDP("NYA Index","RSI_14D"),_xll.BDP("RSP US Equity","RSI_14D"))</f>
        <v>8.0849635262000419</v>
      </c>
    </row>
    <row r="279" spans="1:62" x14ac:dyDescent="0.25">
      <c r="A279" s="11">
        <v>278</v>
      </c>
      <c r="B279" s="26" t="s">
        <v>513</v>
      </c>
      <c r="C279" s="1" t="s">
        <v>925</v>
      </c>
      <c r="D279" s="1" t="s">
        <v>308</v>
      </c>
      <c r="E279" s="11" t="s">
        <v>787</v>
      </c>
      <c r="F279">
        <f>IFERROR(VALUE((_xll.BDP($B279,"interval_rsi","tech_studies_param1_override",14))),"")</f>
        <v>70.141121789061714</v>
      </c>
      <c r="G279">
        <f t="shared" si="146"/>
        <v>52.525531939815814</v>
      </c>
      <c r="H279">
        <f t="shared" si="157"/>
        <v>1</v>
      </c>
      <c r="I279" cm="1">
        <f t="array" ref="I279">IFERROR(VALUE(_xll.BDP($B279,"px_last")),"")</f>
        <v>152.9</v>
      </c>
      <c r="J279">
        <f t="shared" si="147"/>
        <v>6941.47</v>
      </c>
      <c r="K279" cm="1">
        <f t="array" ref="K279">IFERROR(VALUE(_xll.BDP($B279,"PX_YEST_CLOSE")),"")</f>
        <v>150.81</v>
      </c>
      <c r="L279">
        <f t="shared" si="148"/>
        <v>6941.81</v>
      </c>
      <c r="M279">
        <f t="shared" si="158"/>
        <v>2.202703461946821E-2</v>
      </c>
      <c r="N279">
        <f t="shared" si="159"/>
        <v>2.1724881551065212E-2</v>
      </c>
      <c r="O279" cm="1">
        <f t="array" ref="O279">IFERROR(VALUE(_xll.BDP($B279,"INTERVAL_MAE_MOV_AVG","CALC_INTERVAL","520D","TECH_STUDIES_PARAM1_OVERRIDE",50,"USE_PREVIOUS_BUSINESS_DAY","N")),"")</f>
        <v>141.62385732992968</v>
      </c>
      <c r="P279">
        <f t="shared" si="149"/>
        <v>6894.0953999999992</v>
      </c>
      <c r="Q279" cm="1">
        <f t="array" ref="Q279">IFERROR(VALUE(_xll.BDP($B279,"INTERVAL_MAE_MOV_AVG","CALC_INTERVAL","520D","TECH_STUDIES_PARAM1_OVERRIDE",50,"USE_PREVIOUS_BUSINESS_DAY","Y")),"")</f>
        <v>141.22339082300002</v>
      </c>
      <c r="R279">
        <f t="shared" si="150"/>
        <v>6892.2477999999992</v>
      </c>
      <c r="S279">
        <f t="shared" si="160"/>
        <v>2.0542775971729328E-2</v>
      </c>
      <c r="T279">
        <f t="shared" si="161"/>
        <v>2.0490178954825165E-2</v>
      </c>
      <c r="U279" s="11" t="str">
        <f t="shared" si="162"/>
        <v>POSITIVE</v>
      </c>
      <c r="V279" s="11" t="str">
        <f t="shared" si="163"/>
        <v/>
      </c>
      <c r="W279" s="11" t="str">
        <f t="shared" si="164"/>
        <v>UP</v>
      </c>
      <c r="X279" s="6" t="str">
        <f t="shared" si="165"/>
        <v>POSITIVE</v>
      </c>
      <c r="Y279" cm="1">
        <f t="array" ref="Y279">IFERROR(VALUE(_xll.BDP($B279,"INTERVAL_MAE_MOV_AVG","CALC_INTERVAL","520D","TECH_STUDIES_PARAM1_OVERRIDE",65,"USE_PREVIOUS_BUSINESS_DAY","N")),"")</f>
        <v>138.74992060456131</v>
      </c>
      <c r="Z279">
        <f t="shared" si="151"/>
        <v>6856.0226153846133</v>
      </c>
      <c r="AA279" cm="1">
        <f t="array" ref="AA279">IFERROR(VALUE(_xll.BDP($B279,"INTERVAL_MAE_MOV_AVG","CALC_INTERVAL","520D","TECH_STUDIES_PARAM1_OVERRIDE",65,"USE_PREVIOUS_BUSINESS_DAY","Y")),"")</f>
        <v>138.3767199546154</v>
      </c>
      <c r="AB279">
        <f t="shared" si="152"/>
        <v>6852.6203076923057</v>
      </c>
      <c r="AC279">
        <f t="shared" si="166"/>
        <v>2.0237669621044216E-2</v>
      </c>
      <c r="AD279">
        <f t="shared" si="167"/>
        <v>2.0193256556077198E-2</v>
      </c>
      <c r="AE279" s="10" t="str">
        <f t="shared" si="168"/>
        <v>UP</v>
      </c>
      <c r="AF279" s="10" t="str">
        <f t="shared" si="169"/>
        <v>UP</v>
      </c>
      <c r="AG279" s="6" t="str">
        <f t="shared" si="170"/>
        <v>POSITIVE</v>
      </c>
      <c r="AH279" cm="1">
        <f t="array" ref="AH279">IFERROR(VALUE(_xll.BDP($B279,"INTERVAL_MAE_MOV_AVG","CALC_INTERVAL","65W","PERIODICITY_OVERRIDE","W","TECH_STUDIES_PARAM1_OVERRIDE",39,"USE_PREVIOUS_BUSINESS_DAY","N")),"")</f>
        <v>125.1637195681123</v>
      </c>
      <c r="AI279">
        <f t="shared" si="153"/>
        <v>6560.7735897435905</v>
      </c>
      <c r="AJ279" cm="1">
        <f t="array" ref="AJ279">IFERROR(VALUE(_xll.BDP($B279,"INTERVAL_MAE_MOV_AVG","CALC_INTERVAL","65W","PERIODICITY_OVERRIDE","W","TECH_STUDIES_PARAM1_OVERRIDE",39,"USE_PREVIOUS_BUSINESS_DAY","Y")),"")</f>
        <v>125.11012998102298</v>
      </c>
      <c r="AK279">
        <f t="shared" si="154"/>
        <v>6560.7823076923087</v>
      </c>
      <c r="AL279">
        <f t="shared" si="171"/>
        <v>1.9077585570668042E-2</v>
      </c>
      <c r="AM279">
        <f t="shared" si="172"/>
        <v>1.9069392050142454E-2</v>
      </c>
      <c r="AN279" s="10" t="str">
        <f t="shared" si="173"/>
        <v>UP</v>
      </c>
      <c r="AO279" s="10" t="str">
        <f t="shared" si="174"/>
        <v>UP</v>
      </c>
      <c r="AP279" s="6" t="str">
        <f t="shared" si="175"/>
        <v>POSITIVE</v>
      </c>
      <c r="AQ279" cm="1">
        <f t="array" ref="AQ279">IFERROR(VALUE(_xll.BDP($B279,"INTERVAL_exp_MOV_AVG","CALC_INTERVAL","520D","TECH_STUDIES_PARAM1_OVERRIDE",100,"USE_PREVIOUS_BUSINESS_DAY","N")),"")</f>
        <v>135.48753531795501</v>
      </c>
      <c r="AR279">
        <f t="shared" si="155"/>
        <v>6773.0064518682802</v>
      </c>
      <c r="AS279" cm="1">
        <f t="array" ref="AS279">IFERROR(VALUE(_xll.BDP($B279,"INTERVAL_exp_MOV_AVG","CALC_INTERVAL","520D","TECH_STUDIES_PARAM1_OVERRIDE",100,"USE_PREVIOUS_BUSINESS_DAY","Y")),"")</f>
        <v>135.13579353904657</v>
      </c>
      <c r="AT279">
        <f t="shared" si="156"/>
        <v>6769.6039787132295</v>
      </c>
      <c r="AU279">
        <f t="shared" si="176"/>
        <v>2.0004046398122335E-2</v>
      </c>
      <c r="AV279">
        <f t="shared" si="177"/>
        <v>1.9962141650231847E-2</v>
      </c>
      <c r="AW279" s="11" t="str">
        <f t="shared" si="178"/>
        <v>UP</v>
      </c>
      <c r="AX279" s="11" t="str">
        <f t="shared" si="179"/>
        <v>UP</v>
      </c>
      <c r="AY279" s="6" t="str">
        <f t="shared" si="180"/>
        <v>POSITIVE</v>
      </c>
      <c r="AZ279" s="12" cm="1">
        <f t="array" ref="AZ279">_xll.BDP($B279, "INTERVAL_RSI", "TECH_STUDIES_PARAM1_OVERRIDE", "5", "PERIODICITY_OVERRIDE", "W")</f>
        <v>96.830410030255706</v>
      </c>
      <c r="BA279" cm="1">
        <f t="array" ref="BA279">IFERROR(VALUE(_xll.BDP($B279,"INTERVAL_MAE_MOV_AVG","CALC_INTERVAL","520D","TECH_STUDIES_PARAM1_OVERRIDE",31,"USE_PREVIOUS_BUSINESS_DAY","N")),"")</f>
        <v>145.28322560956403</v>
      </c>
      <c r="BB279" cm="1">
        <f t="array" ref="BB279">IFERROR(VALUE(_xll.BDP($B279,"INTERVAL_MAE_MOV_AVG","CALC_INTERVAL","760D","TECH_STUDIES_PARAM1_OVERRIDE",200,"USE_PREVIOUS_BUSINESS_DAY","N")),"")</f>
        <v>122.86480195677359</v>
      </c>
      <c r="BC279" s="13">
        <f t="shared" si="181"/>
        <v>5.2427073796567525E-2</v>
      </c>
      <c r="BD279" s="13">
        <f t="shared" si="182"/>
        <v>7.9620361164159048E-2</v>
      </c>
      <c r="BE279" s="13">
        <f t="shared" si="183"/>
        <v>0.24445730237528429</v>
      </c>
      <c r="BF279" s="14" cm="1">
        <f t="array" ref="BF279">VALUE(_xll.BDP($B279,"INTERVAL_DATE_OF_CALC_HI","CALC_INTERVAL","3M"))</f>
        <v>46064</v>
      </c>
      <c r="BG279" s="14" cm="1">
        <f t="array" ref="BG279">VALUE(_xll.BDP($B279,"INTERVAL_DATE_OF_CALC_LO","CALC_INTERVAL","3M"))</f>
        <v>45981</v>
      </c>
      <c r="BH279" s="14" cm="1">
        <f t="array" ref="BH279">VALUE(_xll.BDP($B279,"INTERVAL_DATE_OF_CALC_HI","CALC_INTERVAL","1M"))</f>
        <v>46064</v>
      </c>
      <c r="BI279" s="14" cm="1">
        <f t="array" ref="BI279">VALUE(_xll.BDP($B279,"INTERVAL_DATE_OF_CALC_LO","CALC_INTERVAL","1M"))</f>
        <v>46042</v>
      </c>
      <c r="BJ279" s="15">
        <f>$F279-MIN(_xll.BDP("NYA Index","RSI_14D"),_xll.BDP("RSP US Equity","RSI_14D"))</f>
        <v>3.7953576289054638</v>
      </c>
    </row>
    <row r="280" spans="1:62" x14ac:dyDescent="0.25">
      <c r="A280" s="11">
        <v>279</v>
      </c>
      <c r="B280" s="26" t="s">
        <v>514</v>
      </c>
      <c r="C280" s="1" t="s">
        <v>926</v>
      </c>
      <c r="D280" s="1" t="s">
        <v>308</v>
      </c>
      <c r="E280" s="11" t="s">
        <v>787</v>
      </c>
      <c r="F280">
        <f>IFERROR(VALUE((_xll.BDP($B280,"interval_rsi","tech_studies_param1_override",14))),"")</f>
        <v>49.89554096889006</v>
      </c>
      <c r="G280">
        <f t="shared" si="146"/>
        <v>52.525531939815814</v>
      </c>
      <c r="H280">
        <f t="shared" si="157"/>
        <v>0</v>
      </c>
      <c r="I280" cm="1">
        <f t="array" ref="I280">IFERROR(VALUE(_xll.BDP($B280,"px_last")),"")</f>
        <v>18.71</v>
      </c>
      <c r="J280">
        <f t="shared" si="147"/>
        <v>6941.47</v>
      </c>
      <c r="K280" cm="1">
        <f t="array" ref="K280">IFERROR(VALUE(_xll.BDP($B280,"PX_YEST_CLOSE")),"")</f>
        <v>18.079999999999998</v>
      </c>
      <c r="L280">
        <f t="shared" si="148"/>
        <v>6941.81</v>
      </c>
      <c r="M280">
        <f t="shared" si="158"/>
        <v>2.6953944913685429E-3</v>
      </c>
      <c r="N280">
        <f t="shared" si="159"/>
        <v>2.6045080461723955E-3</v>
      </c>
      <c r="O280" cm="1">
        <f t="array" ref="O280">IFERROR(VALUE(_xll.BDP($B280,"INTERVAL_MAE_MOV_AVG","CALC_INTERVAL","520D","TECH_STUDIES_PARAM1_OVERRIDE",50,"USE_PREVIOUS_BUSINESS_DAY","N")),"")</f>
        <v>18.756301027689457</v>
      </c>
      <c r="P280">
        <f t="shared" si="149"/>
        <v>6894.0953999999992</v>
      </c>
      <c r="Q280" cm="1">
        <f t="array" ref="Q280">IFERROR(VALUE(_xll.BDP($B280,"INTERVAL_MAE_MOV_AVG","CALC_INTERVAL","520D","TECH_STUDIES_PARAM1_OVERRIDE",50,"USE_PREVIOUS_BUSINESS_DAY","Y")),"")</f>
        <v>18.748143237200001</v>
      </c>
      <c r="R280">
        <f t="shared" si="150"/>
        <v>6892.2477999999992</v>
      </c>
      <c r="S280">
        <f t="shared" si="160"/>
        <v>2.7206326485835195E-3</v>
      </c>
      <c r="T280">
        <f t="shared" si="161"/>
        <v>2.7201783483756931E-3</v>
      </c>
      <c r="U280" s="11" t="str">
        <f t="shared" si="162"/>
        <v>NEGATIVE</v>
      </c>
      <c r="V280" s="11" t="str">
        <f t="shared" si="163"/>
        <v/>
      </c>
      <c r="W280" s="11" t="str">
        <f t="shared" si="164"/>
        <v>UP</v>
      </c>
      <c r="X280" s="6" t="str">
        <f t="shared" si="165"/>
        <v>NEGATIVE</v>
      </c>
      <c r="Y280" cm="1">
        <f t="array" ref="Y280">IFERROR(VALUE(_xll.BDP($B280,"INTERVAL_MAE_MOV_AVG","CALC_INTERVAL","520D","TECH_STUDIES_PARAM1_OVERRIDE",65,"USE_PREVIOUS_BUSINESS_DAY","N")),"")</f>
        <v>18.472934190222659</v>
      </c>
      <c r="Z280">
        <f t="shared" si="151"/>
        <v>6856.0226153846133</v>
      </c>
      <c r="AA280" cm="1">
        <f t="array" ref="AA280">IFERROR(VALUE(_xll.BDP($B280,"INTERVAL_MAE_MOV_AVG","CALC_INTERVAL","520D","TECH_STUDIES_PARAM1_OVERRIDE",65,"USE_PREVIOUS_BUSINESS_DAY","Y")),"")</f>
        <v>18.450999079384619</v>
      </c>
      <c r="AB280">
        <f t="shared" si="152"/>
        <v>6852.6203076923057</v>
      </c>
      <c r="AC280">
        <f t="shared" si="166"/>
        <v>2.694409751328738E-3</v>
      </c>
      <c r="AD280">
        <f t="shared" si="167"/>
        <v>2.6925465370776095E-3</v>
      </c>
      <c r="AE280" s="10" t="str">
        <f t="shared" si="168"/>
        <v>UP</v>
      </c>
      <c r="AF280" s="10" t="str">
        <f t="shared" si="169"/>
        <v>UP</v>
      </c>
      <c r="AG280" s="6" t="str">
        <f t="shared" si="170"/>
        <v>BUY</v>
      </c>
      <c r="AH280" cm="1">
        <f t="array" ref="AH280">IFERROR(VALUE(_xll.BDP($B280,"INTERVAL_MAE_MOV_AVG","CALC_INTERVAL","65W","PERIODICITY_OVERRIDE","W","TECH_STUDIES_PARAM1_OVERRIDE",39,"USE_PREVIOUS_BUSINESS_DAY","N")),"")</f>
        <v>17.088318946781349</v>
      </c>
      <c r="AI280">
        <f t="shared" si="153"/>
        <v>6560.7735897435905</v>
      </c>
      <c r="AJ280" cm="1">
        <f t="array" ref="AJ280">IFERROR(VALUE(_xll.BDP($B280,"INTERVAL_MAE_MOV_AVG","CALC_INTERVAL","65W","PERIODICITY_OVERRIDE","W","TECH_STUDIES_PARAM1_OVERRIDE",39,"USE_PREVIOUS_BUSINESS_DAY","Y")),"")</f>
        <v>17.072165124102565</v>
      </c>
      <c r="AK280">
        <f t="shared" si="154"/>
        <v>6560.7823076923087</v>
      </c>
      <c r="AL280">
        <f t="shared" si="171"/>
        <v>2.6046195182676925E-3</v>
      </c>
      <c r="AM280">
        <f t="shared" si="172"/>
        <v>2.6021538779126985E-3</v>
      </c>
      <c r="AN280" s="10" t="str">
        <f t="shared" si="173"/>
        <v>UP</v>
      </c>
      <c r="AO280" s="10" t="str">
        <f t="shared" si="174"/>
        <v>UP</v>
      </c>
      <c r="AP280" s="6" t="str">
        <f t="shared" si="175"/>
        <v>POSITIVE</v>
      </c>
      <c r="AQ280" cm="1">
        <f t="array" ref="AQ280">IFERROR(VALUE(_xll.BDP($B280,"INTERVAL_exp_MOV_AVG","CALC_INTERVAL","520D","TECH_STUDIES_PARAM1_OVERRIDE",100,"USE_PREVIOUS_BUSINESS_DAY","N")),"")</f>
        <v>18.143728469733752</v>
      </c>
      <c r="AR280">
        <f t="shared" si="155"/>
        <v>6773.0064518682802</v>
      </c>
      <c r="AS280" cm="1">
        <f t="array" ref="AS280">IFERROR(VALUE(_xll.BDP($B280,"INTERVAL_exp_MOV_AVG","CALC_INTERVAL","520D","TECH_STUDIES_PARAM1_OVERRIDE",100,"USE_PREVIOUS_BUSINESS_DAY","Y")),"")</f>
        <v>18.132292376022676</v>
      </c>
      <c r="AT280">
        <f t="shared" si="156"/>
        <v>6769.6039787132295</v>
      </c>
      <c r="AU280">
        <f t="shared" si="176"/>
        <v>2.6788293498124379E-3</v>
      </c>
      <c r="AV280">
        <f t="shared" si="177"/>
        <v>2.6784864274245587E-3</v>
      </c>
      <c r="AW280" s="11" t="str">
        <f t="shared" si="178"/>
        <v>UP</v>
      </c>
      <c r="AX280" s="11" t="str">
        <f t="shared" si="179"/>
        <v>UP</v>
      </c>
      <c r="AY280" s="6" t="str">
        <f t="shared" si="180"/>
        <v>BUY</v>
      </c>
      <c r="AZ280" s="12" cm="1">
        <f t="array" ref="AZ280">_xll.BDP($B280, "INTERVAL_RSI", "TECH_STUDIES_PARAM1_OVERRIDE", "5", "PERIODICITY_OVERRIDE", "W")</f>
        <v>49.77136950635122</v>
      </c>
      <c r="BA280" cm="1">
        <f t="array" ref="BA280">IFERROR(VALUE(_xll.BDP($B280,"INTERVAL_MAE_MOV_AVG","CALC_INTERVAL","520D","TECH_STUDIES_PARAM1_OVERRIDE",31,"USE_PREVIOUS_BUSINESS_DAY","N")),"")</f>
        <v>19.026774164015251</v>
      </c>
      <c r="BB280" cm="1">
        <f t="array" ref="BB280">IFERROR(VALUE(_xll.BDP($B280,"INTERVAL_MAE_MOV_AVG","CALC_INTERVAL","760D","TECH_STUDIES_PARAM1_OVERRIDE",200,"USE_PREVIOUS_BUSINESS_DAY","N")),"")</f>
        <v>16.715452322772368</v>
      </c>
      <c r="BC280" s="13">
        <f t="shared" si="181"/>
        <v>-1.6648863400836267E-2</v>
      </c>
      <c r="BD280" s="13">
        <f t="shared" si="182"/>
        <v>-2.468558572455315E-3</v>
      </c>
      <c r="BE280" s="13">
        <f t="shared" si="183"/>
        <v>0.11932358387396746</v>
      </c>
      <c r="BF280" s="14" cm="1">
        <f t="array" ref="BF280">VALUE(_xll.BDP($B280,"INTERVAL_DATE_OF_CALC_HI","CALC_INTERVAL","3M"))</f>
        <v>46035</v>
      </c>
      <c r="BG280" s="14" cm="1">
        <f t="array" ref="BG280">VALUE(_xll.BDP($B280,"INTERVAL_DATE_OF_CALC_LO","CALC_INTERVAL","3M"))</f>
        <v>45972</v>
      </c>
      <c r="BH280" s="14" cm="1">
        <f t="array" ref="BH280">VALUE(_xll.BDP($B280,"INTERVAL_DATE_OF_CALC_HI","CALC_INTERVAL","1M"))</f>
        <v>46035</v>
      </c>
      <c r="BI280" s="14" cm="1">
        <f t="array" ref="BI280">VALUE(_xll.BDP($B280,"INTERVAL_DATE_OF_CALC_LO","CALC_INTERVAL","1M"))</f>
        <v>46059</v>
      </c>
      <c r="BJ280" s="15">
        <f>$F280-MIN(_xll.BDP("NYA Index","RSI_14D"),_xll.BDP("RSP US Equity","RSI_14D"))</f>
        <v>-16.45022319126619</v>
      </c>
    </row>
    <row r="281" spans="1:62" x14ac:dyDescent="0.25">
      <c r="A281" s="11">
        <v>280</v>
      </c>
      <c r="B281" s="26" t="s">
        <v>176</v>
      </c>
      <c r="C281" s="1" t="s">
        <v>927</v>
      </c>
      <c r="D281" s="1" t="s">
        <v>308</v>
      </c>
      <c r="E281" s="11" t="s">
        <v>787</v>
      </c>
      <c r="F281">
        <f>IFERROR(VALUE((_xll.BDP($B281,"interval_rsi","tech_studies_param1_override",14))),"")</f>
        <v>48.585168072816522</v>
      </c>
      <c r="G281">
        <f t="shared" si="146"/>
        <v>52.525531939815814</v>
      </c>
      <c r="H281">
        <f t="shared" si="157"/>
        <v>0</v>
      </c>
      <c r="I281" cm="1">
        <f t="array" ref="I281">IFERROR(VALUE(_xll.BDP($B281,"px_last")),"")</f>
        <v>27.12</v>
      </c>
      <c r="J281">
        <f t="shared" si="147"/>
        <v>6941.47</v>
      </c>
      <c r="K281" cm="1">
        <f t="array" ref="K281">IFERROR(VALUE(_xll.BDP($B281,"PX_YEST_CLOSE")),"")</f>
        <v>27.17</v>
      </c>
      <c r="L281">
        <f t="shared" si="148"/>
        <v>6941.81</v>
      </c>
      <c r="M281">
        <f t="shared" si="158"/>
        <v>3.9069534262915493E-3</v>
      </c>
      <c r="N281">
        <f t="shared" si="159"/>
        <v>3.9139648016871679E-3</v>
      </c>
      <c r="O281" cm="1">
        <f t="array" ref="O281">IFERROR(VALUE(_xll.BDP($B281,"INTERVAL_MAE_MOV_AVG","CALC_INTERVAL","520D","TECH_STUDIES_PARAM1_OVERRIDE",50,"USE_PREVIOUS_BUSINESS_DAY","N")),"")</f>
        <v>27.872400016784667</v>
      </c>
      <c r="P281">
        <f t="shared" si="149"/>
        <v>6894.0953999999992</v>
      </c>
      <c r="Q281" cm="1">
        <f t="array" ref="Q281">IFERROR(VALUE(_xll.BDP($B281,"INTERVAL_MAE_MOV_AVG","CALC_INTERVAL","520D","TECH_STUDIES_PARAM1_OVERRIDE",50,"USE_PREVIOUS_BUSINESS_DAY","Y")),"")</f>
        <v>27.971999999999998</v>
      </c>
      <c r="R281">
        <f t="shared" si="150"/>
        <v>6892.2477999999992</v>
      </c>
      <c r="S281">
        <f t="shared" si="160"/>
        <v>4.04293796351943E-3</v>
      </c>
      <c r="T281">
        <f t="shared" si="161"/>
        <v>4.0584727670412548E-3</v>
      </c>
      <c r="U281" s="11" t="str">
        <f t="shared" si="162"/>
        <v>NEGATIVE</v>
      </c>
      <c r="V281" s="11" t="str">
        <f t="shared" si="163"/>
        <v/>
      </c>
      <c r="W281" s="11" t="str">
        <f t="shared" si="164"/>
        <v>DOWN</v>
      </c>
      <c r="X281" s="6" t="str">
        <f t="shared" si="165"/>
        <v>NEGATIVE</v>
      </c>
      <c r="Y281" cm="1">
        <f t="array" ref="Y281">IFERROR(VALUE(_xll.BDP($B281,"INTERVAL_MAE_MOV_AVG","CALC_INTERVAL","520D","TECH_STUDIES_PARAM1_OVERRIDE",65,"USE_PREVIOUS_BUSINESS_DAY","N")),"")</f>
        <v>29.501538474449738</v>
      </c>
      <c r="Z281">
        <f t="shared" si="151"/>
        <v>6856.0226153846133</v>
      </c>
      <c r="AA281" cm="1">
        <f t="array" ref="AA281">IFERROR(VALUE(_xll.BDP($B281,"INTERVAL_MAE_MOV_AVG","CALC_INTERVAL","520D","TECH_STUDIES_PARAM1_OVERRIDE",65,"USE_PREVIOUS_BUSINESS_DAY","Y")),"")</f>
        <v>29.622615384615379</v>
      </c>
      <c r="AB281">
        <f t="shared" si="152"/>
        <v>6852.6203076923057</v>
      </c>
      <c r="AC281">
        <f t="shared" si="166"/>
        <v>4.3030106709755567E-3</v>
      </c>
      <c r="AD281">
        <f t="shared" si="167"/>
        <v>4.3228158068765255E-3</v>
      </c>
      <c r="AE281" s="10" t="str">
        <f t="shared" si="168"/>
        <v>DOWN</v>
      </c>
      <c r="AF281" s="10" t="str">
        <f t="shared" si="169"/>
        <v>DOWN</v>
      </c>
      <c r="AG281" s="6" t="str">
        <f t="shared" si="170"/>
        <v>NEGATIVE</v>
      </c>
      <c r="AH281" cm="1">
        <f t="array" ref="AH281">IFERROR(VALUE(_xll.BDP($B281,"INTERVAL_MAE_MOV_AVG","CALC_INTERVAL","65W","PERIODICITY_OVERRIDE","W","TECH_STUDIES_PARAM1_OVERRIDE",39,"USE_PREVIOUS_BUSINESS_DAY","N")),"")</f>
        <v>37.160769252288034</v>
      </c>
      <c r="AI281">
        <f t="shared" si="153"/>
        <v>6560.7735897435905</v>
      </c>
      <c r="AJ281" cm="1">
        <f t="array" ref="AJ281">IFERROR(VALUE(_xll.BDP($B281,"INTERVAL_MAE_MOV_AVG","CALC_INTERVAL","65W","PERIODICITY_OVERRIDE","W","TECH_STUDIES_PARAM1_OVERRIDE",39,"USE_PREVIOUS_BUSINESS_DAY","Y")),"")</f>
        <v>37.16205128205128</v>
      </c>
      <c r="AK281">
        <f t="shared" si="154"/>
        <v>6560.7823076923087</v>
      </c>
      <c r="AL281">
        <f t="shared" si="171"/>
        <v>5.6640834718608788E-3</v>
      </c>
      <c r="AM281">
        <f t="shared" si="172"/>
        <v>5.6642713535061144E-3</v>
      </c>
      <c r="AN281" s="10" t="str">
        <f t="shared" si="173"/>
        <v>DOWN</v>
      </c>
      <c r="AO281" s="10" t="str">
        <f t="shared" si="174"/>
        <v>DOWN</v>
      </c>
      <c r="AP281" s="6" t="str">
        <f t="shared" si="175"/>
        <v>NEGATIVE</v>
      </c>
      <c r="AQ281" cm="1">
        <f t="array" ref="AQ281">IFERROR(VALUE(_xll.BDP($B281,"INTERVAL_exp_MOV_AVG","CALC_INTERVAL","520D","TECH_STUDIES_PARAM1_OVERRIDE",100,"USE_PREVIOUS_BUSINESS_DAY","N")),"")</f>
        <v>31.380308467956972</v>
      </c>
      <c r="AR281">
        <f t="shared" si="155"/>
        <v>6773.0064518682802</v>
      </c>
      <c r="AS281" cm="1">
        <f t="array" ref="AS281">IFERROR(VALUE(_xll.BDP($B281,"INTERVAL_exp_MOV_AVG","CALC_INTERVAL","520D","TECH_STUDIES_PARAM1_OVERRIDE",100,"USE_PREVIOUS_BUSINESS_DAY","Y")),"")</f>
        <v>31.466303284015638</v>
      </c>
      <c r="AT281">
        <f t="shared" si="156"/>
        <v>6769.6039787132295</v>
      </c>
      <c r="AU281">
        <f t="shared" si="176"/>
        <v>4.6331431530381847E-3</v>
      </c>
      <c r="AV281">
        <f t="shared" si="177"/>
        <v>4.6481748981122483E-3</v>
      </c>
      <c r="AW281" s="11" t="str">
        <f t="shared" si="178"/>
        <v>DOWN</v>
      </c>
      <c r="AX281" s="11" t="str">
        <f t="shared" si="179"/>
        <v>DOWN</v>
      </c>
      <c r="AY281" s="6" t="str">
        <f t="shared" si="180"/>
        <v>NEGATIVE</v>
      </c>
      <c r="AZ281" s="12" cm="1">
        <f t="array" ref="AZ281">_xll.BDP($B281, "INTERVAL_RSI", "TECH_STUDIES_PARAM1_OVERRIDE", "5", "PERIODICITY_OVERRIDE", "W")</f>
        <v>38.11557066398052</v>
      </c>
      <c r="BA281" cm="1">
        <f t="array" ref="BA281">IFERROR(VALUE(_xll.BDP($B281,"INTERVAL_MAE_MOV_AVG","CALC_INTERVAL","520D","TECH_STUDIES_PARAM1_OVERRIDE",31,"USE_PREVIOUS_BUSINESS_DAY","N")),"")</f>
        <v>26.81548389803979</v>
      </c>
      <c r="BB281" cm="1">
        <f t="array" ref="BB281">IFERROR(VALUE(_xll.BDP($B281,"INTERVAL_MAE_MOV_AVG","CALC_INTERVAL","760D","TECH_STUDIES_PARAM1_OVERRIDE",200,"USE_PREVIOUS_BUSINESS_DAY","N")),"")</f>
        <v>38.882300004196168</v>
      </c>
      <c r="BC281" s="13">
        <f t="shared" si="181"/>
        <v>1.1355980116490416E-2</v>
      </c>
      <c r="BD281" s="13">
        <f t="shared" si="182"/>
        <v>-2.6994446704681763E-2</v>
      </c>
      <c r="BE281" s="13">
        <f t="shared" si="183"/>
        <v>-0.30251039683678127</v>
      </c>
      <c r="BF281" s="14" cm="1">
        <f t="array" ref="BF281">VALUE(_xll.BDP($B281,"INTERVAL_DATE_OF_CALC_HI","CALC_INTERVAL","3M"))</f>
        <v>45981</v>
      </c>
      <c r="BG281" s="14" cm="1">
        <f t="array" ref="BG281">VALUE(_xll.BDP($B281,"INTERVAL_DATE_OF_CALC_LO","CALC_INTERVAL","3M"))</f>
        <v>46031</v>
      </c>
      <c r="BH281" s="14" cm="1">
        <f t="array" ref="BH281">VALUE(_xll.BDP($B281,"INTERVAL_DATE_OF_CALC_HI","CALC_INTERVAL","1M"))</f>
        <v>46042</v>
      </c>
      <c r="BI281" s="14" cm="1">
        <f t="array" ref="BI281">VALUE(_xll.BDP($B281,"INTERVAL_DATE_OF_CALC_LO","CALC_INTERVAL","1M"))</f>
        <v>46034</v>
      </c>
      <c r="BJ281" s="15">
        <f>$F281-MIN(_xll.BDP("NYA Index","RSI_14D"),_xll.BDP("RSP US Equity","RSI_14D"))</f>
        <v>-17.760596087339728</v>
      </c>
    </row>
    <row r="282" spans="1:62" x14ac:dyDescent="0.25">
      <c r="A282" s="11">
        <v>281</v>
      </c>
      <c r="B282" s="26" t="s">
        <v>515</v>
      </c>
      <c r="C282" s="1" t="s">
        <v>516</v>
      </c>
      <c r="D282" s="1" t="s">
        <v>308</v>
      </c>
      <c r="E282" s="11" t="s">
        <v>787</v>
      </c>
      <c r="F282">
        <f>IFERROR(VALUE((_xll.BDP($B282,"interval_rsi","tech_studies_param1_override",14))),"")</f>
        <v>29.680699293366658</v>
      </c>
      <c r="G282">
        <f t="shared" si="146"/>
        <v>52.525531939815814</v>
      </c>
      <c r="H282">
        <f t="shared" si="157"/>
        <v>0</v>
      </c>
      <c r="I282" cm="1">
        <f t="array" ref="I282">IFERROR(VALUE(_xll.BDP($B282,"px_last")),"")</f>
        <v>27.5914</v>
      </c>
      <c r="J282">
        <f t="shared" si="147"/>
        <v>6941.47</v>
      </c>
      <c r="K282" cm="1">
        <f t="array" ref="K282">IFERROR(VALUE(_xll.BDP($B282,"PX_YEST_CLOSE")),"")</f>
        <v>28.6</v>
      </c>
      <c r="L282">
        <f t="shared" si="148"/>
        <v>6941.81</v>
      </c>
      <c r="M282">
        <f t="shared" si="158"/>
        <v>3.9748641137972215E-3</v>
      </c>
      <c r="N282">
        <f t="shared" si="159"/>
        <v>4.1199629491443877E-3</v>
      </c>
      <c r="O282" cm="1">
        <f t="array" ref="O282">IFERROR(VALUE(_xll.BDP($B282,"INTERVAL_MAE_MOV_AVG","CALC_INTERVAL","520D","TECH_STUDIES_PARAM1_OVERRIDE",50,"USE_PREVIOUS_BUSINESS_DAY","N")),"")</f>
        <v>33.252654002929688</v>
      </c>
      <c r="P282">
        <f t="shared" si="149"/>
        <v>6894.0953999999992</v>
      </c>
      <c r="Q282" cm="1">
        <f t="array" ref="Q282">IFERROR(VALUE(_xll.BDP($B282,"INTERVAL_MAE_MOV_AVG","CALC_INTERVAL","520D","TECH_STUDIES_PARAM1_OVERRIDE",50,"USE_PREVIOUS_BUSINESS_DAY","Y")),"")</f>
        <v>33.379026000000003</v>
      </c>
      <c r="R282">
        <f t="shared" si="150"/>
        <v>6892.2477999999992</v>
      </c>
      <c r="S282">
        <f t="shared" si="160"/>
        <v>4.8233527495035377E-3</v>
      </c>
      <c r="T282">
        <f t="shared" si="161"/>
        <v>4.8429811243873161E-3</v>
      </c>
      <c r="U282" s="11" t="str">
        <f t="shared" si="162"/>
        <v>NEGATIVE</v>
      </c>
      <c r="V282" s="11" t="str">
        <f t="shared" si="163"/>
        <v/>
      </c>
      <c r="W282" s="11" t="str">
        <f t="shared" si="164"/>
        <v>DOWN</v>
      </c>
      <c r="X282" s="6" t="str">
        <f t="shared" si="165"/>
        <v>NEGATIVE</v>
      </c>
      <c r="Y282" cm="1">
        <f t="array" ref="Y282">IFERROR(VALUE(_xll.BDP($B282,"INTERVAL_MAE_MOV_AVG","CALC_INTERVAL","520D","TECH_STUDIES_PARAM1_OVERRIDE",65,"USE_PREVIOUS_BUSINESS_DAY","N")),"")</f>
        <v>33.49916923302284</v>
      </c>
      <c r="Z282">
        <f t="shared" si="151"/>
        <v>6856.0226153846133</v>
      </c>
      <c r="AA282" cm="1">
        <f t="array" ref="AA282">IFERROR(VALUE(_xll.BDP($B282,"INTERVAL_MAE_MOV_AVG","CALC_INTERVAL","520D","TECH_STUDIES_PARAM1_OVERRIDE",65,"USE_PREVIOUS_BUSINESS_DAY","Y")),"")</f>
        <v>33.608333846153855</v>
      </c>
      <c r="AB282">
        <f t="shared" si="152"/>
        <v>6852.6203076923057</v>
      </c>
      <c r="AC282">
        <f t="shared" si="166"/>
        <v>4.8860937473940323E-3</v>
      </c>
      <c r="AD282">
        <f t="shared" si="167"/>
        <v>4.9044500259889379E-3</v>
      </c>
      <c r="AE282" s="10" t="str">
        <f t="shared" si="168"/>
        <v>DOWN</v>
      </c>
      <c r="AF282" s="10" t="str">
        <f t="shared" si="169"/>
        <v>DOWN</v>
      </c>
      <c r="AG282" s="6" t="str">
        <f t="shared" si="170"/>
        <v>NEGATIVE</v>
      </c>
      <c r="AH282" cm="1">
        <f t="array" ref="AH282">IFERROR(VALUE(_xll.BDP($B282,"INTERVAL_MAE_MOV_AVG","CALC_INTERVAL","65W","PERIODICITY_OVERRIDE","W","TECH_STUDIES_PARAM1_OVERRIDE",39,"USE_PREVIOUS_BUSINESS_DAY","N")),"")</f>
        <v>34.491138465294476</v>
      </c>
      <c r="AI282">
        <f t="shared" si="153"/>
        <v>6560.7735897435905</v>
      </c>
      <c r="AJ282" cm="1">
        <f t="array" ref="AJ282">IFERROR(VALUE(_xll.BDP($B282,"INTERVAL_MAE_MOV_AVG","CALC_INTERVAL","65W","PERIODICITY_OVERRIDE","W","TECH_STUDIES_PARAM1_OVERRIDE",39,"USE_PREVIOUS_BUSINESS_DAY","Y")),"")</f>
        <v>34.517000000000003</v>
      </c>
      <c r="AK282">
        <f t="shared" si="154"/>
        <v>6560.7823076923087</v>
      </c>
      <c r="AL282">
        <f t="shared" si="171"/>
        <v>5.2571755439349745E-3</v>
      </c>
      <c r="AM282">
        <f t="shared" si="172"/>
        <v>5.2611103952542246E-3</v>
      </c>
      <c r="AN282" s="10" t="str">
        <f t="shared" si="173"/>
        <v>DOWN</v>
      </c>
      <c r="AO282" s="10" t="str">
        <f t="shared" si="174"/>
        <v>DOWN</v>
      </c>
      <c r="AP282" s="6" t="str">
        <f t="shared" si="175"/>
        <v>NEGATIVE</v>
      </c>
      <c r="AQ282" cm="1">
        <f t="array" ref="AQ282">IFERROR(VALUE(_xll.BDP($B282,"INTERVAL_exp_MOV_AVG","CALC_INTERVAL","520D","TECH_STUDIES_PARAM1_OVERRIDE",100,"USE_PREVIOUS_BUSINESS_DAY","N")),"")</f>
        <v>33.457160797913055</v>
      </c>
      <c r="AR282">
        <f t="shared" si="155"/>
        <v>6773.0064518682802</v>
      </c>
      <c r="AS282" cm="1">
        <f t="array" ref="AS282">IFERROR(VALUE(_xll.BDP($B282,"INTERVAL_exp_MOV_AVG","CALC_INTERVAL","520D","TECH_STUDIES_PARAM1_OVERRIDE",100,"USE_PREVIOUS_BUSINESS_DAY","Y")),"")</f>
        <v>33.575671255144634</v>
      </c>
      <c r="AT282">
        <f t="shared" si="156"/>
        <v>6769.6039787132295</v>
      </c>
      <c r="AU282">
        <f t="shared" si="176"/>
        <v>4.9397798504509267E-3</v>
      </c>
      <c r="AV282">
        <f t="shared" si="177"/>
        <v>4.9597688964852444E-3</v>
      </c>
      <c r="AW282" s="11" t="str">
        <f t="shared" si="178"/>
        <v>DOWN</v>
      </c>
      <c r="AX282" s="11" t="str">
        <f t="shared" si="179"/>
        <v>DOWN</v>
      </c>
      <c r="AY282" s="6" t="str">
        <f t="shared" si="180"/>
        <v>NEGATIVE</v>
      </c>
      <c r="AZ282" s="12" cm="1">
        <f t="array" ref="AZ282">_xll.BDP($B282, "INTERVAL_RSI", "TECH_STUDIES_PARAM1_OVERRIDE", "5", "PERIODICITY_OVERRIDE", "W")</f>
        <v>12.873033963385097</v>
      </c>
      <c r="BA282" cm="1">
        <f t="array" ref="BA282">IFERROR(VALUE(_xll.BDP($B282,"INTERVAL_MAE_MOV_AVG","CALC_INTERVAL","520D","TECH_STUDIES_PARAM1_OVERRIDE",31,"USE_PREVIOUS_BUSINESS_DAY","N")),"")</f>
        <v>32.010435488596265</v>
      </c>
      <c r="BB282" cm="1">
        <f t="array" ref="BB282">IFERROR(VALUE(_xll.BDP($B282,"INTERVAL_MAE_MOV_AVG","CALC_INTERVAL","760D","TECH_STUDIES_PARAM1_OVERRIDE",200,"USE_PREVIOUS_BUSINESS_DAY","N")),"")</f>
        <v>34.713285000732427</v>
      </c>
      <c r="BC282" s="13">
        <f t="shared" si="181"/>
        <v>-0.13804983972087936</v>
      </c>
      <c r="BD282" s="13">
        <f t="shared" si="182"/>
        <v>-0.17024968901522597</v>
      </c>
      <c r="BE282" s="13">
        <f t="shared" si="183"/>
        <v>-0.20516309535620614</v>
      </c>
      <c r="BF282" s="14" cm="1">
        <f t="array" ref="BF282">VALUE(_xll.BDP($B282,"INTERVAL_DATE_OF_CALC_HI","CALC_INTERVAL","3M"))</f>
        <v>46001</v>
      </c>
      <c r="BG282" s="14" cm="1">
        <f t="array" ref="BG282">VALUE(_xll.BDP($B282,"INTERVAL_DATE_OF_CALC_LO","CALC_INTERVAL","3M"))</f>
        <v>46058</v>
      </c>
      <c r="BH282" s="14" cm="1">
        <f t="array" ref="BH282">VALUE(_xll.BDP($B282,"INTERVAL_DATE_OF_CALC_HI","CALC_INTERVAL","1M"))</f>
        <v>46034</v>
      </c>
      <c r="BI282" s="14" cm="1">
        <f t="array" ref="BI282">VALUE(_xll.BDP($B282,"INTERVAL_DATE_OF_CALC_LO","CALC_INTERVAL","1M"))</f>
        <v>46058</v>
      </c>
      <c r="BJ282" s="15">
        <f>$F282-MIN(_xll.BDP("NYA Index","RSI_14D"),_xll.BDP("RSP US Equity","RSI_14D"))</f>
        <v>-36.665064866789592</v>
      </c>
    </row>
    <row r="283" spans="1:62" x14ac:dyDescent="0.25">
      <c r="A283" s="11">
        <v>282</v>
      </c>
      <c r="B283" s="26" t="s">
        <v>517</v>
      </c>
      <c r="C283" s="1" t="s">
        <v>518</v>
      </c>
      <c r="D283" s="1" t="s">
        <v>308</v>
      </c>
      <c r="E283" s="11" t="s">
        <v>787</v>
      </c>
      <c r="F283">
        <f>IFERROR(VALUE((_xll.BDP($B283,"interval_rsi","tech_studies_param1_override",14))),"")</f>
        <v>47.632798065699852</v>
      </c>
      <c r="G283">
        <f t="shared" si="146"/>
        <v>52.525531939815814</v>
      </c>
      <c r="H283">
        <f t="shared" si="157"/>
        <v>0</v>
      </c>
      <c r="I283" cm="1">
        <f t="array" ref="I283">IFERROR(VALUE(_xll.BDP($B283,"px_last")),"")</f>
        <v>266.87</v>
      </c>
      <c r="J283">
        <f t="shared" si="147"/>
        <v>6941.47</v>
      </c>
      <c r="K283" cm="1">
        <f t="array" ref="K283">IFERROR(VALUE(_xll.BDP($B283,"PX_YEST_CLOSE")),"")</f>
        <v>271.85000000000002</v>
      </c>
      <c r="L283">
        <f t="shared" si="148"/>
        <v>6941.81</v>
      </c>
      <c r="M283">
        <f t="shared" si="158"/>
        <v>3.8445747082390326E-2</v>
      </c>
      <c r="N283">
        <f t="shared" si="159"/>
        <v>3.9161256214157406E-2</v>
      </c>
      <c r="O283" cm="1">
        <f t="array" ref="O283">IFERROR(VALUE(_xll.BDP($B283,"INTERVAL_MAE_MOV_AVG","CALC_INTERVAL","520D","TECH_STUDIES_PARAM1_OVERRIDE",50,"USE_PREVIOUS_BUSINESS_DAY","N")),"")</f>
        <v>258.45319386754375</v>
      </c>
      <c r="P283">
        <f t="shared" si="149"/>
        <v>6894.0953999999992</v>
      </c>
      <c r="Q283" cm="1">
        <f t="array" ref="Q283">IFERROR(VALUE(_xll.BDP($B283,"INTERVAL_MAE_MOV_AVG","CALC_INTERVAL","520D","TECH_STUDIES_PARAM1_OVERRIDE",50,"USE_PREVIOUS_BUSINESS_DAY","Y")),"")</f>
        <v>257.71938778699996</v>
      </c>
      <c r="R283">
        <f t="shared" si="150"/>
        <v>6892.2477999999992</v>
      </c>
      <c r="S283">
        <f t="shared" si="160"/>
        <v>3.7489065478778227E-2</v>
      </c>
      <c r="T283">
        <f t="shared" si="161"/>
        <v>3.739264682082382E-2</v>
      </c>
      <c r="U283" s="11" t="str">
        <f t="shared" si="162"/>
        <v>NEGATIVE</v>
      </c>
      <c r="V283" s="11" t="str">
        <f t="shared" si="163"/>
        <v/>
      </c>
      <c r="W283" s="11" t="str">
        <f t="shared" si="164"/>
        <v>UP</v>
      </c>
      <c r="X283" s="6" t="str">
        <f t="shared" si="165"/>
        <v>POSITIVE</v>
      </c>
      <c r="Y283" cm="1">
        <f t="array" ref="Y283">IFERROR(VALUE(_xll.BDP($B283,"INTERVAL_MAE_MOV_AVG","CALC_INTERVAL","520D","TECH_STUDIES_PARAM1_OVERRIDE",65,"USE_PREVIOUS_BUSINESS_DAY","N")),"")</f>
        <v>251.39002822011057</v>
      </c>
      <c r="Z283">
        <f t="shared" si="151"/>
        <v>6856.0226153846133</v>
      </c>
      <c r="AA283" cm="1">
        <f t="array" ref="AA283">IFERROR(VALUE(_xll.BDP($B283,"INTERVAL_MAE_MOV_AVG","CALC_INTERVAL","520D","TECH_STUDIES_PARAM1_OVERRIDE",65,"USE_PREVIOUS_BUSINESS_DAY","Y")),"")</f>
        <v>250.86677302399997</v>
      </c>
      <c r="AB283">
        <f t="shared" si="152"/>
        <v>6852.6203076923057</v>
      </c>
      <c r="AC283">
        <f t="shared" si="166"/>
        <v>3.6667036024064799E-2</v>
      </c>
      <c r="AD283">
        <f t="shared" si="167"/>
        <v>3.6608882698840509E-2</v>
      </c>
      <c r="AE283" s="10" t="str">
        <f t="shared" si="168"/>
        <v>UP</v>
      </c>
      <c r="AF283" s="10" t="str">
        <f t="shared" si="169"/>
        <v>UP</v>
      </c>
      <c r="AG283" s="6" t="str">
        <f t="shared" si="170"/>
        <v>POSITIVE</v>
      </c>
      <c r="AH283" cm="1">
        <f t="array" ref="AH283">IFERROR(VALUE(_xll.BDP($B283,"INTERVAL_MAE_MOV_AVG","CALC_INTERVAL","65W","PERIODICITY_OVERRIDE","W","TECH_STUDIES_PARAM1_OVERRIDE",39,"USE_PREVIOUS_BUSINESS_DAY","N")),"")</f>
        <v>230.83989901305287</v>
      </c>
      <c r="AI283">
        <f t="shared" si="153"/>
        <v>6560.7735897435905</v>
      </c>
      <c r="AJ283" cm="1">
        <f t="array" ref="AJ283">IFERROR(VALUE(_xll.BDP($B283,"INTERVAL_MAE_MOV_AVG","CALC_INTERVAL","65W","PERIODICITY_OVERRIDE","W","TECH_STUDIES_PARAM1_OVERRIDE",39,"USE_PREVIOUS_BUSINESS_DAY","Y")),"")</f>
        <v>230.96759144594552</v>
      </c>
      <c r="AK283">
        <f t="shared" si="154"/>
        <v>6560.7823076923087</v>
      </c>
      <c r="AL283">
        <f t="shared" si="171"/>
        <v>3.5184859811947057E-2</v>
      </c>
      <c r="AM283">
        <f t="shared" si="172"/>
        <v>3.5204276047254818E-2</v>
      </c>
      <c r="AN283" s="10" t="str">
        <f t="shared" si="173"/>
        <v>DOWN</v>
      </c>
      <c r="AO283" s="10" t="str">
        <f t="shared" si="174"/>
        <v>DOWN</v>
      </c>
      <c r="AP283" s="6" t="str">
        <f t="shared" si="175"/>
        <v>POSITIVE</v>
      </c>
      <c r="AQ283" cm="1">
        <f t="array" ref="AQ283">IFERROR(VALUE(_xll.BDP($B283,"INTERVAL_exp_MOV_AVG","CALC_INTERVAL","520D","TECH_STUDIES_PARAM1_OVERRIDE",100,"USE_PREVIOUS_BUSINESS_DAY","N")),"")</f>
        <v>248.91318018663912</v>
      </c>
      <c r="AR283">
        <f t="shared" si="155"/>
        <v>6773.0064518682802</v>
      </c>
      <c r="AS283" cm="1">
        <f t="array" ref="AS283">IFERROR(VALUE(_xll.BDP($B283,"INTERVAL_exp_MOV_AVG","CALC_INTERVAL","520D","TECH_STUDIES_PARAM1_OVERRIDE",100,"USE_PREVIOUS_BUSINESS_DAY","Y")),"")</f>
        <v>248.55042115700564</v>
      </c>
      <c r="AT283">
        <f t="shared" si="156"/>
        <v>6769.6039787132295</v>
      </c>
      <c r="AU283">
        <f t="shared" si="176"/>
        <v>3.6750766731955258E-2</v>
      </c>
      <c r="AV283">
        <f t="shared" si="177"/>
        <v>3.671565160067905E-2</v>
      </c>
      <c r="AW283" s="11" t="str">
        <f t="shared" si="178"/>
        <v>UP</v>
      </c>
      <c r="AX283" s="11" t="str">
        <f t="shared" si="179"/>
        <v>UP</v>
      </c>
      <c r="AY283" s="6" t="str">
        <f t="shared" si="180"/>
        <v>POSITIVE</v>
      </c>
      <c r="AZ283" s="12" cm="1">
        <f t="array" ref="AZ283">_xll.BDP($B283, "INTERVAL_RSI", "TECH_STUDIES_PARAM1_OVERRIDE", "5", "PERIODICITY_OVERRIDE", "W")</f>
        <v>51.869430862445363</v>
      </c>
      <c r="BA283" cm="1">
        <f t="array" ref="BA283">IFERROR(VALUE(_xll.BDP($B283,"INTERVAL_MAE_MOV_AVG","CALC_INTERVAL","520D","TECH_STUDIES_PARAM1_OVERRIDE",31,"USE_PREVIOUS_BUSINESS_DAY","N")),"")</f>
        <v>272.2703224231351</v>
      </c>
      <c r="BB283" cm="1">
        <f t="array" ref="BB283">IFERROR(VALUE(_xll.BDP($B283,"INTERVAL_MAE_MOV_AVG","CALC_INTERVAL","760D","TECH_STUDIES_PARAM1_OVERRIDE",200,"USE_PREVIOUS_BUSINESS_DAY","N")),"")</f>
        <v>225.89067707849404</v>
      </c>
      <c r="BC283" s="13">
        <f t="shared" si="181"/>
        <v>-1.9834414471153639E-2</v>
      </c>
      <c r="BD283" s="13">
        <f t="shared" si="182"/>
        <v>3.2566075143067641E-2</v>
      </c>
      <c r="BE283" s="13">
        <f t="shared" si="183"/>
        <v>0.18141219217854743</v>
      </c>
      <c r="BF283" s="14" cm="1">
        <f t="array" ref="BF283">VALUE(_xll.BDP($B283,"INTERVAL_DATE_OF_CALC_HI","CALC_INTERVAL","3M"))</f>
        <v>46038</v>
      </c>
      <c r="BG283" s="14" cm="1">
        <f t="array" ref="BG283">VALUE(_xll.BDP($B283,"INTERVAL_DATE_OF_CALC_LO","CALC_INTERVAL","3M"))</f>
        <v>45981</v>
      </c>
      <c r="BH283" s="14" cm="1">
        <f t="array" ref="BH283">VALUE(_xll.BDP($B283,"INTERVAL_DATE_OF_CALC_HI","CALC_INTERVAL","1M"))</f>
        <v>46038</v>
      </c>
      <c r="BI283" s="14" cm="1">
        <f t="array" ref="BI283">VALUE(_xll.BDP($B283,"INTERVAL_DATE_OF_CALC_LO","CALC_INTERVAL","1M"))</f>
        <v>46058</v>
      </c>
      <c r="BJ283" s="15">
        <f>$F283-MIN(_xll.BDP("NYA Index","RSI_14D"),_xll.BDP("RSP US Equity","RSI_14D"))</f>
        <v>-18.712966094456398</v>
      </c>
    </row>
    <row r="284" spans="1:62" x14ac:dyDescent="0.25">
      <c r="A284" s="11">
        <v>283</v>
      </c>
      <c r="B284" s="26" t="s">
        <v>519</v>
      </c>
      <c r="C284" s="1" t="s">
        <v>520</v>
      </c>
      <c r="D284" s="1" t="s">
        <v>308</v>
      </c>
      <c r="E284" s="11" t="s">
        <v>787</v>
      </c>
      <c r="F284">
        <f>IFERROR(VALUE((_xll.BDP($B284,"interval_rsi","tech_studies_param1_override",14))),"")</f>
        <v>49.157725785771127</v>
      </c>
      <c r="G284">
        <f t="shared" si="146"/>
        <v>52.525531939815814</v>
      </c>
      <c r="H284">
        <f t="shared" si="157"/>
        <v>0</v>
      </c>
      <c r="I284" cm="1">
        <f t="array" ref="I284">IFERROR(VALUE(_xll.BDP($B284,"px_last")),"")</f>
        <v>124.65</v>
      </c>
      <c r="J284">
        <f t="shared" si="147"/>
        <v>6941.47</v>
      </c>
      <c r="K284" cm="1">
        <f t="array" ref="K284">IFERROR(VALUE(_xll.BDP($B284,"PX_YEST_CLOSE")),"")</f>
        <v>125.34</v>
      </c>
      <c r="L284">
        <f t="shared" si="148"/>
        <v>6941.81</v>
      </c>
      <c r="M284">
        <f t="shared" si="158"/>
        <v>1.795729146708118E-2</v>
      </c>
      <c r="N284">
        <f t="shared" si="159"/>
        <v>1.8055809651949563E-2</v>
      </c>
      <c r="O284" cm="1">
        <f t="array" ref="O284">IFERROR(VALUE(_xll.BDP($B284,"INTERVAL_MAE_MOV_AVG","CALC_INTERVAL","520D","TECH_STUDIES_PARAM1_OVERRIDE",50,"USE_PREVIOUS_BUSINESS_DAY","N")),"")</f>
        <v>124.06350024011758</v>
      </c>
      <c r="P284">
        <f t="shared" si="149"/>
        <v>6894.0953999999992</v>
      </c>
      <c r="Q284" cm="1">
        <f t="array" ref="Q284">IFERROR(VALUE(_xll.BDP($B284,"INTERVAL_MAE_MOV_AVG","CALC_INTERVAL","520D","TECH_STUDIES_PARAM1_OVERRIDE",50,"USE_PREVIOUS_BUSINESS_DAY","Y")),"")</f>
        <v>124.0255864288</v>
      </c>
      <c r="R284">
        <f t="shared" si="150"/>
        <v>6892.2477999999992</v>
      </c>
      <c r="S284">
        <f t="shared" si="160"/>
        <v>1.7995616979729869E-2</v>
      </c>
      <c r="T284">
        <f t="shared" si="161"/>
        <v>1.7994940116459541E-2</v>
      </c>
      <c r="U284" s="11" t="str">
        <f t="shared" si="162"/>
        <v>NEGATIVE</v>
      </c>
      <c r="V284" s="11" t="str">
        <f t="shared" si="163"/>
        <v/>
      </c>
      <c r="W284" s="11" t="str">
        <f t="shared" si="164"/>
        <v>UP</v>
      </c>
      <c r="X284" s="6" t="str">
        <f t="shared" si="165"/>
        <v>SELL</v>
      </c>
      <c r="Y284" cm="1">
        <f t="array" ref="Y284">IFERROR(VALUE(_xll.BDP($B284,"INTERVAL_MAE_MOV_AVG","CALC_INTERVAL","520D","TECH_STUDIES_PARAM1_OVERRIDE",65,"USE_PREVIOUS_BUSINESS_DAY","N")),"")</f>
        <v>122.03845831147507</v>
      </c>
      <c r="Z284">
        <f t="shared" si="151"/>
        <v>6856.0226153846133</v>
      </c>
      <c r="AA284" cm="1">
        <f t="array" ref="AA284">IFERROR(VALUE(_xll.BDP($B284,"INTERVAL_MAE_MOV_AVG","CALC_INTERVAL","520D","TECH_STUDIES_PARAM1_OVERRIDE",65,"USE_PREVIOUS_BUSINESS_DAY","Y")),"")</f>
        <v>121.79661211476923</v>
      </c>
      <c r="AB284">
        <f t="shared" si="152"/>
        <v>6852.6203076923057</v>
      </c>
      <c r="AC284">
        <f t="shared" si="166"/>
        <v>1.7800183161243682E-2</v>
      </c>
      <c r="AD284">
        <f t="shared" si="167"/>
        <v>1.7773728390882575E-2</v>
      </c>
      <c r="AE284" s="10" t="str">
        <f t="shared" si="168"/>
        <v>UP</v>
      </c>
      <c r="AF284" s="10" t="str">
        <f t="shared" si="169"/>
        <v>UP</v>
      </c>
      <c r="AG284" s="6" t="str">
        <f t="shared" si="170"/>
        <v>POSITIVE</v>
      </c>
      <c r="AH284" cm="1">
        <f t="array" ref="AH284">IFERROR(VALUE(_xll.BDP($B284,"INTERVAL_MAE_MOV_AVG","CALC_INTERVAL","65W","PERIODICITY_OVERRIDE","W","TECH_STUDIES_PARAM1_OVERRIDE",39,"USE_PREVIOUS_BUSINESS_DAY","N")),"")</f>
        <v>103.11474457128689</v>
      </c>
      <c r="AI284">
        <f t="shared" si="153"/>
        <v>6560.7735897435905</v>
      </c>
      <c r="AJ284" cm="1">
        <f t="array" ref="AJ284">IFERROR(VALUE(_xll.BDP($B284,"INTERVAL_MAE_MOV_AVG","CALC_INTERVAL","65W","PERIODICITY_OVERRIDE","W","TECH_STUDIES_PARAM1_OVERRIDE",39,"USE_PREVIOUS_BUSINESS_DAY","Y")),"")</f>
        <v>103.13243683985411</v>
      </c>
      <c r="AK284">
        <f t="shared" si="154"/>
        <v>6560.7823076923087</v>
      </c>
      <c r="AL284">
        <f t="shared" si="171"/>
        <v>1.5716857648080621E-2</v>
      </c>
      <c r="AM284">
        <f t="shared" si="172"/>
        <v>1.571953343413553E-2</v>
      </c>
      <c r="AN284" s="10" t="str">
        <f t="shared" si="173"/>
        <v>DOWN</v>
      </c>
      <c r="AO284" s="10" t="str">
        <f t="shared" si="174"/>
        <v>DOWN</v>
      </c>
      <c r="AP284" s="6" t="str">
        <f t="shared" si="175"/>
        <v>POSITIVE</v>
      </c>
      <c r="AQ284" cm="1">
        <f t="array" ref="AQ284">IFERROR(VALUE(_xll.BDP($B284,"INTERVAL_exp_MOV_AVG","CALC_INTERVAL","520D","TECH_STUDIES_PARAM1_OVERRIDE",100,"USE_PREVIOUS_BUSINESS_DAY","N")),"")</f>
        <v>116.12570818402679</v>
      </c>
      <c r="AR284">
        <f t="shared" si="155"/>
        <v>6773.0064518682802</v>
      </c>
      <c r="AS284" cm="1">
        <f t="array" ref="AS284">IFERROR(VALUE(_xll.BDP($B284,"INTERVAL_exp_MOV_AVG","CALC_INTERVAL","520D","TECH_STUDIES_PARAM1_OVERRIDE",100,"USE_PREVIOUS_BUSINESS_DAY","Y")),"")</f>
        <v>115.95352246924902</v>
      </c>
      <c r="AT284">
        <f t="shared" si="156"/>
        <v>6769.6039787132295</v>
      </c>
      <c r="AU284">
        <f t="shared" si="176"/>
        <v>1.7145370967717656E-2</v>
      </c>
      <c r="AV284">
        <f t="shared" si="177"/>
        <v>1.7128553285223273E-2</v>
      </c>
      <c r="AW284" s="11" t="str">
        <f t="shared" si="178"/>
        <v>UP</v>
      </c>
      <c r="AX284" s="11" t="str">
        <f t="shared" si="179"/>
        <v>UP</v>
      </c>
      <c r="AY284" s="6" t="str">
        <f t="shared" si="180"/>
        <v>POSITIVE</v>
      </c>
      <c r="AZ284" s="12" cm="1">
        <f t="array" ref="AZ284">_xll.BDP($B284, "INTERVAL_RSI", "TECH_STUDIES_PARAM1_OVERRIDE", "5", "PERIODICITY_OVERRIDE", "W")</f>
        <v>56.535117787120221</v>
      </c>
      <c r="BA284" cm="1">
        <f t="array" ref="BA284">IFERROR(VALUE(_xll.BDP($B284,"INTERVAL_MAE_MOV_AVG","CALC_INTERVAL","520D","TECH_STUDIES_PARAM1_OVERRIDE",31,"USE_PREVIOUS_BUSINESS_DAY","N")),"")</f>
        <v>125.09806456535091</v>
      </c>
      <c r="BB284" cm="1">
        <f t="array" ref="BB284">IFERROR(VALUE(_xll.BDP($B284,"INTERVAL_MAE_MOV_AVG","CALC_INTERVAL","760D","TECH_STUDIES_PARAM1_OVERRIDE",200,"USE_PREVIOUS_BUSINESS_DAY","N")),"")</f>
        <v>100.66704516338103</v>
      </c>
      <c r="BC284" s="13">
        <f t="shared" si="181"/>
        <v>-3.5817066147880716E-3</v>
      </c>
      <c r="BD284" s="13">
        <f t="shared" si="182"/>
        <v>4.7274158696739565E-3</v>
      </c>
      <c r="BE284" s="13">
        <f t="shared" si="183"/>
        <v>0.23824037745118098</v>
      </c>
      <c r="BF284" s="14" cm="1">
        <f t="array" ref="BF284">VALUE(_xll.BDP($B284,"INTERVAL_DATE_OF_CALC_HI","CALC_INTERVAL","3M"))</f>
        <v>46044</v>
      </c>
      <c r="BG284" s="14" cm="1">
        <f t="array" ref="BG284">VALUE(_xll.BDP($B284,"INTERVAL_DATE_OF_CALC_LO","CALC_INTERVAL","3M"))</f>
        <v>45974</v>
      </c>
      <c r="BH284" s="14" cm="1">
        <f t="array" ref="BH284">VALUE(_xll.BDP($B284,"INTERVAL_DATE_OF_CALC_HI","CALC_INTERVAL","1M"))</f>
        <v>46044</v>
      </c>
      <c r="BI284" s="14" cm="1">
        <f t="array" ref="BI284">VALUE(_xll.BDP($B284,"INTERVAL_DATE_OF_CALC_LO","CALC_INTERVAL","1M"))</f>
        <v>46058</v>
      </c>
      <c r="BJ284" s="15">
        <f>$F284-MIN(_xll.BDP("NYA Index","RSI_14D"),_xll.BDP("RSP US Equity","RSI_14D"))</f>
        <v>-17.188038374385123</v>
      </c>
    </row>
    <row r="285" spans="1:62" x14ac:dyDescent="0.25">
      <c r="A285" s="11">
        <v>284</v>
      </c>
      <c r="B285" s="26" t="s">
        <v>521</v>
      </c>
      <c r="C285" s="1" t="s">
        <v>522</v>
      </c>
      <c r="D285" s="1" t="s">
        <v>308</v>
      </c>
      <c r="E285" s="11" t="s">
        <v>787</v>
      </c>
      <c r="F285">
        <f>IFERROR(VALUE((_xll.BDP($B285,"interval_rsi","tech_studies_param1_override",14))),"")</f>
        <v>70.535072000873299</v>
      </c>
      <c r="G285">
        <f t="shared" si="146"/>
        <v>52.525531939815814</v>
      </c>
      <c r="H285">
        <f t="shared" si="157"/>
        <v>1</v>
      </c>
      <c r="I285" cm="1">
        <f t="array" ref="I285">IFERROR(VALUE(_xll.BDP($B285,"px_last")),"")</f>
        <v>120.6</v>
      </c>
      <c r="J285">
        <f t="shared" si="147"/>
        <v>6941.47</v>
      </c>
      <c r="K285" cm="1">
        <f t="array" ref="K285">IFERROR(VALUE(_xll.BDP($B285,"PX_YEST_CLOSE")),"")</f>
        <v>120.35</v>
      </c>
      <c r="L285">
        <f t="shared" si="148"/>
        <v>6941.81</v>
      </c>
      <c r="M285">
        <f t="shared" si="158"/>
        <v>1.7373841563818614E-2</v>
      </c>
      <c r="N285">
        <f t="shared" si="159"/>
        <v>1.7336976955577867E-2</v>
      </c>
      <c r="O285" cm="1">
        <f t="array" ref="O285">IFERROR(VALUE(_xll.BDP($B285,"INTERVAL_MAE_MOV_AVG","CALC_INTERVAL","520D","TECH_STUDIES_PARAM1_OVERRIDE",50,"USE_PREVIOUS_BUSINESS_DAY","N")),"")</f>
        <v>109.52950954688245</v>
      </c>
      <c r="P285">
        <f t="shared" si="149"/>
        <v>6894.0953999999992</v>
      </c>
      <c r="Q285" cm="1">
        <f t="array" ref="Q285">IFERROR(VALUE(_xll.BDP($B285,"INTERVAL_MAE_MOV_AVG","CALC_INTERVAL","520D","TECH_STUDIES_PARAM1_OVERRIDE",50,"USE_PREVIOUS_BUSINESS_DAY","Y")),"")</f>
        <v>109.29137934860002</v>
      </c>
      <c r="R285">
        <f t="shared" si="150"/>
        <v>6892.2477999999992</v>
      </c>
      <c r="S285">
        <f t="shared" si="160"/>
        <v>1.5887437465237637E-2</v>
      </c>
      <c r="T285">
        <f t="shared" si="161"/>
        <v>1.5857145958768346E-2</v>
      </c>
      <c r="U285" s="11" t="str">
        <f t="shared" si="162"/>
        <v>POSITIVE</v>
      </c>
      <c r="V285" s="11" t="str">
        <f t="shared" si="163"/>
        <v/>
      </c>
      <c r="W285" s="11" t="str">
        <f t="shared" si="164"/>
        <v>UP</v>
      </c>
      <c r="X285" s="6" t="str">
        <f t="shared" si="165"/>
        <v>POSITIVE</v>
      </c>
      <c r="Y285" cm="1">
        <f t="array" ref="Y285">IFERROR(VALUE(_xll.BDP($B285,"INTERVAL_MAE_MOV_AVG","CALC_INTERVAL","520D","TECH_STUDIES_PARAM1_OVERRIDE",65,"USE_PREVIOUS_BUSINESS_DAY","N")),"")</f>
        <v>108.27716874590959</v>
      </c>
      <c r="Z285">
        <f t="shared" si="151"/>
        <v>6856.0226153846133</v>
      </c>
      <c r="AA285" cm="1">
        <f t="array" ref="AA285">IFERROR(VALUE(_xll.BDP($B285,"INTERVAL_MAE_MOV_AVG","CALC_INTERVAL","520D","TECH_STUDIES_PARAM1_OVERRIDE",65,"USE_PREVIOUS_BUSINESS_DAY","Y")),"")</f>
        <v>108.0271832326154</v>
      </c>
      <c r="AB285">
        <f t="shared" si="152"/>
        <v>6852.6203076923057</v>
      </c>
      <c r="AC285">
        <f t="shared" si="166"/>
        <v>1.5793000522334975E-2</v>
      </c>
      <c r="AD285">
        <f t="shared" si="167"/>
        <v>1.5764361424103875E-2</v>
      </c>
      <c r="AE285" s="10" t="str">
        <f t="shared" si="168"/>
        <v>UP</v>
      </c>
      <c r="AF285" s="10" t="str">
        <f t="shared" si="169"/>
        <v>UP</v>
      </c>
      <c r="AG285" s="6" t="str">
        <f t="shared" si="170"/>
        <v>POSITIVE</v>
      </c>
      <c r="AH285" cm="1">
        <f t="array" ref="AH285">IFERROR(VALUE(_xll.BDP($B285,"INTERVAL_MAE_MOV_AVG","CALC_INTERVAL","65W","PERIODICITY_OVERRIDE","W","TECH_STUDIES_PARAM1_OVERRIDE",39,"USE_PREVIOUS_BUSINESS_DAY","N")),"")</f>
        <v>106.87571012363385</v>
      </c>
      <c r="AI285">
        <f t="shared" si="153"/>
        <v>6560.7735897435905</v>
      </c>
      <c r="AJ285" cm="1">
        <f t="array" ref="AJ285">IFERROR(VALUE(_xll.BDP($B285,"INTERVAL_MAE_MOV_AVG","CALC_INTERVAL","65W","PERIODICITY_OVERRIDE","W","TECH_STUDIES_PARAM1_OVERRIDE",39,"USE_PREVIOUS_BUSINESS_DAY","Y")),"")</f>
        <v>106.86929990634872</v>
      </c>
      <c r="AK285">
        <f t="shared" si="154"/>
        <v>6560.7823076923087</v>
      </c>
      <c r="AL285">
        <f t="shared" si="171"/>
        <v>1.6290107966949487E-2</v>
      </c>
      <c r="AM285">
        <f t="shared" si="172"/>
        <v>1.6289109269949083E-2</v>
      </c>
      <c r="AN285" s="10" t="str">
        <f t="shared" si="173"/>
        <v>UP</v>
      </c>
      <c r="AO285" s="10" t="str">
        <f t="shared" si="174"/>
        <v>UP</v>
      </c>
      <c r="AP285" s="6" t="str">
        <f t="shared" si="175"/>
        <v>POSITIVE</v>
      </c>
      <c r="AQ285" cm="1">
        <f t="array" ref="AQ285">IFERROR(VALUE(_xll.BDP($B285,"INTERVAL_exp_MOV_AVG","CALC_INTERVAL","520D","TECH_STUDIES_PARAM1_OVERRIDE",100,"USE_PREVIOUS_BUSINESS_DAY","N")),"")</f>
        <v>108.95357329801656</v>
      </c>
      <c r="AR285">
        <f t="shared" si="155"/>
        <v>6773.0064518682802</v>
      </c>
      <c r="AS285" cm="1">
        <f t="array" ref="AS285">IFERROR(VALUE(_xll.BDP($B285,"INTERVAL_exp_MOV_AVG","CALC_INTERVAL","520D","TECH_STUDIES_PARAM1_OVERRIDE",100,"USE_PREVIOUS_BUSINESS_DAY","Y")),"")</f>
        <v>108.71830055349582</v>
      </c>
      <c r="AT285">
        <f t="shared" si="156"/>
        <v>6769.6039787132295</v>
      </c>
      <c r="AU285">
        <f t="shared" si="176"/>
        <v>1.6086441681738332E-2</v>
      </c>
      <c r="AV285">
        <f t="shared" si="177"/>
        <v>1.6059772609351524E-2</v>
      </c>
      <c r="AW285" s="11" t="str">
        <f t="shared" si="178"/>
        <v>UP</v>
      </c>
      <c r="AX285" s="11" t="str">
        <f t="shared" si="179"/>
        <v>UP</v>
      </c>
      <c r="AY285" s="6" t="str">
        <f t="shared" si="180"/>
        <v>POSITIVE</v>
      </c>
      <c r="AZ285" s="12" cm="1">
        <f t="array" ref="AZ285">_xll.BDP($B285, "INTERVAL_RSI", "TECH_STUDIES_PARAM1_OVERRIDE", "5", "PERIODICITY_OVERRIDE", "W")</f>
        <v>75.160727538448768</v>
      </c>
      <c r="BA285" cm="1">
        <f t="array" ref="BA285">IFERROR(VALUE(_xll.BDP($B285,"INTERVAL_MAE_MOV_AVG","CALC_INTERVAL","520D","TECH_STUDIES_PARAM1_OVERRIDE",31,"USE_PREVIOUS_BUSINESS_DAY","N")),"")</f>
        <v>111.37967737013297</v>
      </c>
      <c r="BB285" cm="1">
        <f t="array" ref="BB285">IFERROR(VALUE(_xll.BDP($B285,"INTERVAL_MAE_MOV_AVG","CALC_INTERVAL","760D","TECH_STUDIES_PARAM1_OVERRIDE",200,"USE_PREVIOUS_BUSINESS_DAY","N")),"")</f>
        <v>105.7436729616615</v>
      </c>
      <c r="BC285" s="13">
        <f t="shared" si="181"/>
        <v>8.2782809643328292E-2</v>
      </c>
      <c r="BD285" s="13">
        <f t="shared" si="182"/>
        <v>0.10107313087509984</v>
      </c>
      <c r="BE285" s="13">
        <f t="shared" si="183"/>
        <v>0.14049376782783796</v>
      </c>
      <c r="BF285" s="14" cm="1">
        <f t="array" ref="BF285">VALUE(_xll.BDP($B285,"INTERVAL_DATE_OF_CALC_HI","CALC_INTERVAL","3M"))</f>
        <v>46064</v>
      </c>
      <c r="BG285" s="14" cm="1">
        <f t="array" ref="BG285">VALUE(_xll.BDP($B285,"INTERVAL_DATE_OF_CALC_LO","CALC_INTERVAL","3M"))</f>
        <v>45981</v>
      </c>
      <c r="BH285" s="14" cm="1">
        <f t="array" ref="BH285">VALUE(_xll.BDP($B285,"INTERVAL_DATE_OF_CALC_HI","CALC_INTERVAL","1M"))</f>
        <v>46064</v>
      </c>
      <c r="BI285" s="14" cm="1">
        <f t="array" ref="BI285">VALUE(_xll.BDP($B285,"INTERVAL_DATE_OF_CALC_LO","CALC_INTERVAL","1M"))</f>
        <v>46052</v>
      </c>
      <c r="BJ285" s="15">
        <f>$F285-MIN(_xll.BDP("NYA Index","RSI_14D"),_xll.BDP("RSP US Equity","RSI_14D"))</f>
        <v>4.1893078407170492</v>
      </c>
    </row>
    <row r="286" spans="1:62" x14ac:dyDescent="0.25">
      <c r="A286" s="11">
        <v>285</v>
      </c>
      <c r="B286" s="26" t="s">
        <v>523</v>
      </c>
      <c r="C286" s="1" t="s">
        <v>524</v>
      </c>
      <c r="D286" s="1" t="s">
        <v>308</v>
      </c>
      <c r="E286" s="11" t="s">
        <v>787</v>
      </c>
      <c r="F286">
        <f>IFERROR(VALUE((_xll.BDP($B286,"interval_rsi","tech_studies_param1_override",14))),"")</f>
        <v>75.243602301937244</v>
      </c>
      <c r="G286">
        <f t="shared" si="146"/>
        <v>52.525531939815814</v>
      </c>
      <c r="H286">
        <f t="shared" si="157"/>
        <v>1</v>
      </c>
      <c r="I286" cm="1">
        <f t="array" ref="I286">IFERROR(VALUE(_xll.BDP($B286,"px_last")),"")</f>
        <v>53.62</v>
      </c>
      <c r="J286">
        <f t="shared" si="147"/>
        <v>6941.47</v>
      </c>
      <c r="K286" cm="1">
        <f t="array" ref="K286">IFERROR(VALUE(_xll.BDP($B286,"PX_YEST_CLOSE")),"")</f>
        <v>52.91</v>
      </c>
      <c r="L286">
        <f t="shared" si="148"/>
        <v>6941.81</v>
      </c>
      <c r="M286">
        <f t="shared" si="158"/>
        <v>7.7245885957873467E-3</v>
      </c>
      <c r="N286">
        <f t="shared" si="159"/>
        <v>7.6219314559171159E-3</v>
      </c>
      <c r="O286" cm="1">
        <f t="array" ref="O286">IFERROR(VALUE(_xll.BDP($B286,"INTERVAL_MAE_MOV_AVG","CALC_INTERVAL","520D","TECH_STUDIES_PARAM1_OVERRIDE",50,"USE_PREVIOUS_BUSINESS_DAY","N")),"")</f>
        <v>47.419451780637694</v>
      </c>
      <c r="P286">
        <f t="shared" si="149"/>
        <v>6894.0953999999992</v>
      </c>
      <c r="Q286" cm="1">
        <f t="array" ref="Q286">IFERROR(VALUE(_xll.BDP($B286,"INTERVAL_MAE_MOV_AVG","CALC_INTERVAL","520D","TECH_STUDIES_PARAM1_OVERRIDE",50,"USE_PREVIOUS_BUSINESS_DAY","Y")),"")</f>
        <v>47.236463794000002</v>
      </c>
      <c r="R286">
        <f t="shared" si="150"/>
        <v>6892.2477999999992</v>
      </c>
      <c r="S286">
        <f t="shared" si="160"/>
        <v>6.8782703210979205E-3</v>
      </c>
      <c r="T286">
        <f t="shared" si="161"/>
        <v>6.8535643471785805E-3</v>
      </c>
      <c r="U286" s="11" t="str">
        <f t="shared" si="162"/>
        <v>POSITIVE</v>
      </c>
      <c r="V286" s="11" t="str">
        <f t="shared" si="163"/>
        <v/>
      </c>
      <c r="W286" s="11" t="str">
        <f t="shared" si="164"/>
        <v>UP</v>
      </c>
      <c r="X286" s="6" t="str">
        <f t="shared" si="165"/>
        <v>POSITIVE</v>
      </c>
      <c r="Y286" cm="1">
        <f t="array" ref="Y286">IFERROR(VALUE(_xll.BDP($B286,"INTERVAL_MAE_MOV_AVG","CALC_INTERVAL","520D","TECH_STUDIES_PARAM1_OVERRIDE",65,"USE_PREVIOUS_BUSINESS_DAY","N")),"")</f>
        <v>46.44515525802899</v>
      </c>
      <c r="Z286">
        <f t="shared" si="151"/>
        <v>6856.0226153846133</v>
      </c>
      <c r="AA286" cm="1">
        <f t="array" ref="AA286">IFERROR(VALUE(_xll.BDP($B286,"INTERVAL_MAE_MOV_AVG","CALC_INTERVAL","520D","TECH_STUDIES_PARAM1_OVERRIDE",65,"USE_PREVIOUS_BUSINESS_DAY","Y")),"")</f>
        <v>46.269192246769236</v>
      </c>
      <c r="AB286">
        <f t="shared" si="152"/>
        <v>6852.6203076923057</v>
      </c>
      <c r="AC286">
        <f t="shared" si="166"/>
        <v>6.7743585258613504E-3</v>
      </c>
      <c r="AD286">
        <f t="shared" si="167"/>
        <v>6.7520437685465295E-3</v>
      </c>
      <c r="AE286" s="10" t="str">
        <f t="shared" si="168"/>
        <v>UP</v>
      </c>
      <c r="AF286" s="10" t="str">
        <f t="shared" si="169"/>
        <v>UP</v>
      </c>
      <c r="AG286" s="6" t="str">
        <f t="shared" si="170"/>
        <v>POSITIVE</v>
      </c>
      <c r="AH286" cm="1">
        <f t="array" ref="AH286">IFERROR(VALUE(_xll.BDP($B286,"INTERVAL_MAE_MOV_AVG","CALC_INTERVAL","65W","PERIODICITY_OVERRIDE","W","TECH_STUDIES_PARAM1_OVERRIDE",39,"USE_PREVIOUS_BUSINESS_DAY","N")),"")</f>
        <v>45.126652738949268</v>
      </c>
      <c r="AI286">
        <f t="shared" si="153"/>
        <v>6560.7735897435905</v>
      </c>
      <c r="AJ286" cm="1">
        <f t="array" ref="AJ286">IFERROR(VALUE(_xll.BDP($B286,"INTERVAL_MAE_MOV_AVG","CALC_INTERVAL","65W","PERIODICITY_OVERRIDE","W","TECH_STUDIES_PARAM1_OVERRIDE",39,"USE_PREVIOUS_BUSINESS_DAY","Y")),"")</f>
        <v>45.108447638131707</v>
      </c>
      <c r="AK286">
        <f t="shared" si="154"/>
        <v>6560.7823076923087</v>
      </c>
      <c r="AL286">
        <f t="shared" si="171"/>
        <v>6.8782517978513138E-3</v>
      </c>
      <c r="AM286">
        <f t="shared" si="172"/>
        <v>6.875467821153506E-3</v>
      </c>
      <c r="AN286" s="10" t="str">
        <f t="shared" si="173"/>
        <v>UP</v>
      </c>
      <c r="AO286" s="10" t="str">
        <f t="shared" si="174"/>
        <v>UP</v>
      </c>
      <c r="AP286" s="6" t="str">
        <f t="shared" si="175"/>
        <v>POSITIVE</v>
      </c>
      <c r="AQ286" cm="1">
        <f t="array" ref="AQ286">IFERROR(VALUE(_xll.BDP($B286,"INTERVAL_exp_MOV_AVG","CALC_INTERVAL","520D","TECH_STUDIES_PARAM1_OVERRIDE",100,"USE_PREVIOUS_BUSINESS_DAY","N")),"")</f>
        <v>46.563712242235553</v>
      </c>
      <c r="AR286">
        <f t="shared" si="155"/>
        <v>6773.0064518682802</v>
      </c>
      <c r="AS286" cm="1">
        <f t="array" ref="AS286">IFERROR(VALUE(_xll.BDP($B286,"INTERVAL_exp_MOV_AVG","CALC_INTERVAL","520D","TECH_STUDIES_PARAM1_OVERRIDE",100,"USE_PREVIOUS_BUSINESS_DAY","Y")),"")</f>
        <v>46.421169962297114</v>
      </c>
      <c r="AT286">
        <f t="shared" si="156"/>
        <v>6769.6039787132295</v>
      </c>
      <c r="AU286">
        <f t="shared" si="176"/>
        <v>6.8748955981566091E-3</v>
      </c>
      <c r="AV286">
        <f t="shared" si="177"/>
        <v>6.857294770605012E-3</v>
      </c>
      <c r="AW286" s="11" t="str">
        <f t="shared" si="178"/>
        <v>UP</v>
      </c>
      <c r="AX286" s="11" t="str">
        <f t="shared" si="179"/>
        <v>UP</v>
      </c>
      <c r="AY286" s="6" t="str">
        <f t="shared" si="180"/>
        <v>POSITIVE</v>
      </c>
      <c r="AZ286" s="12" cm="1">
        <f t="array" ref="AZ286">_xll.BDP($B286, "INTERVAL_RSI", "TECH_STUDIES_PARAM1_OVERRIDE", "5", "PERIODICITY_OVERRIDE", "W")</f>
        <v>90.474797643471945</v>
      </c>
      <c r="BA286" cm="1">
        <f t="array" ref="BA286">IFERROR(VALUE(_xll.BDP($B286,"INTERVAL_MAE_MOV_AVG","CALC_INTERVAL","520D","TECH_STUDIES_PARAM1_OVERRIDE",31,"USE_PREVIOUS_BUSINESS_DAY","N")),"")</f>
        <v>49.103548352641432</v>
      </c>
      <c r="BB286" cm="1">
        <f t="array" ref="BB286">IFERROR(VALUE(_xll.BDP($B286,"INTERVAL_MAE_MOV_AVG","CALC_INTERVAL","760D","TECH_STUDIES_PARAM1_OVERRIDE",200,"USE_PREVIOUS_BUSINESS_DAY","N")),"")</f>
        <v>44.703912243756058</v>
      </c>
      <c r="BC286" s="13">
        <f t="shared" si="181"/>
        <v>9.1978111539379404E-2</v>
      </c>
      <c r="BD286" s="13">
        <f t="shared" si="182"/>
        <v>0.13075959308947782</v>
      </c>
      <c r="BE286" s="13">
        <f t="shared" si="183"/>
        <v>0.19944759437669313</v>
      </c>
      <c r="BF286" s="14" cm="1">
        <f t="array" ref="BF286">VALUE(_xll.BDP($B286,"INTERVAL_DATE_OF_CALC_HI","CALC_INTERVAL","3M"))</f>
        <v>46064</v>
      </c>
      <c r="BG286" s="14" cm="1">
        <f t="array" ref="BG286">VALUE(_xll.BDP($B286,"INTERVAL_DATE_OF_CALC_LO","CALC_INTERVAL","3M"))</f>
        <v>45981</v>
      </c>
      <c r="BH286" s="14" cm="1">
        <f t="array" ref="BH286">VALUE(_xll.BDP($B286,"INTERVAL_DATE_OF_CALC_HI","CALC_INTERVAL","1M"))</f>
        <v>46064</v>
      </c>
      <c r="BI286" s="14" cm="1">
        <f t="array" ref="BI286">VALUE(_xll.BDP($B286,"INTERVAL_DATE_OF_CALC_LO","CALC_INTERVAL","1M"))</f>
        <v>46042</v>
      </c>
      <c r="BJ286" s="15">
        <f>$F286-MIN(_xll.BDP("NYA Index","RSI_14D"),_xll.BDP("RSP US Equity","RSI_14D"))</f>
        <v>8.8978381417809942</v>
      </c>
    </row>
    <row r="287" spans="1:62" x14ac:dyDescent="0.25">
      <c r="A287" s="11">
        <v>286</v>
      </c>
      <c r="B287" s="26" t="s">
        <v>525</v>
      </c>
      <c r="C287" s="1" t="s">
        <v>928</v>
      </c>
      <c r="D287" s="1" t="s">
        <v>308</v>
      </c>
      <c r="E287" s="11" t="s">
        <v>787</v>
      </c>
      <c r="F287">
        <f>IFERROR(VALUE((_xll.BDP($B287,"interval_rsi","tech_studies_param1_override",14))),"")</f>
        <v>48.85976766724044</v>
      </c>
      <c r="G287">
        <f t="shared" si="146"/>
        <v>52.525531939815814</v>
      </c>
      <c r="H287">
        <f t="shared" si="157"/>
        <v>0</v>
      </c>
      <c r="I287" cm="1">
        <f t="array" ref="I287">IFERROR(VALUE(_xll.BDP($B287,"px_last")),"")</f>
        <v>116.74</v>
      </c>
      <c r="J287">
        <f t="shared" si="147"/>
        <v>6941.47</v>
      </c>
      <c r="K287" cm="1">
        <f t="array" ref="K287">IFERROR(VALUE(_xll.BDP($B287,"PX_YEST_CLOSE")),"")</f>
        <v>117.58</v>
      </c>
      <c r="L287">
        <f t="shared" si="148"/>
        <v>6941.81</v>
      </c>
      <c r="M287">
        <f t="shared" si="158"/>
        <v>1.681776338441281E-2</v>
      </c>
      <c r="N287">
        <f t="shared" si="159"/>
        <v>1.6937945579034861E-2</v>
      </c>
      <c r="O287" cm="1">
        <f t="array" ref="O287">IFERROR(VALUE(_xll.BDP($B287,"INTERVAL_MAE_MOV_AVG","CALC_INTERVAL","520D","TECH_STUDIES_PARAM1_OVERRIDE",50,"USE_PREVIOUS_BUSINESS_DAY","N")),"")</f>
        <v>116.7703616222754</v>
      </c>
      <c r="P287">
        <f t="shared" si="149"/>
        <v>6894.0953999999992</v>
      </c>
      <c r="Q287" cm="1">
        <f t="array" ref="Q287">IFERROR(VALUE(_xll.BDP($B287,"INTERVAL_MAE_MOV_AVG","CALC_INTERVAL","520D","TECH_STUDIES_PARAM1_OVERRIDE",50,"USE_PREVIOUS_BUSINESS_DAY","Y")),"")</f>
        <v>116.73591901</v>
      </c>
      <c r="R287">
        <f t="shared" si="150"/>
        <v>6892.2477999999992</v>
      </c>
      <c r="S287">
        <f t="shared" si="160"/>
        <v>1.6937735097526416E-2</v>
      </c>
      <c r="T287">
        <f t="shared" si="161"/>
        <v>1.693727828677315E-2</v>
      </c>
      <c r="U287" s="11" t="str">
        <f t="shared" si="162"/>
        <v>NEGATIVE</v>
      </c>
      <c r="V287" s="11" t="str">
        <f t="shared" si="163"/>
        <v/>
      </c>
      <c r="W287" s="11" t="str">
        <f t="shared" si="164"/>
        <v>UP</v>
      </c>
      <c r="X287" s="6" t="str">
        <f t="shared" si="165"/>
        <v>SELL</v>
      </c>
      <c r="Y287" cm="1">
        <f t="array" ref="Y287">IFERROR(VALUE(_xll.BDP($B287,"INTERVAL_MAE_MOV_AVG","CALC_INTERVAL","520D","TECH_STUDIES_PARAM1_OVERRIDE",65,"USE_PREVIOUS_BUSINESS_DAY","N")),"")</f>
        <v>115.733371094058</v>
      </c>
      <c r="Z287">
        <f t="shared" si="151"/>
        <v>6856.0226153846133</v>
      </c>
      <c r="AA287" cm="1">
        <f t="array" ref="AA287">IFERROR(VALUE(_xll.BDP($B287,"INTERVAL_MAE_MOV_AVG","CALC_INTERVAL","520D","TECH_STUDIES_PARAM1_OVERRIDE",65,"USE_PREVIOUS_BUSINESS_DAY","Y")),"")</f>
        <v>115.66102512692308</v>
      </c>
      <c r="AB287">
        <f t="shared" si="152"/>
        <v>6852.6203076923057</v>
      </c>
      <c r="AC287">
        <f t="shared" si="166"/>
        <v>1.6880541034733083E-2</v>
      </c>
      <c r="AD287">
        <f t="shared" si="167"/>
        <v>1.6878364761737864E-2</v>
      </c>
      <c r="AE287" s="10" t="str">
        <f t="shared" si="168"/>
        <v>UP</v>
      </c>
      <c r="AF287" s="10" t="str">
        <f t="shared" si="169"/>
        <v>UP</v>
      </c>
      <c r="AG287" s="6" t="str">
        <f t="shared" si="170"/>
        <v>SELL</v>
      </c>
      <c r="AH287" cm="1">
        <f t="array" ref="AH287">IFERROR(VALUE(_xll.BDP($B287,"INTERVAL_MAE_MOV_AVG","CALC_INTERVAL","65W","PERIODICITY_OVERRIDE","W","TECH_STUDIES_PARAM1_OVERRIDE",39,"USE_PREVIOUS_BUSINESS_DAY","N")),"")</f>
        <v>111.73502294340256</v>
      </c>
      <c r="AI287">
        <f t="shared" si="153"/>
        <v>6560.7735897435905</v>
      </c>
      <c r="AJ287" cm="1">
        <f t="array" ref="AJ287">IFERROR(VALUE(_xll.BDP($B287,"INTERVAL_MAE_MOV_AVG","CALC_INTERVAL","65W","PERIODICITY_OVERRIDE","W","TECH_STUDIES_PARAM1_OVERRIDE",39,"USE_PREVIOUS_BUSINESS_DAY","Y")),"")</f>
        <v>111.75656145971618</v>
      </c>
      <c r="AK287">
        <f t="shared" si="154"/>
        <v>6560.7823076923087</v>
      </c>
      <c r="AL287">
        <f t="shared" si="171"/>
        <v>1.7030769529690386E-2</v>
      </c>
      <c r="AM287">
        <f t="shared" si="172"/>
        <v>1.7034029818164393E-2</v>
      </c>
      <c r="AN287" s="10" t="str">
        <f t="shared" si="173"/>
        <v>DOWN</v>
      </c>
      <c r="AO287" s="10" t="str">
        <f t="shared" si="174"/>
        <v>DOWN</v>
      </c>
      <c r="AP287" s="6" t="str">
        <f t="shared" si="175"/>
        <v>NEGATIVE</v>
      </c>
      <c r="AQ287" cm="1">
        <f t="array" ref="AQ287">IFERROR(VALUE(_xll.BDP($B287,"INTERVAL_exp_MOV_AVG","CALC_INTERVAL","520D","TECH_STUDIES_PARAM1_OVERRIDE",100,"USE_PREVIOUS_BUSINESS_DAY","N")),"")</f>
        <v>114.83702647595845</v>
      </c>
      <c r="AR287">
        <f t="shared" si="155"/>
        <v>6773.0064518682802</v>
      </c>
      <c r="AS287" cm="1">
        <f t="array" ref="AS287">IFERROR(VALUE(_xll.BDP($B287,"INTERVAL_exp_MOV_AVG","CALC_INTERVAL","520D","TECH_STUDIES_PARAM1_OVERRIDE",100,"USE_PREVIOUS_BUSINESS_DAY","Y")),"")</f>
        <v>114.79859625751331</v>
      </c>
      <c r="AT287">
        <f t="shared" si="156"/>
        <v>6769.6039787132295</v>
      </c>
      <c r="AU287">
        <f t="shared" si="176"/>
        <v>1.6955103659214966E-2</v>
      </c>
      <c r="AV287">
        <f t="shared" si="177"/>
        <v>1.6957948591748241E-2</v>
      </c>
      <c r="AW287" s="11" t="str">
        <f t="shared" si="178"/>
        <v>UP</v>
      </c>
      <c r="AX287" s="11" t="str">
        <f t="shared" si="179"/>
        <v>DOWN</v>
      </c>
      <c r="AY287" s="6" t="str">
        <f t="shared" si="180"/>
        <v>NEGATIVE</v>
      </c>
      <c r="AZ287" s="12" cm="1">
        <f t="array" ref="AZ287">_xll.BDP($B287, "INTERVAL_RSI", "TECH_STUDIES_PARAM1_OVERRIDE", "5", "PERIODICITY_OVERRIDE", "W")</f>
        <v>50.20690900557404</v>
      </c>
      <c r="BA287" cm="1">
        <f t="array" ref="BA287">IFERROR(VALUE(_xll.BDP($B287,"INTERVAL_MAE_MOV_AVG","CALC_INTERVAL","520D","TECH_STUDIES_PARAM1_OVERRIDE",31,"USE_PREVIOUS_BUSINESS_DAY","N")),"")</f>
        <v>117.12258057625061</v>
      </c>
      <c r="BB287" cm="1">
        <f t="array" ref="BB287">IFERROR(VALUE(_xll.BDP($B287,"INTERVAL_MAE_MOV_AVG","CALC_INTERVAL","760D","TECH_STUDIES_PARAM1_OVERRIDE",200,"USE_PREVIOUS_BUSINESS_DAY","N")),"")</f>
        <v>110.57236056736588</v>
      </c>
      <c r="BC287" s="13">
        <f t="shared" si="181"/>
        <v>-3.2664971551027433E-3</v>
      </c>
      <c r="BD287" s="13">
        <f t="shared" si="182"/>
        <v>-2.6001137492082105E-4</v>
      </c>
      <c r="BE287" s="13">
        <f t="shared" si="183"/>
        <v>5.5779214633629115E-2</v>
      </c>
      <c r="BF287" s="14" cm="1">
        <f t="array" ref="BF287">VALUE(_xll.BDP($B287,"INTERVAL_DATE_OF_CALC_HI","CALC_INTERVAL","3M"))</f>
        <v>46052</v>
      </c>
      <c r="BG287" s="14" cm="1">
        <f t="array" ref="BG287">VALUE(_xll.BDP($B287,"INTERVAL_DATE_OF_CALC_LO","CALC_INTERVAL","3M"))</f>
        <v>45981</v>
      </c>
      <c r="BH287" s="14" cm="1">
        <f t="array" ref="BH287">VALUE(_xll.BDP($B287,"INTERVAL_DATE_OF_CALC_HI","CALC_INTERVAL","1M"))</f>
        <v>46052</v>
      </c>
      <c r="BI287" s="14" cm="1">
        <f t="array" ref="BI287">VALUE(_xll.BDP($B287,"INTERVAL_DATE_OF_CALC_LO","CALC_INTERVAL","1M"))</f>
        <v>46042</v>
      </c>
      <c r="BJ287" s="15">
        <f>$F287-MIN(_xll.BDP("NYA Index","RSI_14D"),_xll.BDP("RSP US Equity","RSI_14D"))</f>
        <v>-17.48599649291581</v>
      </c>
    </row>
    <row r="288" spans="1:62" x14ac:dyDescent="0.25">
      <c r="A288" s="11">
        <v>287</v>
      </c>
      <c r="B288" s="26" t="s">
        <v>526</v>
      </c>
      <c r="C288" s="1" t="s">
        <v>929</v>
      </c>
      <c r="D288" s="1" t="s">
        <v>308</v>
      </c>
      <c r="E288" s="11" t="s">
        <v>787</v>
      </c>
      <c r="F288">
        <f>IFERROR(VALUE((_xll.BDP($B288,"interval_rsi","tech_studies_param1_override",14))),"")</f>
        <v>78.807730718220711</v>
      </c>
      <c r="G288">
        <f t="shared" si="146"/>
        <v>52.525531939815814</v>
      </c>
      <c r="H288">
        <f t="shared" si="157"/>
        <v>1</v>
      </c>
      <c r="I288" cm="1">
        <f t="array" ref="I288">IFERROR(VALUE(_xll.BDP($B288,"px_last")),"")</f>
        <v>54.98</v>
      </c>
      <c r="J288">
        <f t="shared" si="147"/>
        <v>6941.47</v>
      </c>
      <c r="K288" cm="1">
        <f t="array" ref="K288">IFERROR(VALUE(_xll.BDP($B288,"PX_YEST_CLOSE")),"")</f>
        <v>53.58</v>
      </c>
      <c r="L288">
        <f t="shared" si="148"/>
        <v>6941.81</v>
      </c>
      <c r="M288">
        <f t="shared" si="158"/>
        <v>7.9205125139199615E-3</v>
      </c>
      <c r="N288">
        <f t="shared" si="159"/>
        <v>7.7184480704600086E-3</v>
      </c>
      <c r="O288" cm="1">
        <f t="array" ref="O288">IFERROR(VALUE(_xll.BDP($B288,"INTERVAL_MAE_MOV_AVG","CALC_INTERVAL","520D","TECH_STUDIES_PARAM1_OVERRIDE",50,"USE_PREVIOUS_BUSINESS_DAY","N")),"")</f>
        <v>47.314026256744739</v>
      </c>
      <c r="P288">
        <f t="shared" si="149"/>
        <v>6894.0953999999992</v>
      </c>
      <c r="Q288" cm="1">
        <f t="array" ref="Q288">IFERROR(VALUE(_xll.BDP($B288,"INTERVAL_MAE_MOV_AVG","CALC_INTERVAL","520D","TECH_STUDIES_PARAM1_OVERRIDE",50,"USE_PREVIOUS_BUSINESS_DAY","Y")),"")</f>
        <v>47.111280527400012</v>
      </c>
      <c r="R288">
        <f t="shared" si="150"/>
        <v>6892.2477999999992</v>
      </c>
      <c r="S288">
        <f t="shared" si="160"/>
        <v>6.8629781735751356E-3</v>
      </c>
      <c r="T288">
        <f t="shared" si="161"/>
        <v>6.835401438613397E-3</v>
      </c>
      <c r="U288" s="11" t="str">
        <f t="shared" si="162"/>
        <v>POSITIVE</v>
      </c>
      <c r="V288" s="11" t="str">
        <f t="shared" si="163"/>
        <v/>
      </c>
      <c r="W288" s="11" t="str">
        <f t="shared" si="164"/>
        <v>UP</v>
      </c>
      <c r="X288" s="6" t="str">
        <f t="shared" si="165"/>
        <v>POSITIVE</v>
      </c>
      <c r="Y288" cm="1">
        <f t="array" ref="Y288">IFERROR(VALUE(_xll.BDP($B288,"INTERVAL_MAE_MOV_AVG","CALC_INTERVAL","520D","TECH_STUDIES_PARAM1_OVERRIDE",65,"USE_PREVIOUS_BUSINESS_DAY","N")),"")</f>
        <v>46.701696876572861</v>
      </c>
      <c r="Z288">
        <f t="shared" si="151"/>
        <v>6856.0226153846133</v>
      </c>
      <c r="AA288" cm="1">
        <f t="array" ref="AA288">IFERROR(VALUE(_xll.BDP($B288,"INTERVAL_MAE_MOV_AVG","CALC_INTERVAL","520D","TECH_STUDIES_PARAM1_OVERRIDE",65,"USE_PREVIOUS_BUSINESS_DAY","Y")),"")</f>
        <v>46.529111142769224</v>
      </c>
      <c r="AB288">
        <f t="shared" si="152"/>
        <v>6852.6203076923057</v>
      </c>
      <c r="AC288">
        <f t="shared" si="166"/>
        <v>6.8117769582288577E-3</v>
      </c>
      <c r="AD288">
        <f t="shared" si="167"/>
        <v>6.7899736237448721E-3</v>
      </c>
      <c r="AE288" s="10" t="str">
        <f t="shared" si="168"/>
        <v>UP</v>
      </c>
      <c r="AF288" s="10" t="str">
        <f t="shared" si="169"/>
        <v>UP</v>
      </c>
      <c r="AG288" s="6" t="str">
        <f t="shared" si="170"/>
        <v>POSITIVE</v>
      </c>
      <c r="AH288" cm="1">
        <f t="array" ref="AH288">IFERROR(VALUE(_xll.BDP($B288,"INTERVAL_MAE_MOV_AVG","CALC_INTERVAL","65W","PERIODICITY_OVERRIDE","W","TECH_STUDIES_PARAM1_OVERRIDE",39,"USE_PREVIOUS_BUSINESS_DAY","N")),"")</f>
        <v>44.415677068073272</v>
      </c>
      <c r="AI288">
        <f t="shared" si="153"/>
        <v>6560.7735897435905</v>
      </c>
      <c r="AJ288" cm="1">
        <f t="array" ref="AJ288">IFERROR(VALUE(_xll.BDP($B288,"INTERVAL_MAE_MOV_AVG","CALC_INTERVAL","65W","PERIODICITY_OVERRIDE","W","TECH_STUDIES_PARAM1_OVERRIDE",39,"USE_PREVIOUS_BUSINESS_DAY","Y")),"")</f>
        <v>44.379779643913366</v>
      </c>
      <c r="AK288">
        <f t="shared" si="154"/>
        <v>6560.7823076923087</v>
      </c>
      <c r="AL288">
        <f t="shared" si="171"/>
        <v>6.7698841395026918E-3</v>
      </c>
      <c r="AM288">
        <f t="shared" si="172"/>
        <v>6.7644036278843587E-3</v>
      </c>
      <c r="AN288" s="10" t="str">
        <f t="shared" si="173"/>
        <v>UP</v>
      </c>
      <c r="AO288" s="10" t="str">
        <f t="shared" si="174"/>
        <v>UP</v>
      </c>
      <c r="AP288" s="6" t="str">
        <f t="shared" si="175"/>
        <v>POSITIVE</v>
      </c>
      <c r="AQ288" cm="1">
        <f t="array" ref="AQ288">IFERROR(VALUE(_xll.BDP($B288,"INTERVAL_exp_MOV_AVG","CALC_INTERVAL","520D","TECH_STUDIES_PARAM1_OVERRIDE",100,"USE_PREVIOUS_BUSINESS_DAY","N")),"")</f>
        <v>46.42404528967041</v>
      </c>
      <c r="AR288">
        <f t="shared" si="155"/>
        <v>6773.0064518682802</v>
      </c>
      <c r="AS288" cm="1">
        <f t="array" ref="AS288">IFERROR(VALUE(_xll.BDP($B288,"INTERVAL_exp_MOV_AVG","CALC_INTERVAL","520D","TECH_STUDIES_PARAM1_OVERRIDE",100,"USE_PREVIOUS_BUSINESS_DAY","Y")),"")</f>
        <v>46.25120746716339</v>
      </c>
      <c r="AT288">
        <f t="shared" si="156"/>
        <v>6769.6039787132295</v>
      </c>
      <c r="AU288">
        <f t="shared" si="176"/>
        <v>6.8542744820307535E-3</v>
      </c>
      <c r="AV288">
        <f t="shared" si="177"/>
        <v>6.8321880589468174E-3</v>
      </c>
      <c r="AW288" s="11" t="str">
        <f t="shared" si="178"/>
        <v>UP</v>
      </c>
      <c r="AX288" s="11" t="str">
        <f t="shared" si="179"/>
        <v>UP</v>
      </c>
      <c r="AY288" s="6" t="str">
        <f t="shared" si="180"/>
        <v>POSITIVE</v>
      </c>
      <c r="AZ288" s="12" cm="1">
        <f t="array" ref="AZ288">_xll.BDP($B288, "INTERVAL_RSI", "TECH_STUDIES_PARAM1_OVERRIDE", "5", "PERIODICITY_OVERRIDE", "W")</f>
        <v>94.030007308803093</v>
      </c>
      <c r="BA288" cm="1">
        <f t="array" ref="BA288">IFERROR(VALUE(_xll.BDP($B288,"INTERVAL_MAE_MOV_AVG","CALC_INTERVAL","520D","TECH_STUDIES_PARAM1_OVERRIDE",31,"USE_PREVIOUS_BUSINESS_DAY","N")),"")</f>
        <v>48.860645146523765</v>
      </c>
      <c r="BB288" cm="1">
        <f t="array" ref="BB288">IFERROR(VALUE(_xll.BDP($B288,"INTERVAL_MAE_MOV_AVG","CALC_INTERVAL","760D","TECH_STUDIES_PARAM1_OVERRIDE",200,"USE_PREVIOUS_BUSINESS_DAY","N")),"")</f>
        <v>43.840064822175094</v>
      </c>
      <c r="BC288" s="13">
        <f t="shared" si="181"/>
        <v>0.12524097533148515</v>
      </c>
      <c r="BD288" s="13">
        <f t="shared" si="182"/>
        <v>0.16202328040434844</v>
      </c>
      <c r="BE288" s="13">
        <f t="shared" si="183"/>
        <v>0.25410398508786236</v>
      </c>
      <c r="BF288" s="14" cm="1">
        <f t="array" ref="BF288">VALUE(_xll.BDP($B288,"INTERVAL_DATE_OF_CALC_HI","CALC_INTERVAL","3M"))</f>
        <v>46064</v>
      </c>
      <c r="BG288" s="14" cm="1">
        <f t="array" ref="BG288">VALUE(_xll.BDP($B288,"INTERVAL_DATE_OF_CALC_LO","CALC_INTERVAL","3M"))</f>
        <v>46007</v>
      </c>
      <c r="BH288" s="14" cm="1">
        <f t="array" ref="BH288">VALUE(_xll.BDP($B288,"INTERVAL_DATE_OF_CALC_HI","CALC_INTERVAL","1M"))</f>
        <v>46064</v>
      </c>
      <c r="BI288" s="14" cm="1">
        <f t="array" ref="BI288">VALUE(_xll.BDP($B288,"INTERVAL_DATE_OF_CALC_LO","CALC_INTERVAL","1M"))</f>
        <v>46034</v>
      </c>
      <c r="BJ288" s="15">
        <f>$F288-MIN(_xll.BDP("NYA Index","RSI_14D"),_xll.BDP("RSP US Equity","RSI_14D"))</f>
        <v>12.461966558064461</v>
      </c>
    </row>
    <row r="289" spans="1:62" x14ac:dyDescent="0.25">
      <c r="A289" s="11">
        <v>288</v>
      </c>
      <c r="B289" s="26" t="s">
        <v>527</v>
      </c>
      <c r="C289" s="1" t="s">
        <v>930</v>
      </c>
      <c r="D289" s="1" t="s">
        <v>308</v>
      </c>
      <c r="E289" s="11" t="s">
        <v>787</v>
      </c>
      <c r="F289">
        <f>IFERROR(VALUE((_xll.BDP($B289,"interval_rsi","tech_studies_param1_override",14))),"")</f>
        <v>41.053884480676373</v>
      </c>
      <c r="G289">
        <f t="shared" si="146"/>
        <v>52.525531939815814</v>
      </c>
      <c r="H289">
        <f t="shared" si="157"/>
        <v>0</v>
      </c>
      <c r="I289" cm="1">
        <f t="array" ref="I289">IFERROR(VALUE(_xll.BDP($B289,"px_last")),"")</f>
        <v>52.74</v>
      </c>
      <c r="J289">
        <f t="shared" si="147"/>
        <v>6941.47</v>
      </c>
      <c r="K289" cm="1">
        <f t="array" ref="K289">IFERROR(VALUE(_xll.BDP($B289,"PX_YEST_CLOSE")),"")</f>
        <v>53.55</v>
      </c>
      <c r="L289">
        <f t="shared" si="148"/>
        <v>6941.81</v>
      </c>
      <c r="M289">
        <f t="shared" si="158"/>
        <v>7.5978142958191856E-3</v>
      </c>
      <c r="N289">
        <f t="shared" si="159"/>
        <v>7.7141264310028644E-3</v>
      </c>
      <c r="O289" cm="1">
        <f t="array" ref="O289">IFERROR(VALUE(_xll.BDP($B289,"INTERVAL_MAE_MOV_AVG","CALC_INTERVAL","520D","TECH_STUDIES_PARAM1_OVERRIDE",50,"USE_PREVIOUS_BUSINESS_DAY","N")),"")</f>
        <v>54.233789440169332</v>
      </c>
      <c r="P289">
        <f t="shared" si="149"/>
        <v>6894.0953999999992</v>
      </c>
      <c r="Q289" cm="1">
        <f t="array" ref="Q289">IFERROR(VALUE(_xll.BDP($B289,"INTERVAL_MAE_MOV_AVG","CALC_INTERVAL","520D","TECH_STUDIES_PARAM1_OVERRIDE",50,"USE_PREVIOUS_BUSINESS_DAY","Y")),"")</f>
        <v>54.241878705200001</v>
      </c>
      <c r="R289">
        <f t="shared" si="150"/>
        <v>6892.2477999999992</v>
      </c>
      <c r="S289">
        <f t="shared" si="160"/>
        <v>7.8667013282365285E-3</v>
      </c>
      <c r="T289">
        <f t="shared" si="161"/>
        <v>7.8699838251898042E-3</v>
      </c>
      <c r="U289" s="11" t="str">
        <f t="shared" si="162"/>
        <v>NEGATIVE</v>
      </c>
      <c r="V289" s="11" t="str">
        <f t="shared" si="163"/>
        <v/>
      </c>
      <c r="W289" s="11" t="str">
        <f t="shared" si="164"/>
        <v>DOWN</v>
      </c>
      <c r="X289" s="6" t="str">
        <f t="shared" si="165"/>
        <v>NEGATIVE</v>
      </c>
      <c r="Y289" cm="1">
        <f t="array" ref="Y289">IFERROR(VALUE(_xll.BDP($B289,"INTERVAL_MAE_MOV_AVG","CALC_INTERVAL","520D","TECH_STUDIES_PARAM1_OVERRIDE",65,"USE_PREVIOUS_BUSINESS_DAY","N")),"")</f>
        <v>53.767464946745633</v>
      </c>
      <c r="Z289">
        <f t="shared" si="151"/>
        <v>6856.0226153846133</v>
      </c>
      <c r="AA289" cm="1">
        <f t="array" ref="AA289">IFERROR(VALUE(_xll.BDP($B289,"INTERVAL_MAE_MOV_AVG","CALC_INTERVAL","520D","TECH_STUDIES_PARAM1_OVERRIDE",65,"USE_PREVIOUS_BUSINESS_DAY","Y")),"")</f>
        <v>53.7595828533846</v>
      </c>
      <c r="AB289">
        <f t="shared" si="152"/>
        <v>6852.6203076923057</v>
      </c>
      <c r="AC289">
        <f t="shared" si="166"/>
        <v>7.8423698349672603E-3</v>
      </c>
      <c r="AD289">
        <f t="shared" si="167"/>
        <v>7.845113320088316E-3</v>
      </c>
      <c r="AE289" s="10" t="str">
        <f t="shared" si="168"/>
        <v>UP</v>
      </c>
      <c r="AF289" s="10" t="str">
        <f t="shared" si="169"/>
        <v>DOWN</v>
      </c>
      <c r="AG289" s="6" t="str">
        <f t="shared" si="170"/>
        <v>NEGATIVE</v>
      </c>
      <c r="AH289" cm="1">
        <f t="array" ref="AH289">IFERROR(VALUE(_xll.BDP($B289,"INTERVAL_MAE_MOV_AVG","CALC_INTERVAL","65W","PERIODICITY_OVERRIDE","W","TECH_STUDIES_PARAM1_OVERRIDE",39,"USE_PREVIOUS_BUSINESS_DAY","N")),"")</f>
        <v>52.717764850741773</v>
      </c>
      <c r="AI289">
        <f t="shared" si="153"/>
        <v>6560.7735897435905</v>
      </c>
      <c r="AJ289" cm="1">
        <f t="array" ref="AJ289">IFERROR(VALUE(_xll.BDP($B289,"INTERVAL_MAE_MOV_AVG","CALC_INTERVAL","65W","PERIODICITY_OVERRIDE","W","TECH_STUDIES_PARAM1_OVERRIDE",39,"USE_PREVIOUS_BUSINESS_DAY","Y")),"")</f>
        <v>52.738534038473396</v>
      </c>
      <c r="AK289">
        <f t="shared" si="154"/>
        <v>6560.7823076923087</v>
      </c>
      <c r="AL289">
        <f t="shared" si="171"/>
        <v>8.0352970773378118E-3</v>
      </c>
      <c r="AM289">
        <f t="shared" si="172"/>
        <v>8.0384520572552975E-3</v>
      </c>
      <c r="AN289" s="10" t="str">
        <f t="shared" si="173"/>
        <v>DOWN</v>
      </c>
      <c r="AO289" s="10" t="str">
        <f t="shared" si="174"/>
        <v>DOWN</v>
      </c>
      <c r="AP289" s="6" t="str">
        <f t="shared" si="175"/>
        <v>NEGATIVE</v>
      </c>
      <c r="AQ289" cm="1">
        <f t="array" ref="AQ289">IFERROR(VALUE(_xll.BDP($B289,"INTERVAL_exp_MOV_AVG","CALC_INTERVAL","520D","TECH_STUDIES_PARAM1_OVERRIDE",100,"USE_PREVIOUS_BUSINESS_DAY","N")),"")</f>
        <v>53.432312450521124</v>
      </c>
      <c r="AR289">
        <f t="shared" si="155"/>
        <v>6773.0064518682802</v>
      </c>
      <c r="AS289" cm="1">
        <f t="array" ref="AS289">IFERROR(VALUE(_xll.BDP($B289,"INTERVAL_exp_MOV_AVG","CALC_INTERVAL","520D","TECH_STUDIES_PARAM1_OVERRIDE",100,"USE_PREVIOUS_BUSINESS_DAY","Y")),"")</f>
        <v>53.446300636347154</v>
      </c>
      <c r="AT289">
        <f t="shared" si="156"/>
        <v>6769.6039787132295</v>
      </c>
      <c r="AU289">
        <f t="shared" si="176"/>
        <v>7.8890095307353868E-3</v>
      </c>
      <c r="AV289">
        <f t="shared" si="177"/>
        <v>7.8950409513476819E-3</v>
      </c>
      <c r="AW289" s="11" t="str">
        <f t="shared" si="178"/>
        <v>DOWN</v>
      </c>
      <c r="AX289" s="11" t="str">
        <f t="shared" si="179"/>
        <v>DOWN</v>
      </c>
      <c r="AY289" s="6" t="str">
        <f t="shared" si="180"/>
        <v>NEGATIVE</v>
      </c>
      <c r="AZ289" s="12" cm="1">
        <f t="array" ref="AZ289">_xll.BDP($B289, "INTERVAL_RSI", "TECH_STUDIES_PARAM1_OVERRIDE", "5", "PERIODICITY_OVERRIDE", "W")</f>
        <v>36.497822323665524</v>
      </c>
      <c r="BA289" cm="1">
        <f t="array" ref="BA289">IFERROR(VALUE(_xll.BDP($B289,"INTERVAL_MAE_MOV_AVG","CALC_INTERVAL","520D","TECH_STUDIES_PARAM1_OVERRIDE",31,"USE_PREVIOUS_BUSINESS_DAY","N")),"")</f>
        <v>54.247741989627968</v>
      </c>
      <c r="BB289" cm="1">
        <f t="array" ref="BB289">IFERROR(VALUE(_xll.BDP($B289,"INTERVAL_MAE_MOV_AVG","CALC_INTERVAL","760D","TECH_STUDIES_PARAM1_OVERRIDE",200,"USE_PREVIOUS_BUSINESS_DAY","N")),"")</f>
        <v>52.44284730409116</v>
      </c>
      <c r="BC289" s="13">
        <f t="shared" si="181"/>
        <v>-2.7793635906840919E-2</v>
      </c>
      <c r="BD289" s="13">
        <f t="shared" si="182"/>
        <v>-2.7543519558360874E-2</v>
      </c>
      <c r="BE289" s="13">
        <f t="shared" si="183"/>
        <v>5.6662197265109349E-3</v>
      </c>
      <c r="BF289" s="14" cm="1">
        <f t="array" ref="BF289">VALUE(_xll.BDP($B289,"INTERVAL_DATE_OF_CALC_HI","CALC_INTERVAL","3M"))</f>
        <v>46028</v>
      </c>
      <c r="BG289" s="14" cm="1">
        <f t="array" ref="BG289">VALUE(_xll.BDP($B289,"INTERVAL_DATE_OF_CALC_LO","CALC_INTERVAL","3M"))</f>
        <v>45981</v>
      </c>
      <c r="BH289" s="14" cm="1">
        <f t="array" ref="BH289">VALUE(_xll.BDP($B289,"INTERVAL_DATE_OF_CALC_HI","CALC_INTERVAL","1M"))</f>
        <v>46034</v>
      </c>
      <c r="BI289" s="14" cm="1">
        <f t="array" ref="BI289">VALUE(_xll.BDP($B289,"INTERVAL_DATE_OF_CALC_LO","CALC_INTERVAL","1M"))</f>
        <v>46064</v>
      </c>
      <c r="BJ289" s="15">
        <f>$F289-MIN(_xll.BDP("NYA Index","RSI_14D"),_xll.BDP("RSP US Equity","RSI_14D"))</f>
        <v>-25.291879679479877</v>
      </c>
    </row>
    <row r="290" spans="1:62" x14ac:dyDescent="0.25">
      <c r="A290" s="11">
        <v>289</v>
      </c>
      <c r="B290" s="26" t="s">
        <v>528</v>
      </c>
      <c r="C290" s="1" t="s">
        <v>931</v>
      </c>
      <c r="D290" s="1" t="s">
        <v>308</v>
      </c>
      <c r="E290" s="11" t="s">
        <v>787</v>
      </c>
      <c r="F290">
        <f>IFERROR(VALUE((_xll.BDP($B290,"interval_rsi","tech_studies_param1_override",14))),"")</f>
        <v>74.871540905449862</v>
      </c>
      <c r="G290">
        <f t="shared" si="146"/>
        <v>52.525531939815814</v>
      </c>
      <c r="H290">
        <f t="shared" si="157"/>
        <v>1</v>
      </c>
      <c r="I290" cm="1">
        <f t="array" ref="I290">IFERROR(VALUE(_xll.BDP($B290,"px_last")),"")</f>
        <v>174.84</v>
      </c>
      <c r="J290">
        <f t="shared" si="147"/>
        <v>6941.47</v>
      </c>
      <c r="K290" cm="1">
        <f t="array" ref="K290">IFERROR(VALUE(_xll.BDP($B290,"PX_YEST_CLOSE")),"")</f>
        <v>173.91</v>
      </c>
      <c r="L290">
        <f t="shared" si="148"/>
        <v>6941.81</v>
      </c>
      <c r="M290">
        <f t="shared" si="158"/>
        <v>2.5187748416401711E-2</v>
      </c>
      <c r="N290">
        <f t="shared" si="159"/>
        <v>2.5052543933066447E-2</v>
      </c>
      <c r="O290" cm="1">
        <f t="array" ref="O290">IFERROR(VALUE(_xll.BDP($B290,"INTERVAL_MAE_MOV_AVG","CALC_INTERVAL","520D","TECH_STUDIES_PARAM1_OVERRIDE",50,"USE_PREVIOUS_BUSINESS_DAY","N")),"")</f>
        <v>161.03571463375781</v>
      </c>
      <c r="P290">
        <f t="shared" si="149"/>
        <v>6894.0953999999992</v>
      </c>
      <c r="Q290" cm="1">
        <f t="array" ref="Q290">IFERROR(VALUE(_xll.BDP($B290,"INTERVAL_MAE_MOV_AVG","CALC_INTERVAL","520D","TECH_STUDIES_PARAM1_OVERRIDE",50,"USE_PREVIOUS_BUSINESS_DAY","Y")),"")</f>
        <v>160.6022299752</v>
      </c>
      <c r="R290">
        <f t="shared" si="150"/>
        <v>6892.2477999999992</v>
      </c>
      <c r="S290">
        <f t="shared" si="160"/>
        <v>2.3358498148104801E-2</v>
      </c>
      <c r="T290">
        <f t="shared" si="161"/>
        <v>2.3301865318191263E-2</v>
      </c>
      <c r="U290" s="11" t="str">
        <f t="shared" si="162"/>
        <v>POSITIVE</v>
      </c>
      <c r="V290" s="11" t="str">
        <f t="shared" si="163"/>
        <v/>
      </c>
      <c r="W290" s="11" t="str">
        <f t="shared" si="164"/>
        <v>UP</v>
      </c>
      <c r="X290" s="6" t="str">
        <f t="shared" si="165"/>
        <v>POSITIVE</v>
      </c>
      <c r="Y290" cm="1">
        <f t="array" ref="Y290">IFERROR(VALUE(_xll.BDP($B290,"INTERVAL_MAE_MOV_AVG","CALC_INTERVAL","520D","TECH_STUDIES_PARAM1_OVERRIDE",65,"USE_PREVIOUS_BUSINESS_DAY","N")),"")</f>
        <v>158.78122620504445</v>
      </c>
      <c r="Z290">
        <f t="shared" si="151"/>
        <v>6856.0226153846133</v>
      </c>
      <c r="AA290" cm="1">
        <f t="array" ref="AA290">IFERROR(VALUE(_xll.BDP($B290,"INTERVAL_MAE_MOV_AVG","CALC_INTERVAL","520D","TECH_STUDIES_PARAM1_OVERRIDE",65,"USE_PREVIOUS_BUSINESS_DAY","Y")),"")</f>
        <v>158.43091111538465</v>
      </c>
      <c r="AB290">
        <f t="shared" si="152"/>
        <v>6852.6203076923057</v>
      </c>
      <c r="AC290">
        <f t="shared" si="166"/>
        <v>2.3159379003322766E-2</v>
      </c>
      <c r="AD290">
        <f t="shared" si="167"/>
        <v>2.3119756239454916E-2</v>
      </c>
      <c r="AE290" s="10" t="str">
        <f t="shared" si="168"/>
        <v>UP</v>
      </c>
      <c r="AF290" s="10" t="str">
        <f t="shared" si="169"/>
        <v>UP</v>
      </c>
      <c r="AG290" s="6" t="str">
        <f t="shared" si="170"/>
        <v>POSITIVE</v>
      </c>
      <c r="AH290" cm="1">
        <f t="array" ref="AH290">IFERROR(VALUE(_xll.BDP($B290,"INTERVAL_MAE_MOV_AVG","CALC_INTERVAL","65W","PERIODICITY_OVERRIDE","W","TECH_STUDIES_PARAM1_OVERRIDE",39,"USE_PREVIOUS_BUSINESS_DAY","N")),"")</f>
        <v>152.95682129744239</v>
      </c>
      <c r="AI290">
        <f t="shared" si="153"/>
        <v>6560.7735897435905</v>
      </c>
      <c r="AJ290" cm="1">
        <f t="array" ref="AJ290">IFERROR(VALUE(_xll.BDP($B290,"INTERVAL_MAE_MOV_AVG","CALC_INTERVAL","65W","PERIODICITY_OVERRIDE","W","TECH_STUDIES_PARAM1_OVERRIDE",39,"USE_PREVIOUS_BUSINESS_DAY","Y")),"")</f>
        <v>152.93297523749649</v>
      </c>
      <c r="AK290">
        <f t="shared" si="154"/>
        <v>6560.7823076923087</v>
      </c>
      <c r="AL290">
        <f t="shared" si="171"/>
        <v>2.3313839321716372E-2</v>
      </c>
      <c r="AM290">
        <f t="shared" si="172"/>
        <v>2.3310173705685593E-2</v>
      </c>
      <c r="AN290" s="10" t="str">
        <f t="shared" si="173"/>
        <v>UP</v>
      </c>
      <c r="AO290" s="10" t="str">
        <f t="shared" si="174"/>
        <v>UP</v>
      </c>
      <c r="AP290" s="6" t="str">
        <f t="shared" si="175"/>
        <v>POSITIVE</v>
      </c>
      <c r="AQ290" cm="1">
        <f t="array" ref="AQ290">IFERROR(VALUE(_xll.BDP($B290,"INTERVAL_exp_MOV_AVG","CALC_INTERVAL","520D","TECH_STUDIES_PARAM1_OVERRIDE",100,"USE_PREVIOUS_BUSINESS_DAY","N")),"")</f>
        <v>158.02308810982777</v>
      </c>
      <c r="AR290">
        <f t="shared" si="155"/>
        <v>6773.0064518682802</v>
      </c>
      <c r="AS290" cm="1">
        <f t="array" ref="AS290">IFERROR(VALUE(_xll.BDP($B290,"INTERVAL_exp_MOV_AVG","CALC_INTERVAL","520D","TECH_STUDIES_PARAM1_OVERRIDE",100,"USE_PREVIOUS_BUSINESS_DAY","Y")),"")</f>
        <v>157.68337521520218</v>
      </c>
      <c r="AT290">
        <f t="shared" si="156"/>
        <v>6769.6039787132295</v>
      </c>
      <c r="AU290">
        <f t="shared" si="176"/>
        <v>2.3331306301389739E-2</v>
      </c>
      <c r="AV290">
        <f t="shared" si="177"/>
        <v>2.3292850765130685E-2</v>
      </c>
      <c r="AW290" s="11" t="str">
        <f t="shared" si="178"/>
        <v>UP</v>
      </c>
      <c r="AX290" s="11" t="str">
        <f t="shared" si="179"/>
        <v>UP</v>
      </c>
      <c r="AY290" s="6" t="str">
        <f t="shared" si="180"/>
        <v>POSITIVE</v>
      </c>
      <c r="AZ290" s="12" cm="1">
        <f t="array" ref="AZ290">_xll.BDP($B290, "INTERVAL_RSI", "TECH_STUDIES_PARAM1_OVERRIDE", "5", "PERIODICITY_OVERRIDE", "W")</f>
        <v>87.455704139207683</v>
      </c>
      <c r="BA290" cm="1">
        <f t="array" ref="BA290">IFERROR(VALUE(_xll.BDP($B290,"INTERVAL_MAE_MOV_AVG","CALC_INTERVAL","520D","TECH_STUDIES_PARAM1_OVERRIDE",31,"USE_PREVIOUS_BUSINESS_DAY","N")),"")</f>
        <v>164.76806439799648</v>
      </c>
      <c r="BB290" cm="1">
        <f t="array" ref="BB290">IFERROR(VALUE(_xll.BDP($B290,"INTERVAL_MAE_MOV_AVG","CALC_INTERVAL","760D","TECH_STUDIES_PARAM1_OVERRIDE",200,"USE_PREVIOUS_BUSINESS_DAY","N")),"")</f>
        <v>151.13138881754958</v>
      </c>
      <c r="BC290" s="13">
        <f t="shared" si="181"/>
        <v>6.1127959709927904E-2</v>
      </c>
      <c r="BD290" s="13">
        <f t="shared" si="182"/>
        <v>8.5721887207674152E-2</v>
      </c>
      <c r="BE290" s="13">
        <f t="shared" si="183"/>
        <v>0.15687417000496295</v>
      </c>
      <c r="BF290" s="14" cm="1">
        <f t="array" ref="BF290">VALUE(_xll.BDP($B290,"INTERVAL_DATE_OF_CALC_HI","CALC_INTERVAL","3M"))</f>
        <v>46064</v>
      </c>
      <c r="BG290" s="14" cm="1">
        <f t="array" ref="BG290">VALUE(_xll.BDP($B290,"INTERVAL_DATE_OF_CALC_LO","CALC_INTERVAL","3M"))</f>
        <v>45981</v>
      </c>
      <c r="BH290" s="14" cm="1">
        <f t="array" ref="BH290">VALUE(_xll.BDP($B290,"INTERVAL_DATE_OF_CALC_HI","CALC_INTERVAL","1M"))</f>
        <v>46064</v>
      </c>
      <c r="BI290" s="14" cm="1">
        <f t="array" ref="BI290">VALUE(_xll.BDP($B290,"INTERVAL_DATE_OF_CALC_LO","CALC_INTERVAL","1M"))</f>
        <v>46034</v>
      </c>
      <c r="BJ290" s="15">
        <f>$F290-MIN(_xll.BDP("NYA Index","RSI_14D"),_xll.BDP("RSP US Equity","RSI_14D"))</f>
        <v>8.5257767452936122</v>
      </c>
    </row>
    <row r="291" spans="1:62" x14ac:dyDescent="0.25">
      <c r="A291" s="11">
        <v>290</v>
      </c>
      <c r="B291" s="26" t="s">
        <v>529</v>
      </c>
      <c r="C291" s="1" t="s">
        <v>932</v>
      </c>
      <c r="D291" s="1" t="s">
        <v>308</v>
      </c>
      <c r="E291" s="11" t="s">
        <v>787</v>
      </c>
      <c r="F291">
        <f>IFERROR(VALUE((_xll.BDP($B291,"interval_rsi","tech_studies_param1_override",14))),"")</f>
        <v>48.641085875294927</v>
      </c>
      <c r="G291">
        <f t="shared" si="146"/>
        <v>52.525531939815814</v>
      </c>
      <c r="H291">
        <f t="shared" si="157"/>
        <v>0</v>
      </c>
      <c r="I291" cm="1">
        <f t="array" ref="I291">IFERROR(VALUE(_xll.BDP($B291,"px_last")),"")</f>
        <v>142.97</v>
      </c>
      <c r="J291">
        <f t="shared" si="147"/>
        <v>6941.47</v>
      </c>
      <c r="K291" cm="1">
        <f t="array" ref="K291">IFERROR(VALUE(_xll.BDP($B291,"PX_YEST_CLOSE")),"")</f>
        <v>142.55000000000001</v>
      </c>
      <c r="L291">
        <f t="shared" si="148"/>
        <v>6941.81</v>
      </c>
      <c r="M291">
        <f t="shared" si="158"/>
        <v>2.0596501893691103E-2</v>
      </c>
      <c r="N291">
        <f t="shared" si="159"/>
        <v>2.0534990153864771E-2</v>
      </c>
      <c r="O291" cm="1">
        <f t="array" ref="O291">IFERROR(VALUE(_xll.BDP($B291,"INTERVAL_MAE_MOV_AVG","CALC_INTERVAL","520D","TECH_STUDIES_PARAM1_OVERRIDE",50,"USE_PREVIOUS_BUSINESS_DAY","N")),"")</f>
        <v>144.59299391431406</v>
      </c>
      <c r="P291">
        <f t="shared" si="149"/>
        <v>6894.0953999999992</v>
      </c>
      <c r="Q291" cm="1">
        <f t="array" ref="Q291">IFERROR(VALUE(_xll.BDP($B291,"INTERVAL_MAE_MOV_AVG","CALC_INTERVAL","520D","TECH_STUDIES_PARAM1_OVERRIDE",50,"USE_PREVIOUS_BUSINESS_DAY","Y")),"")</f>
        <v>144.5914633813</v>
      </c>
      <c r="R291">
        <f t="shared" si="150"/>
        <v>6892.2477999999992</v>
      </c>
      <c r="S291">
        <f t="shared" si="160"/>
        <v>2.0973454169826846E-2</v>
      </c>
      <c r="T291">
        <f t="shared" si="161"/>
        <v>2.0978854443001894E-2</v>
      </c>
      <c r="U291" s="11" t="str">
        <f t="shared" si="162"/>
        <v>NEGATIVE</v>
      </c>
      <c r="V291" s="11" t="str">
        <f t="shared" si="163"/>
        <v/>
      </c>
      <c r="W291" s="11" t="str">
        <f t="shared" si="164"/>
        <v>DOWN</v>
      </c>
      <c r="X291" s="6" t="str">
        <f t="shared" si="165"/>
        <v>NEGATIVE</v>
      </c>
      <c r="Y291" cm="1">
        <f t="array" ref="Y291">IFERROR(VALUE(_xll.BDP($B291,"INTERVAL_MAE_MOV_AVG","CALC_INTERVAL","520D","TECH_STUDIES_PARAM1_OVERRIDE",65,"USE_PREVIOUS_BUSINESS_DAY","N")),"")</f>
        <v>143.97974748208776</v>
      </c>
      <c r="Z291">
        <f t="shared" si="151"/>
        <v>6856.0226153846133</v>
      </c>
      <c r="AA291" cm="1">
        <f t="array" ref="AA291">IFERROR(VALUE(_xll.BDP($B291,"INTERVAL_MAE_MOV_AVG","CALC_INTERVAL","520D","TECH_STUDIES_PARAM1_OVERRIDE",65,"USE_PREVIOUS_BUSINESS_DAY","Y")),"")</f>
        <v>144.00115131653851</v>
      </c>
      <c r="AB291">
        <f t="shared" si="152"/>
        <v>6852.6203076923057</v>
      </c>
      <c r="AC291">
        <f t="shared" si="166"/>
        <v>2.1000477326169189E-2</v>
      </c>
      <c r="AD291">
        <f t="shared" si="167"/>
        <v>2.1014027459670018E-2</v>
      </c>
      <c r="AE291" s="10" t="str">
        <f t="shared" si="168"/>
        <v>DOWN</v>
      </c>
      <c r="AF291" s="10" t="str">
        <f t="shared" si="169"/>
        <v>DOWN</v>
      </c>
      <c r="AG291" s="6" t="str">
        <f t="shared" si="170"/>
        <v>NEGATIVE</v>
      </c>
      <c r="AH291" cm="1">
        <f t="array" ref="AH291">IFERROR(VALUE(_xll.BDP($B291,"INTERVAL_MAE_MOV_AVG","CALC_INTERVAL","65W","PERIODICITY_OVERRIDE","W","TECH_STUDIES_PARAM1_OVERRIDE",39,"USE_PREVIOUS_BUSINESS_DAY","N")),"")</f>
        <v>135.97620547419308</v>
      </c>
      <c r="AI291">
        <f t="shared" si="153"/>
        <v>6560.7735897435905</v>
      </c>
      <c r="AJ291" cm="1">
        <f t="array" ref="AJ291">IFERROR(VALUE(_xll.BDP($B291,"INTERVAL_MAE_MOV_AVG","CALC_INTERVAL","65W","PERIODICITY_OVERRIDE","W","TECH_STUDIES_PARAM1_OVERRIDE",39,"USE_PREVIOUS_BUSINESS_DAY","Y")),"")</f>
        <v>135.96543621212376</v>
      </c>
      <c r="AK291">
        <f t="shared" si="154"/>
        <v>6560.7823076923087</v>
      </c>
      <c r="AL291">
        <f t="shared" si="171"/>
        <v>2.0725636026636202E-2</v>
      </c>
      <c r="AM291">
        <f t="shared" si="172"/>
        <v>2.072396702641827E-2</v>
      </c>
      <c r="AN291" s="10" t="str">
        <f t="shared" si="173"/>
        <v>UP</v>
      </c>
      <c r="AO291" s="10" t="str">
        <f t="shared" si="174"/>
        <v>UP</v>
      </c>
      <c r="AP291" s="6" t="str">
        <f t="shared" si="175"/>
        <v>NEGATIVE</v>
      </c>
      <c r="AQ291" cm="1">
        <f t="array" ref="AQ291">IFERROR(VALUE(_xll.BDP($B291,"INTERVAL_exp_MOV_AVG","CALC_INTERVAL","520D","TECH_STUDIES_PARAM1_OVERRIDE",100,"USE_PREVIOUS_BUSINESS_DAY","N")),"")</f>
        <v>141.58760711346781</v>
      </c>
      <c r="AR291">
        <f t="shared" si="155"/>
        <v>6773.0064518682802</v>
      </c>
      <c r="AS291" cm="1">
        <f t="array" ref="AS291">IFERROR(VALUE(_xll.BDP($B291,"INTERVAL_exp_MOV_AVG","CALC_INTERVAL","520D","TECH_STUDIES_PARAM1_OVERRIDE",100,"USE_PREVIOUS_BUSINESS_DAY","Y")),"")</f>
        <v>141.55969451115925</v>
      </c>
      <c r="AT291">
        <f t="shared" si="156"/>
        <v>6769.6039787132295</v>
      </c>
      <c r="AU291">
        <f t="shared" si="176"/>
        <v>2.0904691014196803E-2</v>
      </c>
      <c r="AV291">
        <f t="shared" si="177"/>
        <v>2.0911074703378291E-2</v>
      </c>
      <c r="AW291" s="11" t="str">
        <f t="shared" si="178"/>
        <v>UP</v>
      </c>
      <c r="AX291" s="11" t="str">
        <f t="shared" si="179"/>
        <v>DOWN</v>
      </c>
      <c r="AY291" s="6" t="str">
        <f t="shared" si="180"/>
        <v>NEGATIVE</v>
      </c>
      <c r="AZ291" s="12" cm="1">
        <f t="array" ref="AZ291">_xll.BDP($B291, "INTERVAL_RSI", "TECH_STUDIES_PARAM1_OVERRIDE", "5", "PERIODICITY_OVERRIDE", "W")</f>
        <v>45.59663035134465</v>
      </c>
      <c r="BA291" cm="1">
        <f t="array" ref="BA291">IFERROR(VALUE(_xll.BDP($B291,"INTERVAL_MAE_MOV_AVG","CALC_INTERVAL","520D","TECH_STUDIES_PARAM1_OVERRIDE",31,"USE_PREVIOUS_BUSINESS_DAY","N")),"")</f>
        <v>144.43903229744205</v>
      </c>
      <c r="BB291" cm="1">
        <f t="array" ref="BB291">IFERROR(VALUE(_xll.BDP($B291,"INTERVAL_MAE_MOV_AVG","CALC_INTERVAL","760D","TECH_STUDIES_PARAM1_OVERRIDE",200,"USE_PREVIOUS_BUSINESS_DAY","N")),"")</f>
        <v>134.08425599104544</v>
      </c>
      <c r="BC291" s="13">
        <f t="shared" si="181"/>
        <v>-1.017060467711306E-2</v>
      </c>
      <c r="BD291" s="13">
        <f t="shared" si="182"/>
        <v>-1.1224568150762892E-2</v>
      </c>
      <c r="BE291" s="13">
        <f t="shared" si="183"/>
        <v>6.6269853557959779E-2</v>
      </c>
      <c r="BF291" s="14" cm="1">
        <f t="array" ref="BF291">VALUE(_xll.BDP($B291,"INTERVAL_DATE_OF_CALC_HI","CALC_INTERVAL","3M"))</f>
        <v>46050</v>
      </c>
      <c r="BG291" s="14" cm="1">
        <f t="array" ref="BG291">VALUE(_xll.BDP($B291,"INTERVAL_DATE_OF_CALC_LO","CALC_INTERVAL","3M"))</f>
        <v>46058</v>
      </c>
      <c r="BH291" s="14" cm="1">
        <f t="array" ref="BH291">VALUE(_xll.BDP($B291,"INTERVAL_DATE_OF_CALC_HI","CALC_INTERVAL","1M"))</f>
        <v>46050</v>
      </c>
      <c r="BI291" s="14" cm="1">
        <f t="array" ref="BI291">VALUE(_xll.BDP($B291,"INTERVAL_DATE_OF_CALC_LO","CALC_INTERVAL","1M"))</f>
        <v>46058</v>
      </c>
      <c r="BJ291" s="15">
        <f>$F291-MIN(_xll.BDP("NYA Index","RSI_14D"),_xll.BDP("RSP US Equity","RSI_14D"))</f>
        <v>-17.704678284861323</v>
      </c>
    </row>
    <row r="292" spans="1:62" x14ac:dyDescent="0.25">
      <c r="A292" s="11">
        <v>291</v>
      </c>
      <c r="B292" s="26" t="s">
        <v>530</v>
      </c>
      <c r="C292" s="1" t="s">
        <v>933</v>
      </c>
      <c r="D292" s="1" t="s">
        <v>308</v>
      </c>
      <c r="E292" s="11" t="s">
        <v>787</v>
      </c>
      <c r="F292">
        <f>IFERROR(VALUE((_xll.BDP($B292,"interval_rsi","tech_studies_param1_override",14))),"")</f>
        <v>78.345819692238081</v>
      </c>
      <c r="G292">
        <f t="shared" si="146"/>
        <v>52.525531939815814</v>
      </c>
      <c r="H292">
        <f t="shared" si="157"/>
        <v>1</v>
      </c>
      <c r="I292" cm="1">
        <f t="array" ref="I292">IFERROR(VALUE(_xll.BDP($B292,"px_last")),"")</f>
        <v>88.4</v>
      </c>
      <c r="J292">
        <f t="shared" si="147"/>
        <v>6941.47</v>
      </c>
      <c r="K292" cm="1">
        <f t="array" ref="K292">IFERROR(VALUE(_xll.BDP($B292,"PX_YEST_CLOSE")),"")</f>
        <v>87.15</v>
      </c>
      <c r="L292">
        <f t="shared" si="148"/>
        <v>6941.81</v>
      </c>
      <c r="M292">
        <f t="shared" si="158"/>
        <v>1.2735054678619948E-2</v>
      </c>
      <c r="N292">
        <f t="shared" si="159"/>
        <v>1.2554362623004663E-2</v>
      </c>
      <c r="O292" cm="1">
        <f t="array" ref="O292">IFERROR(VALUE(_xll.BDP($B292,"INTERVAL_MAE_MOV_AVG","CALC_INTERVAL","520D","TECH_STUDIES_PARAM1_OVERRIDE",50,"USE_PREVIOUS_BUSINESS_DAY","N")),"")</f>
        <v>80.658356946117578</v>
      </c>
      <c r="P292">
        <f t="shared" si="149"/>
        <v>6894.0953999999992</v>
      </c>
      <c r="Q292" cm="1">
        <f t="array" ref="Q292">IFERROR(VALUE(_xll.BDP($B292,"INTERVAL_MAE_MOV_AVG","CALC_INTERVAL","520D","TECH_STUDIES_PARAM1_OVERRIDE",50,"USE_PREVIOUS_BUSINESS_DAY","Y")),"")</f>
        <v>80.465122799</v>
      </c>
      <c r="R292">
        <f t="shared" si="150"/>
        <v>6892.2477999999992</v>
      </c>
      <c r="S292">
        <f t="shared" si="160"/>
        <v>1.1699628778870335E-2</v>
      </c>
      <c r="T292">
        <f t="shared" si="161"/>
        <v>1.1674728642083939E-2</v>
      </c>
      <c r="U292" s="11" t="str">
        <f t="shared" si="162"/>
        <v>POSITIVE</v>
      </c>
      <c r="V292" s="11" t="str">
        <f t="shared" si="163"/>
        <v/>
      </c>
      <c r="W292" s="11" t="str">
        <f t="shared" si="164"/>
        <v>UP</v>
      </c>
      <c r="X292" s="6" t="str">
        <f t="shared" si="165"/>
        <v>POSITIVE</v>
      </c>
      <c r="Y292" cm="1">
        <f t="array" ref="Y292">IFERROR(VALUE(_xll.BDP($B292,"INTERVAL_MAE_MOV_AVG","CALC_INTERVAL","520D","TECH_STUDIES_PARAM1_OVERRIDE",65,"USE_PREVIOUS_BUSINESS_DAY","N")),"")</f>
        <v>79.766557760859683</v>
      </c>
      <c r="Z292">
        <f t="shared" si="151"/>
        <v>6856.0226153846133</v>
      </c>
      <c r="AA292" cm="1">
        <f t="array" ref="AA292">IFERROR(VALUE(_xll.BDP($B292,"INTERVAL_MAE_MOV_AVG","CALC_INTERVAL","520D","TECH_STUDIES_PARAM1_OVERRIDE",65,"USE_PREVIOUS_BUSINESS_DAY","Y")),"")</f>
        <v>79.560377731230773</v>
      </c>
      <c r="AB292">
        <f t="shared" si="152"/>
        <v>6852.6203076923057</v>
      </c>
      <c r="AC292">
        <f t="shared" si="166"/>
        <v>1.1634523722524928E-2</v>
      </c>
      <c r="AD292">
        <f t="shared" si="167"/>
        <v>1.1610212467473423E-2</v>
      </c>
      <c r="AE292" s="10" t="str">
        <f t="shared" si="168"/>
        <v>UP</v>
      </c>
      <c r="AF292" s="10" t="str">
        <f t="shared" si="169"/>
        <v>UP</v>
      </c>
      <c r="AG292" s="6" t="str">
        <f t="shared" si="170"/>
        <v>POSITIVE</v>
      </c>
      <c r="AH292" cm="1">
        <f t="array" ref="AH292">IFERROR(VALUE(_xll.BDP($B292,"INTERVAL_MAE_MOV_AVG","CALC_INTERVAL","65W","PERIODICITY_OVERRIDE","W","TECH_STUDIES_PARAM1_OVERRIDE",39,"USE_PREVIOUS_BUSINESS_DAY","N")),"")</f>
        <v>79.673635268591212</v>
      </c>
      <c r="AI292">
        <f t="shared" si="153"/>
        <v>6560.7735897435905</v>
      </c>
      <c r="AJ292" cm="1">
        <f t="array" ref="AJ292">IFERROR(VALUE(_xll.BDP($B292,"INTERVAL_MAE_MOV_AVG","CALC_INTERVAL","65W","PERIODICITY_OVERRIDE","W","TECH_STUDIES_PARAM1_OVERRIDE",39,"USE_PREVIOUS_BUSINESS_DAY","Y")),"")</f>
        <v>79.64158394741483</v>
      </c>
      <c r="AK292">
        <f t="shared" si="154"/>
        <v>6560.7823076923087</v>
      </c>
      <c r="AL292">
        <f t="shared" si="171"/>
        <v>1.2143939152715836E-2</v>
      </c>
      <c r="AM292">
        <f t="shared" si="172"/>
        <v>1.2139037726345165E-2</v>
      </c>
      <c r="AN292" s="10" t="str">
        <f t="shared" si="173"/>
        <v>UP</v>
      </c>
      <c r="AO292" s="10" t="str">
        <f t="shared" si="174"/>
        <v>UP</v>
      </c>
      <c r="AP292" s="6" t="str">
        <f t="shared" si="175"/>
        <v>POSITIVE</v>
      </c>
      <c r="AQ292" cm="1">
        <f t="array" ref="AQ292">IFERROR(VALUE(_xll.BDP($B292,"INTERVAL_exp_MOV_AVG","CALC_INTERVAL","520D","TECH_STUDIES_PARAM1_OVERRIDE",100,"USE_PREVIOUS_BUSINESS_DAY","N")),"")</f>
        <v>80.25251953797283</v>
      </c>
      <c r="AR292">
        <f t="shared" si="155"/>
        <v>6773.0064518682802</v>
      </c>
      <c r="AS292" cm="1">
        <f t="array" ref="AS292">IFERROR(VALUE(_xll.BDP($B292,"INTERVAL_exp_MOV_AVG","CALC_INTERVAL","520D","TECH_STUDIES_PARAM1_OVERRIDE",100,"USE_PREVIOUS_BUSINESS_DAY","Y")),"")</f>
        <v>80.08792541150919</v>
      </c>
      <c r="AT292">
        <f t="shared" si="156"/>
        <v>6769.6039787132295</v>
      </c>
      <c r="AU292">
        <f t="shared" si="176"/>
        <v>1.184887687739258E-2</v>
      </c>
      <c r="AV292">
        <f t="shared" si="177"/>
        <v>1.183051854485768E-2</v>
      </c>
      <c r="AW292" s="11" t="str">
        <f t="shared" si="178"/>
        <v>UP</v>
      </c>
      <c r="AX292" s="11" t="str">
        <f t="shared" si="179"/>
        <v>UP</v>
      </c>
      <c r="AY292" s="6" t="str">
        <f t="shared" si="180"/>
        <v>POSITIVE</v>
      </c>
      <c r="AZ292" s="12" cm="1">
        <f t="array" ref="AZ292">_xll.BDP($B292, "INTERVAL_RSI", "TECH_STUDIES_PARAM1_OVERRIDE", "5", "PERIODICITY_OVERRIDE", "W")</f>
        <v>93.263584481184267</v>
      </c>
      <c r="BA292" cm="1">
        <f t="array" ref="BA292">IFERROR(VALUE(_xll.BDP($B292,"INTERVAL_MAE_MOV_AVG","CALC_INTERVAL","520D","TECH_STUDIES_PARAM1_OVERRIDE",31,"USE_PREVIOUS_BUSINESS_DAY","N")),"")</f>
        <v>82.193871016963826</v>
      </c>
      <c r="BB292" cm="1">
        <f t="array" ref="BB292">IFERROR(VALUE(_xll.BDP($B292,"INTERVAL_MAE_MOV_AVG","CALC_INTERVAL","760D","TECH_STUDIES_PARAM1_OVERRIDE",200,"USE_PREVIOUS_BUSINESS_DAY","N")),"")</f>
        <v>79.400684131560595</v>
      </c>
      <c r="BC292" s="13">
        <f t="shared" si="181"/>
        <v>7.5505982456469445E-2</v>
      </c>
      <c r="BD292" s="13">
        <f t="shared" si="182"/>
        <v>9.5980668922553081E-2</v>
      </c>
      <c r="BE292" s="13">
        <f t="shared" si="183"/>
        <v>0.11334053310583903</v>
      </c>
      <c r="BF292" s="14" cm="1">
        <f t="array" ref="BF292">VALUE(_xll.BDP($B292,"INTERVAL_DATE_OF_CALC_HI","CALC_INTERVAL","3M"))</f>
        <v>46064</v>
      </c>
      <c r="BG292" s="14" cm="1">
        <f t="array" ref="BG292">VALUE(_xll.BDP($B292,"INTERVAL_DATE_OF_CALC_LO","CALC_INTERVAL","3M"))</f>
        <v>45980</v>
      </c>
      <c r="BH292" s="14" cm="1">
        <f t="array" ref="BH292">VALUE(_xll.BDP($B292,"INTERVAL_DATE_OF_CALC_HI","CALC_INTERVAL","1M"))</f>
        <v>46064</v>
      </c>
      <c r="BI292" s="14" cm="1">
        <f t="array" ref="BI292">VALUE(_xll.BDP($B292,"INTERVAL_DATE_OF_CALC_LO","CALC_INTERVAL","1M"))</f>
        <v>46034</v>
      </c>
      <c r="BJ292" s="15">
        <f>$F292-MIN(_xll.BDP("NYA Index","RSI_14D"),_xll.BDP("RSP US Equity","RSI_14D"))</f>
        <v>12.000055532081831</v>
      </c>
    </row>
    <row r="293" spans="1:62" x14ac:dyDescent="0.25">
      <c r="A293" s="11">
        <v>292</v>
      </c>
      <c r="B293" s="26" t="s">
        <v>531</v>
      </c>
      <c r="C293" s="1" t="s">
        <v>934</v>
      </c>
      <c r="D293" s="1" t="s">
        <v>308</v>
      </c>
      <c r="E293" s="11" t="s">
        <v>787</v>
      </c>
      <c r="F293">
        <f>IFERROR(VALUE((_xll.BDP($B293,"interval_rsi","tech_studies_param1_override",14))),"")</f>
        <v>66.997297896622285</v>
      </c>
      <c r="G293">
        <f t="shared" si="146"/>
        <v>52.525531939815814</v>
      </c>
      <c r="H293">
        <f t="shared" si="157"/>
        <v>1</v>
      </c>
      <c r="I293" cm="1">
        <f t="array" ref="I293">IFERROR(VALUE(_xll.BDP($B293,"px_last")),"")</f>
        <v>42.8</v>
      </c>
      <c r="J293">
        <f t="shared" si="147"/>
        <v>6941.47</v>
      </c>
      <c r="K293" cm="1">
        <f t="array" ref="K293">IFERROR(VALUE(_xll.BDP($B293,"PX_YEST_CLOSE")),"")</f>
        <v>42.84</v>
      </c>
      <c r="L293">
        <f t="shared" si="148"/>
        <v>6941.81</v>
      </c>
      <c r="M293">
        <f t="shared" si="158"/>
        <v>6.1658409529969874E-3</v>
      </c>
      <c r="N293">
        <f t="shared" si="159"/>
        <v>6.1713011448022922E-3</v>
      </c>
      <c r="O293" cm="1">
        <f t="array" ref="O293">IFERROR(VALUE(_xll.BDP($B293,"INTERVAL_MAE_MOV_AVG","CALC_INTERVAL","520D","TECH_STUDIES_PARAM1_OVERRIDE",50,"USE_PREVIOUS_BUSINESS_DAY","N")),"")</f>
        <v>40.863354832141219</v>
      </c>
      <c r="P293">
        <f t="shared" si="149"/>
        <v>6894.0953999999992</v>
      </c>
      <c r="Q293" cm="1">
        <f t="array" ref="Q293">IFERROR(VALUE(_xll.BDP($B293,"INTERVAL_MAE_MOV_AVG","CALC_INTERVAL","520D","TECH_STUDIES_PARAM1_OVERRIDE",50,"USE_PREVIOUS_BUSINESS_DAY","Y")),"")</f>
        <v>40.831743293200006</v>
      </c>
      <c r="R293">
        <f t="shared" si="150"/>
        <v>6892.2477999999992</v>
      </c>
      <c r="S293">
        <f t="shared" si="160"/>
        <v>5.9272975584499779E-3</v>
      </c>
      <c r="T293">
        <f t="shared" si="161"/>
        <v>5.9242999494591607E-3</v>
      </c>
      <c r="U293" s="11" t="str">
        <f t="shared" si="162"/>
        <v>POSITIVE</v>
      </c>
      <c r="V293" s="11" t="str">
        <f t="shared" si="163"/>
        <v/>
      </c>
      <c r="W293" s="11" t="str">
        <f t="shared" si="164"/>
        <v>UP</v>
      </c>
      <c r="X293" s="6" t="str">
        <f t="shared" si="165"/>
        <v>POSITIVE</v>
      </c>
      <c r="Y293" cm="1">
        <f t="array" ref="Y293">IFERROR(VALUE(_xll.BDP($B293,"INTERVAL_MAE_MOV_AVG","CALC_INTERVAL","520D","TECH_STUDIES_PARAM1_OVERRIDE",65,"USE_PREVIOUS_BUSINESS_DAY","N")),"")</f>
        <v>40.808407709031712</v>
      </c>
      <c r="Z293">
        <f t="shared" si="151"/>
        <v>6856.0226153846133</v>
      </c>
      <c r="AA293" cm="1">
        <f t="array" ref="AA293">IFERROR(VALUE(_xll.BDP($B293,"INTERVAL_MAE_MOV_AVG","CALC_INTERVAL","520D","TECH_STUDIES_PARAM1_OVERRIDE",65,"USE_PREVIOUS_BUSINESS_DAY","Y")),"")</f>
        <v>40.769785974769235</v>
      </c>
      <c r="AB293">
        <f t="shared" si="152"/>
        <v>6852.6203076923057</v>
      </c>
      <c r="AC293">
        <f t="shared" si="166"/>
        <v>5.9521985265129432E-3</v>
      </c>
      <c r="AD293">
        <f t="shared" si="167"/>
        <v>5.9495177237536018E-3</v>
      </c>
      <c r="AE293" s="10" t="str">
        <f t="shared" si="168"/>
        <v>UP</v>
      </c>
      <c r="AF293" s="10" t="str">
        <f t="shared" si="169"/>
        <v>UP</v>
      </c>
      <c r="AG293" s="6" t="str">
        <f t="shared" si="170"/>
        <v>POSITIVE</v>
      </c>
      <c r="AH293" cm="1">
        <f t="array" ref="AH293">IFERROR(VALUE(_xll.BDP($B293,"INTERVAL_MAE_MOV_AVG","CALC_INTERVAL","65W","PERIODICITY_OVERRIDE","W","TECH_STUDIES_PARAM1_OVERRIDE",39,"USE_PREVIOUS_BUSINESS_DAY","N")),"")</f>
        <v>40.993851940962081</v>
      </c>
      <c r="AI293">
        <f t="shared" si="153"/>
        <v>6560.7735897435905</v>
      </c>
      <c r="AJ293" cm="1">
        <f t="array" ref="AJ293">IFERROR(VALUE(_xll.BDP($B293,"INTERVAL_MAE_MOV_AVG","CALC_INTERVAL","65W","PERIODICITY_OVERRIDE","W","TECH_STUDIES_PARAM1_OVERRIDE",39,"USE_PREVIOUS_BUSINESS_DAY","Y")),"")</f>
        <v>40.994877601550272</v>
      </c>
      <c r="AK293">
        <f t="shared" si="154"/>
        <v>6560.7823076923087</v>
      </c>
      <c r="AL293">
        <f t="shared" si="171"/>
        <v>6.2483259603787382E-3</v>
      </c>
      <c r="AM293">
        <f t="shared" si="172"/>
        <v>6.2484739896772803E-3</v>
      </c>
      <c r="AN293" s="10" t="str">
        <f t="shared" si="173"/>
        <v>DOWN</v>
      </c>
      <c r="AO293" s="10" t="str">
        <f t="shared" si="174"/>
        <v>DOWN</v>
      </c>
      <c r="AP293" s="6" t="str">
        <f t="shared" si="175"/>
        <v>NEGATIVE</v>
      </c>
      <c r="AQ293" cm="1">
        <f t="array" ref="AQ293">IFERROR(VALUE(_xll.BDP($B293,"INTERVAL_exp_MOV_AVG","CALC_INTERVAL","520D","TECH_STUDIES_PARAM1_OVERRIDE",100,"USE_PREVIOUS_BUSINESS_DAY","N")),"")</f>
        <v>40.978360928766939</v>
      </c>
      <c r="AR293">
        <f t="shared" si="155"/>
        <v>6773.0064518682802</v>
      </c>
      <c r="AS293" cm="1">
        <f t="array" ref="AS293">IFERROR(VALUE(_xll.BDP($B293,"INTERVAL_exp_MOV_AVG","CALC_INTERVAL","520D","TECH_STUDIES_PARAM1_OVERRIDE",100,"USE_PREVIOUS_BUSINESS_DAY","Y")),"")</f>
        <v>40.941581023342273</v>
      </c>
      <c r="AT293">
        <f t="shared" si="156"/>
        <v>6769.6039787132295</v>
      </c>
      <c r="AU293">
        <f t="shared" si="176"/>
        <v>6.0502468467992353E-3</v>
      </c>
      <c r="AV293">
        <f t="shared" si="177"/>
        <v>6.0478546680251266E-3</v>
      </c>
      <c r="AW293" s="11" t="str">
        <f t="shared" si="178"/>
        <v>UP</v>
      </c>
      <c r="AX293" s="11" t="str">
        <f t="shared" si="179"/>
        <v>UP</v>
      </c>
      <c r="AY293" s="6" t="str">
        <f t="shared" si="180"/>
        <v>POSITIVE</v>
      </c>
      <c r="AZ293" s="12" cm="1">
        <f t="array" ref="AZ293">_xll.BDP($B293, "INTERVAL_RSI", "TECH_STUDIES_PARAM1_OVERRIDE", "5", "PERIODICITY_OVERRIDE", "W")</f>
        <v>74.486579639749891</v>
      </c>
      <c r="BA293" cm="1">
        <f t="array" ref="BA293">IFERROR(VALUE(_xll.BDP($B293,"INTERVAL_MAE_MOV_AVG","CALC_INTERVAL","520D","TECH_STUDIES_PARAM1_OVERRIDE",31,"USE_PREVIOUS_BUSINESS_DAY","N")),"")</f>
        <v>41.191612878614869</v>
      </c>
      <c r="BB293" cm="1">
        <f t="array" ref="BB293">IFERROR(VALUE(_xll.BDP($B293,"INTERVAL_MAE_MOV_AVG","CALC_INTERVAL","760D","TECH_STUDIES_PARAM1_OVERRIDE",200,"USE_PREVIOUS_BUSINESS_DAY","N")),"")</f>
        <v>40.878973491745334</v>
      </c>
      <c r="BC293" s="13">
        <f t="shared" si="181"/>
        <v>3.9046471089267287E-2</v>
      </c>
      <c r="BD293" s="13">
        <f t="shared" si="182"/>
        <v>4.7393200480336128E-2</v>
      </c>
      <c r="BE293" s="13">
        <f t="shared" si="183"/>
        <v>4.699302218639545E-2</v>
      </c>
      <c r="BF293" s="14" cm="1">
        <f t="array" ref="BF293">VALUE(_xll.BDP($B293,"INTERVAL_DATE_OF_CALC_HI","CALC_INTERVAL","3M"))</f>
        <v>46063</v>
      </c>
      <c r="BG293" s="14" cm="1">
        <f t="array" ref="BG293">VALUE(_xll.BDP($B293,"INTERVAL_DATE_OF_CALC_LO","CALC_INTERVAL","3M"))</f>
        <v>46010</v>
      </c>
      <c r="BH293" s="14" cm="1">
        <f t="array" ref="BH293">VALUE(_xll.BDP($B293,"INTERVAL_DATE_OF_CALC_HI","CALC_INTERVAL","1M"))</f>
        <v>46063</v>
      </c>
      <c r="BI293" s="14" cm="1">
        <f t="array" ref="BI293">VALUE(_xll.BDP($B293,"INTERVAL_DATE_OF_CALC_LO","CALC_INTERVAL","1M"))</f>
        <v>46034</v>
      </c>
      <c r="BJ293" s="15">
        <f>$F293-MIN(_xll.BDP("NYA Index","RSI_14D"),_xll.BDP("RSP US Equity","RSI_14D"))</f>
        <v>0.65153373646603541</v>
      </c>
    </row>
    <row r="294" spans="1:62" x14ac:dyDescent="0.25">
      <c r="A294" s="11">
        <v>293</v>
      </c>
      <c r="B294" s="26" t="s">
        <v>532</v>
      </c>
      <c r="C294" s="1" t="s">
        <v>935</v>
      </c>
      <c r="D294" s="1" t="s">
        <v>308</v>
      </c>
      <c r="E294" s="11" t="s">
        <v>787</v>
      </c>
      <c r="F294">
        <f>IFERROR(VALUE((_xll.BDP($B294,"interval_rsi","tech_studies_param1_override",14))),"")</f>
        <v>66.794519436584693</v>
      </c>
      <c r="G294">
        <f t="shared" si="146"/>
        <v>52.525531939815814</v>
      </c>
      <c r="H294">
        <f t="shared" si="157"/>
        <v>1</v>
      </c>
      <c r="I294" cm="1">
        <f t="array" ref="I294">IFERROR(VALUE(_xll.BDP($B294,"px_last")),"")</f>
        <v>44.59</v>
      </c>
      <c r="J294">
        <f t="shared" si="147"/>
        <v>6941.47</v>
      </c>
      <c r="K294" cm="1">
        <f t="array" ref="K294">IFERROR(VALUE(_xll.BDP($B294,"PX_YEST_CLOSE")),"")</f>
        <v>44.2</v>
      </c>
      <c r="L294">
        <f t="shared" si="148"/>
        <v>6941.81</v>
      </c>
      <c r="M294">
        <f t="shared" si="158"/>
        <v>6.4237114040685906E-3</v>
      </c>
      <c r="N294">
        <f t="shared" si="159"/>
        <v>6.3672154668595075E-3</v>
      </c>
      <c r="O294" cm="1">
        <f t="array" ref="O294">IFERROR(VALUE(_xll.BDP($B294,"INTERVAL_MAE_MOV_AVG","CALC_INTERVAL","520D","TECH_STUDIES_PARAM1_OVERRIDE",50,"USE_PREVIOUS_BUSINESS_DAY","N")),"")</f>
        <v>42.963078780951754</v>
      </c>
      <c r="P294">
        <f t="shared" si="149"/>
        <v>6894.0953999999992</v>
      </c>
      <c r="Q294" cm="1">
        <f t="array" ref="Q294">IFERROR(VALUE(_xll.BDP($B294,"INTERVAL_MAE_MOV_AVG","CALC_INTERVAL","520D","TECH_STUDIES_PARAM1_OVERRIDE",50,"USE_PREVIOUS_BUSINESS_DAY","Y")),"")</f>
        <v>42.970834999600001</v>
      </c>
      <c r="R294">
        <f t="shared" si="150"/>
        <v>6892.2477999999992</v>
      </c>
      <c r="S294">
        <f t="shared" si="160"/>
        <v>6.2318660082585683E-3</v>
      </c>
      <c r="T294">
        <f t="shared" si="161"/>
        <v>6.2346619341806034E-3</v>
      </c>
      <c r="U294" s="11" t="str">
        <f t="shared" si="162"/>
        <v>POSITIVE</v>
      </c>
      <c r="V294" s="11" t="str">
        <f t="shared" si="163"/>
        <v/>
      </c>
      <c r="W294" s="11" t="str">
        <f t="shared" si="164"/>
        <v>DOWN</v>
      </c>
      <c r="X294" s="6" t="str">
        <f t="shared" si="165"/>
        <v>POSITIVE</v>
      </c>
      <c r="Y294" cm="1">
        <f t="array" ref="Y294">IFERROR(VALUE(_xll.BDP($B294,"INTERVAL_MAE_MOV_AVG","CALC_INTERVAL","520D","TECH_STUDIES_PARAM1_OVERRIDE",65,"USE_PREVIOUS_BUSINESS_DAY","N")),"")</f>
        <v>43.267451499039815</v>
      </c>
      <c r="Z294">
        <f t="shared" si="151"/>
        <v>6856.0226153846133</v>
      </c>
      <c r="AA294" cm="1">
        <f t="array" ref="AA294">IFERROR(VALUE(_xll.BDP($B294,"INTERVAL_MAE_MOV_AVG","CALC_INTERVAL","520D","TECH_STUDIES_PARAM1_OVERRIDE",65,"USE_PREVIOUS_BUSINESS_DAY","Y")),"")</f>
        <v>43.256849720846155</v>
      </c>
      <c r="AB294">
        <f t="shared" si="152"/>
        <v>6852.6203076923057</v>
      </c>
      <c r="AC294">
        <f t="shared" si="166"/>
        <v>6.3108676744953488E-3</v>
      </c>
      <c r="AD294">
        <f t="shared" si="167"/>
        <v>6.3124538904174845E-3</v>
      </c>
      <c r="AE294" s="10" t="str">
        <f t="shared" si="168"/>
        <v>UP</v>
      </c>
      <c r="AF294" s="10" t="str">
        <f t="shared" si="169"/>
        <v>DOWN</v>
      </c>
      <c r="AG294" s="6" t="str">
        <f t="shared" si="170"/>
        <v>POSITIVE</v>
      </c>
      <c r="AH294" cm="1">
        <f t="array" ref="AH294">IFERROR(VALUE(_xll.BDP($B294,"INTERVAL_MAE_MOV_AVG","CALC_INTERVAL","65W","PERIODICITY_OVERRIDE","W","TECH_STUDIES_PARAM1_OVERRIDE",39,"USE_PREVIOUS_BUSINESS_DAY","N")),"")</f>
        <v>42.482115796861159</v>
      </c>
      <c r="AI294">
        <f t="shared" si="153"/>
        <v>6560.7735897435905</v>
      </c>
      <c r="AJ294" cm="1">
        <f t="array" ref="AJ294">IFERROR(VALUE(_xll.BDP($B294,"INTERVAL_MAE_MOV_AVG","CALC_INTERVAL","65W","PERIODICITY_OVERRIDE","W","TECH_STUDIES_PARAM1_OVERRIDE",39,"USE_PREVIOUS_BUSINESS_DAY","Y")),"")</f>
        <v>42.472115792948649</v>
      </c>
      <c r="AK294">
        <f t="shared" si="154"/>
        <v>6560.7823076923087</v>
      </c>
      <c r="AL294">
        <f t="shared" si="171"/>
        <v>6.4751687001168793E-3</v>
      </c>
      <c r="AM294">
        <f t="shared" si="172"/>
        <v>6.4736358868593222E-3</v>
      </c>
      <c r="AN294" s="10" t="str">
        <f t="shared" si="173"/>
        <v>UP</v>
      </c>
      <c r="AO294" s="10" t="str">
        <f t="shared" si="174"/>
        <v>UP</v>
      </c>
      <c r="AP294" s="6" t="str">
        <f t="shared" si="175"/>
        <v>NEGATIVE</v>
      </c>
      <c r="AQ294" cm="1">
        <f t="array" ref="AQ294">IFERROR(VALUE(_xll.BDP($B294,"INTERVAL_exp_MOV_AVG","CALC_INTERVAL","520D","TECH_STUDIES_PARAM1_OVERRIDE",100,"USE_PREVIOUS_BUSINESS_DAY","N")),"")</f>
        <v>43.027658245075152</v>
      </c>
      <c r="AR294">
        <f t="shared" si="155"/>
        <v>6773.0064518682802</v>
      </c>
      <c r="AS294" cm="1">
        <f t="array" ref="AS294">IFERROR(VALUE(_xll.BDP($B294,"INTERVAL_exp_MOV_AVG","CALC_INTERVAL","520D","TECH_STUDIES_PARAM1_OVERRIDE",100,"USE_PREVIOUS_BUSINESS_DAY","Y")),"")</f>
        <v>42.996109089067481</v>
      </c>
      <c r="AT294">
        <f t="shared" si="156"/>
        <v>6769.6039787132295</v>
      </c>
      <c r="AU294">
        <f t="shared" si="176"/>
        <v>6.3528151864090301E-3</v>
      </c>
      <c r="AV294">
        <f t="shared" si="177"/>
        <v>6.3513477633650598E-3</v>
      </c>
      <c r="AW294" s="11" t="str">
        <f t="shared" si="178"/>
        <v>UP</v>
      </c>
      <c r="AX294" s="11" t="str">
        <f t="shared" si="179"/>
        <v>UP</v>
      </c>
      <c r="AY294" s="6" t="str">
        <f t="shared" si="180"/>
        <v>POSITIVE</v>
      </c>
      <c r="AZ294" s="12" cm="1">
        <f t="array" ref="AZ294">_xll.BDP($B294, "INTERVAL_RSI", "TECH_STUDIES_PARAM1_OVERRIDE", "5", "PERIODICITY_OVERRIDE", "W")</f>
        <v>70.438836386046432</v>
      </c>
      <c r="BA294" cm="1">
        <f t="array" ref="BA294">IFERROR(VALUE(_xll.BDP($B294,"INTERVAL_MAE_MOV_AVG","CALC_INTERVAL","520D","TECH_STUDIES_PARAM1_OVERRIDE",31,"USE_PREVIOUS_BUSINESS_DAY","N")),"")</f>
        <v>43.044838714599607</v>
      </c>
      <c r="BB294" cm="1">
        <f t="array" ref="BB294">IFERROR(VALUE(_xll.BDP($B294,"INTERVAL_MAE_MOV_AVG","CALC_INTERVAL","760D","TECH_STUDIES_PARAM1_OVERRIDE",200,"USE_PREVIOUS_BUSINESS_DAY","N")),"")</f>
        <v>42.171579707515768</v>
      </c>
      <c r="BC294" s="13">
        <f t="shared" si="181"/>
        <v>3.5896551864098791E-2</v>
      </c>
      <c r="BD294" s="13">
        <f t="shared" si="182"/>
        <v>3.7867891808758491E-2</v>
      </c>
      <c r="BE294" s="13">
        <f t="shared" si="183"/>
        <v>5.7347159135545223E-2</v>
      </c>
      <c r="BF294" s="14" cm="1">
        <f t="array" ref="BF294">VALUE(_xll.BDP($B294,"INTERVAL_DATE_OF_CALC_HI","CALC_INTERVAL","3M"))</f>
        <v>45989</v>
      </c>
      <c r="BG294" s="14" cm="1">
        <f t="array" ref="BG294">VALUE(_xll.BDP($B294,"INTERVAL_DATE_OF_CALC_LO","CALC_INTERVAL","3M"))</f>
        <v>46029</v>
      </c>
      <c r="BH294" s="14" cm="1">
        <f t="array" ref="BH294">VALUE(_xll.BDP($B294,"INTERVAL_DATE_OF_CALC_HI","CALC_INTERVAL","1M"))</f>
        <v>46064</v>
      </c>
      <c r="BI294" s="14" cm="1">
        <f t="array" ref="BI294">VALUE(_xll.BDP($B294,"INTERVAL_DATE_OF_CALC_LO","CALC_INTERVAL","1M"))</f>
        <v>46045</v>
      </c>
      <c r="BJ294" s="15">
        <f>$F294-MIN(_xll.BDP("NYA Index","RSI_14D"),_xll.BDP("RSP US Equity","RSI_14D"))</f>
        <v>0.44875527642844304</v>
      </c>
    </row>
    <row r="295" spans="1:62" x14ac:dyDescent="0.25">
      <c r="A295" s="11">
        <v>294</v>
      </c>
      <c r="B295" s="26" t="s">
        <v>533</v>
      </c>
      <c r="C295" s="1" t="s">
        <v>936</v>
      </c>
      <c r="D295" s="1" t="s">
        <v>308</v>
      </c>
      <c r="E295" s="11" t="s">
        <v>787</v>
      </c>
      <c r="F295">
        <f>IFERROR(VALUE((_xll.BDP($B295,"interval_rsi","tech_studies_param1_override",14))),"")</f>
        <v>51.467150952145317</v>
      </c>
      <c r="G295">
        <f t="shared" ref="G295:G350" si="184">$F$2</f>
        <v>52.525531939815814</v>
      </c>
      <c r="H295">
        <f t="shared" si="157"/>
        <v>0</v>
      </c>
      <c r="I295" cm="1">
        <f t="array" ref="I295">IFERROR(VALUE(_xll.BDP($B295,"px_last")),"")</f>
        <v>156.25</v>
      </c>
      <c r="J295">
        <f t="shared" ref="J295:J350" si="185">$I$2</f>
        <v>6941.47</v>
      </c>
      <c r="K295" cm="1">
        <f t="array" ref="K295">IFERROR(VALUE(_xll.BDP($B295,"PX_YEST_CLOSE")),"")</f>
        <v>155.33000000000001</v>
      </c>
      <c r="L295">
        <f t="shared" ref="L295:L350" si="186">$K$2</f>
        <v>6941.81</v>
      </c>
      <c r="M295">
        <f t="shared" si="158"/>
        <v>2.2509641329574281E-2</v>
      </c>
      <c r="N295">
        <f t="shared" si="159"/>
        <v>2.237600856260831E-2</v>
      </c>
      <c r="O295" cm="1">
        <f t="array" ref="O295">IFERROR(VALUE(_xll.BDP($B295,"INTERVAL_MAE_MOV_AVG","CALC_INTERVAL","520D","TECH_STUDIES_PARAM1_OVERRIDE",50,"USE_PREVIOUS_BUSINESS_DAY","N")),"")</f>
        <v>155.30110834140001</v>
      </c>
      <c r="P295">
        <f t="shared" ref="P295:P350" si="187">$O$2</f>
        <v>6894.0953999999992</v>
      </c>
      <c r="Q295" cm="1">
        <f t="array" ref="Q295">IFERROR(VALUE(_xll.BDP($B295,"INTERVAL_MAE_MOV_AVG","CALC_INTERVAL","520D","TECH_STUDIES_PARAM1_OVERRIDE",50,"USE_PREVIOUS_BUSINESS_DAY","Y")),"")</f>
        <v>155.31574277440001</v>
      </c>
      <c r="R295">
        <f t="shared" ref="R295:R350" si="188">$Q$2</f>
        <v>6892.2477999999992</v>
      </c>
      <c r="S295">
        <f t="shared" si="160"/>
        <v>2.2526683970952886E-2</v>
      </c>
      <c r="T295">
        <f t="shared" si="161"/>
        <v>2.2534846001097061E-2</v>
      </c>
      <c r="U295" s="11" t="str">
        <f t="shared" si="162"/>
        <v>NEGATIVE</v>
      </c>
      <c r="V295" s="11" t="str">
        <f t="shared" si="163"/>
        <v/>
      </c>
      <c r="W295" s="11" t="str">
        <f t="shared" si="164"/>
        <v>DOWN</v>
      </c>
      <c r="X295" s="6" t="str">
        <f t="shared" si="165"/>
        <v>NEGATIVE</v>
      </c>
      <c r="Y295" cm="1">
        <f t="array" ref="Y295">IFERROR(VALUE(_xll.BDP($B295,"INTERVAL_MAE_MOV_AVG","CALC_INTERVAL","520D","TECH_STUDIES_PARAM1_OVERRIDE",65,"USE_PREVIOUS_BUSINESS_DAY","N")),"")</f>
        <v>154.6087712878462</v>
      </c>
      <c r="Z295">
        <f t="shared" ref="Z295:Z350" si="189">$Y$2</f>
        <v>6856.0226153846133</v>
      </c>
      <c r="AA295" cm="1">
        <f t="array" ref="AA295">IFERROR(VALUE(_xll.BDP($B295,"INTERVAL_MAE_MOV_AVG","CALC_INTERVAL","520D","TECH_STUDIES_PARAM1_OVERRIDE",65,"USE_PREVIOUS_BUSINESS_DAY","Y")),"")</f>
        <v>154.44063837000004</v>
      </c>
      <c r="AB295">
        <f t="shared" ref="AB295:AB350" si="190">$AA$2</f>
        <v>6852.6203076923057</v>
      </c>
      <c r="AC295">
        <f t="shared" si="166"/>
        <v>2.2550796571311028E-2</v>
      </c>
      <c r="AD295">
        <f t="shared" si="167"/>
        <v>2.2537457415615896E-2</v>
      </c>
      <c r="AE295" s="10" t="str">
        <f t="shared" si="168"/>
        <v>UP</v>
      </c>
      <c r="AF295" s="10" t="str">
        <f t="shared" si="169"/>
        <v>UP</v>
      </c>
      <c r="AG295" s="6" t="str">
        <f t="shared" si="170"/>
        <v>NEGATIVE</v>
      </c>
      <c r="AH295" cm="1">
        <f t="array" ref="AH295">IFERROR(VALUE(_xll.BDP($B295,"INTERVAL_MAE_MOV_AVG","CALC_INTERVAL","65W","PERIODICITY_OVERRIDE","W","TECH_STUDIES_PARAM1_OVERRIDE",39,"USE_PREVIOUS_BUSINESS_DAY","N")),"")</f>
        <v>142.8744527693537</v>
      </c>
      <c r="AI295">
        <f t="shared" ref="AI295:AI350" si="191">$AH$2</f>
        <v>6560.7735897435905</v>
      </c>
      <c r="AJ295" cm="1">
        <f t="array" ref="AJ295">IFERROR(VALUE(_xll.BDP($B295,"INTERVAL_MAE_MOV_AVG","CALC_INTERVAL","65W","PERIODICITY_OVERRIDE","W","TECH_STUDIES_PARAM1_OVERRIDE",39,"USE_PREVIOUS_BUSINESS_DAY","Y")),"")</f>
        <v>142.85086302576394</v>
      </c>
      <c r="AK295">
        <f t="shared" ref="AK295:AK350" si="192">$AJ$2</f>
        <v>6560.7823076923087</v>
      </c>
      <c r="AL295">
        <f t="shared" si="171"/>
        <v>2.1777074123196124E-2</v>
      </c>
      <c r="AM295">
        <f t="shared" si="172"/>
        <v>2.1773449617170784E-2</v>
      </c>
      <c r="AN295" s="10" t="str">
        <f t="shared" si="173"/>
        <v>UP</v>
      </c>
      <c r="AO295" s="10" t="str">
        <f t="shared" si="174"/>
        <v>UP</v>
      </c>
      <c r="AP295" s="6" t="str">
        <f t="shared" si="175"/>
        <v>POSITIVE</v>
      </c>
      <c r="AQ295" cm="1">
        <f t="array" ref="AQ295">IFERROR(VALUE(_xll.BDP($B295,"INTERVAL_exp_MOV_AVG","CALC_INTERVAL","520D","TECH_STUDIES_PARAM1_OVERRIDE",100,"USE_PREVIOUS_BUSINESS_DAY","N")),"")</f>
        <v>150.69093504137766</v>
      </c>
      <c r="AR295">
        <f t="shared" ref="AR295:AR350" si="193">$AQ$2</f>
        <v>6773.0064518682802</v>
      </c>
      <c r="AS295" cm="1">
        <f t="array" ref="AS295">IFERROR(VALUE(_xll.BDP($B295,"INTERVAL_exp_MOV_AVG","CALC_INTERVAL","520D","TECH_STUDIES_PARAM1_OVERRIDE",100,"USE_PREVIOUS_BUSINESS_DAY","Y")),"")</f>
        <v>150.57863910535707</v>
      </c>
      <c r="AT295">
        <f t="shared" ref="AT295:AT350" si="194">$AS$2</f>
        <v>6769.6039787132295</v>
      </c>
      <c r="AU295">
        <f t="shared" si="176"/>
        <v>2.2248751143565018E-2</v>
      </c>
      <c r="AV295">
        <f t="shared" si="177"/>
        <v>2.2243345338788807E-2</v>
      </c>
      <c r="AW295" s="11" t="str">
        <f t="shared" si="178"/>
        <v>UP</v>
      </c>
      <c r="AX295" s="11" t="str">
        <f t="shared" si="179"/>
        <v>UP</v>
      </c>
      <c r="AY295" s="6" t="str">
        <f t="shared" si="180"/>
        <v>POSITIVE</v>
      </c>
      <c r="AZ295" s="12" cm="1">
        <f t="array" ref="AZ295">_xll.BDP($B295, "INTERVAL_RSI", "TECH_STUDIES_PARAM1_OVERRIDE", "5", "PERIODICITY_OVERRIDE", "W")</f>
        <v>54.794831017744123</v>
      </c>
      <c r="BA295" cm="1">
        <f t="array" ref="BA295">IFERROR(VALUE(_xll.BDP($B295,"INTERVAL_MAE_MOV_AVG","CALC_INTERVAL","520D","TECH_STUDIES_PARAM1_OVERRIDE",31,"USE_PREVIOUS_BUSINESS_DAY","N")),"")</f>
        <v>156.34903225806457</v>
      </c>
      <c r="BB295" cm="1">
        <f t="array" ref="BB295">IFERROR(VALUE(_xll.BDP($B295,"INTERVAL_MAE_MOV_AVG","CALC_INTERVAL","760D","TECH_STUDIES_PARAM1_OVERRIDE",200,"USE_PREVIOUS_BUSINESS_DAY","N")),"")</f>
        <v>141.71953098790817</v>
      </c>
      <c r="BC295" s="13">
        <f t="shared" si="181"/>
        <v>-6.334049954406229E-4</v>
      </c>
      <c r="BD295" s="13">
        <f t="shared" si="182"/>
        <v>6.1100121482329239E-3</v>
      </c>
      <c r="BE295" s="13">
        <f t="shared" si="183"/>
        <v>0.10252975656073549</v>
      </c>
      <c r="BF295" s="14" cm="1">
        <f t="array" ref="BF295">VALUE(_xll.BDP($B295,"INTERVAL_DATE_OF_CALC_HI","CALC_INTERVAL","3M"))</f>
        <v>46029</v>
      </c>
      <c r="BG295" s="14" cm="1">
        <f t="array" ref="BG295">VALUE(_xll.BDP($B295,"INTERVAL_DATE_OF_CALC_LO","CALC_INTERVAL","3M"))</f>
        <v>46000</v>
      </c>
      <c r="BH295" s="14" cm="1">
        <f t="array" ref="BH295">VALUE(_xll.BDP($B295,"INTERVAL_DATE_OF_CALC_HI","CALC_INTERVAL","1M"))</f>
        <v>46044</v>
      </c>
      <c r="BI295" s="14" cm="1">
        <f t="array" ref="BI295">VALUE(_xll.BDP($B295,"INTERVAL_DATE_OF_CALC_LO","CALC_INTERVAL","1M"))</f>
        <v>46051</v>
      </c>
      <c r="BJ295" s="15">
        <f>$F295-MIN(_xll.BDP("NYA Index","RSI_14D"),_xll.BDP("RSP US Equity","RSI_14D"))</f>
        <v>-14.878613208010933</v>
      </c>
    </row>
    <row r="296" spans="1:62" x14ac:dyDescent="0.25">
      <c r="A296" s="11">
        <v>295</v>
      </c>
      <c r="B296" s="26" t="s">
        <v>534</v>
      </c>
      <c r="C296" s="1" t="s">
        <v>937</v>
      </c>
      <c r="D296" s="1" t="s">
        <v>308</v>
      </c>
      <c r="E296" s="11" t="s">
        <v>787</v>
      </c>
      <c r="F296">
        <f>IFERROR(VALUE((_xll.BDP($B296,"interval_rsi","tech_studies_param1_override",14))),"")</f>
        <v>39.377753570371993</v>
      </c>
      <c r="G296">
        <f t="shared" si="184"/>
        <v>52.525531939815814</v>
      </c>
      <c r="H296">
        <f t="shared" si="157"/>
        <v>0</v>
      </c>
      <c r="I296" cm="1">
        <f t="array" ref="I296">IFERROR(VALUE(_xll.BDP($B296,"px_last")),"")</f>
        <v>117.76</v>
      </c>
      <c r="J296">
        <f t="shared" si="185"/>
        <v>6941.47</v>
      </c>
      <c r="K296" cm="1">
        <f t="array" ref="K296">IFERROR(VALUE(_xll.BDP($B296,"PX_YEST_CLOSE")),"")</f>
        <v>118.33</v>
      </c>
      <c r="L296">
        <f t="shared" si="186"/>
        <v>6941.81</v>
      </c>
      <c r="M296">
        <f t="shared" si="158"/>
        <v>1.6964706323012273E-2</v>
      </c>
      <c r="N296">
        <f t="shared" si="159"/>
        <v>1.7045986565463474E-2</v>
      </c>
      <c r="O296" cm="1">
        <f t="array" ref="O296">IFERROR(VALUE(_xll.BDP($B296,"INTERVAL_MAE_MOV_AVG","CALC_INTERVAL","520D","TECH_STUDIES_PARAM1_OVERRIDE",50,"USE_PREVIOUS_BUSINESS_DAY","N")),"")</f>
        <v>120.74993812542462</v>
      </c>
      <c r="P296">
        <f t="shared" si="187"/>
        <v>6894.0953999999992</v>
      </c>
      <c r="Q296" cm="1">
        <f t="array" ref="Q296">IFERROR(VALUE(_xll.BDP($B296,"INTERVAL_MAE_MOV_AVG","CALC_INTERVAL","520D","TECH_STUDIES_PARAM1_OVERRIDE",50,"USE_PREVIOUS_BUSINESS_DAY","Y")),"")</f>
        <v>120.75466326850001</v>
      </c>
      <c r="R296">
        <f t="shared" si="188"/>
        <v>6892.2477999999992</v>
      </c>
      <c r="S296">
        <f t="shared" si="160"/>
        <v>1.7514979285813862E-2</v>
      </c>
      <c r="T296">
        <f t="shared" si="161"/>
        <v>1.752036008753197E-2</v>
      </c>
      <c r="U296" s="11" t="str">
        <f t="shared" si="162"/>
        <v>NEGATIVE</v>
      </c>
      <c r="V296" s="11" t="str">
        <f t="shared" si="163"/>
        <v/>
      </c>
      <c r="W296" s="11" t="str">
        <f t="shared" si="164"/>
        <v>DOWN</v>
      </c>
      <c r="X296" s="6" t="str">
        <f t="shared" si="165"/>
        <v>NEGATIVE</v>
      </c>
      <c r="Y296" cm="1">
        <f t="array" ref="Y296">IFERROR(VALUE(_xll.BDP($B296,"INTERVAL_MAE_MOV_AVG","CALC_INTERVAL","520D","TECH_STUDIES_PARAM1_OVERRIDE",65,"USE_PREVIOUS_BUSINESS_DAY","N")),"")</f>
        <v>119.54682900478819</v>
      </c>
      <c r="Z296">
        <f t="shared" si="189"/>
        <v>6856.0226153846133</v>
      </c>
      <c r="AA296" cm="1">
        <f t="array" ref="AA296">IFERROR(VALUE(_xll.BDP($B296,"INTERVAL_MAE_MOV_AVG","CALC_INTERVAL","520D","TECH_STUDIES_PARAM1_OVERRIDE",65,"USE_PREVIOUS_BUSINESS_DAY","Y")),"")</f>
        <v>119.5430169432308</v>
      </c>
      <c r="AB296">
        <f t="shared" si="190"/>
        <v>6852.6203076923057</v>
      </c>
      <c r="AC296">
        <f t="shared" si="166"/>
        <v>1.743676118228233E-2</v>
      </c>
      <c r="AD296">
        <f t="shared" si="167"/>
        <v>1.7444862195128422E-2</v>
      </c>
      <c r="AE296" s="10" t="str">
        <f t="shared" si="168"/>
        <v>UP</v>
      </c>
      <c r="AF296" s="10" t="str">
        <f t="shared" si="169"/>
        <v>DOWN</v>
      </c>
      <c r="AG296" s="6" t="str">
        <f t="shared" si="170"/>
        <v>NEGATIVE</v>
      </c>
      <c r="AH296" cm="1">
        <f t="array" ref="AH296">IFERROR(VALUE(_xll.BDP($B296,"INTERVAL_MAE_MOV_AVG","CALC_INTERVAL","65W","PERIODICITY_OVERRIDE","W","TECH_STUDIES_PARAM1_OVERRIDE",39,"USE_PREVIOUS_BUSINESS_DAY","N")),"")</f>
        <v>115.36917972869536</v>
      </c>
      <c r="AI296">
        <f t="shared" si="191"/>
        <v>6560.7735897435905</v>
      </c>
      <c r="AJ296" cm="1">
        <f t="array" ref="AJ296">IFERROR(VALUE(_xll.BDP($B296,"INTERVAL_MAE_MOV_AVG","CALC_INTERVAL","65W","PERIODICITY_OVERRIDE","W","TECH_STUDIES_PARAM1_OVERRIDE",39,"USE_PREVIOUS_BUSINESS_DAY","Y")),"")</f>
        <v>115.38379505853561</v>
      </c>
      <c r="AK296">
        <f t="shared" si="192"/>
        <v>6560.7823076923087</v>
      </c>
      <c r="AL296">
        <f t="shared" si="171"/>
        <v>1.7584691523123301E-2</v>
      </c>
      <c r="AM296">
        <f t="shared" si="172"/>
        <v>1.7586895837597261E-2</v>
      </c>
      <c r="AN296" s="10" t="str">
        <f t="shared" si="173"/>
        <v>DOWN</v>
      </c>
      <c r="AO296" s="10" t="str">
        <f t="shared" si="174"/>
        <v>DOWN</v>
      </c>
      <c r="AP296" s="6" t="str">
        <f t="shared" si="175"/>
        <v>NEGATIVE</v>
      </c>
      <c r="AQ296" cm="1">
        <f t="array" ref="AQ296">IFERROR(VALUE(_xll.BDP($B296,"INTERVAL_exp_MOV_AVG","CALC_INTERVAL","520D","TECH_STUDIES_PARAM1_OVERRIDE",100,"USE_PREVIOUS_BUSINESS_DAY","N")),"")</f>
        <v>118.62828956939229</v>
      </c>
      <c r="AR296">
        <f t="shared" si="193"/>
        <v>6773.0064518682802</v>
      </c>
      <c r="AS296" cm="1">
        <f t="array" ref="AS296">IFERROR(VALUE(_xll.BDP($B296,"INTERVAL_exp_MOV_AVG","CALC_INTERVAL","520D","TECH_STUDIES_PARAM1_OVERRIDE",100,"USE_PREVIOUS_BUSINESS_DAY","Y")),"")</f>
        <v>118.6458539222652</v>
      </c>
      <c r="AT296">
        <f t="shared" si="194"/>
        <v>6769.6039787132295</v>
      </c>
      <c r="AU296">
        <f t="shared" si="176"/>
        <v>1.7514864397725417E-2</v>
      </c>
      <c r="AV296">
        <f t="shared" si="177"/>
        <v>1.7526262141085758E-2</v>
      </c>
      <c r="AW296" s="11" t="str">
        <f t="shared" si="178"/>
        <v>DOWN</v>
      </c>
      <c r="AX296" s="11" t="str">
        <f t="shared" si="179"/>
        <v>DOWN</v>
      </c>
      <c r="AY296" s="6" t="str">
        <f t="shared" si="180"/>
        <v>NEGATIVE</v>
      </c>
      <c r="AZ296" s="12" cm="1">
        <f t="array" ref="AZ296">_xll.BDP($B296, "INTERVAL_RSI", "TECH_STUDIES_PARAM1_OVERRIDE", "5", "PERIODICITY_OVERRIDE", "W")</f>
        <v>36.513061945846978</v>
      </c>
      <c r="BA296" cm="1">
        <f t="array" ref="BA296">IFERROR(VALUE(_xll.BDP($B296,"INTERVAL_MAE_MOV_AVG","CALC_INTERVAL","520D","TECH_STUDIES_PARAM1_OVERRIDE",31,"USE_PREVIOUS_BUSINESS_DAY","N")),"")</f>
        <v>121.03741942374937</v>
      </c>
      <c r="BB296" cm="1">
        <f t="array" ref="BB296">IFERROR(VALUE(_xll.BDP($B296,"INTERVAL_MAE_MOV_AVG","CALC_INTERVAL","760D","TECH_STUDIES_PARAM1_OVERRIDE",200,"USE_PREVIOUS_BUSINESS_DAY","N")),"")</f>
        <v>114.38227821560972</v>
      </c>
      <c r="BC296" s="13">
        <f t="shared" si="181"/>
        <v>-2.7077737110993705E-2</v>
      </c>
      <c r="BD296" s="13">
        <f t="shared" si="182"/>
        <v>-2.4761405031271555E-2</v>
      </c>
      <c r="BE296" s="13">
        <f t="shared" si="183"/>
        <v>2.9530114604146229E-2</v>
      </c>
      <c r="BF296" s="14" cm="1">
        <f t="array" ref="BF296">VALUE(_xll.BDP($B296,"INTERVAL_DATE_OF_CALC_HI","CALC_INTERVAL","3M"))</f>
        <v>46034</v>
      </c>
      <c r="BG296" s="14" cm="1">
        <f t="array" ref="BG296">VALUE(_xll.BDP($B296,"INTERVAL_DATE_OF_CALC_LO","CALC_INTERVAL","3M"))</f>
        <v>45981</v>
      </c>
      <c r="BH296" s="14" cm="1">
        <f t="array" ref="BH296">VALUE(_xll.BDP($B296,"INTERVAL_DATE_OF_CALC_HI","CALC_INTERVAL","1M"))</f>
        <v>46034</v>
      </c>
      <c r="BI296" s="14" cm="1">
        <f t="array" ref="BI296">VALUE(_xll.BDP($B296,"INTERVAL_DATE_OF_CALC_LO","CALC_INTERVAL","1M"))</f>
        <v>46058</v>
      </c>
      <c r="BJ296" s="15">
        <f>$F296-MIN(_xll.BDP("NYA Index","RSI_14D"),_xll.BDP("RSP US Equity","RSI_14D"))</f>
        <v>-26.968010589784257</v>
      </c>
    </row>
    <row r="297" spans="1:62" x14ac:dyDescent="0.25">
      <c r="A297" s="11">
        <v>296</v>
      </c>
      <c r="B297" s="26" t="s">
        <v>535</v>
      </c>
      <c r="C297" s="1" t="s">
        <v>536</v>
      </c>
      <c r="D297" s="1" t="s">
        <v>308</v>
      </c>
      <c r="E297" s="11" t="s">
        <v>787</v>
      </c>
      <c r="F297">
        <f>IFERROR(VALUE((_xll.BDP($B297,"interval_rsi","tech_studies_param1_override",14))),"")</f>
        <v>54.796907517321202</v>
      </c>
      <c r="G297">
        <f t="shared" si="184"/>
        <v>52.525531939815814</v>
      </c>
      <c r="H297">
        <f t="shared" si="157"/>
        <v>0</v>
      </c>
      <c r="I297" cm="1">
        <f t="array" ref="I297">IFERROR(VALUE(_xll.BDP($B297,"px_last")),"")</f>
        <v>123.74</v>
      </c>
      <c r="J297">
        <f t="shared" si="185"/>
        <v>6941.47</v>
      </c>
      <c r="K297" cm="1">
        <f t="array" ref="K297">IFERROR(VALUE(_xll.BDP($B297,"PX_YEST_CLOSE")),"")</f>
        <v>123.1</v>
      </c>
      <c r="L297">
        <f t="shared" si="186"/>
        <v>6941.81</v>
      </c>
      <c r="M297">
        <f t="shared" si="158"/>
        <v>1.7826195315977737E-2</v>
      </c>
      <c r="N297">
        <f t="shared" si="159"/>
        <v>1.7733127239149441E-2</v>
      </c>
      <c r="O297" cm="1">
        <f t="array" ref="O297">IFERROR(VALUE(_xll.BDP($B297,"INTERVAL_MAE_MOV_AVG","CALC_INTERVAL","520D","TECH_STUDIES_PARAM1_OVERRIDE",50,"USE_PREVIOUS_BUSINESS_DAY","N")),"")</f>
        <v>113.20352039227546</v>
      </c>
      <c r="P297">
        <f t="shared" si="187"/>
        <v>6894.0953999999992</v>
      </c>
      <c r="Q297" cm="1">
        <f t="array" ref="Q297">IFERROR(VALUE(_xll.BDP($B297,"INTERVAL_MAE_MOV_AVG","CALC_INTERVAL","520D","TECH_STUDIES_PARAM1_OVERRIDE",50,"USE_PREVIOUS_BUSINESS_DAY","Y")),"")</f>
        <v>112.66814561360006</v>
      </c>
      <c r="R297">
        <f t="shared" si="188"/>
        <v>6892.2477999999992</v>
      </c>
      <c r="S297">
        <f t="shared" si="160"/>
        <v>1.6420358846829342E-2</v>
      </c>
      <c r="T297">
        <f t="shared" si="161"/>
        <v>1.6347082821601404E-2</v>
      </c>
      <c r="U297" s="11" t="str">
        <f t="shared" si="162"/>
        <v>NEGATIVE</v>
      </c>
      <c r="V297" s="11" t="str">
        <f t="shared" si="163"/>
        <v/>
      </c>
      <c r="W297" s="11" t="str">
        <f t="shared" si="164"/>
        <v>UP</v>
      </c>
      <c r="X297" s="6" t="str">
        <f t="shared" si="165"/>
        <v>POSITIVE</v>
      </c>
      <c r="Y297" cm="1">
        <f t="array" ref="Y297">IFERROR(VALUE(_xll.BDP($B297,"INTERVAL_MAE_MOV_AVG","CALC_INTERVAL","520D","TECH_STUDIES_PARAM1_OVERRIDE",65,"USE_PREVIOUS_BUSINESS_DAY","N")),"")</f>
        <v>108.41350779098111</v>
      </c>
      <c r="Z297">
        <f t="shared" si="189"/>
        <v>6856.0226153846133</v>
      </c>
      <c r="AA297" cm="1">
        <f t="array" ref="AA297">IFERROR(VALUE(_xll.BDP($B297,"INTERVAL_MAE_MOV_AVG","CALC_INTERVAL","520D","TECH_STUDIES_PARAM1_OVERRIDE",65,"USE_PREVIOUS_BUSINESS_DAY","Y")),"")</f>
        <v>107.90963989615388</v>
      </c>
      <c r="AB297">
        <f t="shared" si="190"/>
        <v>6852.6203076923057</v>
      </c>
      <c r="AC297">
        <f t="shared" si="166"/>
        <v>1.5812886548493287E-2</v>
      </c>
      <c r="AD297">
        <f t="shared" si="167"/>
        <v>1.5747208374440581E-2</v>
      </c>
      <c r="AE297" s="10" t="str">
        <f t="shared" si="168"/>
        <v>UP</v>
      </c>
      <c r="AF297" s="10" t="str">
        <f t="shared" si="169"/>
        <v>UP</v>
      </c>
      <c r="AG297" s="6" t="str">
        <f t="shared" si="170"/>
        <v>POSITIVE</v>
      </c>
      <c r="AH297" cm="1">
        <f t="array" ref="AH297">IFERROR(VALUE(_xll.BDP($B297,"INTERVAL_MAE_MOV_AVG","CALC_INTERVAL","65W","PERIODICITY_OVERRIDE","W","TECH_STUDIES_PARAM1_OVERRIDE",39,"USE_PREVIOUS_BUSINESS_DAY","N")),"")</f>
        <v>90.94088851213111</v>
      </c>
      <c r="AI297">
        <f t="shared" si="191"/>
        <v>6560.7735897435905</v>
      </c>
      <c r="AJ297" cm="1">
        <f t="array" ref="AJ297">IFERROR(VALUE(_xll.BDP($B297,"INTERVAL_MAE_MOV_AVG","CALC_INTERVAL","65W","PERIODICITY_OVERRIDE","W","TECH_STUDIES_PARAM1_OVERRIDE",39,"USE_PREVIOUS_BUSINESS_DAY","Y")),"")</f>
        <v>90.924478310495985</v>
      </c>
      <c r="AK297">
        <f t="shared" si="192"/>
        <v>6560.7823076923087</v>
      </c>
      <c r="AL297">
        <f t="shared" si="171"/>
        <v>1.3861305723809511E-2</v>
      </c>
      <c r="AM297">
        <f t="shared" si="172"/>
        <v>1.3858786048104343E-2</v>
      </c>
      <c r="AN297" s="10" t="str">
        <f t="shared" si="173"/>
        <v>UP</v>
      </c>
      <c r="AO297" s="10" t="str">
        <f t="shared" si="174"/>
        <v>UP</v>
      </c>
      <c r="AP297" s="6" t="str">
        <f t="shared" si="175"/>
        <v>POSITIVE</v>
      </c>
      <c r="AQ297" cm="1">
        <f t="array" ref="AQ297">IFERROR(VALUE(_xll.BDP($B297,"INTERVAL_exp_MOV_AVG","CALC_INTERVAL","520D","TECH_STUDIES_PARAM1_OVERRIDE",100,"USE_PREVIOUS_BUSINESS_DAY","N")),"")</f>
        <v>105.40047956982895</v>
      </c>
      <c r="AR297">
        <f t="shared" si="193"/>
        <v>6773.0064518682802</v>
      </c>
      <c r="AS297" cm="1">
        <f t="array" ref="AS297">IFERROR(VALUE(_xll.BDP($B297,"INTERVAL_exp_MOV_AVG","CALC_INTERVAL","520D","TECH_STUDIES_PARAM1_OVERRIDE",100,"USE_PREVIOUS_BUSINESS_DAY","Y")),"")</f>
        <v>105.0299974470697</v>
      </c>
      <c r="AT297">
        <f t="shared" si="194"/>
        <v>6769.6039787132295</v>
      </c>
      <c r="AU297">
        <f t="shared" si="176"/>
        <v>1.5561845440255717E-2</v>
      </c>
      <c r="AV297">
        <f t="shared" si="177"/>
        <v>1.5514939688840391E-2</v>
      </c>
      <c r="AW297" s="11" t="str">
        <f t="shared" si="178"/>
        <v>UP</v>
      </c>
      <c r="AX297" s="11" t="str">
        <f t="shared" si="179"/>
        <v>UP</v>
      </c>
      <c r="AY297" s="6" t="str">
        <f t="shared" si="180"/>
        <v>POSITIVE</v>
      </c>
      <c r="AZ297" s="12" cm="1">
        <f t="array" ref="AZ297">_xll.BDP($B297, "INTERVAL_RSI", "TECH_STUDIES_PARAM1_OVERRIDE", "5", "PERIODICITY_OVERRIDE", "W")</f>
        <v>65.421129857251231</v>
      </c>
      <c r="BA297" cm="1">
        <f t="array" ref="BA297">IFERROR(VALUE(_xll.BDP($B297,"INTERVAL_MAE_MOV_AVG","CALC_INTERVAL","520D","TECH_STUDIES_PARAM1_OVERRIDE",31,"USE_PREVIOUS_BUSINESS_DAY","N")),"")</f>
        <v>120.10935476979904</v>
      </c>
      <c r="BB297" cm="1">
        <f t="array" ref="BB297">IFERROR(VALUE(_xll.BDP($B297,"INTERVAL_MAE_MOV_AVG","CALC_INTERVAL","760D","TECH_STUDIES_PARAM1_OVERRIDE",200,"USE_PREVIOUS_BUSINESS_DAY","N")),"")</f>
        <v>87.640982547640704</v>
      </c>
      <c r="BC297" s="13">
        <f t="shared" si="181"/>
        <v>3.0227830606195827E-2</v>
      </c>
      <c r="BD297" s="13">
        <f t="shared" si="182"/>
        <v>9.3075547219850341E-2</v>
      </c>
      <c r="BE297" s="13">
        <f t="shared" si="183"/>
        <v>0.41189653975794083</v>
      </c>
      <c r="BF297" s="14" cm="1">
        <f t="array" ref="BF297">VALUE(_xll.BDP($B297,"INTERVAL_DATE_OF_CALC_HI","CALC_INTERVAL","3M"))</f>
        <v>46045</v>
      </c>
      <c r="BG297" s="14" cm="1">
        <f t="array" ref="BG297">VALUE(_xll.BDP($B297,"INTERVAL_DATE_OF_CALC_LO","CALC_INTERVAL","3M"))</f>
        <v>45981</v>
      </c>
      <c r="BH297" s="14" cm="1">
        <f t="array" ref="BH297">VALUE(_xll.BDP($B297,"INTERVAL_DATE_OF_CALC_HI","CALC_INTERVAL","1M"))</f>
        <v>46045</v>
      </c>
      <c r="BI297" s="14" cm="1">
        <f t="array" ref="BI297">VALUE(_xll.BDP($B297,"INTERVAL_DATE_OF_CALC_LO","CALC_INTERVAL","1M"))</f>
        <v>46058</v>
      </c>
      <c r="BJ297" s="15">
        <f>$F297-MIN(_xll.BDP("NYA Index","RSI_14D"),_xll.BDP("RSP US Equity","RSI_14D"))</f>
        <v>-11.548856642835048</v>
      </c>
    </row>
    <row r="298" spans="1:62" x14ac:dyDescent="0.25">
      <c r="A298" s="11">
        <v>297</v>
      </c>
      <c r="B298" s="26" t="s">
        <v>537</v>
      </c>
      <c r="C298" s="1" t="s">
        <v>538</v>
      </c>
      <c r="D298" s="1" t="s">
        <v>308</v>
      </c>
      <c r="E298" s="11" t="s">
        <v>787</v>
      </c>
      <c r="F298">
        <f>IFERROR(VALUE((_xll.BDP($B298,"interval_rsi","tech_studies_param1_override",14))),"")</f>
        <v>71.116427611527598</v>
      </c>
      <c r="G298">
        <f t="shared" si="184"/>
        <v>52.525531939815814</v>
      </c>
      <c r="H298">
        <f t="shared" ref="H298:H353" si="195">IF(AND(F298-G298&gt;10,G298&lt;65),1,0)</f>
        <v>1</v>
      </c>
      <c r="I298" cm="1">
        <f t="array" ref="I298">IFERROR(VALUE(_xll.BDP($B298,"px_last")),"")</f>
        <v>149.06</v>
      </c>
      <c r="J298">
        <f t="shared" si="185"/>
        <v>6941.47</v>
      </c>
      <c r="K298" cm="1">
        <f t="array" ref="K298">IFERROR(VALUE(_xll.BDP($B298,"PX_YEST_CLOSE")),"")</f>
        <v>145.62</v>
      </c>
      <c r="L298">
        <f t="shared" si="186"/>
        <v>6941.81</v>
      </c>
      <c r="M298">
        <f t="shared" ref="M298:M353" si="196">I298/J298</f>
        <v>2.1473837674152594E-2</v>
      </c>
      <c r="N298">
        <f t="shared" ref="N298:N353" si="197">K298/L298</f>
        <v>2.0977237924979221E-2</v>
      </c>
      <c r="O298" cm="1">
        <f t="array" ref="O298">IFERROR(VALUE(_xll.BDP($B298,"INTERVAL_MAE_MOV_AVG","CALC_INTERVAL","520D","TECH_STUDIES_PARAM1_OVERRIDE",50,"USE_PREVIOUS_BUSINESS_DAY","N")),"")</f>
        <v>132.57752750117189</v>
      </c>
      <c r="P298">
        <f t="shared" si="187"/>
        <v>6894.0953999999992</v>
      </c>
      <c r="Q298" cm="1">
        <f t="array" ref="Q298">IFERROR(VALUE(_xll.BDP($B298,"INTERVAL_MAE_MOV_AVG","CALC_INTERVAL","520D","TECH_STUDIES_PARAM1_OVERRIDE",50,"USE_PREVIOUS_BUSINESS_DAY","Y")),"")</f>
        <v>132.25729465000001</v>
      </c>
      <c r="R298">
        <f t="shared" si="188"/>
        <v>6892.2477999999992</v>
      </c>
      <c r="S298">
        <f t="shared" ref="S298:S353" si="198">O298/P298</f>
        <v>1.9230590789499648E-2</v>
      </c>
      <c r="T298">
        <f t="shared" ref="T298:T353" si="199">Q298/R298</f>
        <v>1.9189283161003007E-2</v>
      </c>
      <c r="U298" s="11" t="str">
        <f t="shared" ref="U298:U353" si="200">IF(H298=1,"POSITIVE","NEGATIVE")</f>
        <v>POSITIVE</v>
      </c>
      <c r="V298" s="11" t="str">
        <f t="shared" ref="V298:V353" si="201">IF(AND(K298&lt;Q298,I298&gt;O298),"UP","")</f>
        <v/>
      </c>
      <c r="W298" s="11" t="str">
        <f t="shared" ref="W298:W353" si="202">IF(S298&gt;T298,"UP",IF(S298&lt;T298,"DOWN",""))</f>
        <v>UP</v>
      </c>
      <c r="X298" s="6" t="str">
        <f t="shared" ref="X298:X353" si="203">IF(AND(N298&lt;T298,M298&gt;S298),"BUY",IF(AND(N298&gt;T298,M298&lt;S298),"SELL",IF(M298&gt;S298,"POSITIVE","NEGATIVE")))</f>
        <v>POSITIVE</v>
      </c>
      <c r="Y298" cm="1">
        <f t="array" ref="Y298">IFERROR(VALUE(_xll.BDP($B298,"INTERVAL_MAE_MOV_AVG","CALC_INTERVAL","520D","TECH_STUDIES_PARAM1_OVERRIDE",65,"USE_PREVIOUS_BUSINESS_DAY","N")),"")</f>
        <v>132.14490215474763</v>
      </c>
      <c r="Z298">
        <f t="shared" si="189"/>
        <v>6856.0226153846133</v>
      </c>
      <c r="AA298" cm="1">
        <f t="array" ref="AA298">IFERROR(VALUE(_xll.BDP($B298,"INTERVAL_MAE_MOV_AVG","CALC_INTERVAL","520D","TECH_STUDIES_PARAM1_OVERRIDE",65,"USE_PREVIOUS_BUSINESS_DAY","Y")),"")</f>
        <v>131.78890850000002</v>
      </c>
      <c r="AB298">
        <f t="shared" si="190"/>
        <v>6852.6203076923057</v>
      </c>
      <c r="AC298">
        <f t="shared" ref="AC298:AC353" si="204">Y298/Z298</f>
        <v>1.9274280376237424E-2</v>
      </c>
      <c r="AD298">
        <f t="shared" ref="AD298:AD353" si="205">AA298/AB298</f>
        <v>1.9231900000655569E-2</v>
      </c>
      <c r="AE298" s="10" t="str">
        <f t="shared" ref="AE298:AE353" si="206">IF(Y298&gt;AA298,"UP",IF(Y298&lt;AA298,"DOWN",""))</f>
        <v>UP</v>
      </c>
      <c r="AF298" s="10" t="str">
        <f t="shared" ref="AF298:AF353" si="207">IF(AC298&gt;AD298,"UP",IF(AC298&lt;AD298,"DOWN",""))</f>
        <v>UP</v>
      </c>
      <c r="AG298" s="6" t="str">
        <f t="shared" ref="AG298:AG353" si="208">IF(AND(N298&lt;AD298,M298&gt;AC298),"BUY",IF(AND(N298&gt;AD298,M298&lt;AC298),"SELL",IF(M298&gt;AC298,"POSITIVE","NEGATIVE")))</f>
        <v>POSITIVE</v>
      </c>
      <c r="AH298" cm="1">
        <f t="array" ref="AH298">IFERROR(VALUE(_xll.BDP($B298,"INTERVAL_MAE_MOV_AVG","CALC_INTERVAL","65W","PERIODICITY_OVERRIDE","W","TECH_STUDIES_PARAM1_OVERRIDE",39,"USE_PREVIOUS_BUSINESS_DAY","N")),"")</f>
        <v>128.96497934057979</v>
      </c>
      <c r="AI298">
        <f t="shared" si="191"/>
        <v>6560.7735897435905</v>
      </c>
      <c r="AJ298" cm="1">
        <f t="array" ref="AJ298">IFERROR(VALUE(_xll.BDP($B298,"INTERVAL_MAE_MOV_AVG","CALC_INTERVAL","65W","PERIODICITY_OVERRIDE","W","TECH_STUDIES_PARAM1_OVERRIDE",39,"USE_PREVIOUS_BUSINESS_DAY","Y")),"")</f>
        <v>128.87677427497482</v>
      </c>
      <c r="AK298">
        <f t="shared" si="192"/>
        <v>6560.7823076923087</v>
      </c>
      <c r="AL298">
        <f t="shared" ref="AL298:AL353" si="209">AH298/AI298</f>
        <v>1.9656977576880539E-2</v>
      </c>
      <c r="AM298">
        <f t="shared" ref="AM298:AM353" si="210">AJ298/AK298</f>
        <v>1.9643507165886438E-2</v>
      </c>
      <c r="AN298" s="10" t="str">
        <f t="shared" ref="AN298:AN353" si="211">IF(AH298&gt;AJ298,"UP",IF(AH298&lt;AJ298,"DOWN",""))</f>
        <v>UP</v>
      </c>
      <c r="AO298" s="10" t="str">
        <f t="shared" ref="AO298:AO353" si="212">IF(AL298&gt;AM298,"UP",IF(AL298&lt;AM298,"DOWN",""))</f>
        <v>UP</v>
      </c>
      <c r="AP298" s="6" t="str">
        <f t="shared" ref="AP298:AP353" si="213">IF(AND(N298&lt;AM298,M298&gt;AL298),"BUY",IF(AND(N298&gt;AM298,M298&lt;AL298),"SELL",IF(M298&gt;AL298,"POSITIVE","NEGATIVE")))</f>
        <v>POSITIVE</v>
      </c>
      <c r="AQ298" cm="1">
        <f t="array" ref="AQ298">IFERROR(VALUE(_xll.BDP($B298,"INTERVAL_exp_MOV_AVG","CALC_INTERVAL","520D","TECH_STUDIES_PARAM1_OVERRIDE",100,"USE_PREVIOUS_BUSINESS_DAY","N")),"")</f>
        <v>131.57318314058503</v>
      </c>
      <c r="AR298">
        <f t="shared" si="193"/>
        <v>6773.0064518682802</v>
      </c>
      <c r="AS298" cm="1">
        <f t="array" ref="AS298">IFERROR(VALUE(_xll.BDP($B298,"INTERVAL_exp_MOV_AVG","CALC_INTERVAL","520D","TECH_STUDIES_PARAM1_OVERRIDE",100,"USE_PREVIOUS_BUSINESS_DAY","Y")),"")</f>
        <v>131.21995789378397</v>
      </c>
      <c r="AT298">
        <f t="shared" si="194"/>
        <v>6769.6039787132295</v>
      </c>
      <c r="AU298">
        <f t="shared" ref="AU298:AU353" si="214">AQ298/AR298</f>
        <v>1.9426112181583941E-2</v>
      </c>
      <c r="AV298">
        <f t="shared" ref="AV298:AV353" si="215">AS298/AT298</f>
        <v>1.9383697821379255E-2</v>
      </c>
      <c r="AW298" s="11" t="str">
        <f t="shared" ref="AW298:AW353" si="216">IF(AQ298&gt;AS298,"UP",IF(AQ298&lt;AS298,"DOWN",""))</f>
        <v>UP</v>
      </c>
      <c r="AX298" s="11" t="str">
        <f t="shared" ref="AX298:AX353" si="217">IF(AU298&gt;AV298,"UP",IF(AU298&lt;AV298,"DOWN",""))</f>
        <v>UP</v>
      </c>
      <c r="AY298" s="6" t="str">
        <f t="shared" ref="AY298:AY353" si="218">IF(AND(N298&lt;AV298,M298&gt;AU298),"BUY",IF(AND(N298&gt;AV298,M298&lt;AU298),"SELL",IF(M298&gt;AU298,"POSITIVE","NEGATIVE")))</f>
        <v>POSITIVE</v>
      </c>
      <c r="AZ298" s="12" cm="1">
        <f t="array" ref="AZ298">_xll.BDP($B298, "INTERVAL_RSI", "TECH_STUDIES_PARAM1_OVERRIDE", "5", "PERIODICITY_OVERRIDE", "W")</f>
        <v>85.711253484738307</v>
      </c>
      <c r="BA298" cm="1">
        <f t="array" ref="BA298">IFERROR(VALUE(_xll.BDP($B298,"INTERVAL_MAE_MOV_AVG","CALC_INTERVAL","520D","TECH_STUDIES_PARAM1_OVERRIDE",31,"USE_PREVIOUS_BUSINESS_DAY","N")),"")</f>
        <v>134.21967734059979</v>
      </c>
      <c r="BB298" cm="1">
        <f t="array" ref="BB298">IFERROR(VALUE(_xll.BDP($B298,"INTERVAL_MAE_MOV_AVG","CALC_INTERVAL","760D","TECH_STUDIES_PARAM1_OVERRIDE",200,"USE_PREVIOUS_BUSINESS_DAY","N")),"")</f>
        <v>127.42858077190193</v>
      </c>
      <c r="BC298" s="13">
        <f t="shared" ref="BC298:BC353" si="219">-1+(I298/BA298)</f>
        <v>0.1105674142081341</v>
      </c>
      <c r="BD298" s="13">
        <f t="shared" ref="BD298:BD353" si="220">-1+(I298/O298)</f>
        <v>0.12432327566738199</v>
      </c>
      <c r="BE298" s="13">
        <f t="shared" ref="BE298:BE353" si="221">-1+(I298/BB298)</f>
        <v>0.16975327745993241</v>
      </c>
      <c r="BF298" s="14" cm="1">
        <f t="array" ref="BF298">VALUE(_xll.BDP($B298,"INTERVAL_DATE_OF_CALC_HI","CALC_INTERVAL","3M"))</f>
        <v>46064</v>
      </c>
      <c r="BG298" s="14" cm="1">
        <f t="array" ref="BG298">VALUE(_xll.BDP($B298,"INTERVAL_DATE_OF_CALC_LO","CALC_INTERVAL","3M"))</f>
        <v>46029</v>
      </c>
      <c r="BH298" s="14" cm="1">
        <f t="array" ref="BH298">VALUE(_xll.BDP($B298,"INTERVAL_DATE_OF_CALC_HI","CALC_INTERVAL","1M"))</f>
        <v>46064</v>
      </c>
      <c r="BI298" s="14" cm="1">
        <f t="array" ref="BI298">VALUE(_xll.BDP($B298,"INTERVAL_DATE_OF_CALC_LO","CALC_INTERVAL","1M"))</f>
        <v>46034</v>
      </c>
      <c r="BJ298" s="15">
        <f>$F298-MIN(_xll.BDP("NYA Index","RSI_14D"),_xll.BDP("RSP US Equity","RSI_14D"))</f>
        <v>4.7706634513713482</v>
      </c>
    </row>
    <row r="299" spans="1:62" x14ac:dyDescent="0.25">
      <c r="A299" s="11">
        <v>298</v>
      </c>
      <c r="B299" s="26" t="s">
        <v>177</v>
      </c>
      <c r="C299" s="1" t="s">
        <v>254</v>
      </c>
      <c r="D299" s="1" t="s">
        <v>308</v>
      </c>
      <c r="E299" s="11" t="s">
        <v>787</v>
      </c>
      <c r="F299">
        <f>IFERROR(VALUE((_xll.BDP($B299,"interval_rsi","tech_studies_param1_override",14))),"")</f>
        <v>46.770300804015626</v>
      </c>
      <c r="G299">
        <f t="shared" si="184"/>
        <v>52.525531939815814</v>
      </c>
      <c r="H299">
        <f t="shared" si="195"/>
        <v>0</v>
      </c>
      <c r="I299" cm="1">
        <f t="array" ref="I299">IFERROR(VALUE(_xll.BDP($B299,"px_last")),"")</f>
        <v>87.27</v>
      </c>
      <c r="J299">
        <f t="shared" si="185"/>
        <v>6941.47</v>
      </c>
      <c r="K299" cm="1">
        <f t="array" ref="K299">IFERROR(VALUE(_xll.BDP($B299,"PX_YEST_CLOSE")),"")</f>
        <v>87.47</v>
      </c>
      <c r="L299">
        <f t="shared" si="186"/>
        <v>6941.81</v>
      </c>
      <c r="M299">
        <f t="shared" si="196"/>
        <v>1.2572264952524463E-2</v>
      </c>
      <c r="N299">
        <f t="shared" si="197"/>
        <v>1.2600460110547537E-2</v>
      </c>
      <c r="O299" cm="1">
        <f t="array" ref="O299">IFERROR(VALUE(_xll.BDP($B299,"INTERVAL_MAE_MOV_AVG","CALC_INTERVAL","520D","TECH_STUDIES_PARAM1_OVERRIDE",50,"USE_PREVIOUS_BUSINESS_DAY","N")),"")</f>
        <v>87.718249932861326</v>
      </c>
      <c r="P299">
        <f t="shared" si="187"/>
        <v>6894.0953999999992</v>
      </c>
      <c r="Q299" cm="1">
        <f t="array" ref="Q299">IFERROR(VALUE(_xll.BDP($B299,"INTERVAL_MAE_MOV_AVG","CALC_INTERVAL","520D","TECH_STUDIES_PARAM1_OVERRIDE",50,"USE_PREVIOUS_BUSINESS_DAY","Y")),"")</f>
        <v>87.656518175000016</v>
      </c>
      <c r="R299">
        <f t="shared" si="188"/>
        <v>6892.2477999999992</v>
      </c>
      <c r="S299">
        <f t="shared" si="198"/>
        <v>1.2723677994485155E-2</v>
      </c>
      <c r="T299">
        <f t="shared" si="199"/>
        <v>1.2718132127373601E-2</v>
      </c>
      <c r="U299" s="11" t="str">
        <f t="shared" si="200"/>
        <v>NEGATIVE</v>
      </c>
      <c r="V299" s="11" t="str">
        <f t="shared" si="201"/>
        <v/>
      </c>
      <c r="W299" s="11" t="str">
        <f t="shared" si="202"/>
        <v>UP</v>
      </c>
      <c r="X299" s="6" t="str">
        <f t="shared" si="203"/>
        <v>NEGATIVE</v>
      </c>
      <c r="Y299" cm="1">
        <f t="array" ref="Y299">IFERROR(VALUE(_xll.BDP($B299,"INTERVAL_MAE_MOV_AVG","CALC_INTERVAL","520D","TECH_STUDIES_PARAM1_OVERRIDE",65,"USE_PREVIOUS_BUSINESS_DAY","N")),"")</f>
        <v>86.017345948354901</v>
      </c>
      <c r="Z299">
        <f t="shared" si="189"/>
        <v>6856.0226153846133</v>
      </c>
      <c r="AA299" cm="1">
        <f t="array" ref="AA299">IFERROR(VALUE(_xll.BDP($B299,"INTERVAL_MAE_MOV_AVG","CALC_INTERVAL","520D","TECH_STUDIES_PARAM1_OVERRIDE",65,"USE_PREVIOUS_BUSINESS_DAY","Y")),"")</f>
        <v>85.884797542307723</v>
      </c>
      <c r="AB299">
        <f t="shared" si="190"/>
        <v>6852.6203076923057</v>
      </c>
      <c r="AC299">
        <f t="shared" si="204"/>
        <v>1.2546245946641972E-2</v>
      </c>
      <c r="AD299">
        <f t="shared" si="205"/>
        <v>1.2533132391108703E-2</v>
      </c>
      <c r="AE299" s="10" t="str">
        <f t="shared" si="206"/>
        <v>UP</v>
      </c>
      <c r="AF299" s="10" t="str">
        <f t="shared" si="207"/>
        <v>UP</v>
      </c>
      <c r="AG299" s="6" t="str">
        <f t="shared" si="208"/>
        <v>POSITIVE</v>
      </c>
      <c r="AH299" cm="1">
        <f t="array" ref="AH299">IFERROR(VALUE(_xll.BDP($B299,"INTERVAL_MAE_MOV_AVG","CALC_INTERVAL","65W","PERIODICITY_OVERRIDE","W","TECH_STUDIES_PARAM1_OVERRIDE",39,"USE_PREVIOUS_BUSINESS_DAY","N")),"")</f>
        <v>83.125412378750966</v>
      </c>
      <c r="AI299">
        <f t="shared" si="191"/>
        <v>6560.7735897435905</v>
      </c>
      <c r="AJ299" cm="1">
        <f t="array" ref="AJ299">IFERROR(VALUE(_xll.BDP($B299,"INTERVAL_MAE_MOV_AVG","CALC_INTERVAL","65W","PERIODICITY_OVERRIDE","W","TECH_STUDIES_PARAM1_OVERRIDE",39,"USE_PREVIOUS_BUSINESS_DAY","Y")),"")</f>
        <v>83.130540669954399</v>
      </c>
      <c r="AK299">
        <f t="shared" si="192"/>
        <v>6560.7823076923087</v>
      </c>
      <c r="AL299">
        <f t="shared" si="209"/>
        <v>1.2670062644548551E-2</v>
      </c>
      <c r="AM299">
        <f t="shared" si="210"/>
        <v>1.2670827467097405E-2</v>
      </c>
      <c r="AN299" s="10" t="str">
        <f t="shared" si="211"/>
        <v>DOWN</v>
      </c>
      <c r="AO299" s="10" t="str">
        <f t="shared" si="212"/>
        <v>DOWN</v>
      </c>
      <c r="AP299" s="6" t="str">
        <f t="shared" si="213"/>
        <v>NEGATIVE</v>
      </c>
      <c r="AQ299" cm="1">
        <f t="array" ref="AQ299">IFERROR(VALUE(_xll.BDP($B299,"INTERVAL_exp_MOV_AVG","CALC_INTERVAL","520D","TECH_STUDIES_PARAM1_OVERRIDE",100,"USE_PREVIOUS_BUSINESS_DAY","N")),"")</f>
        <v>85.652854658161473</v>
      </c>
      <c r="AR299">
        <f t="shared" si="193"/>
        <v>6773.0064518682802</v>
      </c>
      <c r="AS299" cm="1">
        <f t="array" ref="AS299">IFERROR(VALUE(_xll.BDP($B299,"INTERVAL_exp_MOV_AVG","CALC_INTERVAL","520D","TECH_STUDIES_PARAM1_OVERRIDE",100,"USE_PREVIOUS_BUSINESS_DAY","Y")),"")</f>
        <v>85.620197546751697</v>
      </c>
      <c r="AT299">
        <f t="shared" si="194"/>
        <v>6769.6039787132295</v>
      </c>
      <c r="AU299">
        <f t="shared" si="214"/>
        <v>1.2646208927578211E-2</v>
      </c>
      <c r="AV299">
        <f t="shared" si="215"/>
        <v>1.2647740963279573E-2</v>
      </c>
      <c r="AW299" s="11" t="str">
        <f t="shared" si="216"/>
        <v>UP</v>
      </c>
      <c r="AX299" s="11" t="str">
        <f t="shared" si="217"/>
        <v>DOWN</v>
      </c>
      <c r="AY299" s="6" t="str">
        <f t="shared" si="218"/>
        <v>NEGATIVE</v>
      </c>
      <c r="AZ299" s="12" cm="1">
        <f t="array" ref="AZ299">_xll.BDP($B299, "INTERVAL_RSI", "TECH_STUDIES_PARAM1_OVERRIDE", "5", "PERIODICITY_OVERRIDE", "W")</f>
        <v>47.939071324937352</v>
      </c>
      <c r="BA299" cm="1">
        <f t="array" ref="BA299">IFERROR(VALUE(_xll.BDP($B299,"INTERVAL_MAE_MOV_AVG","CALC_INTERVAL","520D","TECH_STUDIES_PARAM1_OVERRIDE",31,"USE_PREVIOUS_BUSINESS_DAY","N")),"")</f>
        <v>88.40161279493762</v>
      </c>
      <c r="BB299" cm="1">
        <f t="array" ref="BB299">IFERROR(VALUE(_xll.BDP($B299,"INTERVAL_MAE_MOV_AVG","CALC_INTERVAL","760D","TECH_STUDIES_PARAM1_OVERRIDE",200,"USE_PREVIOUS_BUSINESS_DAY","N")),"")</f>
        <v>82.238112165711414</v>
      </c>
      <c r="BC299" s="13">
        <f t="shared" si="219"/>
        <v>-1.2800816174729612E-2</v>
      </c>
      <c r="BD299" s="13">
        <f t="shared" si="220"/>
        <v>-5.1101103043484919E-3</v>
      </c>
      <c r="BE299" s="13">
        <f t="shared" si="221"/>
        <v>6.118681109981261E-2</v>
      </c>
      <c r="BF299" s="14" cm="1">
        <f t="array" ref="BF299">VALUE(_xll.BDP($B299,"INTERVAL_DATE_OF_CALC_HI","CALC_INTERVAL","3M"))</f>
        <v>46037</v>
      </c>
      <c r="BG299" s="14" cm="1">
        <f t="array" ref="BG299">VALUE(_xll.BDP($B299,"INTERVAL_DATE_OF_CALC_LO","CALC_INTERVAL","3M"))</f>
        <v>45981</v>
      </c>
      <c r="BH299" s="14" cm="1">
        <f t="array" ref="BH299">VALUE(_xll.BDP($B299,"INTERVAL_DATE_OF_CALC_HI","CALC_INTERVAL","1M"))</f>
        <v>46037</v>
      </c>
      <c r="BI299" s="14" cm="1">
        <f t="array" ref="BI299">VALUE(_xll.BDP($B299,"INTERVAL_DATE_OF_CALC_LO","CALC_INTERVAL","1M"))</f>
        <v>46052</v>
      </c>
      <c r="BJ299" s="15">
        <f>$F299-MIN(_xll.BDP("NYA Index","RSI_14D"),_xll.BDP("RSP US Equity","RSI_14D"))</f>
        <v>-19.575463356140624</v>
      </c>
    </row>
    <row r="300" spans="1:62" x14ac:dyDescent="0.25">
      <c r="A300" s="11">
        <v>299</v>
      </c>
      <c r="B300" s="26" t="s">
        <v>738</v>
      </c>
      <c r="C300" s="1" t="s">
        <v>739</v>
      </c>
      <c r="D300" s="1" t="s">
        <v>307</v>
      </c>
      <c r="E300" s="11" t="s">
        <v>789</v>
      </c>
      <c r="F300">
        <f>IFERROR(VALUE((_xll.BDP($B300,"interval_rsi","tech_studies_param1_override",14))),"")</f>
        <v>60.967163258911896</v>
      </c>
      <c r="G300">
        <f t="shared" si="184"/>
        <v>52.525531939815814</v>
      </c>
      <c r="H300">
        <f t="shared" si="195"/>
        <v>0</v>
      </c>
      <c r="I300" cm="1">
        <f t="array" ref="I300">IFERROR(VALUE(_xll.BDP($B300,"px_last")),"")</f>
        <v>9057.6</v>
      </c>
      <c r="J300">
        <f t="shared" si="185"/>
        <v>6941.47</v>
      </c>
      <c r="K300" cm="1">
        <f t="array" ref="K300">IFERROR(VALUE(_xll.BDP($B300,"PX_YEST_CLOSE")),"")</f>
        <v>9014.7800000000007</v>
      </c>
      <c r="L300">
        <f t="shared" si="186"/>
        <v>6941.81</v>
      </c>
      <c r="M300">
        <f t="shared" si="196"/>
        <v>1.304853294763213</v>
      </c>
      <c r="N300">
        <f t="shared" si="197"/>
        <v>1.2986209648492253</v>
      </c>
      <c r="O300" cm="1">
        <f t="array" ref="O300">IFERROR(VALUE(_xll.BDP($B300,"INTERVAL_MAE_MOV_AVG","CALC_INTERVAL","520D","TECH_STUDIES_PARAM1_OVERRIDE",50,"USE_PREVIOUS_BUSINESS_DAY","N")),"")</f>
        <v>8746.5151000000023</v>
      </c>
      <c r="P300">
        <f t="shared" si="187"/>
        <v>6894.0953999999992</v>
      </c>
      <c r="Q300" cm="1">
        <f t="array" ref="Q300">IFERROR(VALUE(_xll.BDP($B300,"INTERVAL_MAE_MOV_AVG","CALC_INTERVAL","520D","TECH_STUDIES_PARAM1_OVERRIDE",50,"USE_PREVIOUS_BUSINESS_DAY","Y")),"")</f>
        <v>8738.5653000000002</v>
      </c>
      <c r="R300">
        <f t="shared" si="188"/>
        <v>6892.2477999999992</v>
      </c>
      <c r="S300">
        <f t="shared" si="198"/>
        <v>1.268696557346741</v>
      </c>
      <c r="T300">
        <f t="shared" si="199"/>
        <v>1.2678832151101707</v>
      </c>
      <c r="U300" s="11" t="str">
        <f t="shared" si="200"/>
        <v>NEGATIVE</v>
      </c>
      <c r="V300" s="11" t="str">
        <f t="shared" si="201"/>
        <v/>
      </c>
      <c r="W300" s="11" t="str">
        <f t="shared" si="202"/>
        <v>UP</v>
      </c>
      <c r="X300" s="6" t="str">
        <f t="shared" si="203"/>
        <v>POSITIVE</v>
      </c>
      <c r="Y300" cm="1">
        <f t="array" ref="Y300">IFERROR(VALUE(_xll.BDP($B300,"INTERVAL_MAE_MOV_AVG","CALC_INTERVAL","520D","TECH_STUDIES_PARAM1_OVERRIDE",65,"USE_PREVIOUS_BUSINESS_DAY","N")),"")</f>
        <v>8719.1702923076937</v>
      </c>
      <c r="Z300">
        <f t="shared" si="189"/>
        <v>6856.0226153846133</v>
      </c>
      <c r="AA300" cm="1">
        <f t="array" ref="AA300">IFERROR(VALUE(_xll.BDP($B300,"INTERVAL_MAE_MOV_AVG","CALC_INTERVAL","520D","TECH_STUDIES_PARAM1_OVERRIDE",65,"USE_PREVIOUS_BUSINESS_DAY","Y")),"")</f>
        <v>8716.3009230769221</v>
      </c>
      <c r="AB300">
        <f t="shared" si="190"/>
        <v>6852.6203076923057</v>
      </c>
      <c r="AC300">
        <f t="shared" si="204"/>
        <v>1.2717534321929247</v>
      </c>
      <c r="AD300">
        <f t="shared" si="205"/>
        <v>1.2719661285322594</v>
      </c>
      <c r="AE300" s="10" t="str">
        <f t="shared" si="206"/>
        <v>UP</v>
      </c>
      <c r="AF300" s="10" t="str">
        <f t="shared" si="207"/>
        <v>DOWN</v>
      </c>
      <c r="AG300" s="6" t="str">
        <f t="shared" si="208"/>
        <v>POSITIVE</v>
      </c>
      <c r="AH300" cm="1">
        <f t="array" ref="AH300">IFERROR(VALUE(_xll.BDP($B300,"INTERVAL_MAE_MOV_AVG","CALC_INTERVAL","65W","PERIODICITY_OVERRIDE","W","TECH_STUDIES_PARAM1_OVERRIDE",39,"USE_PREVIOUS_BUSINESS_DAY","N")),"")</f>
        <v>8741.690205128205</v>
      </c>
      <c r="AI300">
        <f t="shared" si="191"/>
        <v>6560.7735897435905</v>
      </c>
      <c r="AJ300" cm="1">
        <f t="array" ref="AJ300">IFERROR(VALUE(_xll.BDP($B300,"INTERVAL_MAE_MOV_AVG","CALC_INTERVAL","65W","PERIODICITY_OVERRIDE","W","TECH_STUDIES_PARAM1_OVERRIDE",39,"USE_PREVIOUS_BUSINESS_DAY","Y")),"")</f>
        <v>8737.9101794871804</v>
      </c>
      <c r="AK300">
        <f t="shared" si="192"/>
        <v>6560.7823076923087</v>
      </c>
      <c r="AL300">
        <f t="shared" si="209"/>
        <v>1.3324176006917883</v>
      </c>
      <c r="AM300">
        <f t="shared" si="210"/>
        <v>1.3318396754670947</v>
      </c>
      <c r="AN300" s="10" t="str">
        <f t="shared" si="211"/>
        <v>UP</v>
      </c>
      <c r="AO300" s="10" t="str">
        <f t="shared" si="212"/>
        <v>UP</v>
      </c>
      <c r="AP300" s="6" t="str">
        <f t="shared" si="213"/>
        <v>NEGATIVE</v>
      </c>
      <c r="AQ300" cm="1">
        <f t="array" ref="AQ300">IFERROR(VALUE(_xll.BDP($B300,"INTERVAL_exp_MOV_AVG","CALC_INTERVAL","520D","TECH_STUDIES_PARAM1_OVERRIDE",100,"USE_PREVIOUS_BUSINESS_DAY","N")),"")</f>
        <v>8763.3651271615017</v>
      </c>
      <c r="AR300">
        <f t="shared" si="193"/>
        <v>6773.0064518682802</v>
      </c>
      <c r="AS300" cm="1">
        <f t="array" ref="AS300">IFERROR(VALUE(_xll.BDP($B300,"INTERVAL_exp_MOV_AVG","CALC_INTERVAL","520D","TECH_STUDIES_PARAM1_OVERRIDE",100,"USE_PREVIOUS_BUSINESS_DAY","Y")),"")</f>
        <v>8758.2848477949174</v>
      </c>
      <c r="AT300">
        <f t="shared" si="194"/>
        <v>6769.6039787132295</v>
      </c>
      <c r="AU300">
        <f t="shared" si="214"/>
        <v>1.2938663486352058</v>
      </c>
      <c r="AV300">
        <f t="shared" si="215"/>
        <v>1.2937662048378342</v>
      </c>
      <c r="AW300" s="11" t="str">
        <f t="shared" si="216"/>
        <v>UP</v>
      </c>
      <c r="AX300" s="11" t="str">
        <f t="shared" si="217"/>
        <v>UP</v>
      </c>
      <c r="AY300" s="6" t="str">
        <f t="shared" si="218"/>
        <v>POSITIVE</v>
      </c>
      <c r="AZ300" s="12" cm="1">
        <f t="array" ref="AZ300">_xll.BDP($B300, "INTERVAL_RSI", "TECH_STUDIES_PARAM1_OVERRIDE", "5", "PERIODICITY_OVERRIDE", "W")</f>
        <v>68.20936704084852</v>
      </c>
      <c r="BA300" cm="1">
        <f t="array" ref="BA300">IFERROR(VALUE(_xll.BDP($B300,"INTERVAL_MAE_MOV_AVG","CALC_INTERVAL","520D","TECH_STUDIES_PARAM1_OVERRIDE",31,"USE_PREVIOUS_BUSINESS_DAY","N")),"")</f>
        <v>8817.8219032258057</v>
      </c>
      <c r="BB300" cm="1">
        <f t="array" ref="BB300">IFERROR(VALUE(_xll.BDP($B300,"INTERVAL_MAE_MOV_AVG","CALC_INTERVAL","760D","TECH_STUDIES_PARAM1_OVERRIDE",200,"USE_PREVIOUS_BUSINESS_DAY","N")),"")</f>
        <v>8705.0584400000025</v>
      </c>
      <c r="BC300" s="13">
        <f t="shared" si="219"/>
        <v>2.7192440424145703E-2</v>
      </c>
      <c r="BD300" s="13">
        <f t="shared" si="220"/>
        <v>3.5566725312118574E-2</v>
      </c>
      <c r="BE300" s="13">
        <f t="shared" si="221"/>
        <v>4.049847136925111E-2</v>
      </c>
      <c r="BF300" s="14" cm="1">
        <f t="array" ref="BF300">VALUE(_xll.BDP($B300,"INTERVAL_DATE_OF_CALC_HI","CALC_INTERVAL","3M"))</f>
        <v>46064</v>
      </c>
      <c r="BG300" s="14" cm="1">
        <f t="array" ref="BG300">VALUE(_xll.BDP($B300,"INTERVAL_DATE_OF_CALC_LO","CALC_INTERVAL","3M"))</f>
        <v>45982</v>
      </c>
      <c r="BH300" s="14" cm="1">
        <f t="array" ref="BH300">VALUE(_xll.BDP($B300,"INTERVAL_DATE_OF_CALC_HI","CALC_INTERVAL","1M"))</f>
        <v>46064</v>
      </c>
      <c r="BI300" s="14" cm="1">
        <f t="array" ref="BI300">VALUE(_xll.BDP($B300,"INTERVAL_DATE_OF_CALC_LO","CALC_INTERVAL","1M"))</f>
        <v>46059</v>
      </c>
      <c r="BJ300" s="15">
        <f>$F300-MIN(_xll.BDP("NYA Index","RSI_14D"),_xll.BDP("RSP US Equity","RSI_14D"))</f>
        <v>-5.3786009012443543</v>
      </c>
    </row>
    <row r="301" spans="1:62" x14ac:dyDescent="0.25">
      <c r="A301" s="11">
        <v>300</v>
      </c>
      <c r="B301" s="26" t="s">
        <v>740</v>
      </c>
      <c r="C301" s="1" t="s">
        <v>741</v>
      </c>
      <c r="D301" s="1" t="s">
        <v>307</v>
      </c>
      <c r="E301" s="11" t="s">
        <v>789</v>
      </c>
      <c r="F301">
        <f>IFERROR(VALUE((_xll.BDP($B301,"interval_rsi","tech_studies_param1_override",14))),"")</f>
        <v>54.333194448953421</v>
      </c>
      <c r="G301">
        <f t="shared" si="184"/>
        <v>52.525531939815814</v>
      </c>
      <c r="H301">
        <f t="shared" si="195"/>
        <v>0</v>
      </c>
      <c r="I301" cm="1">
        <f t="array" ref="I301">IFERROR(VALUE(_xll.BDP($B301,"px_last")),"")</f>
        <v>171.41</v>
      </c>
      <c r="J301">
        <f t="shared" si="185"/>
        <v>6941.47</v>
      </c>
      <c r="K301" cm="1">
        <f t="array" ref="K301">IFERROR(VALUE(_xll.BDP($B301,"PX_YEST_CLOSE")),"")</f>
        <v>174.5497</v>
      </c>
      <c r="L301">
        <f t="shared" si="186"/>
        <v>6941.81</v>
      </c>
      <c r="M301">
        <f t="shared" si="196"/>
        <v>2.4693616769934899E-2</v>
      </c>
      <c r="N301">
        <f t="shared" si="197"/>
        <v>2.5144695691757625E-2</v>
      </c>
      <c r="O301" cm="1">
        <f t="array" ref="O301">IFERROR(VALUE(_xll.BDP($B301,"INTERVAL_MAE_MOV_AVG","CALC_INTERVAL","520D","TECH_STUDIES_PARAM1_OVERRIDE",50,"USE_PREVIOUS_BUSINESS_DAY","N")),"")</f>
        <v>166.5932</v>
      </c>
      <c r="P301">
        <f t="shared" si="187"/>
        <v>6894.0953999999992</v>
      </c>
      <c r="Q301" cm="1">
        <f t="array" ref="Q301">IFERROR(VALUE(_xll.BDP($B301,"INTERVAL_MAE_MOV_AVG","CALC_INTERVAL","520D","TECH_STUDIES_PARAM1_OVERRIDE",50,"USE_PREVIOUS_BUSINESS_DAY","Y")),"")</f>
        <v>166.24780000000004</v>
      </c>
      <c r="R301">
        <f t="shared" si="188"/>
        <v>6892.2477999999992</v>
      </c>
      <c r="S301">
        <f t="shared" si="198"/>
        <v>2.4164620640439647E-2</v>
      </c>
      <c r="T301">
        <f t="shared" si="199"/>
        <v>2.4120984158462797E-2</v>
      </c>
      <c r="U301" s="11" t="str">
        <f t="shared" si="200"/>
        <v>NEGATIVE</v>
      </c>
      <c r="V301" s="11" t="str">
        <f t="shared" si="201"/>
        <v/>
      </c>
      <c r="W301" s="11" t="str">
        <f t="shared" si="202"/>
        <v>UP</v>
      </c>
      <c r="X301" s="6" t="str">
        <f t="shared" si="203"/>
        <v>POSITIVE</v>
      </c>
      <c r="Y301" cm="1">
        <f t="array" ref="Y301">IFERROR(VALUE(_xll.BDP($B301,"INTERVAL_MAE_MOV_AVG","CALC_INTERVAL","520D","TECH_STUDIES_PARAM1_OVERRIDE",65,"USE_PREVIOUS_BUSINESS_DAY","N")),"")</f>
        <v>162.78723076923075</v>
      </c>
      <c r="Z301">
        <f t="shared" si="189"/>
        <v>6856.0226153846133</v>
      </c>
      <c r="AA301" cm="1">
        <f t="array" ref="AA301">IFERROR(VALUE(_xll.BDP($B301,"INTERVAL_MAE_MOV_AVG","CALC_INTERVAL","520D","TECH_STUDIES_PARAM1_OVERRIDE",65,"USE_PREVIOUS_BUSINESS_DAY","Y")),"")</f>
        <v>162.45461538461541</v>
      </c>
      <c r="AB301">
        <f t="shared" si="190"/>
        <v>6852.6203076923057</v>
      </c>
      <c r="AC301">
        <f t="shared" si="204"/>
        <v>2.3743683459261547E-2</v>
      </c>
      <c r="AD301">
        <f t="shared" si="205"/>
        <v>2.3706933711510971E-2</v>
      </c>
      <c r="AE301" s="10" t="str">
        <f t="shared" si="206"/>
        <v>UP</v>
      </c>
      <c r="AF301" s="10" t="str">
        <f t="shared" si="207"/>
        <v>UP</v>
      </c>
      <c r="AG301" s="6" t="str">
        <f t="shared" si="208"/>
        <v>POSITIVE</v>
      </c>
      <c r="AH301" cm="1">
        <f t="array" ref="AH301">IFERROR(VALUE(_xll.BDP($B301,"INTERVAL_MAE_MOV_AVG","CALC_INTERVAL","65W","PERIODICITY_OVERRIDE","W","TECH_STUDIES_PARAM1_OVERRIDE",39,"USE_PREVIOUS_BUSINESS_DAY","N")),"")</f>
        <v>150.62820512820517</v>
      </c>
      <c r="AI301">
        <f t="shared" si="191"/>
        <v>6560.7735897435905</v>
      </c>
      <c r="AJ301" cm="1">
        <f t="array" ref="AJ301">IFERROR(VALUE(_xll.BDP($B301,"INTERVAL_MAE_MOV_AVG","CALC_INTERVAL","65W","PERIODICITY_OVERRIDE","W","TECH_STUDIES_PARAM1_OVERRIDE",39,"USE_PREVIOUS_BUSINESS_DAY","Y")),"")</f>
        <v>150.708717948718</v>
      </c>
      <c r="AK301">
        <f t="shared" si="192"/>
        <v>6560.7823076923087</v>
      </c>
      <c r="AL301">
        <f t="shared" si="209"/>
        <v>2.2958909199927449E-2</v>
      </c>
      <c r="AM301">
        <f t="shared" si="210"/>
        <v>2.2971150524536809E-2</v>
      </c>
      <c r="AN301" s="10" t="str">
        <f t="shared" si="211"/>
        <v>DOWN</v>
      </c>
      <c r="AO301" s="10" t="str">
        <f t="shared" si="212"/>
        <v>DOWN</v>
      </c>
      <c r="AP301" s="6" t="str">
        <f t="shared" si="213"/>
        <v>POSITIVE</v>
      </c>
      <c r="AQ301" cm="1">
        <f t="array" ref="AQ301">IFERROR(VALUE(_xll.BDP($B301,"INTERVAL_exp_MOV_AVG","CALC_INTERVAL","520D","TECH_STUDIES_PARAM1_OVERRIDE",100,"USE_PREVIOUS_BUSINESS_DAY","N")),"")</f>
        <v>159.73466083045017</v>
      </c>
      <c r="AR301">
        <f t="shared" si="193"/>
        <v>6773.0064518682802</v>
      </c>
      <c r="AS301" cm="1">
        <f t="array" ref="AS301">IFERROR(VALUE(_xll.BDP($B301,"INTERVAL_exp_MOV_AVG","CALC_INTERVAL","520D","TECH_STUDIES_PARAM1_OVERRIDE",100,"USE_PREVIOUS_BUSINESS_DAY","Y")),"")</f>
        <v>159.49881494568834</v>
      </c>
      <c r="AT301">
        <f t="shared" si="194"/>
        <v>6769.6039787132295</v>
      </c>
      <c r="AU301">
        <f t="shared" si="214"/>
        <v>2.358401131987533E-2</v>
      </c>
      <c r="AV301">
        <f t="shared" si="215"/>
        <v>2.3561025939955498E-2</v>
      </c>
      <c r="AW301" s="11" t="str">
        <f t="shared" si="216"/>
        <v>UP</v>
      </c>
      <c r="AX301" s="11" t="str">
        <f t="shared" si="217"/>
        <v>UP</v>
      </c>
      <c r="AY301" s="6" t="str">
        <f t="shared" si="218"/>
        <v>POSITIVE</v>
      </c>
      <c r="AZ301" s="12" cm="1">
        <f t="array" ref="AZ301">_xll.BDP($B301, "INTERVAL_RSI", "TECH_STUDIES_PARAM1_OVERRIDE", "5", "PERIODICITY_OVERRIDE", "W")</f>
        <v>60.720973213533128</v>
      </c>
      <c r="BA301" cm="1">
        <f t="array" ref="BA301">IFERROR(VALUE(_xll.BDP($B301,"INTERVAL_MAE_MOV_AVG","CALC_INTERVAL","520D","TECH_STUDIES_PARAM1_OVERRIDE",31,"USE_PREVIOUS_BUSINESS_DAY","N")),"")</f>
        <v>169.05548387096778</v>
      </c>
      <c r="BB301" cm="1">
        <f t="array" ref="BB301">IFERROR(VALUE(_xll.BDP($B301,"INTERVAL_MAE_MOV_AVG","CALC_INTERVAL","760D","TECH_STUDIES_PARAM1_OVERRIDE",200,"USE_PREVIOUS_BUSINESS_DAY","N")),"")</f>
        <v>148.04274999999998</v>
      </c>
      <c r="BC301" s="13">
        <f t="shared" si="219"/>
        <v>1.392747561403751E-2</v>
      </c>
      <c r="BD301" s="13">
        <f t="shared" si="220"/>
        <v>2.8913545090675896E-2</v>
      </c>
      <c r="BE301" s="13">
        <f t="shared" si="221"/>
        <v>0.15784123167125719</v>
      </c>
      <c r="BF301" s="14" cm="1">
        <f t="array" ref="BF301">VALUE(_xll.BDP($B301,"INTERVAL_DATE_OF_CALC_HI","CALC_INTERVAL","3M"))</f>
        <v>46062</v>
      </c>
      <c r="BG301" s="14" cm="1">
        <f t="array" ref="BG301">VALUE(_xll.BDP($B301,"INTERVAL_DATE_OF_CALC_LO","CALC_INTERVAL","3M"))</f>
        <v>45978</v>
      </c>
      <c r="BH301" s="14" cm="1">
        <f t="array" ref="BH301">VALUE(_xll.BDP($B301,"INTERVAL_DATE_OF_CALC_HI","CALC_INTERVAL","1M"))</f>
        <v>46062</v>
      </c>
      <c r="BI301" s="14" cm="1">
        <f t="array" ref="BI301">VALUE(_xll.BDP($B301,"INTERVAL_DATE_OF_CALC_LO","CALC_INTERVAL","1M"))</f>
        <v>46045</v>
      </c>
      <c r="BJ301" s="15">
        <f>$F301-MIN(_xll.BDP("NYA Index","RSI_14D"),_xll.BDP("RSP US Equity","RSI_14D"))</f>
        <v>-12.012569711202829</v>
      </c>
    </row>
    <row r="302" spans="1:62" x14ac:dyDescent="0.25">
      <c r="A302" s="11">
        <v>301</v>
      </c>
      <c r="B302" s="26" t="s">
        <v>742</v>
      </c>
      <c r="C302" s="1" t="s">
        <v>743</v>
      </c>
      <c r="D302" s="1" t="s">
        <v>307</v>
      </c>
      <c r="E302" s="11" t="s">
        <v>789</v>
      </c>
      <c r="F302">
        <f>IFERROR(VALUE((_xll.BDP($B302,"interval_rsi","tech_studies_param1_override",14))),"")</f>
        <v>61.722355300967621</v>
      </c>
      <c r="G302">
        <f t="shared" si="184"/>
        <v>52.525531939815814</v>
      </c>
      <c r="H302">
        <f t="shared" si="195"/>
        <v>0</v>
      </c>
      <c r="I302" cm="1">
        <f t="array" ref="I302">IFERROR(VALUE(_xll.BDP($B302,"px_last")),"")</f>
        <v>8313.24</v>
      </c>
      <c r="J302">
        <f t="shared" si="185"/>
        <v>6941.47</v>
      </c>
      <c r="K302" cm="1">
        <f t="array" ref="K302">IFERROR(VALUE(_xll.BDP($B302,"PX_YEST_CLOSE")),"")</f>
        <v>8327.8799999999992</v>
      </c>
      <c r="L302">
        <f t="shared" si="186"/>
        <v>6941.81</v>
      </c>
      <c r="M302">
        <f t="shared" si="196"/>
        <v>1.1976195243946886</v>
      </c>
      <c r="N302">
        <f t="shared" si="197"/>
        <v>1.199669826745474</v>
      </c>
      <c r="O302" cm="1">
        <f t="array" ref="O302">IFERROR(VALUE(_xll.BDP($B302,"INTERVAL_MAE_MOV_AVG","CALC_INTERVAL","520D","TECH_STUDIES_PARAM1_OVERRIDE",50,"USE_PREVIOUS_BUSINESS_DAY","N")),"")</f>
        <v>8169.7438000000002</v>
      </c>
      <c r="P302">
        <f t="shared" si="187"/>
        <v>6894.0953999999992</v>
      </c>
      <c r="Q302" cm="1">
        <f t="array" ref="Q302">IFERROR(VALUE(_xll.BDP($B302,"INTERVAL_MAE_MOV_AVG","CALC_INTERVAL","520D","TECH_STUDIES_PARAM1_OVERRIDE",50,"USE_PREVIOUS_BUSINESS_DAY","Y")),"")</f>
        <v>8165.9331999999995</v>
      </c>
      <c r="R302">
        <f t="shared" si="188"/>
        <v>6892.2477999999992</v>
      </c>
      <c r="S302">
        <f t="shared" si="198"/>
        <v>1.1850349213328264</v>
      </c>
      <c r="T302">
        <f t="shared" si="199"/>
        <v>1.1847997107707011</v>
      </c>
      <c r="U302" s="11" t="str">
        <f t="shared" si="200"/>
        <v>NEGATIVE</v>
      </c>
      <c r="V302" s="11" t="str">
        <f t="shared" si="201"/>
        <v/>
      </c>
      <c r="W302" s="11" t="str">
        <f t="shared" si="202"/>
        <v>UP</v>
      </c>
      <c r="X302" s="6" t="str">
        <f t="shared" si="203"/>
        <v>POSITIVE</v>
      </c>
      <c r="Y302" cm="1">
        <f t="array" ref="Y302">IFERROR(VALUE(_xll.BDP($B302,"INTERVAL_MAE_MOV_AVG","CALC_INTERVAL","520D","TECH_STUDIES_PARAM1_OVERRIDE",65,"USE_PREVIOUS_BUSINESS_DAY","N")),"")</f>
        <v>8148.481076923078</v>
      </c>
      <c r="Z302">
        <f t="shared" si="189"/>
        <v>6856.0226153846133</v>
      </c>
      <c r="AA302" cm="1">
        <f t="array" ref="AA302">IFERROR(VALUE(_xll.BDP($B302,"INTERVAL_MAE_MOV_AVG","CALC_INTERVAL","520D","TECH_STUDIES_PARAM1_OVERRIDE",65,"USE_PREVIOUS_BUSINESS_DAY","Y")),"")</f>
        <v>8142.8955384615383</v>
      </c>
      <c r="AB302">
        <f t="shared" si="190"/>
        <v>6852.6203076923057</v>
      </c>
      <c r="AC302">
        <f t="shared" si="204"/>
        <v>1.1885143229601147</v>
      </c>
      <c r="AD302">
        <f t="shared" si="205"/>
        <v>1.1882893218701835</v>
      </c>
      <c r="AE302" s="10" t="str">
        <f t="shared" si="206"/>
        <v>UP</v>
      </c>
      <c r="AF302" s="10" t="str">
        <f t="shared" si="207"/>
        <v>UP</v>
      </c>
      <c r="AG302" s="6" t="str">
        <f t="shared" si="208"/>
        <v>POSITIVE</v>
      </c>
      <c r="AH302" cm="1">
        <f t="array" ref="AH302">IFERROR(VALUE(_xll.BDP($B302,"INTERVAL_MAE_MOV_AVG","CALC_INTERVAL","65W","PERIODICITY_OVERRIDE","W","TECH_STUDIES_PARAM1_OVERRIDE",39,"USE_PREVIOUS_BUSINESS_DAY","N")),"")</f>
        <v>7959.1702564102561</v>
      </c>
      <c r="AI302">
        <f t="shared" si="191"/>
        <v>6560.7735897435905</v>
      </c>
      <c r="AJ302" cm="1">
        <f t="array" ref="AJ302">IFERROR(VALUE(_xll.BDP($B302,"INTERVAL_MAE_MOV_AVG","CALC_INTERVAL","65W","PERIODICITY_OVERRIDE","W","TECH_STUDIES_PARAM1_OVERRIDE",39,"USE_PREVIOUS_BUSINESS_DAY","Y")),"")</f>
        <v>7959.5456410256411</v>
      </c>
      <c r="AK302">
        <f t="shared" si="192"/>
        <v>6560.7823076923087</v>
      </c>
      <c r="AL302">
        <f t="shared" si="209"/>
        <v>1.2131450883860355</v>
      </c>
      <c r="AM302">
        <f t="shared" si="210"/>
        <v>1.213200692803559</v>
      </c>
      <c r="AN302" s="10" t="str">
        <f t="shared" si="211"/>
        <v>DOWN</v>
      </c>
      <c r="AO302" s="10" t="str">
        <f t="shared" si="212"/>
        <v>DOWN</v>
      </c>
      <c r="AP302" s="6" t="str">
        <f t="shared" si="213"/>
        <v>NEGATIVE</v>
      </c>
      <c r="AQ302" cm="1">
        <f t="array" ref="AQ302">IFERROR(VALUE(_xll.BDP($B302,"INTERVAL_exp_MOV_AVG","CALC_INTERVAL","520D","TECH_STUDIES_PARAM1_OVERRIDE",100,"USE_PREVIOUS_BUSINESS_DAY","N")),"")</f>
        <v>8098.9870741292407</v>
      </c>
      <c r="AR302">
        <f t="shared" si="193"/>
        <v>6773.0064518682802</v>
      </c>
      <c r="AS302" cm="1">
        <f t="array" ref="AS302">IFERROR(VALUE(_xll.BDP($B302,"INTERVAL_exp_MOV_AVG","CALC_INTERVAL","520D","TECH_STUDIES_PARAM1_OVERRIDE",100,"USE_PREVIOUS_BUSINESS_DAY","Y")),"")</f>
        <v>8094.6575943936741</v>
      </c>
      <c r="AT302">
        <f t="shared" si="194"/>
        <v>6769.6039787132295</v>
      </c>
      <c r="AU302">
        <f t="shared" si="214"/>
        <v>1.1957743037281765</v>
      </c>
      <c r="AV302">
        <f t="shared" si="215"/>
        <v>1.1957357653190683</v>
      </c>
      <c r="AW302" s="11" t="str">
        <f t="shared" si="216"/>
        <v>UP</v>
      </c>
      <c r="AX302" s="11" t="str">
        <f t="shared" si="217"/>
        <v>UP</v>
      </c>
      <c r="AY302" s="6" t="str">
        <f t="shared" si="218"/>
        <v>POSITIVE</v>
      </c>
      <c r="AZ302" s="12" cm="1">
        <f t="array" ref="AZ302">_xll.BDP($B302, "INTERVAL_RSI", "TECH_STUDIES_PARAM1_OVERRIDE", "5", "PERIODICITY_OVERRIDE", "W")</f>
        <v>64.457804306875204</v>
      </c>
      <c r="BA302" cm="1">
        <f t="array" ref="BA302">IFERROR(VALUE(_xll.BDP($B302,"INTERVAL_MAE_MOV_AVG","CALC_INTERVAL","520D","TECH_STUDIES_PARAM1_OVERRIDE",31,"USE_PREVIOUS_BUSINESS_DAY","N")),"")</f>
        <v>8212.7016129032254</v>
      </c>
      <c r="BB302" cm="1">
        <f t="array" ref="BB302">IFERROR(VALUE(_xll.BDP($B302,"INTERVAL_MAE_MOV_AVG","CALC_INTERVAL","760D","TECH_STUDIES_PARAM1_OVERRIDE",200,"USE_PREVIOUS_BUSINESS_DAY","N")),"")</f>
        <v>7940.6214999999984</v>
      </c>
      <c r="BC302" s="13">
        <f t="shared" si="219"/>
        <v>1.2241816619614543E-2</v>
      </c>
      <c r="BD302" s="13">
        <f t="shared" si="220"/>
        <v>1.7564345163430861E-2</v>
      </c>
      <c r="BE302" s="13">
        <f t="shared" si="221"/>
        <v>4.6925609034507154E-2</v>
      </c>
      <c r="BF302" s="14" cm="1">
        <f t="array" ref="BF302">VALUE(_xll.BDP($B302,"INTERVAL_DATE_OF_CALC_HI","CALC_INTERVAL","3M"))</f>
        <v>46031</v>
      </c>
      <c r="BG302" s="14" cm="1">
        <f t="array" ref="BG302">VALUE(_xll.BDP($B302,"INTERVAL_DATE_OF_CALC_LO","CALC_INTERVAL","3M"))</f>
        <v>45980</v>
      </c>
      <c r="BH302" s="14" cm="1">
        <f t="array" ref="BH302">VALUE(_xll.BDP($B302,"INTERVAL_DATE_OF_CALC_HI","CALC_INTERVAL","1M"))</f>
        <v>46034</v>
      </c>
      <c r="BI302" s="14" cm="1">
        <f t="array" ref="BI302">VALUE(_xll.BDP($B302,"INTERVAL_DATE_OF_CALC_LO","CALC_INTERVAL","1M"))</f>
        <v>46042</v>
      </c>
      <c r="BJ302" s="15">
        <f>$F302-MIN(_xll.BDP("NYA Index","RSI_14D"),_xll.BDP("RSP US Equity","RSI_14D"))</f>
        <v>-4.6234088591886291</v>
      </c>
    </row>
    <row r="303" spans="1:62" x14ac:dyDescent="0.25">
      <c r="A303" s="11">
        <v>302</v>
      </c>
      <c r="B303" s="26" t="s">
        <v>744</v>
      </c>
      <c r="C303" s="1" t="s">
        <v>745</v>
      </c>
      <c r="D303" s="1" t="s">
        <v>307</v>
      </c>
      <c r="E303" s="11" t="s">
        <v>789</v>
      </c>
      <c r="F303">
        <f>IFERROR(VALUE((_xll.BDP($B303,"interval_rsi","tech_studies_param1_override",14))),"")</f>
        <v>45.355038589642568</v>
      </c>
      <c r="G303">
        <f t="shared" si="184"/>
        <v>52.525531939815814</v>
      </c>
      <c r="H303">
        <f t="shared" si="195"/>
        <v>0</v>
      </c>
      <c r="I303" cm="1">
        <f t="array" ref="I303">IFERROR(VALUE(_xll.BDP($B303,"px_last")),"")</f>
        <v>23066.47</v>
      </c>
      <c r="J303">
        <f t="shared" si="185"/>
        <v>6941.47</v>
      </c>
      <c r="K303" cm="1">
        <f t="array" ref="K303">IFERROR(VALUE(_xll.BDP($B303,"PX_YEST_CLOSE")),"")</f>
        <v>23102.47</v>
      </c>
      <c r="L303">
        <f t="shared" si="186"/>
        <v>6941.81</v>
      </c>
      <c r="M303">
        <f t="shared" si="196"/>
        <v>3.3229949852120662</v>
      </c>
      <c r="N303">
        <f t="shared" si="197"/>
        <v>3.3280181969832077</v>
      </c>
      <c r="O303" cm="1">
        <f t="array" ref="O303">IFERROR(VALUE(_xll.BDP($B303,"INTERVAL_MAE_MOV_AVG","CALC_INTERVAL","520D","TECH_STUDIES_PARAM1_OVERRIDE",50,"USE_PREVIOUS_BUSINESS_DAY","N")),"")</f>
        <v>23388.938599999994</v>
      </c>
      <c r="P303">
        <f t="shared" si="187"/>
        <v>6894.0953999999992</v>
      </c>
      <c r="Q303" cm="1">
        <f t="array" ref="Q303">IFERROR(VALUE(_xll.BDP($B303,"INTERVAL_MAE_MOV_AVG","CALC_INTERVAL","520D","TECH_STUDIES_PARAM1_OVERRIDE",50,"USE_PREVIOUS_BUSINESS_DAY","Y")),"")</f>
        <v>23394.922999999995</v>
      </c>
      <c r="R303">
        <f t="shared" si="188"/>
        <v>6892.2477999999992</v>
      </c>
      <c r="S303">
        <f t="shared" si="198"/>
        <v>3.3926044307422836</v>
      </c>
      <c r="T303">
        <f t="shared" si="199"/>
        <v>3.3943821636825069</v>
      </c>
      <c r="U303" s="11" t="str">
        <f t="shared" si="200"/>
        <v>NEGATIVE</v>
      </c>
      <c r="V303" s="11" t="str">
        <f t="shared" si="201"/>
        <v/>
      </c>
      <c r="W303" s="11" t="str">
        <f t="shared" si="202"/>
        <v>DOWN</v>
      </c>
      <c r="X303" s="6" t="str">
        <f t="shared" si="203"/>
        <v>NEGATIVE</v>
      </c>
      <c r="Y303" cm="1">
        <f t="array" ref="Y303">IFERROR(VALUE(_xll.BDP($B303,"INTERVAL_MAE_MOV_AVG","CALC_INTERVAL","520D","TECH_STUDIES_PARAM1_OVERRIDE",65,"USE_PREVIOUS_BUSINESS_DAY","N")),"")</f>
        <v>23279.363230769235</v>
      </c>
      <c r="Z303">
        <f t="shared" si="189"/>
        <v>6856.0226153846133</v>
      </c>
      <c r="AA303" cm="1">
        <f t="array" ref="AA303">IFERROR(VALUE(_xll.BDP($B303,"INTERVAL_MAE_MOV_AVG","CALC_INTERVAL","520D","TECH_STUDIES_PARAM1_OVERRIDE",65,"USE_PREVIOUS_BUSINESS_DAY","Y")),"")</f>
        <v>23279.171230769232</v>
      </c>
      <c r="AB303">
        <f t="shared" si="190"/>
        <v>6852.6203076923057</v>
      </c>
      <c r="AC303">
        <f t="shared" si="204"/>
        <v>3.3954618496344176</v>
      </c>
      <c r="AD303">
        <f t="shared" si="205"/>
        <v>3.3971196689006029</v>
      </c>
      <c r="AE303" s="10" t="str">
        <f t="shared" si="206"/>
        <v>UP</v>
      </c>
      <c r="AF303" s="10" t="str">
        <f t="shared" si="207"/>
        <v>DOWN</v>
      </c>
      <c r="AG303" s="6" t="str">
        <f t="shared" si="208"/>
        <v>NEGATIVE</v>
      </c>
      <c r="AH303" cm="1">
        <f t="array" ref="AH303">IFERROR(VALUE(_xll.BDP($B303,"INTERVAL_MAE_MOV_AVG","CALC_INTERVAL","65W","PERIODICITY_OVERRIDE","W","TECH_STUDIES_PARAM1_OVERRIDE",39,"USE_PREVIOUS_BUSINESS_DAY","N")),"")</f>
        <v>22016.083846153844</v>
      </c>
      <c r="AI303">
        <f t="shared" si="191"/>
        <v>6560.7735897435905</v>
      </c>
      <c r="AJ303" cm="1">
        <f t="array" ref="AJ303">IFERROR(VALUE(_xll.BDP($B303,"INTERVAL_MAE_MOV_AVG","CALC_INTERVAL","65W","PERIODICITY_OVERRIDE","W","TECH_STUDIES_PARAM1_OVERRIDE",39,"USE_PREVIOUS_BUSINESS_DAY","Y")),"")</f>
        <v>22017.006923076922</v>
      </c>
      <c r="AK303">
        <f t="shared" si="192"/>
        <v>6560.7823076923087</v>
      </c>
      <c r="AL303">
        <f t="shared" si="209"/>
        <v>3.3557146188631517</v>
      </c>
      <c r="AM303">
        <f t="shared" si="210"/>
        <v>3.3558508559661675</v>
      </c>
      <c r="AN303" s="10" t="str">
        <f t="shared" si="211"/>
        <v>DOWN</v>
      </c>
      <c r="AO303" s="10" t="str">
        <f t="shared" si="212"/>
        <v>DOWN</v>
      </c>
      <c r="AP303" s="6" t="str">
        <f t="shared" si="213"/>
        <v>NEGATIVE</v>
      </c>
      <c r="AQ303" cm="1">
        <f t="array" ref="AQ303">IFERROR(VALUE(_xll.BDP($B303,"INTERVAL_exp_MOV_AVG","CALC_INTERVAL","520D","TECH_STUDIES_PARAM1_OVERRIDE",100,"USE_PREVIOUS_BUSINESS_DAY","N")),"")</f>
        <v>22900.23952443511</v>
      </c>
      <c r="AR303">
        <f t="shared" si="193"/>
        <v>6773.0064518682802</v>
      </c>
      <c r="AS303" cm="1">
        <f t="array" ref="AS303">IFERROR(VALUE(_xll.BDP($B303,"INTERVAL_exp_MOV_AVG","CALC_INTERVAL","520D","TECH_STUDIES_PARAM1_OVERRIDE",100,"USE_PREVIOUS_BUSINESS_DAY","Y")),"")</f>
        <v>22896.884086879858</v>
      </c>
      <c r="AT303">
        <f t="shared" si="194"/>
        <v>6769.6039787132295</v>
      </c>
      <c r="AU303">
        <f t="shared" si="214"/>
        <v>3.3811040469507097</v>
      </c>
      <c r="AV303">
        <f t="shared" si="215"/>
        <v>3.3823077625926521</v>
      </c>
      <c r="AW303" s="11" t="str">
        <f t="shared" si="216"/>
        <v>UP</v>
      </c>
      <c r="AX303" s="11" t="str">
        <f t="shared" si="217"/>
        <v>DOWN</v>
      </c>
      <c r="AY303" s="6" t="str">
        <f t="shared" si="218"/>
        <v>NEGATIVE</v>
      </c>
      <c r="AZ303" s="12" cm="1">
        <f t="array" ref="AZ303">_xll.BDP($B303, "INTERVAL_RSI", "TECH_STUDIES_PARAM1_OVERRIDE", "5", "PERIODICITY_OVERRIDE", "W")</f>
        <v>39.017687717391809</v>
      </c>
      <c r="BA303" cm="1">
        <f t="array" ref="BA303">IFERROR(VALUE(_xll.BDP($B303,"INTERVAL_MAE_MOV_AVG","CALC_INTERVAL","520D","TECH_STUDIES_PARAM1_OVERRIDE",31,"USE_PREVIOUS_BUSINESS_DAY","N")),"")</f>
        <v>23396.166451612902</v>
      </c>
      <c r="BB303" cm="1">
        <f t="array" ref="BB303">IFERROR(VALUE(_xll.BDP($B303,"INTERVAL_MAE_MOV_AVG","CALC_INTERVAL","760D","TECH_STUDIES_PARAM1_OVERRIDE",200,"USE_PREVIOUS_BUSINESS_DAY","N")),"")</f>
        <v>21727.402800000011</v>
      </c>
      <c r="BC303" s="13">
        <f t="shared" si="219"/>
        <v>-1.4091900581010397E-2</v>
      </c>
      <c r="BD303" s="13">
        <f t="shared" si="220"/>
        <v>-1.3787226753418924E-2</v>
      </c>
      <c r="BE303" s="13">
        <f t="shared" si="221"/>
        <v>6.1630338992932465E-2</v>
      </c>
      <c r="BF303" s="14" cm="1">
        <f t="array" ref="BF303">VALUE(_xll.BDP($B303,"INTERVAL_DATE_OF_CALC_HI","CALC_INTERVAL","3M"))</f>
        <v>46050</v>
      </c>
      <c r="BG303" s="14" cm="1">
        <f t="array" ref="BG303">VALUE(_xll.BDP($B303,"INTERVAL_DATE_OF_CALC_LO","CALC_INTERVAL","3M"))</f>
        <v>45981</v>
      </c>
      <c r="BH303" s="14" cm="1">
        <f t="array" ref="BH303">VALUE(_xll.BDP($B303,"INTERVAL_DATE_OF_CALC_HI","CALC_INTERVAL","1M"))</f>
        <v>46050</v>
      </c>
      <c r="BI303" s="14" cm="1">
        <f t="array" ref="BI303">VALUE(_xll.BDP($B303,"INTERVAL_DATE_OF_CALC_LO","CALC_INTERVAL","1M"))</f>
        <v>46058</v>
      </c>
      <c r="BJ303" s="15">
        <f>$F303-MIN(_xll.BDP("NYA Index","RSI_14D"),_xll.BDP("RSP US Equity","RSI_14D"))</f>
        <v>-20.990725570513682</v>
      </c>
    </row>
    <row r="304" spans="1:62" x14ac:dyDescent="0.25">
      <c r="A304" s="11">
        <v>303</v>
      </c>
      <c r="B304" s="26" t="s">
        <v>746</v>
      </c>
      <c r="C304" s="1" t="s">
        <v>747</v>
      </c>
      <c r="D304" s="1" t="s">
        <v>307</v>
      </c>
      <c r="E304" s="11" t="s">
        <v>789</v>
      </c>
      <c r="F304">
        <f>IFERROR(VALUE((_xll.BDP($B304,"interval_rsi","tech_studies_param1_override",14))),"")</f>
        <v>52.640461773259993</v>
      </c>
      <c r="G304">
        <f t="shared" si="184"/>
        <v>52.525531939815814</v>
      </c>
      <c r="H304">
        <f t="shared" si="195"/>
        <v>0</v>
      </c>
      <c r="I304" cm="1">
        <f t="array" ref="I304">IFERROR(VALUE(_xll.BDP($B304,"px_last")),"")</f>
        <v>24856.15</v>
      </c>
      <c r="J304">
        <f t="shared" si="185"/>
        <v>6941.47</v>
      </c>
      <c r="K304" cm="1">
        <f t="array" ref="K304">IFERROR(VALUE(_xll.BDP($B304,"PX_YEST_CLOSE")),"")</f>
        <v>24987.85</v>
      </c>
      <c r="L304">
        <f t="shared" si="186"/>
        <v>6941.81</v>
      </c>
      <c r="M304">
        <f t="shared" si="196"/>
        <v>3.5808193365382261</v>
      </c>
      <c r="N304">
        <f t="shared" si="197"/>
        <v>3.5996159503069078</v>
      </c>
      <c r="O304" cm="1">
        <f t="array" ref="O304">IFERROR(VALUE(_xll.BDP($B304,"INTERVAL_MAE_MOV_AVG","CALC_INTERVAL","520D","TECH_STUDIES_PARAM1_OVERRIDE",50,"USE_PREVIOUS_BUSINESS_DAY","N")),"")</f>
        <v>24557.093399999994</v>
      </c>
      <c r="P304">
        <f t="shared" si="187"/>
        <v>6894.0953999999992</v>
      </c>
      <c r="Q304" cm="1">
        <f t="array" ref="Q304">IFERROR(VALUE(_xll.BDP($B304,"INTERVAL_MAE_MOV_AVG","CALC_INTERVAL","520D","TECH_STUDIES_PARAM1_OVERRIDE",50,"USE_PREVIOUS_BUSINESS_DAY","Y")),"")</f>
        <v>24534.494799999997</v>
      </c>
      <c r="R304">
        <f t="shared" si="188"/>
        <v>6892.2477999999992</v>
      </c>
      <c r="S304">
        <f t="shared" si="198"/>
        <v>3.5620472266745824</v>
      </c>
      <c r="T304">
        <f t="shared" si="199"/>
        <v>3.5597232589344801</v>
      </c>
      <c r="U304" s="11" t="str">
        <f t="shared" si="200"/>
        <v>NEGATIVE</v>
      </c>
      <c r="V304" s="11" t="str">
        <f t="shared" si="201"/>
        <v/>
      </c>
      <c r="W304" s="11" t="str">
        <f t="shared" si="202"/>
        <v>UP</v>
      </c>
      <c r="X304" s="6" t="str">
        <f t="shared" si="203"/>
        <v>POSITIVE</v>
      </c>
      <c r="Y304" cm="1">
        <f t="array" ref="Y304">IFERROR(VALUE(_xll.BDP($B304,"INTERVAL_MAE_MOV_AVG","CALC_INTERVAL","520D","TECH_STUDIES_PARAM1_OVERRIDE",65,"USE_PREVIOUS_BUSINESS_DAY","N")),"")</f>
        <v>24342.17</v>
      </c>
      <c r="Z304">
        <f t="shared" si="189"/>
        <v>6856.0226153846133</v>
      </c>
      <c r="AA304" cm="1">
        <f t="array" ref="AA304">IFERROR(VALUE(_xll.BDP($B304,"INTERVAL_MAE_MOV_AVG","CALC_INTERVAL","520D","TECH_STUDIES_PARAM1_OVERRIDE",65,"USE_PREVIOUS_BUSINESS_DAY","Y")),"")</f>
        <v>24329.763692307693</v>
      </c>
      <c r="AB304">
        <f t="shared" si="190"/>
        <v>6852.6203076923057</v>
      </c>
      <c r="AC304">
        <f t="shared" si="204"/>
        <v>3.5504798285491708</v>
      </c>
      <c r="AD304">
        <f t="shared" si="205"/>
        <v>3.5504321850426592</v>
      </c>
      <c r="AE304" s="10" t="str">
        <f t="shared" si="206"/>
        <v>UP</v>
      </c>
      <c r="AF304" s="10" t="str">
        <f t="shared" si="207"/>
        <v>UP</v>
      </c>
      <c r="AG304" s="6" t="str">
        <f t="shared" si="208"/>
        <v>POSITIVE</v>
      </c>
      <c r="AH304" cm="1">
        <f t="array" ref="AH304">IFERROR(VALUE(_xll.BDP($B304,"INTERVAL_MAE_MOV_AVG","CALC_INTERVAL","65W","PERIODICITY_OVERRIDE","W","TECH_STUDIES_PARAM1_OVERRIDE",39,"USE_PREVIOUS_BUSINESS_DAY","N")),"")</f>
        <v>24109.017179487179</v>
      </c>
      <c r="AI304">
        <f t="shared" si="191"/>
        <v>6560.7735897435905</v>
      </c>
      <c r="AJ304" cm="1">
        <f t="array" ref="AJ304">IFERROR(VALUE(_xll.BDP($B304,"INTERVAL_MAE_MOV_AVG","CALC_INTERVAL","65W","PERIODICITY_OVERRIDE","W","TECH_STUDIES_PARAM1_OVERRIDE",39,"USE_PREVIOUS_BUSINESS_DAY","Y")),"")</f>
        <v>24112.3941025641</v>
      </c>
      <c r="AK304">
        <f t="shared" si="192"/>
        <v>6560.7823076923087</v>
      </c>
      <c r="AL304">
        <f t="shared" si="209"/>
        <v>3.6747217153136682</v>
      </c>
      <c r="AM304">
        <f t="shared" si="210"/>
        <v>3.6752315458315215</v>
      </c>
      <c r="AN304" s="10" t="str">
        <f t="shared" si="211"/>
        <v>DOWN</v>
      </c>
      <c r="AO304" s="10" t="str">
        <f t="shared" si="212"/>
        <v>DOWN</v>
      </c>
      <c r="AP304" s="6" t="str">
        <f t="shared" si="213"/>
        <v>NEGATIVE</v>
      </c>
      <c r="AQ304" cm="1">
        <f t="array" ref="AQ304">IFERROR(VALUE(_xll.BDP($B304,"INTERVAL_exp_MOV_AVG","CALC_INTERVAL","520D","TECH_STUDIES_PARAM1_OVERRIDE",100,"USE_PREVIOUS_BUSINESS_DAY","N")),"")</f>
        <v>24330.176496274864</v>
      </c>
      <c r="AR304">
        <f t="shared" si="193"/>
        <v>6773.0064518682802</v>
      </c>
      <c r="AS304" cm="1">
        <f t="array" ref="AS304">IFERROR(VALUE(_xll.BDP($B304,"INTERVAL_exp_MOV_AVG","CALC_INTERVAL","520D","TECH_STUDIES_PARAM1_OVERRIDE",100,"USE_PREVIOUS_BUSINESS_DAY","Y")),"")</f>
        <v>24319.542611598634</v>
      </c>
      <c r="AT304">
        <f t="shared" si="194"/>
        <v>6769.6039787132295</v>
      </c>
      <c r="AU304">
        <f t="shared" si="214"/>
        <v>3.5922269776612388</v>
      </c>
      <c r="AV304">
        <f t="shared" si="215"/>
        <v>3.5924616400118148</v>
      </c>
      <c r="AW304" s="11" t="str">
        <f t="shared" si="216"/>
        <v>UP</v>
      </c>
      <c r="AX304" s="11" t="str">
        <f t="shared" si="217"/>
        <v>DOWN</v>
      </c>
      <c r="AY304" s="6" t="str">
        <f t="shared" si="218"/>
        <v>SELL</v>
      </c>
      <c r="AZ304" s="12" cm="1">
        <f t="array" ref="AZ304">_xll.BDP($B304, "INTERVAL_RSI", "TECH_STUDIES_PARAM1_OVERRIDE", "5", "PERIODICITY_OVERRIDE", "W")</f>
        <v>58.770487295537379</v>
      </c>
      <c r="BA304" cm="1">
        <f t="array" ref="BA304">IFERROR(VALUE(_xll.BDP($B304,"INTERVAL_MAE_MOV_AVG","CALC_INTERVAL","520D","TECH_STUDIES_PARAM1_OVERRIDE",31,"USE_PREVIOUS_BUSINESS_DAY","N")),"")</f>
        <v>24875.694838709671</v>
      </c>
      <c r="BB304" cm="1">
        <f t="array" ref="BB304">IFERROR(VALUE(_xll.BDP($B304,"INTERVAL_MAE_MOV_AVG","CALC_INTERVAL","760D","TECH_STUDIES_PARAM1_OVERRIDE",200,"USE_PREVIOUS_BUSINESS_DAY","N")),"")</f>
        <v>24070.117900000019</v>
      </c>
      <c r="BC304" s="13">
        <f t="shared" si="219"/>
        <v>-7.857002120501555E-4</v>
      </c>
      <c r="BD304" s="13">
        <f t="shared" si="220"/>
        <v>1.217801289137932E-2</v>
      </c>
      <c r="BE304" s="13">
        <f t="shared" si="221"/>
        <v>3.2655930613450845E-2</v>
      </c>
      <c r="BF304" s="14" cm="1">
        <f t="array" ref="BF304">VALUE(_xll.BDP($B304,"INTERVAL_DATE_OF_CALC_HI","CALC_INTERVAL","3M"))</f>
        <v>46035</v>
      </c>
      <c r="BG304" s="14" cm="1">
        <f t="array" ref="BG304">VALUE(_xll.BDP($B304,"INTERVAL_DATE_OF_CALC_LO","CALC_INTERVAL","3M"))</f>
        <v>45982</v>
      </c>
      <c r="BH304" s="14" cm="1">
        <f t="array" ref="BH304">VALUE(_xll.BDP($B304,"INTERVAL_DATE_OF_CALC_HI","CALC_INTERVAL","1M"))</f>
        <v>46035</v>
      </c>
      <c r="BI304" s="14" cm="1">
        <f t="array" ref="BI304">VALUE(_xll.BDP($B304,"INTERVAL_DATE_OF_CALC_LO","CALC_INTERVAL","1M"))</f>
        <v>46051</v>
      </c>
      <c r="BJ304" s="15">
        <f>$F304-MIN(_xll.BDP("NYA Index","RSI_14D"),_xll.BDP("RSP US Equity","RSI_14D"))</f>
        <v>-13.705302386896257</v>
      </c>
    </row>
    <row r="305" spans="1:62" x14ac:dyDescent="0.25">
      <c r="A305" s="11">
        <v>304</v>
      </c>
      <c r="B305" s="26" t="s">
        <v>748</v>
      </c>
      <c r="C305" s="1" t="s">
        <v>749</v>
      </c>
      <c r="D305" s="1" t="s">
        <v>307</v>
      </c>
      <c r="E305" s="11" t="s">
        <v>789</v>
      </c>
      <c r="F305">
        <f>IFERROR(VALUE((_xll.BDP($B305,"interval_rsi","tech_studies_param1_override",14))),"")</f>
        <v>60.486372091028265</v>
      </c>
      <c r="G305">
        <f t="shared" si="184"/>
        <v>52.525531939815814</v>
      </c>
      <c r="H305">
        <f t="shared" si="195"/>
        <v>0</v>
      </c>
      <c r="I305" cm="1">
        <f t="array" ref="I305">IFERROR(VALUE(_xll.BDP($B305,"px_last")),"")</f>
        <v>46510.83</v>
      </c>
      <c r="J305">
        <f t="shared" si="185"/>
        <v>6941.47</v>
      </c>
      <c r="K305" cm="1">
        <f t="array" ref="K305">IFERROR(VALUE(_xll.BDP($B305,"PX_YEST_CLOSE")),"")</f>
        <v>46802.99</v>
      </c>
      <c r="L305">
        <f t="shared" si="186"/>
        <v>6941.81</v>
      </c>
      <c r="M305">
        <f t="shared" si="196"/>
        <v>6.7004294479411426</v>
      </c>
      <c r="N305">
        <f t="shared" si="197"/>
        <v>6.7421882765445895</v>
      </c>
      <c r="O305" cm="1">
        <f t="array" ref="O305">IFERROR(VALUE(_xll.BDP($B305,"INTERVAL_MAE_MOV_AVG","CALC_INTERVAL","520D","TECH_STUDIES_PARAM1_OVERRIDE",50,"USE_PREVIOUS_BUSINESS_DAY","N")),"")</f>
        <v>44900.959199999998</v>
      </c>
      <c r="P305">
        <f t="shared" si="187"/>
        <v>6894.0953999999992</v>
      </c>
      <c r="Q305" cm="1">
        <f t="array" ref="Q305">IFERROR(VALUE(_xll.BDP($B305,"INTERVAL_MAE_MOV_AVG","CALC_INTERVAL","520D","TECH_STUDIES_PARAM1_OVERRIDE",50,"USE_PREVIOUS_BUSINESS_DAY","Y")),"")</f>
        <v>44833.349000000002</v>
      </c>
      <c r="R305">
        <f t="shared" si="188"/>
        <v>6892.2477999999992</v>
      </c>
      <c r="S305">
        <f t="shared" si="198"/>
        <v>6.5129587849915742</v>
      </c>
      <c r="T305">
        <f t="shared" si="199"/>
        <v>6.5048951083853961</v>
      </c>
      <c r="U305" s="11" t="str">
        <f t="shared" si="200"/>
        <v>NEGATIVE</v>
      </c>
      <c r="V305" s="11" t="str">
        <f t="shared" si="201"/>
        <v/>
      </c>
      <c r="W305" s="11" t="str">
        <f t="shared" si="202"/>
        <v>UP</v>
      </c>
      <c r="X305" s="6" t="str">
        <f t="shared" si="203"/>
        <v>POSITIVE</v>
      </c>
      <c r="Y305" cm="1">
        <f t="array" ref="Y305">IFERROR(VALUE(_xll.BDP($B305,"INTERVAL_MAE_MOV_AVG","CALC_INTERVAL","520D","TECH_STUDIES_PARAM1_OVERRIDE",65,"USE_PREVIOUS_BUSINESS_DAY","N")),"")</f>
        <v>44551.929692307691</v>
      </c>
      <c r="Z305">
        <f t="shared" si="189"/>
        <v>6856.0226153846133</v>
      </c>
      <c r="AA305" cm="1">
        <f t="array" ref="AA305">IFERROR(VALUE(_xll.BDP($B305,"INTERVAL_MAE_MOV_AVG","CALC_INTERVAL","520D","TECH_STUDIES_PARAM1_OVERRIDE",65,"USE_PREVIOUS_BUSINESS_DAY","Y")),"")</f>
        <v>44504.662923076932</v>
      </c>
      <c r="AB305">
        <f t="shared" si="190"/>
        <v>6852.6203076923057</v>
      </c>
      <c r="AC305">
        <f t="shared" si="204"/>
        <v>6.4982180181750158</v>
      </c>
      <c r="AD305">
        <f t="shared" si="205"/>
        <v>6.4945467463181776</v>
      </c>
      <c r="AE305" s="10" t="str">
        <f t="shared" si="206"/>
        <v>UP</v>
      </c>
      <c r="AF305" s="10" t="str">
        <f t="shared" si="207"/>
        <v>UP</v>
      </c>
      <c r="AG305" s="6" t="str">
        <f t="shared" si="208"/>
        <v>POSITIVE</v>
      </c>
      <c r="AH305" cm="1">
        <f t="array" ref="AH305">IFERROR(VALUE(_xll.BDP($B305,"INTERVAL_MAE_MOV_AVG","CALC_INTERVAL","65W","PERIODICITY_OVERRIDE","W","TECH_STUDIES_PARAM1_OVERRIDE",39,"USE_PREVIOUS_BUSINESS_DAY","N")),"")</f>
        <v>42558.5317948718</v>
      </c>
      <c r="AI305">
        <f t="shared" si="191"/>
        <v>6560.7735897435905</v>
      </c>
      <c r="AJ305" cm="1">
        <f t="array" ref="AJ305">IFERROR(VALUE(_xll.BDP($B305,"INTERVAL_MAE_MOV_AVG","CALC_INTERVAL","65W","PERIODICITY_OVERRIDE","W","TECH_STUDIES_PARAM1_OVERRIDE",39,"USE_PREVIOUS_BUSINESS_DAY","Y")),"")</f>
        <v>42566.023076923077</v>
      </c>
      <c r="AK305">
        <f t="shared" si="192"/>
        <v>6560.7823076923087</v>
      </c>
      <c r="AL305">
        <f t="shared" si="209"/>
        <v>6.4868161067779022</v>
      </c>
      <c r="AM305">
        <f t="shared" si="210"/>
        <v>6.4879493146748324</v>
      </c>
      <c r="AN305" s="10" t="str">
        <f t="shared" si="211"/>
        <v>DOWN</v>
      </c>
      <c r="AO305" s="10" t="str">
        <f t="shared" si="212"/>
        <v>DOWN</v>
      </c>
      <c r="AP305" s="6" t="str">
        <f t="shared" si="213"/>
        <v>POSITIVE</v>
      </c>
      <c r="AQ305" cm="1">
        <f t="array" ref="AQ305">IFERROR(VALUE(_xll.BDP($B305,"INTERVAL_exp_MOV_AVG","CALC_INTERVAL","520D","TECH_STUDIES_PARAM1_OVERRIDE",100,"USE_PREVIOUS_BUSINESS_DAY","N")),"")</f>
        <v>44031.368146470566</v>
      </c>
      <c r="AR305">
        <f t="shared" si="193"/>
        <v>6773.0064518682802</v>
      </c>
      <c r="AS305" cm="1">
        <f t="array" ref="AS305">IFERROR(VALUE(_xll.BDP($B305,"INTERVAL_exp_MOV_AVG","CALC_INTERVAL","520D","TECH_STUDIES_PARAM1_OVERRIDE",100,"USE_PREVIOUS_BUSINESS_DAY","Y")),"")</f>
        <v>43981.264372363628</v>
      </c>
      <c r="AT305">
        <f t="shared" si="194"/>
        <v>6769.6039787132295</v>
      </c>
      <c r="AU305">
        <f t="shared" si="214"/>
        <v>6.5010078551342385</v>
      </c>
      <c r="AV305">
        <f t="shared" si="215"/>
        <v>6.4968740432470042</v>
      </c>
      <c r="AW305" s="11" t="str">
        <f t="shared" si="216"/>
        <v>UP</v>
      </c>
      <c r="AX305" s="11" t="str">
        <f t="shared" si="217"/>
        <v>UP</v>
      </c>
      <c r="AY305" s="6" t="str">
        <f t="shared" si="218"/>
        <v>POSITIVE</v>
      </c>
      <c r="AZ305" s="12" cm="1">
        <f t="array" ref="AZ305">_xll.BDP($B305, "INTERVAL_RSI", "TECH_STUDIES_PARAM1_OVERRIDE", "5", "PERIODICITY_OVERRIDE", "W")</f>
        <v>76.004635511968687</v>
      </c>
      <c r="BA305" cm="1">
        <f t="array" ref="BA305">IFERROR(VALUE(_xll.BDP($B305,"INTERVAL_MAE_MOV_AVG","CALC_INTERVAL","520D","TECH_STUDIES_PARAM1_OVERRIDE",31,"USE_PREVIOUS_BUSINESS_DAY","N")),"")</f>
        <v>45587.346451612895</v>
      </c>
      <c r="BB305" cm="1">
        <f t="array" ref="BB305">IFERROR(VALUE(_xll.BDP($B305,"INTERVAL_MAE_MOV_AVG","CALC_INTERVAL","760D","TECH_STUDIES_PARAM1_OVERRIDE",200,"USE_PREVIOUS_BUSINESS_DAY","N")),"")</f>
        <v>42259.758499999996</v>
      </c>
      <c r="BC305" s="13">
        <f t="shared" si="219"/>
        <v>2.0257453444176843E-2</v>
      </c>
      <c r="BD305" s="13">
        <f t="shared" si="220"/>
        <v>3.5853817572788271E-2</v>
      </c>
      <c r="BE305" s="13">
        <f t="shared" si="221"/>
        <v>0.10059384272155758</v>
      </c>
      <c r="BF305" s="14" cm="1">
        <f t="array" ref="BF305">VALUE(_xll.BDP($B305,"INTERVAL_DATE_OF_CALC_HI","CALC_INTERVAL","3M"))</f>
        <v>46062</v>
      </c>
      <c r="BG305" s="14" cm="1">
        <f t="array" ref="BG305">VALUE(_xll.BDP($B305,"INTERVAL_DATE_OF_CALC_LO","CALC_INTERVAL","3M"))</f>
        <v>45985</v>
      </c>
      <c r="BH305" s="14" cm="1">
        <f t="array" ref="BH305">VALUE(_xll.BDP($B305,"INTERVAL_DATE_OF_CALC_HI","CALC_INTERVAL","1M"))</f>
        <v>46062</v>
      </c>
      <c r="BI305" s="14" cm="1">
        <f t="array" ref="BI305">VALUE(_xll.BDP($B305,"INTERVAL_DATE_OF_CALC_LO","CALC_INTERVAL","1M"))</f>
        <v>46043</v>
      </c>
      <c r="BJ305" s="15">
        <f>$F305-MIN(_xll.BDP("NYA Index","RSI_14D"),_xll.BDP("RSP US Equity","RSI_14D"))</f>
        <v>-5.8593920691279848</v>
      </c>
    </row>
    <row r="306" spans="1:62" x14ac:dyDescent="0.25">
      <c r="A306" s="11">
        <v>305</v>
      </c>
      <c r="B306" s="26" t="s">
        <v>750</v>
      </c>
      <c r="C306" s="1" t="s">
        <v>751</v>
      </c>
      <c r="D306" s="1" t="s">
        <v>307</v>
      </c>
      <c r="E306" s="11" t="s">
        <v>789</v>
      </c>
      <c r="F306">
        <f>IFERROR(VALUE((_xll.BDP($B306,"interval_rsi","tech_studies_param1_override",14))),"")</f>
        <v>54.757269741031905</v>
      </c>
      <c r="G306">
        <f t="shared" si="184"/>
        <v>52.525531939815814</v>
      </c>
      <c r="H306">
        <f t="shared" si="195"/>
        <v>0</v>
      </c>
      <c r="I306" cm="1">
        <f t="array" ref="I306">IFERROR(VALUE(_xll.BDP($B306,"px_last")),"")</f>
        <v>9268.18</v>
      </c>
      <c r="J306">
        <f t="shared" si="185"/>
        <v>6941.47</v>
      </c>
      <c r="K306" cm="1">
        <f t="array" ref="K306">IFERROR(VALUE(_xll.BDP($B306,"PX_YEST_CLOSE")),"")</f>
        <v>9242.75</v>
      </c>
      <c r="L306">
        <f t="shared" si="186"/>
        <v>6941.81</v>
      </c>
      <c r="M306">
        <f t="shared" si="196"/>
        <v>1.3351898084987761</v>
      </c>
      <c r="N306">
        <f t="shared" si="197"/>
        <v>1.331461103084066</v>
      </c>
      <c r="O306" cm="1">
        <f t="array" ref="O306">IFERROR(VALUE(_xll.BDP($B306,"INTERVAL_MAE_MOV_AVG","CALC_INTERVAL","520D","TECH_STUDIES_PARAM1_OVERRIDE",50,"USE_PREVIOUS_BUSINESS_DAY","N")),"")</f>
        <v>9099.7606000000014</v>
      </c>
      <c r="P306">
        <f t="shared" si="187"/>
        <v>6894.0953999999992</v>
      </c>
      <c r="Q306" cm="1">
        <f t="array" ref="Q306">IFERROR(VALUE(_xll.BDP($B306,"INTERVAL_MAE_MOV_AVG","CALC_INTERVAL","520D","TECH_STUDIES_PARAM1_OVERRIDE",50,"USE_PREVIOUS_BUSINESS_DAY","Y")),"")</f>
        <v>9097.0006000000012</v>
      </c>
      <c r="R306">
        <f t="shared" si="188"/>
        <v>6892.2477999999992</v>
      </c>
      <c r="S306">
        <f t="shared" si="198"/>
        <v>1.319935404433191</v>
      </c>
      <c r="T306">
        <f t="shared" si="199"/>
        <v>1.3198887886764608</v>
      </c>
      <c r="U306" s="11" t="str">
        <f t="shared" si="200"/>
        <v>NEGATIVE</v>
      </c>
      <c r="V306" s="11" t="str">
        <f t="shared" si="201"/>
        <v/>
      </c>
      <c r="W306" s="11" t="str">
        <f t="shared" si="202"/>
        <v>UP</v>
      </c>
      <c r="X306" s="6" t="str">
        <f t="shared" si="203"/>
        <v>POSITIVE</v>
      </c>
      <c r="Y306" cm="1">
        <f t="array" ref="Y306">IFERROR(VALUE(_xll.BDP($B306,"INTERVAL_MAE_MOV_AVG","CALC_INTERVAL","520D","TECH_STUDIES_PARAM1_OVERRIDE",65,"USE_PREVIOUS_BUSINESS_DAY","N")),"")</f>
        <v>9136.0203076923099</v>
      </c>
      <c r="Z306">
        <f t="shared" si="189"/>
        <v>6856.0226153846133</v>
      </c>
      <c r="AA306" cm="1">
        <f t="array" ref="AA306">IFERROR(VALUE(_xll.BDP($B306,"INTERVAL_MAE_MOV_AVG","CALC_INTERVAL","520D","TECH_STUDIES_PARAM1_OVERRIDE",65,"USE_PREVIOUS_BUSINESS_DAY","Y")),"")</f>
        <v>9136.010769230772</v>
      </c>
      <c r="AB306">
        <f t="shared" si="190"/>
        <v>6852.6203076923057</v>
      </c>
      <c r="AC306">
        <f t="shared" si="204"/>
        <v>1.332553992338281</v>
      </c>
      <c r="AD306">
        <f t="shared" si="205"/>
        <v>1.3332142098950501</v>
      </c>
      <c r="AE306" s="10" t="str">
        <f t="shared" si="206"/>
        <v>UP</v>
      </c>
      <c r="AF306" s="10" t="str">
        <f t="shared" si="207"/>
        <v>DOWN</v>
      </c>
      <c r="AG306" s="6" t="str">
        <f t="shared" si="208"/>
        <v>BUY</v>
      </c>
      <c r="AH306" cm="1">
        <f t="array" ref="AH306">IFERROR(VALUE(_xll.BDP($B306,"INTERVAL_MAE_MOV_AVG","CALC_INTERVAL","65W","PERIODICITY_OVERRIDE","W","TECH_STUDIES_PARAM1_OVERRIDE",39,"USE_PREVIOUS_BUSINESS_DAY","N")),"")</f>
        <v>9040.3802564102552</v>
      </c>
      <c r="AI306">
        <f t="shared" si="191"/>
        <v>6560.7735897435905</v>
      </c>
      <c r="AJ306" cm="1">
        <f t="array" ref="AJ306">IFERROR(VALUE(_xll.BDP($B306,"INTERVAL_MAE_MOV_AVG","CALC_INTERVAL","65W","PERIODICITY_OVERRIDE","W","TECH_STUDIES_PARAM1_OVERRIDE",39,"USE_PREVIOUS_BUSINESS_DAY","Y")),"")</f>
        <v>9039.7282051282036</v>
      </c>
      <c r="AK306">
        <f t="shared" si="192"/>
        <v>6560.7823076923087</v>
      </c>
      <c r="AL306">
        <f t="shared" si="209"/>
        <v>1.3779442519618441</v>
      </c>
      <c r="AM306">
        <f t="shared" si="210"/>
        <v>1.3778430347444099</v>
      </c>
      <c r="AN306" s="10" t="str">
        <f t="shared" si="211"/>
        <v>UP</v>
      </c>
      <c r="AO306" s="10" t="str">
        <f t="shared" si="212"/>
        <v>UP</v>
      </c>
      <c r="AP306" s="6" t="str">
        <f t="shared" si="213"/>
        <v>NEGATIVE</v>
      </c>
      <c r="AQ306" cm="1">
        <f t="array" ref="AQ306">IFERROR(VALUE(_xll.BDP($B306,"INTERVAL_exp_MOV_AVG","CALC_INTERVAL","520D","TECH_STUDIES_PARAM1_OVERRIDE",100,"USE_PREVIOUS_BUSINESS_DAY","N")),"")</f>
        <v>9119.2993547648693</v>
      </c>
      <c r="AR306">
        <f t="shared" si="193"/>
        <v>6773.0064518682802</v>
      </c>
      <c r="AS306" cm="1">
        <f t="array" ref="AS306">IFERROR(VALUE(_xll.BDP($B306,"INTERVAL_exp_MOV_AVG","CALC_INTERVAL","520D","TECH_STUDIES_PARAM1_OVERRIDE",100,"USE_PREVIOUS_BUSINESS_DAY","Y")),"")</f>
        <v>9116.2930224994707</v>
      </c>
      <c r="AT306">
        <f t="shared" si="194"/>
        <v>6769.6039787132295</v>
      </c>
      <c r="AU306">
        <f t="shared" si="214"/>
        <v>1.3464182294185447</v>
      </c>
      <c r="AV306">
        <f t="shared" si="215"/>
        <v>1.34665086039971</v>
      </c>
      <c r="AW306" s="11" t="str">
        <f t="shared" si="216"/>
        <v>UP</v>
      </c>
      <c r="AX306" s="11" t="str">
        <f t="shared" si="217"/>
        <v>DOWN</v>
      </c>
      <c r="AY306" s="6" t="str">
        <f t="shared" si="218"/>
        <v>NEGATIVE</v>
      </c>
      <c r="AZ306" s="12" cm="1">
        <f t="array" ref="AZ306">_xll.BDP($B306, "INTERVAL_RSI", "TECH_STUDIES_PARAM1_OVERRIDE", "5", "PERIODICITY_OVERRIDE", "W")</f>
        <v>57.132932555343508</v>
      </c>
      <c r="BA306" cm="1">
        <f t="array" ref="BA306">IFERROR(VALUE(_xll.BDP($B306,"INTERVAL_MAE_MOV_AVG","CALC_INTERVAL","520D","TECH_STUDIES_PARAM1_OVERRIDE",31,"USE_PREVIOUS_BUSINESS_DAY","N")),"")</f>
        <v>9173.8280645161303</v>
      </c>
      <c r="BB306" cm="1">
        <f t="array" ref="BB306">IFERROR(VALUE(_xll.BDP($B306,"INTERVAL_MAE_MOV_AVG","CALC_INTERVAL","760D","TECH_STUDIES_PARAM1_OVERRIDE",200,"USE_PREVIOUS_BUSINESS_DAY","N")),"")</f>
        <v>8998.3821499999995</v>
      </c>
      <c r="BC306" s="13">
        <f t="shared" si="219"/>
        <v>1.0284903403500412E-2</v>
      </c>
      <c r="BD306" s="13">
        <f t="shared" si="220"/>
        <v>1.8508113279375626E-2</v>
      </c>
      <c r="BE306" s="13">
        <f t="shared" si="221"/>
        <v>2.9982928653458085E-2</v>
      </c>
      <c r="BF306" s="14" cm="1">
        <f t="array" ref="BF306">VALUE(_xll.BDP($B306,"INTERVAL_DATE_OF_CALC_HI","CALC_INTERVAL","3M"))</f>
        <v>45974</v>
      </c>
      <c r="BG306" s="14" cm="1">
        <f t="array" ref="BG306">VALUE(_xll.BDP($B306,"INTERVAL_DATE_OF_CALC_LO","CALC_INTERVAL","3M"))</f>
        <v>46007</v>
      </c>
      <c r="BH306" s="14" cm="1">
        <f t="array" ref="BH306">VALUE(_xll.BDP($B306,"INTERVAL_DATE_OF_CALC_HI","CALC_INTERVAL","1M"))</f>
        <v>46051</v>
      </c>
      <c r="BI306" s="14" cm="1">
        <f t="array" ref="BI306">VALUE(_xll.BDP($B306,"INTERVAL_DATE_OF_CALC_LO","CALC_INTERVAL","1M"))</f>
        <v>46059</v>
      </c>
      <c r="BJ306" s="15">
        <f>$F306-MIN(_xll.BDP("NYA Index","RSI_14D"),_xll.BDP("RSP US Equity","RSI_14D"))</f>
        <v>-11.588494419124345</v>
      </c>
    </row>
    <row r="307" spans="1:62" x14ac:dyDescent="0.25">
      <c r="A307" s="11">
        <v>306</v>
      </c>
      <c r="B307" s="26" t="s">
        <v>752</v>
      </c>
      <c r="C307" s="1" t="s">
        <v>753</v>
      </c>
      <c r="D307" s="1" t="s">
        <v>307</v>
      </c>
      <c r="E307" s="11" t="s">
        <v>789</v>
      </c>
      <c r="F307">
        <f>IFERROR(VALUE((_xll.BDP($B307,"interval_rsi","tech_studies_param1_override",14))),"")</f>
        <v>57.686090718824765</v>
      </c>
      <c r="G307">
        <f t="shared" si="184"/>
        <v>52.525531939815814</v>
      </c>
      <c r="H307">
        <f t="shared" si="195"/>
        <v>0</v>
      </c>
      <c r="I307" cm="1">
        <f t="array" ref="I307">IFERROR(VALUE(_xll.BDP($B307,"px_last")),"")</f>
        <v>27266.38</v>
      </c>
      <c r="J307">
        <f t="shared" si="185"/>
        <v>6941.47</v>
      </c>
      <c r="K307" cm="1">
        <f t="array" ref="K307">IFERROR(VALUE(_xll.BDP($B307,"PX_YEST_CLOSE")),"")</f>
        <v>27183.15</v>
      </c>
      <c r="L307">
        <f t="shared" si="186"/>
        <v>6941.81</v>
      </c>
      <c r="M307">
        <f t="shared" si="196"/>
        <v>3.928041178597617</v>
      </c>
      <c r="N307">
        <f t="shared" si="197"/>
        <v>3.9158591203158832</v>
      </c>
      <c r="O307" cm="1">
        <f t="array" ref="O307">IFERROR(VALUE(_xll.BDP($B307,"INTERVAL_MAE_MOV_AVG","CALC_INTERVAL","520D","TECH_STUDIES_PARAM1_OVERRIDE",50,"USE_PREVIOUS_BUSINESS_DAY","N")),"")</f>
        <v>26362.52480000001</v>
      </c>
      <c r="P307">
        <f t="shared" si="187"/>
        <v>6894.0953999999992</v>
      </c>
      <c r="Q307" cm="1">
        <f t="array" ref="Q307">IFERROR(VALUE(_xll.BDP($B307,"INTERVAL_MAE_MOV_AVG","CALC_INTERVAL","520D","TECH_STUDIES_PARAM1_OVERRIDE",50,"USE_PREVIOUS_BUSINESS_DAY","Y")),"")</f>
        <v>26334.375000000004</v>
      </c>
      <c r="R307">
        <f t="shared" si="188"/>
        <v>6892.2477999999992</v>
      </c>
      <c r="S307">
        <f t="shared" si="198"/>
        <v>3.8239280529828488</v>
      </c>
      <c r="T307">
        <f t="shared" si="199"/>
        <v>3.8208688608090973</v>
      </c>
      <c r="U307" s="11" t="str">
        <f t="shared" si="200"/>
        <v>NEGATIVE</v>
      </c>
      <c r="V307" s="11" t="str">
        <f t="shared" si="201"/>
        <v/>
      </c>
      <c r="W307" s="11" t="str">
        <f t="shared" si="202"/>
        <v>UP</v>
      </c>
      <c r="X307" s="6" t="str">
        <f t="shared" si="203"/>
        <v>POSITIVE</v>
      </c>
      <c r="Y307" cm="1">
        <f t="array" ref="Y307">IFERROR(VALUE(_xll.BDP($B307,"INTERVAL_MAE_MOV_AVG","CALC_INTERVAL","520D","TECH_STUDIES_PARAM1_OVERRIDE",65,"USE_PREVIOUS_BUSINESS_DAY","N")),"")</f>
        <v>26316.683538461548</v>
      </c>
      <c r="Z307">
        <f t="shared" si="189"/>
        <v>6856.0226153846133</v>
      </c>
      <c r="AA307" cm="1">
        <f t="array" ref="AA307">IFERROR(VALUE(_xll.BDP($B307,"INTERVAL_MAE_MOV_AVG","CALC_INTERVAL","520D","TECH_STUDIES_PARAM1_OVERRIDE",65,"USE_PREVIOUS_BUSINESS_DAY","Y")),"")</f>
        <v>26300.921230769236</v>
      </c>
      <c r="AB307">
        <f t="shared" si="190"/>
        <v>6852.6203076923057</v>
      </c>
      <c r="AC307">
        <f t="shared" si="204"/>
        <v>3.8384767692288628</v>
      </c>
      <c r="AD307">
        <f t="shared" si="205"/>
        <v>3.8380823757658851</v>
      </c>
      <c r="AE307" s="10" t="str">
        <f t="shared" si="206"/>
        <v>UP</v>
      </c>
      <c r="AF307" s="10" t="str">
        <f t="shared" si="207"/>
        <v>UP</v>
      </c>
      <c r="AG307" s="6" t="str">
        <f t="shared" si="208"/>
        <v>POSITIVE</v>
      </c>
      <c r="AH307" cm="1">
        <f t="array" ref="AH307">IFERROR(VALUE(_xll.BDP($B307,"INTERVAL_MAE_MOV_AVG","CALC_INTERVAL","65W","PERIODICITY_OVERRIDE","W","TECH_STUDIES_PARAM1_OVERRIDE",39,"USE_PREVIOUS_BUSINESS_DAY","N")),"")</f>
        <v>25532.849743589744</v>
      </c>
      <c r="AI307">
        <f t="shared" si="191"/>
        <v>6560.7735897435905</v>
      </c>
      <c r="AJ307" cm="1">
        <f t="array" ref="AJ307">IFERROR(VALUE(_xll.BDP($B307,"INTERVAL_MAE_MOV_AVG","CALC_INTERVAL","65W","PERIODICITY_OVERRIDE","W","TECH_STUDIES_PARAM1_OVERRIDE",39,"USE_PREVIOUS_BUSINESS_DAY","Y")),"")</f>
        <v>25530.715641025643</v>
      </c>
      <c r="AK307">
        <f t="shared" si="192"/>
        <v>6560.7823076923087</v>
      </c>
      <c r="AL307">
        <f t="shared" si="209"/>
        <v>3.8917437698970532</v>
      </c>
      <c r="AM307">
        <f t="shared" si="210"/>
        <v>3.8914133168374891</v>
      </c>
      <c r="AN307" s="10" t="str">
        <f t="shared" si="211"/>
        <v>UP</v>
      </c>
      <c r="AO307" s="10" t="str">
        <f t="shared" si="212"/>
        <v>UP</v>
      </c>
      <c r="AP307" s="6" t="str">
        <f t="shared" si="213"/>
        <v>POSITIVE</v>
      </c>
      <c r="AQ307" cm="1">
        <f t="array" ref="AQ307">IFERROR(VALUE(_xll.BDP($B307,"INTERVAL_exp_MOV_AVG","CALC_INTERVAL","520D","TECH_STUDIES_PARAM1_OVERRIDE",100,"USE_PREVIOUS_BUSINESS_DAY","N")),"")</f>
        <v>26160.309362895579</v>
      </c>
      <c r="AR307">
        <f t="shared" si="193"/>
        <v>6773.0064518682802</v>
      </c>
      <c r="AS307" cm="1">
        <f t="array" ref="AS307">IFERROR(VALUE(_xll.BDP($B307,"INTERVAL_exp_MOV_AVG","CALC_INTERVAL","520D","TECH_STUDIES_PARAM1_OVERRIDE",100,"USE_PREVIOUS_BUSINESS_DAY","Y")),"")</f>
        <v>26137.968913070716</v>
      </c>
      <c r="AT307">
        <f t="shared" si="194"/>
        <v>6769.6039787132295</v>
      </c>
      <c r="AU307">
        <f t="shared" si="214"/>
        <v>3.8624367994924125</v>
      </c>
      <c r="AV307">
        <f t="shared" si="215"/>
        <v>3.8610779884998587</v>
      </c>
      <c r="AW307" s="11" t="str">
        <f t="shared" si="216"/>
        <v>UP</v>
      </c>
      <c r="AX307" s="11" t="str">
        <f t="shared" si="217"/>
        <v>UP</v>
      </c>
      <c r="AY307" s="6" t="str">
        <f t="shared" si="218"/>
        <v>POSITIVE</v>
      </c>
      <c r="AZ307" s="12" cm="1">
        <f t="array" ref="AZ307">_xll.BDP($B307, "INTERVAL_RSI", "TECH_STUDIES_PARAM1_OVERRIDE", "5", "PERIODICITY_OVERRIDE", "W")</f>
        <v>63.93669028045494</v>
      </c>
      <c r="BA307" cm="1">
        <f t="array" ref="BA307">IFERROR(VALUE(_xll.BDP($B307,"INTERVAL_MAE_MOV_AVG","CALC_INTERVAL","520D","TECH_STUDIES_PARAM1_OVERRIDE",31,"USE_PREVIOUS_BUSINESS_DAY","N")),"")</f>
        <v>26755.379032258068</v>
      </c>
      <c r="BB307" cm="1">
        <f t="array" ref="BB307">IFERROR(VALUE(_xll.BDP($B307,"INTERVAL_MAE_MOV_AVG","CALC_INTERVAL","760D","TECH_STUDIES_PARAM1_OVERRIDE",200,"USE_PREVIOUS_BUSINESS_DAY","N")),"")</f>
        <v>25335.531749999991</v>
      </c>
      <c r="BC307" s="13">
        <f t="shared" si="219"/>
        <v>1.9098999387219928E-2</v>
      </c>
      <c r="BD307" s="13">
        <f t="shared" si="220"/>
        <v>3.4285608334448714E-2</v>
      </c>
      <c r="BE307" s="13">
        <f t="shared" si="221"/>
        <v>7.6211080511464413E-2</v>
      </c>
      <c r="BF307" s="14" cm="1">
        <f t="array" ref="BF307">VALUE(_xll.BDP($B307,"INTERVAL_DATE_OF_CALC_HI","CALC_INTERVAL","3M"))</f>
        <v>46051</v>
      </c>
      <c r="BG307" s="14" cm="1">
        <f t="array" ref="BG307">VALUE(_xll.BDP($B307,"INTERVAL_DATE_OF_CALC_LO","CALC_INTERVAL","3M"))</f>
        <v>45982</v>
      </c>
      <c r="BH307" s="14" cm="1">
        <f t="array" ref="BH307">VALUE(_xll.BDP($B307,"INTERVAL_DATE_OF_CALC_HI","CALC_INTERVAL","1M"))</f>
        <v>46051</v>
      </c>
      <c r="BI307" s="14" cm="1">
        <f t="array" ref="BI307">VALUE(_xll.BDP($B307,"INTERVAL_DATE_OF_CALC_LO","CALC_INTERVAL","1M"))</f>
        <v>46042</v>
      </c>
      <c r="BJ307" s="15">
        <f>$F307-MIN(_xll.BDP("NYA Index","RSI_14D"),_xll.BDP("RSP US Equity","RSI_14D"))</f>
        <v>-8.6596734413314849</v>
      </c>
    </row>
    <row r="308" spans="1:62" x14ac:dyDescent="0.25">
      <c r="A308" s="11">
        <v>307</v>
      </c>
      <c r="B308" s="26" t="s">
        <v>754</v>
      </c>
      <c r="C308" s="1" t="s">
        <v>755</v>
      </c>
      <c r="D308" s="1" t="s">
        <v>307</v>
      </c>
      <c r="E308" s="11" t="s">
        <v>789</v>
      </c>
      <c r="F308">
        <f>IFERROR(VALUE((_xll.BDP($B308,"interval_rsi","tech_studies_param1_override",14))),"")</f>
        <v>59.550393404707023</v>
      </c>
      <c r="G308">
        <f t="shared" si="184"/>
        <v>52.525531939815814</v>
      </c>
      <c r="H308">
        <f t="shared" si="195"/>
        <v>0</v>
      </c>
      <c r="I308" cm="1">
        <f t="array" ref="I308">IFERROR(VALUE(_xll.BDP($B308,"px_last")),"")</f>
        <v>18044.5</v>
      </c>
      <c r="J308">
        <f t="shared" si="185"/>
        <v>6941.47</v>
      </c>
      <c r="K308" cm="1">
        <f t="array" ref="K308">IFERROR(VALUE(_xll.BDP($B308,"PX_YEST_CLOSE")),"")</f>
        <v>18122.099999999999</v>
      </c>
      <c r="L308">
        <f t="shared" si="186"/>
        <v>6941.81</v>
      </c>
      <c r="M308">
        <f t="shared" si="196"/>
        <v>2.5995214270176201</v>
      </c>
      <c r="N308">
        <f t="shared" si="197"/>
        <v>2.610572746877255</v>
      </c>
      <c r="O308" cm="1">
        <f t="array" ref="O308">IFERROR(VALUE(_xll.BDP($B308,"INTERVAL_MAE_MOV_AVG","CALC_INTERVAL","520D","TECH_STUDIES_PARAM1_OVERRIDE",50,"USE_PREVIOUS_BUSINESS_DAY","N")),"")</f>
        <v>17403.250000000004</v>
      </c>
      <c r="P308">
        <f t="shared" si="187"/>
        <v>6894.0953999999992</v>
      </c>
      <c r="Q308" cm="1">
        <f t="array" ref="Q308">IFERROR(VALUE(_xll.BDP($B308,"INTERVAL_MAE_MOV_AVG","CALC_INTERVAL","520D","TECH_STUDIES_PARAM1_OVERRIDE",50,"USE_PREVIOUS_BUSINESS_DAY","Y")),"")</f>
        <v>17369.792000000001</v>
      </c>
      <c r="R308">
        <f t="shared" si="188"/>
        <v>6892.2477999999992</v>
      </c>
      <c r="S308">
        <f t="shared" si="198"/>
        <v>2.5243703474135279</v>
      </c>
      <c r="T308">
        <f t="shared" si="199"/>
        <v>2.5201926140844795</v>
      </c>
      <c r="U308" s="11" t="str">
        <f t="shared" si="200"/>
        <v>NEGATIVE</v>
      </c>
      <c r="V308" s="11" t="str">
        <f t="shared" si="201"/>
        <v/>
      </c>
      <c r="W308" s="11" t="str">
        <f t="shared" si="202"/>
        <v>UP</v>
      </c>
      <c r="X308" s="6" t="str">
        <f t="shared" si="203"/>
        <v>POSITIVE</v>
      </c>
      <c r="Y308" cm="1">
        <f t="array" ref="Y308">IFERROR(VALUE(_xll.BDP($B308,"INTERVAL_MAE_MOV_AVG","CALC_INTERVAL","520D","TECH_STUDIES_PARAM1_OVERRIDE",65,"USE_PREVIOUS_BUSINESS_DAY","N")),"")</f>
        <v>17125.781538461542</v>
      </c>
      <c r="Z308">
        <f t="shared" si="189"/>
        <v>6856.0226153846133</v>
      </c>
      <c r="AA308" cm="1">
        <f t="array" ref="AA308">IFERROR(VALUE(_xll.BDP($B308,"INTERVAL_MAE_MOV_AVG","CALC_INTERVAL","520D","TECH_STUDIES_PARAM1_OVERRIDE",65,"USE_PREVIOUS_BUSINESS_DAY","Y")),"")</f>
        <v>17092.810769230771</v>
      </c>
      <c r="AB308">
        <f t="shared" si="190"/>
        <v>6852.6203076923057</v>
      </c>
      <c r="AC308">
        <f t="shared" si="204"/>
        <v>2.4979178890151328</v>
      </c>
      <c r="AD308">
        <f t="shared" si="205"/>
        <v>2.4943466880900278</v>
      </c>
      <c r="AE308" s="10" t="str">
        <f t="shared" si="206"/>
        <v>UP</v>
      </c>
      <c r="AF308" s="10" t="str">
        <f t="shared" si="207"/>
        <v>UP</v>
      </c>
      <c r="AG308" s="6" t="str">
        <f t="shared" si="208"/>
        <v>POSITIVE</v>
      </c>
      <c r="AH308" cm="1">
        <f t="array" ref="AH308">IFERROR(VALUE(_xll.BDP($B308,"INTERVAL_MAE_MOV_AVG","CALC_INTERVAL","65W","PERIODICITY_OVERRIDE","W","TECH_STUDIES_PARAM1_OVERRIDE",39,"USE_PREVIOUS_BUSINESS_DAY","N")),"")</f>
        <v>15664.679487179483</v>
      </c>
      <c r="AI308">
        <f t="shared" si="191"/>
        <v>6560.7735897435905</v>
      </c>
      <c r="AJ308" cm="1">
        <f t="array" ref="AJ308">IFERROR(VALUE(_xll.BDP($B308,"INTERVAL_MAE_MOV_AVG","CALC_INTERVAL","65W","PERIODICITY_OVERRIDE","W","TECH_STUDIES_PARAM1_OVERRIDE",39,"USE_PREVIOUS_BUSINESS_DAY","Y")),"")</f>
        <v>15666.66923076923</v>
      </c>
      <c r="AK308">
        <f t="shared" si="192"/>
        <v>6560.7823076923087</v>
      </c>
      <c r="AL308">
        <f t="shared" si="209"/>
        <v>2.3876268968750822</v>
      </c>
      <c r="AM308">
        <f t="shared" si="210"/>
        <v>2.3879270026076855</v>
      </c>
      <c r="AN308" s="10" t="str">
        <f t="shared" si="211"/>
        <v>DOWN</v>
      </c>
      <c r="AO308" s="10" t="str">
        <f t="shared" si="212"/>
        <v>DOWN</v>
      </c>
      <c r="AP308" s="6" t="str">
        <f t="shared" si="213"/>
        <v>POSITIVE</v>
      </c>
      <c r="AQ308" cm="1">
        <f t="array" ref="AQ308">IFERROR(VALUE(_xll.BDP($B308,"INTERVAL_exp_MOV_AVG","CALC_INTERVAL","520D","TECH_STUDIES_PARAM1_OVERRIDE",100,"USE_PREVIOUS_BUSINESS_DAY","N")),"")</f>
        <v>16726.877277698935</v>
      </c>
      <c r="AR308">
        <f t="shared" si="193"/>
        <v>6773.0064518682802</v>
      </c>
      <c r="AS308" cm="1">
        <f t="array" ref="AS308">IFERROR(VALUE(_xll.BDP($B308,"INTERVAL_exp_MOV_AVG","CALC_INTERVAL","520D","TECH_STUDIES_PARAM1_OVERRIDE",100,"USE_PREVIOUS_BUSINESS_DAY","Y")),"")</f>
        <v>16700.254012403075</v>
      </c>
      <c r="AT308">
        <f t="shared" si="194"/>
        <v>6769.6039787132295</v>
      </c>
      <c r="AU308">
        <f t="shared" si="214"/>
        <v>2.4696384680225663</v>
      </c>
      <c r="AV308">
        <f t="shared" si="215"/>
        <v>2.4669469683775311</v>
      </c>
      <c r="AW308" s="11" t="str">
        <f t="shared" si="216"/>
        <v>UP</v>
      </c>
      <c r="AX308" s="11" t="str">
        <f t="shared" si="217"/>
        <v>UP</v>
      </c>
      <c r="AY308" s="6" t="str">
        <f t="shared" si="218"/>
        <v>POSITIVE</v>
      </c>
      <c r="AZ308" s="12" cm="1">
        <f t="array" ref="AZ308">_xll.BDP($B308, "INTERVAL_RSI", "TECH_STUDIES_PARAM1_OVERRIDE", "5", "PERIODICITY_OVERRIDE", "W")</f>
        <v>84.748928974189951</v>
      </c>
      <c r="BA308" cm="1">
        <f t="array" ref="BA308">IFERROR(VALUE(_xll.BDP($B308,"INTERVAL_MAE_MOV_AVG","CALC_INTERVAL","520D","TECH_STUDIES_PARAM1_OVERRIDE",31,"USE_PREVIOUS_BUSINESS_DAY","N")),"")</f>
        <v>17723.212903225809</v>
      </c>
      <c r="BB308" cm="1">
        <f t="array" ref="BB308">IFERROR(VALUE(_xll.BDP($B308,"INTERVAL_MAE_MOV_AVG","CALC_INTERVAL","760D","TECH_STUDIES_PARAM1_OVERRIDE",200,"USE_PREVIOUS_BUSINESS_DAY","N")),"")</f>
        <v>15499.728500000003</v>
      </c>
      <c r="BC308" s="13">
        <f t="shared" si="219"/>
        <v>1.81280391161871E-2</v>
      </c>
      <c r="BD308" s="13">
        <f t="shared" si="220"/>
        <v>3.6846566014968163E-2</v>
      </c>
      <c r="BE308" s="13">
        <f t="shared" si="221"/>
        <v>0.1641816822791442</v>
      </c>
      <c r="BF308" s="14" cm="1">
        <f t="array" ref="BF308">VALUE(_xll.BDP($B308,"INTERVAL_DATE_OF_CALC_HI","CALC_INTERVAL","3M"))</f>
        <v>46062</v>
      </c>
      <c r="BG308" s="14" cm="1">
        <f t="array" ref="BG308">VALUE(_xll.BDP($B308,"INTERVAL_DATE_OF_CALC_LO","CALC_INTERVAL","3M"))</f>
        <v>45982</v>
      </c>
      <c r="BH308" s="14" cm="1">
        <f t="array" ref="BH308">VALUE(_xll.BDP($B308,"INTERVAL_DATE_OF_CALC_HI","CALC_INTERVAL","1M"))</f>
        <v>46062</v>
      </c>
      <c r="BI308" s="14" cm="1">
        <f t="array" ref="BI308">VALUE(_xll.BDP($B308,"INTERVAL_DATE_OF_CALC_LO","CALC_INTERVAL","1M"))</f>
        <v>46042</v>
      </c>
      <c r="BJ308" s="15">
        <f>$F308-MIN(_xll.BDP("NYA Index","RSI_14D"),_xll.BDP("RSP US Equity","RSI_14D"))</f>
        <v>-6.7953707554492269</v>
      </c>
    </row>
    <row r="309" spans="1:62" x14ac:dyDescent="0.25">
      <c r="A309" s="11">
        <v>308</v>
      </c>
      <c r="B309" s="26" t="s">
        <v>756</v>
      </c>
      <c r="C309" s="1" t="s">
        <v>980</v>
      </c>
      <c r="D309" s="1" t="s">
        <v>307</v>
      </c>
      <c r="E309" s="11" t="s">
        <v>789</v>
      </c>
      <c r="F309">
        <f>IFERROR(VALUE((_xll.BDP($B309,"interval_rsi","tech_studies_param1_override",14))),"")</f>
        <v>75.997193373518286</v>
      </c>
      <c r="G309">
        <f t="shared" si="184"/>
        <v>52.525531939815814</v>
      </c>
      <c r="H309">
        <f t="shared" si="195"/>
        <v>1</v>
      </c>
      <c r="I309" cm="1">
        <f t="array" ref="I309">IFERROR(VALUE(_xll.BDP($B309,"px_last")),"")</f>
        <v>189699.12</v>
      </c>
      <c r="J309">
        <f t="shared" si="185"/>
        <v>6941.47</v>
      </c>
      <c r="K309" cm="1">
        <f t="array" ref="K309">IFERROR(VALUE(_xll.BDP($B309,"PX_YEST_CLOSE")),"")</f>
        <v>185929.3</v>
      </c>
      <c r="L309">
        <f t="shared" si="186"/>
        <v>6941.81</v>
      </c>
      <c r="M309">
        <f t="shared" si="196"/>
        <v>27.328378571109575</v>
      </c>
      <c r="N309">
        <f t="shared" si="197"/>
        <v>26.78397997064166</v>
      </c>
      <c r="O309" cm="1">
        <f t="array" ref="O309">IFERROR(VALUE(_xll.BDP($B309,"INTERVAL_MAE_MOV_AVG","CALC_INTERVAL","520D","TECH_STUDIES_PARAM1_OVERRIDE",50,"USE_PREVIOUS_BUSINESS_DAY","N")),"")</f>
        <v>167855.63099999999</v>
      </c>
      <c r="P309">
        <f t="shared" si="187"/>
        <v>6894.0953999999992</v>
      </c>
      <c r="Q309" cm="1">
        <f t="array" ref="Q309">IFERROR(VALUE(_xll.BDP($B309,"INTERVAL_MAE_MOV_AVG","CALC_INTERVAL","520D","TECH_STUDIES_PARAM1_OVERRIDE",50,"USE_PREVIOUS_BUSINESS_DAY","Y")),"")</f>
        <v>167228.84359999999</v>
      </c>
      <c r="R309">
        <f t="shared" si="188"/>
        <v>6892.2477999999992</v>
      </c>
      <c r="S309">
        <f t="shared" si="198"/>
        <v>24.347738355927017</v>
      </c>
      <c r="T309">
        <f t="shared" si="199"/>
        <v>24.263324310539154</v>
      </c>
      <c r="U309" s="11" t="str">
        <f t="shared" si="200"/>
        <v>POSITIVE</v>
      </c>
      <c r="V309" s="11" t="str">
        <f t="shared" si="201"/>
        <v/>
      </c>
      <c r="W309" s="11" t="str">
        <f t="shared" si="202"/>
        <v>UP</v>
      </c>
      <c r="X309" s="6" t="str">
        <f t="shared" si="203"/>
        <v>POSITIVE</v>
      </c>
      <c r="Y309" cm="1">
        <f t="array" ref="Y309">IFERROR(VALUE(_xll.BDP($B309,"INTERVAL_MAE_MOV_AVG","CALC_INTERVAL","520D","TECH_STUDIES_PARAM1_OVERRIDE",65,"USE_PREVIOUS_BUSINESS_DAY","N")),"")</f>
        <v>165192.18307692307</v>
      </c>
      <c r="Z309">
        <f t="shared" si="189"/>
        <v>6856.0226153846133</v>
      </c>
      <c r="AA309" cm="1">
        <f t="array" ref="AA309">IFERROR(VALUE(_xll.BDP($B309,"INTERVAL_MAE_MOV_AVG","CALC_INTERVAL","520D","TECH_STUDIES_PARAM1_OVERRIDE",65,"USE_PREVIOUS_BUSINESS_DAY","Y")),"")</f>
        <v>164632.11092307692</v>
      </c>
      <c r="AB309">
        <f t="shared" si="190"/>
        <v>6852.6203076923057</v>
      </c>
      <c r="AC309">
        <f t="shared" si="204"/>
        <v>24.094462977155164</v>
      </c>
      <c r="AD309">
        <f t="shared" si="205"/>
        <v>24.024694719809826</v>
      </c>
      <c r="AE309" s="10" t="str">
        <f t="shared" si="206"/>
        <v>UP</v>
      </c>
      <c r="AF309" s="10" t="str">
        <f t="shared" si="207"/>
        <v>UP</v>
      </c>
      <c r="AG309" s="6" t="str">
        <f t="shared" si="208"/>
        <v>POSITIVE</v>
      </c>
      <c r="AH309" cm="1">
        <f t="array" ref="AH309">IFERROR(VALUE(_xll.BDP($B309,"INTERVAL_MAE_MOV_AVG","CALC_INTERVAL","65W","PERIODICITY_OVERRIDE","W","TECH_STUDIES_PARAM1_OVERRIDE",39,"USE_PREVIOUS_BUSINESS_DAY","N")),"")</f>
        <v>149629.01615384611</v>
      </c>
      <c r="AI309">
        <f t="shared" si="191"/>
        <v>6560.7735897435905</v>
      </c>
      <c r="AJ309" cm="1">
        <f t="array" ref="AJ309">IFERROR(VALUE(_xll.BDP($B309,"INTERVAL_MAE_MOV_AVG","CALC_INTERVAL","65W","PERIODICITY_OVERRIDE","W","TECH_STUDIES_PARAM1_OVERRIDE",39,"USE_PREVIOUS_BUSINESS_DAY","Y")),"")</f>
        <v>149532.35461538457</v>
      </c>
      <c r="AK309">
        <f t="shared" si="192"/>
        <v>6560.7823076923087</v>
      </c>
      <c r="AL309">
        <f t="shared" si="209"/>
        <v>22.806611767209901</v>
      </c>
      <c r="AM309">
        <f t="shared" si="210"/>
        <v>22.791848228230744</v>
      </c>
      <c r="AN309" s="10" t="str">
        <f t="shared" si="211"/>
        <v>UP</v>
      </c>
      <c r="AO309" s="10" t="str">
        <f t="shared" si="212"/>
        <v>UP</v>
      </c>
      <c r="AP309" s="6" t="str">
        <f t="shared" si="213"/>
        <v>POSITIVE</v>
      </c>
      <c r="AQ309" cm="1">
        <f t="array" ref="AQ309">IFERROR(VALUE(_xll.BDP($B309,"INTERVAL_exp_MOV_AVG","CALC_INTERVAL","520D","TECH_STUDIES_PARAM1_OVERRIDE",100,"USE_PREVIOUS_BUSINESS_DAY","N")),"")</f>
        <v>161218.51961519982</v>
      </c>
      <c r="AR309">
        <f t="shared" si="193"/>
        <v>6773.0064518682802</v>
      </c>
      <c r="AS309" cm="1">
        <f t="array" ref="AS309">IFERROR(VALUE(_xll.BDP($B309,"INTERVAL_exp_MOV_AVG","CALC_INTERVAL","520D","TECH_STUDIES_PARAM1_OVERRIDE",100,"USE_PREVIOUS_BUSINESS_DAY","Y")),"")</f>
        <v>160643.22286313289</v>
      </c>
      <c r="AT309">
        <f t="shared" si="194"/>
        <v>6769.6039787132295</v>
      </c>
      <c r="AU309">
        <f t="shared" si="214"/>
        <v>23.803095532373067</v>
      </c>
      <c r="AV309">
        <f t="shared" si="215"/>
        <v>23.730076880164571</v>
      </c>
      <c r="AW309" s="11" t="str">
        <f t="shared" si="216"/>
        <v>UP</v>
      </c>
      <c r="AX309" s="11" t="str">
        <f t="shared" si="217"/>
        <v>UP</v>
      </c>
      <c r="AY309" s="6" t="str">
        <f t="shared" si="218"/>
        <v>POSITIVE</v>
      </c>
      <c r="AZ309" s="12" cm="1">
        <f t="array" ref="AZ309">_xll.BDP($B309, "INTERVAL_RSI", "TECH_STUDIES_PARAM1_OVERRIDE", "5", "PERIODICITY_OVERRIDE", "W")</f>
        <v>95.478375950554252</v>
      </c>
      <c r="BA309" cm="1">
        <f t="array" ref="BA309">IFERROR(VALUE(_xll.BDP($B309,"INTERVAL_MAE_MOV_AVG","CALC_INTERVAL","520D","TECH_STUDIES_PARAM1_OVERRIDE",31,"USE_PREVIOUS_BUSINESS_DAY","N")),"")</f>
        <v>172933.85967741936</v>
      </c>
      <c r="BB309" cm="1">
        <f t="array" ref="BB309">IFERROR(VALUE(_xll.BDP($B309,"INTERVAL_MAE_MOV_AVG","CALC_INTERVAL","760D","TECH_STUDIES_PARAM1_OVERRIDE",200,"USE_PREVIOUS_BUSINESS_DAY","N")),"")</f>
        <v>147841.58074999991</v>
      </c>
      <c r="BC309" s="13">
        <f t="shared" si="219"/>
        <v>9.6946083050789333E-2</v>
      </c>
      <c r="BD309" s="13">
        <f t="shared" si="220"/>
        <v>0.13013259590915949</v>
      </c>
      <c r="BE309" s="13">
        <f t="shared" si="221"/>
        <v>0.28312426746018882</v>
      </c>
      <c r="BF309" s="14" cm="1">
        <f t="array" ref="BF309">VALUE(_xll.BDP($B309,"INTERVAL_DATE_OF_CALC_HI","CALC_INTERVAL","3M"))</f>
        <v>46064</v>
      </c>
      <c r="BG309" s="14" cm="1">
        <f t="array" ref="BG309">VALUE(_xll.BDP($B309,"INTERVAL_DATE_OF_CALC_LO","CALC_INTERVAL","3M"))</f>
        <v>45982</v>
      </c>
      <c r="BH309" s="14" cm="1">
        <f t="array" ref="BH309">VALUE(_xll.BDP($B309,"INTERVAL_DATE_OF_CALC_HI","CALC_INTERVAL","1M"))</f>
        <v>46064</v>
      </c>
      <c r="BI309" s="14" cm="1">
        <f t="array" ref="BI309">VALUE(_xll.BDP($B309,"INTERVAL_DATE_OF_CALC_LO","CALC_INTERVAL","1M"))</f>
        <v>46035</v>
      </c>
      <c r="BJ309" s="15">
        <f>$F309-MIN(_xll.BDP("NYA Index","RSI_14D"),_xll.BDP("RSP US Equity","RSI_14D"))</f>
        <v>9.6514292133620359</v>
      </c>
    </row>
    <row r="310" spans="1:62" x14ac:dyDescent="0.25">
      <c r="A310" s="11">
        <v>309</v>
      </c>
      <c r="B310" s="26" t="s">
        <v>757</v>
      </c>
      <c r="C310" s="1" t="s">
        <v>981</v>
      </c>
      <c r="D310" s="1" t="s">
        <v>307</v>
      </c>
      <c r="E310" s="11" t="s">
        <v>789</v>
      </c>
      <c r="F310">
        <f>IFERROR(VALUE((_xll.BDP($B310,"interval_rsi","tech_studies_param1_override",14))),"")</f>
        <v>60.796297793837596</v>
      </c>
      <c r="G310">
        <f t="shared" si="184"/>
        <v>52.525531939815814</v>
      </c>
      <c r="H310">
        <f t="shared" si="195"/>
        <v>0</v>
      </c>
      <c r="I310" cm="1">
        <f t="array" ref="I310">IFERROR(VALUE(_xll.BDP($B310,"px_last")),"")</f>
        <v>50121.4</v>
      </c>
      <c r="J310">
        <f t="shared" si="185"/>
        <v>6941.47</v>
      </c>
      <c r="K310" cm="1">
        <f t="array" ref="K310">IFERROR(VALUE(_xll.BDP($B310,"PX_YEST_CLOSE")),"")</f>
        <v>50188.14</v>
      </c>
      <c r="L310">
        <f t="shared" si="186"/>
        <v>6941.81</v>
      </c>
      <c r="M310">
        <f t="shared" si="196"/>
        <v>7.2205743163911968</v>
      </c>
      <c r="N310">
        <f t="shared" si="197"/>
        <v>7.229834870156342</v>
      </c>
      <c r="O310" cm="1">
        <f t="array" ref="O310">IFERROR(VALUE(_xll.BDP($B310,"INTERVAL_MAE_MOV_AVG","CALC_INTERVAL","520D","TECH_STUDIES_PARAM1_OVERRIDE",50,"USE_PREVIOUS_BUSINESS_DAY","N")),"")</f>
        <v>48780.006000000008</v>
      </c>
      <c r="P310">
        <f t="shared" si="187"/>
        <v>6894.0953999999992</v>
      </c>
      <c r="Q310" cm="1">
        <f t="array" ref="Q310">IFERROR(VALUE(_xll.BDP($B310,"INTERVAL_MAE_MOV_AVG","CALC_INTERVAL","520D","TECH_STUDIES_PARAM1_OVERRIDE",50,"USE_PREVIOUS_BUSINESS_DAY","Y")),"")</f>
        <v>48731.906399999985</v>
      </c>
      <c r="R310">
        <f t="shared" si="188"/>
        <v>6892.2477999999992</v>
      </c>
      <c r="S310">
        <f t="shared" si="198"/>
        <v>7.0756209726949839</v>
      </c>
      <c r="T310">
        <f t="shared" si="199"/>
        <v>7.0705389321608534</v>
      </c>
      <c r="U310" s="11" t="str">
        <f t="shared" si="200"/>
        <v>NEGATIVE</v>
      </c>
      <c r="V310" s="11" t="str">
        <f t="shared" si="201"/>
        <v/>
      </c>
      <c r="W310" s="11" t="str">
        <f t="shared" si="202"/>
        <v>UP</v>
      </c>
      <c r="X310" s="6" t="str">
        <f t="shared" si="203"/>
        <v>POSITIVE</v>
      </c>
      <c r="Y310" cm="1">
        <f t="array" ref="Y310">IFERROR(VALUE(_xll.BDP($B310,"INTERVAL_MAE_MOV_AVG","CALC_INTERVAL","520D","TECH_STUDIES_PARAM1_OVERRIDE",65,"USE_PREVIOUS_BUSINESS_DAY","N")),"")</f>
        <v>48364.09523076925</v>
      </c>
      <c r="Z310">
        <f t="shared" si="189"/>
        <v>6856.0226153846133</v>
      </c>
      <c r="AA310" cm="1">
        <f t="array" ref="AA310">IFERROR(VALUE(_xll.BDP($B310,"INTERVAL_MAE_MOV_AVG","CALC_INTERVAL","520D","TECH_STUDIES_PARAM1_OVERRIDE",65,"USE_PREVIOUS_BUSINESS_DAY","Y")),"")</f>
        <v>48314.724461538462</v>
      </c>
      <c r="AB310">
        <f t="shared" si="190"/>
        <v>6852.6203076923057</v>
      </c>
      <c r="AC310">
        <f t="shared" si="204"/>
        <v>7.0542496639731533</v>
      </c>
      <c r="AD310">
        <f t="shared" si="205"/>
        <v>7.0505474245090589</v>
      </c>
      <c r="AE310" s="10" t="str">
        <f t="shared" si="206"/>
        <v>UP</v>
      </c>
      <c r="AF310" s="10" t="str">
        <f t="shared" si="207"/>
        <v>UP</v>
      </c>
      <c r="AG310" s="6" t="str">
        <f t="shared" si="208"/>
        <v>POSITIVE</v>
      </c>
      <c r="AH310" cm="1">
        <f t="array" ref="AH310">IFERROR(VALUE(_xll.BDP($B310,"INTERVAL_MAE_MOV_AVG","CALC_INTERVAL","65W","PERIODICITY_OVERRIDE","W","TECH_STUDIES_PARAM1_OVERRIDE",39,"USE_PREVIOUS_BUSINESS_DAY","N")),"")</f>
        <v>46179.908717948732</v>
      </c>
      <c r="AI310">
        <f t="shared" si="191"/>
        <v>6560.7735897435905</v>
      </c>
      <c r="AJ310" cm="1">
        <f t="array" ref="AJ310">IFERROR(VALUE(_xll.BDP($B310,"INTERVAL_MAE_MOV_AVG","CALC_INTERVAL","65W","PERIODICITY_OVERRIDE","W","TECH_STUDIES_PARAM1_OVERRIDE",39,"USE_PREVIOUS_BUSINESS_DAY","Y")),"")</f>
        <v>46181.620000000017</v>
      </c>
      <c r="AK310">
        <f t="shared" si="192"/>
        <v>6560.7823076923087</v>
      </c>
      <c r="AL310">
        <f t="shared" si="209"/>
        <v>7.0387901801917758</v>
      </c>
      <c r="AM310">
        <f t="shared" si="210"/>
        <v>7.0390416621282395</v>
      </c>
      <c r="AN310" s="10" t="str">
        <f t="shared" si="211"/>
        <v>DOWN</v>
      </c>
      <c r="AO310" s="10" t="str">
        <f t="shared" si="212"/>
        <v>DOWN</v>
      </c>
      <c r="AP310" s="6" t="str">
        <f t="shared" si="213"/>
        <v>POSITIVE</v>
      </c>
      <c r="AQ310" cm="1">
        <f t="array" ref="AQ310">IFERROR(VALUE(_xll.BDP($B310,"INTERVAL_exp_MOV_AVG","CALC_INTERVAL","520D","TECH_STUDIES_PARAM1_OVERRIDE",100,"USE_PREVIOUS_BUSINESS_DAY","N")),"")</f>
        <v>47805.301138243354</v>
      </c>
      <c r="AR310">
        <f t="shared" si="193"/>
        <v>6773.0064518682802</v>
      </c>
      <c r="AS310" cm="1">
        <f t="array" ref="AS310">IFERROR(VALUE(_xll.BDP($B310,"INTERVAL_exp_MOV_AVG","CALC_INTERVAL","520D","TECH_STUDIES_PARAM1_OVERRIDE",100,"USE_PREVIOUS_BUSINESS_DAY","Y")),"")</f>
        <v>47758.514193647447</v>
      </c>
      <c r="AT310">
        <f t="shared" si="194"/>
        <v>6769.6039787132295</v>
      </c>
      <c r="AU310">
        <f t="shared" si="214"/>
        <v>7.0582098921604661</v>
      </c>
      <c r="AV310">
        <f t="shared" si="215"/>
        <v>7.0548460949595189</v>
      </c>
      <c r="AW310" s="11" t="str">
        <f t="shared" si="216"/>
        <v>UP</v>
      </c>
      <c r="AX310" s="11" t="str">
        <f t="shared" si="217"/>
        <v>UP</v>
      </c>
      <c r="AY310" s="6" t="str">
        <f t="shared" si="218"/>
        <v>POSITIVE</v>
      </c>
      <c r="AZ310" s="12" cm="1">
        <f t="array" ref="AZ310">_xll.BDP($B310, "INTERVAL_RSI", "TECH_STUDIES_PARAM1_OVERRIDE", "5", "PERIODICITY_OVERRIDE", "W")</f>
        <v>75.415753281213071</v>
      </c>
      <c r="BA310" cm="1">
        <f t="array" ref="BA310">IFERROR(VALUE(_xll.BDP($B310,"INTERVAL_MAE_MOV_AVG","CALC_INTERVAL","520D","TECH_STUDIES_PARAM1_OVERRIDE",31,"USE_PREVIOUS_BUSINESS_DAY","N")),"")</f>
        <v>49202.50032258065</v>
      </c>
      <c r="BB310" cm="1">
        <f t="array" ref="BB310">IFERROR(VALUE(_xll.BDP($B310,"INTERVAL_MAE_MOV_AVG","CALC_INTERVAL","760D","TECH_STUDIES_PARAM1_OVERRIDE",200,"USE_PREVIOUS_BUSINESS_DAY","N")),"")</f>
        <v>45726.96340000003</v>
      </c>
      <c r="BC310" s="13">
        <f t="shared" si="219"/>
        <v>1.8675873612008953E-2</v>
      </c>
      <c r="BD310" s="13">
        <f t="shared" si="220"/>
        <v>2.7498848606127613E-2</v>
      </c>
      <c r="BE310" s="13">
        <f t="shared" si="221"/>
        <v>9.6101649295172065E-2</v>
      </c>
      <c r="BF310" s="14" cm="1">
        <f t="array" ref="BF310">VALUE(_xll.BDP($B310,"INTERVAL_DATE_OF_CALC_HI","CALC_INTERVAL","3M"))</f>
        <v>46063</v>
      </c>
      <c r="BG310" s="14" cm="1">
        <f t="array" ref="BG310">VALUE(_xll.BDP($B310,"INTERVAL_DATE_OF_CALC_LO","CALC_INTERVAL","3M"))</f>
        <v>45981</v>
      </c>
      <c r="BH310" s="14" cm="1">
        <f t="array" ref="BH310">VALUE(_xll.BDP($B310,"INTERVAL_DATE_OF_CALC_HI","CALC_INTERVAL","1M"))</f>
        <v>46063</v>
      </c>
      <c r="BI310" s="14" cm="1">
        <f t="array" ref="BI310">VALUE(_xll.BDP($B310,"INTERVAL_DATE_OF_CALC_LO","CALC_INTERVAL","1M"))</f>
        <v>46042</v>
      </c>
      <c r="BJ310" s="15">
        <f>$F310-MIN(_xll.BDP("NYA Index","RSI_14D"),_xll.BDP("RSP US Equity","RSI_14D"))</f>
        <v>-5.5494663663186543</v>
      </c>
    </row>
    <row r="311" spans="1:62" x14ac:dyDescent="0.25">
      <c r="A311" s="11">
        <v>310</v>
      </c>
      <c r="B311" s="26" t="s">
        <v>758</v>
      </c>
      <c r="C311" s="1" t="s">
        <v>759</v>
      </c>
      <c r="D311" s="1" t="s">
        <v>307</v>
      </c>
      <c r="E311" s="11" t="s">
        <v>789</v>
      </c>
      <c r="F311">
        <f>IFERROR(VALUE((_xll.BDP($B311,"interval_rsi","tech_studies_param1_override",14))),"")</f>
        <v>66.534862443011306</v>
      </c>
      <c r="G311">
        <f t="shared" si="184"/>
        <v>52.525531939815814</v>
      </c>
      <c r="H311">
        <f t="shared" si="195"/>
        <v>1</v>
      </c>
      <c r="I311" cm="1">
        <f t="array" ref="I311">IFERROR(VALUE(_xll.BDP($B311,"px_last")),"")</f>
        <v>5354.49</v>
      </c>
      <c r="J311">
        <f t="shared" si="185"/>
        <v>6941.47</v>
      </c>
      <c r="K311" cm="1">
        <f t="array" ref="K311">IFERROR(VALUE(_xll.BDP($B311,"PX_YEST_CLOSE")),"")</f>
        <v>5301.69</v>
      </c>
      <c r="L311">
        <f t="shared" si="186"/>
        <v>6941.81</v>
      </c>
      <c r="M311">
        <f t="shared" si="196"/>
        <v>0.77137695617787005</v>
      </c>
      <c r="N311">
        <f t="shared" si="197"/>
        <v>0.7637330897849407</v>
      </c>
      <c r="O311" cm="1">
        <f t="array" ref="O311">IFERROR(VALUE(_xll.BDP($B311,"INTERVAL_MAE_MOV_AVG","CALC_INTERVAL","520D","TECH_STUDIES_PARAM1_OVERRIDE",50,"USE_PREVIOUS_BUSINESS_DAY","N")),"")</f>
        <v>4572.3917999999994</v>
      </c>
      <c r="P311">
        <f t="shared" si="187"/>
        <v>6894.0953999999992</v>
      </c>
      <c r="Q311" cm="1">
        <f t="array" ref="Q311">IFERROR(VALUE(_xll.BDP($B311,"INTERVAL_MAE_MOV_AVG","CALC_INTERVAL","520D","TECH_STUDIES_PARAM1_OVERRIDE",50,"USE_PREVIOUS_BUSINESS_DAY","Y")),"")</f>
        <v>4543.8337999999994</v>
      </c>
      <c r="R311">
        <f t="shared" si="188"/>
        <v>6892.2477999999992</v>
      </c>
      <c r="S311">
        <f t="shared" si="198"/>
        <v>0.66323303271956457</v>
      </c>
      <c r="T311">
        <f t="shared" si="199"/>
        <v>0.65926732930293075</v>
      </c>
      <c r="U311" s="11" t="str">
        <f t="shared" si="200"/>
        <v>POSITIVE</v>
      </c>
      <c r="V311" s="11" t="str">
        <f t="shared" si="201"/>
        <v/>
      </c>
      <c r="W311" s="11" t="str">
        <f t="shared" si="202"/>
        <v>UP</v>
      </c>
      <c r="X311" s="6" t="str">
        <f t="shared" si="203"/>
        <v>POSITIVE</v>
      </c>
      <c r="Y311" cm="1">
        <f t="array" ref="Y311">IFERROR(VALUE(_xll.BDP($B311,"INTERVAL_MAE_MOV_AVG","CALC_INTERVAL","520D","TECH_STUDIES_PARAM1_OVERRIDE",65,"USE_PREVIOUS_BUSINESS_DAY","N")),"")</f>
        <v>4439.0847692307698</v>
      </c>
      <c r="Z311">
        <f t="shared" si="189"/>
        <v>6856.0226153846133</v>
      </c>
      <c r="AA311" cm="1">
        <f t="array" ref="AA311">IFERROR(VALUE(_xll.BDP($B311,"INTERVAL_MAE_MOV_AVG","CALC_INTERVAL","520D","TECH_STUDIES_PARAM1_OVERRIDE",65,"USE_PREVIOUS_BUSINESS_DAY","Y")),"")</f>
        <v>4417.5350769230772</v>
      </c>
      <c r="AB311">
        <f t="shared" si="190"/>
        <v>6852.6203076923057</v>
      </c>
      <c r="AC311">
        <f t="shared" si="204"/>
        <v>0.64747230548359902</v>
      </c>
      <c r="AD311">
        <f t="shared" si="205"/>
        <v>0.64464903621819525</v>
      </c>
      <c r="AE311" s="10" t="str">
        <f t="shared" si="206"/>
        <v>UP</v>
      </c>
      <c r="AF311" s="10" t="str">
        <f t="shared" si="207"/>
        <v>UP</v>
      </c>
      <c r="AG311" s="6" t="str">
        <f t="shared" si="208"/>
        <v>POSITIVE</v>
      </c>
      <c r="AH311" cm="1">
        <f t="array" ref="AH311">IFERROR(VALUE(_xll.BDP($B311,"INTERVAL_MAE_MOV_AVG","CALC_INTERVAL","65W","PERIODICITY_OVERRIDE","W","TECH_STUDIES_PARAM1_OVERRIDE",39,"USE_PREVIOUS_BUSINESS_DAY","N")),"")</f>
        <v>3706.29</v>
      </c>
      <c r="AI311">
        <f t="shared" si="191"/>
        <v>6560.7735897435905</v>
      </c>
      <c r="AJ311" cm="1">
        <f t="array" ref="AJ311">IFERROR(VALUE(_xll.BDP($B311,"INTERVAL_MAE_MOV_AVG","CALC_INTERVAL","65W","PERIODICITY_OVERRIDE","W","TECH_STUDIES_PARAM1_OVERRIDE",39,"USE_PREVIOUS_BUSINESS_DAY","Y")),"")</f>
        <v>3704.936153846154</v>
      </c>
      <c r="AK311">
        <f t="shared" si="192"/>
        <v>6560.7823076923087</v>
      </c>
      <c r="AL311">
        <f t="shared" si="209"/>
        <v>0.56491661376548885</v>
      </c>
      <c r="AM311">
        <f t="shared" si="210"/>
        <v>0.56470950872767633</v>
      </c>
      <c r="AN311" s="10" t="str">
        <f t="shared" si="211"/>
        <v>UP</v>
      </c>
      <c r="AO311" s="10" t="str">
        <f t="shared" si="212"/>
        <v>UP</v>
      </c>
      <c r="AP311" s="6" t="str">
        <f t="shared" si="213"/>
        <v>POSITIVE</v>
      </c>
      <c r="AQ311" cm="1">
        <f t="array" ref="AQ311">IFERROR(VALUE(_xll.BDP($B311,"INTERVAL_exp_MOV_AVG","CALC_INTERVAL","520D","TECH_STUDIES_PARAM1_OVERRIDE",100,"USE_PREVIOUS_BUSINESS_DAY","N")),"")</f>
        <v>4279.4295188060905</v>
      </c>
      <c r="AR311">
        <f t="shared" si="193"/>
        <v>6773.0064518682802</v>
      </c>
      <c r="AS311" cm="1">
        <f t="array" ref="AS311">IFERROR(VALUE(_xll.BDP($B311,"INTERVAL_exp_MOV_AVG","CALC_INTERVAL","520D","TECH_STUDIES_PARAM1_OVERRIDE",100,"USE_PREVIOUS_BUSINESS_DAY","Y")),"")</f>
        <v>4257.711568448105</v>
      </c>
      <c r="AT311">
        <f t="shared" si="194"/>
        <v>6769.6039787132295</v>
      </c>
      <c r="AU311">
        <f t="shared" si="214"/>
        <v>0.63183603163786206</v>
      </c>
      <c r="AV311">
        <f t="shared" si="215"/>
        <v>0.6289454422793892</v>
      </c>
      <c r="AW311" s="11" t="str">
        <f t="shared" si="216"/>
        <v>UP</v>
      </c>
      <c r="AX311" s="11" t="str">
        <f t="shared" si="217"/>
        <v>UP</v>
      </c>
      <c r="AY311" s="6" t="str">
        <f t="shared" si="218"/>
        <v>POSITIVE</v>
      </c>
      <c r="AZ311" s="12" cm="1">
        <f t="array" ref="AZ311">_xll.BDP($B311, "INTERVAL_RSI", "TECH_STUDIES_PARAM1_OVERRIDE", "5", "PERIODICITY_OVERRIDE", "W")</f>
        <v>84.315564565006653</v>
      </c>
      <c r="BA311" cm="1">
        <f t="array" ref="BA311">IFERROR(VALUE(_xll.BDP($B311,"INTERVAL_MAE_MOV_AVG","CALC_INTERVAL","520D","TECH_STUDIES_PARAM1_OVERRIDE",31,"USE_PREVIOUS_BUSINESS_DAY","N")),"")</f>
        <v>4877.5970967741941</v>
      </c>
      <c r="BB311" cm="1">
        <f t="array" ref="BB311">IFERROR(VALUE(_xll.BDP($B311,"INTERVAL_MAE_MOV_AVG","CALC_INTERVAL","760D","TECH_STUDIES_PARAM1_OVERRIDE",200,"USE_PREVIOUS_BUSINESS_DAY","N")),"")</f>
        <v>3581.3583000000021</v>
      </c>
      <c r="BC311" s="13">
        <f t="shared" si="219"/>
        <v>9.7772098384509842E-2</v>
      </c>
      <c r="BD311" s="13">
        <f t="shared" si="220"/>
        <v>0.17104794037991233</v>
      </c>
      <c r="BE311" s="13">
        <f t="shared" si="221"/>
        <v>0.49510033665159847</v>
      </c>
      <c r="BF311" s="14" cm="1">
        <f t="array" ref="BF311">VALUE(_xll.BDP($B311,"INTERVAL_DATE_OF_CALC_HI","CALC_INTERVAL","3M"))</f>
        <v>46057</v>
      </c>
      <c r="BG311" s="14" cm="1">
        <f t="array" ref="BG311">VALUE(_xll.BDP($B311,"INTERVAL_DATE_OF_CALC_LO","CALC_INTERVAL","3M"))</f>
        <v>45985</v>
      </c>
      <c r="BH311" s="14" cm="1">
        <f t="array" ref="BH311">VALUE(_xll.BDP($B311,"INTERVAL_DATE_OF_CALC_HI","CALC_INTERVAL","1M"))</f>
        <v>46057</v>
      </c>
      <c r="BI311" s="14" cm="1">
        <f t="array" ref="BI311">VALUE(_xll.BDP($B311,"INTERVAL_DATE_OF_CALC_LO","CALC_INTERVAL","1M"))</f>
        <v>46034</v>
      </c>
      <c r="BJ311" s="15">
        <f>$F311-MIN(_xll.BDP("NYA Index","RSI_14D"),_xll.BDP("RSP US Equity","RSI_14D"))</f>
        <v>0.18909828285505625</v>
      </c>
    </row>
    <row r="312" spans="1:62" x14ac:dyDescent="0.25">
      <c r="A312" s="11">
        <v>311</v>
      </c>
      <c r="B312" s="26" t="s">
        <v>760</v>
      </c>
      <c r="C312" s="1" t="s">
        <v>761</v>
      </c>
      <c r="D312" s="1" t="s">
        <v>307</v>
      </c>
      <c r="E312" s="11" t="s">
        <v>789</v>
      </c>
      <c r="F312">
        <f>IFERROR(VALUE((_xll.BDP($B312,"interval_rsi","tech_studies_param1_override",14))),"")</f>
        <v>67.966260180002052</v>
      </c>
      <c r="G312">
        <f t="shared" si="184"/>
        <v>52.525531939815814</v>
      </c>
      <c r="H312">
        <f t="shared" si="195"/>
        <v>1</v>
      </c>
      <c r="I312" cm="1">
        <f t="array" ref="I312">IFERROR(VALUE(_xll.BDP($B312,"px_last")),"")</f>
        <v>71601.350000000006</v>
      </c>
      <c r="J312">
        <f t="shared" si="185"/>
        <v>6941.47</v>
      </c>
      <c r="K312" cm="1">
        <f t="array" ref="K312">IFERROR(VALUE(_xll.BDP($B312,"PX_YEST_CLOSE")),"")</f>
        <v>71271.56</v>
      </c>
      <c r="L312">
        <f t="shared" si="186"/>
        <v>6941.81</v>
      </c>
      <c r="M312">
        <f t="shared" si="196"/>
        <v>10.315012526165207</v>
      </c>
      <c r="N312">
        <f t="shared" si="197"/>
        <v>10.266999528941298</v>
      </c>
      <c r="O312" cm="1">
        <f t="array" ref="O312">IFERROR(VALUE(_xll.BDP($B312,"INTERVAL_MAE_MOV_AVG","CALC_INTERVAL","520D","TECH_STUDIES_PARAM1_OVERRIDE",50,"USE_PREVIOUS_BUSINESS_DAY","N")),"")</f>
        <v>66246.042200000011</v>
      </c>
      <c r="P312">
        <f t="shared" si="187"/>
        <v>6894.0953999999992</v>
      </c>
      <c r="Q312" cm="1">
        <f t="array" ref="Q312">IFERROR(VALUE(_xll.BDP($B312,"INTERVAL_MAE_MOV_AVG","CALC_INTERVAL","520D","TECH_STUDIES_PARAM1_OVERRIDE",50,"USE_PREVIOUS_BUSINESS_DAY","Y")),"")</f>
        <v>66067.909800000009</v>
      </c>
      <c r="R312">
        <f t="shared" si="188"/>
        <v>6892.2477999999992</v>
      </c>
      <c r="S312">
        <f t="shared" si="198"/>
        <v>9.6090985628078229</v>
      </c>
      <c r="T312">
        <f t="shared" si="199"/>
        <v>9.5858291398054511</v>
      </c>
      <c r="U312" s="11" t="str">
        <f t="shared" si="200"/>
        <v>POSITIVE</v>
      </c>
      <c r="V312" s="11" t="str">
        <f t="shared" si="201"/>
        <v/>
      </c>
      <c r="W312" s="11" t="str">
        <f t="shared" si="202"/>
        <v>UP</v>
      </c>
      <c r="X312" s="6" t="str">
        <f t="shared" si="203"/>
        <v>POSITIVE</v>
      </c>
      <c r="Y312" cm="1">
        <f t="array" ref="Y312">IFERROR(VALUE(_xll.BDP($B312,"INTERVAL_MAE_MOV_AVG","CALC_INTERVAL","520D","TECH_STUDIES_PARAM1_OVERRIDE",65,"USE_PREVIOUS_BUSINESS_DAY","N")),"")</f>
        <v>65438.837999999996</v>
      </c>
      <c r="Z312">
        <f t="shared" si="189"/>
        <v>6856.0226153846133</v>
      </c>
      <c r="AA312" cm="1">
        <f t="array" ref="AA312">IFERROR(VALUE(_xll.BDP($B312,"INTERVAL_MAE_MOV_AVG","CALC_INTERVAL","520D","TECH_STUDIES_PARAM1_OVERRIDE",65,"USE_PREVIOUS_BUSINESS_DAY","Y")),"")</f>
        <v>65312.332769230772</v>
      </c>
      <c r="AB312">
        <f t="shared" si="190"/>
        <v>6852.6203076923057</v>
      </c>
      <c r="AC312">
        <f t="shared" si="204"/>
        <v>9.5447231829658961</v>
      </c>
      <c r="AD312">
        <f t="shared" si="205"/>
        <v>9.5310012574190637</v>
      </c>
      <c r="AE312" s="10" t="str">
        <f t="shared" si="206"/>
        <v>UP</v>
      </c>
      <c r="AF312" s="10" t="str">
        <f t="shared" si="207"/>
        <v>UP</v>
      </c>
      <c r="AG312" s="6" t="str">
        <f t="shared" si="208"/>
        <v>POSITIVE</v>
      </c>
      <c r="AH312" cm="1">
        <f t="array" ref="AH312">IFERROR(VALUE(_xll.BDP($B312,"INTERVAL_MAE_MOV_AVG","CALC_INTERVAL","65W","PERIODICITY_OVERRIDE","W","TECH_STUDIES_PARAM1_OVERRIDE",39,"USE_PREVIOUS_BUSINESS_DAY","N")),"")</f>
        <v>61621.074871794866</v>
      </c>
      <c r="AI312">
        <f t="shared" si="191"/>
        <v>6560.7735897435905</v>
      </c>
      <c r="AJ312" cm="1">
        <f t="array" ref="AJ312">IFERROR(VALUE(_xll.BDP($B312,"INTERVAL_MAE_MOV_AVG","CALC_INTERVAL","65W","PERIODICITY_OVERRIDE","W","TECH_STUDIES_PARAM1_OVERRIDE",39,"USE_PREVIOUS_BUSINESS_DAY","Y")),"")</f>
        <v>61612.61871794871</v>
      </c>
      <c r="AK312">
        <f t="shared" si="192"/>
        <v>6560.7823076923087</v>
      </c>
      <c r="AL312">
        <f t="shared" si="209"/>
        <v>9.3923489400894198</v>
      </c>
      <c r="AM312">
        <f t="shared" si="210"/>
        <v>9.391047565426744</v>
      </c>
      <c r="AN312" s="10" t="str">
        <f t="shared" si="211"/>
        <v>UP</v>
      </c>
      <c r="AO312" s="10" t="str">
        <f t="shared" si="212"/>
        <v>UP</v>
      </c>
      <c r="AP312" s="6" t="str">
        <f t="shared" si="213"/>
        <v>POSITIVE</v>
      </c>
      <c r="AQ312" cm="1">
        <f t="array" ref="AQ312">IFERROR(VALUE(_xll.BDP($B312,"INTERVAL_exp_MOV_AVG","CALC_INTERVAL","520D","TECH_STUDIES_PARAM1_OVERRIDE",100,"USE_PREVIOUS_BUSINESS_DAY","N")),"")</f>
        <v>64569.875741910088</v>
      </c>
      <c r="AR312">
        <f t="shared" si="193"/>
        <v>6773.0064518682802</v>
      </c>
      <c r="AS312" cm="1">
        <f t="array" ref="AS312">IFERROR(VALUE(_xll.BDP($B312,"INTERVAL_exp_MOV_AVG","CALC_INTERVAL","520D","TECH_STUDIES_PARAM1_OVERRIDE",100,"USE_PREVIOUS_BUSINESS_DAY","Y")),"")</f>
        <v>64427.837443388948</v>
      </c>
      <c r="AT312">
        <f t="shared" si="194"/>
        <v>6769.6039787132295</v>
      </c>
      <c r="AU312">
        <f t="shared" si="214"/>
        <v>9.5334141788834401</v>
      </c>
      <c r="AV312">
        <f t="shared" si="215"/>
        <v>9.5172239980329589</v>
      </c>
      <c r="AW312" s="11" t="str">
        <f t="shared" si="216"/>
        <v>UP</v>
      </c>
      <c r="AX312" s="11" t="str">
        <f t="shared" si="217"/>
        <v>UP</v>
      </c>
      <c r="AY312" s="6" t="str">
        <f t="shared" si="218"/>
        <v>POSITIVE</v>
      </c>
      <c r="AZ312" s="12" cm="1">
        <f t="array" ref="AZ312">_xll.BDP($B312, "INTERVAL_RSI", "TECH_STUDIES_PARAM1_OVERRIDE", "5", "PERIODICITY_OVERRIDE", "W")</f>
        <v>84.438508988454956</v>
      </c>
      <c r="BA312" cm="1">
        <f t="array" ref="BA312">IFERROR(VALUE(_xll.BDP($B312,"INTERVAL_MAE_MOV_AVG","CALC_INTERVAL","520D","TECH_STUDIES_PARAM1_OVERRIDE",31,"USE_PREVIOUS_BUSINESS_DAY","N")),"")</f>
        <v>67606.87322580647</v>
      </c>
      <c r="BB312" cm="1">
        <f t="array" ref="BB312">IFERROR(VALUE(_xll.BDP($B312,"INTERVAL_MAE_MOV_AVG","CALC_INTERVAL","760D","TECH_STUDIES_PARAM1_OVERRIDE",200,"USE_PREVIOUS_BUSINESS_DAY","N")),"")</f>
        <v>61018.770650000013</v>
      </c>
      <c r="BC312" s="13">
        <f t="shared" si="219"/>
        <v>5.9083885758952626E-2</v>
      </c>
      <c r="BD312" s="13">
        <f t="shared" si="220"/>
        <v>8.0839664109020548E-2</v>
      </c>
      <c r="BE312" s="13">
        <f t="shared" si="221"/>
        <v>0.17343153979127224</v>
      </c>
      <c r="BF312" s="14" cm="1">
        <f t="array" ref="BF312">VALUE(_xll.BDP($B312,"INTERVAL_DATE_OF_CALC_HI","CALC_INTERVAL","3M"))</f>
        <v>46064</v>
      </c>
      <c r="BG312" s="14" cm="1">
        <f t="array" ref="BG312">VALUE(_xll.BDP($B312,"INTERVAL_DATE_OF_CALC_LO","CALC_INTERVAL","3M"))</f>
        <v>45981</v>
      </c>
      <c r="BH312" s="14" cm="1">
        <f t="array" ref="BH312">VALUE(_xll.BDP($B312,"INTERVAL_DATE_OF_CALC_HI","CALC_INTERVAL","1M"))</f>
        <v>46064</v>
      </c>
      <c r="BI312" s="14" cm="1">
        <f t="array" ref="BI312">VALUE(_xll.BDP($B312,"INTERVAL_DATE_OF_CALC_LO","CALC_INTERVAL","1M"))</f>
        <v>46035</v>
      </c>
      <c r="BJ312" s="15">
        <f>$F312-MIN(_xll.BDP("NYA Index","RSI_14D"),_xll.BDP("RSP US Equity","RSI_14D"))</f>
        <v>1.6204960198458025</v>
      </c>
    </row>
    <row r="313" spans="1:62" x14ac:dyDescent="0.25">
      <c r="A313" s="11">
        <v>312</v>
      </c>
      <c r="B313" s="26" t="s">
        <v>762</v>
      </c>
      <c r="C313" s="1" t="s">
        <v>973</v>
      </c>
      <c r="D313" s="1" t="s">
        <v>307</v>
      </c>
      <c r="E313" s="11" t="s">
        <v>789</v>
      </c>
      <c r="F313">
        <f>IFERROR(VALUE((_xll.BDP($B313,"interval_rsi","tech_studies_param1_override",14))),"")</f>
        <v>66.634107023424889</v>
      </c>
      <c r="G313">
        <f t="shared" si="184"/>
        <v>52.525531939815814</v>
      </c>
      <c r="H313">
        <f t="shared" si="195"/>
        <v>1</v>
      </c>
      <c r="I313" cm="1">
        <f t="array" ref="I313">IFERROR(VALUE(_xll.BDP($B313,"px_last")),"")</f>
        <v>3581.45</v>
      </c>
      <c r="J313">
        <f t="shared" si="185"/>
        <v>6941.47</v>
      </c>
      <c r="K313" cm="1">
        <f t="array" ref="K313">IFERROR(VALUE(_xll.BDP($B313,"PX_YEST_CLOSE")),"")</f>
        <v>3589.83</v>
      </c>
      <c r="L313">
        <f t="shared" si="186"/>
        <v>6941.81</v>
      </c>
      <c r="M313">
        <f t="shared" si="196"/>
        <v>0.51594979161474441</v>
      </c>
      <c r="N313">
        <f t="shared" si="197"/>
        <v>0.51713169908136347</v>
      </c>
      <c r="O313" cm="1">
        <f t="array" ref="O313">IFERROR(VALUE(_xll.BDP($B313,"INTERVAL_MAE_MOV_AVG","CALC_INTERVAL","520D","TECH_STUDIES_PARAM1_OVERRIDE",50,"USE_PREVIOUS_BUSINESS_DAY","N")),"")</f>
        <v>3417.8539999999994</v>
      </c>
      <c r="P313">
        <f t="shared" si="187"/>
        <v>6894.0953999999992</v>
      </c>
      <c r="Q313" cm="1">
        <f t="array" ref="Q313">IFERROR(VALUE(_xll.BDP($B313,"INTERVAL_MAE_MOV_AVG","CALC_INTERVAL","520D","TECH_STUDIES_PARAM1_OVERRIDE",50,"USE_PREVIOUS_BUSINESS_DAY","Y")),"")</f>
        <v>3412.3947999999987</v>
      </c>
      <c r="R313">
        <f t="shared" si="188"/>
        <v>6892.2477999999992</v>
      </c>
      <c r="S313">
        <f t="shared" si="198"/>
        <v>0.49576540527710128</v>
      </c>
      <c r="T313">
        <f t="shared" si="199"/>
        <v>0.4951062264476328</v>
      </c>
      <c r="U313" s="11" t="str">
        <f t="shared" si="200"/>
        <v>POSITIVE</v>
      </c>
      <c r="V313" s="11" t="str">
        <f t="shared" si="201"/>
        <v/>
      </c>
      <c r="W313" s="11" t="str">
        <f t="shared" si="202"/>
        <v>UP</v>
      </c>
      <c r="X313" s="6" t="str">
        <f t="shared" si="203"/>
        <v>POSITIVE</v>
      </c>
      <c r="Y313" cm="1">
        <f t="array" ref="Y313">IFERROR(VALUE(_xll.BDP($B313,"INTERVAL_MAE_MOV_AVG","CALC_INTERVAL","520D","TECH_STUDIES_PARAM1_OVERRIDE",65,"USE_PREVIOUS_BUSINESS_DAY","N")),"")</f>
        <v>3372.2984615384612</v>
      </c>
      <c r="Z313">
        <f t="shared" si="189"/>
        <v>6856.0226153846133</v>
      </c>
      <c r="AA313" cm="1">
        <f t="array" ref="AA313">IFERROR(VALUE(_xll.BDP($B313,"INTERVAL_MAE_MOV_AVG","CALC_INTERVAL","520D","TECH_STUDIES_PARAM1_OVERRIDE",65,"USE_PREVIOUS_BUSINESS_DAY","Y")),"")</f>
        <v>3366.5363076923072</v>
      </c>
      <c r="AB313">
        <f t="shared" si="190"/>
        <v>6852.6203076923057</v>
      </c>
      <c r="AC313">
        <f t="shared" si="204"/>
        <v>0.49187388238352242</v>
      </c>
      <c r="AD313">
        <f t="shared" si="205"/>
        <v>0.49127722776545091</v>
      </c>
      <c r="AE313" s="10" t="str">
        <f t="shared" si="206"/>
        <v>UP</v>
      </c>
      <c r="AF313" s="10" t="str">
        <f t="shared" si="207"/>
        <v>UP</v>
      </c>
      <c r="AG313" s="6" t="str">
        <f t="shared" si="208"/>
        <v>POSITIVE</v>
      </c>
      <c r="AH313" cm="1">
        <f t="array" ref="AH313">IFERROR(VALUE(_xll.BDP($B313,"INTERVAL_MAE_MOV_AVG","CALC_INTERVAL","65W","PERIODICITY_OVERRIDE","W","TECH_STUDIES_PARAM1_OVERRIDE",39,"USE_PREVIOUS_BUSINESS_DAY","N")),"")</f>
        <v>3254.4135897435895</v>
      </c>
      <c r="AI313">
        <f t="shared" si="191"/>
        <v>6560.7735897435905</v>
      </c>
      <c r="AJ313" cm="1">
        <f t="array" ref="AJ313">IFERROR(VALUE(_xll.BDP($B313,"INTERVAL_MAE_MOV_AVG","CALC_INTERVAL","65W","PERIODICITY_OVERRIDE","W","TECH_STUDIES_PARAM1_OVERRIDE",39,"USE_PREVIOUS_BUSINESS_DAY","Y")),"")</f>
        <v>3254.6284615384611</v>
      </c>
      <c r="AK313">
        <f t="shared" si="192"/>
        <v>6560.7823076923087</v>
      </c>
      <c r="AL313">
        <f t="shared" si="209"/>
        <v>0.4960411367999637</v>
      </c>
      <c r="AM313">
        <f t="shared" si="210"/>
        <v>0.49607322860301473</v>
      </c>
      <c r="AN313" s="10" t="str">
        <f t="shared" si="211"/>
        <v>DOWN</v>
      </c>
      <c r="AO313" s="10" t="str">
        <f t="shared" si="212"/>
        <v>DOWN</v>
      </c>
      <c r="AP313" s="6" t="str">
        <f t="shared" si="213"/>
        <v>POSITIVE</v>
      </c>
      <c r="AQ313" cm="1">
        <f t="array" ref="AQ313">IFERROR(VALUE(_xll.BDP($B313,"INTERVAL_exp_MOV_AVG","CALC_INTERVAL","520D","TECH_STUDIES_PARAM1_OVERRIDE",100,"USE_PREVIOUS_BUSINESS_DAY","N")),"")</f>
        <v>3354.7833895090657</v>
      </c>
      <c r="AR313">
        <f t="shared" si="193"/>
        <v>6773.0064518682802</v>
      </c>
      <c r="AS313" cm="1">
        <f t="array" ref="AS313">IFERROR(VALUE(_xll.BDP($B313,"INTERVAL_exp_MOV_AVG","CALC_INTERVAL","520D","TECH_STUDIES_PARAM1_OVERRIDE",100,"USE_PREVIOUS_BUSINESS_DAY","Y")),"")</f>
        <v>3350.2048628970629</v>
      </c>
      <c r="AT313">
        <f t="shared" si="194"/>
        <v>6769.6039787132295</v>
      </c>
      <c r="AU313">
        <f t="shared" si="214"/>
        <v>0.4953167272686822</v>
      </c>
      <c r="AV313">
        <f t="shared" si="215"/>
        <v>0.49488934263092182</v>
      </c>
      <c r="AW313" s="11" t="str">
        <f t="shared" si="216"/>
        <v>UP</v>
      </c>
      <c r="AX313" s="11" t="str">
        <f t="shared" si="217"/>
        <v>UP</v>
      </c>
      <c r="AY313" s="6" t="str">
        <f t="shared" si="218"/>
        <v>POSITIVE</v>
      </c>
      <c r="AZ313" s="12" cm="1">
        <f t="array" ref="AZ313">_xll.BDP($B313, "INTERVAL_RSI", "TECH_STUDIES_PARAM1_OVERRIDE", "5", "PERIODICITY_OVERRIDE", "W")</f>
        <v>76.423970883386133</v>
      </c>
      <c r="BA313" cm="1">
        <f t="array" ref="BA313">IFERROR(VALUE(_xll.BDP($B313,"INTERVAL_MAE_MOV_AVG","CALC_INTERVAL","520D","TECH_STUDIES_PARAM1_OVERRIDE",31,"USE_PREVIOUS_BUSINESS_DAY","N")),"")</f>
        <v>3468.8477419354831</v>
      </c>
      <c r="BB313" cm="1">
        <f t="array" ref="BB313">IFERROR(VALUE(_xll.BDP($B313,"INTERVAL_MAE_MOV_AVG","CALC_INTERVAL","760D","TECH_STUDIES_PARAM1_OVERRIDE",200,"USE_PREVIOUS_BUSINESS_DAY","N")),"")</f>
        <v>3224.8080500000028</v>
      </c>
      <c r="BC313" s="13">
        <f t="shared" si="219"/>
        <v>3.2460997553524606E-2</v>
      </c>
      <c r="BD313" s="13">
        <f t="shared" si="220"/>
        <v>4.7865122383811798E-2</v>
      </c>
      <c r="BE313" s="13">
        <f t="shared" si="221"/>
        <v>0.11059323360346873</v>
      </c>
      <c r="BF313" s="14" cm="1">
        <f t="array" ref="BF313">VALUE(_xll.BDP($B313,"INTERVAL_DATE_OF_CALC_HI","CALC_INTERVAL","3M"))</f>
        <v>46062</v>
      </c>
      <c r="BG313" s="14" cm="1">
        <f t="array" ref="BG313">VALUE(_xll.BDP($B313,"INTERVAL_DATE_OF_CALC_LO","CALC_INTERVAL","3M"))</f>
        <v>45981</v>
      </c>
      <c r="BH313" s="14" cm="1">
        <f t="array" ref="BH313">VALUE(_xll.BDP($B313,"INTERVAL_DATE_OF_CALC_HI","CALC_INTERVAL","1M"))</f>
        <v>46062</v>
      </c>
      <c r="BI313" s="14" cm="1">
        <f t="array" ref="BI313">VALUE(_xll.BDP($B313,"INTERVAL_DATE_OF_CALC_LO","CALC_INTERVAL","1M"))</f>
        <v>46052</v>
      </c>
      <c r="BJ313" s="15">
        <f>$F313-MIN(_xll.BDP("NYA Index","RSI_14D"),_xll.BDP("RSP US Equity","RSI_14D"))</f>
        <v>0.28834286326863889</v>
      </c>
    </row>
    <row r="314" spans="1:62" x14ac:dyDescent="0.25">
      <c r="A314" s="11">
        <v>313</v>
      </c>
      <c r="B314" s="26" t="s">
        <v>763</v>
      </c>
      <c r="C314" s="1" t="s">
        <v>974</v>
      </c>
      <c r="D314" s="1" t="s">
        <v>307</v>
      </c>
      <c r="E314" s="11" t="s">
        <v>789</v>
      </c>
      <c r="F314">
        <f>IFERROR(VALUE((_xll.BDP($B314,"interval_rsi","tech_studies_param1_override",14))),"")</f>
        <v>47.040004446975942</v>
      </c>
      <c r="G314">
        <f t="shared" si="184"/>
        <v>52.525531939815814</v>
      </c>
      <c r="H314">
        <f t="shared" si="195"/>
        <v>0</v>
      </c>
      <c r="I314" cm="1">
        <f t="array" ref="I314">IFERROR(VALUE(_xll.BDP($B314,"px_last")),"")</f>
        <v>25201.26</v>
      </c>
      <c r="J314">
        <f t="shared" si="185"/>
        <v>6941.47</v>
      </c>
      <c r="K314" cm="1">
        <f t="array" ref="K314">IFERROR(VALUE(_xll.BDP($B314,"PX_YEST_CLOSE")),"")</f>
        <v>25127.64</v>
      </c>
      <c r="L314">
        <f t="shared" si="186"/>
        <v>6941.81</v>
      </c>
      <c r="M314">
        <f t="shared" si="196"/>
        <v>3.6305364713814217</v>
      </c>
      <c r="N314">
        <f t="shared" si="197"/>
        <v>3.6197533496307157</v>
      </c>
      <c r="O314" cm="1">
        <f t="array" ref="O314">IFERROR(VALUE(_xll.BDP($B314,"INTERVAL_MAE_MOV_AVG","CALC_INTERVAL","520D","TECH_STUDIES_PARAM1_OVERRIDE",50,"USE_PREVIOUS_BUSINESS_DAY","N")),"")</f>
        <v>25450.472200000004</v>
      </c>
      <c r="P314">
        <f t="shared" si="187"/>
        <v>6894.0953999999992</v>
      </c>
      <c r="Q314" cm="1">
        <f t="array" ref="Q314">IFERROR(VALUE(_xll.BDP($B314,"INTERVAL_MAE_MOV_AVG","CALC_INTERVAL","520D","TECH_STUDIES_PARAM1_OVERRIDE",50,"USE_PREVIOUS_BUSINESS_DAY","Y")),"")</f>
        <v>25455.144800000005</v>
      </c>
      <c r="R314">
        <f t="shared" si="188"/>
        <v>6892.2477999999992</v>
      </c>
      <c r="S314">
        <f t="shared" si="198"/>
        <v>3.6916333069600409</v>
      </c>
      <c r="T314">
        <f t="shared" si="199"/>
        <v>3.693300870581004</v>
      </c>
      <c r="U314" s="11" t="str">
        <f t="shared" si="200"/>
        <v>NEGATIVE</v>
      </c>
      <c r="V314" s="11" t="str">
        <f t="shared" si="201"/>
        <v/>
      </c>
      <c r="W314" s="11" t="str">
        <f t="shared" si="202"/>
        <v>DOWN</v>
      </c>
      <c r="X314" s="6" t="str">
        <f t="shared" si="203"/>
        <v>NEGATIVE</v>
      </c>
      <c r="Y314" cm="1">
        <f t="array" ref="Y314">IFERROR(VALUE(_xll.BDP($B314,"INTERVAL_MAE_MOV_AVG","CALC_INTERVAL","520D","TECH_STUDIES_PARAM1_OVERRIDE",65,"USE_PREVIOUS_BUSINESS_DAY","N")),"")</f>
        <v>25339.21861538462</v>
      </c>
      <c r="Z314">
        <f t="shared" si="189"/>
        <v>6856.0226153846133</v>
      </c>
      <c r="AA314" cm="1">
        <f t="array" ref="AA314">IFERROR(VALUE(_xll.BDP($B314,"INTERVAL_MAE_MOV_AVG","CALC_INTERVAL","520D","TECH_STUDIES_PARAM1_OVERRIDE",65,"USE_PREVIOUS_BUSINESS_DAY","Y")),"")</f>
        <v>25338.122923076931</v>
      </c>
      <c r="AB314">
        <f t="shared" si="190"/>
        <v>6852.6203076923057</v>
      </c>
      <c r="AC314">
        <f t="shared" si="204"/>
        <v>3.695906509777918</v>
      </c>
      <c r="AD314">
        <f t="shared" si="205"/>
        <v>3.6975816235774808</v>
      </c>
      <c r="AE314" s="10" t="str">
        <f t="shared" si="206"/>
        <v>UP</v>
      </c>
      <c r="AF314" s="10" t="str">
        <f t="shared" si="207"/>
        <v>DOWN</v>
      </c>
      <c r="AG314" s="6" t="str">
        <f t="shared" si="208"/>
        <v>NEGATIVE</v>
      </c>
      <c r="AH314" cm="1">
        <f t="array" ref="AH314">IFERROR(VALUE(_xll.BDP($B314,"INTERVAL_MAE_MOV_AVG","CALC_INTERVAL","65W","PERIODICITY_OVERRIDE","W","TECH_STUDIES_PARAM1_OVERRIDE",39,"USE_PREVIOUS_BUSINESS_DAY","N")),"")</f>
        <v>24109.49282051282</v>
      </c>
      <c r="AI314">
        <f t="shared" si="191"/>
        <v>6560.7735897435905</v>
      </c>
      <c r="AJ314" cm="1">
        <f t="array" ref="AJ314">IFERROR(VALUE(_xll.BDP($B314,"INTERVAL_MAE_MOV_AVG","CALC_INTERVAL","65W","PERIODICITY_OVERRIDE","W","TECH_STUDIES_PARAM1_OVERRIDE",39,"USE_PREVIOUS_BUSINESS_DAY","Y")),"")</f>
        <v>24107.605128205127</v>
      </c>
      <c r="AK314">
        <f t="shared" si="192"/>
        <v>6560.7823076923087</v>
      </c>
      <c r="AL314">
        <f t="shared" si="209"/>
        <v>3.6747942130182656</v>
      </c>
      <c r="AM314">
        <f t="shared" si="210"/>
        <v>3.67450160630078</v>
      </c>
      <c r="AN314" s="10" t="str">
        <f t="shared" si="211"/>
        <v>UP</v>
      </c>
      <c r="AO314" s="10" t="str">
        <f t="shared" si="212"/>
        <v>UP</v>
      </c>
      <c r="AP314" s="6" t="str">
        <f t="shared" si="213"/>
        <v>NEGATIVE</v>
      </c>
      <c r="AQ314" cm="1">
        <f t="array" ref="AQ314">IFERROR(VALUE(_xll.BDP($B314,"INTERVAL_exp_MOV_AVG","CALC_INTERVAL","520D","TECH_STUDIES_PARAM1_OVERRIDE",100,"USE_PREVIOUS_BUSINESS_DAY","N")),"")</f>
        <v>24967.501305596532</v>
      </c>
      <c r="AR314">
        <f t="shared" si="193"/>
        <v>6773.0064518682802</v>
      </c>
      <c r="AS314" cm="1">
        <f t="array" ref="AS314">IFERROR(VALUE(_xll.BDP($B314,"INTERVAL_exp_MOV_AVG","CALC_INTERVAL","520D","TECH_STUDIES_PARAM1_OVERRIDE",100,"USE_PREVIOUS_BUSINESS_DAY","Y")),"")</f>
        <v>24962.781838508261</v>
      </c>
      <c r="AT314">
        <f t="shared" si="194"/>
        <v>6769.6039787132295</v>
      </c>
      <c r="AU314">
        <f t="shared" si="214"/>
        <v>3.6863247485478836</v>
      </c>
      <c r="AV314">
        <f t="shared" si="215"/>
        <v>3.687480378025481</v>
      </c>
      <c r="AW314" s="11" t="str">
        <f t="shared" si="216"/>
        <v>UP</v>
      </c>
      <c r="AX314" s="11" t="str">
        <f t="shared" si="217"/>
        <v>DOWN</v>
      </c>
      <c r="AY314" s="6" t="str">
        <f t="shared" si="218"/>
        <v>NEGATIVE</v>
      </c>
      <c r="AZ314" s="12" cm="1">
        <f t="array" ref="AZ314">_xll.BDP($B314, "INTERVAL_RSI", "TECH_STUDIES_PARAM1_OVERRIDE", "5", "PERIODICITY_OVERRIDE", "W")</f>
        <v>44.112970134589652</v>
      </c>
      <c r="BA314" cm="1">
        <f t="array" ref="BA314">IFERROR(VALUE(_xll.BDP($B314,"INTERVAL_MAE_MOV_AVG","CALC_INTERVAL","520D","TECH_STUDIES_PARAM1_OVERRIDE",31,"USE_PREVIOUS_BUSINESS_DAY","N")),"")</f>
        <v>25458.86064516129</v>
      </c>
      <c r="BB314" cm="1">
        <f t="array" ref="BB314">IFERROR(VALUE(_xll.BDP($B314,"INTERVAL_MAE_MOV_AVG","CALC_INTERVAL","760D","TECH_STUDIES_PARAM1_OVERRIDE",200,"USE_PREVIOUS_BUSINESS_DAY","N")),"")</f>
        <v>23832.265300000006</v>
      </c>
      <c r="BC314" s="13">
        <f t="shared" si="219"/>
        <v>-1.0118310035616251E-2</v>
      </c>
      <c r="BD314" s="13">
        <f t="shared" si="220"/>
        <v>-9.7920462159443167E-3</v>
      </c>
      <c r="BE314" s="13">
        <f t="shared" si="221"/>
        <v>5.7442911228417382E-2</v>
      </c>
      <c r="BF314" s="14" cm="1">
        <f t="array" ref="BF314">VALUE(_xll.BDP($B314,"INTERVAL_DATE_OF_CALC_HI","CALC_INTERVAL","3M"))</f>
        <v>46050</v>
      </c>
      <c r="BG314" s="14" cm="1">
        <f t="array" ref="BG314">VALUE(_xll.BDP($B314,"INTERVAL_DATE_OF_CALC_LO","CALC_INTERVAL","3M"))</f>
        <v>45981</v>
      </c>
      <c r="BH314" s="14" cm="1">
        <f t="array" ref="BH314">VALUE(_xll.BDP($B314,"INTERVAL_DATE_OF_CALC_HI","CALC_INTERVAL","1M"))</f>
        <v>46050</v>
      </c>
      <c r="BI314" s="14" cm="1">
        <f t="array" ref="BI314">VALUE(_xll.BDP($B314,"INTERVAL_DATE_OF_CALC_LO","CALC_INTERVAL","1M"))</f>
        <v>46058</v>
      </c>
      <c r="BJ314" s="15">
        <f>$F314-MIN(_xll.BDP("NYA Index","RSI_14D"),_xll.BDP("RSP US Equity","RSI_14D"))</f>
        <v>-19.305759713180308</v>
      </c>
    </row>
    <row r="315" spans="1:62" x14ac:dyDescent="0.25">
      <c r="A315" s="11">
        <v>314</v>
      </c>
      <c r="B315" s="26" t="s">
        <v>764</v>
      </c>
      <c r="C315" s="1" t="s">
        <v>975</v>
      </c>
      <c r="D315" s="1" t="s">
        <v>307</v>
      </c>
      <c r="E315" s="11" t="s">
        <v>789</v>
      </c>
      <c r="F315">
        <f>IFERROR(VALUE((_xll.BDP($B315,"interval_rsi","tech_studies_param1_override",14))),"")</f>
        <v>72.52645736818117</v>
      </c>
      <c r="G315">
        <f t="shared" si="184"/>
        <v>52.525531939815814</v>
      </c>
      <c r="H315">
        <f t="shared" si="195"/>
        <v>1</v>
      </c>
      <c r="I315" cm="1">
        <f t="array" ref="I315">IFERROR(VALUE(_xll.BDP($B315,"px_last")),"")</f>
        <v>57650.54</v>
      </c>
      <c r="J315">
        <f t="shared" si="185"/>
        <v>6941.47</v>
      </c>
      <c r="K315" cm="1">
        <f t="array" ref="K315">IFERROR(VALUE(_xll.BDP($B315,"PX_YEST_CLOSE")),"")</f>
        <v>57650.54</v>
      </c>
      <c r="L315">
        <f t="shared" si="186"/>
        <v>6941.81</v>
      </c>
      <c r="M315">
        <f t="shared" si="196"/>
        <v>8.3052350582801626</v>
      </c>
      <c r="N315">
        <f t="shared" si="197"/>
        <v>8.3048282796561708</v>
      </c>
      <c r="O315" cm="1">
        <f t="array" ref="O315">IFERROR(VALUE(_xll.BDP($B315,"INTERVAL_MAE_MOV_AVG","CALC_INTERVAL","520D","TECH_STUDIES_PARAM1_OVERRIDE",50,"USE_PREVIOUS_BUSINESS_DAY","N")),"")</f>
        <v>51924.354800000016</v>
      </c>
      <c r="P315">
        <f t="shared" si="187"/>
        <v>6894.0953999999992</v>
      </c>
      <c r="Q315" cm="1">
        <f t="array" ref="Q315">IFERROR(VALUE(_xll.BDP($B315,"INTERVAL_MAE_MOV_AVG","CALC_INTERVAL","520D","TECH_STUDIES_PARAM1_OVERRIDE",50,"USE_PREVIOUS_BUSINESS_DAY","Y")),"")</f>
        <v>51762.525400000013</v>
      </c>
      <c r="R315">
        <f t="shared" si="188"/>
        <v>6892.2477999999992</v>
      </c>
      <c r="S315">
        <f t="shared" si="198"/>
        <v>7.5317139939780962</v>
      </c>
      <c r="T315">
        <f t="shared" si="199"/>
        <v>7.5102530991413312</v>
      </c>
      <c r="U315" s="11" t="str">
        <f t="shared" si="200"/>
        <v>POSITIVE</v>
      </c>
      <c r="V315" s="11" t="str">
        <f t="shared" si="201"/>
        <v/>
      </c>
      <c r="W315" s="11" t="str">
        <f t="shared" si="202"/>
        <v>UP</v>
      </c>
      <c r="X315" s="6" t="str">
        <f t="shared" si="203"/>
        <v>POSITIVE</v>
      </c>
      <c r="Y315" cm="1">
        <f t="array" ref="Y315">IFERROR(VALUE(_xll.BDP($B315,"INTERVAL_MAE_MOV_AVG","CALC_INTERVAL","520D","TECH_STUDIES_PARAM1_OVERRIDE",65,"USE_PREVIOUS_BUSINESS_DAY","N")),"")</f>
        <v>51481.529538461553</v>
      </c>
      <c r="Z315">
        <f t="shared" si="189"/>
        <v>6856.0226153846133</v>
      </c>
      <c r="AA315" cm="1">
        <f t="array" ref="AA315">IFERROR(VALUE(_xll.BDP($B315,"INTERVAL_MAE_MOV_AVG","CALC_INTERVAL","520D","TECH_STUDIES_PARAM1_OVERRIDE",65,"USE_PREVIOUS_BUSINESS_DAY","Y")),"")</f>
        <v>51386.862769230785</v>
      </c>
      <c r="AB315">
        <f t="shared" si="190"/>
        <v>6852.6203076923057</v>
      </c>
      <c r="AC315">
        <f t="shared" si="204"/>
        <v>7.5089497842290172</v>
      </c>
      <c r="AD315">
        <f t="shared" si="205"/>
        <v>7.4988632759277847</v>
      </c>
      <c r="AE315" s="10" t="str">
        <f t="shared" si="206"/>
        <v>UP</v>
      </c>
      <c r="AF315" s="10" t="str">
        <f t="shared" si="207"/>
        <v>UP</v>
      </c>
      <c r="AG315" s="6" t="str">
        <f t="shared" si="208"/>
        <v>POSITIVE</v>
      </c>
      <c r="AH315" cm="1">
        <f t="array" ref="AH315">IFERROR(VALUE(_xll.BDP($B315,"INTERVAL_MAE_MOV_AVG","CALC_INTERVAL","65W","PERIODICITY_OVERRIDE","W","TECH_STUDIES_PARAM1_OVERRIDE",39,"USE_PREVIOUS_BUSINESS_DAY","N")),"")</f>
        <v>46128.430769230778</v>
      </c>
      <c r="AI315">
        <f t="shared" si="191"/>
        <v>6560.7735897435905</v>
      </c>
      <c r="AJ315" cm="1">
        <f t="array" ref="AJ315">IFERROR(VALUE(_xll.BDP($B315,"INTERVAL_MAE_MOV_AVG","CALC_INTERVAL","65W","PERIODICITY_OVERRIDE","W","TECH_STUDIES_PARAM1_OVERRIDE",39,"USE_PREVIOUS_BUSINESS_DAY","Y")),"")</f>
        <v>46095.441025641041</v>
      </c>
      <c r="AK315">
        <f t="shared" si="192"/>
        <v>6560.7823076923087</v>
      </c>
      <c r="AL315">
        <f t="shared" si="209"/>
        <v>7.0309438571913256</v>
      </c>
      <c r="AM315">
        <f t="shared" si="210"/>
        <v>7.0259061898145285</v>
      </c>
      <c r="AN315" s="10" t="str">
        <f t="shared" si="211"/>
        <v>UP</v>
      </c>
      <c r="AO315" s="10" t="str">
        <f t="shared" si="212"/>
        <v>UP</v>
      </c>
      <c r="AP315" s="6" t="str">
        <f t="shared" si="213"/>
        <v>POSITIVE</v>
      </c>
      <c r="AQ315" cm="1">
        <f t="array" ref="AQ315">IFERROR(VALUE(_xll.BDP($B315,"INTERVAL_exp_MOV_AVG","CALC_INTERVAL","520D","TECH_STUDIES_PARAM1_OVERRIDE",100,"USE_PREVIOUS_BUSINESS_DAY","N")),"")</f>
        <v>49923.541731448233</v>
      </c>
      <c r="AR315">
        <f t="shared" si="193"/>
        <v>6773.0064518682802</v>
      </c>
      <c r="AS315" cm="1">
        <f t="array" ref="AS315">IFERROR(VALUE(_xll.BDP($B315,"INTERVAL_exp_MOV_AVG","CALC_INTERVAL","520D","TECH_STUDIES_PARAM1_OVERRIDE",100,"USE_PREVIOUS_BUSINESS_DAY","Y")),"")</f>
        <v>49767.439869302281</v>
      </c>
      <c r="AT315">
        <f t="shared" si="194"/>
        <v>6769.6039787132295</v>
      </c>
      <c r="AU315">
        <f t="shared" si="214"/>
        <v>7.3709573564155129</v>
      </c>
      <c r="AV315">
        <f t="shared" si="215"/>
        <v>7.3516028449809125</v>
      </c>
      <c r="AW315" s="11" t="str">
        <f t="shared" si="216"/>
        <v>UP</v>
      </c>
      <c r="AX315" s="11" t="str">
        <f t="shared" si="217"/>
        <v>UP</v>
      </c>
      <c r="AY315" s="6" t="str">
        <f t="shared" si="218"/>
        <v>POSITIVE</v>
      </c>
      <c r="AZ315" s="12" cm="1">
        <f t="array" ref="AZ315">_xll.BDP($B315, "INTERVAL_RSI", "TECH_STUDIES_PARAM1_OVERRIDE", "5", "PERIODICITY_OVERRIDE", "W")</f>
        <v>86.805564312552576</v>
      </c>
      <c r="BA315" cm="1">
        <f t="array" ref="BA315">IFERROR(VALUE(_xll.BDP($B315,"INTERVAL_MAE_MOV_AVG","CALC_INTERVAL","520D","TECH_STUDIES_PARAM1_OVERRIDE",31,"USE_PREVIOUS_BUSINESS_DAY","N")),"")</f>
        <v>53051.360322580644</v>
      </c>
      <c r="BB315" cm="1">
        <f t="array" ref="BB315">IFERROR(VALUE(_xll.BDP($B315,"INTERVAL_MAE_MOV_AVG","CALC_INTERVAL","760D","TECH_STUDIES_PARAM1_OVERRIDE",200,"USE_PREVIOUS_BUSINESS_DAY","N")),"")</f>
        <v>44759.875700000011</v>
      </c>
      <c r="BC315" s="13">
        <f t="shared" si="219"/>
        <v>8.6692964128608274E-2</v>
      </c>
      <c r="BD315" s="13">
        <f t="shared" si="220"/>
        <v>0.11027937125181153</v>
      </c>
      <c r="BE315" s="13">
        <f t="shared" si="221"/>
        <v>0.28799598073950827</v>
      </c>
      <c r="BF315" s="14" cm="1">
        <f t="array" ref="BF315">VALUE(_xll.BDP($B315,"INTERVAL_DATE_OF_CALC_HI","CALC_INTERVAL","3M"))</f>
        <v>46063</v>
      </c>
      <c r="BG315" s="14" cm="1">
        <f t="array" ref="BG315">VALUE(_xll.BDP($B315,"INTERVAL_DATE_OF_CALC_LO","CALC_INTERVAL","3M"))</f>
        <v>45980</v>
      </c>
      <c r="BH315" s="14" cm="1">
        <f t="array" ref="BH315">VALUE(_xll.BDP($B315,"INTERVAL_DATE_OF_CALC_HI","CALC_INTERVAL","1M"))</f>
        <v>46063</v>
      </c>
      <c r="BI315" s="14" cm="1">
        <f t="array" ref="BI315">VALUE(_xll.BDP($B315,"INTERVAL_DATE_OF_CALC_LO","CALC_INTERVAL","1M"))</f>
        <v>46055</v>
      </c>
      <c r="BJ315" s="15">
        <f>$F315-MIN(_xll.BDP("NYA Index","RSI_14D"),_xll.BDP("RSP US Equity","RSI_14D"))</f>
        <v>6.1806932080249197</v>
      </c>
    </row>
    <row r="316" spans="1:62" x14ac:dyDescent="0.25">
      <c r="A316" s="11">
        <v>315</v>
      </c>
      <c r="B316" s="26" t="s">
        <v>1</v>
      </c>
      <c r="C316" s="1" t="s">
        <v>965</v>
      </c>
      <c r="D316" s="1" t="s">
        <v>307</v>
      </c>
      <c r="E316" s="11" t="s">
        <v>789</v>
      </c>
      <c r="F316">
        <f>IFERROR(VALUE((_xll.BDP($B316,"interval_rsi","tech_studies_param1_override",14))),"")</f>
        <v>69.695086912633911</v>
      </c>
      <c r="G316">
        <f t="shared" si="184"/>
        <v>52.525531939815814</v>
      </c>
      <c r="H316">
        <f t="shared" si="195"/>
        <v>1</v>
      </c>
      <c r="I316" cm="1">
        <f t="array" ref="I316">IFERROR(VALUE(_xll.BDP($B316,"px_last")),"")</f>
        <v>23479.72</v>
      </c>
      <c r="J316">
        <f t="shared" si="185"/>
        <v>6941.47</v>
      </c>
      <c r="K316" cm="1">
        <f t="array" ref="K316">IFERROR(VALUE(_xll.BDP($B316,"PX_YEST_CLOSE")),"")</f>
        <v>23398.11</v>
      </c>
      <c r="L316">
        <f t="shared" si="186"/>
        <v>6941.81</v>
      </c>
      <c r="M316">
        <f t="shared" si="196"/>
        <v>3.3825284846005244</v>
      </c>
      <c r="N316">
        <f t="shared" si="197"/>
        <v>3.3706065132868805</v>
      </c>
      <c r="O316" cm="1">
        <f t="array" ref="O316">IFERROR(VALUE(_xll.BDP($B316,"INTERVAL_MAE_MOV_AVG","CALC_INTERVAL","520D","TECH_STUDIES_PARAM1_OVERRIDE",50,"USE_PREVIOUS_BUSINESS_DAY","N")),"")</f>
        <v>22414.7994</v>
      </c>
      <c r="P316">
        <f t="shared" si="187"/>
        <v>6894.0953999999992</v>
      </c>
      <c r="Q316" cm="1">
        <f t="array" ref="Q316">IFERROR(VALUE(_xll.BDP($B316,"INTERVAL_MAE_MOV_AVG","CALC_INTERVAL","520D","TECH_STUDIES_PARAM1_OVERRIDE",50,"USE_PREVIOUS_BUSINESS_DAY","Y")),"")</f>
        <v>22381.698399999997</v>
      </c>
      <c r="R316">
        <f t="shared" si="188"/>
        <v>6892.2477999999992</v>
      </c>
      <c r="S316">
        <f t="shared" si="198"/>
        <v>3.2513039201633331</v>
      </c>
      <c r="T316">
        <f t="shared" si="199"/>
        <v>3.2473728527288297</v>
      </c>
      <c r="U316" s="11" t="str">
        <f t="shared" si="200"/>
        <v>POSITIVE</v>
      </c>
      <c r="V316" s="11" t="str">
        <f t="shared" si="201"/>
        <v/>
      </c>
      <c r="W316" s="11" t="str">
        <f t="shared" si="202"/>
        <v>UP</v>
      </c>
      <c r="X316" s="6" t="str">
        <f t="shared" si="203"/>
        <v>POSITIVE</v>
      </c>
      <c r="Y316" cm="1">
        <f t="array" ref="Y316">IFERROR(VALUE(_xll.BDP($B316,"INTERVAL_MAE_MOV_AVG","CALC_INTERVAL","520D","TECH_STUDIES_PARAM1_OVERRIDE",65,"USE_PREVIOUS_BUSINESS_DAY","N")),"")</f>
        <v>22188.445076923075</v>
      </c>
      <c r="Z316">
        <f t="shared" si="189"/>
        <v>6856.0226153846133</v>
      </c>
      <c r="AA316" cm="1">
        <f t="array" ref="AA316">IFERROR(VALUE(_xll.BDP($B316,"INTERVAL_MAE_MOV_AVG","CALC_INTERVAL","520D","TECH_STUDIES_PARAM1_OVERRIDE",65,"USE_PREVIOUS_BUSINESS_DAY","Y")),"")</f>
        <v>22154.733076923072</v>
      </c>
      <c r="AB316">
        <f t="shared" si="190"/>
        <v>6852.6203076923057</v>
      </c>
      <c r="AC316">
        <f t="shared" si="204"/>
        <v>3.2363436239450523</v>
      </c>
      <c r="AD316">
        <f t="shared" si="205"/>
        <v>3.2330308819319247</v>
      </c>
      <c r="AE316" s="10" t="str">
        <f t="shared" si="206"/>
        <v>UP</v>
      </c>
      <c r="AF316" s="10" t="str">
        <f t="shared" si="207"/>
        <v>UP</v>
      </c>
      <c r="AG316" s="6" t="str">
        <f t="shared" si="208"/>
        <v>POSITIVE</v>
      </c>
      <c r="AH316" cm="1">
        <f t="array" ref="AH316">IFERROR(VALUE(_xll.BDP($B316,"INTERVAL_MAE_MOV_AVG","CALC_INTERVAL","65W","PERIODICITY_OVERRIDE","W","TECH_STUDIES_PARAM1_OVERRIDE",39,"USE_PREVIOUS_BUSINESS_DAY","N")),"")</f>
        <v>21353.685641025641</v>
      </c>
      <c r="AI316">
        <f t="shared" si="191"/>
        <v>6560.7735897435905</v>
      </c>
      <c r="AJ316" cm="1">
        <f t="array" ref="AJ316">IFERROR(VALUE(_xll.BDP($B316,"INTERVAL_MAE_MOV_AVG","CALC_INTERVAL","65W","PERIODICITY_OVERRIDE","W","TECH_STUDIES_PARAM1_OVERRIDE",39,"USE_PREVIOUS_BUSINESS_DAY","Y")),"")</f>
        <v>21351.593076923076</v>
      </c>
      <c r="AK316">
        <f t="shared" si="192"/>
        <v>6560.7823076923087</v>
      </c>
      <c r="AL316">
        <f t="shared" si="209"/>
        <v>3.2547511888548786</v>
      </c>
      <c r="AM316">
        <f t="shared" si="210"/>
        <v>3.2544279135567433</v>
      </c>
      <c r="AN316" s="10" t="str">
        <f t="shared" si="211"/>
        <v>UP</v>
      </c>
      <c r="AO316" s="10" t="str">
        <f t="shared" si="212"/>
        <v>UP</v>
      </c>
      <c r="AP316" s="6" t="str">
        <f t="shared" si="213"/>
        <v>POSITIVE</v>
      </c>
      <c r="AQ316" cm="1">
        <f t="array" ref="AQ316">IFERROR(VALUE(_xll.BDP($B316,"INTERVAL_exp_MOV_AVG","CALC_INTERVAL","520D","TECH_STUDIES_PARAM1_OVERRIDE",100,"USE_PREVIOUS_BUSINESS_DAY","N")),"")</f>
        <v>22022.245929740944</v>
      </c>
      <c r="AR316">
        <f t="shared" si="193"/>
        <v>6773.0064518682802</v>
      </c>
      <c r="AS316" cm="1">
        <f t="array" ref="AS316">IFERROR(VALUE(_xll.BDP($B316,"INTERVAL_exp_MOV_AVG","CALC_INTERVAL","520D","TECH_STUDIES_PARAM1_OVERRIDE",100,"USE_PREVIOUS_BUSINESS_DAY","Y")),"")</f>
        <v>21992.805626435922</v>
      </c>
      <c r="AT316">
        <f t="shared" si="194"/>
        <v>6769.6039787132295</v>
      </c>
      <c r="AU316">
        <f t="shared" si="214"/>
        <v>3.2514727523500708</v>
      </c>
      <c r="AV316">
        <f t="shared" si="215"/>
        <v>3.2487580803236775</v>
      </c>
      <c r="AW316" s="11" t="str">
        <f t="shared" si="216"/>
        <v>UP</v>
      </c>
      <c r="AX316" s="11" t="str">
        <f t="shared" si="217"/>
        <v>UP</v>
      </c>
      <c r="AY316" s="6" t="str">
        <f t="shared" si="218"/>
        <v>POSITIVE</v>
      </c>
      <c r="AZ316" s="12" cm="1">
        <f t="array" ref="AZ316">_xll.BDP($B316, "INTERVAL_RSI", "TECH_STUDIES_PARAM1_OVERRIDE", "5", "PERIODICITY_OVERRIDE", "W")</f>
        <v>90.23367993622557</v>
      </c>
      <c r="BA316" cm="1">
        <f t="array" ref="BA316">IFERROR(VALUE(_xll.BDP($B316,"INTERVAL_MAE_MOV_AVG","CALC_INTERVAL","520D","TECH_STUDIES_PARAM1_OVERRIDE",31,"USE_PREVIOUS_BUSINESS_DAY","N")),"")</f>
        <v>22724.617096774189</v>
      </c>
      <c r="BB316" cm="1">
        <f t="array" ref="BB316">IFERROR(VALUE(_xll.BDP($B316,"INTERVAL_MAE_MOV_AVG","CALC_INTERVAL","760D","TECH_STUDIES_PARAM1_OVERRIDE",200,"USE_PREVIOUS_BUSINESS_DAY","N")),"")</f>
        <v>21159.833650000004</v>
      </c>
      <c r="BC316" s="13">
        <f t="shared" si="219"/>
        <v>3.3228410406659803E-2</v>
      </c>
      <c r="BD316" s="13">
        <f t="shared" si="220"/>
        <v>4.7509709143326084E-2</v>
      </c>
      <c r="BE316" s="13">
        <f t="shared" si="221"/>
        <v>0.10963632268441748</v>
      </c>
      <c r="BF316" s="14" cm="1">
        <f t="array" ref="BF316">VALUE(_xll.BDP($B316,"INTERVAL_DATE_OF_CALC_HI","CALC_INTERVAL","3M"))</f>
        <v>46064</v>
      </c>
      <c r="BG316" s="14" cm="1">
        <f t="array" ref="BG316">VALUE(_xll.BDP($B316,"INTERVAL_DATE_OF_CALC_LO","CALC_INTERVAL","3M"))</f>
        <v>45981</v>
      </c>
      <c r="BH316" s="14" cm="1">
        <f t="array" ref="BH316">VALUE(_xll.BDP($B316,"INTERVAL_DATE_OF_CALC_HI","CALC_INTERVAL","1M"))</f>
        <v>46064</v>
      </c>
      <c r="BI316" s="14" cm="1">
        <f t="array" ref="BI316">VALUE(_xll.BDP($B316,"INTERVAL_DATE_OF_CALC_LO","CALC_INTERVAL","1M"))</f>
        <v>46042</v>
      </c>
      <c r="BJ316" s="15">
        <f>$F316-MIN(_xll.BDP("NYA Index","RSI_14D"),_xll.BDP("RSP US Equity","RSI_14D"))</f>
        <v>3.3493227524776614</v>
      </c>
    </row>
    <row r="317" spans="1:62" x14ac:dyDescent="0.25">
      <c r="A317" s="11">
        <v>316</v>
      </c>
      <c r="B317" s="26" t="s">
        <v>765</v>
      </c>
      <c r="C317" s="1" t="s">
        <v>976</v>
      </c>
      <c r="D317" s="1" t="s">
        <v>307</v>
      </c>
      <c r="E317" s="11" t="s">
        <v>789</v>
      </c>
      <c r="F317">
        <f>IFERROR(VALUE((_xll.BDP($B317,"interval_rsi","tech_studies_param1_override",14))),"")</f>
        <v>47.255395347949182</v>
      </c>
      <c r="G317">
        <f t="shared" si="184"/>
        <v>52.525531939815814</v>
      </c>
      <c r="H317">
        <f t="shared" si="195"/>
        <v>0</v>
      </c>
      <c r="I317" cm="1">
        <f t="array" ref="I317">IFERROR(VALUE(_xll.BDP($B317,"px_last")),"")</f>
        <v>3409.62</v>
      </c>
      <c r="J317">
        <f t="shared" si="185"/>
        <v>6941.47</v>
      </c>
      <c r="K317" cm="1">
        <f t="array" ref="K317">IFERROR(VALUE(_xll.BDP($B317,"PX_YEST_CLOSE")),"")</f>
        <v>3419.63</v>
      </c>
      <c r="L317">
        <f t="shared" si="186"/>
        <v>6941.81</v>
      </c>
      <c r="M317">
        <f t="shared" si="196"/>
        <v>0.49119566892891559</v>
      </c>
      <c r="N317">
        <f t="shared" si="197"/>
        <v>0.49261359789449727</v>
      </c>
      <c r="O317" cm="1">
        <f t="array" ref="O317">IFERROR(VALUE(_xll.BDP($B317,"INTERVAL_MAE_MOV_AVG","CALC_INTERVAL","520D","TECH_STUDIES_PARAM1_OVERRIDE",50,"USE_PREVIOUS_BUSINESS_DAY","N")),"")</f>
        <v>3431.7599999999993</v>
      </c>
      <c r="P317">
        <f t="shared" si="187"/>
        <v>6894.0953999999992</v>
      </c>
      <c r="Q317" cm="1">
        <f t="array" ref="Q317">IFERROR(VALUE(_xll.BDP($B317,"INTERVAL_MAE_MOV_AVG","CALC_INTERVAL","520D","TECH_STUDIES_PARAM1_OVERRIDE",50,"USE_PREVIOUS_BUSINESS_DAY","Y")),"")</f>
        <v>3432.3449999999989</v>
      </c>
      <c r="R317">
        <f t="shared" si="188"/>
        <v>6892.2477999999992</v>
      </c>
      <c r="S317">
        <f t="shared" si="198"/>
        <v>0.49778249369743272</v>
      </c>
      <c r="T317">
        <f t="shared" si="199"/>
        <v>0.49800081186866196</v>
      </c>
      <c r="U317" s="11" t="str">
        <f t="shared" si="200"/>
        <v>NEGATIVE</v>
      </c>
      <c r="V317" s="11" t="str">
        <f t="shared" si="201"/>
        <v/>
      </c>
      <c r="W317" s="11" t="str">
        <f t="shared" si="202"/>
        <v>DOWN</v>
      </c>
      <c r="X317" s="6" t="str">
        <f t="shared" si="203"/>
        <v>NEGATIVE</v>
      </c>
      <c r="Y317" cm="1">
        <f t="array" ref="Y317">IFERROR(VALUE(_xll.BDP($B317,"INTERVAL_MAE_MOV_AVG","CALC_INTERVAL","520D","TECH_STUDIES_PARAM1_OVERRIDE",65,"USE_PREVIOUS_BUSINESS_DAY","N")),"")</f>
        <v>3420.5347692307691</v>
      </c>
      <c r="Z317">
        <f t="shared" si="189"/>
        <v>6856.0226153846133</v>
      </c>
      <c r="AA317" cm="1">
        <f t="array" ref="AA317">IFERROR(VALUE(_xll.BDP($B317,"INTERVAL_MAE_MOV_AVG","CALC_INTERVAL","520D","TECH_STUDIES_PARAM1_OVERRIDE",65,"USE_PREVIOUS_BUSINESS_DAY","Y")),"")</f>
        <v>3420.094461538461</v>
      </c>
      <c r="AB317">
        <f t="shared" si="190"/>
        <v>6852.6203076923057</v>
      </c>
      <c r="AC317">
        <f t="shared" si="204"/>
        <v>0.49890949331982065</v>
      </c>
      <c r="AD317">
        <f t="shared" si="205"/>
        <v>0.4990929466352142</v>
      </c>
      <c r="AE317" s="10" t="str">
        <f t="shared" si="206"/>
        <v>UP</v>
      </c>
      <c r="AF317" s="10" t="str">
        <f t="shared" si="207"/>
        <v>DOWN</v>
      </c>
      <c r="AG317" s="6" t="str">
        <f t="shared" si="208"/>
        <v>NEGATIVE</v>
      </c>
      <c r="AH317" cm="1">
        <f t="array" ref="AH317">IFERROR(VALUE(_xll.BDP($B317,"INTERVAL_MAE_MOV_AVG","CALC_INTERVAL","65W","PERIODICITY_OVERRIDE","W","TECH_STUDIES_PARAM1_OVERRIDE",39,"USE_PREVIOUS_BUSINESS_DAY","N")),"")</f>
        <v>3255.0969230769224</v>
      </c>
      <c r="AI317">
        <f t="shared" si="191"/>
        <v>6560.7735897435905</v>
      </c>
      <c r="AJ317" cm="1">
        <f t="array" ref="AJ317">IFERROR(VALUE(_xll.BDP($B317,"INTERVAL_MAE_MOV_AVG","CALC_INTERVAL","65W","PERIODICITY_OVERRIDE","W","TECH_STUDIES_PARAM1_OVERRIDE",39,"USE_PREVIOUS_BUSINESS_DAY","Y")),"")</f>
        <v>3255.3535897435891</v>
      </c>
      <c r="AK317">
        <f t="shared" si="192"/>
        <v>6560.7823076923087</v>
      </c>
      <c r="AL317">
        <f t="shared" si="209"/>
        <v>0.49614529118419687</v>
      </c>
      <c r="AM317">
        <f t="shared" si="210"/>
        <v>0.49618375325863051</v>
      </c>
      <c r="AN317" s="10" t="str">
        <f t="shared" si="211"/>
        <v>DOWN</v>
      </c>
      <c r="AO317" s="10" t="str">
        <f t="shared" si="212"/>
        <v>DOWN</v>
      </c>
      <c r="AP317" s="6" t="str">
        <f t="shared" si="213"/>
        <v>NEGATIVE</v>
      </c>
      <c r="AQ317" cm="1">
        <f t="array" ref="AQ317">IFERROR(VALUE(_xll.BDP($B317,"INTERVAL_exp_MOV_AVG","CALC_INTERVAL","520D","TECH_STUDIES_PARAM1_OVERRIDE",100,"USE_PREVIOUS_BUSINESS_DAY","N")),"")</f>
        <v>3368.8340128359641</v>
      </c>
      <c r="AR317">
        <f t="shared" si="193"/>
        <v>6773.0064518682802</v>
      </c>
      <c r="AS317" cm="1">
        <f t="array" ref="AS317">IFERROR(VALUE(_xll.BDP($B317,"INTERVAL_exp_MOV_AVG","CALC_INTERVAL","520D","TECH_STUDIES_PARAM1_OVERRIDE",100,"USE_PREVIOUS_BUSINESS_DAY","Y")),"")</f>
        <v>3368.0103989357713</v>
      </c>
      <c r="AT317">
        <f t="shared" si="194"/>
        <v>6769.6039787132295</v>
      </c>
      <c r="AU317">
        <f t="shared" si="214"/>
        <v>0.49739123043455802</v>
      </c>
      <c r="AV317">
        <f t="shared" si="215"/>
        <v>0.49751956089696769</v>
      </c>
      <c r="AW317" s="11" t="str">
        <f t="shared" si="216"/>
        <v>UP</v>
      </c>
      <c r="AX317" s="11" t="str">
        <f t="shared" si="217"/>
        <v>DOWN</v>
      </c>
      <c r="AY317" s="6" t="str">
        <f t="shared" si="218"/>
        <v>NEGATIVE</v>
      </c>
      <c r="AZ317" s="12" cm="1">
        <f t="array" ref="AZ317">_xll.BDP($B317, "INTERVAL_RSI", "TECH_STUDIES_PARAM1_OVERRIDE", "5", "PERIODICITY_OVERRIDE", "W")</f>
        <v>43.942825910411592</v>
      </c>
      <c r="BA317" cm="1">
        <f t="array" ref="BA317">IFERROR(VALUE(_xll.BDP($B317,"INTERVAL_MAE_MOV_AVG","CALC_INTERVAL","520D","TECH_STUDIES_PARAM1_OVERRIDE",31,"USE_PREVIOUS_BUSINESS_DAY","N")),"")</f>
        <v>3431.7722580645168</v>
      </c>
      <c r="BB317" cm="1">
        <f t="array" ref="BB317">IFERROR(VALUE(_xll.BDP($B317,"INTERVAL_MAE_MOV_AVG","CALC_INTERVAL","760D","TECH_STUDIES_PARAM1_OVERRIDE",200,"USE_PREVIOUS_BUSINESS_DAY","N")),"")</f>
        <v>3216.9156499999999</v>
      </c>
      <c r="BC317" s="13">
        <f t="shared" si="219"/>
        <v>-6.4550489947169387E-3</v>
      </c>
      <c r="BD317" s="13">
        <f t="shared" si="220"/>
        <v>-6.4515001049022525E-3</v>
      </c>
      <c r="BE317" s="13">
        <f t="shared" si="221"/>
        <v>5.9903451307465883E-2</v>
      </c>
      <c r="BF317" s="14" cm="1">
        <f t="array" ref="BF317">VALUE(_xll.BDP($B317,"INTERVAL_DATE_OF_CALC_HI","CALC_INTERVAL","3M"))</f>
        <v>46015</v>
      </c>
      <c r="BG317" s="14" cm="1">
        <f t="array" ref="BG317">VALUE(_xll.BDP($B317,"INTERVAL_DATE_OF_CALC_LO","CALC_INTERVAL","3M"))</f>
        <v>45981</v>
      </c>
      <c r="BH317" s="14" cm="1">
        <f t="array" ref="BH317">VALUE(_xll.BDP($B317,"INTERVAL_DATE_OF_CALC_HI","CALC_INTERVAL","1M"))</f>
        <v>46034</v>
      </c>
      <c r="BI317" s="14" cm="1">
        <f t="array" ref="BI317">VALUE(_xll.BDP($B317,"INTERVAL_DATE_OF_CALC_LO","CALC_INTERVAL","1M"))</f>
        <v>46042</v>
      </c>
      <c r="BJ317" s="15">
        <f>$F317-MIN(_xll.BDP("NYA Index","RSI_14D"),_xll.BDP("RSP US Equity","RSI_14D"))</f>
        <v>-19.090368812207068</v>
      </c>
    </row>
    <row r="318" spans="1:62" x14ac:dyDescent="0.25">
      <c r="A318" s="11">
        <v>317</v>
      </c>
      <c r="B318" s="26" t="s">
        <v>766</v>
      </c>
      <c r="C318" s="1" t="s">
        <v>977</v>
      </c>
      <c r="D318" s="1" t="s">
        <v>307</v>
      </c>
      <c r="E318" s="11" t="s">
        <v>789</v>
      </c>
      <c r="F318">
        <f>IFERROR(VALUE((_xll.BDP($B318,"interval_rsi","tech_studies_param1_override",14))),"")</f>
        <v>52.873552072700519</v>
      </c>
      <c r="G318">
        <f t="shared" si="184"/>
        <v>52.525531939815814</v>
      </c>
      <c r="H318">
        <f t="shared" si="195"/>
        <v>0</v>
      </c>
      <c r="I318" cm="1">
        <f t="array" ref="I318">IFERROR(VALUE(_xll.BDP($B318,"px_last")),"")</f>
        <v>3951.306</v>
      </c>
      <c r="J318">
        <f t="shared" si="185"/>
        <v>6941.47</v>
      </c>
      <c r="K318" cm="1">
        <f t="array" ref="K318">IFERROR(VALUE(_xll.BDP($B318,"PX_YEST_CLOSE")),"")</f>
        <v>3953.6060000000002</v>
      </c>
      <c r="L318">
        <f t="shared" si="186"/>
        <v>6941.81</v>
      </c>
      <c r="M318">
        <f t="shared" si="196"/>
        <v>0.56923187739772696</v>
      </c>
      <c r="N318">
        <f t="shared" si="197"/>
        <v>0.569535322920103</v>
      </c>
      <c r="O318" cm="1">
        <f t="array" ref="O318">IFERROR(VALUE(_xll.BDP($B318,"INTERVAL_MAE_MOV_AVG","CALC_INTERVAL","520D","TECH_STUDIES_PARAM1_OVERRIDE",50,"USE_PREVIOUS_BUSINESS_DAY","N")),"")</f>
        <v>3919.8803000000007</v>
      </c>
      <c r="P318">
        <f t="shared" si="187"/>
        <v>6894.0953999999992</v>
      </c>
      <c r="Q318" cm="1">
        <f t="array" ref="Q318">IFERROR(VALUE(_xll.BDP($B318,"INTERVAL_MAE_MOV_AVG","CALC_INTERVAL","520D","TECH_STUDIES_PARAM1_OVERRIDE",50,"USE_PREVIOUS_BUSINESS_DAY","Y")),"")</f>
        <v>3918.616320000001</v>
      </c>
      <c r="R318">
        <f t="shared" si="188"/>
        <v>6892.2477999999992</v>
      </c>
      <c r="S318">
        <f t="shared" si="198"/>
        <v>0.56858515476881866</v>
      </c>
      <c r="T318">
        <f t="shared" si="199"/>
        <v>0.56855418344070585</v>
      </c>
      <c r="U318" s="11" t="str">
        <f t="shared" si="200"/>
        <v>NEGATIVE</v>
      </c>
      <c r="V318" s="11" t="str">
        <f t="shared" si="201"/>
        <v/>
      </c>
      <c r="W318" s="11" t="str">
        <f t="shared" si="202"/>
        <v>UP</v>
      </c>
      <c r="X318" s="6" t="str">
        <f t="shared" si="203"/>
        <v>POSITIVE</v>
      </c>
      <c r="Y318" cm="1">
        <f t="array" ref="Y318">IFERROR(VALUE(_xll.BDP($B318,"INTERVAL_MAE_MOV_AVG","CALC_INTERVAL","520D","TECH_STUDIES_PARAM1_OVERRIDE",65,"USE_PREVIOUS_BUSINESS_DAY","N")),"")</f>
        <v>3895.5872461538474</v>
      </c>
      <c r="Z318">
        <f t="shared" si="189"/>
        <v>6856.0226153846133</v>
      </c>
      <c r="AA318" cm="1">
        <f t="array" ref="AA318">IFERROR(VALUE(_xll.BDP($B318,"INTERVAL_MAE_MOV_AVG","CALC_INTERVAL","520D","TECH_STUDIES_PARAM1_OVERRIDE",65,"USE_PREVIOUS_BUSINESS_DAY","Y")),"")</f>
        <v>3893.418584615386</v>
      </c>
      <c r="AB318">
        <f t="shared" si="190"/>
        <v>6852.6203076923057</v>
      </c>
      <c r="AC318">
        <f t="shared" si="204"/>
        <v>0.56819929931565871</v>
      </c>
      <c r="AD318">
        <f t="shared" si="205"/>
        <v>0.56816493688478376</v>
      </c>
      <c r="AE318" s="10" t="str">
        <f t="shared" si="206"/>
        <v>UP</v>
      </c>
      <c r="AF318" s="10" t="str">
        <f t="shared" si="207"/>
        <v>UP</v>
      </c>
      <c r="AG318" s="6" t="str">
        <f t="shared" si="208"/>
        <v>POSITIVE</v>
      </c>
      <c r="AH318" cm="1">
        <f t="array" ref="AH318">IFERROR(VALUE(_xll.BDP($B318,"INTERVAL_MAE_MOV_AVG","CALC_INTERVAL","65W","PERIODICITY_OVERRIDE","W","TECH_STUDIES_PARAM1_OVERRIDE",39,"USE_PREVIOUS_BUSINESS_DAY","N")),"")</f>
        <v>3730.1768974358974</v>
      </c>
      <c r="AI318">
        <f t="shared" si="191"/>
        <v>6560.7735897435905</v>
      </c>
      <c r="AJ318" cm="1">
        <f t="array" ref="AJ318">IFERROR(VALUE(_xll.BDP($B318,"INTERVAL_MAE_MOV_AVG","CALC_INTERVAL","65W","PERIODICITY_OVERRIDE","W","TECH_STUDIES_PARAM1_OVERRIDE",39,"USE_PREVIOUS_BUSINESS_DAY","Y")),"")</f>
        <v>3730.2358717948714</v>
      </c>
      <c r="AK318">
        <f t="shared" si="192"/>
        <v>6560.7823076923087</v>
      </c>
      <c r="AL318">
        <f t="shared" si="209"/>
        <v>0.56855747975623727</v>
      </c>
      <c r="AM318">
        <f t="shared" si="210"/>
        <v>0.56856571318046756</v>
      </c>
      <c r="AN318" s="10" t="str">
        <f t="shared" si="211"/>
        <v>DOWN</v>
      </c>
      <c r="AO318" s="10" t="str">
        <f t="shared" si="212"/>
        <v>DOWN</v>
      </c>
      <c r="AP318" s="6" t="str">
        <f t="shared" si="213"/>
        <v>POSITIVE</v>
      </c>
      <c r="AQ318" cm="1">
        <f t="array" ref="AQ318">IFERROR(VALUE(_xll.BDP($B318,"INTERVAL_exp_MOV_AVG","CALC_INTERVAL","520D","TECH_STUDIES_PARAM1_OVERRIDE",100,"USE_PREVIOUS_BUSINESS_DAY","N")),"")</f>
        <v>3850.7156764820861</v>
      </c>
      <c r="AR318">
        <f t="shared" si="193"/>
        <v>6773.0064518682802</v>
      </c>
      <c r="AS318" cm="1">
        <f t="array" ref="AS318">IFERROR(VALUE(_xll.BDP($B318,"INTERVAL_exp_MOV_AVG","CALC_INTERVAL","520D","TECH_STUDIES_PARAM1_OVERRIDE",100,"USE_PREVIOUS_BUSINESS_DAY","Y")),"")</f>
        <v>3848.684045784099</v>
      </c>
      <c r="AT318">
        <f t="shared" si="194"/>
        <v>6769.6039787132295</v>
      </c>
      <c r="AU318">
        <f t="shared" si="214"/>
        <v>0.56853861041574771</v>
      </c>
      <c r="AV318">
        <f t="shared" si="215"/>
        <v>0.56852425310049814</v>
      </c>
      <c r="AW318" s="11" t="str">
        <f t="shared" si="216"/>
        <v>UP</v>
      </c>
      <c r="AX318" s="11" t="str">
        <f t="shared" si="217"/>
        <v>UP</v>
      </c>
      <c r="AY318" s="6" t="str">
        <f t="shared" si="218"/>
        <v>POSITIVE</v>
      </c>
      <c r="AZ318" s="12" cm="1">
        <f t="array" ref="AZ318">_xll.BDP($B318, "INTERVAL_RSI", "TECH_STUDIES_PARAM1_OVERRIDE", "5", "PERIODICITY_OVERRIDE", "W")</f>
        <v>65.167760092062423</v>
      </c>
      <c r="BA318" cm="1">
        <f t="array" ref="BA318">IFERROR(VALUE(_xll.BDP($B318,"INTERVAL_MAE_MOV_AVG","CALC_INTERVAL","520D","TECH_STUDIES_PARAM1_OVERRIDE",31,"USE_PREVIOUS_BUSINESS_DAY","N")),"")</f>
        <v>3937.925806451613</v>
      </c>
      <c r="BB318" cm="1">
        <f t="array" ref="BB318">IFERROR(VALUE(_xll.BDP($B318,"INTERVAL_MAE_MOV_AVG","CALC_INTERVAL","760D","TECH_STUDIES_PARAM1_OVERRIDE",200,"USE_PREVIOUS_BUSINESS_DAY","N")),"")</f>
        <v>3690.9588349999995</v>
      </c>
      <c r="BC318" s="13">
        <f t="shared" si="219"/>
        <v>3.3977769531527979E-3</v>
      </c>
      <c r="BD318" s="13">
        <f t="shared" si="220"/>
        <v>8.0170050090557776E-3</v>
      </c>
      <c r="BE318" s="13">
        <f t="shared" si="221"/>
        <v>7.0536458583938755E-2</v>
      </c>
      <c r="BF318" s="14" cm="1">
        <f t="array" ref="BF318">VALUE(_xll.BDP($B318,"INTERVAL_DATE_OF_CALC_HI","CALC_INTERVAL","3M"))</f>
        <v>46049</v>
      </c>
      <c r="BG318" s="14" cm="1">
        <f t="array" ref="BG318">VALUE(_xll.BDP($B318,"INTERVAL_DATE_OF_CALC_LO","CALC_INTERVAL","3M"))</f>
        <v>45981</v>
      </c>
      <c r="BH318" s="14" cm="1">
        <f t="array" ref="BH318">VALUE(_xll.BDP($B318,"INTERVAL_DATE_OF_CALC_HI","CALC_INTERVAL","1M"))</f>
        <v>46049</v>
      </c>
      <c r="BI318" s="14" cm="1">
        <f t="array" ref="BI318">VALUE(_xll.BDP($B318,"INTERVAL_DATE_OF_CALC_LO","CALC_INTERVAL","1M"))</f>
        <v>46058</v>
      </c>
      <c r="BJ318" s="15">
        <f>$F318-MIN(_xll.BDP("NYA Index","RSI_14D"),_xll.BDP("RSP US Equity","RSI_14D"))</f>
        <v>-13.472212087455731</v>
      </c>
    </row>
    <row r="319" spans="1:62" x14ac:dyDescent="0.25">
      <c r="A319" s="11">
        <v>318</v>
      </c>
      <c r="B319" s="26" t="s">
        <v>767</v>
      </c>
      <c r="C319" s="1" t="s">
        <v>978</v>
      </c>
      <c r="D319" s="1" t="s">
        <v>307</v>
      </c>
      <c r="E319" s="11" t="s">
        <v>789</v>
      </c>
      <c r="F319">
        <f>IFERROR(VALUE((_xll.BDP($B319,"interval_rsi","tech_studies_param1_override",14))),"")</f>
        <v>52.613298749542508</v>
      </c>
      <c r="G319">
        <f t="shared" si="184"/>
        <v>52.525531939815814</v>
      </c>
      <c r="H319">
        <f t="shared" si="195"/>
        <v>0</v>
      </c>
      <c r="I319" cm="1">
        <f t="array" ref="I319">IFERROR(VALUE(_xll.BDP($B319,"px_last")),"")</f>
        <v>3788.8670000000002</v>
      </c>
      <c r="J319">
        <f t="shared" si="185"/>
        <v>6941.47</v>
      </c>
      <c r="K319" cm="1">
        <f t="array" ref="K319">IFERROR(VALUE(_xll.BDP($B319,"PX_YEST_CLOSE")),"")</f>
        <v>3790.4720000000002</v>
      </c>
      <c r="L319">
        <f t="shared" si="186"/>
        <v>6941.81</v>
      </c>
      <c r="M319">
        <f t="shared" si="196"/>
        <v>0.54583063817894484</v>
      </c>
      <c r="N319">
        <f t="shared" si="197"/>
        <v>0.54603511188004283</v>
      </c>
      <c r="O319" cm="1">
        <f t="array" ref="O319">IFERROR(VALUE(_xll.BDP($B319,"INTERVAL_MAE_MOV_AVG","CALC_INTERVAL","520D","TECH_STUDIES_PARAM1_OVERRIDE",50,"USE_PREVIOUS_BUSINESS_DAY","N")),"")</f>
        <v>3762.8639200000007</v>
      </c>
      <c r="P319">
        <f t="shared" si="187"/>
        <v>6894.0953999999992</v>
      </c>
      <c r="Q319" cm="1">
        <f t="array" ref="Q319">IFERROR(VALUE(_xll.BDP($B319,"INTERVAL_MAE_MOV_AVG","CALC_INTERVAL","520D","TECH_STUDIES_PARAM1_OVERRIDE",50,"USE_PREVIOUS_BUSINESS_DAY","Y")),"")</f>
        <v>3761.8251600000008</v>
      </c>
      <c r="R319">
        <f t="shared" si="188"/>
        <v>6892.2477999999992</v>
      </c>
      <c r="S319">
        <f t="shared" si="198"/>
        <v>0.54580966779194862</v>
      </c>
      <c r="T319">
        <f t="shared" si="199"/>
        <v>0.54580526834801291</v>
      </c>
      <c r="U319" s="11" t="str">
        <f t="shared" si="200"/>
        <v>NEGATIVE</v>
      </c>
      <c r="V319" s="11" t="str">
        <f t="shared" si="201"/>
        <v/>
      </c>
      <c r="W319" s="11" t="str">
        <f t="shared" si="202"/>
        <v>UP</v>
      </c>
      <c r="X319" s="6" t="str">
        <f t="shared" si="203"/>
        <v>POSITIVE</v>
      </c>
      <c r="Y319" cm="1">
        <f t="array" ref="Y319">IFERROR(VALUE(_xll.BDP($B319,"INTERVAL_MAE_MOV_AVG","CALC_INTERVAL","520D","TECH_STUDIES_PARAM1_OVERRIDE",65,"USE_PREVIOUS_BUSINESS_DAY","N")),"")</f>
        <v>3741.2569384615385</v>
      </c>
      <c r="Z319">
        <f t="shared" si="189"/>
        <v>6856.0226153846133</v>
      </c>
      <c r="AA319" cm="1">
        <f t="array" ref="AA319">IFERROR(VALUE(_xll.BDP($B319,"INTERVAL_MAE_MOV_AVG","CALC_INTERVAL","520D","TECH_STUDIES_PARAM1_OVERRIDE",65,"USE_PREVIOUS_BUSINESS_DAY","Y")),"")</f>
        <v>3739.3410615384619</v>
      </c>
      <c r="AB319">
        <f t="shared" si="190"/>
        <v>6852.6203076923057</v>
      </c>
      <c r="AC319">
        <f t="shared" si="204"/>
        <v>0.54568911865406078</v>
      </c>
      <c r="AD319">
        <f t="shared" si="205"/>
        <v>0.5456804687311978</v>
      </c>
      <c r="AE319" s="10" t="str">
        <f t="shared" si="206"/>
        <v>UP</v>
      </c>
      <c r="AF319" s="10" t="str">
        <f t="shared" si="207"/>
        <v>UP</v>
      </c>
      <c r="AG319" s="6" t="str">
        <f t="shared" si="208"/>
        <v>POSITIVE</v>
      </c>
      <c r="AH319" cm="1">
        <f t="array" ref="AH319">IFERROR(VALUE(_xll.BDP($B319,"INTERVAL_MAE_MOV_AVG","CALC_INTERVAL","65W","PERIODICITY_OVERRIDE","W","TECH_STUDIES_PARAM1_OVERRIDE",39,"USE_PREVIOUS_BUSINESS_DAY","N")),"")</f>
        <v>3585.6583589743582</v>
      </c>
      <c r="AI319">
        <f t="shared" si="191"/>
        <v>6560.7735897435905</v>
      </c>
      <c r="AJ319" cm="1">
        <f t="array" ref="AJ319">IFERROR(VALUE(_xll.BDP($B319,"INTERVAL_MAE_MOV_AVG","CALC_INTERVAL","65W","PERIODICITY_OVERRIDE","W","TECH_STUDIES_PARAM1_OVERRIDE",39,"USE_PREVIOUS_BUSINESS_DAY","Y")),"")</f>
        <v>3585.6995128205126</v>
      </c>
      <c r="AK319">
        <f t="shared" si="192"/>
        <v>6560.7823076923087</v>
      </c>
      <c r="AL319">
        <f t="shared" si="209"/>
        <v>0.54652981236538811</v>
      </c>
      <c r="AM319">
        <f t="shared" si="210"/>
        <v>0.54653535884225179</v>
      </c>
      <c r="AN319" s="10" t="str">
        <f t="shared" si="211"/>
        <v>DOWN</v>
      </c>
      <c r="AO319" s="10" t="str">
        <f t="shared" si="212"/>
        <v>DOWN</v>
      </c>
      <c r="AP319" s="6" t="str">
        <f t="shared" si="213"/>
        <v>NEGATIVE</v>
      </c>
      <c r="AQ319" cm="1">
        <f t="array" ref="AQ319">IFERROR(VALUE(_xll.BDP($B319,"INTERVAL_exp_MOV_AVG","CALC_INTERVAL","520D","TECH_STUDIES_PARAM1_OVERRIDE",100,"USE_PREVIOUS_BUSINESS_DAY","N")),"")</f>
        <v>3698.1304174801867</v>
      </c>
      <c r="AR319">
        <f t="shared" si="193"/>
        <v>6773.0064518682802</v>
      </c>
      <c r="AS319" cm="1">
        <f t="array" ref="AS319">IFERROR(VALUE(_xll.BDP($B319,"INTERVAL_exp_MOV_AVG","CALC_INTERVAL","520D","TECH_STUDIES_PARAM1_OVERRIDE",100,"USE_PREVIOUS_BUSINESS_DAY","Y")),"")</f>
        <v>3696.2978240757493</v>
      </c>
      <c r="AT319">
        <f t="shared" si="194"/>
        <v>6769.6039787132295</v>
      </c>
      <c r="AU319">
        <f t="shared" si="214"/>
        <v>0.54601017196138746</v>
      </c>
      <c r="AV319">
        <f t="shared" si="215"/>
        <v>0.54601389323491034</v>
      </c>
      <c r="AW319" s="11" t="str">
        <f t="shared" si="216"/>
        <v>UP</v>
      </c>
      <c r="AX319" s="11" t="str">
        <f t="shared" si="217"/>
        <v>DOWN</v>
      </c>
      <c r="AY319" s="6" t="str">
        <f t="shared" si="218"/>
        <v>SELL</v>
      </c>
      <c r="AZ319" s="12" cm="1">
        <f t="array" ref="AZ319">_xll.BDP($B319, "INTERVAL_RSI", "TECH_STUDIES_PARAM1_OVERRIDE", "5", "PERIODICITY_OVERRIDE", "W")</f>
        <v>63.334177298675399</v>
      </c>
      <c r="BA319" cm="1">
        <f t="array" ref="BA319">IFERROR(VALUE(_xll.BDP($B319,"INTERVAL_MAE_MOV_AVG","CALC_INTERVAL","520D","TECH_STUDIES_PARAM1_OVERRIDE",31,"USE_PREVIOUS_BUSINESS_DAY","N")),"")</f>
        <v>3778.4203225806455</v>
      </c>
      <c r="BB319" cm="1">
        <f t="array" ref="BB319">IFERROR(VALUE(_xll.BDP($B319,"INTERVAL_MAE_MOV_AVG","CALC_INTERVAL","760D","TECH_STUDIES_PARAM1_OVERRIDE",200,"USE_PREVIOUS_BUSINESS_DAY","N")),"")</f>
        <v>3548.4258399999999</v>
      </c>
      <c r="BC319" s="13">
        <f t="shared" si="219"/>
        <v>2.764826707320811E-3</v>
      </c>
      <c r="BD319" s="13">
        <f t="shared" si="220"/>
        <v>6.9104492091225378E-3</v>
      </c>
      <c r="BE319" s="13">
        <f t="shared" si="221"/>
        <v>6.7759950705352789E-2</v>
      </c>
      <c r="BF319" s="14" cm="1">
        <f t="array" ref="BF319">VALUE(_xll.BDP($B319,"INTERVAL_DATE_OF_CALC_HI","CALC_INTERVAL","3M"))</f>
        <v>46049</v>
      </c>
      <c r="BG319" s="14" cm="1">
        <f t="array" ref="BG319">VALUE(_xll.BDP($B319,"INTERVAL_DATE_OF_CALC_LO","CALC_INTERVAL","3M"))</f>
        <v>45981</v>
      </c>
      <c r="BH319" s="14" cm="1">
        <f t="array" ref="BH319">VALUE(_xll.BDP($B319,"INTERVAL_DATE_OF_CALC_HI","CALC_INTERVAL","1M"))</f>
        <v>46049</v>
      </c>
      <c r="BI319" s="14" cm="1">
        <f t="array" ref="BI319">VALUE(_xll.BDP($B319,"INTERVAL_DATE_OF_CALC_LO","CALC_INTERVAL","1M"))</f>
        <v>46058</v>
      </c>
      <c r="BJ319" s="15">
        <f>$F319-MIN(_xll.BDP("NYA Index","RSI_14D"),_xll.BDP("RSP US Equity","RSI_14D"))</f>
        <v>-13.732465410613742</v>
      </c>
    </row>
    <row r="320" spans="1:62" x14ac:dyDescent="0.25">
      <c r="A320" s="11">
        <v>319</v>
      </c>
      <c r="B320" s="26" t="s">
        <v>768</v>
      </c>
      <c r="C320" s="1" t="s">
        <v>769</v>
      </c>
      <c r="D320" s="1" t="s">
        <v>307</v>
      </c>
      <c r="E320" s="11" t="s">
        <v>789</v>
      </c>
      <c r="F320">
        <f>IFERROR(VALUE((_xll.BDP($B320,"interval_rsi","tech_studies_param1_override",14))),"")</f>
        <v>55.84933056054853</v>
      </c>
      <c r="G320">
        <f t="shared" si="184"/>
        <v>52.525531939815814</v>
      </c>
      <c r="H320">
        <f t="shared" si="195"/>
        <v>0</v>
      </c>
      <c r="I320" cm="1">
        <f t="array" ref="I320">IFERROR(VALUE(_xll.BDP($B320,"px_last")),"")</f>
        <v>2669.4670000000001</v>
      </c>
      <c r="J320">
        <f t="shared" si="185"/>
        <v>6941.47</v>
      </c>
      <c r="K320" cm="1">
        <f t="array" ref="K320">IFERROR(VALUE(_xll.BDP($B320,"PX_YEST_CLOSE")),"")</f>
        <v>2679.7689999999998</v>
      </c>
      <c r="L320">
        <f t="shared" si="186"/>
        <v>6941.81</v>
      </c>
      <c r="M320">
        <f t="shared" si="196"/>
        <v>0.38456796615126193</v>
      </c>
      <c r="N320">
        <f t="shared" si="197"/>
        <v>0.3860331815477519</v>
      </c>
      <c r="O320" cm="1">
        <f t="array" ref="O320">IFERROR(VALUE(_xll.BDP($B320,"INTERVAL_MAE_MOV_AVG","CALC_INTERVAL","520D","TECH_STUDIES_PARAM1_OVERRIDE",50,"USE_PREVIOUS_BUSINESS_DAY","N")),"")</f>
        <v>2588.13562</v>
      </c>
      <c r="P320">
        <f t="shared" si="187"/>
        <v>6894.0953999999992</v>
      </c>
      <c r="Q320" cm="1">
        <f t="array" ref="Q320">IFERROR(VALUE(_xll.BDP($B320,"INTERVAL_MAE_MOV_AVG","CALC_INTERVAL","520D","TECH_STUDIES_PARAM1_OVERRIDE",50,"USE_PREVIOUS_BUSINESS_DAY","Y")),"")</f>
        <v>2584.7549599999998</v>
      </c>
      <c r="R320">
        <f t="shared" si="188"/>
        <v>6892.2477999999992</v>
      </c>
      <c r="S320">
        <f t="shared" si="198"/>
        <v>0.37541337475544656</v>
      </c>
      <c r="T320">
        <f t="shared" si="199"/>
        <v>0.37502350974670412</v>
      </c>
      <c r="U320" s="11" t="str">
        <f t="shared" si="200"/>
        <v>NEGATIVE</v>
      </c>
      <c r="V320" s="11" t="str">
        <f t="shared" si="201"/>
        <v/>
      </c>
      <c r="W320" s="11" t="str">
        <f t="shared" si="202"/>
        <v>UP</v>
      </c>
      <c r="X320" s="6" t="str">
        <f t="shared" si="203"/>
        <v>POSITIVE</v>
      </c>
      <c r="Y320" cm="1">
        <f t="array" ref="Y320">IFERROR(VALUE(_xll.BDP($B320,"INTERVAL_MAE_MOV_AVG","CALC_INTERVAL","520D","TECH_STUDIES_PARAM1_OVERRIDE",65,"USE_PREVIOUS_BUSINESS_DAY","N")),"")</f>
        <v>2547.0008615384613</v>
      </c>
      <c r="Z320">
        <f t="shared" si="189"/>
        <v>6856.0226153846133</v>
      </c>
      <c r="AA320" cm="1">
        <f t="array" ref="AA320">IFERROR(VALUE(_xll.BDP($B320,"INTERVAL_MAE_MOV_AVG","CALC_INTERVAL","520D","TECH_STUDIES_PARAM1_OVERRIDE",65,"USE_PREVIOUS_BUSINESS_DAY","Y")),"")</f>
        <v>2543.1447692307688</v>
      </c>
      <c r="AB320">
        <f t="shared" si="190"/>
        <v>6852.6203076923057</v>
      </c>
      <c r="AC320">
        <f t="shared" si="204"/>
        <v>0.37149831679713297</v>
      </c>
      <c r="AD320">
        <f t="shared" si="205"/>
        <v>0.37112004679086041</v>
      </c>
      <c r="AE320" s="10" t="str">
        <f t="shared" si="206"/>
        <v>UP</v>
      </c>
      <c r="AF320" s="10" t="str">
        <f t="shared" si="207"/>
        <v>UP</v>
      </c>
      <c r="AG320" s="6" t="str">
        <f t="shared" si="208"/>
        <v>POSITIVE</v>
      </c>
      <c r="AH320" cm="1">
        <f t="array" ref="AH320">IFERROR(VALUE(_xll.BDP($B320,"INTERVAL_MAE_MOV_AVG","CALC_INTERVAL","65W","PERIODICITY_OVERRIDE","W","TECH_STUDIES_PARAM1_OVERRIDE",39,"USE_PREVIOUS_BUSINESS_DAY","N")),"")</f>
        <v>2391.1123076923072</v>
      </c>
      <c r="AI320">
        <f t="shared" si="191"/>
        <v>6560.7735897435905</v>
      </c>
      <c r="AJ320" cm="1">
        <f t="array" ref="AJ320">IFERROR(VALUE(_xll.BDP($B320,"INTERVAL_MAE_MOV_AVG","CALC_INTERVAL","65W","PERIODICITY_OVERRIDE","W","TECH_STUDIES_PARAM1_OVERRIDE",39,"USE_PREVIOUS_BUSINESS_DAY","Y")),"")</f>
        <v>2391.3764615384616</v>
      </c>
      <c r="AK320">
        <f t="shared" si="192"/>
        <v>6560.7823076923087</v>
      </c>
      <c r="AL320">
        <f t="shared" si="209"/>
        <v>0.36445584883927645</v>
      </c>
      <c r="AM320">
        <f t="shared" si="210"/>
        <v>0.36449562710450684</v>
      </c>
      <c r="AN320" s="10" t="str">
        <f t="shared" si="211"/>
        <v>DOWN</v>
      </c>
      <c r="AO320" s="10" t="str">
        <f t="shared" si="212"/>
        <v>DOWN</v>
      </c>
      <c r="AP320" s="6" t="str">
        <f t="shared" si="213"/>
        <v>POSITIVE</v>
      </c>
      <c r="AQ320" cm="1">
        <f t="array" ref="AQ320">IFERROR(VALUE(_xll.BDP($B320,"INTERVAL_exp_MOV_AVG","CALC_INTERVAL","520D","TECH_STUDIES_PARAM1_OVERRIDE",100,"USE_PREVIOUS_BUSINESS_DAY","N")),"")</f>
        <v>2518.0294786146364</v>
      </c>
      <c r="AR320">
        <f t="shared" si="193"/>
        <v>6773.0064518682802</v>
      </c>
      <c r="AS320" cm="1">
        <f t="array" ref="AS320">IFERROR(VALUE(_xll.BDP($B320,"INTERVAL_exp_MOV_AVG","CALC_INTERVAL","520D","TECH_STUDIES_PARAM1_OVERRIDE",100,"USE_PREVIOUS_BUSINESS_DAY","Y")),"")</f>
        <v>2514.9705735425682</v>
      </c>
      <c r="AT320">
        <f t="shared" si="194"/>
        <v>6769.6039787132295</v>
      </c>
      <c r="AU320">
        <f t="shared" si="214"/>
        <v>0.371774262509385</v>
      </c>
      <c r="AV320">
        <f t="shared" si="215"/>
        <v>0.37150926131732381</v>
      </c>
      <c r="AW320" s="11" t="str">
        <f t="shared" si="216"/>
        <v>UP</v>
      </c>
      <c r="AX320" s="11" t="str">
        <f t="shared" si="217"/>
        <v>UP</v>
      </c>
      <c r="AY320" s="6" t="str">
        <f t="shared" si="218"/>
        <v>POSITIVE</v>
      </c>
      <c r="AZ320" s="12" cm="1">
        <f t="array" ref="AZ320">_xll.BDP($B320, "INTERVAL_RSI", "TECH_STUDIES_PARAM1_OVERRIDE", "5", "PERIODICITY_OVERRIDE", "W")</f>
        <v>68.189816097629418</v>
      </c>
      <c r="BA320" cm="1">
        <f t="array" ref="BA320">IFERROR(VALUE(_xll.BDP($B320,"INTERVAL_MAE_MOV_AVG","CALC_INTERVAL","520D","TECH_STUDIES_PARAM1_OVERRIDE",31,"USE_PREVIOUS_BUSINESS_DAY","N")),"")</f>
        <v>2625.7131290322582</v>
      </c>
      <c r="BB320" cm="1">
        <f t="array" ref="BB320">IFERROR(VALUE(_xll.BDP($B320,"INTERVAL_MAE_MOV_AVG","CALC_INTERVAL","760D","TECH_STUDIES_PARAM1_OVERRIDE",200,"USE_PREVIOUS_BUSINESS_DAY","N")),"")</f>
        <v>2359.0940850000006</v>
      </c>
      <c r="BC320" s="13">
        <f t="shared" si="219"/>
        <v>1.666361434688346E-2</v>
      </c>
      <c r="BD320" s="13">
        <f t="shared" si="220"/>
        <v>3.1424697906673016E-2</v>
      </c>
      <c r="BE320" s="13">
        <f t="shared" si="221"/>
        <v>0.13156444966458358</v>
      </c>
      <c r="BF320" s="14" cm="1">
        <f t="array" ref="BF320">VALUE(_xll.BDP($B320,"INTERVAL_DATE_OF_CALC_HI","CALC_INTERVAL","3M"))</f>
        <v>46044</v>
      </c>
      <c r="BG320" s="14" cm="1">
        <f t="array" ref="BG320">VALUE(_xll.BDP($B320,"INTERVAL_DATE_OF_CALC_LO","CALC_INTERVAL","3M"))</f>
        <v>45981</v>
      </c>
      <c r="BH320" s="14" cm="1">
        <f t="array" ref="BH320">VALUE(_xll.BDP($B320,"INTERVAL_DATE_OF_CALC_HI","CALC_INTERVAL","1M"))</f>
        <v>46044</v>
      </c>
      <c r="BI320" s="14" cm="1">
        <f t="array" ref="BI320">VALUE(_xll.BDP($B320,"INTERVAL_DATE_OF_CALC_LO","CALC_INTERVAL","1M"))</f>
        <v>46058</v>
      </c>
      <c r="BJ320" s="15">
        <f>$F320-MIN(_xll.BDP("NYA Index","RSI_14D"),_xll.BDP("RSP US Equity","RSI_14D"))</f>
        <v>-10.49643359960772</v>
      </c>
    </row>
    <row r="321" spans="1:62" x14ac:dyDescent="0.25">
      <c r="A321" s="11">
        <v>320</v>
      </c>
      <c r="B321" s="26" t="s">
        <v>770</v>
      </c>
      <c r="C321" s="1" t="s">
        <v>979</v>
      </c>
      <c r="D321" s="1" t="s">
        <v>307</v>
      </c>
      <c r="E321" s="11" t="s">
        <v>789</v>
      </c>
      <c r="F321">
        <f>IFERROR(VALUE((_xll.BDP($B321,"interval_rsi","tech_studies_param1_override",14))),"")</f>
        <v>57.676904568097534</v>
      </c>
      <c r="G321">
        <f t="shared" si="184"/>
        <v>52.525531939815814</v>
      </c>
      <c r="H321">
        <f t="shared" si="195"/>
        <v>0</v>
      </c>
      <c r="I321" cm="1">
        <f t="array" ref="I321">IFERROR(VALUE(_xll.BDP($B321,"px_last")),"")</f>
        <v>4131.9849999999997</v>
      </c>
      <c r="J321">
        <f t="shared" si="185"/>
        <v>6941.47</v>
      </c>
      <c r="K321" cm="1">
        <f t="array" ref="K321">IFERROR(VALUE(_xll.BDP($B321,"PX_YEST_CLOSE")),"")</f>
        <v>4128.3729999999996</v>
      </c>
      <c r="L321">
        <f t="shared" si="186"/>
        <v>6941.81</v>
      </c>
      <c r="M321">
        <f t="shared" si="196"/>
        <v>0.59526080210675825</v>
      </c>
      <c r="N321">
        <f t="shared" si="197"/>
        <v>0.59471132168699503</v>
      </c>
      <c r="O321" cm="1">
        <f t="array" ref="O321">IFERROR(VALUE(_xll.BDP($B321,"INTERVAL_MAE_MOV_AVG","CALC_INTERVAL","520D","TECH_STUDIES_PARAM1_OVERRIDE",50,"USE_PREVIOUS_BUSINESS_DAY","N")),"")</f>
        <v>4020.7256600000005</v>
      </c>
      <c r="P321">
        <f t="shared" si="187"/>
        <v>6894.0953999999992</v>
      </c>
      <c r="Q321" cm="1">
        <f t="array" ref="Q321">IFERROR(VALUE(_xll.BDP($B321,"INTERVAL_MAE_MOV_AVG","CALC_INTERVAL","520D","TECH_STUDIES_PARAM1_OVERRIDE",50,"USE_PREVIOUS_BUSINESS_DAY","Y")),"")</f>
        <v>4016.3660800000007</v>
      </c>
      <c r="R321">
        <f t="shared" si="188"/>
        <v>6892.2477999999992</v>
      </c>
      <c r="S321">
        <f t="shared" si="198"/>
        <v>0.58321294190387918</v>
      </c>
      <c r="T321">
        <f t="shared" si="199"/>
        <v>0.58273674954054921</v>
      </c>
      <c r="U321" s="11" t="str">
        <f t="shared" si="200"/>
        <v>NEGATIVE</v>
      </c>
      <c r="V321" s="11" t="str">
        <f t="shared" si="201"/>
        <v/>
      </c>
      <c r="W321" s="11" t="str">
        <f t="shared" si="202"/>
        <v>UP</v>
      </c>
      <c r="X321" s="6" t="str">
        <f t="shared" si="203"/>
        <v>POSITIVE</v>
      </c>
      <c r="Y321" cm="1">
        <f t="array" ref="Y321">IFERROR(VALUE(_xll.BDP($B321,"INTERVAL_MAE_MOV_AVG","CALC_INTERVAL","520D","TECH_STUDIES_PARAM1_OVERRIDE",65,"USE_PREVIOUS_BUSINESS_DAY","N")),"")</f>
        <v>3998.9621538461547</v>
      </c>
      <c r="Z321">
        <f t="shared" si="189"/>
        <v>6856.0226153846133</v>
      </c>
      <c r="AA321" cm="1">
        <f t="array" ref="AA321">IFERROR(VALUE(_xll.BDP($B321,"INTERVAL_MAE_MOV_AVG","CALC_INTERVAL","520D","TECH_STUDIES_PARAM1_OVERRIDE",65,"USE_PREVIOUS_BUSINESS_DAY","Y")),"")</f>
        <v>3997.2177230769244</v>
      </c>
      <c r="AB321">
        <f t="shared" si="190"/>
        <v>6852.6203076923057</v>
      </c>
      <c r="AC321">
        <f t="shared" si="204"/>
        <v>0.583277269954253</v>
      </c>
      <c r="AD321">
        <f t="shared" si="205"/>
        <v>0.58331230151332147</v>
      </c>
      <c r="AE321" s="10" t="str">
        <f t="shared" si="206"/>
        <v>UP</v>
      </c>
      <c r="AF321" s="10" t="str">
        <f t="shared" si="207"/>
        <v>DOWN</v>
      </c>
      <c r="AG321" s="6" t="str">
        <f t="shared" si="208"/>
        <v>POSITIVE</v>
      </c>
      <c r="AH321" cm="1">
        <f t="array" ref="AH321">IFERROR(VALUE(_xll.BDP($B321,"INTERVAL_MAE_MOV_AVG","CALC_INTERVAL","65W","PERIODICITY_OVERRIDE","W","TECH_STUDIES_PARAM1_OVERRIDE",39,"USE_PREVIOUS_BUSINESS_DAY","N")),"")</f>
        <v>3789.3628461538465</v>
      </c>
      <c r="AI321">
        <f t="shared" si="191"/>
        <v>6560.7735897435905</v>
      </c>
      <c r="AJ321" cm="1">
        <f t="array" ref="AJ321">IFERROR(VALUE(_xll.BDP($B321,"INTERVAL_MAE_MOV_AVG","CALC_INTERVAL","65W","PERIODICITY_OVERRIDE","W","TECH_STUDIES_PARAM1_OVERRIDE",39,"USE_PREVIOUS_BUSINESS_DAY","Y")),"")</f>
        <v>3789.2702307692311</v>
      </c>
      <c r="AK321">
        <f t="shared" si="192"/>
        <v>6560.7823076923087</v>
      </c>
      <c r="AL321">
        <f t="shared" si="209"/>
        <v>0.57757866421083781</v>
      </c>
      <c r="AM321">
        <f t="shared" si="210"/>
        <v>0.57756378021054477</v>
      </c>
      <c r="AN321" s="10" t="str">
        <f t="shared" si="211"/>
        <v>UP</v>
      </c>
      <c r="AO321" s="10" t="str">
        <f t="shared" si="212"/>
        <v>UP</v>
      </c>
      <c r="AP321" s="6" t="str">
        <f t="shared" si="213"/>
        <v>POSITIVE</v>
      </c>
      <c r="AQ321" cm="1">
        <f t="array" ref="AQ321">IFERROR(VALUE(_xll.BDP($B321,"INTERVAL_exp_MOV_AVG","CALC_INTERVAL","520D","TECH_STUDIES_PARAM1_OVERRIDE",100,"USE_PREVIOUS_BUSINESS_DAY","N")),"")</f>
        <v>3953.6948916176516</v>
      </c>
      <c r="AR321">
        <f t="shared" si="193"/>
        <v>6773.0064518682802</v>
      </c>
      <c r="AS321" cm="1">
        <f t="array" ref="AS321">IFERROR(VALUE(_xll.BDP($B321,"INTERVAL_exp_MOV_AVG","CALC_INTERVAL","520D","TECH_STUDIES_PARAM1_OVERRIDE",100,"USE_PREVIOUS_BUSINESS_DAY","Y")),"")</f>
        <v>3950.0925558848953</v>
      </c>
      <c r="AT321">
        <f t="shared" si="194"/>
        <v>6769.6039787132295</v>
      </c>
      <c r="AU321">
        <f t="shared" si="214"/>
        <v>0.58374296846078688</v>
      </c>
      <c r="AV321">
        <f t="shared" si="215"/>
        <v>0.58350422983468697</v>
      </c>
      <c r="AW321" s="11" t="str">
        <f t="shared" si="216"/>
        <v>UP</v>
      </c>
      <c r="AX321" s="11" t="str">
        <f t="shared" si="217"/>
        <v>UP</v>
      </c>
      <c r="AY321" s="6" t="str">
        <f t="shared" si="218"/>
        <v>POSITIVE</v>
      </c>
      <c r="AZ321" s="12" cm="1">
        <f t="array" ref="AZ321">_xll.BDP($B321, "INTERVAL_RSI", "TECH_STUDIES_PARAM1_OVERRIDE", "5", "PERIODICITY_OVERRIDE", "W")</f>
        <v>68.37832614598922</v>
      </c>
      <c r="BA321" cm="1">
        <f t="array" ref="BA321">IFERROR(VALUE(_xll.BDP($B321,"INTERVAL_MAE_MOV_AVG","CALC_INTERVAL","520D","TECH_STUDIES_PARAM1_OVERRIDE",31,"USE_PREVIOUS_BUSINESS_DAY","N")),"")</f>
        <v>4095.2835806451612</v>
      </c>
      <c r="BB321" cm="1">
        <f t="array" ref="BB321">IFERROR(VALUE(_xll.BDP($B321,"INTERVAL_MAE_MOV_AVG","CALC_INTERVAL","760D","TECH_STUDIES_PARAM1_OVERRIDE",200,"USE_PREVIOUS_BUSINESS_DAY","N")),"")</f>
        <v>3746.4355399999999</v>
      </c>
      <c r="BC321" s="13">
        <f t="shared" si="219"/>
        <v>8.9618749549589261E-3</v>
      </c>
      <c r="BD321" s="13">
        <f t="shared" si="220"/>
        <v>2.7671457694032009E-2</v>
      </c>
      <c r="BE321" s="13">
        <f t="shared" si="221"/>
        <v>0.10291100857963764</v>
      </c>
      <c r="BF321" s="14" cm="1">
        <f t="array" ref="BF321">VALUE(_xll.BDP($B321,"INTERVAL_DATE_OF_CALC_HI","CALC_INTERVAL","3M"))</f>
        <v>46034</v>
      </c>
      <c r="BG321" s="14" cm="1">
        <f t="array" ref="BG321">VALUE(_xll.BDP($B321,"INTERVAL_DATE_OF_CALC_LO","CALC_INTERVAL","3M"))</f>
        <v>46007</v>
      </c>
      <c r="BH321" s="14" cm="1">
        <f t="array" ref="BH321">VALUE(_xll.BDP($B321,"INTERVAL_DATE_OF_CALC_HI","CALC_INTERVAL","1M"))</f>
        <v>46034</v>
      </c>
      <c r="BI321" s="14" cm="1">
        <f t="array" ref="BI321">VALUE(_xll.BDP($B321,"INTERVAL_DATE_OF_CALC_LO","CALC_INTERVAL","1M"))</f>
        <v>46055</v>
      </c>
      <c r="BJ321" s="15">
        <f>$F321-MIN(_xll.BDP("NYA Index","RSI_14D"),_xll.BDP("RSP US Equity","RSI_14D"))</f>
        <v>-8.6688595920587161</v>
      </c>
    </row>
    <row r="322" spans="1:62" x14ac:dyDescent="0.25">
      <c r="A322" s="11">
        <v>321</v>
      </c>
      <c r="B322" s="26" t="s">
        <v>771</v>
      </c>
      <c r="C322" s="1" t="s">
        <v>772</v>
      </c>
      <c r="D322" s="1" t="s">
        <v>307</v>
      </c>
      <c r="E322" s="11" t="s">
        <v>789</v>
      </c>
      <c r="F322">
        <f>IFERROR(VALUE((_xll.BDP($B322,"interval_rsi","tech_studies_param1_override",14))),"")</f>
        <v>64.507135696309206</v>
      </c>
      <c r="G322">
        <f t="shared" si="184"/>
        <v>52.525531939815814</v>
      </c>
      <c r="H322">
        <f t="shared" si="195"/>
        <v>1</v>
      </c>
      <c r="I322" cm="1">
        <f t="array" ref="I322">IFERROR(VALUE(_xll.BDP($B322,"px_last")),"")</f>
        <v>13547.08</v>
      </c>
      <c r="J322">
        <f t="shared" si="185"/>
        <v>6941.47</v>
      </c>
      <c r="K322" cm="1">
        <f t="array" ref="K322">IFERROR(VALUE(_xll.BDP($B322,"PX_YEST_CLOSE")),"")</f>
        <v>13518.22</v>
      </c>
      <c r="L322">
        <f t="shared" si="186"/>
        <v>6941.81</v>
      </c>
      <c r="M322">
        <f t="shared" si="196"/>
        <v>1.9516154359235147</v>
      </c>
      <c r="N322">
        <f t="shared" si="197"/>
        <v>1.9473624314119802</v>
      </c>
      <c r="O322" cm="1">
        <f t="array" ref="O322">IFERROR(VALUE(_xll.BDP($B322,"INTERVAL_MAE_MOV_AVG","CALC_INTERVAL","520D","TECH_STUDIES_PARAM1_OVERRIDE",50,"USE_PREVIOUS_BUSINESS_DAY","N")),"")</f>
        <v>13184.798600000002</v>
      </c>
      <c r="P322">
        <f t="shared" si="187"/>
        <v>6894.0953999999992</v>
      </c>
      <c r="Q322" cm="1">
        <f t="array" ref="Q322">IFERROR(VALUE(_xll.BDP($B322,"INTERVAL_MAE_MOV_AVG","CALC_INTERVAL","520D","TECH_STUDIES_PARAM1_OVERRIDE",50,"USE_PREVIOUS_BUSINESS_DAY","Y")),"")</f>
        <v>13169.2896</v>
      </c>
      <c r="R322">
        <f t="shared" si="188"/>
        <v>6892.2477999999992</v>
      </c>
      <c r="S322">
        <f t="shared" si="198"/>
        <v>1.9124769581807648</v>
      </c>
      <c r="T322">
        <f t="shared" si="199"/>
        <v>1.9107394252423717</v>
      </c>
      <c r="U322" s="11" t="str">
        <f t="shared" si="200"/>
        <v>POSITIVE</v>
      </c>
      <c r="V322" s="11" t="str">
        <f t="shared" si="201"/>
        <v/>
      </c>
      <c r="W322" s="11" t="str">
        <f t="shared" si="202"/>
        <v>UP</v>
      </c>
      <c r="X322" s="6" t="str">
        <f t="shared" si="203"/>
        <v>POSITIVE</v>
      </c>
      <c r="Y322" cm="1">
        <f t="array" ref="Y322">IFERROR(VALUE(_xll.BDP($B322,"INTERVAL_MAE_MOV_AVG","CALC_INTERVAL","520D","TECH_STUDIES_PARAM1_OVERRIDE",65,"USE_PREVIOUS_BUSINESS_DAY","N")),"")</f>
        <v>13042.134923076925</v>
      </c>
      <c r="Z322">
        <f t="shared" si="189"/>
        <v>6856.0226153846133</v>
      </c>
      <c r="AA322" cm="1">
        <f t="array" ref="AA322">IFERROR(VALUE(_xll.BDP($B322,"INTERVAL_MAE_MOV_AVG","CALC_INTERVAL","520D","TECH_STUDIES_PARAM1_OVERRIDE",65,"USE_PREVIOUS_BUSINESS_DAY","Y")),"")</f>
        <v>13023.055076923078</v>
      </c>
      <c r="AB322">
        <f t="shared" si="190"/>
        <v>6852.6203076923057</v>
      </c>
      <c r="AC322">
        <f t="shared" si="204"/>
        <v>1.9022887838512883</v>
      </c>
      <c r="AD322">
        <f t="shared" si="205"/>
        <v>1.9004489512288085</v>
      </c>
      <c r="AE322" s="10" t="str">
        <f t="shared" si="206"/>
        <v>UP</v>
      </c>
      <c r="AF322" s="10" t="str">
        <f t="shared" si="207"/>
        <v>UP</v>
      </c>
      <c r="AG322" s="6" t="str">
        <f t="shared" si="208"/>
        <v>POSITIVE</v>
      </c>
      <c r="AH322" cm="1">
        <f t="array" ref="AH322">IFERROR(VALUE(_xll.BDP($B322,"INTERVAL_MAE_MOV_AVG","CALC_INTERVAL","65W","PERIODICITY_OVERRIDE","W","TECH_STUDIES_PARAM1_OVERRIDE",39,"USE_PREVIOUS_BUSINESS_DAY","N")),"")</f>
        <v>12513.679999999997</v>
      </c>
      <c r="AI322">
        <f t="shared" si="191"/>
        <v>6560.7735897435905</v>
      </c>
      <c r="AJ322" cm="1">
        <f t="array" ref="AJ322">IFERROR(VALUE(_xll.BDP($B322,"INTERVAL_MAE_MOV_AVG","CALC_INTERVAL","65W","PERIODICITY_OVERRIDE","W","TECH_STUDIES_PARAM1_OVERRIDE",39,"USE_PREVIOUS_BUSINESS_DAY","Y")),"")</f>
        <v>12512.939999999997</v>
      </c>
      <c r="AK322">
        <f t="shared" si="192"/>
        <v>6560.7823076923087</v>
      </c>
      <c r="AL322">
        <f t="shared" si="209"/>
        <v>1.9073482461828193</v>
      </c>
      <c r="AM322">
        <f t="shared" si="210"/>
        <v>1.907232920276744</v>
      </c>
      <c r="AN322" s="10" t="str">
        <f t="shared" si="211"/>
        <v>UP</v>
      </c>
      <c r="AO322" s="10" t="str">
        <f t="shared" si="212"/>
        <v>UP</v>
      </c>
      <c r="AP322" s="6" t="str">
        <f t="shared" si="213"/>
        <v>POSITIVE</v>
      </c>
      <c r="AQ322" cm="1">
        <f t="array" ref="AQ322">IFERROR(VALUE(_xll.BDP($B322,"INTERVAL_exp_MOV_AVG","CALC_INTERVAL","520D","TECH_STUDIES_PARAM1_OVERRIDE",100,"USE_PREVIOUS_BUSINESS_DAY","N")),"")</f>
        <v>12903.495148350206</v>
      </c>
      <c r="AR322">
        <f t="shared" si="193"/>
        <v>6773.0064518682802</v>
      </c>
      <c r="AS322" cm="1">
        <f t="array" ref="AS322">IFERROR(VALUE(_xll.BDP($B322,"INTERVAL_exp_MOV_AVG","CALC_INTERVAL","520D","TECH_STUDIES_PARAM1_OVERRIDE",100,"USE_PREVIOUS_BUSINESS_DAY","Y")),"")</f>
        <v>12890.491175337638</v>
      </c>
      <c r="AT322">
        <f t="shared" si="194"/>
        <v>6769.6039787132295</v>
      </c>
      <c r="AU322">
        <f t="shared" si="214"/>
        <v>1.9051355170038085</v>
      </c>
      <c r="AV322">
        <f t="shared" si="215"/>
        <v>1.9041721223089731</v>
      </c>
      <c r="AW322" s="11" t="str">
        <f t="shared" si="216"/>
        <v>UP</v>
      </c>
      <c r="AX322" s="11" t="str">
        <f t="shared" si="217"/>
        <v>UP</v>
      </c>
      <c r="AY322" s="6" t="str">
        <f t="shared" si="218"/>
        <v>POSITIVE</v>
      </c>
      <c r="AZ322" s="12" cm="1">
        <f t="array" ref="AZ322">_xll.BDP($B322, "INTERVAL_RSI", "TECH_STUDIES_PARAM1_OVERRIDE", "5", "PERIODICITY_OVERRIDE", "W")</f>
        <v>75.302811022196764</v>
      </c>
      <c r="BA322" cm="1">
        <f t="array" ref="BA322">IFERROR(VALUE(_xll.BDP($B322,"INTERVAL_MAE_MOV_AVG","CALC_INTERVAL","520D","TECH_STUDIES_PARAM1_OVERRIDE",31,"USE_PREVIOUS_BUSINESS_DAY","N")),"")</f>
        <v>13325.903225806453</v>
      </c>
      <c r="BB322" cm="1">
        <f t="array" ref="BB322">IFERROR(VALUE(_xll.BDP($B322,"INTERVAL_MAE_MOV_AVG","CALC_INTERVAL","760D","TECH_STUDIES_PARAM1_OVERRIDE",200,"USE_PREVIOUS_BUSINESS_DAY","N")),"")</f>
        <v>12448.605599999995</v>
      </c>
      <c r="BC322" s="13">
        <f t="shared" si="219"/>
        <v>1.6597507159231473E-2</v>
      </c>
      <c r="BD322" s="13">
        <f t="shared" si="220"/>
        <v>2.7477203936963956E-2</v>
      </c>
      <c r="BE322" s="13">
        <f t="shared" si="221"/>
        <v>8.824075846695667E-2</v>
      </c>
      <c r="BF322" s="14" cm="1">
        <f t="array" ref="BF322">VALUE(_xll.BDP($B322,"INTERVAL_DATE_OF_CALC_HI","CALC_INTERVAL","3M"))</f>
        <v>46064</v>
      </c>
      <c r="BG322" s="14" cm="1">
        <f t="array" ref="BG322">VALUE(_xll.BDP($B322,"INTERVAL_DATE_OF_CALC_LO","CALC_INTERVAL","3M"))</f>
        <v>45979</v>
      </c>
      <c r="BH322" s="14" cm="1">
        <f t="array" ref="BH322">VALUE(_xll.BDP($B322,"INTERVAL_DATE_OF_CALC_HI","CALC_INTERVAL","1M"))</f>
        <v>46064</v>
      </c>
      <c r="BI322" s="14" cm="1">
        <f t="array" ref="BI322">VALUE(_xll.BDP($B322,"INTERVAL_DATE_OF_CALC_LO","CALC_INTERVAL","1M"))</f>
        <v>46050</v>
      </c>
      <c r="BJ322" s="15">
        <f>$F322-MIN(_xll.BDP("NYA Index","RSI_14D"),_xll.BDP("RSP US Equity","RSI_14D"))</f>
        <v>-1.8386284638470443</v>
      </c>
    </row>
    <row r="323" spans="1:62" x14ac:dyDescent="0.25">
      <c r="A323" s="11">
        <v>322</v>
      </c>
      <c r="B323" s="26" t="s">
        <v>773</v>
      </c>
      <c r="C323" s="1" t="s">
        <v>996</v>
      </c>
      <c r="D323" s="1" t="s">
        <v>307</v>
      </c>
      <c r="E323" s="11" t="s">
        <v>789</v>
      </c>
      <c r="F323">
        <f>IFERROR(VALUE((_xll.BDP($B323,"interval_rsi","tech_studies_param1_override",14))),"")</f>
        <v>61.288069695517002</v>
      </c>
      <c r="G323">
        <f t="shared" si="184"/>
        <v>52.525531939815814</v>
      </c>
      <c r="H323">
        <f t="shared" si="195"/>
        <v>0</v>
      </c>
      <c r="I323" cm="1">
        <f t="array" ref="I323">IFERROR(VALUE(_xll.BDP($B323,"px_last")),"")</f>
        <v>8291.8610000000008</v>
      </c>
      <c r="J323">
        <f t="shared" si="185"/>
        <v>6941.47</v>
      </c>
      <c r="K323" cm="1">
        <f t="array" ref="K323">IFERROR(VALUE(_xll.BDP($B323,"PX_YEST_CLOSE")),"")</f>
        <v>8107.1319999999996</v>
      </c>
      <c r="L323">
        <f t="shared" si="186"/>
        <v>6941.81</v>
      </c>
      <c r="M323">
        <f t="shared" si="196"/>
        <v>1.1945396292139849</v>
      </c>
      <c r="N323">
        <f t="shared" si="197"/>
        <v>1.1678700511826166</v>
      </c>
      <c r="O323" cm="1">
        <f t="array" ref="O323">IFERROR(VALUE(_xll.BDP($B323,"INTERVAL_MAE_MOV_AVG","CALC_INTERVAL","520D","TECH_STUDIES_PARAM1_OVERRIDE",50,"USE_PREVIOUS_BUSINESS_DAY","N")),"")</f>
        <v>7556.749200000002</v>
      </c>
      <c r="P323">
        <f t="shared" si="187"/>
        <v>6894.0953999999992</v>
      </c>
      <c r="Q323" cm="1">
        <f t="array" ref="Q323">IFERROR(VALUE(_xll.BDP($B323,"INTERVAL_MAE_MOV_AVG","CALC_INTERVAL","520D","TECH_STUDIES_PARAM1_OVERRIDE",50,"USE_PREVIOUS_BUSINESS_DAY","Y")),"")</f>
        <v>7531.4149800000023</v>
      </c>
      <c r="R323">
        <f t="shared" si="188"/>
        <v>6892.2477999999992</v>
      </c>
      <c r="S323">
        <f t="shared" si="198"/>
        <v>1.096119035428492</v>
      </c>
      <c r="T323">
        <f t="shared" si="199"/>
        <v>1.0927371154589078</v>
      </c>
      <c r="U323" s="11" t="str">
        <f t="shared" si="200"/>
        <v>NEGATIVE</v>
      </c>
      <c r="V323" s="11" t="str">
        <f t="shared" si="201"/>
        <v/>
      </c>
      <c r="W323" s="11" t="str">
        <f t="shared" si="202"/>
        <v>UP</v>
      </c>
      <c r="X323" s="6" t="str">
        <f t="shared" si="203"/>
        <v>POSITIVE</v>
      </c>
      <c r="Y323" cm="1">
        <f t="array" ref="Y323">IFERROR(VALUE(_xll.BDP($B323,"INTERVAL_MAE_MOV_AVG","CALC_INTERVAL","520D","TECH_STUDIES_PARAM1_OVERRIDE",65,"USE_PREVIOUS_BUSINESS_DAY","N")),"")</f>
        <v>7379.3973692307718</v>
      </c>
      <c r="Z323">
        <f t="shared" si="189"/>
        <v>6856.0226153846133</v>
      </c>
      <c r="AA323" cm="1">
        <f t="array" ref="AA323">IFERROR(VALUE(_xll.BDP($B323,"INTERVAL_MAE_MOV_AVG","CALC_INTERVAL","520D","TECH_STUDIES_PARAM1_OVERRIDE",65,"USE_PREVIOUS_BUSINESS_DAY","Y")),"")</f>
        <v>7359.8055692307726</v>
      </c>
      <c r="AB323">
        <f t="shared" si="190"/>
        <v>6852.6203076923057</v>
      </c>
      <c r="AC323">
        <f t="shared" si="204"/>
        <v>1.0763379561601398</v>
      </c>
      <c r="AD323">
        <f t="shared" si="205"/>
        <v>1.0740133319467786</v>
      </c>
      <c r="AE323" s="10" t="str">
        <f t="shared" si="206"/>
        <v>UP</v>
      </c>
      <c r="AF323" s="10" t="str">
        <f t="shared" si="207"/>
        <v>UP</v>
      </c>
      <c r="AG323" s="6" t="str">
        <f t="shared" si="208"/>
        <v>POSITIVE</v>
      </c>
      <c r="AH323" cm="1">
        <f t="array" ref="AH323">IFERROR(VALUE(_xll.BDP($B323,"INTERVAL_MAE_MOV_AVG","CALC_INTERVAL","65W","PERIODICITY_OVERRIDE","W","TECH_STUDIES_PARAM1_OVERRIDE",39,"USE_PREVIOUS_BUSINESS_DAY","N")),"")</f>
        <v>6430.0208205128192</v>
      </c>
      <c r="AI323">
        <f t="shared" si="191"/>
        <v>6560.7735897435905</v>
      </c>
      <c r="AJ323" cm="1">
        <f t="array" ref="AJ323">IFERROR(VALUE(_xll.BDP($B323,"INTERVAL_MAE_MOV_AVG","CALC_INTERVAL","65W","PERIODICITY_OVERRIDE","W","TECH_STUDIES_PARAM1_OVERRIDE",39,"USE_PREVIOUS_BUSINESS_DAY","Y")),"")</f>
        <v>6425.2841794871792</v>
      </c>
      <c r="AK323">
        <f t="shared" si="192"/>
        <v>6560.7823076923087</v>
      </c>
      <c r="AL323">
        <f t="shared" si="209"/>
        <v>0.98007052561070296</v>
      </c>
      <c r="AM323">
        <f t="shared" si="210"/>
        <v>0.97934726045607978</v>
      </c>
      <c r="AN323" s="10" t="str">
        <f t="shared" si="211"/>
        <v>UP</v>
      </c>
      <c r="AO323" s="10" t="str">
        <f t="shared" si="212"/>
        <v>UP</v>
      </c>
      <c r="AP323" s="6" t="str">
        <f t="shared" si="213"/>
        <v>POSITIVE</v>
      </c>
      <c r="AQ323" cm="1">
        <f t="array" ref="AQ323">IFERROR(VALUE(_xll.BDP($B323,"INTERVAL_exp_MOV_AVG","CALC_INTERVAL","520D","TECH_STUDIES_PARAM1_OVERRIDE",100,"USE_PREVIOUS_BUSINESS_DAY","N")),"")</f>
        <v>7162.5868211477637</v>
      </c>
      <c r="AR323">
        <f t="shared" si="193"/>
        <v>6773.0064518682802</v>
      </c>
      <c r="AS323" cm="1">
        <f t="array" ref="AS323">IFERROR(VALUE(_xll.BDP($B323,"INTERVAL_exp_MOV_AVG","CALC_INTERVAL","520D","TECH_STUDIES_PARAM1_OVERRIDE",100,"USE_PREVIOUS_BUSINESS_DAY","Y")),"")</f>
        <v>7139.7743185945428</v>
      </c>
      <c r="AT323">
        <f t="shared" si="194"/>
        <v>6769.6039787132295</v>
      </c>
      <c r="AU323">
        <f t="shared" si="214"/>
        <v>1.0575195627005525</v>
      </c>
      <c r="AV323">
        <f t="shared" si="215"/>
        <v>1.0546812400024137</v>
      </c>
      <c r="AW323" s="11" t="str">
        <f t="shared" si="216"/>
        <v>UP</v>
      </c>
      <c r="AX323" s="11" t="str">
        <f t="shared" si="217"/>
        <v>UP</v>
      </c>
      <c r="AY323" s="6" t="str">
        <f t="shared" si="218"/>
        <v>POSITIVE</v>
      </c>
      <c r="AZ323" s="12" cm="1">
        <f t="array" ref="AZ323">_xll.BDP($B323, "INTERVAL_RSI", "TECH_STUDIES_PARAM1_OVERRIDE", "5", "PERIODICITY_OVERRIDE", "W")</f>
        <v>89.303093791287665</v>
      </c>
      <c r="BA323" cm="1">
        <f t="array" ref="BA323">IFERROR(VALUE(_xll.BDP($B323,"INTERVAL_MAE_MOV_AVG","CALC_INTERVAL","520D","TECH_STUDIES_PARAM1_OVERRIDE",31,"USE_PREVIOUS_BUSINESS_DAY","N")),"")</f>
        <v>7803.165064516129</v>
      </c>
      <c r="BB323" cm="1">
        <f t="array" ref="BB323">IFERROR(VALUE(_xll.BDP($B323,"INTERVAL_MAE_MOV_AVG","CALC_INTERVAL","760D","TECH_STUDIES_PARAM1_OVERRIDE",200,"USE_PREVIOUS_BUSINESS_DAY","N")),"")</f>
        <v>6264.797384999998</v>
      </c>
      <c r="BC323" s="13">
        <f t="shared" si="219"/>
        <v>6.2627912064317615E-2</v>
      </c>
      <c r="BD323" s="13">
        <f t="shared" si="220"/>
        <v>9.7278840483418172E-2</v>
      </c>
      <c r="BE323" s="13">
        <f t="shared" si="221"/>
        <v>0.32356411395737483</v>
      </c>
      <c r="BF323" s="14" cm="1">
        <f t="array" ref="BF323">VALUE(_xll.BDP($B323,"INTERVAL_DATE_OF_CALC_HI","CALC_INTERVAL","3M"))</f>
        <v>46051</v>
      </c>
      <c r="BG323" s="14" cm="1">
        <f t="array" ref="BG323">VALUE(_xll.BDP($B323,"INTERVAL_DATE_OF_CALC_LO","CALC_INTERVAL","3M"))</f>
        <v>45981</v>
      </c>
      <c r="BH323" s="14" cm="1">
        <f t="array" ref="BH323">VALUE(_xll.BDP($B323,"INTERVAL_DATE_OF_CALC_HI","CALC_INTERVAL","1M"))</f>
        <v>46051</v>
      </c>
      <c r="BI323" s="14" cm="1">
        <f t="array" ref="BI323">VALUE(_xll.BDP($B323,"INTERVAL_DATE_OF_CALC_LO","CALC_INTERVAL","1M"))</f>
        <v>46058</v>
      </c>
      <c r="BJ323" s="15">
        <f>$F323-MIN(_xll.BDP("NYA Index","RSI_14D"),_xll.BDP("RSP US Equity","RSI_14D"))</f>
        <v>-5.0576944646392477</v>
      </c>
    </row>
    <row r="324" spans="1:62" x14ac:dyDescent="0.25">
      <c r="A324" s="11">
        <v>323</v>
      </c>
      <c r="B324" s="26" t="s">
        <v>774</v>
      </c>
      <c r="C324" s="1" t="s">
        <v>966</v>
      </c>
      <c r="D324" s="1" t="s">
        <v>307</v>
      </c>
      <c r="E324" s="11" t="s">
        <v>789</v>
      </c>
      <c r="F324">
        <f>IFERROR(VALUE((_xll.BDP($B324,"interval_rsi","tech_studies_param1_override",14))),"")</f>
        <v>53.860755276451314</v>
      </c>
      <c r="G324">
        <f t="shared" si="184"/>
        <v>52.525531939815814</v>
      </c>
      <c r="H324">
        <f t="shared" si="195"/>
        <v>0</v>
      </c>
      <c r="I324" cm="1">
        <f t="array" ref="I324">IFERROR(VALUE(_xll.BDP($B324,"px_last")),"")</f>
        <v>1560.992</v>
      </c>
      <c r="J324">
        <f t="shared" si="185"/>
        <v>6941.47</v>
      </c>
      <c r="K324" cm="1">
        <f t="array" ref="K324">IFERROR(VALUE(_xll.BDP($B324,"PX_YEST_CLOSE")),"")</f>
        <v>1561.3109999999999</v>
      </c>
      <c r="L324">
        <f t="shared" si="186"/>
        <v>6941.81</v>
      </c>
      <c r="M324">
        <f t="shared" si="196"/>
        <v>0.22487916824534282</v>
      </c>
      <c r="N324">
        <f t="shared" si="197"/>
        <v>0.22491410741578924</v>
      </c>
      <c r="O324" cm="1">
        <f t="array" ref="O324">IFERROR(VALUE(_xll.BDP($B324,"INTERVAL_MAE_MOV_AVG","CALC_INTERVAL","520D","TECH_STUDIES_PARAM1_OVERRIDE",50,"USE_PREVIOUS_BUSINESS_DAY","N")),"")</f>
        <v>1545.4035819999999</v>
      </c>
      <c r="P324">
        <f t="shared" si="187"/>
        <v>6894.0953999999992</v>
      </c>
      <c r="Q324" cm="1">
        <f t="array" ref="Q324">IFERROR(VALUE(_xll.BDP($B324,"INTERVAL_MAE_MOV_AVG","CALC_INTERVAL","520D","TECH_STUDIES_PARAM1_OVERRIDE",50,"USE_PREVIOUS_BUSINESS_DAY","Y")),"")</f>
        <v>1544.8258580000002</v>
      </c>
      <c r="R324">
        <f t="shared" si="188"/>
        <v>6892.2477999999992</v>
      </c>
      <c r="S324">
        <f t="shared" si="198"/>
        <v>0.22416335898107823</v>
      </c>
      <c r="T324">
        <f t="shared" si="199"/>
        <v>0.22413962800350856</v>
      </c>
      <c r="U324" s="11" t="str">
        <f t="shared" si="200"/>
        <v>NEGATIVE</v>
      </c>
      <c r="V324" s="11" t="str">
        <f t="shared" si="201"/>
        <v/>
      </c>
      <c r="W324" s="11" t="str">
        <f t="shared" si="202"/>
        <v>UP</v>
      </c>
      <c r="X324" s="6" t="str">
        <f t="shared" si="203"/>
        <v>POSITIVE</v>
      </c>
      <c r="Y324" cm="1">
        <f t="array" ref="Y324">IFERROR(VALUE(_xll.BDP($B324,"INTERVAL_MAE_MOV_AVG","CALC_INTERVAL","520D","TECH_STUDIES_PARAM1_OVERRIDE",65,"USE_PREVIOUS_BUSINESS_DAY","N")),"")</f>
        <v>1535.8794815384617</v>
      </c>
      <c r="Z324">
        <f t="shared" si="189"/>
        <v>6856.0226153846133</v>
      </c>
      <c r="AA324" cm="1">
        <f t="array" ref="AA324">IFERROR(VALUE(_xll.BDP($B324,"INTERVAL_MAE_MOV_AVG","CALC_INTERVAL","520D","TECH_STUDIES_PARAM1_OVERRIDE",65,"USE_PREVIOUS_BUSINESS_DAY","Y")),"")</f>
        <v>1534.9706938461541</v>
      </c>
      <c r="AB324">
        <f t="shared" si="190"/>
        <v>6852.6203076923057</v>
      </c>
      <c r="AC324">
        <f t="shared" si="204"/>
        <v>0.22401902206273586</v>
      </c>
      <c r="AD324">
        <f t="shared" si="205"/>
        <v>0.22399762790345992</v>
      </c>
      <c r="AE324" s="10" t="str">
        <f t="shared" si="206"/>
        <v>UP</v>
      </c>
      <c r="AF324" s="10" t="str">
        <f t="shared" si="207"/>
        <v>UP</v>
      </c>
      <c r="AG324" s="6" t="str">
        <f t="shared" si="208"/>
        <v>POSITIVE</v>
      </c>
      <c r="AH324" cm="1">
        <f t="array" ref="AH324">IFERROR(VALUE(_xll.BDP($B324,"INTERVAL_MAE_MOV_AVG","CALC_INTERVAL","65W","PERIODICITY_OVERRIDE","W","TECH_STUDIES_PARAM1_OVERRIDE",39,"USE_PREVIOUS_BUSINESS_DAY","N")),"")</f>
        <v>1470.1615846153843</v>
      </c>
      <c r="AI324">
        <f t="shared" si="191"/>
        <v>6560.7735897435905</v>
      </c>
      <c r="AJ324" cm="1">
        <f t="array" ref="AJ324">IFERROR(VALUE(_xll.BDP($B324,"INTERVAL_MAE_MOV_AVG","CALC_INTERVAL","65W","PERIODICITY_OVERRIDE","W","TECH_STUDIES_PARAM1_OVERRIDE",39,"USE_PREVIOUS_BUSINESS_DAY","Y")),"")</f>
        <v>1470.1697589743585</v>
      </c>
      <c r="AK324">
        <f t="shared" si="192"/>
        <v>6560.7823076923087</v>
      </c>
      <c r="AL324">
        <f t="shared" si="209"/>
        <v>0.22408357253993297</v>
      </c>
      <c r="AM324">
        <f t="shared" si="210"/>
        <v>0.22408452072104743</v>
      </c>
      <c r="AN324" s="10" t="str">
        <f t="shared" si="211"/>
        <v>DOWN</v>
      </c>
      <c r="AO324" s="10" t="str">
        <f t="shared" si="212"/>
        <v>DOWN</v>
      </c>
      <c r="AP324" s="6" t="str">
        <f t="shared" si="213"/>
        <v>POSITIVE</v>
      </c>
      <c r="AQ324" cm="1">
        <f t="array" ref="AQ324">IFERROR(VALUE(_xll.BDP($B324,"INTERVAL_exp_MOV_AVG","CALC_INTERVAL","520D","TECH_STUDIES_PARAM1_OVERRIDE",100,"USE_PREVIOUS_BUSINESS_DAY","N")),"")</f>
        <v>1517.9788071801429</v>
      </c>
      <c r="AR324">
        <f t="shared" si="193"/>
        <v>6773.0064518682802</v>
      </c>
      <c r="AS324" cm="1">
        <f t="array" ref="AS324">IFERROR(VALUE(_xll.BDP($B324,"INTERVAL_exp_MOV_AVG","CALC_INTERVAL","520D","TECH_STUDIES_PARAM1_OVERRIDE",100,"USE_PREVIOUS_BUSINESS_DAY","Y")),"")</f>
        <v>1517.1100442242648</v>
      </c>
      <c r="AT324">
        <f t="shared" si="194"/>
        <v>6769.6039787132295</v>
      </c>
      <c r="AU324">
        <f t="shared" si="214"/>
        <v>0.22412186050131702</v>
      </c>
      <c r="AV324">
        <f t="shared" si="215"/>
        <v>0.22410617356565635</v>
      </c>
      <c r="AW324" s="11" t="str">
        <f t="shared" si="216"/>
        <v>UP</v>
      </c>
      <c r="AX324" s="11" t="str">
        <f t="shared" si="217"/>
        <v>UP</v>
      </c>
      <c r="AY324" s="6" t="str">
        <f t="shared" si="218"/>
        <v>POSITIVE</v>
      </c>
      <c r="AZ324" s="12" cm="1">
        <f t="array" ref="AZ324">_xll.BDP($B324, "INTERVAL_RSI", "TECH_STUDIES_PARAM1_OVERRIDE", "5", "PERIODICITY_OVERRIDE", "W")</f>
        <v>67.429081622502736</v>
      </c>
      <c r="BA324" cm="1">
        <f t="array" ref="BA324">IFERROR(VALUE(_xll.BDP($B324,"INTERVAL_MAE_MOV_AVG","CALC_INTERVAL","520D","TECH_STUDIES_PARAM1_OVERRIDE",31,"USE_PREVIOUS_BUSINESS_DAY","N")),"")</f>
        <v>1552.956780645161</v>
      </c>
      <c r="BB324" cm="1">
        <f t="array" ref="BB324">IFERROR(VALUE(_xll.BDP($B324,"INTERVAL_MAE_MOV_AVG","CALC_INTERVAL","760D","TECH_STUDIES_PARAM1_OVERRIDE",200,"USE_PREVIOUS_BUSINESS_DAY","N")),"")</f>
        <v>1454.7971845000004</v>
      </c>
      <c r="BC324" s="13">
        <f t="shared" si="219"/>
        <v>5.1741422910049906E-3</v>
      </c>
      <c r="BD324" s="13">
        <f t="shared" si="220"/>
        <v>1.0086956042787198E-2</v>
      </c>
      <c r="BE324" s="13">
        <f t="shared" si="221"/>
        <v>7.2996302599044105E-2</v>
      </c>
      <c r="BF324" s="14" cm="1">
        <f t="array" ref="BF324">VALUE(_xll.BDP($B324,"INTERVAL_DATE_OF_CALC_HI","CALC_INTERVAL","3M"))</f>
        <v>46062</v>
      </c>
      <c r="BG324" s="14" cm="1">
        <f t="array" ref="BG324">VALUE(_xll.BDP($B324,"INTERVAL_DATE_OF_CALC_LO","CALC_INTERVAL","3M"))</f>
        <v>45981</v>
      </c>
      <c r="BH324" s="14" cm="1">
        <f t="array" ref="BH324">VALUE(_xll.BDP($B324,"INTERVAL_DATE_OF_CALC_HI","CALC_INTERVAL","1M"))</f>
        <v>46062</v>
      </c>
      <c r="BI324" s="14" cm="1">
        <f t="array" ref="BI324">VALUE(_xll.BDP($B324,"INTERVAL_DATE_OF_CALC_LO","CALC_INTERVAL","1M"))</f>
        <v>46042</v>
      </c>
      <c r="BJ324" s="15">
        <f>$F324-MIN(_xll.BDP("NYA Index","RSI_14D"),_xll.BDP("RSP US Equity","RSI_14D"))</f>
        <v>-12.485008883704936</v>
      </c>
    </row>
    <row r="325" spans="1:62" x14ac:dyDescent="0.25">
      <c r="A325" s="11">
        <v>324</v>
      </c>
      <c r="B325" s="26" t="s">
        <v>775</v>
      </c>
      <c r="C325" s="1" t="s">
        <v>776</v>
      </c>
      <c r="D325" s="1" t="s">
        <v>307</v>
      </c>
      <c r="E325" s="11" t="s">
        <v>789</v>
      </c>
      <c r="F325">
        <f>IFERROR(VALUE((_xll.BDP($B325,"interval_rsi","tech_studies_param1_override",14))),"")</f>
        <v>60.120536807363543</v>
      </c>
      <c r="G325">
        <f t="shared" si="184"/>
        <v>52.525531939815814</v>
      </c>
      <c r="H325">
        <f t="shared" si="195"/>
        <v>0</v>
      </c>
      <c r="I325" cm="1">
        <f t="array" ref="I325">IFERROR(VALUE(_xll.BDP($B325,"px_last")),"")</f>
        <v>33254.19</v>
      </c>
      <c r="J325">
        <f t="shared" si="185"/>
        <v>6941.47</v>
      </c>
      <c r="K325" cm="1">
        <f t="array" ref="K325">IFERROR(VALUE(_xll.BDP($B325,"PX_YEST_CLOSE")),"")</f>
        <v>33256.83</v>
      </c>
      <c r="L325">
        <f t="shared" si="186"/>
        <v>6941.81</v>
      </c>
      <c r="M325">
        <f t="shared" si="196"/>
        <v>4.7906552934753011</v>
      </c>
      <c r="N325">
        <f t="shared" si="197"/>
        <v>4.7908009582515225</v>
      </c>
      <c r="O325" cm="1">
        <f t="array" ref="O325">IFERROR(VALUE(_xll.BDP($B325,"INTERVAL_MAE_MOV_AVG","CALC_INTERVAL","520D","TECH_STUDIES_PARAM1_OVERRIDE",50,"USE_PREVIOUS_BUSINESS_DAY","N")),"")</f>
        <v>32211.523600000008</v>
      </c>
      <c r="P325">
        <f t="shared" si="187"/>
        <v>6894.0953999999992</v>
      </c>
      <c r="Q325" cm="1">
        <f t="array" ref="Q325">IFERROR(VALUE(_xll.BDP($B325,"INTERVAL_MAE_MOV_AVG","CALC_INTERVAL","520D","TECH_STUDIES_PARAM1_OVERRIDE",50,"USE_PREVIOUS_BUSINESS_DAY","Y")),"")</f>
        <v>32174.095400000009</v>
      </c>
      <c r="R325">
        <f t="shared" si="188"/>
        <v>6892.2477999999992</v>
      </c>
      <c r="S325">
        <f t="shared" si="198"/>
        <v>4.6723350535590225</v>
      </c>
      <c r="T325">
        <f t="shared" si="199"/>
        <v>4.6681570851239584</v>
      </c>
      <c r="U325" s="11" t="str">
        <f t="shared" si="200"/>
        <v>NEGATIVE</v>
      </c>
      <c r="V325" s="11" t="str">
        <f t="shared" si="201"/>
        <v/>
      </c>
      <c r="W325" s="11" t="str">
        <f t="shared" si="202"/>
        <v>UP</v>
      </c>
      <c r="X325" s="6" t="str">
        <f t="shared" si="203"/>
        <v>POSITIVE</v>
      </c>
      <c r="Y325" cm="1">
        <f t="array" ref="Y325">IFERROR(VALUE(_xll.BDP($B325,"INTERVAL_MAE_MOV_AVG","CALC_INTERVAL","520D","TECH_STUDIES_PARAM1_OVERRIDE",65,"USE_PREVIOUS_BUSINESS_DAY","N")),"")</f>
        <v>31822.042461538462</v>
      </c>
      <c r="Z325">
        <f t="shared" si="189"/>
        <v>6856.0226153846133</v>
      </c>
      <c r="AA325" cm="1">
        <f t="array" ref="AA325">IFERROR(VALUE(_xll.BDP($B325,"INTERVAL_MAE_MOV_AVG","CALC_INTERVAL","520D","TECH_STUDIES_PARAM1_OVERRIDE",65,"USE_PREVIOUS_BUSINESS_DAY","Y")),"")</f>
        <v>31770.62707692308</v>
      </c>
      <c r="AB325">
        <f t="shared" si="190"/>
        <v>6852.6203076923057</v>
      </c>
      <c r="AC325">
        <f t="shared" si="204"/>
        <v>4.6414727965061253</v>
      </c>
      <c r="AD325">
        <f t="shared" si="205"/>
        <v>4.6362742499040026</v>
      </c>
      <c r="AE325" s="10" t="str">
        <f t="shared" si="206"/>
        <v>UP</v>
      </c>
      <c r="AF325" s="10" t="str">
        <f t="shared" si="207"/>
        <v>UP</v>
      </c>
      <c r="AG325" s="6" t="str">
        <f t="shared" si="208"/>
        <v>POSITIVE</v>
      </c>
      <c r="AH325" cm="1">
        <f t="array" ref="AH325">IFERROR(VALUE(_xll.BDP($B325,"INTERVAL_MAE_MOV_AVG","CALC_INTERVAL","65W","PERIODICITY_OVERRIDE","W","TECH_STUDIES_PARAM1_OVERRIDE",39,"USE_PREVIOUS_BUSINESS_DAY","N")),"")</f>
        <v>29544.687692307685</v>
      </c>
      <c r="AI325">
        <f t="shared" si="191"/>
        <v>6560.7735897435905</v>
      </c>
      <c r="AJ325" cm="1">
        <f t="array" ref="AJ325">IFERROR(VALUE(_xll.BDP($B325,"INTERVAL_MAE_MOV_AVG","CALC_INTERVAL","65W","PERIODICITY_OVERRIDE","W","TECH_STUDIES_PARAM1_OVERRIDE",39,"USE_PREVIOUS_BUSINESS_DAY","Y")),"")</f>
        <v>29544.755384615382</v>
      </c>
      <c r="AK325">
        <f t="shared" si="192"/>
        <v>6560.7823076923087</v>
      </c>
      <c r="AL325">
        <f t="shared" si="209"/>
        <v>4.503232322861237</v>
      </c>
      <c r="AM325">
        <f t="shared" si="210"/>
        <v>4.5032366566979514</v>
      </c>
      <c r="AN325" s="10" t="str">
        <f t="shared" si="211"/>
        <v>DOWN</v>
      </c>
      <c r="AO325" s="10" t="str">
        <f t="shared" si="212"/>
        <v>DOWN</v>
      </c>
      <c r="AP325" s="6" t="str">
        <f t="shared" si="213"/>
        <v>POSITIVE</v>
      </c>
      <c r="AQ325" cm="1">
        <f t="array" ref="AQ325">IFERROR(VALUE(_xll.BDP($B325,"INTERVAL_exp_MOV_AVG","CALC_INTERVAL","520D","TECH_STUDIES_PARAM1_OVERRIDE",100,"USE_PREVIOUS_BUSINESS_DAY","N")),"")</f>
        <v>31205.187147448927</v>
      </c>
      <c r="AR325">
        <f t="shared" si="193"/>
        <v>6773.0064518682802</v>
      </c>
      <c r="AS325" cm="1">
        <f t="array" ref="AS325">IFERROR(VALUE(_xll.BDP($B325,"INTERVAL_exp_MOV_AVG","CALC_INTERVAL","520D","TECH_STUDIES_PARAM1_OVERRIDE",100,"USE_PREVIOUS_BUSINESS_DAY","Y")),"")</f>
        <v>31163.791235164121</v>
      </c>
      <c r="AT325">
        <f t="shared" si="194"/>
        <v>6769.6039787132295</v>
      </c>
      <c r="AU325">
        <f t="shared" si="214"/>
        <v>4.6072873795714786</v>
      </c>
      <c r="AV325">
        <f t="shared" si="215"/>
        <v>4.6034880818962991</v>
      </c>
      <c r="AW325" s="11" t="str">
        <f t="shared" si="216"/>
        <v>UP</v>
      </c>
      <c r="AX325" s="11" t="str">
        <f t="shared" si="217"/>
        <v>UP</v>
      </c>
      <c r="AY325" s="6" t="str">
        <f t="shared" si="218"/>
        <v>POSITIVE</v>
      </c>
      <c r="AZ325" s="12" cm="1">
        <f t="array" ref="AZ325">_xll.BDP($B325, "INTERVAL_RSI", "TECH_STUDIES_PARAM1_OVERRIDE", "5", "PERIODICITY_OVERRIDE", "W")</f>
        <v>69.591297619781926</v>
      </c>
      <c r="BA325" cm="1">
        <f t="array" ref="BA325">IFERROR(VALUE(_xll.BDP($B325,"INTERVAL_MAE_MOV_AVG","CALC_INTERVAL","520D","TECH_STUDIES_PARAM1_OVERRIDE",31,"USE_PREVIOUS_BUSINESS_DAY","N")),"")</f>
        <v>32652.680645161297</v>
      </c>
      <c r="BB325" cm="1">
        <f t="array" ref="BB325">IFERROR(VALUE(_xll.BDP($B325,"INTERVAL_MAE_MOV_AVG","CALC_INTERVAL","760D","TECH_STUDIES_PARAM1_OVERRIDE",200,"USE_PREVIOUS_BUSINESS_DAY","N")),"")</f>
        <v>29152.994749999987</v>
      </c>
      <c r="BC325" s="13">
        <f t="shared" si="219"/>
        <v>1.8421438698260184E-2</v>
      </c>
      <c r="BD325" s="13">
        <f t="shared" si="220"/>
        <v>3.2369359889576677E-2</v>
      </c>
      <c r="BE325" s="13">
        <f t="shared" si="221"/>
        <v>0.14067835174978094</v>
      </c>
      <c r="BF325" s="14" cm="1">
        <f t="array" ref="BF325">VALUE(_xll.BDP($B325,"INTERVAL_DATE_OF_CALC_HI","CALC_INTERVAL","3M"))</f>
        <v>46063</v>
      </c>
      <c r="BG325" s="14" cm="1">
        <f t="array" ref="BG325">VALUE(_xll.BDP($B325,"INTERVAL_DATE_OF_CALC_LO","CALC_INTERVAL","3M"))</f>
        <v>45981</v>
      </c>
      <c r="BH325" s="14" cm="1">
        <f t="array" ref="BH325">VALUE(_xll.BDP($B325,"INTERVAL_DATE_OF_CALC_HI","CALC_INTERVAL","1M"))</f>
        <v>46063</v>
      </c>
      <c r="BI325" s="14" cm="1">
        <f t="array" ref="BI325">VALUE(_xll.BDP($B325,"INTERVAL_DATE_OF_CALC_LO","CALC_INTERVAL","1M"))</f>
        <v>46052</v>
      </c>
      <c r="BJ325" s="15">
        <f>$F325-MIN(_xll.BDP("NYA Index","RSI_14D"),_xll.BDP("RSP US Equity","RSI_14D"))</f>
        <v>-6.2252273527927073</v>
      </c>
    </row>
    <row r="326" spans="1:62" x14ac:dyDescent="0.25">
      <c r="A326" s="11">
        <v>325</v>
      </c>
      <c r="B326" s="26" t="s">
        <v>777</v>
      </c>
      <c r="C326" s="1" t="s">
        <v>982</v>
      </c>
      <c r="D326" s="1" t="s">
        <v>307</v>
      </c>
      <c r="E326" s="11" t="s">
        <v>789</v>
      </c>
      <c r="F326">
        <f>IFERROR(VALUE((_xll.BDP($B326,"interval_rsi","tech_studies_param1_override",14))),"")</f>
        <v>59.23126909144171</v>
      </c>
      <c r="G326">
        <f t="shared" si="184"/>
        <v>52.525531939815814</v>
      </c>
      <c r="H326">
        <f t="shared" si="195"/>
        <v>0</v>
      </c>
      <c r="I326" cm="1">
        <f t="array" ref="I326">IFERROR(VALUE(_xll.BDP($B326,"px_last")),"")</f>
        <v>6035.64</v>
      </c>
      <c r="J326">
        <f t="shared" si="185"/>
        <v>6941.47</v>
      </c>
      <c r="K326" cm="1">
        <f t="array" ref="K326">IFERROR(VALUE(_xll.BDP($B326,"PX_YEST_CLOSE")),"")</f>
        <v>6047.06</v>
      </c>
      <c r="L326">
        <f t="shared" si="186"/>
        <v>6941.81</v>
      </c>
      <c r="M326">
        <f t="shared" si="196"/>
        <v>0.86950458620436311</v>
      </c>
      <c r="N326">
        <f t="shared" si="197"/>
        <v>0.87110710319066642</v>
      </c>
      <c r="O326" cm="1">
        <f t="array" ref="O326">IFERROR(VALUE(_xll.BDP($B326,"INTERVAL_MAE_MOV_AVG","CALC_INTERVAL","520D","TECH_STUDIES_PARAM1_OVERRIDE",50,"USE_PREVIOUS_BUSINESS_DAY","N")),"")</f>
        <v>5867.4435999999987</v>
      </c>
      <c r="P326">
        <f t="shared" si="187"/>
        <v>6894.0953999999992</v>
      </c>
      <c r="Q326" cm="1">
        <f t="array" ref="Q326">IFERROR(VALUE(_xll.BDP($B326,"INTERVAL_MAE_MOV_AVG","CALC_INTERVAL","520D","TECH_STUDIES_PARAM1_OVERRIDE",50,"USE_PREVIOUS_BUSINESS_DAY","Y")),"")</f>
        <v>5860.0941999999995</v>
      </c>
      <c r="R326">
        <f t="shared" si="188"/>
        <v>6892.2477999999992</v>
      </c>
      <c r="S326">
        <f t="shared" si="198"/>
        <v>0.85108244948278489</v>
      </c>
      <c r="T326">
        <f t="shared" si="199"/>
        <v>0.8502442700913917</v>
      </c>
      <c r="U326" s="11" t="str">
        <f t="shared" si="200"/>
        <v>NEGATIVE</v>
      </c>
      <c r="V326" s="11" t="str">
        <f t="shared" si="201"/>
        <v/>
      </c>
      <c r="W326" s="11" t="str">
        <f t="shared" si="202"/>
        <v>UP</v>
      </c>
      <c r="X326" s="6" t="str">
        <f t="shared" si="203"/>
        <v>POSITIVE</v>
      </c>
      <c r="Y326" cm="1">
        <f t="array" ref="Y326">IFERROR(VALUE(_xll.BDP($B326,"INTERVAL_MAE_MOV_AVG","CALC_INTERVAL","520D","TECH_STUDIES_PARAM1_OVERRIDE",65,"USE_PREVIOUS_BUSINESS_DAY","N")),"")</f>
        <v>5813.3603076923073</v>
      </c>
      <c r="Z326">
        <f t="shared" si="189"/>
        <v>6856.0226153846133</v>
      </c>
      <c r="AA326" cm="1">
        <f t="array" ref="AA326">IFERROR(VALUE(_xll.BDP($B326,"INTERVAL_MAE_MOV_AVG","CALC_INTERVAL","520D","TECH_STUDIES_PARAM1_OVERRIDE",65,"USE_PREVIOUS_BUSINESS_DAY","Y")),"")</f>
        <v>5806.1432307692312</v>
      </c>
      <c r="AB326">
        <f t="shared" si="190"/>
        <v>6852.6203076923057</v>
      </c>
      <c r="AC326">
        <f t="shared" si="204"/>
        <v>0.8479202350714804</v>
      </c>
      <c r="AD326">
        <f t="shared" si="205"/>
        <v>0.84728804020436277</v>
      </c>
      <c r="AE326" s="10" t="str">
        <f t="shared" si="206"/>
        <v>UP</v>
      </c>
      <c r="AF326" s="10" t="str">
        <f t="shared" si="207"/>
        <v>UP</v>
      </c>
      <c r="AG326" s="6" t="str">
        <f t="shared" si="208"/>
        <v>POSITIVE</v>
      </c>
      <c r="AH326" cm="1">
        <f t="array" ref="AH326">IFERROR(VALUE(_xll.BDP($B326,"INTERVAL_MAE_MOV_AVG","CALC_INTERVAL","65W","PERIODICITY_OVERRIDE","W","TECH_STUDIES_PARAM1_OVERRIDE",39,"USE_PREVIOUS_BUSINESS_DAY","N")),"")</f>
        <v>5568.0623076923084</v>
      </c>
      <c r="AI326">
        <f t="shared" si="191"/>
        <v>6560.7735897435905</v>
      </c>
      <c r="AJ326" cm="1">
        <f t="array" ref="AJ326">IFERROR(VALUE(_xll.BDP($B326,"INTERVAL_MAE_MOV_AVG","CALC_INTERVAL","65W","PERIODICITY_OVERRIDE","W","TECH_STUDIES_PARAM1_OVERRIDE",39,"USE_PREVIOUS_BUSINESS_DAY","Y")),"")</f>
        <v>5568.3551282051285</v>
      </c>
      <c r="AK326">
        <f t="shared" si="192"/>
        <v>6560.7823076923087</v>
      </c>
      <c r="AL326">
        <f t="shared" si="209"/>
        <v>0.84868990394620836</v>
      </c>
      <c r="AM326">
        <f t="shared" si="210"/>
        <v>0.84873340816024467</v>
      </c>
      <c r="AN326" s="10" t="str">
        <f t="shared" si="211"/>
        <v>DOWN</v>
      </c>
      <c r="AO326" s="10" t="str">
        <f t="shared" si="212"/>
        <v>DOWN</v>
      </c>
      <c r="AP326" s="6" t="str">
        <f t="shared" si="213"/>
        <v>POSITIVE</v>
      </c>
      <c r="AQ326" cm="1">
        <f t="array" ref="AQ326">IFERROR(VALUE(_xll.BDP($B326,"INTERVAL_exp_MOV_AVG","CALC_INTERVAL","520D","TECH_STUDIES_PARAM1_OVERRIDE",100,"USE_PREVIOUS_BUSINESS_DAY","N")),"")</f>
        <v>5758.3808408243303</v>
      </c>
      <c r="AR326">
        <f t="shared" si="193"/>
        <v>6773.0064518682802</v>
      </c>
      <c r="AS326" cm="1">
        <f t="array" ref="AS326">IFERROR(VALUE(_xll.BDP($B326,"INTERVAL_exp_MOV_AVG","CALC_INTERVAL","520D","TECH_STUDIES_PARAM1_OVERRIDE",100,"USE_PREVIOUS_BUSINESS_DAY","Y")),"")</f>
        <v>5752.7799498473514</v>
      </c>
      <c r="AT326">
        <f t="shared" si="194"/>
        <v>6769.6039787132295</v>
      </c>
      <c r="AU326">
        <f t="shared" si="214"/>
        <v>0.85019568219013386</v>
      </c>
      <c r="AV326">
        <f t="shared" si="215"/>
        <v>0.84979564062192647</v>
      </c>
      <c r="AW326" s="11" t="str">
        <f t="shared" si="216"/>
        <v>UP</v>
      </c>
      <c r="AX326" s="11" t="str">
        <f t="shared" si="217"/>
        <v>UP</v>
      </c>
      <c r="AY326" s="6" t="str">
        <f t="shared" si="218"/>
        <v>POSITIVE</v>
      </c>
      <c r="AZ326" s="12" cm="1">
        <f t="array" ref="AZ326">_xll.BDP($B326, "INTERVAL_RSI", "TECH_STUDIES_PARAM1_OVERRIDE", "5", "PERIODICITY_OVERRIDE", "W")</f>
        <v>75.955943590363404</v>
      </c>
      <c r="BA326" cm="1">
        <f t="array" ref="BA326">IFERROR(VALUE(_xll.BDP($B326,"INTERVAL_MAE_MOV_AVG","CALC_INTERVAL","520D","TECH_STUDIES_PARAM1_OVERRIDE",31,"USE_PREVIOUS_BUSINESS_DAY","N")),"")</f>
        <v>5955.1696774193551</v>
      </c>
      <c r="BB326" cm="1">
        <f t="array" ref="BB326">IFERROR(VALUE(_xll.BDP($B326,"INTERVAL_MAE_MOV_AVG","CALC_INTERVAL","760D","TECH_STUDIES_PARAM1_OVERRIDE",200,"USE_PREVIOUS_BUSINESS_DAY","N")),"")</f>
        <v>5549.9150999999974</v>
      </c>
      <c r="BC326" s="13">
        <f t="shared" si="219"/>
        <v>1.3512683422904015E-2</v>
      </c>
      <c r="BD326" s="13">
        <f t="shared" si="220"/>
        <v>2.8666044612682962E-2</v>
      </c>
      <c r="BE326" s="13">
        <f t="shared" si="221"/>
        <v>8.7519338809345593E-2</v>
      </c>
      <c r="BF326" s="14" cm="1">
        <f t="array" ref="BF326">VALUE(_xll.BDP($B326,"INTERVAL_DATE_OF_CALC_HI","CALC_INTERVAL","3M"))</f>
        <v>46062</v>
      </c>
      <c r="BG326" s="14" cm="1">
        <f t="array" ref="BG326">VALUE(_xll.BDP($B326,"INTERVAL_DATE_OF_CALC_LO","CALC_INTERVAL","3M"))</f>
        <v>45982</v>
      </c>
      <c r="BH326" s="14" cm="1">
        <f t="array" ref="BH326">VALUE(_xll.BDP($B326,"INTERVAL_DATE_OF_CALC_HI","CALC_INTERVAL","1M"))</f>
        <v>46062</v>
      </c>
      <c r="BI326" s="14" cm="1">
        <f t="array" ref="BI326">VALUE(_xll.BDP($B326,"INTERVAL_DATE_OF_CALC_LO","CALC_INTERVAL","1M"))</f>
        <v>46043</v>
      </c>
      <c r="BJ326" s="15">
        <f>$F326-MIN(_xll.BDP("NYA Index","RSI_14D"),_xll.BDP("RSP US Equity","RSI_14D"))</f>
        <v>-7.1144950687145396</v>
      </c>
    </row>
    <row r="327" spans="1:62" x14ac:dyDescent="0.25">
      <c r="A327" s="11">
        <v>326</v>
      </c>
      <c r="B327" s="26" t="s">
        <v>778</v>
      </c>
      <c r="C327" s="1" t="s">
        <v>983</v>
      </c>
      <c r="D327" s="1" t="s">
        <v>307</v>
      </c>
      <c r="E327" s="11" t="s">
        <v>789</v>
      </c>
      <c r="F327">
        <f>IFERROR(VALUE((_xll.BDP($B327,"interval_rsi","tech_studies_param1_override",14))),"")</f>
        <v>66.239997492809962</v>
      </c>
      <c r="G327">
        <f t="shared" si="184"/>
        <v>52.525531939815814</v>
      </c>
      <c r="H327">
        <f t="shared" si="195"/>
        <v>1</v>
      </c>
      <c r="I327" cm="1">
        <f t="array" ref="I327">IFERROR(VALUE(_xll.BDP($B327,"px_last")),"")</f>
        <v>621.58000000000004</v>
      </c>
      <c r="J327">
        <f t="shared" si="185"/>
        <v>6941.47</v>
      </c>
      <c r="K327" cm="1">
        <f t="array" ref="K327">IFERROR(VALUE(_xll.BDP($B327,"PX_YEST_CLOSE")),"")</f>
        <v>620.97</v>
      </c>
      <c r="L327">
        <f t="shared" si="186"/>
        <v>6941.81</v>
      </c>
      <c r="M327">
        <f t="shared" si="196"/>
        <v>8.9545874288875407E-2</v>
      </c>
      <c r="N327">
        <f t="shared" si="197"/>
        <v>8.9453615123433222E-2</v>
      </c>
      <c r="O327" cm="1">
        <f t="array" ref="O327">IFERROR(VALUE(_xll.BDP($B327,"INTERVAL_MAE_MOV_AVG","CALC_INTERVAL","520D","TECH_STUDIES_PARAM1_OVERRIDE",50,"USE_PREVIOUS_BUSINESS_DAY","N")),"")</f>
        <v>598.81460000000004</v>
      </c>
      <c r="P327">
        <f t="shared" si="187"/>
        <v>6894.0953999999992</v>
      </c>
      <c r="Q327" cm="1">
        <f t="array" ref="Q327">IFERROR(VALUE(_xll.BDP($B327,"INTERVAL_MAE_MOV_AVG","CALC_INTERVAL","520D","TECH_STUDIES_PARAM1_OVERRIDE",50,"USE_PREVIOUS_BUSINESS_DAY","Y")),"")</f>
        <v>597.91160000000002</v>
      </c>
      <c r="R327">
        <f t="shared" si="188"/>
        <v>6892.2477999999992</v>
      </c>
      <c r="S327">
        <f t="shared" si="198"/>
        <v>8.6859053328446845E-2</v>
      </c>
      <c r="T327">
        <f t="shared" si="199"/>
        <v>8.6751320810026608E-2</v>
      </c>
      <c r="U327" s="11" t="str">
        <f t="shared" si="200"/>
        <v>POSITIVE</v>
      </c>
      <c r="V327" s="11" t="str">
        <f t="shared" si="201"/>
        <v/>
      </c>
      <c r="W327" s="11" t="str">
        <f t="shared" si="202"/>
        <v>UP</v>
      </c>
      <c r="X327" s="6" t="str">
        <f t="shared" si="203"/>
        <v>POSITIVE</v>
      </c>
      <c r="Y327" cm="1">
        <f t="array" ref="Y327">IFERROR(VALUE(_xll.BDP($B327,"INTERVAL_MAE_MOV_AVG","CALC_INTERVAL","520D","TECH_STUDIES_PARAM1_OVERRIDE",65,"USE_PREVIOUS_BUSINESS_DAY","N")),"")</f>
        <v>592.48015384615371</v>
      </c>
      <c r="Z327">
        <f t="shared" si="189"/>
        <v>6856.0226153846133</v>
      </c>
      <c r="AA327" cm="1">
        <f t="array" ref="AA327">IFERROR(VALUE(_xll.BDP($B327,"INTERVAL_MAE_MOV_AVG","CALC_INTERVAL","520D","TECH_STUDIES_PARAM1_OVERRIDE",65,"USE_PREVIOUS_BUSINESS_DAY","Y")),"")</f>
        <v>591.60646153846153</v>
      </c>
      <c r="AB327">
        <f t="shared" si="190"/>
        <v>6852.6203076923057</v>
      </c>
      <c r="AC327">
        <f t="shared" si="204"/>
        <v>8.6417473670033454E-2</v>
      </c>
      <c r="AD327">
        <f t="shared" si="205"/>
        <v>8.6332882163974944E-2</v>
      </c>
      <c r="AE327" s="10" t="str">
        <f t="shared" si="206"/>
        <v>UP</v>
      </c>
      <c r="AF327" s="10" t="str">
        <f t="shared" si="207"/>
        <v>UP</v>
      </c>
      <c r="AG327" s="6" t="str">
        <f t="shared" si="208"/>
        <v>POSITIVE</v>
      </c>
      <c r="AH327" cm="1">
        <f t="array" ref="AH327">IFERROR(VALUE(_xll.BDP($B327,"INTERVAL_MAE_MOV_AVG","CALC_INTERVAL","65W","PERIODICITY_OVERRIDE","W","TECH_STUDIES_PARAM1_OVERRIDE",39,"USE_PREVIOUS_BUSINESS_DAY","N")),"")</f>
        <v>568.11769230769232</v>
      </c>
      <c r="AI327">
        <f t="shared" si="191"/>
        <v>6560.7735897435905</v>
      </c>
      <c r="AJ327" cm="1">
        <f t="array" ref="AJ327">IFERROR(VALUE(_xll.BDP($B327,"INTERVAL_MAE_MOV_AVG","CALC_INTERVAL","65W","PERIODICITY_OVERRIDE","W","TECH_STUDIES_PARAM1_OVERRIDE",39,"USE_PREVIOUS_BUSINESS_DAY","Y")),"")</f>
        <v>568.10205128205121</v>
      </c>
      <c r="AK327">
        <f t="shared" si="192"/>
        <v>6560.7823076923087</v>
      </c>
      <c r="AL327">
        <f t="shared" si="209"/>
        <v>8.6593095240449475E-2</v>
      </c>
      <c r="AM327">
        <f t="shared" si="210"/>
        <v>8.659059615740787E-2</v>
      </c>
      <c r="AN327" s="10" t="str">
        <f t="shared" si="211"/>
        <v>UP</v>
      </c>
      <c r="AO327" s="10" t="str">
        <f t="shared" si="212"/>
        <v>UP</v>
      </c>
      <c r="AP327" s="6" t="str">
        <f t="shared" si="213"/>
        <v>POSITIVE</v>
      </c>
      <c r="AQ327" cm="1">
        <f t="array" ref="AQ327">IFERROR(VALUE(_xll.BDP($B327,"INTERVAL_exp_MOV_AVG","CALC_INTERVAL","520D","TECH_STUDIES_PARAM1_OVERRIDE",100,"USE_PREVIOUS_BUSINESS_DAY","N")),"")</f>
        <v>587.43967918909516</v>
      </c>
      <c r="AR327">
        <f t="shared" si="193"/>
        <v>6773.0064518682802</v>
      </c>
      <c r="AS327" cm="1">
        <f t="array" ref="AS327">IFERROR(VALUE(_xll.BDP($B327,"INTERVAL_exp_MOV_AVG","CALC_INTERVAL","520D","TECH_STUDIES_PARAM1_OVERRIDE",100,"USE_PREVIOUS_BUSINESS_DAY","Y")),"")</f>
        <v>586.7500319144691</v>
      </c>
      <c r="AT327">
        <f t="shared" si="194"/>
        <v>6769.6039787132295</v>
      </c>
      <c r="AU327">
        <f t="shared" si="214"/>
        <v>8.6732484807696381E-2</v>
      </c>
      <c r="AV327">
        <f t="shared" si="215"/>
        <v>8.66742033595293E-2</v>
      </c>
      <c r="AW327" s="11" t="str">
        <f t="shared" si="216"/>
        <v>UP</v>
      </c>
      <c r="AX327" s="11" t="str">
        <f t="shared" si="217"/>
        <v>UP</v>
      </c>
      <c r="AY327" s="6" t="str">
        <f t="shared" si="218"/>
        <v>POSITIVE</v>
      </c>
      <c r="AZ327" s="12" cm="1">
        <f t="array" ref="AZ327">_xll.BDP($B327, "INTERVAL_RSI", "TECH_STUDIES_PARAM1_OVERRIDE", "5", "PERIODICITY_OVERRIDE", "W")</f>
        <v>83.552102365640977</v>
      </c>
      <c r="BA327" cm="1">
        <f t="array" ref="BA327">IFERROR(VALUE(_xll.BDP($B327,"INTERVAL_MAE_MOV_AVG","CALC_INTERVAL","520D","TECH_STUDIES_PARAM1_OVERRIDE",31,"USE_PREVIOUS_BUSINESS_DAY","N")),"")</f>
        <v>609.47387096774173</v>
      </c>
      <c r="BB327" cm="1">
        <f t="array" ref="BB327">IFERROR(VALUE(_xll.BDP($B327,"INTERVAL_MAE_MOV_AVG","CALC_INTERVAL","760D","TECH_STUDIES_PARAM1_OVERRIDE",200,"USE_PREVIOUS_BUSINESS_DAY","N")),"")</f>
        <v>565.70110000000011</v>
      </c>
      <c r="BC327" s="13">
        <f t="shared" si="219"/>
        <v>1.9863245348050507E-2</v>
      </c>
      <c r="BD327" s="13">
        <f t="shared" si="220"/>
        <v>3.8017443128474104E-2</v>
      </c>
      <c r="BE327" s="13">
        <f t="shared" si="221"/>
        <v>9.8778135662101363E-2</v>
      </c>
      <c r="BF327" s="14" cm="1">
        <f t="array" ref="BF327">VALUE(_xll.BDP($B327,"INTERVAL_DATE_OF_CALC_HI","CALC_INTERVAL","3M"))</f>
        <v>46064</v>
      </c>
      <c r="BG327" s="14" cm="1">
        <f t="array" ref="BG327">VALUE(_xll.BDP($B327,"INTERVAL_DATE_OF_CALC_LO","CALC_INTERVAL","3M"))</f>
        <v>45980</v>
      </c>
      <c r="BH327" s="14" cm="1">
        <f t="array" ref="BH327">VALUE(_xll.BDP($B327,"INTERVAL_DATE_OF_CALC_HI","CALC_INTERVAL","1M"))</f>
        <v>46064</v>
      </c>
      <c r="BI327" s="14" cm="1">
        <f t="array" ref="BI327">VALUE(_xll.BDP($B327,"INTERVAL_DATE_OF_CALC_LO","CALC_INTERVAL","1M"))</f>
        <v>46043</v>
      </c>
      <c r="BJ327" s="15">
        <f>$F327-MIN(_xll.BDP("NYA Index","RSI_14D"),_xll.BDP("RSP US Equity","RSI_14D"))</f>
        <v>-0.10576666734628759</v>
      </c>
    </row>
    <row r="328" spans="1:62" x14ac:dyDescent="0.25">
      <c r="A328" s="11">
        <v>327</v>
      </c>
      <c r="B328" s="26" t="s">
        <v>779</v>
      </c>
      <c r="C328" s="1" t="s">
        <v>780</v>
      </c>
      <c r="D328" s="1" t="s">
        <v>307</v>
      </c>
      <c r="E328" s="11" t="s">
        <v>789</v>
      </c>
      <c r="F328">
        <f>IFERROR(VALUE((_xll.BDP($B328,"interval_rsi","tech_studies_param1_override",14))),"")</f>
        <v>72.905710287533097</v>
      </c>
      <c r="G328">
        <f t="shared" si="184"/>
        <v>52.525531939815814</v>
      </c>
      <c r="H328">
        <f t="shared" si="195"/>
        <v>1</v>
      </c>
      <c r="I328" cm="1">
        <f t="array" ref="I328">IFERROR(VALUE(_xll.BDP($B328,"px_last")),"")</f>
        <v>19825.66</v>
      </c>
      <c r="J328">
        <f t="shared" si="185"/>
        <v>6941.47</v>
      </c>
      <c r="K328" cm="1">
        <f t="array" ref="K328">IFERROR(VALUE(_xll.BDP($B328,"PX_YEST_CLOSE")),"")</f>
        <v>19817.21</v>
      </c>
      <c r="L328">
        <f t="shared" si="186"/>
        <v>6941.81</v>
      </c>
      <c r="M328">
        <f t="shared" si="196"/>
        <v>2.8561183726213613</v>
      </c>
      <c r="N328">
        <f t="shared" si="197"/>
        <v>2.85476122221726</v>
      </c>
      <c r="O328" cm="1">
        <f t="array" ref="O328">IFERROR(VALUE(_xll.BDP($B328,"INTERVAL_MAE_MOV_AVG","CALC_INTERVAL","520D","TECH_STUDIES_PARAM1_OVERRIDE",50,"USE_PREVIOUS_BUSINESS_DAY","N")),"")</f>
        <v>18018.025599999997</v>
      </c>
      <c r="P328">
        <f t="shared" si="187"/>
        <v>6894.0953999999992</v>
      </c>
      <c r="Q328" cm="1">
        <f t="array" ref="Q328">IFERROR(VALUE(_xll.BDP($B328,"INTERVAL_MAE_MOV_AVG","CALC_INTERVAL","520D","TECH_STUDIES_PARAM1_OVERRIDE",50,"USE_PREVIOUS_BUSINESS_DAY","Y")),"")</f>
        <v>17953.228599999999</v>
      </c>
      <c r="R328">
        <f t="shared" si="188"/>
        <v>6892.2477999999992</v>
      </c>
      <c r="S328">
        <f t="shared" si="198"/>
        <v>2.6135445703289801</v>
      </c>
      <c r="T328">
        <f t="shared" si="199"/>
        <v>2.6048437492337406</v>
      </c>
      <c r="U328" s="11" t="str">
        <f t="shared" si="200"/>
        <v>POSITIVE</v>
      </c>
      <c r="V328" s="11" t="str">
        <f t="shared" si="201"/>
        <v/>
      </c>
      <c r="W328" s="11" t="str">
        <f t="shared" si="202"/>
        <v>UP</v>
      </c>
      <c r="X328" s="6" t="str">
        <f t="shared" si="203"/>
        <v>POSITIVE</v>
      </c>
      <c r="Y328" cm="1">
        <f t="array" ref="Y328">IFERROR(VALUE(_xll.BDP($B328,"INTERVAL_MAE_MOV_AVG","CALC_INTERVAL","520D","TECH_STUDIES_PARAM1_OVERRIDE",65,"USE_PREVIOUS_BUSINESS_DAY","N")),"")</f>
        <v>17577.462307692305</v>
      </c>
      <c r="Z328">
        <f t="shared" si="189"/>
        <v>6856.0226153846133</v>
      </c>
      <c r="AA328" cm="1">
        <f t="array" ref="AA328">IFERROR(VALUE(_xll.BDP($B328,"INTERVAL_MAE_MOV_AVG","CALC_INTERVAL","520D","TECH_STUDIES_PARAM1_OVERRIDE",65,"USE_PREVIOUS_BUSINESS_DAY","Y")),"")</f>
        <v>17517.938615384621</v>
      </c>
      <c r="AB328">
        <f t="shared" si="190"/>
        <v>6852.6203076923057</v>
      </c>
      <c r="AC328">
        <f t="shared" si="204"/>
        <v>2.563798764060266</v>
      </c>
      <c r="AD328">
        <f t="shared" si="205"/>
        <v>2.5563854159145696</v>
      </c>
      <c r="AE328" s="10" t="str">
        <f t="shared" si="206"/>
        <v>UP</v>
      </c>
      <c r="AF328" s="10" t="str">
        <f t="shared" si="207"/>
        <v>UP</v>
      </c>
      <c r="AG328" s="6" t="str">
        <f t="shared" si="208"/>
        <v>POSITIVE</v>
      </c>
      <c r="AH328" cm="1">
        <f t="array" ref="AH328">IFERROR(VALUE(_xll.BDP($B328,"INTERVAL_MAE_MOV_AVG","CALC_INTERVAL","65W","PERIODICITY_OVERRIDE","W","TECH_STUDIES_PARAM1_OVERRIDE",39,"USE_PREVIOUS_BUSINESS_DAY","N")),"")</f>
        <v>16339.09564102564</v>
      </c>
      <c r="AI328">
        <f t="shared" si="191"/>
        <v>6560.7735897435905</v>
      </c>
      <c r="AJ328" cm="1">
        <f t="array" ref="AJ328">IFERROR(VALUE(_xll.BDP($B328,"INTERVAL_MAE_MOV_AVG","CALC_INTERVAL","65W","PERIODICITY_OVERRIDE","W","TECH_STUDIES_PARAM1_OVERRIDE",39,"USE_PREVIOUS_BUSINESS_DAY","Y")),"")</f>
        <v>16338.878974358975</v>
      </c>
      <c r="AK328">
        <f t="shared" si="192"/>
        <v>6560.7823076923087</v>
      </c>
      <c r="AL328">
        <f t="shared" si="209"/>
        <v>2.4904221152469628</v>
      </c>
      <c r="AM328">
        <f t="shared" si="210"/>
        <v>2.4903857814642256</v>
      </c>
      <c r="AN328" s="10" t="str">
        <f t="shared" si="211"/>
        <v>UP</v>
      </c>
      <c r="AO328" s="10" t="str">
        <f t="shared" si="212"/>
        <v>UP</v>
      </c>
      <c r="AP328" s="6" t="str">
        <f t="shared" si="213"/>
        <v>POSITIVE</v>
      </c>
      <c r="AQ328" cm="1">
        <f t="array" ref="AQ328">IFERROR(VALUE(_xll.BDP($B328,"INTERVAL_exp_MOV_AVG","CALC_INTERVAL","520D","TECH_STUDIES_PARAM1_OVERRIDE",100,"USE_PREVIOUS_BUSINESS_DAY","N")),"")</f>
        <v>17311.353844039488</v>
      </c>
      <c r="AR328">
        <f t="shared" si="193"/>
        <v>6773.0064518682802</v>
      </c>
      <c r="AS328" cm="1">
        <f t="array" ref="AS328">IFERROR(VALUE(_xll.BDP($B328,"INTERVAL_exp_MOV_AVG","CALC_INTERVAL","520D","TECH_STUDIES_PARAM1_OVERRIDE",100,"USE_PREVIOUS_BUSINESS_DAY","Y")),"")</f>
        <v>17260.5632110595</v>
      </c>
      <c r="AT328">
        <f t="shared" si="194"/>
        <v>6769.6039787132295</v>
      </c>
      <c r="AU328">
        <f t="shared" si="214"/>
        <v>2.5559334642689273</v>
      </c>
      <c r="AV328">
        <f t="shared" si="215"/>
        <v>2.5497153548914686</v>
      </c>
      <c r="AW328" s="11" t="str">
        <f t="shared" si="216"/>
        <v>UP</v>
      </c>
      <c r="AX328" s="11" t="str">
        <f t="shared" si="217"/>
        <v>UP</v>
      </c>
      <c r="AY328" s="6" t="str">
        <f t="shared" si="218"/>
        <v>POSITIVE</v>
      </c>
      <c r="AZ328" s="12" cm="1">
        <f t="array" ref="AZ328">_xll.BDP($B328, "INTERVAL_RSI", "TECH_STUDIES_PARAM1_OVERRIDE", "5", "PERIODICITY_OVERRIDE", "W")</f>
        <v>92.013305905666854</v>
      </c>
      <c r="BA328" cm="1">
        <f t="array" ref="BA328">IFERROR(VALUE(_xll.BDP($B328,"INTERVAL_MAE_MOV_AVG","CALC_INTERVAL","520D","TECH_STUDIES_PARAM1_OVERRIDE",31,"USE_PREVIOUS_BUSINESS_DAY","N")),"")</f>
        <v>18435.460645161282</v>
      </c>
      <c r="BB328" cm="1">
        <f t="array" ref="BB328">IFERROR(VALUE(_xll.BDP($B328,"INTERVAL_MAE_MOV_AVG","CALC_INTERVAL","760D","TECH_STUDIES_PARAM1_OVERRIDE",200,"USE_PREVIOUS_BUSINESS_DAY","N")),"")</f>
        <v>16102.702899999991</v>
      </c>
      <c r="BC328" s="13">
        <f t="shared" si="219"/>
        <v>7.5408983892333747E-2</v>
      </c>
      <c r="BD328" s="13">
        <f t="shared" si="220"/>
        <v>0.10032366698380102</v>
      </c>
      <c r="BE328" s="13">
        <f t="shared" si="221"/>
        <v>0.23120075698595977</v>
      </c>
      <c r="BF328" s="14" cm="1">
        <f t="array" ref="BF328">VALUE(_xll.BDP($B328,"INTERVAL_DATE_OF_CALC_HI","CALC_INTERVAL","3M"))</f>
        <v>46059</v>
      </c>
      <c r="BG328" s="14" cm="1">
        <f t="array" ref="BG328">VALUE(_xll.BDP($B328,"INTERVAL_DATE_OF_CALC_LO","CALC_INTERVAL","3M"))</f>
        <v>45981</v>
      </c>
      <c r="BH328" s="14" cm="1">
        <f t="array" ref="BH328">VALUE(_xll.BDP($B328,"INTERVAL_DATE_OF_CALC_HI","CALC_INTERVAL","1M"))</f>
        <v>46059</v>
      </c>
      <c r="BI328" s="14" cm="1">
        <f t="array" ref="BI328">VALUE(_xll.BDP($B328,"INTERVAL_DATE_OF_CALC_LO","CALC_INTERVAL","1M"))</f>
        <v>46042</v>
      </c>
      <c r="BJ328" s="15">
        <f>$F328-MIN(_xll.BDP("NYA Index","RSI_14D"),_xll.BDP("RSP US Equity","RSI_14D"))</f>
        <v>6.5599461273768469</v>
      </c>
    </row>
    <row r="329" spans="1:62" x14ac:dyDescent="0.25">
      <c r="A329" s="11">
        <v>328</v>
      </c>
      <c r="B329" s="26" t="s">
        <v>781</v>
      </c>
      <c r="C329" s="1" t="s">
        <v>782</v>
      </c>
      <c r="D329" s="1" t="s">
        <v>307</v>
      </c>
      <c r="E329" s="11" t="s">
        <v>789</v>
      </c>
      <c r="F329">
        <f>IFERROR(VALUE((_xll.BDP($B329,"interval_rsi","tech_studies_param1_override",14))),"")</f>
        <v>71.980410352345586</v>
      </c>
      <c r="G329">
        <f t="shared" si="184"/>
        <v>52.525531939815814</v>
      </c>
      <c r="H329">
        <f t="shared" si="195"/>
        <v>1</v>
      </c>
      <c r="I329" cm="1">
        <f t="array" ref="I329">IFERROR(VALUE(_xll.BDP($B329,"px_last")),"")</f>
        <v>33605.71</v>
      </c>
      <c r="J329">
        <f t="shared" si="185"/>
        <v>6941.47</v>
      </c>
      <c r="K329" cm="1">
        <f t="array" ref="K329">IFERROR(VALUE(_xll.BDP($B329,"PX_YEST_CLOSE")),"")</f>
        <v>33072.97</v>
      </c>
      <c r="L329">
        <f t="shared" si="186"/>
        <v>6941.81</v>
      </c>
      <c r="M329">
        <f t="shared" si="196"/>
        <v>4.8412958638444019</v>
      </c>
      <c r="N329">
        <f t="shared" si="197"/>
        <v>4.7643150705651696</v>
      </c>
      <c r="O329" cm="1">
        <f t="array" ref="O329">IFERROR(VALUE(_xll.BDP($B329,"INTERVAL_MAE_MOV_AVG","CALC_INTERVAL","520D","TECH_STUDIES_PARAM1_OVERRIDE",50,"USE_PREVIOUS_BUSINESS_DAY","N")),"")</f>
        <v>30093.501600000003</v>
      </c>
      <c r="P329">
        <f t="shared" si="187"/>
        <v>6894.0953999999992</v>
      </c>
      <c r="Q329" cm="1">
        <f t="array" ref="Q329">IFERROR(VALUE(_xll.BDP($B329,"INTERVAL_MAE_MOV_AVG","CALC_INTERVAL","520D","TECH_STUDIES_PARAM1_OVERRIDE",50,"USE_PREVIOUS_BUSINESS_DAY","Y")),"")</f>
        <v>29968.237999999998</v>
      </c>
      <c r="R329">
        <f t="shared" si="188"/>
        <v>6892.2477999999992</v>
      </c>
      <c r="S329">
        <f t="shared" si="198"/>
        <v>4.3651124410027755</v>
      </c>
      <c r="T329">
        <f t="shared" si="199"/>
        <v>4.3481080294298184</v>
      </c>
      <c r="U329" s="11" t="str">
        <f t="shared" si="200"/>
        <v>POSITIVE</v>
      </c>
      <c r="V329" s="11" t="str">
        <f t="shared" si="201"/>
        <v/>
      </c>
      <c r="W329" s="11" t="str">
        <f t="shared" si="202"/>
        <v>UP</v>
      </c>
      <c r="X329" s="6" t="str">
        <f t="shared" si="203"/>
        <v>POSITIVE</v>
      </c>
      <c r="Y329" cm="1">
        <f t="array" ref="Y329">IFERROR(VALUE(_xll.BDP($B329,"INTERVAL_MAE_MOV_AVG","CALC_INTERVAL","520D","TECH_STUDIES_PARAM1_OVERRIDE",65,"USE_PREVIOUS_BUSINESS_DAY","N")),"")</f>
        <v>29441.577230769239</v>
      </c>
      <c r="Z329">
        <f t="shared" si="189"/>
        <v>6856.0226153846133</v>
      </c>
      <c r="AA329" cm="1">
        <f t="array" ref="AA329">IFERROR(VALUE(_xll.BDP($B329,"INTERVAL_MAE_MOV_AVG","CALC_INTERVAL","520D","TECH_STUDIES_PARAM1_OVERRIDE",65,"USE_PREVIOUS_BUSINESS_DAY","Y")),"")</f>
        <v>29353.328000000005</v>
      </c>
      <c r="AB329">
        <f t="shared" si="190"/>
        <v>6852.6203076923057</v>
      </c>
      <c r="AC329">
        <f t="shared" si="204"/>
        <v>4.2942648941535921</v>
      </c>
      <c r="AD329">
        <f t="shared" si="205"/>
        <v>4.2835188120739547</v>
      </c>
      <c r="AE329" s="10" t="str">
        <f t="shared" si="206"/>
        <v>UP</v>
      </c>
      <c r="AF329" s="10" t="str">
        <f t="shared" si="207"/>
        <v>UP</v>
      </c>
      <c r="AG329" s="6" t="str">
        <f t="shared" si="208"/>
        <v>POSITIVE</v>
      </c>
      <c r="AH329" cm="1">
        <f t="array" ref="AH329">IFERROR(VALUE(_xll.BDP($B329,"INTERVAL_MAE_MOV_AVG","CALC_INTERVAL","65W","PERIODICITY_OVERRIDE","W","TECH_STUDIES_PARAM1_OVERRIDE",39,"USE_PREVIOUS_BUSINESS_DAY","N")),"")</f>
        <v>26242.424102564099</v>
      </c>
      <c r="AI329">
        <f t="shared" si="191"/>
        <v>6560.7735897435905</v>
      </c>
      <c r="AJ329" cm="1">
        <f t="array" ref="AJ329">IFERROR(VALUE(_xll.BDP($B329,"INTERVAL_MAE_MOV_AVG","CALC_INTERVAL","65W","PERIODICITY_OVERRIDE","W","TECH_STUDIES_PARAM1_OVERRIDE",39,"USE_PREVIOUS_BUSINESS_DAY","Y")),"")</f>
        <v>26228.764102564099</v>
      </c>
      <c r="AK329">
        <f t="shared" si="192"/>
        <v>6560.7823076923087</v>
      </c>
      <c r="AL329">
        <f t="shared" si="209"/>
        <v>3.9998978388141131</v>
      </c>
      <c r="AM329">
        <f t="shared" si="210"/>
        <v>3.9978104549836546</v>
      </c>
      <c r="AN329" s="10" t="str">
        <f t="shared" si="211"/>
        <v>UP</v>
      </c>
      <c r="AO329" s="10" t="str">
        <f t="shared" si="212"/>
        <v>UP</v>
      </c>
      <c r="AP329" s="6" t="str">
        <f t="shared" si="213"/>
        <v>POSITIVE</v>
      </c>
      <c r="AQ329" cm="1">
        <f t="array" ref="AQ329">IFERROR(VALUE(_xll.BDP($B329,"INTERVAL_exp_MOV_AVG","CALC_INTERVAL","520D","TECH_STUDIES_PARAM1_OVERRIDE",100,"USE_PREVIOUS_BUSINESS_DAY","N")),"")</f>
        <v>28828.704777346396</v>
      </c>
      <c r="AR329">
        <f t="shared" si="193"/>
        <v>6773.0064518682802</v>
      </c>
      <c r="AS329" cm="1">
        <f t="array" ref="AS329">IFERROR(VALUE(_xll.BDP($B329,"INTERVAL_exp_MOV_AVG","CALC_INTERVAL","520D","TECH_STUDIES_PARAM1_OVERRIDE",100,"USE_PREVIOUS_BUSINESS_DAY","Y")),"")</f>
        <v>28732.197979811706</v>
      </c>
      <c r="AT329">
        <f t="shared" si="194"/>
        <v>6769.6039787132295</v>
      </c>
      <c r="AU329">
        <f t="shared" si="214"/>
        <v>4.2564118286635066</v>
      </c>
      <c r="AV329">
        <f t="shared" si="215"/>
        <v>4.2442952453583764</v>
      </c>
      <c r="AW329" s="11" t="str">
        <f t="shared" si="216"/>
        <v>UP</v>
      </c>
      <c r="AX329" s="11" t="str">
        <f t="shared" si="217"/>
        <v>UP</v>
      </c>
      <c r="AY329" s="6" t="str">
        <f t="shared" si="218"/>
        <v>POSITIVE</v>
      </c>
      <c r="AZ329" s="12" cm="1">
        <f t="array" ref="AZ329">_xll.BDP($B329, "INTERVAL_RSI", "TECH_STUDIES_PARAM1_OVERRIDE", "5", "PERIODICITY_OVERRIDE", "W")</f>
        <v>89.539551745432163</v>
      </c>
      <c r="BA329" cm="1">
        <f t="array" ref="BA329">IFERROR(VALUE(_xll.BDP($B329,"INTERVAL_MAE_MOV_AVG","CALC_INTERVAL","520D","TECH_STUDIES_PARAM1_OVERRIDE",31,"USE_PREVIOUS_BUSINESS_DAY","N")),"")</f>
        <v>31359.310967741938</v>
      </c>
      <c r="BB329" cm="1">
        <f t="array" ref="BB329">IFERROR(VALUE(_xll.BDP($B329,"INTERVAL_MAE_MOV_AVG","CALC_INTERVAL","760D","TECH_STUDIES_PARAM1_OVERRIDE",200,"USE_PREVIOUS_BUSINESS_DAY","N")),"")</f>
        <v>25701.457150000009</v>
      </c>
      <c r="BC329" s="13">
        <f t="shared" si="219"/>
        <v>7.1634196126593608E-2</v>
      </c>
      <c r="BD329" s="13">
        <f t="shared" si="220"/>
        <v>0.11670986137419104</v>
      </c>
      <c r="BE329" s="13">
        <f t="shared" si="221"/>
        <v>0.30754103955541634</v>
      </c>
      <c r="BF329" s="14" cm="1">
        <f t="array" ref="BF329">VALUE(_xll.BDP($B329,"INTERVAL_DATE_OF_CALC_HI","CALC_INTERVAL","3M"))</f>
        <v>46064</v>
      </c>
      <c r="BG329" s="14" cm="1">
        <f t="array" ref="BG329">VALUE(_xll.BDP($B329,"INTERVAL_DATE_OF_CALC_LO","CALC_INTERVAL","3M"))</f>
        <v>45982</v>
      </c>
      <c r="BH329" s="14" cm="1">
        <f t="array" ref="BH329">VALUE(_xll.BDP($B329,"INTERVAL_DATE_OF_CALC_HI","CALC_INTERVAL","1M"))</f>
        <v>46064</v>
      </c>
      <c r="BI329" s="14" cm="1">
        <f t="array" ref="BI329">VALUE(_xll.BDP($B329,"INTERVAL_DATE_OF_CALC_LO","CALC_INTERVAL","1M"))</f>
        <v>46034</v>
      </c>
      <c r="BJ329" s="15">
        <f>$F329-MIN(_xll.BDP("NYA Index","RSI_14D"),_xll.BDP("RSP US Equity","RSI_14D"))</f>
        <v>5.6346461921893365</v>
      </c>
    </row>
    <row r="330" spans="1:62" x14ac:dyDescent="0.25">
      <c r="A330" s="11">
        <v>329</v>
      </c>
      <c r="B330" s="26" t="s">
        <v>783</v>
      </c>
      <c r="C330" s="1" t="s">
        <v>784</v>
      </c>
      <c r="D330" s="1" t="s">
        <v>307</v>
      </c>
      <c r="E330" s="11" t="s">
        <v>789</v>
      </c>
      <c r="F330">
        <f>IFERROR(VALUE((_xll.BDP($B330,"interval_rsi","tech_studies_param1_override",14))),"")</f>
        <v>69.959217209760979</v>
      </c>
      <c r="G330">
        <f t="shared" si="184"/>
        <v>52.525531939815814</v>
      </c>
      <c r="H330">
        <f t="shared" si="195"/>
        <v>1</v>
      </c>
      <c r="I330" cm="1">
        <f t="array" ref="I330">IFERROR(VALUE(_xll.BDP($B330,"px_last")),"")</f>
        <v>10472.11</v>
      </c>
      <c r="J330">
        <f t="shared" si="185"/>
        <v>6941.47</v>
      </c>
      <c r="K330" cm="1">
        <f t="array" ref="K330">IFERROR(VALUE(_xll.BDP($B330,"PX_YEST_CLOSE")),"")</f>
        <v>10353.84</v>
      </c>
      <c r="L330">
        <f t="shared" si="186"/>
        <v>6941.81</v>
      </c>
      <c r="M330">
        <f t="shared" si="196"/>
        <v>1.5086300164086281</v>
      </c>
      <c r="N330">
        <f t="shared" si="197"/>
        <v>1.491518782565354</v>
      </c>
      <c r="O330" cm="1">
        <f t="array" ref="O330">IFERROR(VALUE(_xll.BDP($B330,"INTERVAL_MAE_MOV_AVG","CALC_INTERVAL","520D","TECH_STUDIES_PARAM1_OVERRIDE",50,"USE_PREVIOUS_BUSINESS_DAY","N")),"")</f>
        <v>10018.430000000002</v>
      </c>
      <c r="P330">
        <f t="shared" si="187"/>
        <v>6894.0953999999992</v>
      </c>
      <c r="Q330" cm="1">
        <f t="array" ref="Q330">IFERROR(VALUE(_xll.BDP($B330,"INTERVAL_MAE_MOV_AVG","CALC_INTERVAL","520D","TECH_STUDIES_PARAM1_OVERRIDE",50,"USE_PREVIOUS_BUSINESS_DAY","Y")),"")</f>
        <v>10003.398000000003</v>
      </c>
      <c r="R330">
        <f t="shared" si="188"/>
        <v>6892.2477999999992</v>
      </c>
      <c r="S330">
        <f t="shared" si="198"/>
        <v>1.4531899282971923</v>
      </c>
      <c r="T330">
        <f t="shared" si="199"/>
        <v>1.451398482799763</v>
      </c>
      <c r="U330" s="11" t="str">
        <f t="shared" si="200"/>
        <v>POSITIVE</v>
      </c>
      <c r="V330" s="11" t="str">
        <f t="shared" si="201"/>
        <v/>
      </c>
      <c r="W330" s="11" t="str">
        <f t="shared" si="202"/>
        <v>UP</v>
      </c>
      <c r="X330" s="6" t="str">
        <f t="shared" si="203"/>
        <v>POSITIVE</v>
      </c>
      <c r="Y330" cm="1">
        <f t="array" ref="Y330">IFERROR(VALUE(_xll.BDP($B330,"INTERVAL_MAE_MOV_AVG","CALC_INTERVAL","520D","TECH_STUDIES_PARAM1_OVERRIDE",65,"USE_PREVIOUS_BUSINESS_DAY","N")),"")</f>
        <v>9939.6720000000059</v>
      </c>
      <c r="Z330">
        <f t="shared" si="189"/>
        <v>6856.0226153846133</v>
      </c>
      <c r="AA330" cm="1">
        <f t="array" ref="AA330">IFERROR(VALUE(_xll.BDP($B330,"INTERVAL_MAE_MOV_AVG","CALC_INTERVAL","520D","TECH_STUDIES_PARAM1_OVERRIDE",65,"USE_PREVIOUS_BUSINESS_DAY","Y")),"")</f>
        <v>9927.5252307692372</v>
      </c>
      <c r="AB330">
        <f t="shared" si="190"/>
        <v>6852.6203076923057</v>
      </c>
      <c r="AC330">
        <f t="shared" si="204"/>
        <v>1.4497723472638231</v>
      </c>
      <c r="AD330">
        <f t="shared" si="205"/>
        <v>1.4487195824384496</v>
      </c>
      <c r="AE330" s="10" t="str">
        <f t="shared" si="206"/>
        <v>UP</v>
      </c>
      <c r="AF330" s="10" t="str">
        <f t="shared" si="207"/>
        <v>UP</v>
      </c>
      <c r="AG330" s="6" t="str">
        <f t="shared" si="208"/>
        <v>POSITIVE</v>
      </c>
      <c r="AH330" cm="1">
        <f t="array" ref="AH330">IFERROR(VALUE(_xll.BDP($B330,"INTERVAL_MAE_MOV_AVG","CALC_INTERVAL","65W","PERIODICITY_OVERRIDE","W","TECH_STUDIES_PARAM1_OVERRIDE",39,"USE_PREVIOUS_BUSINESS_DAY","N")),"")</f>
        <v>9443.9792307692278</v>
      </c>
      <c r="AI330">
        <f t="shared" si="191"/>
        <v>6560.7735897435905</v>
      </c>
      <c r="AJ330" cm="1">
        <f t="array" ref="AJ330">IFERROR(VALUE(_xll.BDP($B330,"INTERVAL_MAE_MOV_AVG","CALC_INTERVAL","65W","PERIODICITY_OVERRIDE","W","TECH_STUDIES_PARAM1_OVERRIDE",39,"USE_PREVIOUS_BUSINESS_DAY","Y")),"")</f>
        <v>9440.9466666666649</v>
      </c>
      <c r="AK330">
        <f t="shared" si="192"/>
        <v>6560.7823076923087</v>
      </c>
      <c r="AL330">
        <f t="shared" si="209"/>
        <v>1.439461231451872</v>
      </c>
      <c r="AM330">
        <f t="shared" si="210"/>
        <v>1.4389970927091202</v>
      </c>
      <c r="AN330" s="10" t="str">
        <f t="shared" si="211"/>
        <v>UP</v>
      </c>
      <c r="AO330" s="10" t="str">
        <f t="shared" si="212"/>
        <v>UP</v>
      </c>
      <c r="AP330" s="6" t="str">
        <f t="shared" si="213"/>
        <v>POSITIVE</v>
      </c>
      <c r="AQ330" cm="1">
        <f t="array" ref="AQ330">IFERROR(VALUE(_xll.BDP($B330,"INTERVAL_exp_MOV_AVG","CALC_INTERVAL","520D","TECH_STUDIES_PARAM1_OVERRIDE",100,"USE_PREVIOUS_BUSINESS_DAY","N")),"")</f>
        <v>9819.8208528844934</v>
      </c>
      <c r="AR330">
        <f t="shared" si="193"/>
        <v>6773.0064518682802</v>
      </c>
      <c r="AS330" cm="1">
        <f t="array" ref="AS330">IFERROR(VALUE(_xll.BDP($B330,"INTERVAL_exp_MOV_AVG","CALC_INTERVAL","520D","TECH_STUDIES_PARAM1_OVERRIDE",100,"USE_PREVIOUS_BUSINESS_DAY","Y")),"")</f>
        <v>9806.6419926853087</v>
      </c>
      <c r="AT330">
        <f t="shared" si="194"/>
        <v>6769.6039787132295</v>
      </c>
      <c r="AU330">
        <f t="shared" si="214"/>
        <v>1.4498466704067252</v>
      </c>
      <c r="AV330">
        <f t="shared" si="215"/>
        <v>1.4486286086338187</v>
      </c>
      <c r="AW330" s="11" t="str">
        <f t="shared" si="216"/>
        <v>UP</v>
      </c>
      <c r="AX330" s="11" t="str">
        <f t="shared" si="217"/>
        <v>UP</v>
      </c>
      <c r="AY330" s="6" t="str">
        <f t="shared" si="218"/>
        <v>POSITIVE</v>
      </c>
      <c r="AZ330" s="12" cm="1">
        <f t="array" ref="AZ330">_xll.BDP($B330, "INTERVAL_RSI", "TECH_STUDIES_PARAM1_OVERRIDE", "5", "PERIODICITY_OVERRIDE", "W")</f>
        <v>85.815704682936669</v>
      </c>
      <c r="BA330" cm="1">
        <f t="array" ref="BA330">IFERROR(VALUE(_xll.BDP($B330,"INTERVAL_MAE_MOV_AVG","CALC_INTERVAL","520D","TECH_STUDIES_PARAM1_OVERRIDE",31,"USE_PREVIOUS_BUSINESS_DAY","N")),"")</f>
        <v>10184.335161290324</v>
      </c>
      <c r="BB330" cm="1">
        <f t="array" ref="BB330">IFERROR(VALUE(_xll.BDP($B330,"INTERVAL_MAE_MOV_AVG","CALC_INTERVAL","760D","TECH_STUDIES_PARAM1_OVERRIDE",200,"USE_PREVIOUS_BUSINESS_DAY","N")),"")</f>
        <v>9367.5533500000038</v>
      </c>
      <c r="BC330" s="13">
        <f t="shared" si="219"/>
        <v>2.8256615100755944E-2</v>
      </c>
      <c r="BD330" s="13">
        <f t="shared" si="220"/>
        <v>4.5284540591689293E-2</v>
      </c>
      <c r="BE330" s="13">
        <f t="shared" si="221"/>
        <v>0.117913035424559</v>
      </c>
      <c r="BF330" s="14" cm="1">
        <f t="array" ref="BF330">VALUE(_xll.BDP($B330,"INTERVAL_DATE_OF_CALC_HI","CALC_INTERVAL","3M"))</f>
        <v>46064</v>
      </c>
      <c r="BG330" s="14" cm="1">
        <f t="array" ref="BG330">VALUE(_xll.BDP($B330,"INTERVAL_DATE_OF_CALC_LO","CALC_INTERVAL","3M"))</f>
        <v>45980</v>
      </c>
      <c r="BH330" s="14" cm="1">
        <f t="array" ref="BH330">VALUE(_xll.BDP($B330,"INTERVAL_DATE_OF_CALC_HI","CALC_INTERVAL","1M"))</f>
        <v>46064</v>
      </c>
      <c r="BI330" s="14" cm="1">
        <f t="array" ref="BI330">VALUE(_xll.BDP($B330,"INTERVAL_DATE_OF_CALC_LO","CALC_INTERVAL","1M"))</f>
        <v>46042</v>
      </c>
      <c r="BJ330" s="15">
        <f>$F330-MIN(_xll.BDP("NYA Index","RSI_14D"),_xll.BDP("RSP US Equity","RSI_14D"))</f>
        <v>3.613453049604729</v>
      </c>
    </row>
    <row r="331" spans="1:62" x14ac:dyDescent="0.25">
      <c r="A331" s="11">
        <v>330</v>
      </c>
      <c r="B331" s="26" t="s">
        <v>785</v>
      </c>
      <c r="C331" s="1" t="s">
        <v>988</v>
      </c>
      <c r="D331" s="1" t="s">
        <v>307</v>
      </c>
      <c r="E331" s="11" t="s">
        <v>789</v>
      </c>
      <c r="F331">
        <f>IFERROR(VALUE((_xll.BDP($B331,"interval_rsi","tech_studies_param1_override",14))),"")</f>
        <v>65.357611340958513</v>
      </c>
      <c r="G331">
        <f t="shared" si="184"/>
        <v>52.525531939815814</v>
      </c>
      <c r="H331">
        <f t="shared" si="195"/>
        <v>1</v>
      </c>
      <c r="I331" cm="1">
        <f t="array" ref="I331">IFERROR(VALUE(_xll.BDP($B331,"px_last")),"")</f>
        <v>1120.02</v>
      </c>
      <c r="J331">
        <f t="shared" si="185"/>
        <v>6941.47</v>
      </c>
      <c r="K331" cm="1">
        <f t="array" ref="K331">IFERROR(VALUE(_xll.BDP($B331,"PX_YEST_CLOSE")),"")</f>
        <v>1111.6099999999999</v>
      </c>
      <c r="L331">
        <f t="shared" si="186"/>
        <v>6941.81</v>
      </c>
      <c r="M331">
        <f t="shared" si="196"/>
        <v>0.16135199028447864</v>
      </c>
      <c r="N331">
        <f t="shared" si="197"/>
        <v>0.16013258789854518</v>
      </c>
      <c r="O331" cm="1">
        <f t="array" ref="O331">IFERROR(VALUE(_xll.BDP($B331,"INTERVAL_MAE_MOV_AVG","CALC_INTERVAL","520D","TECH_STUDIES_PARAM1_OVERRIDE",50,"USE_PREVIOUS_BUSINESS_DAY","N")),"")</f>
        <v>1079.6188</v>
      </c>
      <c r="P331">
        <f t="shared" si="187"/>
        <v>6894.0953999999992</v>
      </c>
      <c r="Q331" cm="1">
        <f t="array" ref="Q331">IFERROR(VALUE(_xll.BDP($B331,"INTERVAL_MAE_MOV_AVG","CALC_INTERVAL","520D","TECH_STUDIES_PARAM1_OVERRIDE",50,"USE_PREVIOUS_BUSINESS_DAY","Y")),"")</f>
        <v>1079.7847999999999</v>
      </c>
      <c r="R331">
        <f t="shared" si="188"/>
        <v>6892.2477999999992</v>
      </c>
      <c r="S331">
        <f t="shared" si="198"/>
        <v>0.15660050193097125</v>
      </c>
      <c r="T331">
        <f t="shared" si="199"/>
        <v>0.15666656674764365</v>
      </c>
      <c r="U331" s="11" t="str">
        <f t="shared" si="200"/>
        <v>POSITIVE</v>
      </c>
      <c r="V331" s="11" t="str">
        <f t="shared" si="201"/>
        <v/>
      </c>
      <c r="W331" s="11" t="str">
        <f t="shared" si="202"/>
        <v>DOWN</v>
      </c>
      <c r="X331" s="6" t="str">
        <f t="shared" si="203"/>
        <v>POSITIVE</v>
      </c>
      <c r="Y331" cm="1">
        <f t="array" ref="Y331">IFERROR(VALUE(_xll.BDP($B331,"INTERVAL_MAE_MOV_AVG","CALC_INTERVAL","520D","TECH_STUDIES_PARAM1_OVERRIDE",65,"USE_PREVIOUS_BUSINESS_DAY","N")),"")</f>
        <v>1088.1644615384616</v>
      </c>
      <c r="Z331">
        <f t="shared" si="189"/>
        <v>6856.0226153846133</v>
      </c>
      <c r="AA331" cm="1">
        <f t="array" ref="AA331">IFERROR(VALUE(_xll.BDP($B331,"INTERVAL_MAE_MOV_AVG","CALC_INTERVAL","520D","TECH_STUDIES_PARAM1_OVERRIDE",65,"USE_PREVIOUS_BUSINESS_DAY","Y")),"")</f>
        <v>1088.0558461538462</v>
      </c>
      <c r="AB331">
        <f t="shared" si="190"/>
        <v>6852.6203076923057</v>
      </c>
      <c r="AC331">
        <f t="shared" si="204"/>
        <v>0.15871657994486021</v>
      </c>
      <c r="AD331">
        <f t="shared" si="205"/>
        <v>0.15877953210576479</v>
      </c>
      <c r="AE331" s="10" t="str">
        <f t="shared" si="206"/>
        <v>UP</v>
      </c>
      <c r="AF331" s="10" t="str">
        <f t="shared" si="207"/>
        <v>DOWN</v>
      </c>
      <c r="AG331" s="6" t="str">
        <f t="shared" si="208"/>
        <v>POSITIVE</v>
      </c>
      <c r="AH331" cm="1">
        <f t="array" ref="AH331">IFERROR(VALUE(_xll.BDP($B331,"INTERVAL_MAE_MOV_AVG","CALC_INTERVAL","65W","PERIODICITY_OVERRIDE","W","TECH_STUDIES_PARAM1_OVERRIDE",39,"USE_PREVIOUS_BUSINESS_DAY","N")),"")</f>
        <v>1088.7943589743591</v>
      </c>
      <c r="AI331">
        <f t="shared" si="191"/>
        <v>6560.7735897435905</v>
      </c>
      <c r="AJ331" cm="1">
        <f t="array" ref="AJ331">IFERROR(VALUE(_xll.BDP($B331,"INTERVAL_MAE_MOV_AVG","CALC_INTERVAL","65W","PERIODICITY_OVERRIDE","W","TECH_STUDIES_PARAM1_OVERRIDE",39,"USE_PREVIOUS_BUSINESS_DAY","Y")),"")</f>
        <v>1088.5787179487181</v>
      </c>
      <c r="AK331">
        <f t="shared" si="192"/>
        <v>6560.7823076923087</v>
      </c>
      <c r="AL331">
        <f t="shared" si="209"/>
        <v>0.16595517953499619</v>
      </c>
      <c r="AM331">
        <f t="shared" si="210"/>
        <v>0.16592209082633244</v>
      </c>
      <c r="AN331" s="10" t="str">
        <f t="shared" si="211"/>
        <v>UP</v>
      </c>
      <c r="AO331" s="10" t="str">
        <f t="shared" si="212"/>
        <v>UP</v>
      </c>
      <c r="AP331" s="6" t="str">
        <f t="shared" si="213"/>
        <v>NEGATIVE</v>
      </c>
      <c r="AQ331" cm="1">
        <f t="array" ref="AQ331">IFERROR(VALUE(_xll.BDP($B331,"INTERVAL_exp_MOV_AVG","CALC_INTERVAL","520D","TECH_STUDIES_PARAM1_OVERRIDE",100,"USE_PREVIOUS_BUSINESS_DAY","N")),"")</f>
        <v>1089.605612999339</v>
      </c>
      <c r="AR331">
        <f t="shared" si="193"/>
        <v>6773.0064518682802</v>
      </c>
      <c r="AS331" cm="1">
        <f t="array" ref="AS331">IFERROR(VALUE(_xll.BDP($B331,"INTERVAL_exp_MOV_AVG","CALC_INTERVAL","520D","TECH_STUDIES_PARAM1_OVERRIDE",100,"USE_PREVIOUS_BUSINESS_DAY","Y")),"")</f>
        <v>1088.991554308041</v>
      </c>
      <c r="AT331">
        <f t="shared" si="194"/>
        <v>6769.6039787132295</v>
      </c>
      <c r="AU331">
        <f t="shared" si="214"/>
        <v>0.16087473424726767</v>
      </c>
      <c r="AV331">
        <f t="shared" si="215"/>
        <v>0.16086488334211793</v>
      </c>
      <c r="AW331" s="11" t="str">
        <f t="shared" si="216"/>
        <v>UP</v>
      </c>
      <c r="AX331" s="11" t="str">
        <f t="shared" si="217"/>
        <v>UP</v>
      </c>
      <c r="AY331" s="6" t="str">
        <f t="shared" si="218"/>
        <v>BUY</v>
      </c>
      <c r="AZ331" s="12" cm="1">
        <f t="array" ref="AZ331">_xll.BDP($B331, "INTERVAL_RSI", "TECH_STUDIES_PARAM1_OVERRIDE", "5", "PERIODICITY_OVERRIDE", "W")</f>
        <v>68.672826191773623</v>
      </c>
      <c r="BA331" cm="1">
        <f t="array" ref="BA331">IFERROR(VALUE(_xll.BDP($B331,"INTERVAL_MAE_MOV_AVG","CALC_INTERVAL","520D","TECH_STUDIES_PARAM1_OVERRIDE",31,"USE_PREVIOUS_BUSINESS_DAY","N")),"")</f>
        <v>1083.0148387096774</v>
      </c>
      <c r="BB331" cm="1">
        <f t="array" ref="BB331">IFERROR(VALUE(_xll.BDP($B331,"INTERVAL_MAE_MOV_AVG","CALC_INTERVAL","760D","TECH_STUDIES_PARAM1_OVERRIDE",200,"USE_PREVIOUS_BUSINESS_DAY","N")),"")</f>
        <v>1083.0679000000005</v>
      </c>
      <c r="BC331" s="13">
        <f t="shared" si="219"/>
        <v>3.4168655837080841E-2</v>
      </c>
      <c r="BD331" s="13">
        <f t="shared" si="220"/>
        <v>3.7421727002160399E-2</v>
      </c>
      <c r="BE331" s="13">
        <f t="shared" si="221"/>
        <v>3.4117990201721904E-2</v>
      </c>
      <c r="BF331" s="14" cm="1">
        <f t="array" ref="BF331">VALUE(_xll.BDP($B331,"INTERVAL_DATE_OF_CALC_HI","CALC_INTERVAL","3M"))</f>
        <v>45989</v>
      </c>
      <c r="BG331" s="14" cm="1">
        <f t="array" ref="BG331">VALUE(_xll.BDP($B331,"INTERVAL_DATE_OF_CALC_LO","CALC_INTERVAL","3M"))</f>
        <v>46029</v>
      </c>
      <c r="BH331" s="14" cm="1">
        <f t="array" ref="BH331">VALUE(_xll.BDP($B331,"INTERVAL_DATE_OF_CALC_HI","CALC_INTERVAL","1M"))</f>
        <v>46064</v>
      </c>
      <c r="BI331" s="14" cm="1">
        <f t="array" ref="BI331">VALUE(_xll.BDP($B331,"INTERVAL_DATE_OF_CALC_LO","CALC_INTERVAL","1M"))</f>
        <v>46045</v>
      </c>
      <c r="BJ331" s="15">
        <f>$F331-MIN(_xll.BDP("NYA Index","RSI_14D"),_xll.BDP("RSP US Equity","RSI_14D"))</f>
        <v>-0.98815281919773668</v>
      </c>
    </row>
    <row r="332" spans="1:62" x14ac:dyDescent="0.25">
      <c r="A332" s="11">
        <v>331</v>
      </c>
      <c r="B332" s="26" t="s">
        <v>726</v>
      </c>
      <c r="C332" s="1" t="s">
        <v>727</v>
      </c>
      <c r="D332" s="1" t="s">
        <v>716</v>
      </c>
      <c r="E332" s="11" t="s">
        <v>943</v>
      </c>
      <c r="F332">
        <f>IFERROR(VALUE((_xll.BDP($B332,"interval_rsi","tech_studies_param1_override",14))),"")</f>
        <v>59.017866194111903</v>
      </c>
      <c r="G332">
        <f t="shared" si="184"/>
        <v>52.525531939815814</v>
      </c>
      <c r="H332">
        <f t="shared" si="195"/>
        <v>0</v>
      </c>
      <c r="I332" cm="1">
        <f t="array" ref="I332">IFERROR(VALUE(_xll.BDP($B332,"px_last")),"")</f>
        <v>37256.720000000001</v>
      </c>
      <c r="J332">
        <f t="shared" si="185"/>
        <v>6941.47</v>
      </c>
      <c r="K332" cm="1">
        <f t="array" ref="K332">IFERROR(VALUE(_xll.BDP($B332,"PX_YEST_CLOSE")),"")</f>
        <v>37207.339999999997</v>
      </c>
      <c r="L332">
        <f t="shared" si="186"/>
        <v>6941.81</v>
      </c>
      <c r="M332">
        <f t="shared" si="196"/>
        <v>5.3672665876248118</v>
      </c>
      <c r="N332">
        <f t="shared" si="197"/>
        <v>5.3598902879796473</v>
      </c>
      <c r="O332" cm="1">
        <f t="array" ref="O332">IFERROR(VALUE(_xll.BDP($B332,"INTERVAL_MAE_MOV_AVG","CALC_INTERVAL","520D","TECH_STUDIES_PARAM1_OVERRIDE",50,"USE_PREVIOUS_BUSINESS_DAY","N")),"")</f>
        <v>36889.744399999996</v>
      </c>
      <c r="P332">
        <f t="shared" si="187"/>
        <v>6894.0953999999992</v>
      </c>
      <c r="Q332" cm="1">
        <f t="array" ref="Q332">IFERROR(VALUE(_xll.BDP($B332,"INTERVAL_MAE_MOV_AVG","CALC_INTERVAL","520D","TECH_STUDIES_PARAM1_OVERRIDE",50,"USE_PREVIOUS_BUSINESS_DAY","Y")),"")</f>
        <v>36895.101799999997</v>
      </c>
      <c r="R332">
        <f t="shared" si="188"/>
        <v>6892.2477999999992</v>
      </c>
      <c r="S332">
        <f t="shared" si="198"/>
        <v>5.350918758681523</v>
      </c>
      <c r="T332">
        <f t="shared" si="199"/>
        <v>5.3531304837878873</v>
      </c>
      <c r="U332" s="11" t="str">
        <f t="shared" si="200"/>
        <v>NEGATIVE</v>
      </c>
      <c r="V332" s="11" t="str">
        <f t="shared" si="201"/>
        <v/>
      </c>
      <c r="W332" s="11" t="str">
        <f t="shared" si="202"/>
        <v>DOWN</v>
      </c>
      <c r="X332" s="6" t="str">
        <f t="shared" si="203"/>
        <v>POSITIVE</v>
      </c>
      <c r="Y332" cm="1">
        <f t="array" ref="Y332">IFERROR(VALUE(_xll.BDP($B332,"INTERVAL_MAE_MOV_AVG","CALC_INTERVAL","520D","TECH_STUDIES_PARAM1_OVERRIDE",65,"USE_PREVIOUS_BUSINESS_DAY","N")),"")</f>
        <v>37007.828307692303</v>
      </c>
      <c r="Z332">
        <f t="shared" si="189"/>
        <v>6856.0226153846133</v>
      </c>
      <c r="AA332" cm="1">
        <f t="array" ref="AA332">IFERROR(VALUE(_xll.BDP($B332,"INTERVAL_MAE_MOV_AVG","CALC_INTERVAL","520D","TECH_STUDIES_PARAM1_OVERRIDE",65,"USE_PREVIOUS_BUSINESS_DAY","Y")),"")</f>
        <v>37004.249846153834</v>
      </c>
      <c r="AB332">
        <f t="shared" si="190"/>
        <v>6852.6203076923057</v>
      </c>
      <c r="AC332">
        <f t="shared" si="204"/>
        <v>5.3978568017918089</v>
      </c>
      <c r="AD332">
        <f t="shared" si="205"/>
        <v>5.4000146198987959</v>
      </c>
      <c r="AE332" s="10" t="str">
        <f t="shared" si="206"/>
        <v>UP</v>
      </c>
      <c r="AF332" s="10" t="str">
        <f t="shared" si="207"/>
        <v>DOWN</v>
      </c>
      <c r="AG332" s="6" t="str">
        <f t="shared" si="208"/>
        <v>NEGATIVE</v>
      </c>
      <c r="AH332" cm="1">
        <f t="array" ref="AH332">IFERROR(VALUE(_xll.BDP($B332,"INTERVAL_MAE_MOV_AVG","CALC_INTERVAL","65W","PERIODICITY_OVERRIDE","W","TECH_STUDIES_PARAM1_OVERRIDE",39,"USE_PREVIOUS_BUSINESS_DAY","N")),"")</f>
        <v>36534.032051282047</v>
      </c>
      <c r="AI332">
        <f t="shared" si="191"/>
        <v>6560.7735897435905</v>
      </c>
      <c r="AJ332" cm="1">
        <f t="array" ref="AJ332">IFERROR(VALUE(_xll.BDP($B332,"INTERVAL_MAE_MOV_AVG","CALC_INTERVAL","65W","PERIODICITY_OVERRIDE","W","TECH_STUDIES_PARAM1_OVERRIDE",39,"USE_PREVIOUS_BUSINESS_DAY","Y")),"")</f>
        <v>36532.765897435886</v>
      </c>
      <c r="AK332">
        <f t="shared" si="192"/>
        <v>6560.7823076923087</v>
      </c>
      <c r="AL332">
        <f t="shared" si="209"/>
        <v>5.5685555295484415</v>
      </c>
      <c r="AM332">
        <f t="shared" si="210"/>
        <v>5.5683551418254469</v>
      </c>
      <c r="AN332" s="10" t="str">
        <f t="shared" si="211"/>
        <v>UP</v>
      </c>
      <c r="AO332" s="10" t="str">
        <f t="shared" si="212"/>
        <v>UP</v>
      </c>
      <c r="AP332" s="6" t="str">
        <f t="shared" si="213"/>
        <v>NEGATIVE</v>
      </c>
      <c r="AQ332" cm="1">
        <f t="array" ref="AQ332">IFERROR(VALUE(_xll.BDP($B332,"INTERVAL_exp_MOV_AVG","CALC_INTERVAL","520D","TECH_STUDIES_PARAM1_OVERRIDE",100,"USE_PREVIOUS_BUSINESS_DAY","N")),"")</f>
        <v>36730.164680338654</v>
      </c>
      <c r="AR332">
        <f t="shared" si="193"/>
        <v>6773.0064518682802</v>
      </c>
      <c r="AS332" cm="1">
        <f t="array" ref="AS332">IFERROR(VALUE(_xll.BDP($B332,"INTERVAL_exp_MOV_AVG","CALC_INTERVAL","520D","TECH_STUDIES_PARAM1_OVERRIDE",100,"USE_PREVIOUS_BUSINESS_DAY","Y")),"")</f>
        <v>36719.524181763038</v>
      </c>
      <c r="AT332">
        <f t="shared" si="194"/>
        <v>6769.6039787132295</v>
      </c>
      <c r="AU332">
        <f t="shared" si="214"/>
        <v>5.4230222488872615</v>
      </c>
      <c r="AV332">
        <f t="shared" si="215"/>
        <v>5.4241761109255773</v>
      </c>
      <c r="AW332" s="11" t="str">
        <f t="shared" si="216"/>
        <v>UP</v>
      </c>
      <c r="AX332" s="11" t="str">
        <f t="shared" si="217"/>
        <v>DOWN</v>
      </c>
      <c r="AY332" s="6" t="str">
        <f t="shared" si="218"/>
        <v>NEGATIVE</v>
      </c>
      <c r="AZ332" s="12" cm="1">
        <f t="array" ref="AZ332">_xll.BDP($B332, "INTERVAL_RSI", "TECH_STUDIES_PARAM1_OVERRIDE", "5", "PERIODICITY_OVERRIDE", "W")</f>
        <v>61.403666935865594</v>
      </c>
      <c r="BA332" cm="1">
        <f t="array" ref="BA332">IFERROR(VALUE(_xll.BDP($B332,"INTERVAL_MAE_MOV_AVG","CALC_INTERVAL","520D","TECH_STUDIES_PARAM1_OVERRIDE",31,"USE_PREVIOUS_BUSINESS_DAY","N")),"")</f>
        <v>36731.817419354833</v>
      </c>
      <c r="BB332" cm="1">
        <f t="array" ref="BB332">IFERROR(VALUE(_xll.BDP($B332,"INTERVAL_MAE_MOV_AVG","CALC_INTERVAL","760D","TECH_STUDIES_PARAM1_OVERRIDE",200,"USE_PREVIOUS_BUSINESS_DAY","N")),"")</f>
        <v>36461.841149999993</v>
      </c>
      <c r="BC332" s="13">
        <f t="shared" si="219"/>
        <v>1.4290133664025761E-2</v>
      </c>
      <c r="BD332" s="13">
        <f t="shared" si="220"/>
        <v>9.9479030274876035E-3</v>
      </c>
      <c r="BE332" s="13">
        <f t="shared" si="221"/>
        <v>2.1800293812096916E-2</v>
      </c>
      <c r="BF332" s="14" cm="1">
        <f t="array" ref="BF332">VALUE(_xll.BDP($B332,"INTERVAL_DATE_OF_CALC_HI","CALC_INTERVAL","3M"))</f>
        <v>46024</v>
      </c>
      <c r="BG332" s="14" cm="1">
        <f t="array" ref="BG332">VALUE(_xll.BDP($B332,"INTERVAL_DATE_OF_CALC_LO","CALC_INTERVAL","3M"))</f>
        <v>46054</v>
      </c>
      <c r="BH332" s="14" cm="1">
        <f t="array" ref="BH332">VALUE(_xll.BDP($B332,"INTERVAL_DATE_OF_CALC_HI","CALC_INTERVAL","1M"))</f>
        <v>46064</v>
      </c>
      <c r="BI332" s="14" cm="1">
        <f t="array" ref="BI332">VALUE(_xll.BDP($B332,"INTERVAL_DATE_OF_CALC_LO","CALC_INTERVAL","1M"))</f>
        <v>46054</v>
      </c>
      <c r="BJ332" s="15">
        <f>$F332-MIN(_xll.BDP("NYA Index","RSI_14D"),_xll.BDP("RSP US Equity","RSI_14D"))</f>
        <v>-7.3278979660443468</v>
      </c>
    </row>
    <row r="333" spans="1:62" x14ac:dyDescent="0.25">
      <c r="A333" s="11">
        <v>332</v>
      </c>
      <c r="B333" s="26" t="s">
        <v>717</v>
      </c>
      <c r="C333" s="1" t="s">
        <v>984</v>
      </c>
      <c r="D333" s="1" t="s">
        <v>716</v>
      </c>
      <c r="E333" s="11" t="s">
        <v>943</v>
      </c>
      <c r="F333">
        <f>IFERROR(VALUE((_xll.BDP($B333,"interval_rsi","tech_studies_param1_override",14))),"")</f>
        <v>73.395771555743949</v>
      </c>
      <c r="G333">
        <f t="shared" si="184"/>
        <v>52.525531939815814</v>
      </c>
      <c r="H333">
        <f t="shared" si="195"/>
        <v>1</v>
      </c>
      <c r="I333" cm="1">
        <f t="array" ref="I333">IFERROR(VALUE(_xll.BDP($B333,"px_last")),"")</f>
        <v>190123</v>
      </c>
      <c r="J333">
        <f t="shared" si="185"/>
        <v>6941.47</v>
      </c>
      <c r="K333" cm="1">
        <f t="array" ref="K333">IFERROR(VALUE(_xll.BDP($B333,"PX_YEST_CLOSE")),"")</f>
        <v>186258</v>
      </c>
      <c r="L333">
        <f t="shared" si="186"/>
        <v>6941.81</v>
      </c>
      <c r="M333">
        <f t="shared" si="196"/>
        <v>27.389443446416969</v>
      </c>
      <c r="N333">
        <f t="shared" si="197"/>
        <v>26.831330733627109</v>
      </c>
      <c r="O333" cm="1">
        <f t="array" ref="O333">IFERROR(VALUE(_xll.BDP($B333,"INTERVAL_MAE_MOV_AVG","CALC_INTERVAL","520D","TECH_STUDIES_PARAM1_OVERRIDE",50,"USE_PREVIOUS_BUSINESS_DAY","N")),"")</f>
        <v>169262.7</v>
      </c>
      <c r="P333">
        <f t="shared" si="187"/>
        <v>6894.0953999999992</v>
      </c>
      <c r="Q333" cm="1">
        <f t="array" ref="Q333">IFERROR(VALUE(_xll.BDP($B333,"INTERVAL_MAE_MOV_AVG","CALC_INTERVAL","520D","TECH_STUDIES_PARAM1_OVERRIDE",50,"USE_PREVIOUS_BUSINESS_DAY","Y")),"")</f>
        <v>168651.22</v>
      </c>
      <c r="R333">
        <f t="shared" si="188"/>
        <v>6892.2477999999992</v>
      </c>
      <c r="S333">
        <f t="shared" si="198"/>
        <v>24.551836053791774</v>
      </c>
      <c r="T333">
        <f t="shared" si="199"/>
        <v>24.469697679761314</v>
      </c>
      <c r="U333" s="11" t="str">
        <f t="shared" si="200"/>
        <v>POSITIVE</v>
      </c>
      <c r="V333" s="11" t="str">
        <f t="shared" si="201"/>
        <v/>
      </c>
      <c r="W333" s="11" t="str">
        <f t="shared" si="202"/>
        <v>UP</v>
      </c>
      <c r="X333" s="6" t="str">
        <f t="shared" si="203"/>
        <v>POSITIVE</v>
      </c>
      <c r="Y333" cm="1">
        <f t="array" ref="Y333">IFERROR(VALUE(_xll.BDP($B333,"INTERVAL_MAE_MOV_AVG","CALC_INTERVAL","520D","TECH_STUDIES_PARAM1_OVERRIDE",65,"USE_PREVIOUS_BUSINESS_DAY","N")),"")</f>
        <v>166681.78461538462</v>
      </c>
      <c r="Z333">
        <f t="shared" si="189"/>
        <v>6856.0226153846133</v>
      </c>
      <c r="AA333" cm="1">
        <f t="array" ref="AA333">IFERROR(VALUE(_xll.BDP($B333,"INTERVAL_MAE_MOV_AVG","CALC_INTERVAL","520D","TECH_STUDIES_PARAM1_OVERRIDE",65,"USE_PREVIOUS_BUSINESS_DAY","Y")),"")</f>
        <v>166153.44615384616</v>
      </c>
      <c r="AB333">
        <f t="shared" si="190"/>
        <v>6852.6203076923057</v>
      </c>
      <c r="AC333">
        <f t="shared" si="204"/>
        <v>24.311732029786196</v>
      </c>
      <c r="AD333">
        <f t="shared" si="205"/>
        <v>24.246702530320135</v>
      </c>
      <c r="AE333" s="10" t="str">
        <f t="shared" si="206"/>
        <v>UP</v>
      </c>
      <c r="AF333" s="10" t="str">
        <f t="shared" si="207"/>
        <v>UP</v>
      </c>
      <c r="AG333" s="6" t="str">
        <f t="shared" si="208"/>
        <v>POSITIVE</v>
      </c>
      <c r="AH333" cm="1">
        <f t="array" ref="AH333">IFERROR(VALUE(_xll.BDP($B333,"INTERVAL_MAE_MOV_AVG","CALC_INTERVAL","65W","PERIODICITY_OVERRIDE","W","TECH_STUDIES_PARAM1_OVERRIDE",39,"USE_PREVIOUS_BUSINESS_DAY","N")),"")</f>
        <v>151159.38461538462</v>
      </c>
      <c r="AI333">
        <f t="shared" si="191"/>
        <v>6560.7735897435905</v>
      </c>
      <c r="AJ333" cm="1">
        <f t="array" ref="AJ333">IFERROR(VALUE(_xll.BDP($B333,"INTERVAL_MAE_MOV_AVG","CALC_INTERVAL","65W","PERIODICITY_OVERRIDE","W","TECH_STUDIES_PARAM1_OVERRIDE",39,"USE_PREVIOUS_BUSINESS_DAY","Y")),"")</f>
        <v>151060.28205128203</v>
      </c>
      <c r="AK333">
        <f t="shared" si="192"/>
        <v>6560.7823076923087</v>
      </c>
      <c r="AL333">
        <f t="shared" si="209"/>
        <v>23.039872135153541</v>
      </c>
      <c r="AM333">
        <f t="shared" si="210"/>
        <v>23.024736223021552</v>
      </c>
      <c r="AN333" s="10" t="str">
        <f t="shared" si="211"/>
        <v>UP</v>
      </c>
      <c r="AO333" s="10" t="str">
        <f t="shared" si="212"/>
        <v>UP</v>
      </c>
      <c r="AP333" s="6" t="str">
        <f t="shared" si="213"/>
        <v>POSITIVE</v>
      </c>
      <c r="AQ333" cm="1">
        <f t="array" ref="AQ333">IFERROR(VALUE(_xll.BDP($B333,"INTERVAL_exp_MOV_AVG","CALC_INTERVAL","520D","TECH_STUDIES_PARAM1_OVERRIDE",100,"USE_PREVIOUS_BUSINESS_DAY","N")),"")</f>
        <v>162689.73115824728</v>
      </c>
      <c r="AR333">
        <f t="shared" si="193"/>
        <v>6773.0064518682802</v>
      </c>
      <c r="AS333" cm="1">
        <f t="array" ref="AS333">IFERROR(VALUE(_xll.BDP($B333,"INTERVAL_exp_MOV_AVG","CALC_INTERVAL","520D","TECH_STUDIES_PARAM1_OVERRIDE",100,"USE_PREVIOUS_BUSINESS_DAY","Y")),"")</f>
        <v>162135.38507972061</v>
      </c>
      <c r="AT333">
        <f t="shared" si="194"/>
        <v>6769.6039787132295</v>
      </c>
      <c r="AU333">
        <f t="shared" si="214"/>
        <v>24.020312443873518</v>
      </c>
      <c r="AV333">
        <f t="shared" si="215"/>
        <v>23.950497782373883</v>
      </c>
      <c r="AW333" s="11" t="str">
        <f t="shared" si="216"/>
        <v>UP</v>
      </c>
      <c r="AX333" s="11" t="str">
        <f t="shared" si="217"/>
        <v>UP</v>
      </c>
      <c r="AY333" s="6" t="str">
        <f t="shared" si="218"/>
        <v>POSITIVE</v>
      </c>
      <c r="AZ333" s="12" cm="1">
        <f t="array" ref="AZ333">_xll.BDP($B333, "INTERVAL_RSI", "TECH_STUDIES_PARAM1_OVERRIDE", "5", "PERIODICITY_OVERRIDE", "W")</f>
        <v>95.772415321929614</v>
      </c>
      <c r="BA333" cm="1">
        <f t="array" ref="BA333">IFERROR(VALUE(_xll.BDP($B333,"INTERVAL_MAE_MOV_AVG","CALC_INTERVAL","520D","TECH_STUDIES_PARAM1_OVERRIDE",31,"USE_PREVIOUS_BUSINESS_DAY","N")),"")</f>
        <v>174471.03225806452</v>
      </c>
      <c r="BB333" cm="1">
        <f t="array" ref="BB333">IFERROR(VALUE(_xll.BDP($B333,"INTERVAL_MAE_MOV_AVG","CALC_INTERVAL","760D","TECH_STUDIES_PARAM1_OVERRIDE",200,"USE_PREVIOUS_BUSINESS_DAY","N")),"")</f>
        <v>149331.995</v>
      </c>
      <c r="BC333" s="13">
        <f t="shared" si="219"/>
        <v>8.9710982616210355E-2</v>
      </c>
      <c r="BD333" s="13">
        <f t="shared" si="220"/>
        <v>0.12324215553692563</v>
      </c>
      <c r="BE333" s="13">
        <f t="shared" si="221"/>
        <v>0.27315649938246667</v>
      </c>
      <c r="BF333" s="14" cm="1">
        <f t="array" ref="BF333">VALUE(_xll.BDP($B333,"INTERVAL_DATE_OF_CALC_HI","CALC_INTERVAL","3M"))</f>
        <v>46064</v>
      </c>
      <c r="BG333" s="14" cm="1">
        <f t="array" ref="BG333">VALUE(_xll.BDP($B333,"INTERVAL_DATE_OF_CALC_LO","CALC_INTERVAL","3M"))</f>
        <v>45982</v>
      </c>
      <c r="BH333" s="14" cm="1">
        <f t="array" ref="BH333">VALUE(_xll.BDP($B333,"INTERVAL_DATE_OF_CALC_HI","CALC_INTERVAL","1M"))</f>
        <v>46064</v>
      </c>
      <c r="BI333" s="14" cm="1">
        <f t="array" ref="BI333">VALUE(_xll.BDP($B333,"INTERVAL_DATE_OF_CALC_LO","CALC_INTERVAL","1M"))</f>
        <v>46035</v>
      </c>
      <c r="BJ333" s="15">
        <f>$F333-MIN(_xll.BDP("NYA Index","RSI_14D"),_xll.BDP("RSP US Equity","RSI_14D"))</f>
        <v>7.0500073955876985</v>
      </c>
    </row>
    <row r="334" spans="1:62" x14ac:dyDescent="0.25">
      <c r="A334" s="11">
        <v>333</v>
      </c>
      <c r="B334" s="26" t="s">
        <v>718</v>
      </c>
      <c r="C334" s="1" t="s">
        <v>985</v>
      </c>
      <c r="D334" s="1" t="s">
        <v>716</v>
      </c>
      <c r="E334" s="11" t="s">
        <v>943</v>
      </c>
      <c r="F334">
        <f>IFERROR(VALUE((_xll.BDP($B334,"interval_rsi","tech_studies_param1_override",14))),"")</f>
        <v>50.602687619119649</v>
      </c>
      <c r="G334">
        <f t="shared" si="184"/>
        <v>52.525531939815814</v>
      </c>
      <c r="H334">
        <f t="shared" si="195"/>
        <v>0</v>
      </c>
      <c r="I334" cm="1">
        <f t="array" ref="I334">IFERROR(VALUE(_xll.BDP($B334,"px_last")),"")</f>
        <v>272.10000000000002</v>
      </c>
      <c r="J334">
        <f t="shared" si="185"/>
        <v>6941.47</v>
      </c>
      <c r="K334" cm="1">
        <f t="array" ref="K334">IFERROR(VALUE(_xll.BDP($B334,"PX_YEST_CLOSE")),"")</f>
        <v>272.10000000000002</v>
      </c>
      <c r="L334">
        <f t="shared" si="186"/>
        <v>6941.81</v>
      </c>
      <c r="M334">
        <f t="shared" si="196"/>
        <v>3.9199189796973843E-2</v>
      </c>
      <c r="N334">
        <f t="shared" si="197"/>
        <v>3.9197269876300275E-2</v>
      </c>
      <c r="O334" cm="1">
        <f t="array" ref="O334">IFERROR(VALUE(_xll.BDP($B334,"INTERVAL_MAE_MOV_AVG","CALC_INTERVAL","520D","TECH_STUDIES_PARAM1_OVERRIDE",50,"USE_PREVIOUS_BUSINESS_DAY","N")),"")</f>
        <v>264.32480012207031</v>
      </c>
      <c r="P334">
        <f t="shared" si="187"/>
        <v>6894.0953999999992</v>
      </c>
      <c r="Q334" cm="1">
        <f t="array" ref="Q334">IFERROR(VALUE(_xll.BDP($B334,"INTERVAL_MAE_MOV_AVG","CALC_INTERVAL","520D","TECH_STUDIES_PARAM1_OVERRIDE",50,"USE_PREVIOUS_BUSINESS_DAY","Y")),"")</f>
        <v>263.74979999999999</v>
      </c>
      <c r="R334">
        <f t="shared" si="188"/>
        <v>6892.2477999999992</v>
      </c>
      <c r="S334">
        <f t="shared" si="198"/>
        <v>3.8340751728220983E-2</v>
      </c>
      <c r="T334">
        <f t="shared" si="199"/>
        <v>3.8267602624502274E-2</v>
      </c>
      <c r="U334" s="11" t="str">
        <f t="shared" si="200"/>
        <v>NEGATIVE</v>
      </c>
      <c r="V334" s="11" t="str">
        <f t="shared" si="201"/>
        <v/>
      </c>
      <c r="W334" s="11" t="str">
        <f t="shared" si="202"/>
        <v>UP</v>
      </c>
      <c r="X334" s="6" t="str">
        <f t="shared" si="203"/>
        <v>POSITIVE</v>
      </c>
      <c r="Y334" cm="1">
        <f t="array" ref="Y334">IFERROR(VALUE(_xll.BDP($B334,"INTERVAL_MAE_MOV_AVG","CALC_INTERVAL","520D","TECH_STUDIES_PARAM1_OVERRIDE",65,"USE_PREVIOUS_BUSINESS_DAY","N")),"")</f>
        <v>258.40215394005412</v>
      </c>
      <c r="Z334">
        <f t="shared" si="189"/>
        <v>6856.0226153846133</v>
      </c>
      <c r="AA334" cm="1">
        <f t="array" ref="AA334">IFERROR(VALUE(_xll.BDP($B334,"INTERVAL_MAE_MOV_AVG","CALC_INTERVAL","520D","TECH_STUDIES_PARAM1_OVERRIDE",65,"USE_PREVIOUS_BUSINESS_DAY","Y")),"")</f>
        <v>257.81830769230777</v>
      </c>
      <c r="AB334">
        <f t="shared" si="190"/>
        <v>6852.6203076923057</v>
      </c>
      <c r="AC334">
        <f t="shared" si="204"/>
        <v>3.7689804779845834E-2</v>
      </c>
      <c r="AD334">
        <f t="shared" si="205"/>
        <v>3.7623317229892005E-2</v>
      </c>
      <c r="AE334" s="10" t="str">
        <f t="shared" si="206"/>
        <v>UP</v>
      </c>
      <c r="AF334" s="10" t="str">
        <f t="shared" si="207"/>
        <v>UP</v>
      </c>
      <c r="AG334" s="6" t="str">
        <f t="shared" si="208"/>
        <v>POSITIVE</v>
      </c>
      <c r="AH334" cm="1">
        <f t="array" ref="AH334">IFERROR(VALUE(_xll.BDP($B334,"INTERVAL_MAE_MOV_AVG","CALC_INTERVAL","65W","PERIODICITY_OVERRIDE","W","TECH_STUDIES_PARAM1_OVERRIDE",39,"USE_PREVIOUS_BUSINESS_DAY","N")),"")</f>
        <v>233.33820528470554</v>
      </c>
      <c r="AI334">
        <f t="shared" si="191"/>
        <v>6560.7735897435905</v>
      </c>
      <c r="AJ334" cm="1">
        <f t="array" ref="AJ334">IFERROR(VALUE(_xll.BDP($B334,"INTERVAL_MAE_MOV_AVG","CALC_INTERVAL","65W","PERIODICITY_OVERRIDE","W","TECH_STUDIES_PARAM1_OVERRIDE",39,"USE_PREVIOUS_BUSINESS_DAY","Y")),"")</f>
        <v>233.46256410256413</v>
      </c>
      <c r="AK334">
        <f t="shared" si="192"/>
        <v>6560.7823076923087</v>
      </c>
      <c r="AL334">
        <f t="shared" si="209"/>
        <v>3.5565654277337273E-2</v>
      </c>
      <c r="AM334">
        <f t="shared" si="210"/>
        <v>3.5584561894217506E-2</v>
      </c>
      <c r="AN334" s="10" t="str">
        <f t="shared" si="211"/>
        <v>DOWN</v>
      </c>
      <c r="AO334" s="10" t="str">
        <f t="shared" si="212"/>
        <v>DOWN</v>
      </c>
      <c r="AP334" s="6" t="str">
        <f t="shared" si="213"/>
        <v>POSITIVE</v>
      </c>
      <c r="AQ334" cm="1">
        <f t="array" ref="AQ334">IFERROR(VALUE(_xll.BDP($B334,"INTERVAL_exp_MOV_AVG","CALC_INTERVAL","520D","TECH_STUDIES_PARAM1_OVERRIDE",100,"USE_PREVIOUS_BUSINESS_DAY","N")),"")</f>
        <v>251.71676972315041</v>
      </c>
      <c r="AR334">
        <f t="shared" si="193"/>
        <v>6773.0064518682802</v>
      </c>
      <c r="AS334" cm="1">
        <f t="array" ref="AS334">IFERROR(VALUE(_xll.BDP($B334,"INTERVAL_exp_MOV_AVG","CALC_INTERVAL","520D","TECH_STUDIES_PARAM1_OVERRIDE",100,"USE_PREVIOUS_BUSINESS_DAY","Y")),"")</f>
        <v>251.30499797874202</v>
      </c>
      <c r="AT334">
        <f t="shared" si="194"/>
        <v>6769.6039787132295</v>
      </c>
      <c r="AU334">
        <f t="shared" si="214"/>
        <v>3.7164702486547366E-2</v>
      </c>
      <c r="AV334">
        <f t="shared" si="215"/>
        <v>3.7122555288161808E-2</v>
      </c>
      <c r="AW334" s="11" t="str">
        <f t="shared" si="216"/>
        <v>UP</v>
      </c>
      <c r="AX334" s="11" t="str">
        <f t="shared" si="217"/>
        <v>UP</v>
      </c>
      <c r="AY334" s="6" t="str">
        <f t="shared" si="218"/>
        <v>POSITIVE</v>
      </c>
      <c r="AZ334" s="12" cm="1">
        <f t="array" ref="AZ334">_xll.BDP($B334, "INTERVAL_RSI", "TECH_STUDIES_PARAM1_OVERRIDE", "5", "PERIODICITY_OVERRIDE", "W")</f>
        <v>69.322188227037302</v>
      </c>
      <c r="BA334" cm="1">
        <f t="array" ref="BA334">IFERROR(VALUE(_xll.BDP($B334,"INTERVAL_MAE_MOV_AVG","CALC_INTERVAL","520D","TECH_STUDIES_PARAM1_OVERRIDE",31,"USE_PREVIOUS_BUSINESS_DAY","N")),"")</f>
        <v>271.77741955172627</v>
      </c>
      <c r="BB334" cm="1">
        <f t="array" ref="BB334">IFERROR(VALUE(_xll.BDP($B334,"INTERVAL_MAE_MOV_AVG","CALC_INTERVAL","760D","TECH_STUDIES_PARAM1_OVERRIDE",200,"USE_PREVIOUS_BUSINESS_DAY","N")),"")</f>
        <v>229.50795003051755</v>
      </c>
      <c r="BC334" s="13">
        <f t="shared" si="219"/>
        <v>1.186928806689691E-3</v>
      </c>
      <c r="BD334" s="13">
        <f t="shared" si="220"/>
        <v>2.9415324912149599E-2</v>
      </c>
      <c r="BE334" s="13">
        <f t="shared" si="221"/>
        <v>0.1855798457692599</v>
      </c>
      <c r="BF334" s="14" cm="1">
        <f t="array" ref="BF334">VALUE(_xll.BDP($B334,"INTERVAL_DATE_OF_CALC_HI","CALC_INTERVAL","3M"))</f>
        <v>46056</v>
      </c>
      <c r="BG334" s="14" cm="1">
        <f t="array" ref="BG334">VALUE(_xll.BDP($B334,"INTERVAL_DATE_OF_CALC_LO","CALC_INTERVAL","3M"))</f>
        <v>45979</v>
      </c>
      <c r="BH334" s="14" cm="1">
        <f t="array" ref="BH334">VALUE(_xll.BDP($B334,"INTERVAL_DATE_OF_CALC_HI","CALC_INTERVAL","1M"))</f>
        <v>46056</v>
      </c>
      <c r="BI334" s="14" cm="1">
        <f t="array" ref="BI334">VALUE(_xll.BDP($B334,"INTERVAL_DATE_OF_CALC_LO","CALC_INTERVAL","1M"))</f>
        <v>46043</v>
      </c>
      <c r="BJ334" s="15">
        <f>$F334-MIN(_xll.BDP("NYA Index","RSI_14D"),_xll.BDP("RSP US Equity","RSI_14D"))</f>
        <v>-15.743076541036601</v>
      </c>
    </row>
    <row r="335" spans="1:62" x14ac:dyDescent="0.25">
      <c r="A335" s="11">
        <v>334</v>
      </c>
      <c r="B335" s="26" t="s">
        <v>719</v>
      </c>
      <c r="C335" s="1" t="s">
        <v>1000</v>
      </c>
      <c r="D335" s="1" t="s">
        <v>716</v>
      </c>
      <c r="E335" s="11" t="s">
        <v>943</v>
      </c>
      <c r="F335">
        <f>IFERROR(VALUE((_xll.BDP($B335,"interval_rsi","tech_studies_param1_override",14))),"")</f>
        <v>61.424584922443977</v>
      </c>
      <c r="G335">
        <f t="shared" si="184"/>
        <v>52.525531939815814</v>
      </c>
      <c r="H335">
        <f t="shared" si="195"/>
        <v>0</v>
      </c>
      <c r="I335" cm="1">
        <f t="array" ref="I335">IFERROR(VALUE(_xll.BDP($B335,"px_last")),"")</f>
        <v>8318</v>
      </c>
      <c r="J335">
        <f t="shared" si="185"/>
        <v>6941.47</v>
      </c>
      <c r="K335" cm="1">
        <f t="array" ref="K335">IFERROR(VALUE(_xll.BDP($B335,"PX_YEST_CLOSE")),"")</f>
        <v>8318</v>
      </c>
      <c r="L335">
        <f t="shared" si="186"/>
        <v>6941.81</v>
      </c>
      <c r="M335">
        <f t="shared" si="196"/>
        <v>1.1983052581081528</v>
      </c>
      <c r="N335">
        <f t="shared" si="197"/>
        <v>1.1982465668175879</v>
      </c>
      <c r="O335" cm="1">
        <f t="array" ref="O335">IFERROR(VALUE(_xll.BDP($B335,"INTERVAL_MAE_MOV_AVG","CALC_INTERVAL","520D","TECH_STUDIES_PARAM1_OVERRIDE",50,"USE_PREVIOUS_BUSINESS_DAY","N")),"")</f>
        <v>8176.53</v>
      </c>
      <c r="P335">
        <f t="shared" si="187"/>
        <v>6894.0953999999992</v>
      </c>
      <c r="Q335" cm="1">
        <f t="array" ref="Q335">IFERROR(VALUE(_xll.BDP($B335,"INTERVAL_MAE_MOV_AVG","CALC_INTERVAL","520D","TECH_STUDIES_PARAM1_OVERRIDE",50,"USE_PREVIOUS_BUSINESS_DAY","Y")),"")</f>
        <v>8172.71</v>
      </c>
      <c r="R335">
        <f t="shared" si="188"/>
        <v>6892.2477999999992</v>
      </c>
      <c r="S335">
        <f t="shared" si="198"/>
        <v>1.1860192709256678</v>
      </c>
      <c r="T335">
        <f t="shared" si="199"/>
        <v>1.1857829603863055</v>
      </c>
      <c r="U335" s="11" t="str">
        <f t="shared" si="200"/>
        <v>NEGATIVE</v>
      </c>
      <c r="V335" s="11" t="str">
        <f t="shared" si="201"/>
        <v/>
      </c>
      <c r="W335" s="11" t="str">
        <f t="shared" si="202"/>
        <v>UP</v>
      </c>
      <c r="X335" s="6" t="str">
        <f t="shared" si="203"/>
        <v>POSITIVE</v>
      </c>
      <c r="Y335" cm="1">
        <f t="array" ref="Y335">IFERROR(VALUE(_xll.BDP($B335,"INTERVAL_MAE_MOV_AVG","CALC_INTERVAL","520D","TECH_STUDIES_PARAM1_OVERRIDE",65,"USE_PREVIOUS_BUSINESS_DAY","N")),"")</f>
        <v>8154.8476923076923</v>
      </c>
      <c r="Z335">
        <f t="shared" si="189"/>
        <v>6856.0226153846133</v>
      </c>
      <c r="AA335" cm="1">
        <f t="array" ref="AA335">IFERROR(VALUE(_xll.BDP($B335,"INTERVAL_MAE_MOV_AVG","CALC_INTERVAL","520D","TECH_STUDIES_PARAM1_OVERRIDE",65,"USE_PREVIOUS_BUSINESS_DAY","Y")),"")</f>
        <v>8149.3092307692305</v>
      </c>
      <c r="AB335">
        <f t="shared" si="190"/>
        <v>6852.6203076923057</v>
      </c>
      <c r="AC335">
        <f t="shared" si="204"/>
        <v>1.1894429394104642</v>
      </c>
      <c r="AD335">
        <f t="shared" si="205"/>
        <v>1.1892252692917111</v>
      </c>
      <c r="AE335" s="10" t="str">
        <f t="shared" si="206"/>
        <v>UP</v>
      </c>
      <c r="AF335" s="10" t="str">
        <f t="shared" si="207"/>
        <v>UP</v>
      </c>
      <c r="AG335" s="6" t="str">
        <f t="shared" si="208"/>
        <v>POSITIVE</v>
      </c>
      <c r="AH335" cm="1">
        <f t="array" ref="AH335">IFERROR(VALUE(_xll.BDP($B335,"INTERVAL_MAE_MOV_AVG","CALC_INTERVAL","65W","PERIODICITY_OVERRIDE","W","TECH_STUDIES_PARAM1_OVERRIDE",39,"USE_PREVIOUS_BUSINESS_DAY","N")),"")</f>
        <v>7964.0128205128203</v>
      </c>
      <c r="AI335">
        <f t="shared" si="191"/>
        <v>6560.7735897435905</v>
      </c>
      <c r="AJ335" cm="1">
        <f t="array" ref="AJ335">IFERROR(VALUE(_xll.BDP($B335,"INTERVAL_MAE_MOV_AVG","CALC_INTERVAL","65W","PERIODICITY_OVERRIDE","W","TECH_STUDIES_PARAM1_OVERRIDE",39,"USE_PREVIOUS_BUSINESS_DAY","Y")),"")</f>
        <v>7964.4358974358975</v>
      </c>
      <c r="AK335">
        <f t="shared" si="192"/>
        <v>6560.7823076923087</v>
      </c>
      <c r="AL335">
        <f t="shared" si="209"/>
        <v>1.2138831970917123</v>
      </c>
      <c r="AM335">
        <f t="shared" si="210"/>
        <v>1.2139460698303997</v>
      </c>
      <c r="AN335" s="10" t="str">
        <f t="shared" si="211"/>
        <v>DOWN</v>
      </c>
      <c r="AO335" s="10" t="str">
        <f t="shared" si="212"/>
        <v>DOWN</v>
      </c>
      <c r="AP335" s="6" t="str">
        <f t="shared" si="213"/>
        <v>NEGATIVE</v>
      </c>
      <c r="AQ335" cm="1">
        <f t="array" ref="AQ335">IFERROR(VALUE(_xll.BDP($B335,"INTERVAL_exp_MOV_AVG","CALC_INTERVAL","520D","TECH_STUDIES_PARAM1_OVERRIDE",100,"USE_PREVIOUS_BUSINESS_DAY","N")),"")</f>
        <v>8105.469044462825</v>
      </c>
      <c r="AR335">
        <f t="shared" si="193"/>
        <v>6773.0064518682802</v>
      </c>
      <c r="AS335" cm="1">
        <f t="array" ref="AS335">IFERROR(VALUE(_xll.BDP($B335,"INTERVAL_exp_MOV_AVG","CALC_INTERVAL","520D","TECH_STUDIES_PARAM1_OVERRIDE",100,"USE_PREVIOUS_BUSINESS_DAY","Y")),"")</f>
        <v>8101.1729646558188</v>
      </c>
      <c r="AT335">
        <f t="shared" si="194"/>
        <v>6769.6039787132295</v>
      </c>
      <c r="AU335">
        <f t="shared" si="214"/>
        <v>1.1967313337235927</v>
      </c>
      <c r="AV335">
        <f t="shared" si="215"/>
        <v>1.1966982101360226</v>
      </c>
      <c r="AW335" s="11" t="str">
        <f t="shared" si="216"/>
        <v>UP</v>
      </c>
      <c r="AX335" s="11" t="str">
        <f t="shared" si="217"/>
        <v>UP</v>
      </c>
      <c r="AY335" s="6" t="str">
        <f t="shared" si="218"/>
        <v>POSITIVE</v>
      </c>
      <c r="AZ335" s="12" cm="1">
        <f t="array" ref="AZ335">_xll.BDP($B335, "INTERVAL_RSI", "TECH_STUDIES_PARAM1_OVERRIDE", "5", "PERIODICITY_OVERRIDE", "W")</f>
        <v>64.808209808511378</v>
      </c>
      <c r="BA335" cm="1">
        <f t="array" ref="BA335">IFERROR(VALUE(_xll.BDP($B335,"INTERVAL_MAE_MOV_AVG","CALC_INTERVAL","520D","TECH_STUDIES_PARAM1_OVERRIDE",31,"USE_PREVIOUS_BUSINESS_DAY","N")),"")</f>
        <v>8220.029032258064</v>
      </c>
      <c r="BB335" cm="1">
        <f t="array" ref="BB335">IFERROR(VALUE(_xll.BDP($B335,"INTERVAL_MAE_MOV_AVG","CALC_INTERVAL","760D","TECH_STUDIES_PARAM1_OVERRIDE",200,"USE_PREVIOUS_BUSINESS_DAY","N")),"")</f>
        <v>7944.1970000000001</v>
      </c>
      <c r="BC335" s="13">
        <f t="shared" si="219"/>
        <v>1.1918567119102219E-2</v>
      </c>
      <c r="BD335" s="13">
        <f t="shared" si="220"/>
        <v>1.7301960611653122E-2</v>
      </c>
      <c r="BE335" s="13">
        <f t="shared" si="221"/>
        <v>4.7053591445428644E-2</v>
      </c>
      <c r="BF335" s="14" cm="1">
        <f t="array" ref="BF335">VALUE(_xll.BDP($B335,"INTERVAL_DATE_OF_CALC_HI","CALC_INTERVAL","3M"))</f>
        <v>46031</v>
      </c>
      <c r="BG335" s="14" cm="1">
        <f t="array" ref="BG335">VALUE(_xll.BDP($B335,"INTERVAL_DATE_OF_CALC_LO","CALC_INTERVAL","3M"))</f>
        <v>45980</v>
      </c>
      <c r="BH335" s="14" cm="1">
        <f t="array" ref="BH335">VALUE(_xll.BDP($B335,"INTERVAL_DATE_OF_CALC_HI","CALC_INTERVAL","1M"))</f>
        <v>46034</v>
      </c>
      <c r="BI335" s="14" cm="1">
        <f t="array" ref="BI335">VALUE(_xll.BDP($B335,"INTERVAL_DATE_OF_CALC_LO","CALC_INTERVAL","1M"))</f>
        <v>46050</v>
      </c>
      <c r="BJ335" s="15">
        <f>$F335-MIN(_xll.BDP("NYA Index","RSI_14D"),_xll.BDP("RSP US Equity","RSI_14D"))</f>
        <v>-4.9211792377122734</v>
      </c>
    </row>
    <row r="336" spans="1:62" x14ac:dyDescent="0.25">
      <c r="A336" s="11">
        <v>335</v>
      </c>
      <c r="B336" s="26" t="s">
        <v>720</v>
      </c>
      <c r="C336" s="1" t="s">
        <v>986</v>
      </c>
      <c r="D336" s="1" t="s">
        <v>716</v>
      </c>
      <c r="E336" s="11" t="s">
        <v>943</v>
      </c>
      <c r="F336">
        <f>IFERROR(VALUE((_xll.BDP($B336,"interval_rsi","tech_studies_param1_override",14))),"")</f>
        <v>60.226586419207031</v>
      </c>
      <c r="G336">
        <f t="shared" si="184"/>
        <v>52.525531939815814</v>
      </c>
      <c r="H336">
        <f t="shared" si="195"/>
        <v>0</v>
      </c>
      <c r="I336" cm="1">
        <f t="array" ref="I336">IFERROR(VALUE(_xll.BDP($B336,"px_last")),"")</f>
        <v>50203</v>
      </c>
      <c r="J336">
        <f t="shared" si="185"/>
        <v>6941.47</v>
      </c>
      <c r="K336" cm="1">
        <f t="array" ref="K336">IFERROR(VALUE(_xll.BDP($B336,"PX_YEST_CLOSE")),"")</f>
        <v>50205</v>
      </c>
      <c r="L336">
        <f t="shared" si="186"/>
        <v>6941.81</v>
      </c>
      <c r="M336">
        <f t="shared" si="196"/>
        <v>7.2323297514791536</v>
      </c>
      <c r="N336">
        <f t="shared" si="197"/>
        <v>7.2322636315312572</v>
      </c>
      <c r="O336" cm="1">
        <f t="array" ref="O336">IFERROR(VALUE(_xll.BDP($B336,"INTERVAL_MAE_MOV_AVG","CALC_INTERVAL","520D","TECH_STUDIES_PARAM1_OVERRIDE",50,"USE_PREVIOUS_BUSINESS_DAY","N")),"")</f>
        <v>48925.118799999997</v>
      </c>
      <c r="P336">
        <f t="shared" si="187"/>
        <v>6894.0953999999992</v>
      </c>
      <c r="Q336" cm="1">
        <f t="array" ref="Q336">IFERROR(VALUE(_xll.BDP($B336,"INTERVAL_MAE_MOV_AVG","CALC_INTERVAL","520D","TECH_STUDIES_PARAM1_OVERRIDE",50,"USE_PREVIOUS_BUSINESS_DAY","Y")),"")</f>
        <v>48875.878799999999</v>
      </c>
      <c r="R336">
        <f t="shared" si="188"/>
        <v>6892.2477999999992</v>
      </c>
      <c r="S336">
        <f t="shared" si="198"/>
        <v>7.0966698256017757</v>
      </c>
      <c r="T336">
        <f t="shared" si="199"/>
        <v>7.0914279663595385</v>
      </c>
      <c r="U336" s="11" t="str">
        <f t="shared" si="200"/>
        <v>NEGATIVE</v>
      </c>
      <c r="V336" s="11" t="str">
        <f t="shared" si="201"/>
        <v/>
      </c>
      <c r="W336" s="11" t="str">
        <f t="shared" si="202"/>
        <v>UP</v>
      </c>
      <c r="X336" s="6" t="str">
        <f t="shared" si="203"/>
        <v>POSITIVE</v>
      </c>
      <c r="Y336" cm="1">
        <f t="array" ref="Y336">IFERROR(VALUE(_xll.BDP($B336,"INTERVAL_MAE_MOV_AVG","CALC_INTERVAL","520D","TECH_STUDIES_PARAM1_OVERRIDE",65,"USE_PREVIOUS_BUSINESS_DAY","N")),"")</f>
        <v>48493.937538461541</v>
      </c>
      <c r="Z336">
        <f t="shared" si="189"/>
        <v>6856.0226153846133</v>
      </c>
      <c r="AA336" cm="1">
        <f t="array" ref="AA336">IFERROR(VALUE(_xll.BDP($B336,"INTERVAL_MAE_MOV_AVG","CALC_INTERVAL","520D","TECH_STUDIES_PARAM1_OVERRIDE",65,"USE_PREVIOUS_BUSINESS_DAY","Y")),"")</f>
        <v>48445.060615384617</v>
      </c>
      <c r="AB336">
        <f t="shared" si="190"/>
        <v>6852.6203076923057</v>
      </c>
      <c r="AC336">
        <f t="shared" si="204"/>
        <v>7.0731880944562926</v>
      </c>
      <c r="AD336">
        <f t="shared" si="205"/>
        <v>7.0695673246339572</v>
      </c>
      <c r="AE336" s="10" t="str">
        <f t="shared" si="206"/>
        <v>UP</v>
      </c>
      <c r="AF336" s="10" t="str">
        <f t="shared" si="207"/>
        <v>UP</v>
      </c>
      <c r="AG336" s="6" t="str">
        <f t="shared" si="208"/>
        <v>POSITIVE</v>
      </c>
      <c r="AH336" cm="1">
        <f t="array" ref="AH336">IFERROR(VALUE(_xll.BDP($B336,"INTERVAL_MAE_MOV_AVG","CALC_INTERVAL","65W","PERIODICITY_OVERRIDE","W","TECH_STUDIES_PARAM1_OVERRIDE",39,"USE_PREVIOUS_BUSINESS_DAY","N")),"")</f>
        <v>46309.588461538457</v>
      </c>
      <c r="AI336">
        <f t="shared" si="191"/>
        <v>6560.7735897435905</v>
      </c>
      <c r="AJ336" cm="1">
        <f t="array" ref="AJ336">IFERROR(VALUE(_xll.BDP($B336,"INTERVAL_MAE_MOV_AVG","CALC_INTERVAL","65W","PERIODICITY_OVERRIDE","W","TECH_STUDIES_PARAM1_OVERRIDE",39,"USE_PREVIOUS_BUSINESS_DAY","Y")),"")</f>
        <v>46311.33205128205</v>
      </c>
      <c r="AK336">
        <f t="shared" si="192"/>
        <v>6560.7823076923087</v>
      </c>
      <c r="AL336">
        <f t="shared" si="209"/>
        <v>7.058556102886083</v>
      </c>
      <c r="AM336">
        <f t="shared" si="210"/>
        <v>7.0588124829234902</v>
      </c>
      <c r="AN336" s="10" t="str">
        <f t="shared" si="211"/>
        <v>DOWN</v>
      </c>
      <c r="AO336" s="10" t="str">
        <f t="shared" si="212"/>
        <v>DOWN</v>
      </c>
      <c r="AP336" s="6" t="str">
        <f t="shared" si="213"/>
        <v>POSITIVE</v>
      </c>
      <c r="AQ336" cm="1">
        <f t="array" ref="AQ336">IFERROR(VALUE(_xll.BDP($B336,"INTERVAL_exp_MOV_AVG","CALC_INTERVAL","520D","TECH_STUDIES_PARAM1_OVERRIDE",100,"USE_PREVIOUS_BUSINESS_DAY","N")),"")</f>
        <v>47950.40385943275</v>
      </c>
      <c r="AR336">
        <f t="shared" si="193"/>
        <v>6773.0064518682802</v>
      </c>
      <c r="AS336" cm="1">
        <f t="array" ref="AS336">IFERROR(VALUE(_xll.BDP($B336,"INTERVAL_exp_MOV_AVG","CALC_INTERVAL","520D","TECH_STUDIES_PARAM1_OVERRIDE",100,"USE_PREVIOUS_BUSINESS_DAY","Y")),"")</f>
        <v>47904.839608848401</v>
      </c>
      <c r="AT336">
        <f t="shared" si="194"/>
        <v>6769.6039787132295</v>
      </c>
      <c r="AU336">
        <f t="shared" si="214"/>
        <v>7.0796335719134023</v>
      </c>
      <c r="AV336">
        <f t="shared" si="215"/>
        <v>7.0764611577698497</v>
      </c>
      <c r="AW336" s="11" t="str">
        <f t="shared" si="216"/>
        <v>UP</v>
      </c>
      <c r="AX336" s="11" t="str">
        <f t="shared" si="217"/>
        <v>UP</v>
      </c>
      <c r="AY336" s="6" t="str">
        <f t="shared" si="218"/>
        <v>POSITIVE</v>
      </c>
      <c r="AZ336" s="12" cm="1">
        <f t="array" ref="AZ336">_xll.BDP($B336, "INTERVAL_RSI", "TECH_STUDIES_PARAM1_OVERRIDE", "5", "PERIODICITY_OVERRIDE", "W")</f>
        <v>73.150997327912307</v>
      </c>
      <c r="BA336" cm="1">
        <f t="array" ref="BA336">IFERROR(VALUE(_xll.BDP($B336,"INTERVAL_MAE_MOV_AVG","CALC_INTERVAL","520D","TECH_STUDIES_PARAM1_OVERRIDE",31,"USE_PREVIOUS_BUSINESS_DAY","N")),"")</f>
        <v>49377.451612903227</v>
      </c>
      <c r="BB336" cm="1">
        <f t="array" ref="BB336">IFERROR(VALUE(_xll.BDP($B336,"INTERVAL_MAE_MOV_AVG","CALC_INTERVAL","760D","TECH_STUDIES_PARAM1_OVERRIDE",200,"USE_PREVIOUS_BUSINESS_DAY","N")),"")</f>
        <v>45867.94975</v>
      </c>
      <c r="BC336" s="13">
        <f t="shared" si="219"/>
        <v>1.6719137179632027E-2</v>
      </c>
      <c r="BD336" s="13">
        <f t="shared" si="220"/>
        <v>2.6119123087341434E-2</v>
      </c>
      <c r="BE336" s="13">
        <f t="shared" si="221"/>
        <v>9.4511533077625831E-2</v>
      </c>
      <c r="BF336" s="14" cm="1">
        <f t="array" ref="BF336">VALUE(_xll.BDP($B336,"INTERVAL_DATE_OF_CALC_HI","CALC_INTERVAL","3M"))</f>
        <v>46063</v>
      </c>
      <c r="BG336" s="14" cm="1">
        <f t="array" ref="BG336">VALUE(_xll.BDP($B336,"INTERVAL_DATE_OF_CALC_LO","CALC_INTERVAL","3M"))</f>
        <v>45981</v>
      </c>
      <c r="BH336" s="14" cm="1">
        <f t="array" ref="BH336">VALUE(_xll.BDP($B336,"INTERVAL_DATE_OF_CALC_HI","CALC_INTERVAL","1M"))</f>
        <v>46063</v>
      </c>
      <c r="BI336" s="14" cm="1">
        <f t="array" ref="BI336">VALUE(_xll.BDP($B336,"INTERVAL_DATE_OF_CALC_LO","CALC_INTERVAL","1M"))</f>
        <v>46042</v>
      </c>
      <c r="BJ336" s="15">
        <f>$F336-MIN(_xll.BDP("NYA Index","RSI_14D"),_xll.BDP("RSP US Equity","RSI_14D"))</f>
        <v>-6.119177740949219</v>
      </c>
    </row>
    <row r="337" spans="1:62" x14ac:dyDescent="0.25">
      <c r="A337" s="11">
        <v>336</v>
      </c>
      <c r="B337" s="26" t="s">
        <v>721</v>
      </c>
      <c r="C337" s="1" t="s">
        <v>987</v>
      </c>
      <c r="D337" s="1" t="s">
        <v>716</v>
      </c>
      <c r="E337" s="11" t="s">
        <v>943</v>
      </c>
      <c r="F337">
        <f>IFERROR(VALUE((_xll.BDP($B337,"interval_rsi","tech_studies_param1_override",14))),"")</f>
        <v>51.743816151452712</v>
      </c>
      <c r="G337">
        <f t="shared" si="184"/>
        <v>52.525531939815814</v>
      </c>
      <c r="H337">
        <f t="shared" si="195"/>
        <v>0</v>
      </c>
      <c r="I337" cm="1">
        <f t="array" ref="I337">IFERROR(VALUE(_xll.BDP($B337,"px_last")),"")</f>
        <v>6961.5</v>
      </c>
      <c r="J337">
        <f t="shared" si="185"/>
        <v>6941.47</v>
      </c>
      <c r="K337" cm="1">
        <f t="array" ref="K337">IFERROR(VALUE(_xll.BDP($B337,"PX_YEST_CLOSE")),"")</f>
        <v>6960.5</v>
      </c>
      <c r="L337">
        <f t="shared" si="186"/>
        <v>6941.81</v>
      </c>
      <c r="M337">
        <f t="shared" si="196"/>
        <v>1.0028855559413208</v>
      </c>
      <c r="N337">
        <f t="shared" si="197"/>
        <v>1.0026923813818009</v>
      </c>
      <c r="O337" cm="1">
        <f t="array" ref="O337">IFERROR(VALUE(_xll.BDP($B337,"INTERVAL_MAE_MOV_AVG","CALC_INTERVAL","520D","TECH_STUDIES_PARAM1_OVERRIDE",50,"USE_PREVIOUS_BUSINESS_DAY","N")),"")</f>
        <v>6919.9608000000007</v>
      </c>
      <c r="P337">
        <f t="shared" si="187"/>
        <v>6894.0953999999992</v>
      </c>
      <c r="Q337" cm="1">
        <f t="array" ref="Q337">IFERROR(VALUE(_xll.BDP($B337,"INTERVAL_MAE_MOV_AVG","CALC_INTERVAL","520D","TECH_STUDIES_PARAM1_OVERRIDE",50,"USE_PREVIOUS_BUSINESS_DAY","Y")),"")</f>
        <v>6917.9408000000012</v>
      </c>
      <c r="R337">
        <f t="shared" si="188"/>
        <v>6892.2477999999992</v>
      </c>
      <c r="S337">
        <f t="shared" si="198"/>
        <v>1.0037518192742156</v>
      </c>
      <c r="T337">
        <f t="shared" si="199"/>
        <v>1.00372781141154</v>
      </c>
      <c r="U337" s="11" t="str">
        <f t="shared" si="200"/>
        <v>NEGATIVE</v>
      </c>
      <c r="V337" s="11" t="str">
        <f t="shared" si="201"/>
        <v/>
      </c>
      <c r="W337" s="11" t="str">
        <f t="shared" si="202"/>
        <v>UP</v>
      </c>
      <c r="X337" s="6" t="str">
        <f t="shared" si="203"/>
        <v>NEGATIVE</v>
      </c>
      <c r="Y337" cm="1">
        <f t="array" ref="Y337">IFERROR(VALUE(_xll.BDP($B337,"INTERVAL_MAE_MOV_AVG","CALC_INTERVAL","520D","TECH_STUDIES_PARAM1_OVERRIDE",65,"USE_PREVIOUS_BUSINESS_DAY","N")),"")</f>
        <v>6880.49676923077</v>
      </c>
      <c r="Z337">
        <f t="shared" si="189"/>
        <v>6856.0226153846133</v>
      </c>
      <c r="AA337" cm="1">
        <f t="array" ref="AA337">IFERROR(VALUE(_xll.BDP($B337,"INTERVAL_MAE_MOV_AVG","CALC_INTERVAL","520D","TECH_STUDIES_PARAM1_OVERRIDE",65,"USE_PREVIOUS_BUSINESS_DAY","Y")),"")</f>
        <v>6877.2198461538474</v>
      </c>
      <c r="AB337">
        <f t="shared" si="190"/>
        <v>6852.6203076923057</v>
      </c>
      <c r="AC337">
        <f t="shared" si="204"/>
        <v>1.0035697306177547</v>
      </c>
      <c r="AD337">
        <f t="shared" si="205"/>
        <v>1.0035898003036776</v>
      </c>
      <c r="AE337" s="10" t="str">
        <f t="shared" si="206"/>
        <v>UP</v>
      </c>
      <c r="AF337" s="10" t="str">
        <f t="shared" si="207"/>
        <v>DOWN</v>
      </c>
      <c r="AG337" s="6" t="str">
        <f t="shared" si="208"/>
        <v>NEGATIVE</v>
      </c>
      <c r="AH337" cm="1">
        <f t="array" ref="AH337">IFERROR(VALUE(_xll.BDP($B337,"INTERVAL_MAE_MOV_AVG","CALC_INTERVAL","65W","PERIODICITY_OVERRIDE","W","TECH_STUDIES_PARAM1_OVERRIDE",39,"USE_PREVIOUS_BUSINESS_DAY","N")),"")</f>
        <v>6585.1030769230765</v>
      </c>
      <c r="AI337">
        <f t="shared" si="191"/>
        <v>6560.7735897435905</v>
      </c>
      <c r="AJ337" cm="1">
        <f t="array" ref="AJ337">IFERROR(VALUE(_xll.BDP($B337,"INTERVAL_MAE_MOV_AVG","CALC_INTERVAL","65W","PERIODICITY_OVERRIDE","W","TECH_STUDIES_PARAM1_OVERRIDE",39,"USE_PREVIOUS_BUSINESS_DAY","Y")),"")</f>
        <v>6585.1287179487172</v>
      </c>
      <c r="AK337">
        <f t="shared" si="192"/>
        <v>6560.7823076923087</v>
      </c>
      <c r="AL337">
        <f t="shared" si="209"/>
        <v>1.0037083259842285</v>
      </c>
      <c r="AM337">
        <f t="shared" si="210"/>
        <v>1.0037109004863434</v>
      </c>
      <c r="AN337" s="10" t="str">
        <f t="shared" si="211"/>
        <v>DOWN</v>
      </c>
      <c r="AO337" s="10" t="str">
        <f t="shared" si="212"/>
        <v>DOWN</v>
      </c>
      <c r="AP337" s="6" t="str">
        <f t="shared" si="213"/>
        <v>NEGATIVE</v>
      </c>
      <c r="AQ337" cm="1">
        <f t="array" ref="AQ337">IFERROR(VALUE(_xll.BDP($B337,"INTERVAL_exp_MOV_AVG","CALC_INTERVAL","520D","TECH_STUDIES_PARAM1_OVERRIDE",100,"USE_PREVIOUS_BUSINESS_DAY","N")),"")</f>
        <v>6800.3544609256496</v>
      </c>
      <c r="AR337">
        <f t="shared" si="193"/>
        <v>6773.0064518682802</v>
      </c>
      <c r="AS337" cm="1">
        <f t="array" ref="AS337">IFERROR(VALUE(_xll.BDP($B337,"INTERVAL_exp_MOV_AVG","CALC_INTERVAL","520D","TECH_STUDIES_PARAM1_OVERRIDE",100,"USE_PREVIOUS_BUSINESS_DAY","Y")),"")</f>
        <v>6797.1178779126212</v>
      </c>
      <c r="AT337">
        <f t="shared" si="194"/>
        <v>6769.6039787132295</v>
      </c>
      <c r="AU337">
        <f t="shared" si="214"/>
        <v>1.004037794626613</v>
      </c>
      <c r="AV337">
        <f t="shared" si="215"/>
        <v>1.0040643292112668</v>
      </c>
      <c r="AW337" s="11" t="str">
        <f t="shared" si="216"/>
        <v>UP</v>
      </c>
      <c r="AX337" s="11" t="str">
        <f t="shared" si="217"/>
        <v>DOWN</v>
      </c>
      <c r="AY337" s="6" t="str">
        <f t="shared" si="218"/>
        <v>NEGATIVE</v>
      </c>
      <c r="AZ337" s="12" cm="1">
        <f t="array" ref="AZ337">_xll.BDP($B337, "INTERVAL_RSI", "TECH_STUDIES_PARAM1_OVERRIDE", "5", "PERIODICITY_OVERRIDE", "W")</f>
        <v>58.954122325875055</v>
      </c>
      <c r="BA337" cm="1">
        <f t="array" ref="BA337">IFERROR(VALUE(_xll.BDP($B337,"INTERVAL_MAE_MOV_AVG","CALC_INTERVAL","520D","TECH_STUDIES_PARAM1_OVERRIDE",31,"USE_PREVIOUS_BUSINESS_DAY","N")),"")</f>
        <v>6955.2258064516127</v>
      </c>
      <c r="BB337" cm="1">
        <f t="array" ref="BB337">IFERROR(VALUE(_xll.BDP($B337,"INTERVAL_MAE_MOV_AVG","CALC_INTERVAL","760D","TECH_STUDIES_PARAM1_OVERRIDE",200,"USE_PREVIOUS_BUSINESS_DAY","N")),"")</f>
        <v>6518.2701000000006</v>
      </c>
      <c r="BC337" s="13">
        <f t="shared" si="219"/>
        <v>9.0208337198305344E-4</v>
      </c>
      <c r="BD337" s="13">
        <f t="shared" si="220"/>
        <v>6.0028085708230261E-3</v>
      </c>
      <c r="BE337" s="13">
        <f t="shared" si="221"/>
        <v>6.7998087406657026E-2</v>
      </c>
      <c r="BF337" s="14" cm="1">
        <f t="array" ref="BF337">VALUE(_xll.BDP($B337,"INTERVAL_DATE_OF_CALC_HI","CALC_INTERVAL","3M"))</f>
        <v>46034</v>
      </c>
      <c r="BG337" s="14" cm="1">
        <f t="array" ref="BG337">VALUE(_xll.BDP($B337,"INTERVAL_DATE_OF_CALC_LO","CALC_INTERVAL","3M"))</f>
        <v>45981</v>
      </c>
      <c r="BH337" s="14" cm="1">
        <f t="array" ref="BH337">VALUE(_xll.BDP($B337,"INTERVAL_DATE_OF_CALC_HI","CALC_INTERVAL","1M"))</f>
        <v>46034</v>
      </c>
      <c r="BI337" s="14" cm="1">
        <f t="array" ref="BI337">VALUE(_xll.BDP($B337,"INTERVAL_DATE_OF_CALC_LO","CALC_INTERVAL","1M"))</f>
        <v>46058</v>
      </c>
      <c r="BJ337" s="15">
        <f>$F337-MIN(_xll.BDP("NYA Index","RSI_14D"),_xll.BDP("RSP US Equity","RSI_14D"))</f>
        <v>-14.601948008703538</v>
      </c>
    </row>
    <row r="338" spans="1:62" x14ac:dyDescent="0.25">
      <c r="A338" s="11">
        <v>337</v>
      </c>
      <c r="B338" s="26" t="s">
        <v>722</v>
      </c>
      <c r="C338" s="1" t="s">
        <v>997</v>
      </c>
      <c r="D338" s="1" t="s">
        <v>716</v>
      </c>
      <c r="E338" s="11" t="s">
        <v>943</v>
      </c>
      <c r="F338">
        <f>IFERROR(VALUE((_xll.BDP($B338,"interval_rsi","tech_studies_param1_override",14))),"")</f>
        <v>70.912214539205479</v>
      </c>
      <c r="G338">
        <f t="shared" si="184"/>
        <v>52.525531939815814</v>
      </c>
      <c r="H338">
        <f t="shared" si="195"/>
        <v>1</v>
      </c>
      <c r="I338" cm="1">
        <f t="array" ref="I338">IFERROR(VALUE(_xll.BDP($B338,"px_last")),"")</f>
        <v>33969</v>
      </c>
      <c r="J338">
        <f t="shared" si="185"/>
        <v>6941.47</v>
      </c>
      <c r="K338" cm="1">
        <f t="array" ref="K338">IFERROR(VALUE(_xll.BDP($B338,"PX_YEST_CLOSE")),"")</f>
        <v>33686</v>
      </c>
      <c r="L338">
        <f t="shared" si="186"/>
        <v>6941.81</v>
      </c>
      <c r="M338">
        <f t="shared" si="196"/>
        <v>4.893632040475576</v>
      </c>
      <c r="N338">
        <f t="shared" si="197"/>
        <v>4.8526248917789454</v>
      </c>
      <c r="O338" cm="1">
        <f t="array" ref="O338">IFERROR(VALUE(_xll.BDP($B338,"INTERVAL_MAE_MOV_AVG","CALC_INTERVAL","520D","TECH_STUDIES_PARAM1_OVERRIDE",50,"USE_PREVIOUS_BUSINESS_DAY","N")),"")</f>
        <v>30188.959999999999</v>
      </c>
      <c r="P338">
        <f t="shared" si="187"/>
        <v>6894.0953999999992</v>
      </c>
      <c r="Q338" cm="1">
        <f t="array" ref="Q338">IFERROR(VALUE(_xll.BDP($B338,"INTERVAL_MAE_MOV_AVG","CALC_INTERVAL","520D","TECH_STUDIES_PARAM1_OVERRIDE",50,"USE_PREVIOUS_BUSINESS_DAY","Y")),"")</f>
        <v>30063.360000000001</v>
      </c>
      <c r="R338">
        <f t="shared" si="188"/>
        <v>6892.2477999999992</v>
      </c>
      <c r="S338">
        <f t="shared" si="198"/>
        <v>4.3789588406333921</v>
      </c>
      <c r="T338">
        <f t="shared" si="199"/>
        <v>4.3619093323951592</v>
      </c>
      <c r="U338" s="11" t="str">
        <f t="shared" si="200"/>
        <v>POSITIVE</v>
      </c>
      <c r="V338" s="11" t="str">
        <f t="shared" si="201"/>
        <v/>
      </c>
      <c r="W338" s="11" t="str">
        <f t="shared" si="202"/>
        <v>UP</v>
      </c>
      <c r="X338" s="6" t="str">
        <f t="shared" si="203"/>
        <v>POSITIVE</v>
      </c>
      <c r="Y338" cm="1">
        <f t="array" ref="Y338">IFERROR(VALUE(_xll.BDP($B338,"INTERVAL_MAE_MOV_AVG","CALC_INTERVAL","520D","TECH_STUDIES_PARAM1_OVERRIDE",65,"USE_PREVIOUS_BUSINESS_DAY","N")),"")</f>
        <v>29525.338461538464</v>
      </c>
      <c r="Z338">
        <f t="shared" si="189"/>
        <v>6856.0226153846133</v>
      </c>
      <c r="AA338" cm="1">
        <f t="array" ref="AA338">IFERROR(VALUE(_xll.BDP($B338,"INTERVAL_MAE_MOV_AVG","CALC_INTERVAL","520D","TECH_STUDIES_PARAM1_OVERRIDE",65,"USE_PREVIOUS_BUSINESS_DAY","Y")),"")</f>
        <v>29438.107692307694</v>
      </c>
      <c r="AB338">
        <f t="shared" si="190"/>
        <v>6852.6203076923057</v>
      </c>
      <c r="AC338">
        <f t="shared" si="204"/>
        <v>4.3064820695434847</v>
      </c>
      <c r="AD338">
        <f t="shared" si="205"/>
        <v>4.2958906769228689</v>
      </c>
      <c r="AE338" s="10" t="str">
        <f t="shared" si="206"/>
        <v>UP</v>
      </c>
      <c r="AF338" s="10" t="str">
        <f t="shared" si="207"/>
        <v>UP</v>
      </c>
      <c r="AG338" s="6" t="str">
        <f t="shared" si="208"/>
        <v>POSITIVE</v>
      </c>
      <c r="AH338" cm="1">
        <f t="array" ref="AH338">IFERROR(VALUE(_xll.BDP($B338,"INTERVAL_MAE_MOV_AVG","CALC_INTERVAL","65W","PERIODICITY_OVERRIDE","W","TECH_STUDIES_PARAM1_OVERRIDE",39,"USE_PREVIOUS_BUSINESS_DAY","N")),"")</f>
        <v>26243.076923076922</v>
      </c>
      <c r="AI338">
        <f t="shared" si="191"/>
        <v>6560.7735897435905</v>
      </c>
      <c r="AJ338" cm="1">
        <f t="array" ref="AJ338">IFERROR(VALUE(_xll.BDP($B338,"INTERVAL_MAE_MOV_AVG","CALC_INTERVAL","65W","PERIODICITY_OVERRIDE","W","TECH_STUDIES_PARAM1_OVERRIDE",39,"USE_PREVIOUS_BUSINESS_DAY","Y")),"")</f>
        <v>26233.25641025641</v>
      </c>
      <c r="AK338">
        <f t="shared" si="192"/>
        <v>6560.7823076923087</v>
      </c>
      <c r="AL338">
        <f t="shared" si="209"/>
        <v>3.9999973424022026</v>
      </c>
      <c r="AM338">
        <f t="shared" si="210"/>
        <v>3.9984951763296204</v>
      </c>
      <c r="AN338" s="10" t="str">
        <f t="shared" si="211"/>
        <v>UP</v>
      </c>
      <c r="AO338" s="10" t="str">
        <f t="shared" si="212"/>
        <v>UP</v>
      </c>
      <c r="AP338" s="6" t="str">
        <f t="shared" si="213"/>
        <v>POSITIVE</v>
      </c>
      <c r="AQ338" cm="1">
        <f t="array" ref="AQ338">IFERROR(VALUE(_xll.BDP($B338,"INTERVAL_exp_MOV_AVG","CALC_INTERVAL","520D","TECH_STUDIES_PARAM1_OVERRIDE",100,"USE_PREVIOUS_BUSINESS_DAY","N")),"")</f>
        <v>28899.486954924174</v>
      </c>
      <c r="AR338">
        <f t="shared" si="193"/>
        <v>6773.0064518682802</v>
      </c>
      <c r="AS338" cm="1">
        <f t="array" ref="AS338">IFERROR(VALUE(_xll.BDP($B338,"INTERVAL_exp_MOV_AVG","CALC_INTERVAL","520D","TECH_STUDIES_PARAM1_OVERRIDE",100,"USE_PREVIOUS_BUSINESS_DAY","Y")),"")</f>
        <v>28802.789721690322</v>
      </c>
      <c r="AT338">
        <f t="shared" si="194"/>
        <v>6769.6039787132295</v>
      </c>
      <c r="AU338">
        <f t="shared" si="214"/>
        <v>4.2668624576538647</v>
      </c>
      <c r="AV338">
        <f t="shared" si="215"/>
        <v>4.2547229959477146</v>
      </c>
      <c r="AW338" s="11" t="str">
        <f t="shared" si="216"/>
        <v>UP</v>
      </c>
      <c r="AX338" s="11" t="str">
        <f t="shared" si="217"/>
        <v>UP</v>
      </c>
      <c r="AY338" s="6" t="str">
        <f t="shared" si="218"/>
        <v>POSITIVE</v>
      </c>
      <c r="AZ338" s="12" cm="1">
        <f t="array" ref="AZ338">_xll.BDP($B338, "INTERVAL_RSI", "TECH_STUDIES_PARAM1_OVERRIDE", "5", "PERIODICITY_OVERRIDE", "W")</f>
        <v>86.948278606218707</v>
      </c>
      <c r="BA338" cm="1">
        <f t="array" ref="BA338">IFERROR(VALUE(_xll.BDP($B338,"INTERVAL_MAE_MOV_AVG","CALC_INTERVAL","520D","TECH_STUDIES_PARAM1_OVERRIDE",31,"USE_PREVIOUS_BUSINESS_DAY","N")),"")</f>
        <v>31473.096774193549</v>
      </c>
      <c r="BB338" cm="1">
        <f t="array" ref="BB338">IFERROR(VALUE(_xll.BDP($B338,"INTERVAL_MAE_MOV_AVG","CALC_INTERVAL","760D","TECH_STUDIES_PARAM1_OVERRIDE",200,"USE_PREVIOUS_BUSINESS_DAY","N")),"")</f>
        <v>25698.505000000001</v>
      </c>
      <c r="BC338" s="13">
        <f t="shared" si="219"/>
        <v>7.930275319627822E-2</v>
      </c>
      <c r="BD338" s="13">
        <f t="shared" si="220"/>
        <v>0.12521266052225721</v>
      </c>
      <c r="BE338" s="13">
        <f t="shared" si="221"/>
        <v>0.32182786508398054</v>
      </c>
      <c r="BF338" s="14" cm="1">
        <f t="array" ref="BF338">VALUE(_xll.BDP($B338,"INTERVAL_DATE_OF_CALC_HI","CALC_INTERVAL","3M"))</f>
        <v>46064</v>
      </c>
      <c r="BG338" s="14" cm="1">
        <f t="array" ref="BG338">VALUE(_xll.BDP($B338,"INTERVAL_DATE_OF_CALC_LO","CALC_INTERVAL","3M"))</f>
        <v>45982</v>
      </c>
      <c r="BH338" s="14" cm="1">
        <f t="array" ref="BH338">VALUE(_xll.BDP($B338,"INTERVAL_DATE_OF_CALC_HI","CALC_INTERVAL","1M"))</f>
        <v>46064</v>
      </c>
      <c r="BI338" s="14" cm="1">
        <f t="array" ref="BI338">VALUE(_xll.BDP($B338,"INTERVAL_DATE_OF_CALC_LO","CALC_INTERVAL","1M"))</f>
        <v>46034</v>
      </c>
      <c r="BJ338" s="15">
        <f>$F338-MIN(_xll.BDP("NYA Index","RSI_14D"),_xll.BDP("RSP US Equity","RSI_14D"))</f>
        <v>4.566450379049229</v>
      </c>
    </row>
    <row r="339" spans="1:62" x14ac:dyDescent="0.25">
      <c r="A339" s="11">
        <v>338</v>
      </c>
      <c r="B339" s="26" t="s">
        <v>723</v>
      </c>
      <c r="C339" s="1" t="s">
        <v>967</v>
      </c>
      <c r="D339" s="1" t="s">
        <v>716</v>
      </c>
      <c r="E339" s="11" t="s">
        <v>943</v>
      </c>
      <c r="F339">
        <f>IFERROR(VALUE((_xll.BDP($B339,"interval_rsi","tech_studies_param1_override",14))),"")</f>
        <v>52.649617016078132</v>
      </c>
      <c r="G339">
        <f t="shared" si="184"/>
        <v>52.525531939815814</v>
      </c>
      <c r="H339">
        <f t="shared" si="195"/>
        <v>0</v>
      </c>
      <c r="I339" cm="1">
        <f t="array" ref="I339">IFERROR(VALUE(_xll.BDP($B339,"px_last")),"")</f>
        <v>24953</v>
      </c>
      <c r="J339">
        <f t="shared" si="185"/>
        <v>6941.47</v>
      </c>
      <c r="K339" cm="1">
        <f t="array" ref="K339">IFERROR(VALUE(_xll.BDP($B339,"PX_YEST_CLOSE")),"")</f>
        <v>24953</v>
      </c>
      <c r="L339">
        <f t="shared" si="186"/>
        <v>6941.81</v>
      </c>
      <c r="M339">
        <f t="shared" si="196"/>
        <v>3.5947717126199494</v>
      </c>
      <c r="N339">
        <f t="shared" si="197"/>
        <v>3.5945956458041919</v>
      </c>
      <c r="O339" cm="1">
        <f t="array" ref="O339">IFERROR(VALUE(_xll.BDP($B339,"INTERVAL_MAE_MOV_AVG","CALC_INTERVAL","520D","TECH_STUDIES_PARAM1_OVERRIDE",50,"USE_PREVIOUS_BUSINESS_DAY","N")),"")</f>
        <v>24638.9856</v>
      </c>
      <c r="P339">
        <f t="shared" si="187"/>
        <v>6894.0953999999992</v>
      </c>
      <c r="Q339" cm="1">
        <f t="array" ref="Q339">IFERROR(VALUE(_xll.BDP($B339,"INTERVAL_MAE_MOV_AVG","CALC_INTERVAL","520D","TECH_STUDIES_PARAM1_OVERRIDE",50,"USE_PREVIOUS_BUSINESS_DAY","Y")),"")</f>
        <v>24614.785600000003</v>
      </c>
      <c r="R339">
        <f t="shared" si="188"/>
        <v>6892.2477999999992</v>
      </c>
      <c r="S339">
        <f t="shared" si="198"/>
        <v>3.5739258264398259</v>
      </c>
      <c r="T339">
        <f t="shared" si="199"/>
        <v>3.5713726949863882</v>
      </c>
      <c r="U339" s="11" t="str">
        <f t="shared" si="200"/>
        <v>NEGATIVE</v>
      </c>
      <c r="V339" s="11" t="str">
        <f t="shared" si="201"/>
        <v/>
      </c>
      <c r="W339" s="11" t="str">
        <f t="shared" si="202"/>
        <v>UP</v>
      </c>
      <c r="X339" s="6" t="str">
        <f t="shared" si="203"/>
        <v>POSITIVE</v>
      </c>
      <c r="Y339" cm="1">
        <f t="array" ref="Y339">IFERROR(VALUE(_xll.BDP($B339,"INTERVAL_MAE_MOV_AVG","CALC_INTERVAL","520D","TECH_STUDIES_PARAM1_OVERRIDE",65,"USE_PREVIOUS_BUSINESS_DAY","N")),"")</f>
        <v>24419.019692307695</v>
      </c>
      <c r="Z339">
        <f t="shared" si="189"/>
        <v>6856.0226153846133</v>
      </c>
      <c r="AA339" cm="1">
        <f t="array" ref="AA339">IFERROR(VALUE(_xll.BDP($B339,"INTERVAL_MAE_MOV_AVG","CALC_INTERVAL","520D","TECH_STUDIES_PARAM1_OVERRIDE",65,"USE_PREVIOUS_BUSINESS_DAY","Y")),"")</f>
        <v>24406.250461538464</v>
      </c>
      <c r="AB339">
        <f t="shared" si="190"/>
        <v>6852.6203076923057</v>
      </c>
      <c r="AC339">
        <f t="shared" si="204"/>
        <v>3.5616889065553092</v>
      </c>
      <c r="AD339">
        <f t="shared" si="205"/>
        <v>3.5615938671141016</v>
      </c>
      <c r="AE339" s="10" t="str">
        <f t="shared" si="206"/>
        <v>UP</v>
      </c>
      <c r="AF339" s="10" t="str">
        <f t="shared" si="207"/>
        <v>UP</v>
      </c>
      <c r="AG339" s="6" t="str">
        <f t="shared" si="208"/>
        <v>POSITIVE</v>
      </c>
      <c r="AH339" cm="1">
        <f t="array" ref="AH339">IFERROR(VALUE(_xll.BDP($B339,"INTERVAL_MAE_MOV_AVG","CALC_INTERVAL","65W","PERIODICITY_OVERRIDE","W","TECH_STUDIES_PARAM1_OVERRIDE",39,"USE_PREVIOUS_BUSINESS_DAY","N")),"")</f>
        <v>24173.406923076924</v>
      </c>
      <c r="AI339">
        <f t="shared" si="191"/>
        <v>6560.7735897435905</v>
      </c>
      <c r="AJ339" cm="1">
        <f t="array" ref="AJ339">IFERROR(VALUE(_xll.BDP($B339,"INTERVAL_MAE_MOV_AVG","CALC_INTERVAL","65W","PERIODICITY_OVERRIDE","W","TECH_STUDIES_PARAM1_OVERRIDE",39,"USE_PREVIOUS_BUSINESS_DAY","Y")),"")</f>
        <v>24176.176153846154</v>
      </c>
      <c r="AK339">
        <f t="shared" si="192"/>
        <v>6560.7823076923087</v>
      </c>
      <c r="AL339">
        <f t="shared" si="209"/>
        <v>3.6845360676471195</v>
      </c>
      <c r="AM339">
        <f t="shared" si="210"/>
        <v>3.6849532601470951</v>
      </c>
      <c r="AN339" s="10" t="str">
        <f t="shared" si="211"/>
        <v>DOWN</v>
      </c>
      <c r="AO339" s="10" t="str">
        <f t="shared" si="212"/>
        <v>DOWN</v>
      </c>
      <c r="AP339" s="6" t="str">
        <f t="shared" si="213"/>
        <v>NEGATIVE</v>
      </c>
      <c r="AQ339" cm="1">
        <f t="array" ref="AQ339">IFERROR(VALUE(_xll.BDP($B339,"INTERVAL_exp_MOV_AVG","CALC_INTERVAL","520D","TECH_STUDIES_PARAM1_OVERRIDE",100,"USE_PREVIOUS_BUSINESS_DAY","N")),"")</f>
        <v>24414.597948473012</v>
      </c>
      <c r="AR339">
        <f t="shared" si="193"/>
        <v>6773.0064518682802</v>
      </c>
      <c r="AS339" cm="1">
        <f t="array" ref="AS339">IFERROR(VALUE(_xll.BDP($B339,"INTERVAL_exp_MOV_AVG","CALC_INTERVAL","520D","TECH_STUDIES_PARAM1_OVERRIDE",100,"USE_PREVIOUS_BUSINESS_DAY","Y")),"")</f>
        <v>24403.717292597568</v>
      </c>
      <c r="AT339">
        <f t="shared" si="194"/>
        <v>6769.6039787132295</v>
      </c>
      <c r="AU339">
        <f t="shared" si="214"/>
        <v>3.6046913762703472</v>
      </c>
      <c r="AV339">
        <f t="shared" si="215"/>
        <v>3.6048958505304238</v>
      </c>
      <c r="AW339" s="11" t="str">
        <f t="shared" si="216"/>
        <v>UP</v>
      </c>
      <c r="AX339" s="11" t="str">
        <f t="shared" si="217"/>
        <v>DOWN</v>
      </c>
      <c r="AY339" s="6" t="str">
        <f t="shared" si="218"/>
        <v>NEGATIVE</v>
      </c>
      <c r="AZ339" s="12" cm="1">
        <f t="array" ref="AZ339">_xll.BDP($B339, "INTERVAL_RSI", "TECH_STUDIES_PARAM1_OVERRIDE", "5", "PERIODICITY_OVERRIDE", "W")</f>
        <v>59.124548222055857</v>
      </c>
      <c r="BA339" cm="1">
        <f t="array" ref="BA339">IFERROR(VALUE(_xll.BDP($B339,"INTERVAL_MAE_MOV_AVG","CALC_INTERVAL","520D","TECH_STUDIES_PARAM1_OVERRIDE",31,"USE_PREVIOUS_BUSINESS_DAY","N")),"")</f>
        <v>24988.870967741936</v>
      </c>
      <c r="BB339" cm="1">
        <f t="array" ref="BB339">IFERROR(VALUE(_xll.BDP($B339,"INTERVAL_MAE_MOV_AVG","CALC_INTERVAL","760D","TECH_STUDIES_PARAM1_OVERRIDE",200,"USE_PREVIOUS_BUSINESS_DAY","N")),"")</f>
        <v>24145.559350000007</v>
      </c>
      <c r="BC339" s="13">
        <f t="shared" si="219"/>
        <v>-1.4354777287953757E-3</v>
      </c>
      <c r="BD339" s="13">
        <f t="shared" si="220"/>
        <v>1.2744615590018382E-2</v>
      </c>
      <c r="BE339" s="13">
        <f t="shared" si="221"/>
        <v>3.3440544420437757E-2</v>
      </c>
      <c r="BF339" s="14" cm="1">
        <f t="array" ref="BF339">VALUE(_xll.BDP($B339,"INTERVAL_DATE_OF_CALC_HI","CALC_INTERVAL","3M"))</f>
        <v>46035</v>
      </c>
      <c r="BG339" s="14" cm="1">
        <f t="array" ref="BG339">VALUE(_xll.BDP($B339,"INTERVAL_DATE_OF_CALC_LO","CALC_INTERVAL","3M"))</f>
        <v>45982</v>
      </c>
      <c r="BH339" s="14" cm="1">
        <f t="array" ref="BH339">VALUE(_xll.BDP($B339,"INTERVAL_DATE_OF_CALC_HI","CALC_INTERVAL","1M"))</f>
        <v>46035</v>
      </c>
      <c r="BI339" s="14" cm="1">
        <f t="array" ref="BI339">VALUE(_xll.BDP($B339,"INTERVAL_DATE_OF_CALC_LO","CALC_INTERVAL","1M"))</f>
        <v>46051</v>
      </c>
      <c r="BJ339" s="15">
        <f>$F339-MIN(_xll.BDP("NYA Index","RSI_14D"),_xll.BDP("RSP US Equity","RSI_14D"))</f>
        <v>-13.696147144078118</v>
      </c>
    </row>
    <row r="340" spans="1:62" x14ac:dyDescent="0.25">
      <c r="A340" s="11">
        <v>339</v>
      </c>
      <c r="B340" s="26" t="s">
        <v>724</v>
      </c>
      <c r="C340" s="1" t="s">
        <v>989</v>
      </c>
      <c r="D340" s="1" t="s">
        <v>716</v>
      </c>
      <c r="E340" s="11" t="s">
        <v>943</v>
      </c>
      <c r="F340">
        <f>IFERROR(VALUE((_xll.BDP($B340,"interval_rsi","tech_studies_param1_override",14))),"")</f>
        <v>54.556585805930162</v>
      </c>
      <c r="G340">
        <f t="shared" si="184"/>
        <v>52.525531939815814</v>
      </c>
      <c r="H340">
        <f t="shared" si="195"/>
        <v>0</v>
      </c>
      <c r="I340" cm="1">
        <f t="array" ref="I340">IFERROR(VALUE(_xll.BDP($B340,"px_last")),"")</f>
        <v>9254</v>
      </c>
      <c r="J340">
        <f t="shared" si="185"/>
        <v>6941.47</v>
      </c>
      <c r="K340" cm="1">
        <f t="array" ref="K340">IFERROR(VALUE(_xll.BDP($B340,"PX_YEST_CLOSE")),"")</f>
        <v>9257</v>
      </c>
      <c r="L340">
        <f t="shared" si="186"/>
        <v>6941.81</v>
      </c>
      <c r="M340">
        <f t="shared" si="196"/>
        <v>1.3331470135288346</v>
      </c>
      <c r="N340">
        <f t="shared" si="197"/>
        <v>1.3335138818262096</v>
      </c>
      <c r="O340" cm="1">
        <f t="array" ref="O340">IFERROR(VALUE(_xll.BDP($B340,"INTERVAL_MAE_MOV_AVG","CALC_INTERVAL","520D","TECH_STUDIES_PARAM1_OVERRIDE",50,"USE_PREVIOUS_BUSINESS_DAY","N")),"")</f>
        <v>9091.14</v>
      </c>
      <c r="P340">
        <f t="shared" si="187"/>
        <v>6894.0953999999992</v>
      </c>
      <c r="Q340" cm="1">
        <f t="array" ref="Q340">IFERROR(VALUE(_xll.BDP($B340,"INTERVAL_MAE_MOV_AVG","CALC_INTERVAL","520D","TECH_STUDIES_PARAM1_OVERRIDE",50,"USE_PREVIOUS_BUSINESS_DAY","Y")),"")</f>
        <v>9089.36</v>
      </c>
      <c r="R340">
        <f t="shared" si="188"/>
        <v>6892.2477999999992</v>
      </c>
      <c r="S340">
        <f t="shared" si="198"/>
        <v>1.3186849720704474</v>
      </c>
      <c r="T340">
        <f t="shared" si="199"/>
        <v>1.3187802098467791</v>
      </c>
      <c r="U340" s="11" t="str">
        <f t="shared" si="200"/>
        <v>NEGATIVE</v>
      </c>
      <c r="V340" s="11" t="str">
        <f t="shared" si="201"/>
        <v/>
      </c>
      <c r="W340" s="11" t="str">
        <f t="shared" si="202"/>
        <v>DOWN</v>
      </c>
      <c r="X340" s="6" t="str">
        <f t="shared" si="203"/>
        <v>POSITIVE</v>
      </c>
      <c r="Y340" cm="1">
        <f t="array" ref="Y340">IFERROR(VALUE(_xll.BDP($B340,"INTERVAL_MAE_MOV_AVG","CALC_INTERVAL","520D","TECH_STUDIES_PARAM1_OVERRIDE",65,"USE_PREVIOUS_BUSINESS_DAY","N")),"")</f>
        <v>9121.5230769230766</v>
      </c>
      <c r="Z340">
        <f t="shared" si="189"/>
        <v>6856.0226153846133</v>
      </c>
      <c r="AA340" cm="1">
        <f t="array" ref="AA340">IFERROR(VALUE(_xll.BDP($B340,"INTERVAL_MAE_MOV_AVG","CALC_INTERVAL","520D","TECH_STUDIES_PARAM1_OVERRIDE",65,"USE_PREVIOUS_BUSINESS_DAY","Y")),"")</f>
        <v>9124.8307692307699</v>
      </c>
      <c r="AB340">
        <f t="shared" si="190"/>
        <v>6852.6203076923057</v>
      </c>
      <c r="AC340">
        <f t="shared" si="204"/>
        <v>1.3304394674041446</v>
      </c>
      <c r="AD340">
        <f t="shared" si="205"/>
        <v>1.3315827171961985</v>
      </c>
      <c r="AE340" s="10" t="str">
        <f t="shared" si="206"/>
        <v>DOWN</v>
      </c>
      <c r="AF340" s="10" t="str">
        <f t="shared" si="207"/>
        <v>DOWN</v>
      </c>
      <c r="AG340" s="6" t="str">
        <f t="shared" si="208"/>
        <v>POSITIVE</v>
      </c>
      <c r="AH340" cm="1">
        <f t="array" ref="AH340">IFERROR(VALUE(_xll.BDP($B340,"INTERVAL_MAE_MOV_AVG","CALC_INTERVAL","65W","PERIODICITY_OVERRIDE","W","TECH_STUDIES_PARAM1_OVERRIDE",39,"USE_PREVIOUS_BUSINESS_DAY","N")),"")</f>
        <v>9038.7179487179492</v>
      </c>
      <c r="AI340">
        <f t="shared" si="191"/>
        <v>6560.7735897435905</v>
      </c>
      <c r="AJ340" cm="1">
        <f t="array" ref="AJ340">IFERROR(VALUE(_xll.BDP($B340,"INTERVAL_MAE_MOV_AVG","CALC_INTERVAL","65W","PERIODICITY_OVERRIDE","W","TECH_STUDIES_PARAM1_OVERRIDE",39,"USE_PREVIOUS_BUSINESS_DAY","Y")),"")</f>
        <v>9038.3846153846152</v>
      </c>
      <c r="AK340">
        <f t="shared" si="192"/>
        <v>6560.7823076923087</v>
      </c>
      <c r="AL340">
        <f t="shared" si="209"/>
        <v>1.3776908812777979</v>
      </c>
      <c r="AM340">
        <f t="shared" si="210"/>
        <v>1.3776382436569183</v>
      </c>
      <c r="AN340" s="10" t="str">
        <f t="shared" si="211"/>
        <v>UP</v>
      </c>
      <c r="AO340" s="10" t="str">
        <f t="shared" si="212"/>
        <v>UP</v>
      </c>
      <c r="AP340" s="6" t="str">
        <f t="shared" si="213"/>
        <v>NEGATIVE</v>
      </c>
      <c r="AQ340" cm="1">
        <f t="array" ref="AQ340">IFERROR(VALUE(_xll.BDP($B340,"INTERVAL_exp_MOV_AVG","CALC_INTERVAL","520D","TECH_STUDIES_PARAM1_OVERRIDE",100,"USE_PREVIOUS_BUSINESS_DAY","N")),"")</f>
        <v>9123.3365673024982</v>
      </c>
      <c r="AR340">
        <f t="shared" si="193"/>
        <v>6773.0064518682802</v>
      </c>
      <c r="AS340" cm="1">
        <f t="array" ref="AS340">IFERROR(VALUE(_xll.BDP($B340,"INTERVAL_exp_MOV_AVG","CALC_INTERVAL","520D","TECH_STUDIES_PARAM1_OVERRIDE",100,"USE_PREVIOUS_BUSINESS_DAY","Y")),"")</f>
        <v>9120.6357144775284</v>
      </c>
      <c r="AT340">
        <f t="shared" si="194"/>
        <v>6769.6039787132295</v>
      </c>
      <c r="AU340">
        <f t="shared" si="214"/>
        <v>1.3470143033432218</v>
      </c>
      <c r="AV340">
        <f t="shared" si="215"/>
        <v>1.3472923590740362</v>
      </c>
      <c r="AW340" s="11" t="str">
        <f t="shared" si="216"/>
        <v>UP</v>
      </c>
      <c r="AX340" s="11" t="str">
        <f t="shared" si="217"/>
        <v>DOWN</v>
      </c>
      <c r="AY340" s="6" t="str">
        <f t="shared" si="218"/>
        <v>NEGATIVE</v>
      </c>
      <c r="AZ340" s="12" cm="1">
        <f t="array" ref="AZ340">_xll.BDP($B340, "INTERVAL_RSI", "TECH_STUDIES_PARAM1_OVERRIDE", "5", "PERIODICITY_OVERRIDE", "W")</f>
        <v>55.836718558322893</v>
      </c>
      <c r="BA340" cm="1">
        <f t="array" ref="BA340">IFERROR(VALUE(_xll.BDP($B340,"INTERVAL_MAE_MOV_AVG","CALC_INTERVAL","520D","TECH_STUDIES_PARAM1_OVERRIDE",31,"USE_PREVIOUS_BUSINESS_DAY","N")),"")</f>
        <v>9173.2903225806458</v>
      </c>
      <c r="BB340" cm="1">
        <f t="array" ref="BB340">IFERROR(VALUE(_xll.BDP($B340,"INTERVAL_MAE_MOV_AVG","CALC_INTERVAL","760D","TECH_STUDIES_PARAM1_OVERRIDE",200,"USE_PREVIOUS_BUSINESS_DAY","N")),"")</f>
        <v>9026.1650000000009</v>
      </c>
      <c r="BC340" s="13">
        <f t="shared" si="219"/>
        <v>8.798334575837119E-3</v>
      </c>
      <c r="BD340" s="13">
        <f t="shared" si="220"/>
        <v>1.7914144980717639E-2</v>
      </c>
      <c r="BE340" s="13">
        <f t="shared" si="221"/>
        <v>2.5241617010103301E-2</v>
      </c>
      <c r="BF340" s="14" cm="1">
        <f t="array" ref="BF340">VALUE(_xll.BDP($B340,"INTERVAL_DATE_OF_CALC_HI","CALC_INTERVAL","3M"))</f>
        <v>45974</v>
      </c>
      <c r="BG340" s="14" cm="1">
        <f t="array" ref="BG340">VALUE(_xll.BDP($B340,"INTERVAL_DATE_OF_CALC_LO","CALC_INTERVAL","3M"))</f>
        <v>46007</v>
      </c>
      <c r="BH340" s="14" cm="1">
        <f t="array" ref="BH340">VALUE(_xll.BDP($B340,"INTERVAL_DATE_OF_CALC_HI","CALC_INTERVAL","1M"))</f>
        <v>46051</v>
      </c>
      <c r="BI340" s="14" cm="1">
        <f t="array" ref="BI340">VALUE(_xll.BDP($B340,"INTERVAL_DATE_OF_CALC_LO","CALC_INTERVAL","1M"))</f>
        <v>46059</v>
      </c>
      <c r="BJ340" s="15">
        <f>$F340-MIN(_xll.BDP("NYA Index","RSI_14D"),_xll.BDP("RSP US Equity","RSI_14D"))</f>
        <v>-11.789178354226088</v>
      </c>
    </row>
    <row r="341" spans="1:62" x14ac:dyDescent="0.25">
      <c r="A341" s="11">
        <v>340</v>
      </c>
      <c r="B341" s="26" t="s">
        <v>725</v>
      </c>
      <c r="C341" s="1" t="s">
        <v>990</v>
      </c>
      <c r="D341" s="1" t="s">
        <v>716</v>
      </c>
      <c r="E341" s="11" t="s">
        <v>943</v>
      </c>
      <c r="F341">
        <f>IFERROR(VALUE((_xll.BDP($B341,"interval_rsi","tech_studies_param1_override",14))),"")</f>
        <v>57.420234909209775</v>
      </c>
      <c r="G341">
        <f t="shared" si="184"/>
        <v>52.525531939815814</v>
      </c>
      <c r="H341">
        <f t="shared" si="195"/>
        <v>0</v>
      </c>
      <c r="I341" cm="1">
        <f t="array" ref="I341">IFERROR(VALUE(_xll.BDP($B341,"px_last")),"")</f>
        <v>27206</v>
      </c>
      <c r="J341">
        <f t="shared" si="185"/>
        <v>6941.47</v>
      </c>
      <c r="K341" cm="1">
        <f t="array" ref="K341">IFERROR(VALUE(_xll.BDP($B341,"PX_YEST_CLOSE")),"")</f>
        <v>27226</v>
      </c>
      <c r="L341">
        <f t="shared" si="186"/>
        <v>6941.81</v>
      </c>
      <c r="M341">
        <f t="shared" si="196"/>
        <v>3.9193427328793469</v>
      </c>
      <c r="N341">
        <f t="shared" si="197"/>
        <v>3.922031862007171</v>
      </c>
      <c r="O341" cm="1">
        <f t="array" ref="O341">IFERROR(VALUE(_xll.BDP($B341,"INTERVAL_MAE_MOV_AVG","CALC_INTERVAL","520D","TECH_STUDIES_PARAM1_OVERRIDE",50,"USE_PREVIOUS_BUSINESS_DAY","N")),"")</f>
        <v>26356.260000000002</v>
      </c>
      <c r="P341">
        <f t="shared" si="187"/>
        <v>6894.0953999999992</v>
      </c>
      <c r="Q341" cm="1">
        <f t="array" ref="Q341">IFERROR(VALUE(_xll.BDP($B341,"INTERVAL_MAE_MOV_AVG","CALC_INTERVAL","520D","TECH_STUDIES_PARAM1_OVERRIDE",50,"USE_PREVIOUS_BUSINESS_DAY","Y")),"")</f>
        <v>26333.440000000002</v>
      </c>
      <c r="R341">
        <f t="shared" si="188"/>
        <v>6892.2477999999992</v>
      </c>
      <c r="S341">
        <f t="shared" si="198"/>
        <v>3.8230193333268936</v>
      </c>
      <c r="T341">
        <f t="shared" si="199"/>
        <v>3.8207332011481081</v>
      </c>
      <c r="U341" s="11" t="str">
        <f t="shared" si="200"/>
        <v>NEGATIVE</v>
      </c>
      <c r="V341" s="11" t="str">
        <f t="shared" si="201"/>
        <v/>
      </c>
      <c r="W341" s="11" t="str">
        <f t="shared" si="202"/>
        <v>UP</v>
      </c>
      <c r="X341" s="6" t="str">
        <f t="shared" si="203"/>
        <v>POSITIVE</v>
      </c>
      <c r="Y341" cm="1">
        <f t="array" ref="Y341">IFERROR(VALUE(_xll.BDP($B341,"INTERVAL_MAE_MOV_AVG","CALC_INTERVAL","520D","TECH_STUDIES_PARAM1_OVERRIDE",65,"USE_PREVIOUS_BUSINESS_DAY","N")),"")</f>
        <v>26295.907692307694</v>
      </c>
      <c r="Z341">
        <f t="shared" si="189"/>
        <v>6856.0226153846133</v>
      </c>
      <c r="AA341" cm="1">
        <f t="array" ref="AA341">IFERROR(VALUE(_xll.BDP($B341,"INTERVAL_MAE_MOV_AVG","CALC_INTERVAL","520D","TECH_STUDIES_PARAM1_OVERRIDE",65,"USE_PREVIOUS_BUSINESS_DAY","Y")),"")</f>
        <v>26288.569230769233</v>
      </c>
      <c r="AB341">
        <f t="shared" si="190"/>
        <v>6852.6203076923057</v>
      </c>
      <c r="AC341">
        <f t="shared" si="204"/>
        <v>3.8354464632746152</v>
      </c>
      <c r="AD341">
        <f t="shared" si="205"/>
        <v>3.836279853599855</v>
      </c>
      <c r="AE341" s="10" t="str">
        <f t="shared" si="206"/>
        <v>UP</v>
      </c>
      <c r="AF341" s="10" t="str">
        <f t="shared" si="207"/>
        <v>DOWN</v>
      </c>
      <c r="AG341" s="6" t="str">
        <f t="shared" si="208"/>
        <v>POSITIVE</v>
      </c>
      <c r="AH341" cm="1">
        <f t="array" ref="AH341">IFERROR(VALUE(_xll.BDP($B341,"INTERVAL_MAE_MOV_AVG","CALC_INTERVAL","65W","PERIODICITY_OVERRIDE","W","TECH_STUDIES_PARAM1_OVERRIDE",39,"USE_PREVIOUS_BUSINESS_DAY","N")),"")</f>
        <v>25529.615384615383</v>
      </c>
      <c r="AI341">
        <f t="shared" si="191"/>
        <v>6560.7735897435905</v>
      </c>
      <c r="AJ341" cm="1">
        <f t="array" ref="AJ341">IFERROR(VALUE(_xll.BDP($B341,"INTERVAL_MAE_MOV_AVG","CALC_INTERVAL","65W","PERIODICITY_OVERRIDE","W","TECH_STUDIES_PARAM1_OVERRIDE",39,"USE_PREVIOUS_BUSINESS_DAY","Y")),"")</f>
        <v>25528.307692307691</v>
      </c>
      <c r="AK341">
        <f t="shared" si="192"/>
        <v>6560.7823076923087</v>
      </c>
      <c r="AL341">
        <f t="shared" si="209"/>
        <v>3.8912507855057892</v>
      </c>
      <c r="AM341">
        <f t="shared" si="210"/>
        <v>3.891046295253016</v>
      </c>
      <c r="AN341" s="10" t="str">
        <f t="shared" si="211"/>
        <v>UP</v>
      </c>
      <c r="AO341" s="10" t="str">
        <f t="shared" si="212"/>
        <v>UP</v>
      </c>
      <c r="AP341" s="6" t="str">
        <f t="shared" si="213"/>
        <v>POSITIVE</v>
      </c>
      <c r="AQ341" cm="1">
        <f t="array" ref="AQ341">IFERROR(VALUE(_xll.BDP($B341,"INTERVAL_exp_MOV_AVG","CALC_INTERVAL","520D","TECH_STUDIES_PARAM1_OVERRIDE",100,"USE_PREVIOUS_BUSINESS_DAY","N")),"")</f>
        <v>26186.360049037801</v>
      </c>
      <c r="AR341">
        <f t="shared" si="193"/>
        <v>6773.0064518682802</v>
      </c>
      <c r="AS341" cm="1">
        <f t="array" ref="AS341">IFERROR(VALUE(_xll.BDP($B341,"INTERVAL_exp_MOV_AVG","CALC_INTERVAL","520D","TECH_STUDIES_PARAM1_OVERRIDE",100,"USE_PREVIOUS_BUSINESS_DAY","Y")),"")</f>
        <v>26165.355283554476</v>
      </c>
      <c r="AT341">
        <f t="shared" si="194"/>
        <v>6769.6039787132295</v>
      </c>
      <c r="AU341">
        <f t="shared" si="214"/>
        <v>3.8662830509801891</v>
      </c>
      <c r="AV341">
        <f t="shared" si="215"/>
        <v>3.8651234792803941</v>
      </c>
      <c r="AW341" s="11" t="str">
        <f t="shared" si="216"/>
        <v>UP</v>
      </c>
      <c r="AX341" s="11" t="str">
        <f t="shared" si="217"/>
        <v>UP</v>
      </c>
      <c r="AY341" s="6" t="str">
        <f t="shared" si="218"/>
        <v>POSITIVE</v>
      </c>
      <c r="AZ341" s="12" cm="1">
        <f t="array" ref="AZ341">_xll.BDP($B341, "INTERVAL_RSI", "TECH_STUDIES_PARAM1_OVERRIDE", "5", "PERIODICITY_OVERRIDE", "W")</f>
        <v>61.930039475847828</v>
      </c>
      <c r="BA341" cm="1">
        <f t="array" ref="BA341">IFERROR(VALUE(_xll.BDP($B341,"INTERVAL_MAE_MOV_AVG","CALC_INTERVAL","520D","TECH_STUDIES_PARAM1_OVERRIDE",31,"USE_PREVIOUS_BUSINESS_DAY","N")),"")</f>
        <v>26755.129032258064</v>
      </c>
      <c r="BB341" cm="1">
        <f t="array" ref="BB341">IFERROR(VALUE(_xll.BDP($B341,"INTERVAL_MAE_MOV_AVG","CALC_INTERVAL","760D","TECH_STUDIES_PARAM1_OVERRIDE",200,"USE_PREVIOUS_BUSINESS_DAY","N")),"")</f>
        <v>25436.89</v>
      </c>
      <c r="BC341" s="13">
        <f t="shared" si="219"/>
        <v>1.6851758300187258E-2</v>
      </c>
      <c r="BD341" s="13">
        <f t="shared" si="220"/>
        <v>3.2240537921541135E-2</v>
      </c>
      <c r="BE341" s="13">
        <f t="shared" si="221"/>
        <v>6.9548989676017747E-2</v>
      </c>
      <c r="BF341" s="14" cm="1">
        <f t="array" ref="BF341">VALUE(_xll.BDP($B341,"INTERVAL_DATE_OF_CALC_HI","CALC_INTERVAL","3M"))</f>
        <v>46051</v>
      </c>
      <c r="BG341" s="14" cm="1">
        <f t="array" ref="BG341">VALUE(_xll.BDP($B341,"INTERVAL_DATE_OF_CALC_LO","CALC_INTERVAL","3M"))</f>
        <v>45982</v>
      </c>
      <c r="BH341" s="14" cm="1">
        <f t="array" ref="BH341">VALUE(_xll.BDP($B341,"INTERVAL_DATE_OF_CALC_HI","CALC_INTERVAL","1M"))</f>
        <v>46051</v>
      </c>
      <c r="BI341" s="14" cm="1">
        <f t="array" ref="BI341">VALUE(_xll.BDP($B341,"INTERVAL_DATE_OF_CALC_LO","CALC_INTERVAL","1M"))</f>
        <v>46042</v>
      </c>
      <c r="BJ341" s="15">
        <f>$F341-MIN(_xll.BDP("NYA Index","RSI_14D"),_xll.BDP("RSP US Equity","RSI_14D"))</f>
        <v>-8.9255292509464752</v>
      </c>
    </row>
    <row r="342" spans="1:62" x14ac:dyDescent="0.25">
      <c r="A342" s="11">
        <v>341</v>
      </c>
      <c r="B342" s="26" t="s">
        <v>998</v>
      </c>
      <c r="C342" s="1" t="s">
        <v>999</v>
      </c>
      <c r="D342" s="1" t="s">
        <v>716</v>
      </c>
      <c r="E342" s="11" t="s">
        <v>943</v>
      </c>
      <c r="F342">
        <f>IFERROR(VALUE((_xll.BDP($B342,"interval_rsi","tech_studies_param1_override",14))),"")</f>
        <v>59.798882878192401</v>
      </c>
      <c r="G342">
        <f t="shared" si="184"/>
        <v>52.525531939815814</v>
      </c>
      <c r="H342">
        <f t="shared" si="195"/>
        <v>0</v>
      </c>
      <c r="I342" cm="1">
        <f t="array" ref="I342">IFERROR(VALUE(_xll.BDP($B342,"px_last")),"")</f>
        <v>18077.5</v>
      </c>
      <c r="J342">
        <f t="shared" si="185"/>
        <v>6941.47</v>
      </c>
      <c r="K342" cm="1">
        <f t="array" ref="K342">IFERROR(VALUE(_xll.BDP($B342,"PX_YEST_CLOSE")),"")</f>
        <v>18077.5</v>
      </c>
      <c r="L342">
        <f t="shared" si="186"/>
        <v>6941.81</v>
      </c>
      <c r="M342">
        <f t="shared" si="196"/>
        <v>2.604275463266426</v>
      </c>
      <c r="N342">
        <f t="shared" si="197"/>
        <v>2.6041479095509672</v>
      </c>
      <c r="O342" cm="1">
        <f t="array" ref="O342">IFERROR(VALUE(_xll.BDP($B342,"INTERVAL_MAE_MOV_AVG","CALC_INTERVAL","520D","TECH_STUDIES_PARAM1_OVERRIDE",50,"USE_PREVIOUS_BUSINESS_DAY","N")),"")</f>
        <v>17400.964</v>
      </c>
      <c r="P342">
        <f t="shared" si="187"/>
        <v>6894.0953999999992</v>
      </c>
      <c r="Q342" cm="1">
        <f t="array" ref="Q342">IFERROR(VALUE(_xll.BDP($B342,"INTERVAL_MAE_MOV_AVG","CALC_INTERVAL","520D","TECH_STUDIES_PARAM1_OVERRIDE",50,"USE_PREVIOUS_BUSINESS_DAY","Y")),"")</f>
        <v>17367.060000000001</v>
      </c>
      <c r="R342">
        <f t="shared" si="188"/>
        <v>6892.2477999999992</v>
      </c>
      <c r="S342">
        <f t="shared" si="198"/>
        <v>2.5240387593127882</v>
      </c>
      <c r="T342">
        <f t="shared" si="199"/>
        <v>2.5197962267114082</v>
      </c>
      <c r="U342" s="11" t="str">
        <f t="shared" si="200"/>
        <v>NEGATIVE</v>
      </c>
      <c r="V342" s="11" t="str">
        <f t="shared" si="201"/>
        <v/>
      </c>
      <c r="W342" s="11" t="str">
        <f t="shared" si="202"/>
        <v>UP</v>
      </c>
      <c r="X342" s="6" t="str">
        <f t="shared" si="203"/>
        <v>POSITIVE</v>
      </c>
      <c r="Y342" cm="1">
        <f t="array" ref="Y342">IFERROR(VALUE(_xll.BDP($B342,"INTERVAL_MAE_MOV_AVG","CALC_INTERVAL","520D","TECH_STUDIES_PARAM1_OVERRIDE",65,"USE_PREVIOUS_BUSINESS_DAY","N")),"")</f>
        <v>17126.786153846155</v>
      </c>
      <c r="Z342">
        <f t="shared" si="189"/>
        <v>6856.0226153846133</v>
      </c>
      <c r="AA342" cm="1">
        <f t="array" ref="AA342">IFERROR(VALUE(_xll.BDP($B342,"INTERVAL_MAE_MOV_AVG","CALC_INTERVAL","520D","TECH_STUDIES_PARAM1_OVERRIDE",65,"USE_PREVIOUS_BUSINESS_DAY","Y")),"")</f>
        <v>17093.178461538464</v>
      </c>
      <c r="AB342">
        <f t="shared" si="190"/>
        <v>6852.6203076923057</v>
      </c>
      <c r="AC342">
        <f t="shared" si="204"/>
        <v>2.4980644193638453</v>
      </c>
      <c r="AD342">
        <f t="shared" si="205"/>
        <v>2.4944003452738763</v>
      </c>
      <c r="AE342" s="10" t="str">
        <f t="shared" si="206"/>
        <v>UP</v>
      </c>
      <c r="AF342" s="10" t="str">
        <f t="shared" si="207"/>
        <v>UP</v>
      </c>
      <c r="AG342" s="6" t="str">
        <f t="shared" si="208"/>
        <v>POSITIVE</v>
      </c>
      <c r="AH342" cm="1">
        <f t="array" ref="AH342">IFERROR(VALUE(_xll.BDP($B342,"INTERVAL_MAE_MOV_AVG","CALC_INTERVAL","65W","PERIODICITY_OVERRIDE","W","TECH_STUDIES_PARAM1_OVERRIDE",39,"USE_PREVIOUS_BUSINESS_DAY","N")),"")</f>
        <v>15659.676923076926</v>
      </c>
      <c r="AI342">
        <f t="shared" si="191"/>
        <v>6560.7735897435905</v>
      </c>
      <c r="AJ342" cm="1">
        <f t="array" ref="AJ342">IFERROR(VALUE(_xll.BDP($B342,"INTERVAL_MAE_MOV_AVG","CALC_INTERVAL","65W","PERIODICITY_OVERRIDE","W","TECH_STUDIES_PARAM1_OVERRIDE",39,"USE_PREVIOUS_BUSINESS_DAY","Y")),"")</f>
        <v>15661.120512820517</v>
      </c>
      <c r="AK342">
        <f t="shared" si="192"/>
        <v>6560.7823076923087</v>
      </c>
      <c r="AL342">
        <f t="shared" si="209"/>
        <v>2.3868644008013908</v>
      </c>
      <c r="AM342">
        <f t="shared" si="210"/>
        <v>2.3870812623150672</v>
      </c>
      <c r="AN342" s="10" t="str">
        <f t="shared" si="211"/>
        <v>DOWN</v>
      </c>
      <c r="AO342" s="10" t="str">
        <f t="shared" si="212"/>
        <v>DOWN</v>
      </c>
      <c r="AP342" s="6" t="str">
        <f t="shared" si="213"/>
        <v>POSITIVE</v>
      </c>
      <c r="AQ342" cm="1">
        <f t="array" ref="AQ342">IFERROR(VALUE(_xll.BDP($B342,"INTERVAL_exp_MOV_AVG","CALC_INTERVAL","520D","TECH_STUDIES_PARAM1_OVERRIDE",100,"USE_PREVIOUS_BUSINESS_DAY","N")),"")</f>
        <v>16727.583838993847</v>
      </c>
      <c r="AR342">
        <f t="shared" si="193"/>
        <v>6773.0064518682802</v>
      </c>
      <c r="AS342" cm="1">
        <f t="array" ref="AS342">IFERROR(VALUE(_xll.BDP($B342,"INTERVAL_exp_MOV_AVG","CALC_INTERVAL","520D","TECH_STUDIES_PARAM1_OVERRIDE",100,"USE_PREVIOUS_BUSINESS_DAY","Y")),"")</f>
        <v>16700.312935641206</v>
      </c>
      <c r="AT342">
        <f t="shared" si="194"/>
        <v>6769.6039787132295</v>
      </c>
      <c r="AU342">
        <f t="shared" si="214"/>
        <v>2.4697427882088721</v>
      </c>
      <c r="AV342">
        <f t="shared" si="215"/>
        <v>2.4669556724669164</v>
      </c>
      <c r="AW342" s="11" t="str">
        <f t="shared" si="216"/>
        <v>UP</v>
      </c>
      <c r="AX342" s="11" t="str">
        <f t="shared" si="217"/>
        <v>UP</v>
      </c>
      <c r="AY342" s="6" t="str">
        <f t="shared" si="218"/>
        <v>POSITIVE</v>
      </c>
      <c r="AZ342" s="12" cm="1">
        <f t="array" ref="AZ342">_xll.BDP($B342, "INTERVAL_RSI", "TECH_STUDIES_PARAM1_OVERRIDE", "5", "PERIODICITY_OVERRIDE", "W")</f>
        <v>87.74130845895013</v>
      </c>
      <c r="BA342" cm="1">
        <f t="array" ref="BA342">IFERROR(VALUE(_xll.BDP($B342,"INTERVAL_MAE_MOV_AVG","CALC_INTERVAL","520D","TECH_STUDIES_PARAM1_OVERRIDE",31,"USE_PREVIOUS_BUSINESS_DAY","N")),"")</f>
        <v>17722.570967741936</v>
      </c>
      <c r="BB342" cm="1">
        <f t="array" ref="BB342">IFERROR(VALUE(_xll.BDP($B342,"INTERVAL_MAE_MOV_AVG","CALC_INTERVAL","760D","TECH_STUDIES_PARAM1_OVERRIDE",200,"USE_PREVIOUS_BUSINESS_DAY","N")),"")</f>
        <v>15498.214999999989</v>
      </c>
      <c r="BC342" s="13">
        <f t="shared" si="219"/>
        <v>2.0026949414060358E-2</v>
      </c>
      <c r="BD342" s="13">
        <f t="shared" si="220"/>
        <v>3.8879225311885035E-2</v>
      </c>
      <c r="BE342" s="13">
        <f t="shared" si="221"/>
        <v>0.16642464954835212</v>
      </c>
      <c r="BF342" s="14" cm="1">
        <f t="array" ref="BF342">VALUE(_xll.BDP($B342,"INTERVAL_DATE_OF_CALC_HI","CALC_INTERVAL","3M"))</f>
        <v>46062</v>
      </c>
      <c r="BG342" s="14" cm="1">
        <f t="array" ref="BG342">VALUE(_xll.BDP($B342,"INTERVAL_DATE_OF_CALC_LO","CALC_INTERVAL","3M"))</f>
        <v>45979</v>
      </c>
      <c r="BH342" s="14" cm="1">
        <f t="array" ref="BH342">VALUE(_xll.BDP($B342,"INTERVAL_DATE_OF_CALC_HI","CALC_INTERVAL","1M"))</f>
        <v>46062</v>
      </c>
      <c r="BI342" s="14" cm="1">
        <f t="array" ref="BI342">VALUE(_xll.BDP($B342,"INTERVAL_DATE_OF_CALC_LO","CALC_INTERVAL","1M"))</f>
        <v>46042</v>
      </c>
      <c r="BJ342" s="15">
        <f>$F342-MIN(_xll.BDP("NYA Index","RSI_14D"),_xll.BDP("RSP US Equity","RSI_14D"))</f>
        <v>-6.5468812819638487</v>
      </c>
    </row>
    <row r="343" spans="1:62" x14ac:dyDescent="0.25">
      <c r="A343" s="11">
        <v>342</v>
      </c>
      <c r="B343" s="26" t="s">
        <v>728</v>
      </c>
      <c r="C343" s="1" t="s">
        <v>991</v>
      </c>
      <c r="D343" s="1" t="s">
        <v>716</v>
      </c>
      <c r="E343" s="11" t="s">
        <v>943</v>
      </c>
      <c r="F343">
        <f>IFERROR(VALUE((_xll.BDP($B343,"interval_rsi","tech_studies_param1_override",14))),"")</f>
        <v>52.902473278490838</v>
      </c>
      <c r="G343">
        <f t="shared" si="184"/>
        <v>52.525531939815814</v>
      </c>
      <c r="H343">
        <f t="shared" si="195"/>
        <v>0</v>
      </c>
      <c r="I343" cm="1">
        <f t="array" ref="I343">IFERROR(VALUE(_xll.BDP($B343,"px_last")),"")</f>
        <v>4716.2</v>
      </c>
      <c r="J343">
        <f t="shared" si="185"/>
        <v>6941.47</v>
      </c>
      <c r="K343" cm="1">
        <f t="array" ref="K343">IFERROR(VALUE(_xll.BDP($B343,"PX_YEST_CLOSE")),"")</f>
        <v>4716.2</v>
      </c>
      <c r="L343">
        <f t="shared" si="186"/>
        <v>6941.81</v>
      </c>
      <c r="M343">
        <f t="shared" si="196"/>
        <v>0.6794238108066446</v>
      </c>
      <c r="N343">
        <f t="shared" si="197"/>
        <v>0.67939053359282375</v>
      </c>
      <c r="O343" cm="1">
        <f t="array" ref="O343">IFERROR(VALUE(_xll.BDP($B343,"INTERVAL_MAE_MOV_AVG","CALC_INTERVAL","520D","TECH_STUDIES_PARAM1_OVERRIDE",50,"USE_PREVIOUS_BUSINESS_DAY","N")),"")</f>
        <v>4660.7758000000013</v>
      </c>
      <c r="P343">
        <f t="shared" si="187"/>
        <v>6894.0953999999992</v>
      </c>
      <c r="Q343" cm="1">
        <f t="array" ref="Q343">IFERROR(VALUE(_xll.BDP($B343,"INTERVAL_MAE_MOV_AVG","CALC_INTERVAL","520D","TECH_STUDIES_PARAM1_OVERRIDE",50,"USE_PREVIOUS_BUSINESS_DAY","Y")),"")</f>
        <v>4657.4558000000006</v>
      </c>
      <c r="R343">
        <f t="shared" si="188"/>
        <v>6892.2477999999992</v>
      </c>
      <c r="S343">
        <f t="shared" si="198"/>
        <v>0.6760532788681749</v>
      </c>
      <c r="T343">
        <f t="shared" si="199"/>
        <v>0.67575280737874821</v>
      </c>
      <c r="U343" s="11" t="str">
        <f t="shared" si="200"/>
        <v>NEGATIVE</v>
      </c>
      <c r="V343" s="11" t="str">
        <f t="shared" si="201"/>
        <v/>
      </c>
      <c r="W343" s="11" t="str">
        <f t="shared" si="202"/>
        <v>UP</v>
      </c>
      <c r="X343" s="6" t="str">
        <f t="shared" si="203"/>
        <v>POSITIVE</v>
      </c>
      <c r="Y343" cm="1">
        <f t="array" ref="Y343">IFERROR(VALUE(_xll.BDP($B343,"INTERVAL_MAE_MOV_AVG","CALC_INTERVAL","520D","TECH_STUDIES_PARAM1_OVERRIDE",65,"USE_PREVIOUS_BUSINESS_DAY","N")),"")</f>
        <v>4637.1538461538466</v>
      </c>
      <c r="Z343">
        <f t="shared" si="189"/>
        <v>6856.0226153846133</v>
      </c>
      <c r="AA343" cm="1">
        <f t="array" ref="AA343">IFERROR(VALUE(_xll.BDP($B343,"INTERVAL_MAE_MOV_AVG","CALC_INTERVAL","520D","TECH_STUDIES_PARAM1_OVERRIDE",65,"USE_PREVIOUS_BUSINESS_DAY","Y")),"")</f>
        <v>4636.6153846153848</v>
      </c>
      <c r="AB343">
        <f t="shared" si="190"/>
        <v>6852.6203076923057</v>
      </c>
      <c r="AC343">
        <f t="shared" si="204"/>
        <v>0.6763620988863539</v>
      </c>
      <c r="AD343">
        <f t="shared" si="205"/>
        <v>0.6766193333972732</v>
      </c>
      <c r="AE343" s="10" t="str">
        <f t="shared" si="206"/>
        <v>UP</v>
      </c>
      <c r="AF343" s="10" t="str">
        <f t="shared" si="207"/>
        <v>DOWN</v>
      </c>
      <c r="AG343" s="6" t="str">
        <f t="shared" si="208"/>
        <v>POSITIVE</v>
      </c>
      <c r="AH343" cm="1">
        <f t="array" ref="AH343">IFERROR(VALUE(_xll.BDP($B343,"INTERVAL_MAE_MOV_AVG","CALC_INTERVAL","65W","PERIODICITY_OVERRIDE","W","TECH_STUDIES_PARAM1_OVERRIDE",39,"USE_PREVIOUS_BUSINESS_DAY","N")),"")</f>
        <v>4390.3279487179498</v>
      </c>
      <c r="AI343">
        <f t="shared" si="191"/>
        <v>6560.7735897435905</v>
      </c>
      <c r="AJ343" cm="1">
        <f t="array" ref="AJ343">IFERROR(VALUE(_xll.BDP($B343,"INTERVAL_MAE_MOV_AVG","CALC_INTERVAL","65W","PERIODICITY_OVERRIDE","W","TECH_STUDIES_PARAM1_OVERRIDE",39,"USE_PREVIOUS_BUSINESS_DAY","Y")),"")</f>
        <v>4390.5279487179496</v>
      </c>
      <c r="AK343">
        <f t="shared" si="192"/>
        <v>6560.7823076923087</v>
      </c>
      <c r="AL343">
        <f t="shared" si="209"/>
        <v>0.66917839621554953</v>
      </c>
      <c r="AM343">
        <f t="shared" si="210"/>
        <v>0.66920799118272756</v>
      </c>
      <c r="AN343" s="10" t="str">
        <f t="shared" si="211"/>
        <v>DOWN</v>
      </c>
      <c r="AO343" s="10" t="str">
        <f t="shared" si="212"/>
        <v>DOWN</v>
      </c>
      <c r="AP343" s="6" t="str">
        <f t="shared" si="213"/>
        <v>POSITIVE</v>
      </c>
      <c r="AQ343" cm="1">
        <f t="array" ref="AQ343">IFERROR(VALUE(_xll.BDP($B343,"INTERVAL_exp_MOV_AVG","CALC_INTERVAL","520D","TECH_STUDIES_PARAM1_OVERRIDE",100,"USE_PREVIOUS_BUSINESS_DAY","N")),"")</f>
        <v>4578.893550263535</v>
      </c>
      <c r="AR343">
        <f t="shared" si="193"/>
        <v>6773.0064518682802</v>
      </c>
      <c r="AS343" cm="1">
        <f t="array" ref="AS343">IFERROR(VALUE(_xll.BDP($B343,"INTERVAL_exp_MOV_AVG","CALC_INTERVAL","520D","TECH_STUDIES_PARAM1_OVERRIDE",100,"USE_PREVIOUS_BUSINESS_DAY","Y")),"")</f>
        <v>4576.1196825920915</v>
      </c>
      <c r="AT343">
        <f t="shared" si="194"/>
        <v>6769.6039787132295</v>
      </c>
      <c r="AU343">
        <f t="shared" si="214"/>
        <v>0.67605037479338048</v>
      </c>
      <c r="AV343">
        <f t="shared" si="215"/>
        <v>0.67598041140686094</v>
      </c>
      <c r="AW343" s="11" t="str">
        <f t="shared" si="216"/>
        <v>UP</v>
      </c>
      <c r="AX343" s="11" t="str">
        <f t="shared" si="217"/>
        <v>UP</v>
      </c>
      <c r="AY343" s="6" t="str">
        <f t="shared" si="218"/>
        <v>POSITIVE</v>
      </c>
      <c r="AZ343" s="12" cm="1">
        <f t="array" ref="AZ343">_xll.BDP($B343, "INTERVAL_RSI", "TECH_STUDIES_PARAM1_OVERRIDE", "5", "PERIODICITY_OVERRIDE", "W")</f>
        <v>60.033698975554714</v>
      </c>
      <c r="BA343" cm="1">
        <f t="array" ref="BA343">IFERROR(VALUE(_xll.BDP($B343,"INTERVAL_MAE_MOV_AVG","CALC_INTERVAL","520D","TECH_STUDIES_PARAM1_OVERRIDE",31,"USE_PREVIOUS_BUSINESS_DAY","N")),"")</f>
        <v>4714.0448387096776</v>
      </c>
      <c r="BB343" cm="1">
        <f t="array" ref="BB343">IFERROR(VALUE(_xll.BDP($B343,"INTERVAL_MAE_MOV_AVG","CALC_INTERVAL","760D","TECH_STUDIES_PARAM1_OVERRIDE",200,"USE_PREVIOUS_BUSINESS_DAY","N")),"")</f>
        <v>4328.7441500000014</v>
      </c>
      <c r="BC343" s="13">
        <f t="shared" si="219"/>
        <v>4.5717878468720663E-4</v>
      </c>
      <c r="BD343" s="13">
        <f t="shared" si="220"/>
        <v>1.189162542424782E-2</v>
      </c>
      <c r="BE343" s="13">
        <f t="shared" si="221"/>
        <v>8.9507680882455976E-2</v>
      </c>
      <c r="BF343" s="14" cm="1">
        <f t="array" ref="BF343">VALUE(_xll.BDP($B343,"INTERVAL_DATE_OF_CALC_HI","CALC_INTERVAL","3M"))</f>
        <v>46034</v>
      </c>
      <c r="BG343" s="14" cm="1">
        <f t="array" ref="BG343">VALUE(_xll.BDP($B343,"INTERVAL_DATE_OF_CALC_LO","CALC_INTERVAL","3M"))</f>
        <v>45985</v>
      </c>
      <c r="BH343" s="14" cm="1">
        <f t="array" ref="BH343">VALUE(_xll.BDP($B343,"INTERVAL_DATE_OF_CALC_HI","CALC_INTERVAL","1M"))</f>
        <v>46034</v>
      </c>
      <c r="BI343" s="14" cm="1">
        <f t="array" ref="BI343">VALUE(_xll.BDP($B343,"INTERVAL_DATE_OF_CALC_LO","CALC_INTERVAL","1M"))</f>
        <v>46055</v>
      </c>
      <c r="BJ343" s="15">
        <f>$F343-MIN(_xll.BDP("NYA Index","RSI_14D"),_xll.BDP("RSP US Equity","RSI_14D"))</f>
        <v>-13.443290881665412</v>
      </c>
    </row>
    <row r="344" spans="1:62" x14ac:dyDescent="0.25">
      <c r="A344" s="11">
        <v>343</v>
      </c>
      <c r="B344" s="26" t="s">
        <v>729</v>
      </c>
      <c r="C344" s="1" t="s">
        <v>992</v>
      </c>
      <c r="D344" s="1" t="s">
        <v>716</v>
      </c>
      <c r="E344" s="11" t="s">
        <v>943</v>
      </c>
      <c r="F344">
        <f>IFERROR(VALUE((_xll.BDP($B344,"interval_rsi","tech_studies_param1_override",14))),"")</f>
        <v>65.375462916540187</v>
      </c>
      <c r="G344">
        <f t="shared" si="184"/>
        <v>52.525531939815814</v>
      </c>
      <c r="H344">
        <f t="shared" si="195"/>
        <v>1</v>
      </c>
      <c r="I344" cm="1">
        <f t="array" ref="I344">IFERROR(VALUE(_xll.BDP($B344,"px_last")),"")</f>
        <v>806.80000000000007</v>
      </c>
      <c r="J344">
        <f t="shared" si="185"/>
        <v>6941.47</v>
      </c>
      <c r="K344" cm="1">
        <f t="array" ref="K344">IFERROR(VALUE(_xll.BDP($B344,"PX_YEST_CLOSE")),"")</f>
        <v>786.1</v>
      </c>
      <c r="L344">
        <f t="shared" si="186"/>
        <v>6941.81</v>
      </c>
      <c r="M344">
        <f t="shared" si="196"/>
        <v>0.1162289831980834</v>
      </c>
      <c r="N344">
        <f t="shared" si="197"/>
        <v>0.11324135924204205</v>
      </c>
      <c r="O344" cm="1">
        <f t="array" ref="O344">IFERROR(VALUE(_xll.BDP($B344,"INTERVAL_MAE_MOV_AVG","CALC_INTERVAL","520D","TECH_STUDIES_PARAM1_OVERRIDE",50,"USE_PREVIOUS_BUSINESS_DAY","N")),"")</f>
        <v>661.16300000000024</v>
      </c>
      <c r="P344">
        <f t="shared" si="187"/>
        <v>6894.0953999999992</v>
      </c>
      <c r="Q344" cm="1">
        <f t="array" ref="Q344">IFERROR(VALUE(_xll.BDP($B344,"INTERVAL_MAE_MOV_AVG","CALC_INTERVAL","520D","TECH_STUDIES_PARAM1_OVERRIDE",50,"USE_PREVIOUS_BUSINESS_DAY","Y")),"")</f>
        <v>656.55900000000008</v>
      </c>
      <c r="R344">
        <f t="shared" si="188"/>
        <v>6892.2477999999992</v>
      </c>
      <c r="S344">
        <f t="shared" si="198"/>
        <v>9.5902792409864296E-2</v>
      </c>
      <c r="T344">
        <f t="shared" si="199"/>
        <v>9.5260504127550397E-2</v>
      </c>
      <c r="U344" s="11" t="str">
        <f t="shared" si="200"/>
        <v>POSITIVE</v>
      </c>
      <c r="V344" s="11" t="str">
        <f t="shared" si="201"/>
        <v/>
      </c>
      <c r="W344" s="11" t="str">
        <f t="shared" si="202"/>
        <v>UP</v>
      </c>
      <c r="X344" s="6" t="str">
        <f t="shared" si="203"/>
        <v>POSITIVE</v>
      </c>
      <c r="Y344" cm="1">
        <f t="array" ref="Y344">IFERROR(VALUE(_xll.BDP($B344,"INTERVAL_MAE_MOV_AVG","CALC_INTERVAL","520D","TECH_STUDIES_PARAM1_OVERRIDE",65,"USE_PREVIOUS_BUSINESS_DAY","N")),"")</f>
        <v>638.74153846153877</v>
      </c>
      <c r="Z344">
        <f t="shared" si="189"/>
        <v>6856.0226153846133</v>
      </c>
      <c r="AA344" cm="1">
        <f t="array" ref="AA344">IFERROR(VALUE(_xll.BDP($B344,"INTERVAL_MAE_MOV_AVG","CALC_INTERVAL","520D","TECH_STUDIES_PARAM1_OVERRIDE",65,"USE_PREVIOUS_BUSINESS_DAY","Y")),"")</f>
        <v>635.24307692307707</v>
      </c>
      <c r="AB344">
        <f t="shared" si="190"/>
        <v>6852.6203076923057</v>
      </c>
      <c r="AC344">
        <f t="shared" si="204"/>
        <v>9.3165027931534361E-2</v>
      </c>
      <c r="AD344">
        <f t="shared" si="205"/>
        <v>9.270075509801623E-2</v>
      </c>
      <c r="AE344" s="10" t="str">
        <f t="shared" si="206"/>
        <v>UP</v>
      </c>
      <c r="AF344" s="10" t="str">
        <f t="shared" si="207"/>
        <v>UP</v>
      </c>
      <c r="AG344" s="6" t="str">
        <f t="shared" si="208"/>
        <v>POSITIVE</v>
      </c>
      <c r="AH344" cm="1">
        <f t="array" ref="AH344">IFERROR(VALUE(_xll.BDP($B344,"INTERVAL_MAE_MOV_AVG","CALC_INTERVAL","65W","PERIODICITY_OVERRIDE","W","TECH_STUDIES_PARAM1_OVERRIDE",39,"USE_PREVIOUS_BUSINESS_DAY","N")),"")</f>
        <v>518.74102564102554</v>
      </c>
      <c r="AI344">
        <f t="shared" si="191"/>
        <v>6560.7735897435905</v>
      </c>
      <c r="AJ344" cm="1">
        <f t="array" ref="AJ344">IFERROR(VALUE(_xll.BDP($B344,"INTERVAL_MAE_MOV_AVG","CALC_INTERVAL","65W","PERIODICITY_OVERRIDE","W","TECH_STUDIES_PARAM1_OVERRIDE",39,"USE_PREVIOUS_BUSINESS_DAY","Y")),"")</f>
        <v>518.6102564102564</v>
      </c>
      <c r="AK344">
        <f t="shared" si="192"/>
        <v>6560.7823076923087</v>
      </c>
      <c r="AL344">
        <f t="shared" si="209"/>
        <v>7.9067051856806889E-2</v>
      </c>
      <c r="AM344">
        <f t="shared" si="210"/>
        <v>7.9047014835746401E-2</v>
      </c>
      <c r="AN344" s="10" t="str">
        <f t="shared" si="211"/>
        <v>UP</v>
      </c>
      <c r="AO344" s="10" t="str">
        <f t="shared" si="212"/>
        <v>UP</v>
      </c>
      <c r="AP344" s="6" t="str">
        <f t="shared" si="213"/>
        <v>POSITIVE</v>
      </c>
      <c r="AQ344" cm="1">
        <f t="array" ref="AQ344">IFERROR(VALUE(_xll.BDP($B344,"INTERVAL_exp_MOV_AVG","CALC_INTERVAL","520D","TECH_STUDIES_PARAM1_OVERRIDE",100,"USE_PREVIOUS_BUSINESS_DAY","N")),"")</f>
        <v>612.7658502771427</v>
      </c>
      <c r="AR344">
        <f t="shared" si="193"/>
        <v>6773.0064518682802</v>
      </c>
      <c r="AS344" cm="1">
        <f t="array" ref="AS344">IFERROR(VALUE(_xll.BDP($B344,"INTERVAL_exp_MOV_AVG","CALC_INTERVAL","520D","TECH_STUDIES_PARAM1_OVERRIDE",100,"USE_PREVIOUS_BUSINESS_DAY","Y")),"")</f>
        <v>609.26417215820709</v>
      </c>
      <c r="AT344">
        <f t="shared" si="194"/>
        <v>6769.6039787132295</v>
      </c>
      <c r="AU344">
        <f t="shared" si="214"/>
        <v>9.0471765327805959E-2</v>
      </c>
      <c r="AV344">
        <f t="shared" si="215"/>
        <v>8.9999972535175748E-2</v>
      </c>
      <c r="AW344" s="11" t="str">
        <f t="shared" si="216"/>
        <v>UP</v>
      </c>
      <c r="AX344" s="11" t="str">
        <f t="shared" si="217"/>
        <v>UP</v>
      </c>
      <c r="AY344" s="6" t="str">
        <f t="shared" si="218"/>
        <v>POSITIVE</v>
      </c>
      <c r="AZ344" s="12" cm="1">
        <f t="array" ref="AZ344">_xll.BDP($B344, "INTERVAL_RSI", "TECH_STUDIES_PARAM1_OVERRIDE", "5", "PERIODICITY_OVERRIDE", "W")</f>
        <v>84.197868582207818</v>
      </c>
      <c r="BA344" cm="1">
        <f t="array" ref="BA344">IFERROR(VALUE(_xll.BDP($B344,"INTERVAL_MAE_MOV_AVG","CALC_INTERVAL","520D","TECH_STUDIES_PARAM1_OVERRIDE",31,"USE_PREVIOUS_BUSINESS_DAY","N")),"")</f>
        <v>712.79032258064535</v>
      </c>
      <c r="BB344" cm="1">
        <f t="array" ref="BB344">IFERROR(VALUE(_xll.BDP($B344,"INTERVAL_MAE_MOV_AVG","CALC_INTERVAL","760D","TECH_STUDIES_PARAM1_OVERRIDE",200,"USE_PREVIOUS_BUSINESS_DAY","N")),"")</f>
        <v>498.49900000000008</v>
      </c>
      <c r="BC344" s="13">
        <f t="shared" si="219"/>
        <v>0.13188966578417372</v>
      </c>
      <c r="BD344" s="13">
        <f t="shared" si="220"/>
        <v>0.22027397177397967</v>
      </c>
      <c r="BE344" s="13">
        <f t="shared" si="221"/>
        <v>0.61845861275549185</v>
      </c>
      <c r="BF344" s="14" cm="1">
        <f t="array" ref="BF344">VALUE(_xll.BDP($B344,"INTERVAL_DATE_OF_CALC_HI","CALC_INTERVAL","3M"))</f>
        <v>46057</v>
      </c>
      <c r="BG344" s="14" cm="1">
        <f t="array" ref="BG344">VALUE(_xll.BDP($B344,"INTERVAL_DATE_OF_CALC_LO","CALC_INTERVAL","3M"))</f>
        <v>45982</v>
      </c>
      <c r="BH344" s="14" cm="1">
        <f t="array" ref="BH344">VALUE(_xll.BDP($B344,"INTERVAL_DATE_OF_CALC_HI","CALC_INTERVAL","1M"))</f>
        <v>46057</v>
      </c>
      <c r="BI344" s="14" cm="1">
        <f t="array" ref="BI344">VALUE(_xll.BDP($B344,"INTERVAL_DATE_OF_CALC_LO","CALC_INTERVAL","1M"))</f>
        <v>46034</v>
      </c>
      <c r="BJ344" s="15">
        <f>$F344-MIN(_xll.BDP("NYA Index","RSI_14D"),_xll.BDP("RSP US Equity","RSI_14D"))</f>
        <v>-0.9703012436160634</v>
      </c>
    </row>
    <row r="345" spans="1:62" x14ac:dyDescent="0.25">
      <c r="A345" s="11">
        <v>344</v>
      </c>
      <c r="B345" s="26" t="s">
        <v>730</v>
      </c>
      <c r="C345" s="1" t="s">
        <v>968</v>
      </c>
      <c r="D345" s="1" t="s">
        <v>716</v>
      </c>
      <c r="E345" s="11" t="s">
        <v>943</v>
      </c>
      <c r="F345">
        <f>IFERROR(VALUE((_xll.BDP($B345,"interval_rsi","tech_studies_param1_override",14))),"")</f>
        <v>69.548979844326382</v>
      </c>
      <c r="G345">
        <f t="shared" si="184"/>
        <v>52.525531939815814</v>
      </c>
      <c r="H345">
        <f t="shared" si="195"/>
        <v>1</v>
      </c>
      <c r="I345" cm="1">
        <f t="array" ref="I345">IFERROR(VALUE(_xll.BDP($B345,"px_last")),"")</f>
        <v>1582.4</v>
      </c>
      <c r="J345">
        <f t="shared" si="185"/>
        <v>6941.47</v>
      </c>
      <c r="K345" cm="1">
        <f t="array" ref="K345">IFERROR(VALUE(_xll.BDP($B345,"PX_YEST_CLOSE")),"")</f>
        <v>1582.4</v>
      </c>
      <c r="L345">
        <f t="shared" si="186"/>
        <v>6941.81</v>
      </c>
      <c r="M345">
        <f t="shared" si="196"/>
        <v>0.22796324121547742</v>
      </c>
      <c r="N345">
        <f t="shared" si="197"/>
        <v>0.22795207589951325</v>
      </c>
      <c r="O345" cm="1">
        <f t="array" ref="O345">IFERROR(VALUE(_xll.BDP($B345,"INTERVAL_MAE_MOV_AVG","CALC_INTERVAL","520D","TECH_STUDIES_PARAM1_OVERRIDE",50,"USE_PREVIOUS_BUSINESS_DAY","N")),"")</f>
        <v>1457.5356004882813</v>
      </c>
      <c r="P345">
        <f t="shared" si="187"/>
        <v>6894.0953999999992</v>
      </c>
      <c r="Q345" cm="1">
        <f t="array" ref="Q345">IFERROR(VALUE(_xll.BDP($B345,"INTERVAL_MAE_MOV_AVG","CALC_INTERVAL","520D","TECH_STUDIES_PARAM1_OVERRIDE",50,"USE_PREVIOUS_BUSINESS_DAY","Y")),"")</f>
        <v>1453.4075999999998</v>
      </c>
      <c r="R345">
        <f t="shared" si="188"/>
        <v>6892.2477999999992</v>
      </c>
      <c r="S345">
        <f t="shared" si="198"/>
        <v>0.21141796217213377</v>
      </c>
      <c r="T345">
        <f t="shared" si="199"/>
        <v>0.2108757029890887</v>
      </c>
      <c r="U345" s="11" t="str">
        <f t="shared" si="200"/>
        <v>POSITIVE</v>
      </c>
      <c r="V345" s="11" t="str">
        <f t="shared" si="201"/>
        <v/>
      </c>
      <c r="W345" s="11" t="str">
        <f t="shared" si="202"/>
        <v>UP</v>
      </c>
      <c r="X345" s="6" t="str">
        <f t="shared" si="203"/>
        <v>POSITIVE</v>
      </c>
      <c r="Y345" cm="1">
        <f t="array" ref="Y345">IFERROR(VALUE(_xll.BDP($B345,"INTERVAL_MAE_MOV_AVG","CALC_INTERVAL","520D","TECH_STUDIES_PARAM1_OVERRIDE",65,"USE_PREVIOUS_BUSINESS_DAY","N")),"")</f>
        <v>1438.9181542217548</v>
      </c>
      <c r="Z345">
        <f t="shared" si="189"/>
        <v>6856.0226153846133</v>
      </c>
      <c r="AA345" cm="1">
        <f t="array" ref="AA345">IFERROR(VALUE(_xll.BDP($B345,"INTERVAL_MAE_MOV_AVG","CALC_INTERVAL","520D","TECH_STUDIES_PARAM1_OVERRIDE",65,"USE_PREVIOUS_BUSINESS_DAY","Y")),"")</f>
        <v>1436.2612307692305</v>
      </c>
      <c r="AB345">
        <f t="shared" si="190"/>
        <v>6852.6203076923057</v>
      </c>
      <c r="AC345">
        <f t="shared" si="204"/>
        <v>0.20987651805478086</v>
      </c>
      <c r="AD345">
        <f t="shared" si="205"/>
        <v>0.20959299746360921</v>
      </c>
      <c r="AE345" s="10" t="str">
        <f t="shared" si="206"/>
        <v>UP</v>
      </c>
      <c r="AF345" s="10" t="str">
        <f t="shared" si="207"/>
        <v>UP</v>
      </c>
      <c r="AG345" s="6" t="str">
        <f t="shared" si="208"/>
        <v>POSITIVE</v>
      </c>
      <c r="AH345" cm="1">
        <f t="array" ref="AH345">IFERROR(VALUE(_xll.BDP($B345,"INTERVAL_MAE_MOV_AVG","CALC_INTERVAL","65W","PERIODICITY_OVERRIDE","W","TECH_STUDIES_PARAM1_OVERRIDE",39,"USE_PREVIOUS_BUSINESS_DAY","N")),"")</f>
        <v>1339.029231395232</v>
      </c>
      <c r="AI345">
        <f t="shared" si="191"/>
        <v>6560.7735897435905</v>
      </c>
      <c r="AJ345" cm="1">
        <f t="array" ref="AJ345">IFERROR(VALUE(_xll.BDP($B345,"INTERVAL_MAE_MOV_AVG","CALC_INTERVAL","65W","PERIODICITY_OVERRIDE","W","TECH_STUDIES_PARAM1_OVERRIDE",39,"USE_PREVIOUS_BUSINESS_DAY","Y")),"")</f>
        <v>1338.41641025641</v>
      </c>
      <c r="AK345">
        <f t="shared" si="192"/>
        <v>6560.7823076923087</v>
      </c>
      <c r="AL345">
        <f t="shared" si="209"/>
        <v>0.20409624156037431</v>
      </c>
      <c r="AM345">
        <f t="shared" si="210"/>
        <v>0.20400256364049138</v>
      </c>
      <c r="AN345" s="10" t="str">
        <f t="shared" si="211"/>
        <v>UP</v>
      </c>
      <c r="AO345" s="10" t="str">
        <f t="shared" si="212"/>
        <v>UP</v>
      </c>
      <c r="AP345" s="6" t="str">
        <f t="shared" si="213"/>
        <v>POSITIVE</v>
      </c>
      <c r="AQ345" cm="1">
        <f t="array" ref="AQ345">IFERROR(VALUE(_xll.BDP($B345,"INTERVAL_exp_MOV_AVG","CALC_INTERVAL","520D","TECH_STUDIES_PARAM1_OVERRIDE",100,"USE_PREVIOUS_BUSINESS_DAY","N")),"")</f>
        <v>1422.0431470795747</v>
      </c>
      <c r="AR345">
        <f t="shared" si="193"/>
        <v>6773.0064518682802</v>
      </c>
      <c r="AS345" cm="1">
        <f t="array" ref="AS345">IFERROR(VALUE(_xll.BDP($B345,"INTERVAL_exp_MOV_AVG","CALC_INTERVAL","520D","TECH_STUDIES_PARAM1_OVERRIDE",100,"USE_PREVIOUS_BUSINESS_DAY","Y")),"")</f>
        <v>1418.8034672305182</v>
      </c>
      <c r="AT345">
        <f t="shared" si="194"/>
        <v>6769.6039787132295</v>
      </c>
      <c r="AU345">
        <f t="shared" si="214"/>
        <v>0.20995744758036003</v>
      </c>
      <c r="AV345">
        <f t="shared" si="215"/>
        <v>0.20958441168669445</v>
      </c>
      <c r="AW345" s="11" t="str">
        <f t="shared" si="216"/>
        <v>UP</v>
      </c>
      <c r="AX345" s="11" t="str">
        <f t="shared" si="217"/>
        <v>UP</v>
      </c>
      <c r="AY345" s="6" t="str">
        <f t="shared" si="218"/>
        <v>POSITIVE</v>
      </c>
      <c r="AZ345" s="12" cm="1">
        <f t="array" ref="AZ345">_xll.BDP($B345, "INTERVAL_RSI", "TECH_STUDIES_PARAM1_OVERRIDE", "5", "PERIODICITY_OVERRIDE", "W")</f>
        <v>93.477633232593718</v>
      </c>
      <c r="BA345" cm="1">
        <f t="array" ref="BA345">IFERROR(VALUE(_xll.BDP($B345,"INTERVAL_MAE_MOV_AVG","CALC_INTERVAL","520D","TECH_STUDIES_PARAM1_OVERRIDE",31,"USE_PREVIOUS_BUSINESS_DAY","N")),"")</f>
        <v>1503.4838717552925</v>
      </c>
      <c r="BB345" cm="1">
        <f t="array" ref="BB345">IFERROR(VALUE(_xll.BDP($B345,"INTERVAL_MAE_MOV_AVG","CALC_INTERVAL","760D","TECH_STUDIES_PARAM1_OVERRIDE",200,"USE_PREVIOUS_BUSINESS_DAY","N")),"")</f>
        <v>1326.6687001220705</v>
      </c>
      <c r="BC345" s="13">
        <f t="shared" si="219"/>
        <v>5.2488842565749927E-2</v>
      </c>
      <c r="BD345" s="13">
        <f t="shared" si="220"/>
        <v>8.5668164448188255E-2</v>
      </c>
      <c r="BE345" s="13">
        <f t="shared" si="221"/>
        <v>0.19276199088317902</v>
      </c>
      <c r="BF345" s="14" cm="1">
        <f t="array" ref="BF345">VALUE(_xll.BDP($B345,"INTERVAL_DATE_OF_CALC_HI","CALC_INTERVAL","3M"))</f>
        <v>46064</v>
      </c>
      <c r="BG345" s="14" cm="1">
        <f t="array" ref="BG345">VALUE(_xll.BDP($B345,"INTERVAL_DATE_OF_CALC_LO","CALC_INTERVAL","3M"))</f>
        <v>45982</v>
      </c>
      <c r="BH345" s="14" cm="1">
        <f t="array" ref="BH345">VALUE(_xll.BDP($B345,"INTERVAL_DATE_OF_CALC_HI","CALC_INTERVAL","1M"))</f>
        <v>46064</v>
      </c>
      <c r="BI345" s="14" cm="1">
        <f t="array" ref="BI345">VALUE(_xll.BDP($B345,"INTERVAL_DATE_OF_CALC_LO","CALC_INTERVAL","1M"))</f>
        <v>46042</v>
      </c>
      <c r="BJ345" s="15">
        <f>$F345-MIN(_xll.BDP("NYA Index","RSI_14D"),_xll.BDP("RSP US Equity","RSI_14D"))</f>
        <v>3.2032156841701322</v>
      </c>
    </row>
    <row r="346" spans="1:62" x14ac:dyDescent="0.25">
      <c r="A346" s="11">
        <v>345</v>
      </c>
      <c r="B346" s="26" t="s">
        <v>731</v>
      </c>
      <c r="C346" s="1" t="s">
        <v>969</v>
      </c>
      <c r="D346" s="1" t="s">
        <v>716</v>
      </c>
      <c r="E346" s="11" t="s">
        <v>943</v>
      </c>
      <c r="F346">
        <f>IFERROR(VALUE((_xll.BDP($B346,"interval_rsi","tech_studies_param1_override",14))),"")</f>
        <v>72.205884063102658</v>
      </c>
      <c r="G346">
        <f t="shared" si="184"/>
        <v>52.525531939815814</v>
      </c>
      <c r="H346">
        <f t="shared" si="195"/>
        <v>1</v>
      </c>
      <c r="I346" cm="1">
        <f t="array" ref="I346">IFERROR(VALUE(_xll.BDP($B346,"px_last")),"")</f>
        <v>58160</v>
      </c>
      <c r="J346">
        <f t="shared" si="185"/>
        <v>6941.47</v>
      </c>
      <c r="K346" cm="1">
        <f t="array" ref="K346">IFERROR(VALUE(_xll.BDP($B346,"PX_YEST_CLOSE")),"")</f>
        <v>57600</v>
      </c>
      <c r="L346">
        <f t="shared" si="186"/>
        <v>6941.81</v>
      </c>
      <c r="M346">
        <f t="shared" si="196"/>
        <v>8.3786287342594576</v>
      </c>
      <c r="N346">
        <f t="shared" si="197"/>
        <v>8.2975477577173677</v>
      </c>
      <c r="O346" cm="1">
        <f t="array" ref="O346">IFERROR(VALUE(_xll.BDP($B346,"INTERVAL_MAE_MOV_AVG","CALC_INTERVAL","520D","TECH_STUDIES_PARAM1_OVERRIDE",50,"USE_PREVIOUS_BUSINESS_DAY","N")),"")</f>
        <v>51960</v>
      </c>
      <c r="P346">
        <f t="shared" si="187"/>
        <v>6894.0953999999992</v>
      </c>
      <c r="Q346" cm="1">
        <f t="array" ref="Q346">IFERROR(VALUE(_xll.BDP($B346,"INTERVAL_MAE_MOV_AVG","CALC_INTERVAL","520D","TECH_STUDIES_PARAM1_OVERRIDE",50,"USE_PREVIOUS_BUSINESS_DAY","Y")),"")</f>
        <v>51960</v>
      </c>
      <c r="R346">
        <f t="shared" si="188"/>
        <v>6892.2477999999992</v>
      </c>
      <c r="S346">
        <f t="shared" si="198"/>
        <v>7.5368843895023563</v>
      </c>
      <c r="T346">
        <f t="shared" si="199"/>
        <v>7.5389047967776213</v>
      </c>
      <c r="U346" s="11" t="str">
        <f t="shared" si="200"/>
        <v>POSITIVE</v>
      </c>
      <c r="V346" s="11" t="str">
        <f t="shared" si="201"/>
        <v/>
      </c>
      <c r="W346" s="11" t="str">
        <f t="shared" si="202"/>
        <v>DOWN</v>
      </c>
      <c r="X346" s="6" t="str">
        <f t="shared" si="203"/>
        <v>POSITIVE</v>
      </c>
      <c r="Y346" cm="1">
        <f t="array" ref="Y346">IFERROR(VALUE(_xll.BDP($B346,"INTERVAL_MAE_MOV_AVG","CALC_INTERVAL","520D","TECH_STUDIES_PARAM1_OVERRIDE",65,"USE_PREVIOUS_BUSINESS_DAY","N")),"")</f>
        <v>51523.846153846156</v>
      </c>
      <c r="Z346">
        <f t="shared" si="189"/>
        <v>6856.0226153846133</v>
      </c>
      <c r="AA346" cm="1">
        <f t="array" ref="AA346">IFERROR(VALUE(_xll.BDP($B346,"INTERVAL_MAE_MOV_AVG","CALC_INTERVAL","520D","TECH_STUDIES_PARAM1_OVERRIDE",65,"USE_PREVIOUS_BUSINESS_DAY","Y")),"")</f>
        <v>51523.846153846156</v>
      </c>
      <c r="AB346">
        <f t="shared" si="190"/>
        <v>6852.6203076923057</v>
      </c>
      <c r="AC346">
        <f t="shared" si="204"/>
        <v>7.5151219656465118</v>
      </c>
      <c r="AD346">
        <f t="shared" si="205"/>
        <v>7.5188532036436984</v>
      </c>
      <c r="AE346" s="10" t="str">
        <f t="shared" si="206"/>
        <v/>
      </c>
      <c r="AF346" s="10" t="str">
        <f t="shared" si="207"/>
        <v>DOWN</v>
      </c>
      <c r="AG346" s="6" t="str">
        <f t="shared" si="208"/>
        <v>POSITIVE</v>
      </c>
      <c r="AH346" cm="1">
        <f t="array" ref="AH346">IFERROR(VALUE(_xll.BDP($B346,"INTERVAL_MAE_MOV_AVG","CALC_INTERVAL","65W","PERIODICITY_OVERRIDE","W","TECH_STUDIES_PARAM1_OVERRIDE",39,"USE_PREVIOUS_BUSINESS_DAY","N")),"")</f>
        <v>46106.923076923078</v>
      </c>
      <c r="AI346">
        <f t="shared" si="191"/>
        <v>6560.7735897435905</v>
      </c>
      <c r="AJ346" cm="1">
        <f t="array" ref="AJ346">IFERROR(VALUE(_xll.BDP($B346,"INTERVAL_MAE_MOV_AVG","CALC_INTERVAL","65W","PERIODICITY_OVERRIDE","W","TECH_STUDIES_PARAM1_OVERRIDE",39,"USE_PREVIOUS_BUSINESS_DAY","Y")),"")</f>
        <v>46106.923076923078</v>
      </c>
      <c r="AK346">
        <f t="shared" si="192"/>
        <v>6560.7823076923087</v>
      </c>
      <c r="AL346">
        <f t="shared" si="209"/>
        <v>7.0276656321446138</v>
      </c>
      <c r="AM346">
        <f t="shared" si="210"/>
        <v>7.0276562938026732</v>
      </c>
      <c r="AN346" s="10" t="str">
        <f t="shared" si="211"/>
        <v/>
      </c>
      <c r="AO346" s="10" t="str">
        <f t="shared" si="212"/>
        <v>UP</v>
      </c>
      <c r="AP346" s="6" t="str">
        <f t="shared" si="213"/>
        <v>POSITIVE</v>
      </c>
      <c r="AQ346" cm="1">
        <f t="array" ref="AQ346">IFERROR(VALUE(_xll.BDP($B346,"INTERVAL_exp_MOV_AVG","CALC_INTERVAL","520D","TECH_STUDIES_PARAM1_OVERRIDE",100,"USE_PREVIOUS_BUSINESS_DAY","N")),"")</f>
        <v>49952.137415577861</v>
      </c>
      <c r="AR346">
        <f t="shared" si="193"/>
        <v>6773.0064518682802</v>
      </c>
      <c r="AS346" cm="1">
        <f t="array" ref="AS346">IFERROR(VALUE(_xll.BDP($B346,"INTERVAL_exp_MOV_AVG","CALC_INTERVAL","520D","TECH_STUDIES_PARAM1_OVERRIDE",100,"USE_PREVIOUS_BUSINESS_DAY","Y")),"")</f>
        <v>49952.115196878112</v>
      </c>
      <c r="AT346">
        <f t="shared" si="194"/>
        <v>6769.6039787132295</v>
      </c>
      <c r="AU346">
        <f t="shared" si="214"/>
        <v>7.3751793639291394</v>
      </c>
      <c r="AV346">
        <f t="shared" si="215"/>
        <v>7.3788829234251665</v>
      </c>
      <c r="AW346" s="11" t="str">
        <f t="shared" si="216"/>
        <v>UP</v>
      </c>
      <c r="AX346" s="11" t="str">
        <f t="shared" si="217"/>
        <v>DOWN</v>
      </c>
      <c r="AY346" s="6" t="str">
        <f t="shared" si="218"/>
        <v>POSITIVE</v>
      </c>
      <c r="AZ346" s="12" cm="1">
        <f t="array" ref="AZ346">_xll.BDP($B346, "INTERVAL_RSI", "TECH_STUDIES_PARAM1_OVERRIDE", "5", "PERIODICITY_OVERRIDE", "W")</f>
        <v>87.32087374449948</v>
      </c>
      <c r="BA346" cm="1">
        <f t="array" ref="BA346">IFERROR(VALUE(_xll.BDP($B346,"INTERVAL_MAE_MOV_AVG","CALC_INTERVAL","520D","TECH_STUDIES_PARAM1_OVERRIDE",31,"USE_PREVIOUS_BUSINESS_DAY","N")),"")</f>
        <v>53089.677419354841</v>
      </c>
      <c r="BB346" cm="1">
        <f t="array" ref="BB346">IFERROR(VALUE(_xll.BDP($B346,"INTERVAL_MAE_MOV_AVG","CALC_INTERVAL","760D","TECH_STUDIES_PARAM1_OVERRIDE",200,"USE_PREVIOUS_BUSINESS_DAY","N")),"")</f>
        <v>44775.700000000004</v>
      </c>
      <c r="BC346" s="13">
        <f t="shared" si="219"/>
        <v>9.5504866993158188E-2</v>
      </c>
      <c r="BD346" s="13">
        <f t="shared" si="220"/>
        <v>0.11932255581216311</v>
      </c>
      <c r="BE346" s="13">
        <f t="shared" si="221"/>
        <v>0.29891883320640433</v>
      </c>
      <c r="BF346" s="14" cm="1">
        <f t="array" ref="BF346">VALUE(_xll.BDP($B346,"INTERVAL_DATE_OF_CALC_HI","CALC_INTERVAL","3M"))</f>
        <v>46063</v>
      </c>
      <c r="BG346" s="14" cm="1">
        <f t="array" ref="BG346">VALUE(_xll.BDP($B346,"INTERVAL_DATE_OF_CALC_LO","CALC_INTERVAL","3M"))</f>
        <v>45979</v>
      </c>
      <c r="BH346" s="14" cm="1">
        <f t="array" ref="BH346">VALUE(_xll.BDP($B346,"INTERVAL_DATE_OF_CALC_HI","CALC_INTERVAL","1M"))</f>
        <v>46063</v>
      </c>
      <c r="BI346" s="14" cm="1">
        <f t="array" ref="BI346">VALUE(_xll.BDP($B346,"INTERVAL_DATE_OF_CALC_LO","CALC_INTERVAL","1M"))</f>
        <v>46055</v>
      </c>
      <c r="BJ346" s="15">
        <f>$F346-MIN(_xll.BDP("NYA Index","RSI_14D"),_xll.BDP("RSP US Equity","RSI_14D"))</f>
        <v>5.8601199029464084</v>
      </c>
    </row>
    <row r="347" spans="1:62" x14ac:dyDescent="0.25">
      <c r="A347" s="11">
        <v>346</v>
      </c>
      <c r="B347" s="26" t="s">
        <v>732</v>
      </c>
      <c r="C347" s="1" t="s">
        <v>970</v>
      </c>
      <c r="D347" s="1" t="s">
        <v>716</v>
      </c>
      <c r="E347" s="11" t="s">
        <v>943</v>
      </c>
      <c r="F347">
        <f>IFERROR(VALUE((_xll.BDP($B347,"interval_rsi","tech_studies_param1_override",14))),"")</f>
        <v>46.502461741244893</v>
      </c>
      <c r="G347">
        <f t="shared" si="184"/>
        <v>52.525531939815814</v>
      </c>
      <c r="H347">
        <f t="shared" si="195"/>
        <v>0</v>
      </c>
      <c r="I347" cm="1">
        <f t="array" ref="I347">IFERROR(VALUE(_xll.BDP($B347,"px_last")),"")</f>
        <v>25263</v>
      </c>
      <c r="J347">
        <f t="shared" si="185"/>
        <v>6941.47</v>
      </c>
      <c r="K347" cm="1">
        <f t="array" ref="K347">IFERROR(VALUE(_xll.BDP($B347,"PX_YEST_CLOSE")),"")</f>
        <v>25288.5</v>
      </c>
      <c r="L347">
        <f t="shared" si="186"/>
        <v>6941.81</v>
      </c>
      <c r="M347">
        <f t="shared" si="196"/>
        <v>3.6394308410178247</v>
      </c>
      <c r="N347">
        <f t="shared" si="197"/>
        <v>3.6429259803999243</v>
      </c>
      <c r="O347" cm="1">
        <f t="array" ref="O347">IFERROR(VALUE(_xll.BDP($B347,"INTERVAL_MAE_MOV_AVG","CALC_INTERVAL","520D","TECH_STUDIES_PARAM1_OVERRIDE",50,"USE_PREVIOUS_BUSINESS_DAY","N")),"")</f>
        <v>25562.765800000001</v>
      </c>
      <c r="P347">
        <f t="shared" si="187"/>
        <v>6894.0953999999992</v>
      </c>
      <c r="Q347" cm="1">
        <f t="array" ref="Q347">IFERROR(VALUE(_xll.BDP($B347,"INTERVAL_MAE_MOV_AVG","CALC_INTERVAL","520D","TECH_STUDIES_PARAM1_OVERRIDE",50,"USE_PREVIOUS_BUSINESS_DAY","Y")),"")</f>
        <v>25566.6358</v>
      </c>
      <c r="R347">
        <f t="shared" si="188"/>
        <v>6892.2477999999992</v>
      </c>
      <c r="S347">
        <f t="shared" si="198"/>
        <v>3.7079216803411228</v>
      </c>
      <c r="T347">
        <f t="shared" si="199"/>
        <v>3.7094771607022028</v>
      </c>
      <c r="U347" s="11" t="str">
        <f t="shared" si="200"/>
        <v>NEGATIVE</v>
      </c>
      <c r="V347" s="11" t="str">
        <f t="shared" si="201"/>
        <v/>
      </c>
      <c r="W347" s="11" t="str">
        <f t="shared" si="202"/>
        <v>DOWN</v>
      </c>
      <c r="X347" s="6" t="str">
        <f t="shared" si="203"/>
        <v>NEGATIVE</v>
      </c>
      <c r="Y347" cm="1">
        <f t="array" ref="Y347">IFERROR(VALUE(_xll.BDP($B347,"INTERVAL_MAE_MOV_AVG","CALC_INTERVAL","520D","TECH_STUDIES_PARAM1_OVERRIDE",65,"USE_PREVIOUS_BUSINESS_DAY","N")),"")</f>
        <v>25444.981384615388</v>
      </c>
      <c r="Z347">
        <f t="shared" si="189"/>
        <v>6856.0226153846133</v>
      </c>
      <c r="AA347" cm="1">
        <f t="array" ref="AA347">IFERROR(VALUE(_xll.BDP($B347,"INTERVAL_MAE_MOV_AVG","CALC_INTERVAL","520D","TECH_STUDIES_PARAM1_OVERRIDE",65,"USE_PREVIOUS_BUSINESS_DAY","Y")),"")</f>
        <v>25444.300615384618</v>
      </c>
      <c r="AB347">
        <f t="shared" si="190"/>
        <v>6852.6203076923057</v>
      </c>
      <c r="AC347">
        <f t="shared" si="204"/>
        <v>3.7113327671233125</v>
      </c>
      <c r="AD347">
        <f t="shared" si="205"/>
        <v>3.7130760895686139</v>
      </c>
      <c r="AE347" s="10" t="str">
        <f t="shared" si="206"/>
        <v>UP</v>
      </c>
      <c r="AF347" s="10" t="str">
        <f t="shared" si="207"/>
        <v>DOWN</v>
      </c>
      <c r="AG347" s="6" t="str">
        <f t="shared" si="208"/>
        <v>NEGATIVE</v>
      </c>
      <c r="AH347" cm="1">
        <f t="array" ref="AH347">IFERROR(VALUE(_xll.BDP($B347,"INTERVAL_MAE_MOV_AVG","CALC_INTERVAL","65W","PERIODICITY_OVERRIDE","W","TECH_STUDIES_PARAM1_OVERRIDE",39,"USE_PREVIOUS_BUSINESS_DAY","N")),"")</f>
        <v>24214.602564102563</v>
      </c>
      <c r="AI347">
        <f t="shared" si="191"/>
        <v>6560.7735897435905</v>
      </c>
      <c r="AJ347" cm="1">
        <f t="array" ref="AJ347">IFERROR(VALUE(_xll.BDP($B347,"INTERVAL_MAE_MOV_AVG","CALC_INTERVAL","65W","PERIODICITY_OVERRIDE","W","TECH_STUDIES_PARAM1_OVERRIDE",39,"USE_PREVIOUS_BUSINESS_DAY","Y")),"")</f>
        <v>24212.801282051281</v>
      </c>
      <c r="AK347">
        <f t="shared" si="192"/>
        <v>6560.7823076923087</v>
      </c>
      <c r="AL347">
        <f t="shared" si="209"/>
        <v>3.6908151505116829</v>
      </c>
      <c r="AM347">
        <f t="shared" si="210"/>
        <v>3.6905356932301414</v>
      </c>
      <c r="AN347" s="10" t="str">
        <f t="shared" si="211"/>
        <v>UP</v>
      </c>
      <c r="AO347" s="10" t="str">
        <f t="shared" si="212"/>
        <v>UP</v>
      </c>
      <c r="AP347" s="6" t="str">
        <f t="shared" si="213"/>
        <v>NEGATIVE</v>
      </c>
      <c r="AQ347" cm="1">
        <f t="array" ref="AQ347">IFERROR(VALUE(_xll.BDP($B347,"INTERVAL_exp_MOV_AVG","CALC_INTERVAL","520D","TECH_STUDIES_PARAM1_OVERRIDE",100,"USE_PREVIOUS_BUSINESS_DAY","N")),"")</f>
        <v>25085.640170016959</v>
      </c>
      <c r="AR347">
        <f t="shared" si="193"/>
        <v>6773.0064518682802</v>
      </c>
      <c r="AS347" cm="1">
        <f t="array" ref="AS347">IFERROR(VALUE(_xll.BDP($B347,"INTERVAL_exp_MOV_AVG","CALC_INTERVAL","520D","TECH_STUDIES_PARAM1_OVERRIDE",100,"USE_PREVIOUS_BUSINESS_DAY","Y")),"")</f>
        <v>25081.540521555678</v>
      </c>
      <c r="AT347">
        <f t="shared" si="194"/>
        <v>6769.6039787132295</v>
      </c>
      <c r="AU347">
        <f t="shared" si="214"/>
        <v>3.7037673518083367</v>
      </c>
      <c r="AV347">
        <f t="shared" si="215"/>
        <v>3.7050233071866034</v>
      </c>
      <c r="AW347" s="11" t="str">
        <f t="shared" si="216"/>
        <v>UP</v>
      </c>
      <c r="AX347" s="11" t="str">
        <f t="shared" si="217"/>
        <v>DOWN</v>
      </c>
      <c r="AY347" s="6" t="str">
        <f t="shared" si="218"/>
        <v>NEGATIVE</v>
      </c>
      <c r="AZ347" s="12" cm="1">
        <f t="array" ref="AZ347">_xll.BDP($B347, "INTERVAL_RSI", "TECH_STUDIES_PARAM1_OVERRIDE", "5", "PERIODICITY_OVERRIDE", "W")</f>
        <v>43.814006586066135</v>
      </c>
      <c r="BA347" cm="1">
        <f t="array" ref="BA347">IFERROR(VALUE(_xll.BDP($B347,"INTERVAL_MAE_MOV_AVG","CALC_INTERVAL","520D","TECH_STUDIES_PARAM1_OVERRIDE",31,"USE_PREVIOUS_BUSINESS_DAY","N")),"")</f>
        <v>25604.185483870966</v>
      </c>
      <c r="BB347" cm="1">
        <f t="array" ref="BB347">IFERROR(VALUE(_xll.BDP($B347,"INTERVAL_MAE_MOV_AVG","CALC_INTERVAL","760D","TECH_STUDIES_PARAM1_OVERRIDE",200,"USE_PREVIOUS_BUSINESS_DAY","N")),"")</f>
        <v>23945.2575</v>
      </c>
      <c r="BC347" s="13">
        <f t="shared" si="219"/>
        <v>-1.3325379324637843E-2</v>
      </c>
      <c r="BD347" s="13">
        <f t="shared" si="220"/>
        <v>-1.1726657527801665E-2</v>
      </c>
      <c r="BE347" s="13">
        <f t="shared" si="221"/>
        <v>5.5031460822670297E-2</v>
      </c>
      <c r="BF347" s="14" cm="1">
        <f t="array" ref="BF347">VALUE(_xll.BDP($B347,"INTERVAL_DATE_OF_CALC_HI","CALC_INTERVAL","3M"))</f>
        <v>46050</v>
      </c>
      <c r="BG347" s="14" cm="1">
        <f t="array" ref="BG347">VALUE(_xll.BDP($B347,"INTERVAL_DATE_OF_CALC_LO","CALC_INTERVAL","3M"))</f>
        <v>45981</v>
      </c>
      <c r="BH347" s="14" cm="1">
        <f t="array" ref="BH347">VALUE(_xll.BDP($B347,"INTERVAL_DATE_OF_CALC_HI","CALC_INTERVAL","1M"))</f>
        <v>46050</v>
      </c>
      <c r="BI347" s="14" cm="1">
        <f t="array" ref="BI347">VALUE(_xll.BDP($B347,"INTERVAL_DATE_OF_CALC_LO","CALC_INTERVAL","1M"))</f>
        <v>46058</v>
      </c>
      <c r="BJ347" s="15">
        <f>$F347-MIN(_xll.BDP("NYA Index","RSI_14D"),_xll.BDP("RSP US Equity","RSI_14D"))</f>
        <v>-19.843302418911357</v>
      </c>
    </row>
    <row r="348" spans="1:62" x14ac:dyDescent="0.25">
      <c r="A348" s="11">
        <v>347</v>
      </c>
      <c r="B348" s="26" t="s">
        <v>733</v>
      </c>
      <c r="C348" s="1" t="s">
        <v>971</v>
      </c>
      <c r="D348" s="1" t="s">
        <v>716</v>
      </c>
      <c r="E348" s="11" t="s">
        <v>943</v>
      </c>
      <c r="F348">
        <f>IFERROR(VALUE((_xll.BDP($B348,"interval_rsi","tech_studies_param1_override",14))),"")</f>
        <v>55.330059724316797</v>
      </c>
      <c r="G348">
        <f t="shared" si="184"/>
        <v>52.525531939815814</v>
      </c>
      <c r="H348">
        <f t="shared" si="195"/>
        <v>0</v>
      </c>
      <c r="I348" cm="1">
        <f t="array" ref="I348">IFERROR(VALUE(_xll.BDP($B348,"px_last")),"")</f>
        <v>2678.8</v>
      </c>
      <c r="J348">
        <f t="shared" si="185"/>
        <v>6941.47</v>
      </c>
      <c r="K348" cm="1">
        <f t="array" ref="K348">IFERROR(VALUE(_xll.BDP($B348,"PX_YEST_CLOSE")),"")</f>
        <v>2675.6</v>
      </c>
      <c r="L348">
        <f t="shared" si="186"/>
        <v>6941.81</v>
      </c>
      <c r="M348">
        <f t="shared" si="196"/>
        <v>0.385912494039447</v>
      </c>
      <c r="N348">
        <f t="shared" si="197"/>
        <v>0.38543261771785742</v>
      </c>
      <c r="O348" cm="1">
        <f t="array" ref="O348">IFERROR(VALUE(_xll.BDP($B348,"INTERVAL_MAE_MOV_AVG","CALC_INTERVAL","520D","TECH_STUDIES_PARAM1_OVERRIDE",50,"USE_PREVIOUS_BUSINESS_DAY","N")),"")</f>
        <v>2597.4111999999996</v>
      </c>
      <c r="P348">
        <f t="shared" si="187"/>
        <v>6894.0953999999992</v>
      </c>
      <c r="Q348" cm="1">
        <f t="array" ref="Q348">IFERROR(VALUE(_xll.BDP($B348,"INTERVAL_MAE_MOV_AVG","CALC_INTERVAL","520D","TECH_STUDIES_PARAM1_OVERRIDE",50,"USE_PREVIOUS_BUSINESS_DAY","Y")),"")</f>
        <v>2594.0011999999997</v>
      </c>
      <c r="R348">
        <f t="shared" si="188"/>
        <v>6892.2477999999992</v>
      </c>
      <c r="S348">
        <f t="shared" si="198"/>
        <v>0.37675881305616976</v>
      </c>
      <c r="T348">
        <f t="shared" si="199"/>
        <v>0.37636505176148777</v>
      </c>
      <c r="U348" s="11" t="str">
        <f t="shared" si="200"/>
        <v>NEGATIVE</v>
      </c>
      <c r="V348" s="11" t="str">
        <f t="shared" si="201"/>
        <v/>
      </c>
      <c r="W348" s="11" t="str">
        <f t="shared" si="202"/>
        <v>UP</v>
      </c>
      <c r="X348" s="6" t="str">
        <f t="shared" si="203"/>
        <v>POSITIVE</v>
      </c>
      <c r="Y348" cm="1">
        <f t="array" ref="Y348">IFERROR(VALUE(_xll.BDP($B348,"INTERVAL_MAE_MOV_AVG","CALC_INTERVAL","520D","TECH_STUDIES_PARAM1_OVERRIDE",65,"USE_PREVIOUS_BUSINESS_DAY","N")),"")</f>
        <v>2555.6978461538456</v>
      </c>
      <c r="Z348">
        <f t="shared" si="189"/>
        <v>6856.0226153846133</v>
      </c>
      <c r="AA348" cm="1">
        <f t="array" ref="AA348">IFERROR(VALUE(_xll.BDP($B348,"INTERVAL_MAE_MOV_AVG","CALC_INTERVAL","520D","TECH_STUDIES_PARAM1_OVERRIDE",65,"USE_PREVIOUS_BUSINESS_DAY","Y")),"")</f>
        <v>2551.8793846153844</v>
      </c>
      <c r="AB348">
        <f t="shared" si="190"/>
        <v>6852.6203076923057</v>
      </c>
      <c r="AC348">
        <f t="shared" si="204"/>
        <v>0.37276683428945701</v>
      </c>
      <c r="AD348">
        <f t="shared" si="205"/>
        <v>0.37239468554106386</v>
      </c>
      <c r="AE348" s="10" t="str">
        <f t="shared" si="206"/>
        <v>UP</v>
      </c>
      <c r="AF348" s="10" t="str">
        <f t="shared" si="207"/>
        <v>UP</v>
      </c>
      <c r="AG348" s="6" t="str">
        <f t="shared" si="208"/>
        <v>POSITIVE</v>
      </c>
      <c r="AH348" cm="1">
        <f t="array" ref="AH348">IFERROR(VALUE(_xll.BDP($B348,"INTERVAL_MAE_MOV_AVG","CALC_INTERVAL","65W","PERIODICITY_OVERRIDE","W","TECH_STUDIES_PARAM1_OVERRIDE",39,"USE_PREVIOUS_BUSINESS_DAY","N")),"")</f>
        <v>2399.5861538461545</v>
      </c>
      <c r="AI348">
        <f t="shared" si="191"/>
        <v>6560.7735897435905</v>
      </c>
      <c r="AJ348" cm="1">
        <f t="array" ref="AJ348">IFERROR(VALUE(_xll.BDP($B348,"INTERVAL_MAE_MOV_AVG","CALC_INTERVAL","65W","PERIODICITY_OVERRIDE","W","TECH_STUDIES_PARAM1_OVERRIDE",39,"USE_PREVIOUS_BUSINESS_DAY","Y")),"")</f>
        <v>2399.9117948717953</v>
      </c>
      <c r="AK348">
        <f t="shared" si="192"/>
        <v>6560.7823076923087</v>
      </c>
      <c r="AL348">
        <f t="shared" si="209"/>
        <v>0.36574744136840964</v>
      </c>
      <c r="AM348">
        <f t="shared" si="210"/>
        <v>0.36579658984538704</v>
      </c>
      <c r="AN348" s="10" t="str">
        <f t="shared" si="211"/>
        <v>DOWN</v>
      </c>
      <c r="AO348" s="10" t="str">
        <f t="shared" si="212"/>
        <v>DOWN</v>
      </c>
      <c r="AP348" s="6" t="str">
        <f t="shared" si="213"/>
        <v>POSITIVE</v>
      </c>
      <c r="AQ348" cm="1">
        <f t="array" ref="AQ348">IFERROR(VALUE(_xll.BDP($B348,"INTERVAL_exp_MOV_AVG","CALC_INTERVAL","520D","TECH_STUDIES_PARAM1_OVERRIDE",100,"USE_PREVIOUS_BUSINESS_DAY","N")),"")</f>
        <v>2527.6067184423878</v>
      </c>
      <c r="AR348">
        <f t="shared" si="193"/>
        <v>6773.0064518682802</v>
      </c>
      <c r="AS348" cm="1">
        <f t="array" ref="AS348">IFERROR(VALUE(_xll.BDP($B348,"INTERVAL_exp_MOV_AVG","CALC_INTERVAL","520D","TECH_STUDIES_PARAM1_OVERRIDE",100,"USE_PREVIOUS_BUSINESS_DAY","Y")),"")</f>
        <v>2524.6146076843006</v>
      </c>
      <c r="AT348">
        <f t="shared" si="194"/>
        <v>6769.6039787132295</v>
      </c>
      <c r="AU348">
        <f t="shared" si="214"/>
        <v>0.37318829332359005</v>
      </c>
      <c r="AV348">
        <f t="shared" si="215"/>
        <v>0.37293386963592823</v>
      </c>
      <c r="AW348" s="11" t="str">
        <f t="shared" si="216"/>
        <v>UP</v>
      </c>
      <c r="AX348" s="11" t="str">
        <f t="shared" si="217"/>
        <v>UP</v>
      </c>
      <c r="AY348" s="6" t="str">
        <f t="shared" si="218"/>
        <v>POSITIVE</v>
      </c>
      <c r="AZ348" s="12" cm="1">
        <f t="array" ref="AZ348">_xll.BDP($B348, "INTERVAL_RSI", "TECH_STUDIES_PARAM1_OVERRIDE", "5", "PERIODICITY_OVERRIDE", "W")</f>
        <v>66.36822683555701</v>
      </c>
      <c r="BA348" cm="1">
        <f t="array" ref="BA348">IFERROR(VALUE(_xll.BDP($B348,"INTERVAL_MAE_MOV_AVG","CALC_INTERVAL","520D","TECH_STUDIES_PARAM1_OVERRIDE",31,"USE_PREVIOUS_BUSINESS_DAY","N")),"")</f>
        <v>2637.6032258064515</v>
      </c>
      <c r="BB348" cm="1">
        <f t="array" ref="BB348">IFERROR(VALUE(_xll.BDP($B348,"INTERVAL_MAE_MOV_AVG","CALC_INTERVAL","760D","TECH_STUDIES_PARAM1_OVERRIDE",200,"USE_PREVIOUS_BUSINESS_DAY","N")),"")</f>
        <v>2367.9882999999986</v>
      </c>
      <c r="BC348" s="13">
        <f t="shared" si="219"/>
        <v>1.5619018732794032E-2</v>
      </c>
      <c r="BD348" s="13">
        <f t="shared" si="220"/>
        <v>3.1334584219857353E-2</v>
      </c>
      <c r="BE348" s="13">
        <f t="shared" si="221"/>
        <v>0.13125558939628279</v>
      </c>
      <c r="BF348" s="14" cm="1">
        <f t="array" ref="BF348">VALUE(_xll.BDP($B348,"INTERVAL_DATE_OF_CALC_HI","CALC_INTERVAL","3M"))</f>
        <v>46044</v>
      </c>
      <c r="BG348" s="14" cm="1">
        <f t="array" ref="BG348">VALUE(_xll.BDP($B348,"INTERVAL_DATE_OF_CALC_LO","CALC_INTERVAL","3M"))</f>
        <v>45981</v>
      </c>
      <c r="BH348" s="14" cm="1">
        <f t="array" ref="BH348">VALUE(_xll.BDP($B348,"INTERVAL_DATE_OF_CALC_HI","CALC_INTERVAL","1M"))</f>
        <v>46044</v>
      </c>
      <c r="BI348" s="14" cm="1">
        <f t="array" ref="BI348">VALUE(_xll.BDP($B348,"INTERVAL_DATE_OF_CALC_LO","CALC_INTERVAL","1M"))</f>
        <v>46058</v>
      </c>
      <c r="BJ348" s="15">
        <f>$F348-MIN(_xll.BDP("NYA Index","RSI_14D"),_xll.BDP("RSP US Equity","RSI_14D"))</f>
        <v>-11.015704435839453</v>
      </c>
    </row>
    <row r="349" spans="1:62" x14ac:dyDescent="0.25">
      <c r="A349" s="11">
        <v>348</v>
      </c>
      <c r="B349" s="26" t="s">
        <v>734</v>
      </c>
      <c r="C349" s="1" t="s">
        <v>993</v>
      </c>
      <c r="D349" s="1" t="s">
        <v>716</v>
      </c>
      <c r="E349" s="11" t="s">
        <v>943</v>
      </c>
      <c r="F349">
        <f>IFERROR(VALUE((_xll.BDP($B349,"interval_rsi","tech_studies_param1_override",14))),"")</f>
        <v>63.351214198673695</v>
      </c>
      <c r="G349">
        <f t="shared" si="184"/>
        <v>52.525531939815814</v>
      </c>
      <c r="H349">
        <f t="shared" si="195"/>
        <v>1</v>
      </c>
      <c r="I349" cm="1">
        <f t="array" ref="I349">IFERROR(VALUE(_xll.BDP($B349,"px_last")),"")</f>
        <v>13484</v>
      </c>
      <c r="J349">
        <f t="shared" si="185"/>
        <v>6941.47</v>
      </c>
      <c r="K349" cm="1">
        <f t="array" ref="K349">IFERROR(VALUE(_xll.BDP($B349,"PX_YEST_CLOSE")),"")</f>
        <v>13484</v>
      </c>
      <c r="L349">
        <f t="shared" si="186"/>
        <v>6941.81</v>
      </c>
      <c r="M349">
        <f t="shared" si="196"/>
        <v>1.9425280236030695</v>
      </c>
      <c r="N349">
        <f t="shared" si="197"/>
        <v>1.9424328813378642</v>
      </c>
      <c r="O349" cm="1">
        <f t="array" ref="O349">IFERROR(VALUE(_xll.BDP($B349,"INTERVAL_MAE_MOV_AVG","CALC_INTERVAL","520D","TECH_STUDIES_PARAM1_OVERRIDE",50,"USE_PREVIOUS_BUSINESS_DAY","N")),"")</f>
        <v>13129.918199999998</v>
      </c>
      <c r="P349">
        <f t="shared" si="187"/>
        <v>6894.0953999999992</v>
      </c>
      <c r="Q349" cm="1">
        <f t="array" ref="Q349">IFERROR(VALUE(_xll.BDP($B349,"INTERVAL_MAE_MOV_AVG","CALC_INTERVAL","520D","TECH_STUDIES_PARAM1_OVERRIDE",50,"USE_PREVIOUS_BUSINESS_DAY","Y")),"")</f>
        <v>13115.798199999999</v>
      </c>
      <c r="R349">
        <f t="shared" si="188"/>
        <v>6892.2477999999992</v>
      </c>
      <c r="S349">
        <f t="shared" si="198"/>
        <v>1.9045164649157595</v>
      </c>
      <c r="T349">
        <f t="shared" si="199"/>
        <v>1.9029783287826652</v>
      </c>
      <c r="U349" s="11" t="str">
        <f t="shared" si="200"/>
        <v>POSITIVE</v>
      </c>
      <c r="V349" s="11" t="str">
        <f t="shared" si="201"/>
        <v/>
      </c>
      <c r="W349" s="11" t="str">
        <f t="shared" si="202"/>
        <v>UP</v>
      </c>
      <c r="X349" s="6" t="str">
        <f t="shared" si="203"/>
        <v>POSITIVE</v>
      </c>
      <c r="Y349" cm="1">
        <f t="array" ref="Y349">IFERROR(VALUE(_xll.BDP($B349,"INTERVAL_MAE_MOV_AVG","CALC_INTERVAL","520D","TECH_STUDIES_PARAM1_OVERRIDE",65,"USE_PREVIOUS_BUSINESS_DAY","N")),"")</f>
        <v>13001.967846153846</v>
      </c>
      <c r="Z349">
        <f t="shared" si="189"/>
        <v>6856.0226153846133</v>
      </c>
      <c r="AA349" cm="1">
        <f t="array" ref="AA349">IFERROR(VALUE(_xll.BDP($B349,"INTERVAL_MAE_MOV_AVG","CALC_INTERVAL","520D","TECH_STUDIES_PARAM1_OVERRIDE",65,"USE_PREVIOUS_BUSINESS_DAY","Y")),"")</f>
        <v>12983.721692307692</v>
      </c>
      <c r="AB349">
        <f t="shared" si="190"/>
        <v>6852.6203076923057</v>
      </c>
      <c r="AC349">
        <f t="shared" si="204"/>
        <v>1.8964301280129972</v>
      </c>
      <c r="AD349">
        <f t="shared" si="205"/>
        <v>1.8947090469514283</v>
      </c>
      <c r="AE349" s="10" t="str">
        <f t="shared" si="206"/>
        <v>UP</v>
      </c>
      <c r="AF349" s="10" t="str">
        <f t="shared" si="207"/>
        <v>UP</v>
      </c>
      <c r="AG349" s="6" t="str">
        <f t="shared" si="208"/>
        <v>POSITIVE</v>
      </c>
      <c r="AH349" cm="1">
        <f t="array" ref="AH349">IFERROR(VALUE(_xll.BDP($B349,"INTERVAL_MAE_MOV_AVG","CALC_INTERVAL","65W","PERIODICITY_OVERRIDE","W","TECH_STUDIES_PARAM1_OVERRIDE",39,"USE_PREVIOUS_BUSINESS_DAY","N")),"")</f>
        <v>12490.586666666666</v>
      </c>
      <c r="AI349">
        <f t="shared" si="191"/>
        <v>6560.7735897435905</v>
      </c>
      <c r="AJ349" cm="1">
        <f t="array" ref="AJ349">IFERROR(VALUE(_xll.BDP($B349,"INTERVAL_MAE_MOV_AVG","CALC_INTERVAL","65W","PERIODICITY_OVERRIDE","W","TECH_STUDIES_PARAM1_OVERRIDE",39,"USE_PREVIOUS_BUSINESS_DAY","Y")),"")</f>
        <v>12488.945641025641</v>
      </c>
      <c r="AK349">
        <f t="shared" si="192"/>
        <v>6560.7823076923087</v>
      </c>
      <c r="AL349">
        <f t="shared" si="209"/>
        <v>1.9038283360659038</v>
      </c>
      <c r="AM349">
        <f t="shared" si="210"/>
        <v>1.9035756797451957</v>
      </c>
      <c r="AN349" s="10" t="str">
        <f t="shared" si="211"/>
        <v>UP</v>
      </c>
      <c r="AO349" s="10" t="str">
        <f t="shared" si="212"/>
        <v>UP</v>
      </c>
      <c r="AP349" s="6" t="str">
        <f t="shared" si="213"/>
        <v>POSITIVE</v>
      </c>
      <c r="AQ349" cm="1">
        <f t="array" ref="AQ349">IFERROR(VALUE(_xll.BDP($B349,"INTERVAL_exp_MOV_AVG","CALC_INTERVAL","520D","TECH_STUDIES_PARAM1_OVERRIDE",100,"USE_PREVIOUS_BUSINESS_DAY","N")),"")</f>
        <v>12861.457695025007</v>
      </c>
      <c r="AR349">
        <f t="shared" si="193"/>
        <v>6773.0064518682802</v>
      </c>
      <c r="AS349" cm="1">
        <f t="array" ref="AS349">IFERROR(VALUE(_xll.BDP($B349,"INTERVAL_exp_MOV_AVG","CALC_INTERVAL","520D","TECH_STUDIES_PARAM1_OVERRIDE",100,"USE_PREVIOUS_BUSINESS_DAY","Y")),"")</f>
        <v>12848.877872683222</v>
      </c>
      <c r="AT349">
        <f t="shared" si="194"/>
        <v>6769.6039787132295</v>
      </c>
      <c r="AU349">
        <f t="shared" si="214"/>
        <v>1.8989289005442</v>
      </c>
      <c r="AV349">
        <f t="shared" si="215"/>
        <v>1.8980250415070137</v>
      </c>
      <c r="AW349" s="11" t="str">
        <f t="shared" si="216"/>
        <v>UP</v>
      </c>
      <c r="AX349" s="11" t="str">
        <f t="shared" si="217"/>
        <v>UP</v>
      </c>
      <c r="AY349" s="6" t="str">
        <f t="shared" si="218"/>
        <v>POSITIVE</v>
      </c>
      <c r="AZ349" s="12" cm="1">
        <f t="array" ref="AZ349">_xll.BDP($B349, "INTERVAL_RSI", "TECH_STUDIES_PARAM1_OVERRIDE", "5", "PERIODICITY_OVERRIDE", "W")</f>
        <v>74.98689327040907</v>
      </c>
      <c r="BA349" cm="1">
        <f t="array" ref="BA349">IFERROR(VALUE(_xll.BDP($B349,"INTERVAL_MAE_MOV_AVG","CALC_INTERVAL","520D","TECH_STUDIES_PARAM1_OVERRIDE",31,"USE_PREVIOUS_BUSINESS_DAY","N")),"")</f>
        <v>13239.129032258064</v>
      </c>
      <c r="BB349" cm="1">
        <f t="array" ref="BB349">IFERROR(VALUE(_xll.BDP($B349,"INTERVAL_MAE_MOV_AVG","CALC_INTERVAL","760D","TECH_STUDIES_PARAM1_OVERRIDE",200,"USE_PREVIOUS_BUSINESS_DAY","N")),"")</f>
        <v>12429.9144</v>
      </c>
      <c r="BC349" s="13">
        <f t="shared" si="219"/>
        <v>1.8496002806928535E-2</v>
      </c>
      <c r="BD349" s="13">
        <f t="shared" si="220"/>
        <v>2.6967555669920484E-2</v>
      </c>
      <c r="BE349" s="13">
        <f t="shared" si="221"/>
        <v>8.480232172797586E-2</v>
      </c>
      <c r="BF349" s="14" cm="1">
        <f t="array" ref="BF349">VALUE(_xll.BDP($B349,"INTERVAL_DATE_OF_CALC_HI","CALC_INTERVAL","3M"))</f>
        <v>46064</v>
      </c>
      <c r="BG349" s="14" cm="1">
        <f t="array" ref="BG349">VALUE(_xll.BDP($B349,"INTERVAL_DATE_OF_CALC_LO","CALC_INTERVAL","3M"))</f>
        <v>45979</v>
      </c>
      <c r="BH349" s="14" cm="1">
        <f t="array" ref="BH349">VALUE(_xll.BDP($B349,"INTERVAL_DATE_OF_CALC_HI","CALC_INTERVAL","1M"))</f>
        <v>46064</v>
      </c>
      <c r="BI349" s="14" cm="1">
        <f t="array" ref="BI349">VALUE(_xll.BDP($B349,"INTERVAL_DATE_OF_CALC_LO","CALC_INTERVAL","1M"))</f>
        <v>46050</v>
      </c>
      <c r="BJ349" s="15">
        <f>$F349-MIN(_xll.BDP("NYA Index","RSI_14D"),_xll.BDP("RSP US Equity","RSI_14D"))</f>
        <v>-2.994549961482555</v>
      </c>
    </row>
    <row r="350" spans="1:62" x14ac:dyDescent="0.25">
      <c r="A350" s="11">
        <v>349</v>
      </c>
      <c r="B350" s="26" t="s">
        <v>735</v>
      </c>
      <c r="C350" s="1" t="s">
        <v>994</v>
      </c>
      <c r="D350" s="1" t="s">
        <v>716</v>
      </c>
      <c r="E350" s="11" t="s">
        <v>943</v>
      </c>
      <c r="F350">
        <f>IFERROR(VALUE((_xll.BDP($B350,"interval_rsi","tech_studies_param1_override",14))),"")</f>
        <v>62.482829145117535</v>
      </c>
      <c r="G350">
        <f t="shared" si="184"/>
        <v>52.525531939815814</v>
      </c>
      <c r="H350">
        <f t="shared" si="195"/>
        <v>0</v>
      </c>
      <c r="I350" cm="1">
        <f t="array" ref="I350">IFERROR(VALUE(_xll.BDP($B350,"px_last")),"")</f>
        <v>46607</v>
      </c>
      <c r="J350">
        <f t="shared" si="185"/>
        <v>6941.47</v>
      </c>
      <c r="K350" cm="1">
        <f t="array" ref="K350">IFERROR(VALUE(_xll.BDP($B350,"PX_YEST_CLOSE")),"")</f>
        <v>46607</v>
      </c>
      <c r="L350">
        <f t="shared" si="186"/>
        <v>6941.81</v>
      </c>
      <c r="M350">
        <f t="shared" si="196"/>
        <v>6.714283862063799</v>
      </c>
      <c r="N350">
        <f t="shared" si="197"/>
        <v>6.7139550059710649</v>
      </c>
      <c r="O350" cm="1">
        <f t="array" ref="O350">IFERROR(VALUE(_xll.BDP($B350,"INTERVAL_MAE_MOV_AVG","CALC_INTERVAL","520D","TECH_STUDIES_PARAM1_OVERRIDE",50,"USE_PREVIOUS_BUSINESS_DAY","N")),"")</f>
        <v>45039.040000000001</v>
      </c>
      <c r="P350">
        <f t="shared" si="187"/>
        <v>6894.0953999999992</v>
      </c>
      <c r="Q350" cm="1">
        <f t="array" ref="Q350">IFERROR(VALUE(_xll.BDP($B350,"INTERVAL_MAE_MOV_AVG","CALC_INTERVAL","520D","TECH_STUDIES_PARAM1_OVERRIDE",50,"USE_PREVIOUS_BUSINESS_DAY","Y")),"")</f>
        <v>44972.04</v>
      </c>
      <c r="R350">
        <f t="shared" si="188"/>
        <v>6892.2477999999992</v>
      </c>
      <c r="S350">
        <f t="shared" si="198"/>
        <v>6.5329876346068563</v>
      </c>
      <c r="T350">
        <f t="shared" si="199"/>
        <v>6.5250178613717296</v>
      </c>
      <c r="U350" s="11" t="str">
        <f t="shared" si="200"/>
        <v>NEGATIVE</v>
      </c>
      <c r="V350" s="11" t="str">
        <f t="shared" si="201"/>
        <v/>
      </c>
      <c r="W350" s="11" t="str">
        <f t="shared" si="202"/>
        <v>UP</v>
      </c>
      <c r="X350" s="6" t="str">
        <f t="shared" si="203"/>
        <v>POSITIVE</v>
      </c>
      <c r="Y350" cm="1">
        <f t="array" ref="Y350">IFERROR(VALUE(_xll.BDP($B350,"INTERVAL_MAE_MOV_AVG","CALC_INTERVAL","520D","TECH_STUDIES_PARAM1_OVERRIDE",65,"USE_PREVIOUS_BUSINESS_DAY","N")),"")</f>
        <v>44617.092307692314</v>
      </c>
      <c r="Z350">
        <f t="shared" si="189"/>
        <v>6856.0226153846133</v>
      </c>
      <c r="AA350" cm="1">
        <f t="array" ref="AA350">IFERROR(VALUE(_xll.BDP($B350,"INTERVAL_MAE_MOV_AVG","CALC_INTERVAL","520D","TECH_STUDIES_PARAM1_OVERRIDE",65,"USE_PREVIOUS_BUSINESS_DAY","Y")),"")</f>
        <v>44552.892307692309</v>
      </c>
      <c r="AB350">
        <f t="shared" si="190"/>
        <v>6852.6203076923057</v>
      </c>
      <c r="AC350">
        <f t="shared" si="204"/>
        <v>6.5077224523112749</v>
      </c>
      <c r="AD350">
        <f t="shared" si="205"/>
        <v>6.5015848401348215</v>
      </c>
      <c r="AE350" s="10" t="str">
        <f t="shared" si="206"/>
        <v>UP</v>
      </c>
      <c r="AF350" s="10" t="str">
        <f t="shared" si="207"/>
        <v>UP</v>
      </c>
      <c r="AG350" s="6" t="str">
        <f t="shared" si="208"/>
        <v>POSITIVE</v>
      </c>
      <c r="AH350" cm="1">
        <f t="array" ref="AH350">IFERROR(VALUE(_xll.BDP($B350,"INTERVAL_MAE_MOV_AVG","CALC_INTERVAL","65W","PERIODICITY_OVERRIDE","W","TECH_STUDIES_PARAM1_OVERRIDE",39,"USE_PREVIOUS_BUSINESS_DAY","N")),"")</f>
        <v>42525.948717948719</v>
      </c>
      <c r="AI350">
        <f t="shared" si="191"/>
        <v>6560.7735897435905</v>
      </c>
      <c r="AJ350" cm="1">
        <f t="array" ref="AJ350">IFERROR(VALUE(_xll.BDP($B350,"INTERVAL_MAE_MOV_AVG","CALC_INTERVAL","65W","PERIODICITY_OVERRIDE","W","TECH_STUDIES_PARAM1_OVERRIDE",39,"USE_PREVIOUS_BUSINESS_DAY","Y")),"")</f>
        <v>42529.769230769227</v>
      </c>
      <c r="AK350">
        <f t="shared" si="192"/>
        <v>6560.7823076923087</v>
      </c>
      <c r="AL350">
        <f t="shared" si="209"/>
        <v>6.4818497599778819</v>
      </c>
      <c r="AM350">
        <f t="shared" si="210"/>
        <v>6.4824234727167251</v>
      </c>
      <c r="AN350" s="10" t="str">
        <f t="shared" si="211"/>
        <v>DOWN</v>
      </c>
      <c r="AO350" s="10" t="str">
        <f t="shared" si="212"/>
        <v>DOWN</v>
      </c>
      <c r="AP350" s="6" t="str">
        <f t="shared" si="213"/>
        <v>POSITIVE</v>
      </c>
      <c r="AQ350" cm="1">
        <f t="array" ref="AQ350">IFERROR(VALUE(_xll.BDP($B350,"INTERVAL_exp_MOV_AVG","CALC_INTERVAL","520D","TECH_STUDIES_PARAM1_OVERRIDE",100,"USE_PREVIOUS_BUSINESS_DAY","N")),"")</f>
        <v>44080.858805361699</v>
      </c>
      <c r="AR350">
        <f t="shared" si="193"/>
        <v>6773.0064518682802</v>
      </c>
      <c r="AS350" cm="1">
        <f t="array" ref="AS350">IFERROR(VALUE(_xll.BDP($B350,"INTERVAL_exp_MOV_AVG","CALC_INTERVAL","520D","TECH_STUDIES_PARAM1_OVERRIDE",100,"USE_PREVIOUS_BUSINESS_DAY","Y")),"")</f>
        <v>44026.822454433262</v>
      </c>
      <c r="AT350">
        <f t="shared" si="194"/>
        <v>6769.6039787132295</v>
      </c>
      <c r="AU350">
        <f t="shared" si="214"/>
        <v>6.5083148995380542</v>
      </c>
      <c r="AV350">
        <f t="shared" si="215"/>
        <v>6.5036038434262897</v>
      </c>
      <c r="AW350" s="11" t="str">
        <f t="shared" si="216"/>
        <v>UP</v>
      </c>
      <c r="AX350" s="11" t="str">
        <f t="shared" si="217"/>
        <v>UP</v>
      </c>
      <c r="AY350" s="6" t="str">
        <f t="shared" si="218"/>
        <v>POSITIVE</v>
      </c>
      <c r="AZ350" s="12" cm="1">
        <f t="array" ref="AZ350">_xll.BDP($B350, "INTERVAL_RSI", "TECH_STUDIES_PARAM1_OVERRIDE", "5", "PERIODICITY_OVERRIDE", "W")</f>
        <v>79.118452218187912</v>
      </c>
      <c r="BA350" cm="1">
        <f t="array" ref="BA350">IFERROR(VALUE(_xll.BDP($B350,"INTERVAL_MAE_MOV_AVG","CALC_INTERVAL","520D","TECH_STUDIES_PARAM1_OVERRIDE",31,"USE_PREVIOUS_BUSINESS_DAY","N")),"")</f>
        <v>45715.290322580644</v>
      </c>
      <c r="BB350" cm="1">
        <f t="array" ref="BB350">IFERROR(VALUE(_xll.BDP($B350,"INTERVAL_MAE_MOV_AVG","CALC_INTERVAL","760D","TECH_STUDIES_PARAM1_OVERRIDE",200,"USE_PREVIOUS_BUSINESS_DAY","N")),"")</f>
        <v>42304.450000000004</v>
      </c>
      <c r="BC350" s="13">
        <f t="shared" si="219"/>
        <v>1.9505720539609195E-2</v>
      </c>
      <c r="BD350" s="13">
        <f t="shared" si="220"/>
        <v>3.4813353037720152E-2</v>
      </c>
      <c r="BE350" s="13">
        <f t="shared" si="221"/>
        <v>0.10170443062136481</v>
      </c>
      <c r="BF350" s="14" cm="1">
        <f t="array" ref="BF350">VALUE(_xll.BDP($B350,"INTERVAL_DATE_OF_CALC_HI","CALC_INTERVAL","3M"))</f>
        <v>46062</v>
      </c>
      <c r="BG350" s="14" cm="1">
        <f t="array" ref="BG350">VALUE(_xll.BDP($B350,"INTERVAL_DATE_OF_CALC_LO","CALC_INTERVAL","3M"))</f>
        <v>45980</v>
      </c>
      <c r="BH350" s="14" cm="1">
        <f t="array" ref="BH350">VALUE(_xll.BDP($B350,"INTERVAL_DATE_OF_CALC_HI","CALC_INTERVAL","1M"))</f>
        <v>46062</v>
      </c>
      <c r="BI350" s="14" cm="1">
        <f t="array" ref="BI350">VALUE(_xll.BDP($B350,"INTERVAL_DATE_OF_CALC_LO","CALC_INTERVAL","1M"))</f>
        <v>46043</v>
      </c>
      <c r="BJ350" s="15">
        <f>$F350-MIN(_xll.BDP("NYA Index","RSI_14D"),_xll.BDP("RSP US Equity","RSI_14D"))</f>
        <v>-3.8629350150387154</v>
      </c>
    </row>
    <row r="351" spans="1:62" x14ac:dyDescent="0.25">
      <c r="A351" s="11">
        <v>350</v>
      </c>
      <c r="B351" s="26" t="s">
        <v>714</v>
      </c>
      <c r="C351" s="1" t="s">
        <v>715</v>
      </c>
      <c r="D351" s="1" t="s">
        <v>716</v>
      </c>
      <c r="E351" s="11" t="s">
        <v>943</v>
      </c>
      <c r="F351">
        <f>IFERROR(VALUE((_xll.BDP($B351,"interval_rsi","tech_studies_param1_override",14))),"")</f>
        <v>51.902097177510633</v>
      </c>
      <c r="G351">
        <f>$F$2</f>
        <v>52.525531939815814</v>
      </c>
      <c r="H351">
        <f t="shared" si="195"/>
        <v>0</v>
      </c>
      <c r="I351" cm="1">
        <f t="array" ref="I351">IFERROR(VALUE(_xll.BDP($B351,"px_last")),"")</f>
        <v>18.75</v>
      </c>
      <c r="J351">
        <f>$I$2</f>
        <v>6941.47</v>
      </c>
      <c r="K351" cm="1">
        <f t="array" ref="K351">IFERROR(VALUE(_xll.BDP($B351,"PX_YEST_CLOSE")),"")</f>
        <v>18.667100000000001</v>
      </c>
      <c r="L351">
        <f>$K$2</f>
        <v>6941.81</v>
      </c>
      <c r="M351">
        <f t="shared" si="196"/>
        <v>2.701156959548914E-3</v>
      </c>
      <c r="N351">
        <f t="shared" si="197"/>
        <v>2.6890825303487131E-3</v>
      </c>
      <c r="O351" cm="1">
        <f t="array" ref="O351">IFERROR(VALUE(_xll.BDP($B351,"INTERVAL_MAE_MOV_AVG","CALC_INTERVAL","520D","TECH_STUDIES_PARAM1_OVERRIDE",50,"USE_PREVIOUS_BUSINESS_DAY","N")),"")</f>
        <v>17.538146018127435</v>
      </c>
      <c r="P351">
        <f>$O$2</f>
        <v>6894.0953999999992</v>
      </c>
      <c r="Q351" cm="1">
        <f t="array" ref="Q351">IFERROR(VALUE(_xll.BDP($B351,"INTERVAL_MAE_MOV_AVG","CALC_INTERVAL","520D","TECH_STUDIES_PARAM1_OVERRIDE",50,"USE_PREVIOUS_BUSINESS_DAY","Y")),"")</f>
        <v>17.530177999999996</v>
      </c>
      <c r="R351">
        <f>$Q$2</f>
        <v>6892.2477999999992</v>
      </c>
      <c r="S351">
        <f t="shared" si="198"/>
        <v>2.543937239123125E-3</v>
      </c>
      <c r="T351">
        <f t="shared" si="199"/>
        <v>2.5434631064773961E-3</v>
      </c>
      <c r="U351" s="11" t="str">
        <f t="shared" si="200"/>
        <v>NEGATIVE</v>
      </c>
      <c r="V351" s="11" t="str">
        <f t="shared" si="201"/>
        <v/>
      </c>
      <c r="W351" s="11" t="str">
        <f t="shared" si="202"/>
        <v>UP</v>
      </c>
      <c r="X351" s="6" t="str">
        <f t="shared" si="203"/>
        <v>POSITIVE</v>
      </c>
      <c r="Y351" cm="1">
        <f t="array" ref="Y351">IFERROR(VALUE(_xll.BDP($B351,"INTERVAL_MAE_MOV_AVG","CALC_INTERVAL","520D","TECH_STUDIES_PARAM1_OVERRIDE",65,"USE_PREVIOUS_BUSINESS_DAY","N")),"")</f>
        <v>18.200144629328801</v>
      </c>
      <c r="Z351">
        <f>$Y$2</f>
        <v>6856.0226153846133</v>
      </c>
      <c r="AA351" cm="1">
        <f t="array" ref="AA351">IFERROR(VALUE(_xll.BDP($B351,"INTERVAL_MAE_MOV_AVG","CALC_INTERVAL","520D","TECH_STUDIES_PARAM1_OVERRIDE",65,"USE_PREVIOUS_BUSINESS_DAY","Y")),"")</f>
        <v>18.221466153846155</v>
      </c>
      <c r="AB351">
        <f>$AA$2</f>
        <v>6852.6203076923057</v>
      </c>
      <c r="AC351">
        <f t="shared" si="204"/>
        <v>2.6546214402047735E-3</v>
      </c>
      <c r="AD351">
        <f t="shared" si="205"/>
        <v>2.6590508937715291E-3</v>
      </c>
      <c r="AE351" s="10" t="str">
        <f t="shared" si="206"/>
        <v>DOWN</v>
      </c>
      <c r="AF351" s="10" t="str">
        <f t="shared" si="207"/>
        <v>DOWN</v>
      </c>
      <c r="AG351" s="6" t="str">
        <f t="shared" si="208"/>
        <v>POSITIVE</v>
      </c>
      <c r="AH351" cm="1">
        <f t="array" ref="AH351">IFERROR(VALUE(_xll.BDP($B351,"INTERVAL_MAE_MOV_AVG","CALC_INTERVAL","65W","PERIODICITY_OVERRIDE","W","TECH_STUDIES_PARAM1_OVERRIDE",39,"USE_PREVIOUS_BUSINESS_DAY","N")),"")</f>
        <v>18.406458997599287</v>
      </c>
      <c r="AI351">
        <f>$AH$2</f>
        <v>6560.7735897435905</v>
      </c>
      <c r="AJ351" cm="1">
        <f t="array" ref="AJ351">IFERROR(VALUE(_xll.BDP($B351,"INTERVAL_MAE_MOV_AVG","CALC_INTERVAL","65W","PERIODICITY_OVERRIDE","W","TECH_STUDIES_PARAM1_OVERRIDE",39,"USE_PREVIOUS_BUSINESS_DAY","Y")),"")</f>
        <v>18.410030769230769</v>
      </c>
      <c r="AK351">
        <f>$AJ$2</f>
        <v>6560.7823076923087</v>
      </c>
      <c r="AL351">
        <f t="shared" si="209"/>
        <v>2.8055318089888013E-3</v>
      </c>
      <c r="AM351">
        <f t="shared" si="210"/>
        <v>2.806072493465542E-3</v>
      </c>
      <c r="AN351" s="10" t="str">
        <f t="shared" si="211"/>
        <v>DOWN</v>
      </c>
      <c r="AO351" s="10" t="str">
        <f t="shared" si="212"/>
        <v>DOWN</v>
      </c>
      <c r="AP351" s="6" t="str">
        <f t="shared" si="213"/>
        <v>NEGATIVE</v>
      </c>
      <c r="AQ351" cm="1">
        <f t="array" ref="AQ351">IFERROR(VALUE(_xll.BDP($B351,"INTERVAL_exp_MOV_AVG","CALC_INTERVAL","520D","TECH_STUDIES_PARAM1_OVERRIDE",100,"USE_PREVIOUS_BUSINESS_DAY","N")),"")</f>
        <v>18.211510690283912</v>
      </c>
      <c r="AR351">
        <f>$AQ$2</f>
        <v>6773.0064518682802</v>
      </c>
      <c r="AS351" cm="1">
        <f t="array" ref="AS351">IFERROR(VALUE(_xll.BDP($B351,"INTERVAL_exp_MOV_AVG","CALC_INTERVAL","520D","TECH_STUDIES_PARAM1_OVERRIDE",100,"USE_PREVIOUS_BUSINESS_DAY","Y")),"")</f>
        <v>18.202274487302617</v>
      </c>
      <c r="AT351">
        <f>$AS$2</f>
        <v>6769.6039787132295</v>
      </c>
      <c r="AU351">
        <f t="shared" si="214"/>
        <v>2.6888370503855659E-3</v>
      </c>
      <c r="AV351">
        <f t="shared" si="215"/>
        <v>2.6888241239131565E-3</v>
      </c>
      <c r="AW351" s="11" t="str">
        <f t="shared" si="216"/>
        <v>UP</v>
      </c>
      <c r="AX351" s="11" t="str">
        <f t="shared" si="217"/>
        <v>UP</v>
      </c>
      <c r="AY351" s="6" t="str">
        <f t="shared" si="218"/>
        <v>POSITIVE</v>
      </c>
      <c r="AZ351" s="12" cm="1">
        <f t="array" ref="AZ351">_xll.BDP($B351, "INTERVAL_RSI", "TECH_STUDIES_PARAM1_OVERRIDE", "5", "PERIODICITY_OVERRIDE", "W")</f>
        <v>59.566547972708065</v>
      </c>
      <c r="BA351" cm="1">
        <f t="array" ref="BA351">IFERROR(VALUE(_xll.BDP($B351,"INTERVAL_MAE_MOV_AVG","CALC_INTERVAL","520D","TECH_STUDIES_PARAM1_OVERRIDE",31,"USE_PREVIOUS_BUSINESS_DAY","N")),"")</f>
        <v>17.785935513108768</v>
      </c>
      <c r="BB351" cm="1">
        <f t="array" ref="BB351">IFERROR(VALUE(_xll.BDP($B351,"INTERVAL_MAE_MOV_AVG","CALC_INTERVAL","760D","TECH_STUDIES_PARAM1_OVERRIDE",200,"USE_PREVIOUS_BUSINESS_DAY","N")),"")</f>
        <v>18.476840004531851</v>
      </c>
      <c r="BC351" s="13">
        <f t="shared" si="219"/>
        <v>5.4203754769080792E-2</v>
      </c>
      <c r="BD351" s="13">
        <f t="shared" si="220"/>
        <v>6.909818065261808E-2</v>
      </c>
      <c r="BE351" s="13">
        <f t="shared" si="221"/>
        <v>1.4783913017656136E-2</v>
      </c>
      <c r="BF351" s="14" cm="1">
        <f t="array" ref="BF351">VALUE(_xll.BDP($B351,"INTERVAL_DATE_OF_CALC_HI","CALC_INTERVAL","3M"))</f>
        <v>45979</v>
      </c>
      <c r="BG351" s="14" cm="1">
        <f t="array" ref="BG351">VALUE(_xll.BDP($B351,"INTERVAL_DATE_OF_CALC_LO","CALC_INTERVAL","3M"))</f>
        <v>46008</v>
      </c>
      <c r="BH351" s="14" cm="1">
        <f t="array" ref="BH351">VALUE(_xll.BDP($B351,"INTERVAL_DATE_OF_CALC_HI","CALC_INTERVAL","1M"))</f>
        <v>46058</v>
      </c>
      <c r="BI351" s="14" cm="1">
        <f t="array" ref="BI351">VALUE(_xll.BDP($B351,"INTERVAL_DATE_OF_CALC_LO","CALC_INTERVAL","1M"))</f>
        <v>46034</v>
      </c>
      <c r="BJ351" s="15">
        <f>$F351-MIN(_xll.BDP("NYA Index","RSI_14D"),_xll.BDP("RSP US Equity","RSI_14D"))</f>
        <v>-14.443666982645617</v>
      </c>
    </row>
    <row r="352" spans="1:62" x14ac:dyDescent="0.25">
      <c r="A352" s="11">
        <v>351</v>
      </c>
      <c r="B352" s="26" t="s">
        <v>736</v>
      </c>
      <c r="C352" s="1" t="s">
        <v>972</v>
      </c>
      <c r="D352" s="1" t="s">
        <v>716</v>
      </c>
      <c r="E352" s="11" t="s">
        <v>943</v>
      </c>
      <c r="F352">
        <f>IFERROR(VALUE((_xll.BDP($B352,"interval_rsi","tech_studies_param1_override",14))),"")</f>
        <v>58.945212014396304</v>
      </c>
      <c r="G352">
        <f>$F$2</f>
        <v>52.525531939815814</v>
      </c>
      <c r="H352">
        <f t="shared" si="195"/>
        <v>0</v>
      </c>
      <c r="I352" cm="1">
        <f t="array" ref="I352">IFERROR(VALUE(_xll.BDP($B352,"px_last")),"")</f>
        <v>6049</v>
      </c>
      <c r="J352">
        <f>$I$2</f>
        <v>6941.47</v>
      </c>
      <c r="K352" cm="1">
        <f t="array" ref="K352">IFERROR(VALUE(_xll.BDP($B352,"PX_YEST_CLOSE")),"")</f>
        <v>6049</v>
      </c>
      <c r="L352">
        <f>$K$2</f>
        <v>6941.81</v>
      </c>
      <c r="M352">
        <f t="shared" si="196"/>
        <v>0.87142925057660692</v>
      </c>
      <c r="N352">
        <f t="shared" si="197"/>
        <v>0.87138656920889501</v>
      </c>
      <c r="O352" cm="1">
        <f t="array" ref="O352">IFERROR(VALUE(_xll.BDP($B352,"INTERVAL_MAE_MOV_AVG","CALC_INTERVAL","520D","TECH_STUDIES_PARAM1_OVERRIDE",50,"USE_PREVIOUS_BUSINESS_DAY","N")),"")</f>
        <v>5875.4800000000005</v>
      </c>
      <c r="P352">
        <f>$O$2</f>
        <v>6894.0953999999992</v>
      </c>
      <c r="Q352" cm="1">
        <f t="array" ref="Q352">IFERROR(VALUE(_xll.BDP($B352,"INTERVAL_MAE_MOV_AVG","CALC_INTERVAL","520D","TECH_STUDIES_PARAM1_OVERRIDE",50,"USE_PREVIOUS_BUSINESS_DAY","Y")),"")</f>
        <v>5867.66</v>
      </c>
      <c r="R352">
        <f>$Q$2</f>
        <v>6892.2477999999992</v>
      </c>
      <c r="S352">
        <f t="shared" si="198"/>
        <v>0.85224814266422844</v>
      </c>
      <c r="T352">
        <f t="shared" si="199"/>
        <v>0.85134199614819428</v>
      </c>
      <c r="U352" s="11" t="str">
        <f t="shared" si="200"/>
        <v>NEGATIVE</v>
      </c>
      <c r="V352" s="11" t="str">
        <f t="shared" si="201"/>
        <v/>
      </c>
      <c r="W352" s="11" t="str">
        <f t="shared" si="202"/>
        <v>UP</v>
      </c>
      <c r="X352" s="6" t="str">
        <f t="shared" si="203"/>
        <v>POSITIVE</v>
      </c>
      <c r="Y352" cm="1">
        <f t="array" ref="Y352">IFERROR(VALUE(_xll.BDP($B352,"INTERVAL_MAE_MOV_AVG","CALC_INTERVAL","520D","TECH_STUDIES_PARAM1_OVERRIDE",65,"USE_PREVIOUS_BUSINESS_DAY","N")),"")</f>
        <v>5819.0923076923082</v>
      </c>
      <c r="Z352">
        <f>$Y$2</f>
        <v>6856.0226153846133</v>
      </c>
      <c r="AA352" cm="1">
        <f t="array" ref="AA352">IFERROR(VALUE(_xll.BDP($B352,"INTERVAL_MAE_MOV_AVG","CALC_INTERVAL","520D","TECH_STUDIES_PARAM1_OVERRIDE",65,"USE_PREVIOUS_BUSINESS_DAY","Y")),"")</f>
        <v>5813.4153846153849</v>
      </c>
      <c r="AB352">
        <f>$AA$2</f>
        <v>6852.6203076923057</v>
      </c>
      <c r="AC352">
        <f t="shared" si="204"/>
        <v>0.84875628832298788</v>
      </c>
      <c r="AD352">
        <f t="shared" si="205"/>
        <v>0.84834926255721821</v>
      </c>
      <c r="AE352" s="10" t="str">
        <f t="shared" si="206"/>
        <v>UP</v>
      </c>
      <c r="AF352" s="10" t="str">
        <f t="shared" si="207"/>
        <v>UP</v>
      </c>
      <c r="AG352" s="6" t="str">
        <f t="shared" si="208"/>
        <v>POSITIVE</v>
      </c>
      <c r="AH352" cm="1">
        <f t="array" ref="AH352">IFERROR(VALUE(_xll.BDP($B352,"INTERVAL_MAE_MOV_AVG","CALC_INTERVAL","65W","PERIODICITY_OVERRIDE","W","TECH_STUDIES_PARAM1_OVERRIDE",39,"USE_PREVIOUS_BUSINESS_DAY","N")),"")</f>
        <v>5576.6271794871791</v>
      </c>
      <c r="AI352">
        <f>$AH$2</f>
        <v>6560.7735897435905</v>
      </c>
      <c r="AJ352" cm="1">
        <f t="array" ref="AJ352">IFERROR(VALUE(_xll.BDP($B352,"INTERVAL_MAE_MOV_AVG","CALC_INTERVAL","65W","PERIODICITY_OVERRIDE","W","TECH_STUDIES_PARAM1_OVERRIDE",39,"USE_PREVIOUS_BUSINESS_DAY","Y")),"")</f>
        <v>5576.9092307692308</v>
      </c>
      <c r="AK352">
        <f>$AJ$2</f>
        <v>6560.7823076923087</v>
      </c>
      <c r="AL352">
        <f t="shared" si="209"/>
        <v>0.84999537069913211</v>
      </c>
      <c r="AM352">
        <f t="shared" si="210"/>
        <v>0.85003723172318668</v>
      </c>
      <c r="AN352" s="10" t="str">
        <f t="shared" si="211"/>
        <v>DOWN</v>
      </c>
      <c r="AO352" s="10" t="str">
        <f t="shared" si="212"/>
        <v>DOWN</v>
      </c>
      <c r="AP352" s="6" t="str">
        <f t="shared" si="213"/>
        <v>POSITIVE</v>
      </c>
      <c r="AQ352" cm="1">
        <f t="array" ref="AQ352">IFERROR(VALUE(_xll.BDP($B352,"INTERVAL_exp_MOV_AVG","CALC_INTERVAL","520D","TECH_STUDIES_PARAM1_OVERRIDE",100,"USE_PREVIOUS_BUSINESS_DAY","N")),"")</f>
        <v>5765.3630609537204</v>
      </c>
      <c r="AR352">
        <f>$AQ$2</f>
        <v>6773.0064518682802</v>
      </c>
      <c r="AS352" cm="1">
        <f t="array" ref="AS352">IFERROR(VALUE(_xll.BDP($B352,"INTERVAL_exp_MOV_AVG","CALC_INTERVAL","520D","TECH_STUDIES_PARAM1_OVERRIDE",100,"USE_PREVIOUS_BUSINESS_DAY","Y")),"")</f>
        <v>5759.6317395298374</v>
      </c>
      <c r="AT352">
        <f>$AS$2</f>
        <v>6769.6039787132295</v>
      </c>
      <c r="AU352">
        <f t="shared" si="214"/>
        <v>0.85122657152694581</v>
      </c>
      <c r="AV352">
        <f t="shared" si="215"/>
        <v>0.85080778102246268</v>
      </c>
      <c r="AW352" s="11" t="str">
        <f t="shared" si="216"/>
        <v>UP</v>
      </c>
      <c r="AX352" s="11" t="str">
        <f t="shared" si="217"/>
        <v>UP</v>
      </c>
      <c r="AY352" s="6" t="str">
        <f t="shared" si="218"/>
        <v>POSITIVE</v>
      </c>
      <c r="AZ352" s="12" cm="1">
        <f t="array" ref="AZ352">_xll.BDP($B352, "INTERVAL_RSI", "TECH_STUDIES_PARAM1_OVERRIDE", "5", "PERIODICITY_OVERRIDE", "W")</f>
        <v>76.53642552014054</v>
      </c>
      <c r="BA352" cm="1">
        <f t="array" ref="BA352">IFERROR(VALUE(_xll.BDP($B352,"INTERVAL_MAE_MOV_AVG","CALC_INTERVAL","520D","TECH_STUDIES_PARAM1_OVERRIDE",31,"USE_PREVIOUS_BUSINESS_DAY","N")),"")</f>
        <v>5970</v>
      </c>
      <c r="BB352" cm="1">
        <f t="array" ref="BB352">IFERROR(VALUE(_xll.BDP($B352,"INTERVAL_MAE_MOV_AVG","CALC_INTERVAL","760D","TECH_STUDIES_PARAM1_OVERRIDE",200,"USE_PREVIOUS_BUSINESS_DAY","N")),"")</f>
        <v>5552.9673000000003</v>
      </c>
      <c r="BC352" s="13">
        <f t="shared" si="219"/>
        <v>1.3232830820770536E-2</v>
      </c>
      <c r="BD352" s="13">
        <f t="shared" si="220"/>
        <v>2.9532906247659696E-2</v>
      </c>
      <c r="BE352" s="13">
        <f t="shared" si="221"/>
        <v>8.9327502432798411E-2</v>
      </c>
      <c r="BF352" s="14" cm="1">
        <f t="array" ref="BF352">VALUE(_xll.BDP($B352,"INTERVAL_DATE_OF_CALC_HI","CALC_INTERVAL","3M"))</f>
        <v>46062</v>
      </c>
      <c r="BG352" s="14" cm="1">
        <f t="array" ref="BG352">VALUE(_xll.BDP($B352,"INTERVAL_DATE_OF_CALC_LO","CALC_INTERVAL","3M"))</f>
        <v>45982</v>
      </c>
      <c r="BH352" s="14" cm="1">
        <f t="array" ref="BH352">VALUE(_xll.BDP($B352,"INTERVAL_DATE_OF_CALC_HI","CALC_INTERVAL","1M"))</f>
        <v>46062</v>
      </c>
      <c r="BI352" s="14" cm="1">
        <f t="array" ref="BI352">VALUE(_xll.BDP($B352,"INTERVAL_DATE_OF_CALC_LO","CALC_INTERVAL","1M"))</f>
        <v>46051</v>
      </c>
      <c r="BJ352" s="15">
        <f>$F352-MIN(_xll.BDP("NYA Index","RSI_14D"),_xll.BDP("RSP US Equity","RSI_14D"))</f>
        <v>-7.4005521457599457</v>
      </c>
    </row>
    <row r="353" spans="1:62" x14ac:dyDescent="0.25">
      <c r="A353" s="11">
        <v>352</v>
      </c>
      <c r="B353" s="26" t="s">
        <v>737</v>
      </c>
      <c r="C353" s="1" t="s">
        <v>995</v>
      </c>
      <c r="D353" s="1" t="s">
        <v>716</v>
      </c>
      <c r="E353" s="11" t="s">
        <v>943</v>
      </c>
      <c r="F353">
        <f>IFERROR(VALUE((_xll.BDP($B353,"interval_rsi","tech_studies_param1_override",14))),"")</f>
        <v>67.758466580622596</v>
      </c>
      <c r="G353">
        <f>$F$2</f>
        <v>52.525531939815814</v>
      </c>
      <c r="H353">
        <f t="shared" si="195"/>
        <v>1</v>
      </c>
      <c r="I353" cm="1">
        <f t="array" ref="I353">IFERROR(VALUE(_xll.BDP($B353,"px_last")),"")</f>
        <v>10455</v>
      </c>
      <c r="J353">
        <f>$I$2</f>
        <v>6941.47</v>
      </c>
      <c r="K353" cm="1">
        <f t="array" ref="K353">IFERROR(VALUE(_xll.BDP($B353,"PX_YEST_CLOSE")),"")</f>
        <v>10455</v>
      </c>
      <c r="L353">
        <f>$K$2</f>
        <v>6941.81</v>
      </c>
      <c r="M353">
        <f t="shared" si="196"/>
        <v>1.5061651206444744</v>
      </c>
      <c r="N353">
        <f t="shared" si="197"/>
        <v>1.506091350814845</v>
      </c>
      <c r="O353" cm="1">
        <f t="array" ref="O353">IFERROR(VALUE(_xll.BDP($B353,"INTERVAL_MAE_MOV_AVG","CALC_INTERVAL","520D","TECH_STUDIES_PARAM1_OVERRIDE",50,"USE_PREVIOUS_BUSINESS_DAY","N")),"")</f>
        <v>10024.14</v>
      </c>
      <c r="P353">
        <f>$O$2</f>
        <v>6894.0953999999992</v>
      </c>
      <c r="Q353" cm="1">
        <f t="array" ref="Q353">IFERROR(VALUE(_xll.BDP($B353,"INTERVAL_MAE_MOV_AVG","CALC_INTERVAL","520D","TECH_STUDIES_PARAM1_OVERRIDE",50,"USE_PREVIOUS_BUSINESS_DAY","Y")),"")</f>
        <v>10009.65</v>
      </c>
      <c r="R353">
        <f>$Q$2</f>
        <v>6892.2477999999992</v>
      </c>
      <c r="S353">
        <f t="shared" si="198"/>
        <v>1.4540181732907265</v>
      </c>
      <c r="T353">
        <f t="shared" si="199"/>
        <v>1.4523055888965573</v>
      </c>
      <c r="U353" s="11" t="str">
        <f t="shared" si="200"/>
        <v>POSITIVE</v>
      </c>
      <c r="V353" s="11" t="str">
        <f t="shared" si="201"/>
        <v/>
      </c>
      <c r="W353" s="11" t="str">
        <f t="shared" si="202"/>
        <v>UP</v>
      </c>
      <c r="X353" s="6" t="str">
        <f t="shared" si="203"/>
        <v>POSITIVE</v>
      </c>
      <c r="Y353" cm="1">
        <f t="array" ref="Y353">IFERROR(VALUE(_xll.BDP($B353,"INTERVAL_MAE_MOV_AVG","CALC_INTERVAL","520D","TECH_STUDIES_PARAM1_OVERRIDE",65,"USE_PREVIOUS_BUSINESS_DAY","N")),"")</f>
        <v>9949.5692307692316</v>
      </c>
      <c r="Z353">
        <f>$Y$2</f>
        <v>6856.0226153846133</v>
      </c>
      <c r="AA353" cm="1">
        <f t="array" ref="AA353">IFERROR(VALUE(_xll.BDP($B353,"INTERVAL_MAE_MOV_AVG","CALC_INTERVAL","520D","TECH_STUDIES_PARAM1_OVERRIDE",65,"USE_PREVIOUS_BUSINESS_DAY","Y")),"")</f>
        <v>9939.8846153846152</v>
      </c>
      <c r="AB353">
        <f>$AA$2</f>
        <v>6852.6203076923057</v>
      </c>
      <c r="AC353">
        <f t="shared" si="204"/>
        <v>1.4512159292536222</v>
      </c>
      <c r="AD353">
        <f t="shared" si="205"/>
        <v>1.4505231822382962</v>
      </c>
      <c r="AE353" s="10" t="str">
        <f t="shared" si="206"/>
        <v>UP</v>
      </c>
      <c r="AF353" s="10" t="str">
        <f t="shared" si="207"/>
        <v>UP</v>
      </c>
      <c r="AG353" s="6" t="str">
        <f t="shared" si="208"/>
        <v>POSITIVE</v>
      </c>
      <c r="AH353" cm="1">
        <f t="array" ref="AH353">IFERROR(VALUE(_xll.BDP($B353,"INTERVAL_MAE_MOV_AVG","CALC_INTERVAL","65W","PERIODICITY_OVERRIDE","W","TECH_STUDIES_PARAM1_OVERRIDE",39,"USE_PREVIOUS_BUSINESS_DAY","N")),"")</f>
        <v>9453.7307692307695</v>
      </c>
      <c r="AI353">
        <f>$AH$2</f>
        <v>6560.7735897435905</v>
      </c>
      <c r="AJ353" cm="1">
        <f t="array" ref="AJ353">IFERROR(VALUE(_xll.BDP($B353,"INTERVAL_MAE_MOV_AVG","CALC_INTERVAL","65W","PERIODICITY_OVERRIDE","W","TECH_STUDIES_PARAM1_OVERRIDE",39,"USE_PREVIOUS_BUSINESS_DAY","Y")),"")</f>
        <v>9450.6410256410254</v>
      </c>
      <c r="AK353">
        <f>$AJ$2</f>
        <v>6560.7823076923087</v>
      </c>
      <c r="AL353">
        <f t="shared" si="209"/>
        <v>1.4409475711842454</v>
      </c>
      <c r="AM353">
        <f t="shared" si="210"/>
        <v>1.4404747151205504</v>
      </c>
      <c r="AN353" s="10" t="str">
        <f t="shared" si="211"/>
        <v>UP</v>
      </c>
      <c r="AO353" s="10" t="str">
        <f t="shared" si="212"/>
        <v>UP</v>
      </c>
      <c r="AP353" s="6" t="str">
        <f t="shared" si="213"/>
        <v>POSITIVE</v>
      </c>
      <c r="AQ353" cm="1">
        <f t="array" ref="AQ353">IFERROR(VALUE(_xll.BDP($B353,"INTERVAL_exp_MOV_AVG","CALC_INTERVAL","520D","TECH_STUDIES_PARAM1_OVERRIDE",100,"USE_PREVIOUS_BUSINESS_DAY","N")),"")</f>
        <v>9833.2355080872458</v>
      </c>
      <c r="AR353">
        <f>$AQ$2</f>
        <v>6773.0064518682802</v>
      </c>
      <c r="AS353" cm="1">
        <f t="array" ref="AS353">IFERROR(VALUE(_xll.BDP($B353,"INTERVAL_exp_MOV_AVG","CALC_INTERVAL","520D","TECH_STUDIES_PARAM1_OVERRIDE",100,"USE_PREVIOUS_BUSINESS_DAY","Y")),"")</f>
        <v>9820.6728945685827</v>
      </c>
      <c r="AT353">
        <f>$AS$2</f>
        <v>6769.6039787132295</v>
      </c>
      <c r="AU353">
        <f t="shared" si="214"/>
        <v>1.4518272761093893</v>
      </c>
      <c r="AV353">
        <f t="shared" si="215"/>
        <v>1.4507012412320317</v>
      </c>
      <c r="AW353" s="11" t="str">
        <f t="shared" si="216"/>
        <v>UP</v>
      </c>
      <c r="AX353" s="11" t="str">
        <f t="shared" si="217"/>
        <v>UP</v>
      </c>
      <c r="AY353" s="6" t="str">
        <f t="shared" si="218"/>
        <v>POSITIVE</v>
      </c>
      <c r="AZ353" s="12" cm="1">
        <f t="array" ref="AZ353">_xll.BDP($B353, "INTERVAL_RSI", "TECH_STUDIES_PARAM1_OVERRIDE", "5", "PERIODICITY_OVERRIDE", "W")</f>
        <v>85.316923224779543</v>
      </c>
      <c r="BA353" cm="1">
        <f t="array" ref="BA353">IFERROR(VALUE(_xll.BDP($B353,"INTERVAL_MAE_MOV_AVG","CALC_INTERVAL","520D","TECH_STUDIES_PARAM1_OVERRIDE",31,"USE_PREVIOUS_BUSINESS_DAY","N")),"")</f>
        <v>10181.16129032258</v>
      </c>
      <c r="BB353" cm="1">
        <f t="array" ref="BB353">IFERROR(VALUE(_xll.BDP($B353,"INTERVAL_MAE_MOV_AVG","CALC_INTERVAL","760D","TECH_STUDIES_PARAM1_OVERRIDE",200,"USE_PREVIOUS_BUSINESS_DAY","N")),"")</f>
        <v>9393.26</v>
      </c>
      <c r="BC353" s="13">
        <f t="shared" si="219"/>
        <v>2.6896608536956412E-2</v>
      </c>
      <c r="BD353" s="13">
        <f t="shared" si="220"/>
        <v>4.298224087053848E-2</v>
      </c>
      <c r="BE353" s="13">
        <f t="shared" si="221"/>
        <v>0.11303211025778048</v>
      </c>
      <c r="BF353" s="14" cm="1">
        <f t="array" ref="BF353">VALUE(_xll.BDP($B353,"INTERVAL_DATE_OF_CALC_HI","CALC_INTERVAL","3M"))</f>
        <v>46064</v>
      </c>
      <c r="BG353" s="14" cm="1">
        <f t="array" ref="BG353">VALUE(_xll.BDP($B353,"INTERVAL_DATE_OF_CALC_LO","CALC_INTERVAL","3M"))</f>
        <v>45980</v>
      </c>
      <c r="BH353" s="14" cm="1">
        <f t="array" ref="BH353">VALUE(_xll.BDP($B353,"INTERVAL_DATE_OF_CALC_HI","CALC_INTERVAL","1M"))</f>
        <v>46064</v>
      </c>
      <c r="BI353" s="14" cm="1">
        <f t="array" ref="BI353">VALUE(_xll.BDP($B353,"INTERVAL_DATE_OF_CALC_LO","CALC_INTERVAL","1M"))</f>
        <v>46042</v>
      </c>
      <c r="BJ353" s="15">
        <f>$F353-MIN(_xll.BDP("NYA Index","RSI_14D"),_xll.BDP("RSP US Equity","RSI_14D"))</f>
        <v>1.4127024204663456</v>
      </c>
    </row>
  </sheetData>
  <autoFilter ref="A1:BJ353" xr:uid="{F5DEF2F6-02D6-4390-BF8C-884F1BA2F616}"/>
  <conditionalFormatting sqref="X2:X353 AG2:AG353 AP2:AP353">
    <cfRule type="containsText" dxfId="15" priority="7" operator="containsText" text="SELL">
      <formula>NOT(ISERROR(SEARCH("SELL",X2)))</formula>
    </cfRule>
    <cfRule type="containsText" dxfId="14" priority="8" operator="containsText" text="BUY">
      <formula>NOT(ISERROR(SEARCH("BUY",X2)))</formula>
    </cfRule>
  </conditionalFormatting>
  <conditionalFormatting sqref="AY2:AY353">
    <cfRule type="containsText" dxfId="13" priority="2" operator="containsText" text="BUY">
      <formula>NOT(ISERROR(SEARCH("BUY",AY2)))</formula>
    </cfRule>
  </conditionalFormatting>
  <conditionalFormatting sqref="AY2:AZ353">
    <cfRule type="containsText" dxfId="12" priority="1" operator="containsText" text="SELL">
      <formula>NOT(ISERROR(SEARCH("SELL",AY2)))</formula>
    </cfRule>
  </conditionalFormatting>
  <conditionalFormatting sqref="AZ2:AZ353">
    <cfRule type="cellIs" dxfId="11" priority="9" operator="greaterThan">
      <formula>90</formula>
    </cfRule>
    <cfRule type="containsText" dxfId="10" priority="11" operator="containsText" text="BUY">
      <formula>NOT(ISERROR(SEARCH("BUY",AZ2)))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5C3938-EA3D-47B6-AF27-646FAAE9ED1D}">
  <sheetPr codeName="Sheet3"/>
  <dimension ref="A1:AX978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1" sqref="D1:AX1048576"/>
    </sheetView>
  </sheetViews>
  <sheetFormatPr defaultRowHeight="15" x14ac:dyDescent="0.25"/>
  <cols>
    <col min="1" max="1" width="3.42578125" style="18" bestFit="1" customWidth="1"/>
    <col min="2" max="2" width="17" style="18" bestFit="1" customWidth="1"/>
    <col min="3" max="3" width="11.140625" style="18" customWidth="1"/>
    <col min="4" max="4" width="8" style="19" customWidth="1"/>
    <col min="5" max="18" width="9.140625" style="18" hidden="1" customWidth="1"/>
    <col min="19" max="19" width="10.7109375" style="18" customWidth="1"/>
    <col min="20" max="21" width="9.140625" style="18"/>
    <col min="22" max="22" width="9.42578125" style="18" customWidth="1"/>
    <col min="23" max="28" width="9.140625" style="18" hidden="1" customWidth="1"/>
    <col min="29" max="30" width="9.140625" style="18"/>
    <col min="31" max="31" width="9.42578125" style="18" customWidth="1"/>
    <col min="32" max="37" width="9.140625" style="18" hidden="1" customWidth="1"/>
    <col min="38" max="39" width="9.140625" style="18"/>
    <col min="40" max="40" width="9.42578125" style="18" customWidth="1"/>
    <col min="41" max="46" width="9.140625" style="18" hidden="1" customWidth="1"/>
    <col min="47" max="48" width="9.140625" style="18"/>
    <col min="49" max="49" width="9.42578125" style="18" customWidth="1"/>
    <col min="50" max="16384" width="9.140625" style="18"/>
  </cols>
  <sheetData>
    <row r="1" spans="1:50" s="30" customFormat="1" ht="75" x14ac:dyDescent="0.25">
      <c r="A1" s="3" t="s">
        <v>181</v>
      </c>
      <c r="B1" s="3" t="s">
        <v>791</v>
      </c>
      <c r="C1" s="3" t="s">
        <v>952</v>
      </c>
      <c r="D1" s="17" t="s">
        <v>255</v>
      </c>
      <c r="E1" s="16" t="s">
        <v>298</v>
      </c>
      <c r="F1" s="7" t="s">
        <v>256</v>
      </c>
      <c r="G1" s="7" t="s">
        <v>257</v>
      </c>
      <c r="H1" s="7" t="s">
        <v>258</v>
      </c>
      <c r="I1" s="7" t="s">
        <v>259</v>
      </c>
      <c r="J1" s="7" t="s">
        <v>260</v>
      </c>
      <c r="K1" s="8" t="s">
        <v>261</v>
      </c>
      <c r="L1" s="4" t="s">
        <v>262</v>
      </c>
      <c r="M1" s="7" t="s">
        <v>263</v>
      </c>
      <c r="N1" s="7" t="s">
        <v>264</v>
      </c>
      <c r="O1" s="7" t="s">
        <v>265</v>
      </c>
      <c r="P1" s="7" t="s">
        <v>266</v>
      </c>
      <c r="Q1" s="8" t="s">
        <v>267</v>
      </c>
      <c r="R1" s="4" t="s">
        <v>268</v>
      </c>
      <c r="S1" s="5" t="s">
        <v>269</v>
      </c>
      <c r="T1" s="5" t="s">
        <v>299</v>
      </c>
      <c r="U1" s="5" t="s">
        <v>300</v>
      </c>
      <c r="V1" s="5" t="s">
        <v>270</v>
      </c>
      <c r="W1" s="7" t="s">
        <v>271</v>
      </c>
      <c r="X1" s="7" t="s">
        <v>272</v>
      </c>
      <c r="Y1" s="7" t="s">
        <v>273</v>
      </c>
      <c r="Z1" s="7" t="s">
        <v>274</v>
      </c>
      <c r="AA1" s="7" t="s">
        <v>275</v>
      </c>
      <c r="AB1" s="7" t="s">
        <v>276</v>
      </c>
      <c r="AC1" s="5" t="s">
        <v>301</v>
      </c>
      <c r="AD1" s="5" t="s">
        <v>302</v>
      </c>
      <c r="AE1" s="5" t="s">
        <v>277</v>
      </c>
      <c r="AF1" s="7" t="s">
        <v>278</v>
      </c>
      <c r="AG1" s="7" t="s">
        <v>279</v>
      </c>
      <c r="AH1" s="7" t="s">
        <v>280</v>
      </c>
      <c r="AI1" s="7" t="s">
        <v>281</v>
      </c>
      <c r="AJ1" s="8" t="s">
        <v>282</v>
      </c>
      <c r="AK1" s="4" t="s">
        <v>283</v>
      </c>
      <c r="AL1" s="5" t="s">
        <v>303</v>
      </c>
      <c r="AM1" s="5" t="s">
        <v>304</v>
      </c>
      <c r="AN1" s="5" t="s">
        <v>284</v>
      </c>
      <c r="AO1" s="9" t="s">
        <v>285</v>
      </c>
      <c r="AP1" s="7" t="s">
        <v>286</v>
      </c>
      <c r="AQ1" s="9" t="s">
        <v>287</v>
      </c>
      <c r="AR1" s="7" t="s">
        <v>288</v>
      </c>
      <c r="AS1" s="9" t="s">
        <v>289</v>
      </c>
      <c r="AT1" s="9" t="s">
        <v>290</v>
      </c>
      <c r="AU1" s="5" t="s">
        <v>305</v>
      </c>
      <c r="AV1" s="5" t="s">
        <v>306</v>
      </c>
      <c r="AW1" s="5" t="s">
        <v>291</v>
      </c>
      <c r="AX1" s="3" t="s">
        <v>292</v>
      </c>
    </row>
    <row r="2" spans="1:50" x14ac:dyDescent="0.25">
      <c r="A2" s="18">
        <v>1</v>
      </c>
      <c r="B2" s="18" t="s">
        <v>0</v>
      </c>
      <c r="D2" s="19">
        <f>IFERROR(VALUE((_xll.BDP($B2,"interval_rsi","tech_studies_param1_override",14))),"")</f>
        <v>52.525531939815814</v>
      </c>
      <c r="E2" s="20">
        <f>$D$2</f>
        <v>52.525531939815814</v>
      </c>
      <c r="F2" s="18">
        <f t="shared" ref="F2:F4" si="0">IF(AND(D2-E2&gt;10,E2&lt;65),1,0)</f>
        <v>0</v>
      </c>
      <c r="G2" s="18" cm="1">
        <f t="array" ref="G2">IFERROR(VALUE(_xll.BDP($B2,"px_last")),"")</f>
        <v>6941.47</v>
      </c>
      <c r="H2" s="18">
        <f>$G$2</f>
        <v>6941.47</v>
      </c>
      <c r="I2" s="18" cm="1">
        <f t="array" ref="I2">IFERROR(VALUE(_xll.BDP($B2,"PX_YEST_CLOSE")),"")</f>
        <v>6941.81</v>
      </c>
      <c r="J2" s="18">
        <f>$I$2</f>
        <v>6941.81</v>
      </c>
      <c r="K2" s="18">
        <f t="shared" ref="K2:K4" si="1">G2/H2</f>
        <v>1</v>
      </c>
      <c r="L2" s="18">
        <f t="shared" ref="L2:L4" si="2">I2/J2</f>
        <v>1</v>
      </c>
      <c r="M2" s="18" cm="1">
        <f t="array" ref="M2">IFERROR(VALUE(_xll.BDP($B2,"INTERVAL_MAE_MOV_AVG","CALC_INTERVAL","520D","TECH_STUDIES_PARAM1_OVERRIDE",50,"USE_PREVIOUS_BUSINESS_DAY","N")),"")</f>
        <v>6894.0953999999992</v>
      </c>
      <c r="N2" s="18">
        <f>$M$2</f>
        <v>6894.0953999999992</v>
      </c>
      <c r="O2" s="18" cm="1">
        <f t="array" ref="O2">IFERROR(VALUE(_xll.BDP($B2,"INTERVAL_MAE_MOV_AVG","CALC_INTERVAL","520D","TECH_STUDIES_PARAM1_OVERRIDE",50,"USE_PREVIOUS_BUSINESS_DAY","Y")),"")</f>
        <v>6892.2477999999992</v>
      </c>
      <c r="P2" s="18">
        <f>$O$2</f>
        <v>6892.2477999999992</v>
      </c>
      <c r="Q2" s="18">
        <f t="shared" ref="Q2:Q4" si="3">M2/N2</f>
        <v>1</v>
      </c>
      <c r="R2" s="18">
        <f t="shared" ref="R2:R4" si="4">O2/P2</f>
        <v>1</v>
      </c>
      <c r="S2" s="21" t="str">
        <f t="shared" ref="S2:S4" si="5">IF(F2=1,"POSITIVE","NEGATIVE")</f>
        <v>NEGATIVE</v>
      </c>
      <c r="T2" s="21" t="str">
        <f t="shared" ref="T2:T4" si="6">IF(AND(I2&lt;O2,G2&gt;M2),"UP","")</f>
        <v/>
      </c>
      <c r="U2" s="21" t="str">
        <f t="shared" ref="U2:U4" si="7">IF(Q2&gt;R2,"UP",IF(Q2&lt;R2,"DOWN",""))</f>
        <v/>
      </c>
      <c r="V2" s="21" t="str">
        <f t="shared" ref="V2:V4" si="8">IF(AND(L2&lt;R2,K2&gt;Q2),"BUY",IF(AND(L2&gt;R2,K2&lt;Q2),"SELL",IF(K2&gt;Q2,"POSITIVE","NEGATIVE")))</f>
        <v>NEGATIVE</v>
      </c>
      <c r="W2" s="18" cm="1">
        <f t="array" ref="W2">IFERROR(VALUE(_xll.BDP($B2,"INTERVAL_MAE_MOV_AVG","CALC_INTERVAL","520D","TECH_STUDIES_PARAM1_OVERRIDE",65,"USE_PREVIOUS_BUSINESS_DAY","N")),"")</f>
        <v>6856.0226153846133</v>
      </c>
      <c r="X2" s="18">
        <f>$W$2</f>
        <v>6856.0226153846133</v>
      </c>
      <c r="Y2" s="18" cm="1">
        <f t="array" ref="Y2">IFERROR(VALUE(_xll.BDP($B2,"INTERVAL_MAE_MOV_AVG","CALC_INTERVAL","520D","TECH_STUDIES_PARAM1_OVERRIDE",65,"USE_PREVIOUS_BUSINESS_DAY","Y")),"")</f>
        <v>6852.6203076923057</v>
      </c>
      <c r="Z2" s="18">
        <f>$Y$2</f>
        <v>6852.6203076923057</v>
      </c>
      <c r="AA2" s="18">
        <f t="shared" ref="AA2:AA4" si="9">W2/X2</f>
        <v>1</v>
      </c>
      <c r="AB2" s="18">
        <f t="shared" ref="AB2:AB4" si="10">Y2/Z2</f>
        <v>1</v>
      </c>
      <c r="AC2" s="22" t="str">
        <f t="shared" ref="AC2:AC4" si="11">IF(W2&gt;Y2,"UP",IF(W2&lt;Y2,"DOWN",""))</f>
        <v>UP</v>
      </c>
      <c r="AD2" s="22" t="str">
        <f t="shared" ref="AD2:AD4" si="12">IF(AA2&gt;AB2,"UP",IF(AA2&lt;AB2,"DOWN",""))</f>
        <v/>
      </c>
      <c r="AE2" s="21" t="str">
        <f t="shared" ref="AE2:AE4" si="13">IF(AND(L2&lt;AB2,K2&gt;AA2),"BUY",IF(AND(L2&gt;AB2,K2&lt;AA2),"SELL",IF(K2&gt;AA2,"POSITIVE","NEGATIVE")))</f>
        <v>NEGATIVE</v>
      </c>
      <c r="AF2" s="18" cm="1">
        <f t="array" ref="AF2">IFERROR(VALUE(_xll.BDP($B2,"INTERVAL_MAE_MOV_AVG","CALC_INTERVAL","65W","PERIODICITY_OVERRIDE","W","TECH_STUDIES_PARAM1_OVERRIDE",39,"USE_PREVIOUS_BUSINESS_DAY","N")),"")</f>
        <v>6560.7735897435905</v>
      </c>
      <c r="AG2" s="18">
        <f>$AF$2</f>
        <v>6560.7735897435905</v>
      </c>
      <c r="AH2" s="18" cm="1">
        <f t="array" ref="AH2">IFERROR(VALUE(_xll.BDP($B2,"INTERVAL_MAE_MOV_AVG","CALC_INTERVAL","65W","PERIODICITY_OVERRIDE","W","TECH_STUDIES_PARAM1_OVERRIDE",39,"USE_PREVIOUS_BUSINESS_DAY","Y")),"")</f>
        <v>6560.7823076923087</v>
      </c>
      <c r="AI2" s="18">
        <f>$AH$2</f>
        <v>6560.7823076923087</v>
      </c>
      <c r="AJ2" s="18">
        <f t="shared" ref="AJ2:AJ4" si="14">AF2/AG2</f>
        <v>1</v>
      </c>
      <c r="AK2" s="18">
        <f t="shared" ref="AK2:AK4" si="15">AH2/AI2</f>
        <v>1</v>
      </c>
      <c r="AL2" s="22" t="str">
        <f t="shared" ref="AL2:AL4" si="16">IF(AF2&gt;AH2,"UP",IF(AF2&lt;AH2,"DOWN",""))</f>
        <v>DOWN</v>
      </c>
      <c r="AM2" s="22" t="str">
        <f t="shared" ref="AM2:AM4" si="17">IF(AJ2&gt;AK2,"UP",IF(AJ2&lt;AK2,"DOWN",""))</f>
        <v/>
      </c>
      <c r="AN2" s="21" t="str">
        <f t="shared" ref="AN2:AN4" si="18">IF(AND(L2&lt;AK2,K2&gt;AJ2),"BUY",IF(AND(L2&gt;AK2,K2&lt;AJ2),"SELL",IF(K2&gt;AJ2,"POSITIVE","NEGATIVE")))</f>
        <v>NEGATIVE</v>
      </c>
      <c r="AO2" s="18" cm="1">
        <f t="array" ref="AO2">IFERROR(VALUE(_xll.BDP($B2,"INTERVAL_exp_MOV_AVG","CALC_INTERVAL","520D","TECH_STUDIES_PARAM1_OVERRIDE",100,"USE_PREVIOUS_BUSINESS_DAY","N")),"")</f>
        <v>6773.0064518682802</v>
      </c>
      <c r="AP2" s="18">
        <f>$AO$2</f>
        <v>6773.0064518682802</v>
      </c>
      <c r="AQ2" s="18" cm="1">
        <f t="array" ref="AQ2">IFERROR(VALUE(_xll.BDP($B2,"INTERVAL_exp_MOV_AVG","CALC_INTERVAL","520D","TECH_STUDIES_PARAM1_OVERRIDE",100,"USE_PREVIOUS_BUSINESS_DAY","Y")),"")</f>
        <v>6769.6039787132295</v>
      </c>
      <c r="AR2" s="18">
        <f>$AQ$2</f>
        <v>6769.6039787132295</v>
      </c>
      <c r="AS2" s="18">
        <f t="shared" ref="AS2:AS4" si="19">AO2/AP2</f>
        <v>1</v>
      </c>
      <c r="AT2" s="18">
        <f t="shared" ref="AT2:AT4" si="20">AQ2/AR2</f>
        <v>1</v>
      </c>
      <c r="AU2" s="21" t="str">
        <f t="shared" ref="AU2:AU4" si="21">IF(AO2&gt;AQ2,"UP",IF(AO2&lt;AQ2,"DOWN",""))</f>
        <v>UP</v>
      </c>
      <c r="AV2" s="21" t="str">
        <f t="shared" ref="AV2:AV4" si="22">IF(AS2&gt;AT2,"UP",IF(AS2&lt;AT2,"DOWN",""))</f>
        <v/>
      </c>
      <c r="AW2" s="21" t="str">
        <f t="shared" ref="AW2:AW4" si="23">IF(AND(L2&lt;AT2,K2&gt;AS2),"BUY",IF(AND(L2&gt;AT2,K2&lt;AS2),"SELL",IF(K2&gt;AS2,"POSITIVE","NEGATIVE")))</f>
        <v>NEGATIVE</v>
      </c>
      <c r="AX2" s="19" cm="1">
        <f t="array" ref="AX2">_xll.BDP($B2, "INTERVAL_RSI", "TECH_STUDIES_PARAM1_OVERRIDE", "5", "PERIODICITY_OVERRIDE", "W")</f>
        <v>62.156288099015335</v>
      </c>
    </row>
    <row r="3" spans="1:50" x14ac:dyDescent="0.25">
      <c r="A3" s="18">
        <v>2</v>
      </c>
      <c r="B3" s="18" t="s">
        <v>178</v>
      </c>
      <c r="D3" s="19">
        <f>IFERROR(VALUE((_xll.BDP($B3,"interval_rsi","tech_studies_param1_override",14))),"")</f>
        <v>58.65229151868094</v>
      </c>
      <c r="E3" s="20">
        <f>$D$2</f>
        <v>52.525531939815814</v>
      </c>
      <c r="F3" s="18">
        <f t="shared" si="0"/>
        <v>0</v>
      </c>
      <c r="G3" s="18" cm="1">
        <f t="array" ref="G3">IFERROR(VALUE(_xll.BDP($B3,"px_last")),"")</f>
        <v>33.15</v>
      </c>
      <c r="H3" s="18">
        <f>$G$2</f>
        <v>6941.47</v>
      </c>
      <c r="I3" s="18" cm="1">
        <f t="array" ref="I3">IFERROR(VALUE(_xll.BDP($B3,"PX_YEST_CLOSE")),"")</f>
        <v>32.85</v>
      </c>
      <c r="J3" s="18">
        <f>$I$2</f>
        <v>6941.81</v>
      </c>
      <c r="K3" s="18">
        <f t="shared" si="1"/>
        <v>4.7756455044824795E-3</v>
      </c>
      <c r="L3" s="18">
        <f t="shared" si="2"/>
        <v>4.7321952055731859E-3</v>
      </c>
      <c r="M3" s="18" cm="1">
        <f t="array" ref="M3">IFERROR(VALUE(_xll.BDP($B3,"INTERVAL_MAE_MOV_AVG","CALC_INTERVAL","520D","TECH_STUDIES_PARAM1_OVERRIDE",50,"USE_PREVIOUS_BUSINESS_DAY","N")),"")</f>
        <v>29.420000000000005</v>
      </c>
      <c r="N3" s="18">
        <f>$M$2</f>
        <v>6894.0953999999992</v>
      </c>
      <c r="O3" s="18" cm="1">
        <f t="array" ref="O3">IFERROR(VALUE(_xll.BDP($B3,"INTERVAL_MAE_MOV_AVG","CALC_INTERVAL","520D","TECH_STUDIES_PARAM1_OVERRIDE",50,"USE_PREVIOUS_BUSINESS_DAY","Y")),"")</f>
        <v>29.221000000000004</v>
      </c>
      <c r="P3" s="18">
        <f>$O$2</f>
        <v>6892.2477999999992</v>
      </c>
      <c r="Q3" s="18">
        <f t="shared" si="3"/>
        <v>4.2674199141485639E-3</v>
      </c>
      <c r="R3" s="18">
        <f t="shared" si="4"/>
        <v>4.2396908596350827E-3</v>
      </c>
      <c r="S3" s="21" t="str">
        <f t="shared" si="5"/>
        <v>NEGATIVE</v>
      </c>
      <c r="T3" s="21" t="str">
        <f t="shared" si="6"/>
        <v/>
      </c>
      <c r="U3" s="21" t="str">
        <f t="shared" si="7"/>
        <v>UP</v>
      </c>
      <c r="V3" s="21" t="str">
        <f t="shared" si="8"/>
        <v>POSITIVE</v>
      </c>
      <c r="W3" s="18" cm="1">
        <f t="array" ref="W3">IFERROR(VALUE(_xll.BDP($B3,"INTERVAL_MAE_MOV_AVG","CALC_INTERVAL","520D","TECH_STUDIES_PARAM1_OVERRIDE",65,"USE_PREVIOUS_BUSINESS_DAY","N")),"")</f>
        <v>28.603076923076934</v>
      </c>
      <c r="X3" s="18">
        <f>$W$2</f>
        <v>6856.0226153846133</v>
      </c>
      <c r="Y3" s="18" cm="1">
        <f t="array" ref="Y3">IFERROR(VALUE(_xll.BDP($B3,"INTERVAL_MAE_MOV_AVG","CALC_INTERVAL","520D","TECH_STUDIES_PARAM1_OVERRIDE",65,"USE_PREVIOUS_BUSINESS_DAY","Y")),"")</f>
        <v>28.585384615384623</v>
      </c>
      <c r="Z3" s="18">
        <f>$Y$2</f>
        <v>6852.6203076923057</v>
      </c>
      <c r="AA3" s="18">
        <f t="shared" si="9"/>
        <v>4.171963619094967E-3</v>
      </c>
      <c r="AB3" s="18">
        <f t="shared" si="10"/>
        <v>4.1714531568743897E-3</v>
      </c>
      <c r="AC3" s="22" t="str">
        <f t="shared" si="11"/>
        <v>UP</v>
      </c>
      <c r="AD3" s="22" t="str">
        <f t="shared" si="12"/>
        <v>UP</v>
      </c>
      <c r="AE3" s="21" t="str">
        <f t="shared" si="13"/>
        <v>POSITIVE</v>
      </c>
      <c r="AF3" s="18" cm="1">
        <f t="array" ref="AF3">IFERROR(VALUE(_xll.BDP($B3,"INTERVAL_MAE_MOV_AVG","CALC_INTERVAL","65W","PERIODICITY_OVERRIDE","W","TECH_STUDIES_PARAM1_OVERRIDE",39,"USE_PREVIOUS_BUSINESS_DAY","N")),"")</f>
        <v>26.825128205128198</v>
      </c>
      <c r="AG3" s="18">
        <f>$AF$2</f>
        <v>6560.7735897435905</v>
      </c>
      <c r="AH3" s="18" cm="1">
        <f t="array" ref="AH3">IFERROR(VALUE(_xll.BDP($B3,"INTERVAL_MAE_MOV_AVG","CALC_INTERVAL","65W","PERIODICITY_OVERRIDE","W","TECH_STUDIES_PARAM1_OVERRIDE",39,"USE_PREVIOUS_BUSINESS_DAY","Y")),"")</f>
        <v>26.817435897435892</v>
      </c>
      <c r="AI3" s="18">
        <f>$AH$2</f>
        <v>6560.7823076923087</v>
      </c>
      <c r="AJ3" s="18">
        <f t="shared" si="14"/>
        <v>4.0887142100229958E-3</v>
      </c>
      <c r="AK3" s="18">
        <f t="shared" si="15"/>
        <v>4.0875363088931178E-3</v>
      </c>
      <c r="AL3" s="22" t="str">
        <f t="shared" si="16"/>
        <v>UP</v>
      </c>
      <c r="AM3" s="22" t="str">
        <f t="shared" si="17"/>
        <v>UP</v>
      </c>
      <c r="AN3" s="21" t="str">
        <f t="shared" si="18"/>
        <v>POSITIVE</v>
      </c>
      <c r="AO3" s="18" cm="1">
        <f t="array" ref="AO3">IFERROR(VALUE(_xll.BDP($B3,"INTERVAL_exp_MOV_AVG","CALC_INTERVAL","520D","TECH_STUDIES_PARAM1_OVERRIDE",100,"USE_PREVIOUS_BUSINESS_DAY","N")),"")</f>
        <v>28.74235356140321</v>
      </c>
      <c r="AP3" s="18">
        <f>$AO$2</f>
        <v>6773.0064518682802</v>
      </c>
      <c r="AQ3" s="18" cm="1">
        <f t="array" ref="AQ3">IFERROR(VALUE(_xll.BDP($B3,"INTERVAL_exp_MOV_AVG","CALC_INTERVAL","520D","TECH_STUDIES_PARAM1_OVERRIDE",100,"USE_PREVIOUS_BUSINESS_DAY","Y")),"")</f>
        <v>28.653296750387668</v>
      </c>
      <c r="AR3" s="18">
        <f>$AQ$2</f>
        <v>6769.6039787132295</v>
      </c>
      <c r="AS3" s="18">
        <f t="shared" si="19"/>
        <v>4.243662510239431E-3</v>
      </c>
      <c r="AT3" s="18">
        <f t="shared" si="20"/>
        <v>4.2326400245105778E-3</v>
      </c>
      <c r="AU3" s="21" t="str">
        <f t="shared" si="21"/>
        <v>UP</v>
      </c>
      <c r="AV3" s="21" t="str">
        <f t="shared" si="22"/>
        <v>UP</v>
      </c>
      <c r="AW3" s="21" t="str">
        <f t="shared" si="23"/>
        <v>POSITIVE</v>
      </c>
      <c r="AX3" s="19" cm="1">
        <f t="array" ref="AX3">_xll.BDP($B3, "INTERVAL_RSI", "TECH_STUDIES_PARAM1_OVERRIDE", "5", "PERIODICITY_OVERRIDE", "W")</f>
        <v>68.015068399310834</v>
      </c>
    </row>
    <row r="4" spans="1:50" x14ac:dyDescent="0.25">
      <c r="A4" s="18">
        <v>3</v>
      </c>
      <c r="B4" s="18" t="s">
        <v>10</v>
      </c>
      <c r="D4" s="19">
        <f>IFERROR(VALUE((_xll.BDP($B4,"interval_rsi","tech_studies_param1_override",14))),"")</f>
        <v>65.14360913987349</v>
      </c>
      <c r="E4" s="20">
        <f t="shared" ref="E4:E61" si="24">$D$2</f>
        <v>52.525531939815814</v>
      </c>
      <c r="F4" s="18">
        <f t="shared" si="0"/>
        <v>1</v>
      </c>
      <c r="G4" s="18" cm="1">
        <f t="array" ref="G4">IFERROR(VALUE(_xll.BDP($B4,"px_last")),"")</f>
        <v>34.909999999999997</v>
      </c>
      <c r="H4" s="18">
        <f t="shared" ref="H4:H61" si="25">$G$2</f>
        <v>6941.47</v>
      </c>
      <c r="I4" s="18" cm="1">
        <f t="array" ref="I4">IFERROR(VALUE(_xll.BDP($B4,"PX_YEST_CLOSE")),"")</f>
        <v>34.72</v>
      </c>
      <c r="J4" s="18">
        <f t="shared" ref="J4:J61" si="26">$I$2</f>
        <v>6941.81</v>
      </c>
      <c r="K4" s="18">
        <f t="shared" si="1"/>
        <v>5.0291941044188042E-3</v>
      </c>
      <c r="L4" s="18">
        <f t="shared" si="2"/>
        <v>5.0015773984018576E-3</v>
      </c>
      <c r="M4" s="18" cm="1">
        <f t="array" ref="M4">IFERROR(VALUE(_xll.BDP($B4,"INTERVAL_MAE_MOV_AVG","CALC_INTERVAL","520D","TECH_STUDIES_PARAM1_OVERRIDE",50,"USE_PREVIOUS_BUSINESS_DAY","N")),"")</f>
        <v>30.673399996948248</v>
      </c>
      <c r="N4" s="18">
        <f t="shared" ref="N4:N61" si="27">$M$2</f>
        <v>6894.0953999999992</v>
      </c>
      <c r="O4" s="18" cm="1">
        <f t="array" ref="O4">IFERROR(VALUE(_xll.BDP($B4,"INTERVAL_MAE_MOV_AVG","CALC_INTERVAL","520D","TECH_STUDIES_PARAM1_OVERRIDE",50,"USE_PREVIOUS_BUSINESS_DAY","Y")),"")</f>
        <v>30.566800000000001</v>
      </c>
      <c r="P4" s="18">
        <f t="shared" ref="P4:P61" si="28">$O$2</f>
        <v>6892.2477999999992</v>
      </c>
      <c r="Q4" s="18">
        <f t="shared" si="3"/>
        <v>4.4492276676281924E-3</v>
      </c>
      <c r="R4" s="18">
        <f t="shared" si="4"/>
        <v>4.4349537171312972E-3</v>
      </c>
      <c r="S4" s="21" t="str">
        <f t="shared" si="5"/>
        <v>POSITIVE</v>
      </c>
      <c r="T4" s="21" t="str">
        <f t="shared" si="6"/>
        <v/>
      </c>
      <c r="U4" s="21" t="str">
        <f t="shared" si="7"/>
        <v>UP</v>
      </c>
      <c r="V4" s="21" t="str">
        <f t="shared" si="8"/>
        <v>POSITIVE</v>
      </c>
      <c r="W4" s="18" cm="1">
        <f t="array" ref="W4">IFERROR(VALUE(_xll.BDP($B4,"INTERVAL_MAE_MOV_AVG","CALC_INTERVAL","520D","TECH_STUDIES_PARAM1_OVERRIDE",65,"USE_PREVIOUS_BUSINESS_DAY","N")),"")</f>
        <v>30.539153843806346</v>
      </c>
      <c r="X4" s="18">
        <f t="shared" ref="X4:X61" si="29">$W$2</f>
        <v>6856.0226153846133</v>
      </c>
      <c r="Y4" s="18" cm="1">
        <f t="array" ref="Y4">IFERROR(VALUE(_xll.BDP($B4,"INTERVAL_MAE_MOV_AVG","CALC_INTERVAL","520D","TECH_STUDIES_PARAM1_OVERRIDE",65,"USE_PREVIOUS_BUSINESS_DAY","Y")),"")</f>
        <v>30.489461538461541</v>
      </c>
      <c r="Z4" s="18">
        <f t="shared" ref="Z4:Z61" si="30">$Y$2</f>
        <v>6852.6203076923057</v>
      </c>
      <c r="AA4" s="18">
        <f t="shared" si="9"/>
        <v>4.4543543038025905E-3</v>
      </c>
      <c r="AB4" s="18">
        <f t="shared" si="10"/>
        <v>4.4493143016016892E-3</v>
      </c>
      <c r="AC4" s="22" t="str">
        <f t="shared" si="11"/>
        <v>UP</v>
      </c>
      <c r="AD4" s="22" t="str">
        <f t="shared" si="12"/>
        <v>UP</v>
      </c>
      <c r="AE4" s="21" t="str">
        <f t="shared" si="13"/>
        <v>POSITIVE</v>
      </c>
      <c r="AF4" s="18" cm="1">
        <f t="array" ref="AF4">IFERROR(VALUE(_xll.BDP($B4,"INTERVAL_MAE_MOV_AVG","CALC_INTERVAL","65W","PERIODICITY_OVERRIDE","W","TECH_STUDIES_PARAM1_OVERRIDE",39,"USE_PREVIOUS_BUSINESS_DAY","N")),"")</f>
        <v>29.807179483266967</v>
      </c>
      <c r="AG4" s="18">
        <f t="shared" ref="AG4:AG61" si="31">$AF$2</f>
        <v>6560.7735897435905</v>
      </c>
      <c r="AH4" s="18" cm="1">
        <f t="array" ref="AH4">IFERROR(VALUE(_xll.BDP($B4,"INTERVAL_MAE_MOV_AVG","CALC_INTERVAL","65W","PERIODICITY_OVERRIDE","W","TECH_STUDIES_PARAM1_OVERRIDE",39,"USE_PREVIOUS_BUSINESS_DAY","Y")),"")</f>
        <v>29.802307692307686</v>
      </c>
      <c r="AI4" s="18">
        <f t="shared" ref="AI4:AI61" si="32">$AH$2</f>
        <v>6560.7823076923087</v>
      </c>
      <c r="AJ4" s="18">
        <f t="shared" si="14"/>
        <v>4.5432415972811975E-3</v>
      </c>
      <c r="AK4" s="18">
        <f t="shared" si="15"/>
        <v>4.5424929977276379E-3</v>
      </c>
      <c r="AL4" s="22" t="str">
        <f t="shared" si="16"/>
        <v>UP</v>
      </c>
      <c r="AM4" s="22" t="str">
        <f t="shared" si="17"/>
        <v>UP</v>
      </c>
      <c r="AN4" s="21" t="str">
        <f t="shared" si="18"/>
        <v>POSITIVE</v>
      </c>
      <c r="AO4" s="18" cm="1">
        <f t="array" ref="AO4">IFERROR(VALUE(_xll.BDP($B4,"INTERVAL_exp_MOV_AVG","CALC_INTERVAL","520D","TECH_STUDIES_PARAM1_OVERRIDE",100,"USE_PREVIOUS_BUSINESS_DAY","N")),"")</f>
        <v>30.759443810331852</v>
      </c>
      <c r="AP4" s="18">
        <f t="shared" ref="AP4:AP61" si="33">$AO$2</f>
        <v>6773.0064518682802</v>
      </c>
      <c r="AQ4" s="18" cm="1">
        <f t="array" ref="AQ4">IFERROR(VALUE(_xll.BDP($B4,"INTERVAL_exp_MOV_AVG","CALC_INTERVAL","520D","TECH_STUDIES_PARAM1_OVERRIDE",100,"USE_PREVIOUS_BUSINESS_DAY","Y")),"")</f>
        <v>30.675596365977448</v>
      </c>
      <c r="AR4" s="18">
        <f t="shared" ref="AR4:AR61" si="34">$AQ$2</f>
        <v>6769.6039787132295</v>
      </c>
      <c r="AS4" s="18">
        <f t="shared" si="19"/>
        <v>4.5414756399423037E-3</v>
      </c>
      <c r="AT4" s="18">
        <f t="shared" si="20"/>
        <v>4.5313723612837222E-3</v>
      </c>
      <c r="AU4" s="21" t="str">
        <f t="shared" si="21"/>
        <v>UP</v>
      </c>
      <c r="AV4" s="21" t="str">
        <f t="shared" si="22"/>
        <v>UP</v>
      </c>
      <c r="AW4" s="21" t="str">
        <f t="shared" si="23"/>
        <v>POSITIVE</v>
      </c>
      <c r="AX4" s="19" cm="1">
        <f t="array" ref="AX4">_xll.BDP($B4, "INTERVAL_RSI", "TECH_STUDIES_PARAM1_OVERRIDE", "5", "PERIODICITY_OVERRIDE", "W")</f>
        <v>87.254620745510579</v>
      </c>
    </row>
    <row r="5" spans="1:50" x14ac:dyDescent="0.25">
      <c r="A5" s="18">
        <v>4</v>
      </c>
      <c r="B5" s="18" t="s">
        <v>13</v>
      </c>
      <c r="D5" s="19">
        <f>IFERROR(VALUE((_xll.BDP($B5,"interval_rsi","tech_studies_param1_override",14))),"")</f>
        <v>71.983403828580904</v>
      </c>
      <c r="E5" s="20">
        <f t="shared" si="24"/>
        <v>52.525531939815814</v>
      </c>
      <c r="F5" s="18">
        <f t="shared" ref="F5:F10" si="35">IF(AND(D5-E5&gt;10,E5&lt;65),1,0)</f>
        <v>1</v>
      </c>
      <c r="G5" s="18" cm="1">
        <f t="array" ref="G5">IFERROR(VALUE(_xll.BDP($B5,"px_last")),"")</f>
        <v>50.09</v>
      </c>
      <c r="H5" s="18">
        <f t="shared" si="25"/>
        <v>6941.47</v>
      </c>
      <c r="I5" s="18" cm="1">
        <f t="array" ref="I5">IFERROR(VALUE(_xll.BDP($B5,"PX_YEST_CLOSE")),"")</f>
        <v>48.53</v>
      </c>
      <c r="J5" s="18">
        <f t="shared" si="26"/>
        <v>6941.81</v>
      </c>
      <c r="K5" s="18">
        <f t="shared" ref="K5:K10" si="36">G5/H5</f>
        <v>7.2160507788696059E-3</v>
      </c>
      <c r="L5" s="18">
        <f t="shared" ref="L5:L10" si="37">I5/J5</f>
        <v>6.9909720951740247E-3</v>
      </c>
      <c r="M5" s="18" cm="1">
        <f t="array" ref="M5">IFERROR(VALUE(_xll.BDP($B5,"INTERVAL_MAE_MOV_AVG","CALC_INTERVAL","520D","TECH_STUDIES_PARAM1_OVERRIDE",50,"USE_PREVIOUS_BUSINESS_DAY","N")),"")</f>
        <v>43.17020000305174</v>
      </c>
      <c r="N5" s="18">
        <f t="shared" si="27"/>
        <v>6894.0953999999992</v>
      </c>
      <c r="O5" s="18" cm="1">
        <f t="array" ref="O5">IFERROR(VALUE(_xll.BDP($B5,"INTERVAL_MAE_MOV_AVG","CALC_INTERVAL","520D","TECH_STUDIES_PARAM1_OVERRIDE",50,"USE_PREVIOUS_BUSINESS_DAY","Y")),"")</f>
        <v>43.020399999999981</v>
      </c>
      <c r="P5" s="18">
        <f t="shared" si="28"/>
        <v>6892.2477999999992</v>
      </c>
      <c r="Q5" s="18">
        <f t="shared" ref="Q5:Q10" si="38">M5/N5</f>
        <v>6.2619092858871295E-3</v>
      </c>
      <c r="R5" s="18">
        <f t="shared" ref="R5:R10" si="39">O5/P5</f>
        <v>6.241853347176517E-3</v>
      </c>
      <c r="S5" s="21" t="str">
        <f t="shared" ref="S5:S10" si="40">IF(F5=1,"POSITIVE","NEGATIVE")</f>
        <v>POSITIVE</v>
      </c>
      <c r="T5" s="21" t="str">
        <f t="shared" ref="T5:T10" si="41">IF(AND(I5&lt;O5,G5&gt;M5),"UP","")</f>
        <v/>
      </c>
      <c r="U5" s="21" t="str">
        <f t="shared" ref="U5:U10" si="42">IF(Q5&gt;R5,"UP",IF(Q5&lt;R5,"DOWN",""))</f>
        <v>UP</v>
      </c>
      <c r="V5" s="21" t="str">
        <f t="shared" ref="V5:V10" si="43">IF(AND(L5&lt;R5,K5&gt;Q5),"BUY",IF(AND(L5&gt;R5,K5&lt;Q5),"SELL",IF(K5&gt;Q5,"POSITIVE","NEGATIVE")))</f>
        <v>POSITIVE</v>
      </c>
      <c r="W5" s="18" cm="1">
        <f t="array" ref="W5">IFERROR(VALUE(_xll.BDP($B5,"INTERVAL_MAE_MOV_AVG","CALC_INTERVAL","520D","TECH_STUDIES_PARAM1_OVERRIDE",65,"USE_PREVIOUS_BUSINESS_DAY","N")),"")</f>
        <v>42.842661531578258</v>
      </c>
      <c r="X5" s="18">
        <f t="shared" si="29"/>
        <v>6856.0226153846133</v>
      </c>
      <c r="Y5" s="18" cm="1">
        <f t="array" ref="Y5">IFERROR(VALUE(_xll.BDP($B5,"INTERVAL_MAE_MOV_AVG","CALC_INTERVAL","520D","TECH_STUDIES_PARAM1_OVERRIDE",65,"USE_PREVIOUS_BUSINESS_DAY","Y")),"")</f>
        <v>42.694818004615364</v>
      </c>
      <c r="Z5" s="18">
        <f t="shared" si="30"/>
        <v>6852.6203076923057</v>
      </c>
      <c r="AA5" s="18">
        <f t="shared" ref="AA5:AA10" si="44">W5/X5</f>
        <v>6.2489090154751251E-3</v>
      </c>
      <c r="AB5" s="18">
        <f t="shared" ref="AB5:AB10" si="45">Y5/Z5</f>
        <v>6.2304368384001867E-3</v>
      </c>
      <c r="AC5" s="22" t="str">
        <f t="shared" ref="AC5:AC10" si="46">IF(W5&gt;Y5,"UP",IF(W5&lt;Y5,"DOWN",""))</f>
        <v>UP</v>
      </c>
      <c r="AD5" s="22" t="str">
        <f t="shared" ref="AD5:AD10" si="47">IF(AA5&gt;AB5,"UP",IF(AA5&lt;AB5,"DOWN",""))</f>
        <v>UP</v>
      </c>
      <c r="AE5" s="21" t="str">
        <f t="shared" ref="AE5:AE10" si="48">IF(AND(L5&lt;AB5,K5&gt;AA5),"BUY",IF(AND(L5&gt;AB5,K5&lt;AA5),"SELL",IF(K5&gt;AA5,"POSITIVE","NEGATIVE")))</f>
        <v>POSITIVE</v>
      </c>
      <c r="AF5" s="18" cm="1">
        <f t="array" ref="AF5">IFERROR(VALUE(_xll.BDP($B5,"INTERVAL_MAE_MOV_AVG","CALC_INTERVAL","65W","PERIODICITY_OVERRIDE","W","TECH_STUDIES_PARAM1_OVERRIDE",39,"USE_PREVIOUS_BUSINESS_DAY","N")),"")</f>
        <v>42.97588330910115</v>
      </c>
      <c r="AG5" s="18">
        <f t="shared" si="31"/>
        <v>6560.7735897435905</v>
      </c>
      <c r="AH5" s="18" cm="1">
        <f t="array" ref="AH5">IFERROR(VALUE(_xll.BDP($B5,"INTERVAL_MAE_MOV_AVG","CALC_INTERVAL","65W","PERIODICITY_OVERRIDE","W","TECH_STUDIES_PARAM1_OVERRIDE",39,"USE_PREVIOUS_BUSINESS_DAY","Y")),"")</f>
        <v>42.935883305188639</v>
      </c>
      <c r="AI5" s="18">
        <f t="shared" si="32"/>
        <v>6560.7823076923087</v>
      </c>
      <c r="AJ5" s="18">
        <f t="shared" ref="AJ5:AJ10" si="49">AF5/AG5</f>
        <v>6.5504292628364791E-3</v>
      </c>
      <c r="AK5" s="18">
        <f t="shared" ref="AK5:AK10" si="50">AH5/AI5</f>
        <v>6.5443237241460794E-3</v>
      </c>
      <c r="AL5" s="22" t="str">
        <f t="shared" ref="AL5:AL10" si="51">IF(AF5&gt;AH5,"UP",IF(AF5&lt;AH5,"DOWN",""))</f>
        <v>UP</v>
      </c>
      <c r="AM5" s="22" t="str">
        <f t="shared" ref="AM5:AM10" si="52">IF(AJ5&gt;AK5,"UP",IF(AJ5&lt;AK5,"DOWN",""))</f>
        <v>UP</v>
      </c>
      <c r="AN5" s="21" t="str">
        <f t="shared" ref="AN5:AN10" si="53">IF(AND(L5&lt;AK5,K5&gt;AJ5),"BUY",IF(AND(L5&gt;AK5,K5&lt;AJ5),"SELL",IF(K5&gt;AJ5,"POSITIVE","NEGATIVE")))</f>
        <v>POSITIVE</v>
      </c>
      <c r="AO5" s="18" cm="1">
        <f t="array" ref="AO5">IFERROR(VALUE(_xll.BDP($B5,"INTERVAL_exp_MOV_AVG","CALC_INTERVAL","520D","TECH_STUDIES_PARAM1_OVERRIDE",100,"USE_PREVIOUS_BUSINESS_DAY","N")),"")</f>
        <v>43.026288079113819</v>
      </c>
      <c r="AP5" s="18">
        <f t="shared" si="33"/>
        <v>6773.0064518682802</v>
      </c>
      <c r="AQ5" s="18" cm="1">
        <f t="array" ref="AQ5">IFERROR(VALUE(_xll.BDP($B5,"INTERVAL_exp_MOV_AVG","CALC_INTERVAL","520D","TECH_STUDIES_PARAM1_OVERRIDE",100,"USE_PREVIOUS_BUSINESS_DAY","Y")),"")</f>
        <v>42.883603559491327</v>
      </c>
      <c r="AR5" s="18">
        <f t="shared" si="34"/>
        <v>6769.6039787132295</v>
      </c>
      <c r="AS5" s="18">
        <f t="shared" ref="AS5:AS10" si="54">AO5/AP5</f>
        <v>6.3526128883644216E-3</v>
      </c>
      <c r="AT5" s="18">
        <f t="shared" ref="AT5:AT10" si="55">AQ5/AR5</f>
        <v>6.3347285445850658E-3</v>
      </c>
      <c r="AU5" s="21" t="str">
        <f t="shared" ref="AU5:AU10" si="56">IF(AO5&gt;AQ5,"UP",IF(AO5&lt;AQ5,"DOWN",""))</f>
        <v>UP</v>
      </c>
      <c r="AV5" s="21" t="str">
        <f t="shared" ref="AV5:AV10" si="57">IF(AS5&gt;AT5,"UP",IF(AS5&lt;AT5,"DOWN",""))</f>
        <v>UP</v>
      </c>
      <c r="AW5" s="21" t="str">
        <f t="shared" ref="AW5:AW10" si="58">IF(AND(L5&lt;AT5,K5&gt;AS5),"BUY",IF(AND(L5&gt;AT5,K5&lt;AS5),"SELL",IF(K5&gt;AS5,"POSITIVE","NEGATIVE")))</f>
        <v>POSITIVE</v>
      </c>
      <c r="AX5" s="19" cm="1">
        <f t="array" ref="AX5">_xll.BDP($B5, "INTERVAL_RSI", "TECH_STUDIES_PARAM1_OVERRIDE", "5", "PERIODICITY_OVERRIDE", "W")</f>
        <v>86.008924848699266</v>
      </c>
    </row>
    <row r="6" spans="1:50" x14ac:dyDescent="0.25">
      <c r="A6" s="18">
        <v>5</v>
      </c>
      <c r="B6" s="18" t="s">
        <v>1004</v>
      </c>
      <c r="D6" s="19">
        <f>IFERROR(VALUE((_xll.BDP($B6,"interval_rsi","tech_studies_param1_override",14))),"")</f>
        <v>48.616093273025378</v>
      </c>
      <c r="E6" s="20">
        <f t="shared" si="24"/>
        <v>52.525531939815814</v>
      </c>
      <c r="F6" s="18">
        <f t="shared" si="35"/>
        <v>0</v>
      </c>
      <c r="G6" s="18" cm="1">
        <f t="array" ref="G6">IFERROR(VALUE(_xll.BDP($B6,"px_last")),"")</f>
        <v>11.11</v>
      </c>
      <c r="H6" s="18">
        <f t="shared" si="25"/>
        <v>6941.47</v>
      </c>
      <c r="I6" s="18" cm="1">
        <f t="array" ref="I6">IFERROR(VALUE(_xll.BDP($B6,"PX_YEST_CLOSE")),"")</f>
        <v>11.55</v>
      </c>
      <c r="J6" s="18">
        <f t="shared" si="26"/>
        <v>6941.81</v>
      </c>
      <c r="K6" s="18">
        <f t="shared" si="36"/>
        <v>1.6005255370980496E-3</v>
      </c>
      <c r="L6" s="18">
        <f t="shared" si="37"/>
        <v>1.663831191000618E-3</v>
      </c>
      <c r="M6" s="18" cm="1">
        <f t="array" ref="M6">IFERROR(VALUE(_xll.BDP($B6,"INTERVAL_MAE_MOV_AVG","CALC_INTERVAL","520D","TECH_STUDIES_PARAM1_OVERRIDE",50,"USE_PREVIOUS_BUSINESS_DAY","N")),"")</f>
        <v>10.606199993133544</v>
      </c>
      <c r="N6" s="18">
        <f t="shared" si="27"/>
        <v>6894.0953999999992</v>
      </c>
      <c r="O6" s="18" cm="1">
        <f t="array" ref="O6">IFERROR(VALUE(_xll.BDP($B6,"INTERVAL_MAE_MOV_AVG","CALC_INTERVAL","520D","TECH_STUDIES_PARAM1_OVERRIDE",50,"USE_PREVIOUS_BUSINESS_DAY","Y")),"")</f>
        <v>10.6104</v>
      </c>
      <c r="P6" s="18">
        <f t="shared" si="28"/>
        <v>6892.2477999999992</v>
      </c>
      <c r="Q6" s="18">
        <f t="shared" si="38"/>
        <v>1.5384469430367246E-3</v>
      </c>
      <c r="R6" s="18">
        <f t="shared" si="39"/>
        <v>1.5394687347138043E-3</v>
      </c>
      <c r="S6" s="21" t="str">
        <f t="shared" si="40"/>
        <v>NEGATIVE</v>
      </c>
      <c r="T6" s="21" t="str">
        <f t="shared" si="41"/>
        <v/>
      </c>
      <c r="U6" s="21" t="str">
        <f t="shared" si="42"/>
        <v>DOWN</v>
      </c>
      <c r="V6" s="21" t="str">
        <f t="shared" si="43"/>
        <v>POSITIVE</v>
      </c>
      <c r="W6" s="18" cm="1">
        <f t="array" ref="W6">IFERROR(VALUE(_xll.BDP($B6,"INTERVAL_MAE_MOV_AVG","CALC_INTERVAL","520D","TECH_STUDIES_PARAM1_OVERRIDE",65,"USE_PREVIOUS_BUSINESS_DAY","N")),"")</f>
        <v>10.783230763948877</v>
      </c>
      <c r="X6" s="18">
        <f t="shared" si="29"/>
        <v>6856.0226153846133</v>
      </c>
      <c r="Y6" s="18" cm="1">
        <f t="array" ref="Y6">IFERROR(VALUE(_xll.BDP($B6,"INTERVAL_MAE_MOV_AVG","CALC_INTERVAL","520D","TECH_STUDIES_PARAM1_OVERRIDE",65,"USE_PREVIOUS_BUSINESS_DAY","Y")),"")</f>
        <v>10.785538461538458</v>
      </c>
      <c r="Z6" s="18">
        <f t="shared" si="30"/>
        <v>6852.6203076923057</v>
      </c>
      <c r="AA6" s="18">
        <f t="shared" si="44"/>
        <v>1.5728114343951814E-3</v>
      </c>
      <c r="AB6" s="18">
        <f t="shared" si="45"/>
        <v>1.5739290924132064E-3</v>
      </c>
      <c r="AC6" s="22" t="str">
        <f t="shared" si="46"/>
        <v>DOWN</v>
      </c>
      <c r="AD6" s="22" t="str">
        <f t="shared" si="47"/>
        <v>DOWN</v>
      </c>
      <c r="AE6" s="21" t="str">
        <f t="shared" si="48"/>
        <v>POSITIVE</v>
      </c>
      <c r="AF6" s="18" cm="1">
        <f t="array" ref="AF6">IFERROR(VALUE(_xll.BDP($B6,"INTERVAL_MAE_MOV_AVG","CALC_INTERVAL","65W","PERIODICITY_OVERRIDE","W","TECH_STUDIES_PARAM1_OVERRIDE",39,"USE_PREVIOUS_BUSINESS_DAY","N")),"")</f>
        <v>8.9120512732481334</v>
      </c>
      <c r="AG6" s="18">
        <f t="shared" si="31"/>
        <v>6560.7735897435905</v>
      </c>
      <c r="AH6" s="18" cm="1">
        <f t="array" ref="AH6">IFERROR(VALUE(_xll.BDP($B6,"INTERVAL_MAE_MOV_AVG","CALC_INTERVAL","65W","PERIODICITY_OVERRIDE","W","TECH_STUDIES_PARAM1_OVERRIDE",39,"USE_PREVIOUS_BUSINESS_DAY","Y")),"")</f>
        <v>8.923333333333332</v>
      </c>
      <c r="AI6" s="18">
        <f t="shared" si="32"/>
        <v>6560.7823076923087</v>
      </c>
      <c r="AJ6" s="18">
        <f t="shared" si="49"/>
        <v>1.3583842135903423E-3</v>
      </c>
      <c r="AK6" s="18">
        <f t="shared" si="50"/>
        <v>1.3601020297337113E-3</v>
      </c>
      <c r="AL6" s="22" t="str">
        <f t="shared" si="51"/>
        <v>DOWN</v>
      </c>
      <c r="AM6" s="22" t="str">
        <f t="shared" si="52"/>
        <v>DOWN</v>
      </c>
      <c r="AN6" s="21" t="str">
        <f t="shared" si="53"/>
        <v>POSITIVE</v>
      </c>
      <c r="AO6" s="18" cm="1">
        <f t="array" ref="AO6">IFERROR(VALUE(_xll.BDP($B6,"INTERVAL_exp_MOV_AVG","CALC_INTERVAL","520D","TECH_STUDIES_PARAM1_OVERRIDE",100,"USE_PREVIOUS_BUSINESS_DAY","N")),"")</f>
        <v>10.421898820054738</v>
      </c>
      <c r="AP6" s="18">
        <f t="shared" si="33"/>
        <v>6773.0064518682802</v>
      </c>
      <c r="AQ6" s="18" cm="1">
        <f t="array" ref="AQ6">IFERROR(VALUE(_xll.BDP($B6,"INTERVAL_exp_MOV_AVG","CALC_INTERVAL","520D","TECH_STUDIES_PARAM1_OVERRIDE",100,"USE_PREVIOUS_BUSINESS_DAY","Y")),"")</f>
        <v>10.407992516844063</v>
      </c>
      <c r="AR6" s="18">
        <f t="shared" si="34"/>
        <v>6769.6039787132295</v>
      </c>
      <c r="AS6" s="18">
        <f t="shared" si="54"/>
        <v>1.5387404240815301E-3</v>
      </c>
      <c r="AT6" s="18">
        <f t="shared" si="55"/>
        <v>1.5374595839832894E-3</v>
      </c>
      <c r="AU6" s="21" t="str">
        <f t="shared" si="56"/>
        <v>UP</v>
      </c>
      <c r="AV6" s="21" t="str">
        <f t="shared" si="57"/>
        <v>UP</v>
      </c>
      <c r="AW6" s="21" t="str">
        <f t="shared" si="58"/>
        <v>POSITIVE</v>
      </c>
      <c r="AX6" s="19" cm="1">
        <f t="array" ref="AX6">_xll.BDP($B6, "INTERVAL_RSI", "TECH_STUDIES_PARAM1_OVERRIDE", "5", "PERIODICITY_OVERRIDE", "W")</f>
        <v>50.347783245005665</v>
      </c>
    </row>
    <row r="7" spans="1:50" x14ac:dyDescent="0.25">
      <c r="A7" s="18">
        <v>6</v>
      </c>
      <c r="B7" s="18" t="s">
        <v>16</v>
      </c>
      <c r="D7" s="19">
        <f>IFERROR(VALUE((_xll.BDP($B7,"interval_rsi","tech_studies_param1_override",14))),"")</f>
        <v>62.592146085688825</v>
      </c>
      <c r="E7" s="20">
        <f t="shared" si="24"/>
        <v>52.525531939815814</v>
      </c>
      <c r="F7" s="18">
        <f t="shared" si="35"/>
        <v>1</v>
      </c>
      <c r="G7" s="18" cm="1">
        <f t="array" ref="G7">IFERROR(VALUE(_xll.BDP($B7,"px_last")),"")</f>
        <v>58.94</v>
      </c>
      <c r="H7" s="18">
        <f t="shared" si="25"/>
        <v>6941.47</v>
      </c>
      <c r="I7" s="18" cm="1">
        <f t="array" ref="I7">IFERROR(VALUE(_xll.BDP($B7,"PX_YEST_CLOSE")),"")</f>
        <v>60.16</v>
      </c>
      <c r="J7" s="18">
        <f t="shared" si="26"/>
        <v>6941.81</v>
      </c>
      <c r="K7" s="18">
        <f t="shared" si="36"/>
        <v>8.4909968637766915E-3</v>
      </c>
      <c r="L7" s="18">
        <f t="shared" si="37"/>
        <v>8.6663276580603611E-3</v>
      </c>
      <c r="M7" s="18" cm="1">
        <f t="array" ref="M7">IFERROR(VALUE(_xll.BDP($B7,"INTERVAL_MAE_MOV_AVG","CALC_INTERVAL","520D","TECH_STUDIES_PARAM1_OVERRIDE",50,"USE_PREVIOUS_BUSINESS_DAY","N")),"")</f>
        <v>55.027599972534176</v>
      </c>
      <c r="N7" s="18">
        <f t="shared" si="27"/>
        <v>6894.0953999999992</v>
      </c>
      <c r="O7" s="18" cm="1">
        <f t="array" ref="O7">IFERROR(VALUE(_xll.BDP($B7,"INTERVAL_MAE_MOV_AVG","CALC_INTERVAL","520D","TECH_STUDIES_PARAM1_OVERRIDE",50,"USE_PREVIOUS_BUSINESS_DAY","Y")),"")</f>
        <v>54.878999999999998</v>
      </c>
      <c r="P7" s="18">
        <f t="shared" si="28"/>
        <v>6892.2477999999992</v>
      </c>
      <c r="Q7" s="18">
        <f t="shared" si="38"/>
        <v>7.981844865757759E-3</v>
      </c>
      <c r="R7" s="18">
        <f t="shared" si="39"/>
        <v>7.9624241020469413E-3</v>
      </c>
      <c r="S7" s="21" t="str">
        <f t="shared" si="40"/>
        <v>POSITIVE</v>
      </c>
      <c r="T7" s="21" t="str">
        <f t="shared" si="41"/>
        <v/>
      </c>
      <c r="U7" s="21" t="str">
        <f t="shared" si="42"/>
        <v>UP</v>
      </c>
      <c r="V7" s="21" t="str">
        <f t="shared" si="43"/>
        <v>POSITIVE</v>
      </c>
      <c r="W7" s="18" cm="1">
        <f t="array" ref="W7">IFERROR(VALUE(_xll.BDP($B7,"INTERVAL_MAE_MOV_AVG","CALC_INTERVAL","520D","TECH_STUDIES_PARAM1_OVERRIDE",65,"USE_PREVIOUS_BUSINESS_DAY","N")),"")</f>
        <v>53.659999978872442</v>
      </c>
      <c r="X7" s="18">
        <f t="shared" si="29"/>
        <v>6856.0226153846133</v>
      </c>
      <c r="Y7" s="18" cm="1">
        <f t="array" ref="Y7">IFERROR(VALUE(_xll.BDP($B7,"INTERVAL_MAE_MOV_AVG","CALC_INTERVAL","520D","TECH_STUDIES_PARAM1_OVERRIDE",65,"USE_PREVIOUS_BUSINESS_DAY","Y")),"")</f>
        <v>53.518153846153837</v>
      </c>
      <c r="Z7" s="18">
        <f t="shared" si="30"/>
        <v>6852.6203076923057</v>
      </c>
      <c r="AA7" s="18">
        <f t="shared" si="44"/>
        <v>7.8266952997590403E-3</v>
      </c>
      <c r="AB7" s="18">
        <f t="shared" si="45"/>
        <v>7.809881686583137E-3</v>
      </c>
      <c r="AC7" s="22" t="str">
        <f t="shared" si="46"/>
        <v>UP</v>
      </c>
      <c r="AD7" s="22" t="str">
        <f t="shared" si="47"/>
        <v>UP</v>
      </c>
      <c r="AE7" s="21" t="str">
        <f t="shared" si="48"/>
        <v>POSITIVE</v>
      </c>
      <c r="AF7" s="18" cm="1">
        <f t="array" ref="AF7">IFERROR(VALUE(_xll.BDP($B7,"INTERVAL_MAE_MOV_AVG","CALC_INTERVAL","65W","PERIODICITY_OVERRIDE","W","TECH_STUDIES_PARAM1_OVERRIDE",39,"USE_PREVIOUS_BUSINESS_DAY","N")),"")</f>
        <v>0</v>
      </c>
      <c r="AG7" s="18">
        <f t="shared" si="31"/>
        <v>6560.7735897435905</v>
      </c>
      <c r="AH7" s="18" cm="1">
        <f t="array" ref="AH7">IFERROR(VALUE(_xll.BDP($B7,"INTERVAL_MAE_MOV_AVG","CALC_INTERVAL","65W","PERIODICITY_OVERRIDE","W","TECH_STUDIES_PARAM1_OVERRIDE",39,"USE_PREVIOUS_BUSINESS_DAY","Y")),"")</f>
        <v>0</v>
      </c>
      <c r="AI7" s="18">
        <f t="shared" si="32"/>
        <v>6560.7823076923087</v>
      </c>
      <c r="AJ7" s="18">
        <f t="shared" si="49"/>
        <v>0</v>
      </c>
      <c r="AK7" s="18">
        <f t="shared" si="50"/>
        <v>0</v>
      </c>
      <c r="AL7" s="22" t="str">
        <f t="shared" si="51"/>
        <v/>
      </c>
      <c r="AM7" s="22" t="str">
        <f t="shared" si="52"/>
        <v/>
      </c>
      <c r="AN7" s="21" t="str">
        <f t="shared" si="53"/>
        <v>POSITIVE</v>
      </c>
      <c r="AO7" s="18" cm="1">
        <f t="array" ref="AO7">IFERROR(VALUE(_xll.BDP($B7,"INTERVAL_exp_MOV_AVG","CALC_INTERVAL","520D","TECH_STUDIES_PARAM1_OVERRIDE",100,"USE_PREVIOUS_BUSINESS_DAY","N")),"")</f>
        <v>53.37212018224271</v>
      </c>
      <c r="AP7" s="18">
        <f t="shared" si="33"/>
        <v>6773.0064518682802</v>
      </c>
      <c r="AQ7" s="18" cm="1">
        <f t="array" ref="AQ7">IFERROR(VALUE(_xll.BDP($B7,"INTERVAL_exp_MOV_AVG","CALC_INTERVAL","520D","TECH_STUDIES_PARAM1_OVERRIDE",100,"USE_PREVIOUS_BUSINESS_DAY","Y")),"")</f>
        <v>53.259637789425213</v>
      </c>
      <c r="AR7" s="18">
        <f t="shared" si="34"/>
        <v>6769.6039787132295</v>
      </c>
      <c r="AS7" s="18">
        <f t="shared" si="54"/>
        <v>7.880122448062991E-3</v>
      </c>
      <c r="AT7" s="18">
        <f t="shared" si="55"/>
        <v>7.8674672782777528E-3</v>
      </c>
      <c r="AU7" s="21" t="str">
        <f t="shared" si="56"/>
        <v>UP</v>
      </c>
      <c r="AV7" s="21" t="str">
        <f t="shared" si="57"/>
        <v>UP</v>
      </c>
      <c r="AW7" s="21" t="str">
        <f t="shared" si="58"/>
        <v>POSITIVE</v>
      </c>
      <c r="AX7" s="19" cm="1">
        <f t="array" ref="AX7">_xll.BDP($B7, "INTERVAL_RSI", "TECH_STUDIES_PARAM1_OVERRIDE", "5", "PERIODICITY_OVERRIDE", "W")</f>
        <v>70.054031785324682</v>
      </c>
    </row>
    <row r="8" spans="1:50" x14ac:dyDescent="0.25">
      <c r="A8" s="18">
        <v>7</v>
      </c>
      <c r="B8" s="18" t="s">
        <v>17</v>
      </c>
      <c r="D8" s="19">
        <f>IFERROR(VALUE((_xll.BDP($B8,"interval_rsi","tech_studies_param1_override",14))),"")</f>
        <v>25.537516940319577</v>
      </c>
      <c r="E8" s="20">
        <f t="shared" si="24"/>
        <v>52.525531939815814</v>
      </c>
      <c r="F8" s="18">
        <f t="shared" si="35"/>
        <v>0</v>
      </c>
      <c r="G8" s="18" cm="1">
        <f t="array" ref="G8">IFERROR(VALUE(_xll.BDP($B8,"px_last")),"")</f>
        <v>204.08</v>
      </c>
      <c r="H8" s="18">
        <f t="shared" si="25"/>
        <v>6941.47</v>
      </c>
      <c r="I8" s="18" cm="1">
        <f t="array" ref="I8">IFERROR(VALUE(_xll.BDP($B8,"PX_YEST_CLOSE")),"")</f>
        <v>206.96</v>
      </c>
      <c r="J8" s="18">
        <f t="shared" si="26"/>
        <v>6941.81</v>
      </c>
      <c r="K8" s="18">
        <f t="shared" si="36"/>
        <v>2.9400112656252926E-2</v>
      </c>
      <c r="L8" s="18">
        <f t="shared" si="37"/>
        <v>2.9813550068353931E-2</v>
      </c>
      <c r="M8" s="18" cm="1">
        <f t="array" ref="M8">IFERROR(VALUE(_xll.BDP($B8,"INTERVAL_MAE_MOV_AVG","CALC_INTERVAL","520D","TECH_STUDIES_PARAM1_OVERRIDE",50,"USE_PREVIOUS_BUSINESS_DAY","N")),"")</f>
        <v>231.85560003662118</v>
      </c>
      <c r="N8" s="18">
        <f t="shared" si="27"/>
        <v>6894.0953999999992</v>
      </c>
      <c r="O8" s="18" cm="1">
        <f t="array" ref="O8">IFERROR(VALUE(_xll.BDP($B8,"INTERVAL_MAE_MOV_AVG","CALC_INTERVAL","520D","TECH_STUDIES_PARAM1_OVERRIDE",50,"USE_PREVIOUS_BUSINESS_DAY","Y")),"")</f>
        <v>232.43840000000009</v>
      </c>
      <c r="P8" s="18">
        <f t="shared" si="28"/>
        <v>6892.2477999999992</v>
      </c>
      <c r="Q8" s="18">
        <f t="shared" si="38"/>
        <v>3.3631040272030642E-2</v>
      </c>
      <c r="R8" s="18">
        <f t="shared" si="39"/>
        <v>3.3724614486437952E-2</v>
      </c>
      <c r="S8" s="21" t="str">
        <f t="shared" si="40"/>
        <v>NEGATIVE</v>
      </c>
      <c r="T8" s="21" t="str">
        <f t="shared" si="41"/>
        <v/>
      </c>
      <c r="U8" s="21" t="str">
        <f t="shared" si="42"/>
        <v>DOWN</v>
      </c>
      <c r="V8" s="21" t="str">
        <f t="shared" si="43"/>
        <v>NEGATIVE</v>
      </c>
      <c r="W8" s="18" cm="1">
        <f t="array" ref="W8">IFERROR(VALUE(_xll.BDP($B8,"INTERVAL_MAE_MOV_AVG","CALC_INTERVAL","520D","TECH_STUDIES_PARAM1_OVERRIDE",65,"USE_PREVIOUS_BUSINESS_DAY","N")),"")</f>
        <v>232.08353848970864</v>
      </c>
      <c r="X8" s="18">
        <f t="shared" si="29"/>
        <v>6856.0226153846133</v>
      </c>
      <c r="Y8" s="18" cm="1">
        <f t="array" ref="Y8">IFERROR(VALUE(_xll.BDP($B8,"INTERVAL_MAE_MOV_AVG","CALC_INTERVAL","520D","TECH_STUDIES_PARAM1_OVERRIDE",65,"USE_PREVIOUS_BUSINESS_DAY","Y")),"")</f>
        <v>232.6829230769232</v>
      </c>
      <c r="Z8" s="18">
        <f t="shared" si="30"/>
        <v>6852.6203076923057</v>
      </c>
      <c r="AA8" s="18">
        <f t="shared" si="44"/>
        <v>3.3851046227432707E-2</v>
      </c>
      <c r="AB8" s="18">
        <f t="shared" si="45"/>
        <v>3.3955321122305357E-2</v>
      </c>
      <c r="AC8" s="22" t="str">
        <f t="shared" si="46"/>
        <v>DOWN</v>
      </c>
      <c r="AD8" s="22" t="str">
        <f t="shared" si="47"/>
        <v>DOWN</v>
      </c>
      <c r="AE8" s="21" t="str">
        <f t="shared" si="48"/>
        <v>NEGATIVE</v>
      </c>
      <c r="AF8" s="18" cm="1">
        <f t="array" ref="AF8">IFERROR(VALUE(_xll.BDP($B8,"INTERVAL_MAE_MOV_AVG","CALC_INTERVAL","65W","PERIODICITY_OVERRIDE","W","TECH_STUDIES_PARAM1_OVERRIDE",39,"USE_PREVIOUS_BUSINESS_DAY","N")),"")</f>
        <v>225.14153850848854</v>
      </c>
      <c r="AG8" s="18">
        <f t="shared" si="31"/>
        <v>6560.7735897435905</v>
      </c>
      <c r="AH8" s="18" cm="1">
        <f t="array" ref="AH8">IFERROR(VALUE(_xll.BDP($B8,"INTERVAL_MAE_MOV_AVG","CALC_INTERVAL","65W","PERIODICITY_OVERRIDE","W","TECH_STUDIES_PARAM1_OVERRIDE",39,"USE_PREVIOUS_BUSINESS_DAY","Y")),"")</f>
        <v>225.21538461538455</v>
      </c>
      <c r="AI8" s="18">
        <f t="shared" si="32"/>
        <v>6560.7823076923087</v>
      </c>
      <c r="AJ8" s="18">
        <f t="shared" si="49"/>
        <v>3.4316309720007813E-2</v>
      </c>
      <c r="AK8" s="18">
        <f t="shared" si="50"/>
        <v>3.4327519806796006E-2</v>
      </c>
      <c r="AL8" s="22" t="str">
        <f t="shared" si="51"/>
        <v>DOWN</v>
      </c>
      <c r="AM8" s="22" t="str">
        <f t="shared" si="52"/>
        <v>DOWN</v>
      </c>
      <c r="AN8" s="21" t="str">
        <f t="shared" si="53"/>
        <v>NEGATIVE</v>
      </c>
      <c r="AO8" s="18" cm="1">
        <f t="array" ref="AO8">IFERROR(VALUE(_xll.BDP($B8,"INTERVAL_exp_MOV_AVG","CALC_INTERVAL","520D","TECH_STUDIES_PARAM1_OVERRIDE",100,"USE_PREVIOUS_BUSINESS_DAY","N")),"")</f>
        <v>229.40158759984504</v>
      </c>
      <c r="AP8" s="18">
        <f t="shared" si="33"/>
        <v>6773.0064518682802</v>
      </c>
      <c r="AQ8" s="18" cm="1">
        <f t="array" ref="AQ8">IFERROR(VALUE(_xll.BDP($B8,"INTERVAL_exp_MOV_AVG","CALC_INTERVAL","520D","TECH_STUDIES_PARAM1_OVERRIDE",100,"USE_PREVIOUS_BUSINESS_DAY","Y")),"")</f>
        <v>229.91317979004563</v>
      </c>
      <c r="AR8" s="18">
        <f t="shared" si="34"/>
        <v>6769.6039787132295</v>
      </c>
      <c r="AS8" s="18">
        <f t="shared" si="54"/>
        <v>3.3869979193149366E-2</v>
      </c>
      <c r="AT8" s="18">
        <f t="shared" si="55"/>
        <v>3.3962574548378185E-2</v>
      </c>
      <c r="AU8" s="21" t="str">
        <f t="shared" si="56"/>
        <v>DOWN</v>
      </c>
      <c r="AV8" s="21" t="str">
        <f t="shared" si="57"/>
        <v>DOWN</v>
      </c>
      <c r="AW8" s="21" t="str">
        <f t="shared" si="58"/>
        <v>NEGATIVE</v>
      </c>
      <c r="AX8" s="19" cm="1">
        <f t="array" ref="AX8">_xll.BDP($B8, "INTERVAL_RSI", "TECH_STUDIES_PARAM1_OVERRIDE", "5", "PERIODICITY_OVERRIDE", "W")</f>
        <v>22.002521801200373</v>
      </c>
    </row>
    <row r="9" spans="1:50" x14ac:dyDescent="0.25">
      <c r="A9" s="18">
        <v>8</v>
      </c>
      <c r="B9" s="18" t="s">
        <v>18</v>
      </c>
      <c r="D9" s="19">
        <f>IFERROR(VALUE((_xll.BDP($B9,"interval_rsi","tech_studies_param1_override",14))),"")</f>
        <v>39.943646671335806</v>
      </c>
      <c r="E9" s="20">
        <f t="shared" si="24"/>
        <v>52.525531939815814</v>
      </c>
      <c r="F9" s="18">
        <f t="shared" si="35"/>
        <v>0</v>
      </c>
      <c r="G9" s="18" cm="1">
        <f t="array" ref="G9">IFERROR(VALUE(_xll.BDP($B9,"px_last")),"")</f>
        <v>456.81</v>
      </c>
      <c r="H9" s="18">
        <f t="shared" si="25"/>
        <v>6941.47</v>
      </c>
      <c r="I9" s="18" cm="1">
        <f t="array" ref="I9">IFERROR(VALUE(_xll.BDP($B9,"PX_YEST_CLOSE")),"")</f>
        <v>472.92</v>
      </c>
      <c r="J9" s="18">
        <f t="shared" si="26"/>
        <v>6941.81</v>
      </c>
      <c r="K9" s="18">
        <f t="shared" si="36"/>
        <v>6.5808827236882098E-2</v>
      </c>
      <c r="L9" s="18">
        <f t="shared" si="37"/>
        <v>6.8126324402425303E-2</v>
      </c>
      <c r="M9" s="18" cm="1">
        <f t="array" ref="M9">IFERROR(VALUE(_xll.BDP($B9,"INTERVAL_MAE_MOV_AVG","CALC_INTERVAL","520D","TECH_STUDIES_PARAM1_OVERRIDE",50,"USE_PREVIOUS_BUSINESS_DAY","N")),"")</f>
        <v>608.28109995117165</v>
      </c>
      <c r="N9" s="18">
        <f t="shared" si="27"/>
        <v>6894.0953999999992</v>
      </c>
      <c r="O9" s="18" cm="1">
        <f t="array" ref="O9">IFERROR(VALUE(_xll.BDP($B9,"INTERVAL_MAE_MOV_AVG","CALC_INTERVAL","520D","TECH_STUDIES_PARAM1_OVERRIDE",50,"USE_PREVIOUS_BUSINESS_DAY","Y")),"")</f>
        <v>611.13449999999978</v>
      </c>
      <c r="P9" s="18">
        <f t="shared" si="28"/>
        <v>6892.2477999999992</v>
      </c>
      <c r="Q9" s="18">
        <f t="shared" si="38"/>
        <v>8.8232184885514015E-2</v>
      </c>
      <c r="R9" s="18">
        <f t="shared" si="39"/>
        <v>8.8669838597503686E-2</v>
      </c>
      <c r="S9" s="21" t="str">
        <f t="shared" si="40"/>
        <v>NEGATIVE</v>
      </c>
      <c r="T9" s="21" t="str">
        <f t="shared" si="41"/>
        <v/>
      </c>
      <c r="U9" s="21" t="str">
        <f t="shared" si="42"/>
        <v>DOWN</v>
      </c>
      <c r="V9" s="21" t="str">
        <f t="shared" si="43"/>
        <v>NEGATIVE</v>
      </c>
      <c r="W9" s="18" cm="1">
        <f t="array" ref="W9">IFERROR(VALUE(_xll.BDP($B9,"INTERVAL_MAE_MOV_AVG","CALC_INTERVAL","520D","TECH_STUDIES_PARAM1_OVERRIDE",65,"USE_PREVIOUS_BUSINESS_DAY","N")),"")</f>
        <v>598.72330765474749</v>
      </c>
      <c r="X9" s="18">
        <f t="shared" si="29"/>
        <v>6856.0226153846133</v>
      </c>
      <c r="Y9" s="18" cm="1">
        <f t="array" ref="Y9">IFERROR(VALUE(_xll.BDP($B9,"INTERVAL_MAE_MOV_AVG","CALC_INTERVAL","520D","TECH_STUDIES_PARAM1_OVERRIDE",65,"USE_PREVIOUS_BUSINESS_DAY","Y")),"")</f>
        <v>601.25484615384596</v>
      </c>
      <c r="Z9" s="18">
        <f t="shared" si="30"/>
        <v>6852.6203076923057</v>
      </c>
      <c r="AA9" s="18">
        <f t="shared" si="44"/>
        <v>8.7328082365311741E-2</v>
      </c>
      <c r="AB9" s="18">
        <f t="shared" si="45"/>
        <v>8.774086687378789E-2</v>
      </c>
      <c r="AC9" s="22" t="str">
        <f t="shared" si="46"/>
        <v>DOWN</v>
      </c>
      <c r="AD9" s="22" t="str">
        <f t="shared" si="47"/>
        <v>DOWN</v>
      </c>
      <c r="AE9" s="21" t="str">
        <f t="shared" si="48"/>
        <v>NEGATIVE</v>
      </c>
      <c r="AF9" s="18" cm="1">
        <f t="array" ref="AF9">IFERROR(VALUE(_xll.BDP($B9,"INTERVAL_MAE_MOV_AVG","CALC_INTERVAL","65W","PERIODICITY_OVERRIDE","W","TECH_STUDIES_PARAM1_OVERRIDE",39,"USE_PREVIOUS_BUSINESS_DAY","N")),"")</f>
        <v>514.87179480919451</v>
      </c>
      <c r="AG9" s="18">
        <f t="shared" si="31"/>
        <v>6560.7735897435905</v>
      </c>
      <c r="AH9" s="18" cm="1">
        <f t="array" ref="AH9">IFERROR(VALUE(_xll.BDP($B9,"INTERVAL_MAE_MOV_AVG","CALC_INTERVAL","65W","PERIODICITY_OVERRIDE","W","TECH_STUDIES_PARAM1_OVERRIDE",39,"USE_PREVIOUS_BUSINESS_DAY","Y")),"")</f>
        <v>515.28487179487172</v>
      </c>
      <c r="AI9" s="18">
        <f t="shared" si="32"/>
        <v>6560.7823076923087</v>
      </c>
      <c r="AJ9" s="18">
        <f t="shared" si="49"/>
        <v>7.8477299630349967E-2</v>
      </c>
      <c r="AK9" s="18">
        <f t="shared" si="50"/>
        <v>7.8540156894204002E-2</v>
      </c>
      <c r="AL9" s="22" t="str">
        <f t="shared" si="51"/>
        <v>DOWN</v>
      </c>
      <c r="AM9" s="22" t="str">
        <f t="shared" si="52"/>
        <v>DOWN</v>
      </c>
      <c r="AN9" s="21" t="str">
        <f t="shared" si="53"/>
        <v>NEGATIVE</v>
      </c>
      <c r="AO9" s="18" cm="1">
        <f t="array" ref="AO9">IFERROR(VALUE(_xll.BDP($B9,"INTERVAL_exp_MOV_AVG","CALC_INTERVAL","520D","TECH_STUDIES_PARAM1_OVERRIDE",100,"USE_PREVIOUS_BUSINESS_DAY","N")),"")</f>
        <v>564.26359765054781</v>
      </c>
      <c r="AP9" s="18">
        <f t="shared" si="33"/>
        <v>6773.0064518682802</v>
      </c>
      <c r="AQ9" s="18" cm="1">
        <f t="array" ref="AQ9">IFERROR(VALUE(_xll.BDP($B9,"INTERVAL_exp_MOV_AVG","CALC_INTERVAL","520D","TECH_STUDIES_PARAM1_OVERRIDE",100,"USE_PREVIOUS_BUSINESS_DAY","Y")),"")</f>
        <v>566.43436317358669</v>
      </c>
      <c r="AR9" s="18">
        <f t="shared" si="34"/>
        <v>6769.6039787132295</v>
      </c>
      <c r="AS9" s="18">
        <f t="shared" si="54"/>
        <v>8.3310654088466163E-2</v>
      </c>
      <c r="AT9" s="18">
        <f t="shared" si="55"/>
        <v>8.3673190478308429E-2</v>
      </c>
      <c r="AU9" s="21" t="str">
        <f t="shared" si="56"/>
        <v>DOWN</v>
      </c>
      <c r="AV9" s="21" t="str">
        <f t="shared" si="57"/>
        <v>DOWN</v>
      </c>
      <c r="AW9" s="21" t="str">
        <f t="shared" si="58"/>
        <v>NEGATIVE</v>
      </c>
      <c r="AX9" s="19" cm="1">
        <f t="array" ref="AX9">_xll.BDP($B9, "INTERVAL_RSI", "TECH_STUDIES_PARAM1_OVERRIDE", "5", "PERIODICITY_OVERRIDE", "W")</f>
        <v>33.183563036086824</v>
      </c>
    </row>
    <row r="10" spans="1:50" x14ac:dyDescent="0.25">
      <c r="A10" s="18">
        <v>9</v>
      </c>
      <c r="B10" s="18" t="s">
        <v>19</v>
      </c>
      <c r="D10" s="19">
        <f>IFERROR(VALUE((_xll.BDP($B10,"interval_rsi","tech_studies_param1_override",14))),"")</f>
        <v>25.123105560026872</v>
      </c>
      <c r="E10" s="20">
        <f t="shared" si="24"/>
        <v>52.525531939815814</v>
      </c>
      <c r="F10" s="18">
        <f t="shared" si="35"/>
        <v>0</v>
      </c>
      <c r="G10" s="18" cm="1">
        <f t="array" ref="G10">IFERROR(VALUE(_xll.BDP($B10,"px_last")),"")</f>
        <v>23.41</v>
      </c>
      <c r="H10" s="18">
        <f t="shared" si="25"/>
        <v>6941.47</v>
      </c>
      <c r="I10" s="18" cm="1">
        <f t="array" ref="I10">IFERROR(VALUE(_xll.BDP($B10,"PX_YEST_CLOSE")),"")</f>
        <v>26.28</v>
      </c>
      <c r="J10" s="18">
        <f t="shared" si="26"/>
        <v>6941.81</v>
      </c>
      <c r="K10" s="18">
        <f t="shared" si="36"/>
        <v>3.3724845025621371E-3</v>
      </c>
      <c r="L10" s="18">
        <f t="shared" si="37"/>
        <v>3.7857561644585491E-3</v>
      </c>
      <c r="M10" s="18" cm="1">
        <f t="array" ref="M10">IFERROR(VALUE(_xll.BDP($B10,"INTERVAL_MAE_MOV_AVG","CALC_INTERVAL","520D","TECH_STUDIES_PARAM1_OVERRIDE",50,"USE_PREVIOUS_BUSINESS_DAY","N")),"")</f>
        <v>33.304799996948248</v>
      </c>
      <c r="N10" s="18">
        <f t="shared" si="27"/>
        <v>6894.0953999999992</v>
      </c>
      <c r="O10" s="18" cm="1">
        <f t="array" ref="O10">IFERROR(VALUE(_xll.BDP($B10,"INTERVAL_MAE_MOV_AVG","CALC_INTERVAL","520D","TECH_STUDIES_PARAM1_OVERRIDE",50,"USE_PREVIOUS_BUSINESS_DAY","Y")),"")</f>
        <v>33.644600000000004</v>
      </c>
      <c r="P10" s="18">
        <f t="shared" si="28"/>
        <v>6892.2477999999992</v>
      </c>
      <c r="Q10" s="18">
        <f t="shared" si="38"/>
        <v>4.8309166126346689E-3</v>
      </c>
      <c r="R10" s="18">
        <f t="shared" si="39"/>
        <v>4.8815134011867666E-3</v>
      </c>
      <c r="S10" s="21" t="str">
        <f t="shared" si="40"/>
        <v>NEGATIVE</v>
      </c>
      <c r="T10" s="21" t="str">
        <f t="shared" si="41"/>
        <v/>
      </c>
      <c r="U10" s="21" t="str">
        <f t="shared" si="42"/>
        <v>DOWN</v>
      </c>
      <c r="V10" s="21" t="str">
        <f t="shared" si="43"/>
        <v>NEGATIVE</v>
      </c>
      <c r="W10" s="18" cm="1">
        <f t="array" ref="W10">IFERROR(VALUE(_xll.BDP($B10,"INTERVAL_MAE_MOV_AVG","CALC_INTERVAL","520D","TECH_STUDIES_PARAM1_OVERRIDE",65,"USE_PREVIOUS_BUSINESS_DAY","N")),"")</f>
        <v>35.312923074575579</v>
      </c>
      <c r="X10" s="18">
        <f t="shared" si="29"/>
        <v>6856.0226153846133</v>
      </c>
      <c r="Y10" s="18" cm="1">
        <f t="array" ref="Y10">IFERROR(VALUE(_xll.BDP($B10,"INTERVAL_MAE_MOV_AVG","CALC_INTERVAL","520D","TECH_STUDIES_PARAM1_OVERRIDE",65,"USE_PREVIOUS_BUSINESS_DAY","Y")),"")</f>
        <v>35.542923076923081</v>
      </c>
      <c r="Z10" s="18">
        <f t="shared" si="30"/>
        <v>6852.6203076923057</v>
      </c>
      <c r="AA10" s="18">
        <f t="shared" si="44"/>
        <v>5.1506427349488218E-3</v>
      </c>
      <c r="AB10" s="18">
        <f t="shared" si="45"/>
        <v>5.1867638189474624E-3</v>
      </c>
      <c r="AC10" s="22" t="str">
        <f t="shared" si="46"/>
        <v>DOWN</v>
      </c>
      <c r="AD10" s="22" t="str">
        <f t="shared" si="47"/>
        <v>DOWN</v>
      </c>
      <c r="AE10" s="21" t="str">
        <f t="shared" si="48"/>
        <v>NEGATIVE</v>
      </c>
      <c r="AF10" s="18" cm="1">
        <f t="array" ref="AF10">IFERROR(VALUE(_xll.BDP($B10,"INTERVAL_MAE_MOV_AVG","CALC_INTERVAL","65W","PERIODICITY_OVERRIDE","W","TECH_STUDIES_PARAM1_OVERRIDE",39,"USE_PREVIOUS_BUSINESS_DAY","N")),"")</f>
        <v>31.74692307301056</v>
      </c>
      <c r="AG10" s="18">
        <f t="shared" si="31"/>
        <v>6560.7735897435905</v>
      </c>
      <c r="AH10" s="18" cm="1">
        <f t="array" ref="AH10">IFERROR(VALUE(_xll.BDP($B10,"INTERVAL_MAE_MOV_AVG","CALC_INTERVAL","65W","PERIODICITY_OVERRIDE","W","TECH_STUDIES_PARAM1_OVERRIDE",39,"USE_PREVIOUS_BUSINESS_DAY","Y")),"")</f>
        <v>31.820512820512814</v>
      </c>
      <c r="AI10" s="18">
        <f t="shared" si="32"/>
        <v>6560.7823076923087</v>
      </c>
      <c r="AJ10" s="18">
        <f t="shared" si="49"/>
        <v>4.838899352149614E-3</v>
      </c>
      <c r="AK10" s="18">
        <f t="shared" si="50"/>
        <v>4.8501095339201052E-3</v>
      </c>
      <c r="AL10" s="22" t="str">
        <f t="shared" si="51"/>
        <v>DOWN</v>
      </c>
      <c r="AM10" s="22" t="str">
        <f t="shared" si="52"/>
        <v>DOWN</v>
      </c>
      <c r="AN10" s="21" t="str">
        <f t="shared" si="53"/>
        <v>NEGATIVE</v>
      </c>
      <c r="AO10" s="18" cm="1">
        <f t="array" ref="AO10">IFERROR(VALUE(_xll.BDP($B10,"INTERVAL_exp_MOV_AVG","CALC_INTERVAL","520D","TECH_STUDIES_PARAM1_OVERRIDE",100,"USE_PREVIOUS_BUSINESS_DAY","N")),"")</f>
        <v>32.417586303248278</v>
      </c>
      <c r="AP10" s="18">
        <f t="shared" si="33"/>
        <v>6773.0064518682802</v>
      </c>
      <c r="AQ10" s="18" cm="1">
        <f t="array" ref="AQ10">IFERROR(VALUE(_xll.BDP($B10,"INTERVAL_exp_MOV_AVG","CALC_INTERVAL","520D","TECH_STUDIES_PARAM1_OVERRIDE",100,"USE_PREVIOUS_BUSINESS_DAY","Y")),"")</f>
        <v>32.599570471773227</v>
      </c>
      <c r="AR10" s="18">
        <f t="shared" si="34"/>
        <v>6769.6039787132295</v>
      </c>
      <c r="AS10" s="18">
        <f t="shared" si="54"/>
        <v>4.7862919566991026E-3</v>
      </c>
      <c r="AT10" s="18">
        <f t="shared" si="55"/>
        <v>4.8155801394411512E-3</v>
      </c>
      <c r="AU10" s="21" t="str">
        <f t="shared" si="56"/>
        <v>DOWN</v>
      </c>
      <c r="AV10" s="21" t="str">
        <f t="shared" si="57"/>
        <v>DOWN</v>
      </c>
      <c r="AW10" s="21" t="str">
        <f t="shared" si="58"/>
        <v>NEGATIVE</v>
      </c>
      <c r="AX10" s="19" cm="1">
        <f t="array" ref="AX10">_xll.BDP($B10, "INTERVAL_RSI", "TECH_STUDIES_PARAM1_OVERRIDE", "5", "PERIODICITY_OVERRIDE", "W")</f>
        <v>13.296594557105664</v>
      </c>
    </row>
    <row r="11" spans="1:50" x14ac:dyDescent="0.25">
      <c r="A11" s="18">
        <v>10</v>
      </c>
      <c r="B11" s="18" t="s">
        <v>956</v>
      </c>
      <c r="D11" s="19">
        <f>IFERROR(VALUE((_xll.BDP($B11,"interval_rsi","tech_studies_param1_override",14))),"")</f>
        <v>44.470533112328233</v>
      </c>
      <c r="E11" s="20">
        <f t="shared" si="24"/>
        <v>52.525531939815814</v>
      </c>
      <c r="F11" s="18">
        <f t="shared" ref="F11:F12" si="59">IF(AND(D11-E11&gt;10,E11&lt;65),1,0)</f>
        <v>0</v>
      </c>
      <c r="G11" s="18" cm="1">
        <f t="array" ref="G11">IFERROR(VALUE(_xll.BDP($B11,"px_last")),"")</f>
        <v>1.1399999999999999</v>
      </c>
      <c r="H11" s="18">
        <f t="shared" si="25"/>
        <v>6941.47</v>
      </c>
      <c r="I11" s="18" cm="1">
        <f t="array" ref="I11">IFERROR(VALUE(_xll.BDP($B11,"PX_YEST_CLOSE")),"")</f>
        <v>1.1499999999999999</v>
      </c>
      <c r="J11" s="18">
        <f t="shared" si="26"/>
        <v>6941.81</v>
      </c>
      <c r="K11" s="18">
        <f t="shared" ref="K11:K12" si="60">G11/H11</f>
        <v>1.6423034314057394E-4</v>
      </c>
      <c r="L11" s="18">
        <f t="shared" ref="L11:L12" si="61">I11/J11</f>
        <v>1.6566284585720436E-4</v>
      </c>
      <c r="M11" s="18" cm="1">
        <f t="array" ref="M11">IFERROR(VALUE(_xll.BDP($B11,"INTERVAL_MAE_MOV_AVG","CALC_INTERVAL","520D","TECH_STUDIES_PARAM1_OVERRIDE",50,"USE_PREVIOUS_BUSINESS_DAY","N")),"")</f>
        <v>1.2732999997138976</v>
      </c>
      <c r="N11" s="18">
        <f t="shared" si="27"/>
        <v>6894.0953999999992</v>
      </c>
      <c r="O11" s="18" cm="1">
        <f t="array" ref="O11">IFERROR(VALUE(_xll.BDP($B11,"INTERVAL_MAE_MOV_AVG","CALC_INTERVAL","520D","TECH_STUDIES_PARAM1_OVERRIDE",50,"USE_PREVIOUS_BUSINESS_DAY","Y")),"")</f>
        <v>1.2798999999999998</v>
      </c>
      <c r="P11" s="18">
        <f t="shared" si="28"/>
        <v>6892.2477999999992</v>
      </c>
      <c r="Q11" s="18">
        <f t="shared" ref="Q11:Q12" si="62">M11/N11</f>
        <v>1.8469428196684045E-4</v>
      </c>
      <c r="R11" s="18">
        <f t="shared" ref="R11:R12" si="63">O11/P11</f>
        <v>1.8570139048105613E-4</v>
      </c>
      <c r="S11" s="21" t="str">
        <f t="shared" ref="S11:S12" si="64">IF(F11=1,"POSITIVE","NEGATIVE")</f>
        <v>NEGATIVE</v>
      </c>
      <c r="T11" s="21" t="str">
        <f t="shared" ref="T11:T12" si="65">IF(AND(I11&lt;O11,G11&gt;M11),"UP","")</f>
        <v/>
      </c>
      <c r="U11" s="21" t="str">
        <f t="shared" ref="U11:U12" si="66">IF(Q11&gt;R11,"UP",IF(Q11&lt;R11,"DOWN",""))</f>
        <v>DOWN</v>
      </c>
      <c r="V11" s="21" t="str">
        <f t="shared" ref="V11:V12" si="67">IF(AND(L11&lt;R11,K11&gt;Q11),"BUY",IF(AND(L11&gt;R11,K11&lt;Q11),"SELL",IF(K11&gt;Q11,"POSITIVE","NEGATIVE")))</f>
        <v>NEGATIVE</v>
      </c>
      <c r="W11" s="18" cm="1">
        <f t="array" ref="W11">IFERROR(VALUE(_xll.BDP($B11,"INTERVAL_MAE_MOV_AVG","CALC_INTERVAL","520D","TECH_STUDIES_PARAM1_OVERRIDE",65,"USE_PREVIOUS_BUSINESS_DAY","N")),"")</f>
        <v>1.3134615382414598</v>
      </c>
      <c r="X11" s="18">
        <f t="shared" si="29"/>
        <v>6856.0226153846133</v>
      </c>
      <c r="Y11" s="18" cm="1">
        <f t="array" ref="Y11">IFERROR(VALUE(_xll.BDP($B11,"INTERVAL_MAE_MOV_AVG","CALC_INTERVAL","520D","TECH_STUDIES_PARAM1_OVERRIDE",65,"USE_PREVIOUS_BUSINESS_DAY","Y")),"")</f>
        <v>1.320846153846154</v>
      </c>
      <c r="Z11" s="18">
        <f t="shared" si="30"/>
        <v>6852.6203076923057</v>
      </c>
      <c r="AA11" s="18">
        <f t="shared" ref="AA11:AA12" si="68">W11/X11</f>
        <v>1.9157777211733663E-4</v>
      </c>
      <c r="AB11" s="18">
        <f t="shared" ref="AB11:AB12" si="69">Y11/Z11</f>
        <v>1.9275052381983839E-4</v>
      </c>
      <c r="AC11" s="22" t="str">
        <f t="shared" ref="AC11:AC12" si="70">IF(W11&gt;Y11,"UP",IF(W11&lt;Y11,"DOWN",""))</f>
        <v>DOWN</v>
      </c>
      <c r="AD11" s="22" t="str">
        <f t="shared" ref="AD11:AD12" si="71">IF(AA11&gt;AB11,"UP",IF(AA11&lt;AB11,"DOWN",""))</f>
        <v>DOWN</v>
      </c>
      <c r="AE11" s="21" t="str">
        <f t="shared" ref="AE11:AE12" si="72">IF(AND(L11&lt;AB11,K11&gt;AA11),"BUY",IF(AND(L11&gt;AB11,K11&lt;AA11),"SELL",IF(K11&gt;AA11,"POSITIVE","NEGATIVE")))</f>
        <v>NEGATIVE</v>
      </c>
      <c r="AF11" s="18" cm="1">
        <f t="array" ref="AF11">IFERROR(VALUE(_xll.BDP($B11,"INTERVAL_MAE_MOV_AVG","CALC_INTERVAL","65W","PERIODICITY_OVERRIDE","W","TECH_STUDIES_PARAM1_OVERRIDE",39,"USE_PREVIOUS_BUSINESS_DAY","N")),"")</f>
        <v>1.5064102560434582</v>
      </c>
      <c r="AG11" s="18">
        <f t="shared" si="31"/>
        <v>6560.7735897435905</v>
      </c>
      <c r="AH11" s="18" cm="1">
        <f t="array" ref="AH11">IFERROR(VALUE(_xll.BDP($B11,"INTERVAL_MAE_MOV_AVG","CALC_INTERVAL","65W","PERIODICITY_OVERRIDE","W","TECH_STUDIES_PARAM1_OVERRIDE",39,"USE_PREVIOUS_BUSINESS_DAY","Y")),"")</f>
        <v>1.5066666666666664</v>
      </c>
      <c r="AI11" s="18">
        <f t="shared" si="32"/>
        <v>6560.7823076923087</v>
      </c>
      <c r="AJ11" s="18">
        <f t="shared" ref="AJ11:AJ12" si="73">AF11/AG11</f>
        <v>2.2960863310363559E-4</v>
      </c>
      <c r="AK11" s="18">
        <f t="shared" ref="AK11:AK12" si="74">AH11/AI11</f>
        <v>2.2964741032485526E-4</v>
      </c>
      <c r="AL11" s="22" t="str">
        <f t="shared" ref="AL11:AL12" si="75">IF(AF11&gt;AH11,"UP",IF(AF11&lt;AH11,"DOWN",""))</f>
        <v>DOWN</v>
      </c>
      <c r="AM11" s="22" t="str">
        <f t="shared" ref="AM11:AM12" si="76">IF(AJ11&gt;AK11,"UP",IF(AJ11&lt;AK11,"DOWN",""))</f>
        <v>DOWN</v>
      </c>
      <c r="AN11" s="21" t="str">
        <f t="shared" ref="AN11:AN12" si="77">IF(AND(L11&lt;AK11,K11&gt;AJ11),"BUY",IF(AND(L11&gt;AK11,K11&lt;AJ11),"SELL",IF(K11&gt;AJ11,"POSITIVE","NEGATIVE")))</f>
        <v>NEGATIVE</v>
      </c>
      <c r="AO11" s="18" cm="1">
        <f t="array" ref="AO11">IFERROR(VALUE(_xll.BDP($B11,"INTERVAL_exp_MOV_AVG","CALC_INTERVAL","520D","TECH_STUDIES_PARAM1_OVERRIDE",100,"USE_PREVIOUS_BUSINESS_DAY","N")),"")</f>
        <v>1.4094019996042526</v>
      </c>
      <c r="AP11" s="18">
        <f t="shared" si="33"/>
        <v>6773.0064518682802</v>
      </c>
      <c r="AQ11" s="18" cm="1">
        <f t="array" ref="AQ11">IFERROR(VALUE(_xll.BDP($B11,"INTERVAL_exp_MOV_AVG","CALC_INTERVAL","520D","TECH_STUDIES_PARAM1_OVERRIDE",100,"USE_PREVIOUS_BUSINESS_DAY","Y")),"")</f>
        <v>1.4148429809861154</v>
      </c>
      <c r="AR11" s="18">
        <f t="shared" si="34"/>
        <v>6769.6039787132295</v>
      </c>
      <c r="AS11" s="18">
        <f t="shared" ref="AS11:AS12" si="78">AO11/AP11</f>
        <v>2.0809104636471744E-4</v>
      </c>
      <c r="AT11" s="18">
        <f t="shared" ref="AT11:AT12" si="79">AQ11/AR11</f>
        <v>2.0899937211025003E-4</v>
      </c>
      <c r="AU11" s="21" t="str">
        <f t="shared" ref="AU11:AU12" si="80">IF(AO11&gt;AQ11,"UP",IF(AO11&lt;AQ11,"DOWN",""))</f>
        <v>DOWN</v>
      </c>
      <c r="AV11" s="21" t="str">
        <f t="shared" ref="AV11:AV12" si="81">IF(AS11&gt;AT11,"UP",IF(AS11&lt;AT11,"DOWN",""))</f>
        <v>DOWN</v>
      </c>
      <c r="AW11" s="21" t="str">
        <f t="shared" ref="AW11:AW12" si="82">IF(AND(L11&lt;AT11,K11&gt;AS11),"BUY",IF(AND(L11&gt;AT11,K11&lt;AS11),"SELL",IF(K11&gt;AS11,"POSITIVE","NEGATIVE")))</f>
        <v>NEGATIVE</v>
      </c>
      <c r="AX11" s="19" cm="1">
        <f t="array" ref="AX11">_xll.BDP($B11, "INTERVAL_RSI", "TECH_STUDIES_PARAM1_OVERRIDE", "5", "PERIODICITY_OVERRIDE", "W")</f>
        <v>41.052469218311948</v>
      </c>
    </row>
    <row r="12" spans="1:50" x14ac:dyDescent="0.25">
      <c r="A12" s="18">
        <v>11</v>
      </c>
      <c r="B12" s="18" t="s">
        <v>141</v>
      </c>
      <c r="D12" s="19">
        <f>IFERROR(VALUE((_xll.BDP($B12,"interval_rsi","tech_studies_param1_override",14))),"")</f>
        <v>38.546834098038431</v>
      </c>
      <c r="E12" s="20">
        <f t="shared" si="24"/>
        <v>52.525531939815814</v>
      </c>
      <c r="F12" s="18">
        <f t="shared" si="59"/>
        <v>0</v>
      </c>
      <c r="G12" s="18" cm="1">
        <f t="array" ref="G12">IFERROR(VALUE(_xll.BDP($B12,"px_last")),"")</f>
        <v>6</v>
      </c>
      <c r="H12" s="18">
        <f t="shared" si="25"/>
        <v>6941.47</v>
      </c>
      <c r="I12" s="18" cm="1">
        <f t="array" ref="I12">IFERROR(VALUE(_xll.BDP($B12,"PX_YEST_CLOSE")),"")</f>
        <v>6.38</v>
      </c>
      <c r="J12" s="18">
        <f t="shared" si="26"/>
        <v>6941.81</v>
      </c>
      <c r="K12" s="18">
        <f t="shared" si="60"/>
        <v>8.6437022705565243E-4</v>
      </c>
      <c r="L12" s="18">
        <f t="shared" si="61"/>
        <v>9.1906865788605563E-4</v>
      </c>
      <c r="M12" s="18" cm="1">
        <f t="array" ref="M12">IFERROR(VALUE(_xll.BDP($B12,"INTERVAL_MAE_MOV_AVG","CALC_INTERVAL","520D","TECH_STUDIES_PARAM1_OVERRIDE",50,"USE_PREVIOUS_BUSINESS_DAY","N")),"")</f>
        <v>6.6896999999999993</v>
      </c>
      <c r="N12" s="18">
        <f t="shared" si="27"/>
        <v>6894.0953999999992</v>
      </c>
      <c r="O12" s="18" cm="1">
        <f t="array" ref="O12">IFERROR(VALUE(_xll.BDP($B12,"INTERVAL_MAE_MOV_AVG","CALC_INTERVAL","520D","TECH_STUDIES_PARAM1_OVERRIDE",50,"USE_PREVIOUS_BUSINESS_DAY","Y")),"")</f>
        <v>6.7095000000000002</v>
      </c>
      <c r="P12" s="18">
        <f t="shared" si="28"/>
        <v>6892.2477999999992</v>
      </c>
      <c r="Q12" s="18">
        <f t="shared" si="62"/>
        <v>9.7035210739903602E-4</v>
      </c>
      <c r="R12" s="18">
        <f t="shared" si="63"/>
        <v>9.7348502182408492E-4</v>
      </c>
      <c r="S12" s="21" t="str">
        <f t="shared" si="64"/>
        <v>NEGATIVE</v>
      </c>
      <c r="T12" s="21" t="str">
        <f t="shared" si="65"/>
        <v/>
      </c>
      <c r="U12" s="21" t="str">
        <f t="shared" si="66"/>
        <v>DOWN</v>
      </c>
      <c r="V12" s="21" t="str">
        <f t="shared" si="67"/>
        <v>NEGATIVE</v>
      </c>
      <c r="W12" s="18" cm="1">
        <f t="array" ref="W12">IFERROR(VALUE(_xll.BDP($B12,"INTERVAL_MAE_MOV_AVG","CALC_INTERVAL","520D","TECH_STUDIES_PARAM1_OVERRIDE",65,"USE_PREVIOUS_BUSINESS_DAY","N")),"")</f>
        <v>6.4639230769230771</v>
      </c>
      <c r="X12" s="18">
        <f t="shared" si="29"/>
        <v>6856.0226153846133</v>
      </c>
      <c r="Y12" s="18" cm="1">
        <f t="array" ref="Y12">IFERROR(VALUE(_xll.BDP($B12,"INTERVAL_MAE_MOV_AVG","CALC_INTERVAL","520D","TECH_STUDIES_PARAM1_OVERRIDE",65,"USE_PREVIOUS_BUSINESS_DAY","Y")),"")</f>
        <v>6.457769230769232</v>
      </c>
      <c r="Z12" s="18">
        <f t="shared" si="30"/>
        <v>6852.6203076923057</v>
      </c>
      <c r="AA12" s="18">
        <f t="shared" si="68"/>
        <v>9.428094741721414E-4</v>
      </c>
      <c r="AB12" s="18">
        <f t="shared" si="69"/>
        <v>9.4237954837803582E-4</v>
      </c>
      <c r="AC12" s="22" t="str">
        <f t="shared" si="70"/>
        <v>UP</v>
      </c>
      <c r="AD12" s="22" t="str">
        <f t="shared" si="71"/>
        <v>UP</v>
      </c>
      <c r="AE12" s="21" t="str">
        <f t="shared" si="72"/>
        <v>NEGATIVE</v>
      </c>
      <c r="AF12" s="18" cm="1">
        <f t="array" ref="AF12">IFERROR(VALUE(_xll.BDP($B12,"INTERVAL_MAE_MOV_AVG","CALC_INTERVAL","65W","PERIODICITY_OVERRIDE","W","TECH_STUDIES_PARAM1_OVERRIDE",39,"USE_PREVIOUS_BUSINESS_DAY","N")),"")</f>
        <v>8.0476923076923086</v>
      </c>
      <c r="AG12" s="18">
        <f t="shared" si="31"/>
        <v>6560.7735897435905</v>
      </c>
      <c r="AH12" s="18" cm="1">
        <f t="array" ref="AH12">IFERROR(VALUE(_xll.BDP($B12,"INTERVAL_MAE_MOV_AVG","CALC_INTERVAL","65W","PERIODICITY_OVERRIDE","W","TECH_STUDIES_PARAM1_OVERRIDE",39,"USE_PREVIOUS_BUSINESS_DAY","Y")),"")</f>
        <v>8.0574358974358979</v>
      </c>
      <c r="AI12" s="18">
        <f t="shared" si="32"/>
        <v>6560.7823076923087</v>
      </c>
      <c r="AJ12" s="18">
        <f t="shared" si="73"/>
        <v>1.2266377123992219E-3</v>
      </c>
      <c r="AK12" s="18">
        <f t="shared" si="74"/>
        <v>1.2281212086535489E-3</v>
      </c>
      <c r="AL12" s="22" t="str">
        <f t="shared" si="75"/>
        <v>DOWN</v>
      </c>
      <c r="AM12" s="22" t="str">
        <f t="shared" si="76"/>
        <v>DOWN</v>
      </c>
      <c r="AN12" s="21" t="str">
        <f t="shared" si="77"/>
        <v>NEGATIVE</v>
      </c>
      <c r="AO12" s="18" cm="1">
        <f t="array" ref="AO12">IFERROR(VALUE(_xll.BDP($B12,"INTERVAL_exp_MOV_AVG","CALC_INTERVAL","520D","TECH_STUDIES_PARAM1_OVERRIDE",100,"USE_PREVIOUS_BUSINESS_DAY","N")),"")</f>
        <v>7.0206543947168019</v>
      </c>
      <c r="AP12" s="18">
        <f t="shared" si="33"/>
        <v>6773.0064518682802</v>
      </c>
      <c r="AQ12" s="18" cm="1">
        <f t="array" ref="AQ12">IFERROR(VALUE(_xll.BDP($B12,"INTERVAL_exp_MOV_AVG","CALC_INTERVAL","520D","TECH_STUDIES_PARAM1_OVERRIDE",100,"USE_PREVIOUS_BUSINESS_DAY","Y")),"")</f>
        <v>7.0412728762277936</v>
      </c>
      <c r="AR12" s="18">
        <f t="shared" si="34"/>
        <v>6769.6039787132295</v>
      </c>
      <c r="AS12" s="18">
        <f t="shared" si="78"/>
        <v>1.0365639608655931E-3</v>
      </c>
      <c r="AT12" s="18">
        <f t="shared" si="79"/>
        <v>1.0401306927803778E-3</v>
      </c>
      <c r="AU12" s="21" t="str">
        <f t="shared" si="80"/>
        <v>DOWN</v>
      </c>
      <c r="AV12" s="21" t="str">
        <f t="shared" si="81"/>
        <v>DOWN</v>
      </c>
      <c r="AW12" s="21" t="str">
        <f t="shared" si="82"/>
        <v>NEGATIVE</v>
      </c>
      <c r="AX12" s="19" cm="1">
        <f t="array" ref="AX12">_xll.BDP($B12, "INTERVAL_RSI", "TECH_STUDIES_PARAM1_OVERRIDE", "5", "PERIODICITY_OVERRIDE", "W")</f>
        <v>32.829672199571107</v>
      </c>
    </row>
    <row r="13" spans="1:50" x14ac:dyDescent="0.25">
      <c r="A13" s="18">
        <v>12</v>
      </c>
      <c r="B13" s="18" t="s">
        <v>24</v>
      </c>
      <c r="D13" s="19">
        <f>IFERROR(VALUE((_xll.BDP($B13,"interval_rsi","tech_studies_param1_override",14))),"")</f>
        <v>50.242997134266119</v>
      </c>
      <c r="E13" s="20">
        <f t="shared" si="24"/>
        <v>52.525531939815814</v>
      </c>
      <c r="F13" s="18">
        <f t="shared" ref="F13:F22" si="83">IF(AND(D13-E13&gt;10,E13&lt;65),1,0)</f>
        <v>0</v>
      </c>
      <c r="G13" s="18" cm="1">
        <f t="array" ref="G13">IFERROR(VALUE(_xll.BDP($B13,"px_last")),"")</f>
        <v>236.26</v>
      </c>
      <c r="H13" s="18">
        <f t="shared" si="25"/>
        <v>6941.47</v>
      </c>
      <c r="I13" s="18" cm="1">
        <f t="array" ref="I13">IFERROR(VALUE(_xll.BDP($B13,"PX_YEST_CLOSE")),"")</f>
        <v>242.59</v>
      </c>
      <c r="J13" s="18">
        <f t="shared" si="26"/>
        <v>6941.81</v>
      </c>
      <c r="K13" s="18">
        <f t="shared" ref="K13:K22" si="84">G13/H13</f>
        <v>3.4036018307361408E-2</v>
      </c>
      <c r="L13" s="18">
        <f t="shared" ref="L13:L22" si="85">I13/J13</f>
        <v>3.4946217196955835E-2</v>
      </c>
      <c r="M13" s="18" cm="1">
        <f t="array" ref="M13">IFERROR(VALUE(_xll.BDP($B13,"INTERVAL_MAE_MOV_AVG","CALC_INTERVAL","520D","TECH_STUDIES_PARAM1_OVERRIDE",50,"USE_PREVIOUS_BUSINESS_DAY","N")),"")</f>
        <v>225.58859989013669</v>
      </c>
      <c r="N13" s="18">
        <f t="shared" si="27"/>
        <v>6894.0953999999992</v>
      </c>
      <c r="O13" s="18" cm="1">
        <f t="array" ref="O13">IFERROR(VALUE(_xll.BDP($B13,"INTERVAL_MAE_MOV_AVG","CALC_INTERVAL","520D","TECH_STUDIES_PARAM1_OVERRIDE",50,"USE_PREVIOUS_BUSINESS_DAY","Y")),"")</f>
        <v>224.64339999999996</v>
      </c>
      <c r="P13" s="18">
        <f t="shared" si="28"/>
        <v>6892.2477999999992</v>
      </c>
      <c r="Q13" s="18">
        <f t="shared" ref="Q13:Q22" si="86">M13/N13</f>
        <v>3.2722001481171367E-2</v>
      </c>
      <c r="R13" s="18">
        <f t="shared" ref="R13:R22" si="87">O13/P13</f>
        <v>3.2593633676374779E-2</v>
      </c>
      <c r="S13" s="21" t="str">
        <f t="shared" ref="S13:S22" si="88">IF(F13=1,"POSITIVE","NEGATIVE")</f>
        <v>NEGATIVE</v>
      </c>
      <c r="T13" s="21" t="str">
        <f t="shared" ref="T13:T22" si="89">IF(AND(I13&lt;O13,G13&gt;M13),"UP","")</f>
        <v/>
      </c>
      <c r="U13" s="21" t="str">
        <f t="shared" ref="U13:U22" si="90">IF(Q13&gt;R13,"UP",IF(Q13&lt;R13,"DOWN",""))</f>
        <v>UP</v>
      </c>
      <c r="V13" s="21" t="str">
        <f t="shared" ref="V13:V22" si="91">IF(AND(L13&lt;R13,K13&gt;Q13),"BUY",IF(AND(L13&gt;R13,K13&lt;Q13),"SELL",IF(K13&gt;Q13,"POSITIVE","NEGATIVE")))</f>
        <v>POSITIVE</v>
      </c>
      <c r="W13" s="18" cm="1">
        <f t="array" ref="W13">IFERROR(VALUE(_xll.BDP($B13,"INTERVAL_MAE_MOV_AVG","CALC_INTERVAL","520D","TECH_STUDIES_PARAM1_OVERRIDE",65,"USE_PREVIOUS_BUSINESS_DAY","N")),"")</f>
        <v>217.11323068472055</v>
      </c>
      <c r="X13" s="18">
        <f t="shared" si="29"/>
        <v>6856.0226153846133</v>
      </c>
      <c r="Y13" s="18" cm="1">
        <f t="array" ref="Y13">IFERROR(VALUE(_xll.BDP($B13,"INTERVAL_MAE_MOV_AVG","CALC_INTERVAL","520D","TECH_STUDIES_PARAM1_OVERRIDE",65,"USE_PREVIOUS_BUSINESS_DAY","Y")),"")</f>
        <v>216.50153846153844</v>
      </c>
      <c r="Z13" s="18">
        <f t="shared" si="30"/>
        <v>6852.6203076923057</v>
      </c>
      <c r="AA13" s="18">
        <f t="shared" ref="AA13:AA22" si="92">W13/X13</f>
        <v>3.1667519619542679E-2</v>
      </c>
      <c r="AB13" s="18">
        <f t="shared" ref="AB13:AB22" si="93">Y13/Z13</f>
        <v>3.1593978469594747E-2</v>
      </c>
      <c r="AC13" s="22" t="str">
        <f t="shared" ref="AC13:AC22" si="94">IF(W13&gt;Y13,"UP",IF(W13&lt;Y13,"DOWN",""))</f>
        <v>UP</v>
      </c>
      <c r="AD13" s="22" t="str">
        <f t="shared" ref="AD13:AD22" si="95">IF(AA13&gt;AB13,"UP",IF(AA13&lt;AB13,"DOWN",""))</f>
        <v>UP</v>
      </c>
      <c r="AE13" s="21" t="str">
        <f t="shared" ref="AE13:AE22" si="96">IF(AND(L13&lt;AB13,K13&gt;AA13),"BUY",IF(AND(L13&gt;AB13,K13&lt;AA13),"SELL",IF(K13&gt;AA13,"POSITIVE","NEGATIVE")))</f>
        <v>POSITIVE</v>
      </c>
      <c r="AF13" s="18" cm="1">
        <f t="array" ref="AF13">IFERROR(VALUE(_xll.BDP($B13,"INTERVAL_MAE_MOV_AVG","CALC_INTERVAL","65W","PERIODICITY_OVERRIDE","W","TECH_STUDIES_PARAM1_OVERRIDE",39,"USE_PREVIOUS_BUSINESS_DAY","N")),"")</f>
        <v>218.07435883350863</v>
      </c>
      <c r="AG13" s="18">
        <f t="shared" si="31"/>
        <v>6560.7735897435905</v>
      </c>
      <c r="AH13" s="18" cm="1">
        <f t="array" ref="AH13">IFERROR(VALUE(_xll.BDP($B13,"INTERVAL_MAE_MOV_AVG","CALC_INTERVAL","65W","PERIODICITY_OVERRIDE","W","TECH_STUDIES_PARAM1_OVERRIDE",39,"USE_PREVIOUS_BUSINESS_DAY","Y")),"")</f>
        <v>218.23666666666671</v>
      </c>
      <c r="AI13" s="18">
        <f t="shared" si="32"/>
        <v>6560.7823076923087</v>
      </c>
      <c r="AJ13" s="18">
        <f t="shared" ref="AJ13:AJ22" si="97">AF13/AG13</f>
        <v>3.3239122772720384E-2</v>
      </c>
      <c r="AK13" s="18">
        <f t="shared" ref="AK13:AK22" si="98">AH13/AI13</f>
        <v>3.3263817702165056E-2</v>
      </c>
      <c r="AL13" s="22" t="str">
        <f t="shared" ref="AL13:AL22" si="99">IF(AF13&gt;AH13,"UP",IF(AF13&lt;AH13,"DOWN",""))</f>
        <v>DOWN</v>
      </c>
      <c r="AM13" s="22" t="str">
        <f t="shared" ref="AM13:AM22" si="100">IF(AJ13&gt;AK13,"UP",IF(AJ13&lt;AK13,"DOWN",""))</f>
        <v>DOWN</v>
      </c>
      <c r="AN13" s="21" t="str">
        <f t="shared" ref="AN13:AN22" si="101">IF(AND(L13&lt;AK13,K13&gt;AJ13),"BUY",IF(AND(L13&gt;AK13,K13&lt;AJ13),"SELL",IF(K13&gt;AJ13,"POSITIVE","NEGATIVE")))</f>
        <v>POSITIVE</v>
      </c>
      <c r="AO13" s="18" cm="1">
        <f t="array" ref="AO13">IFERROR(VALUE(_xll.BDP($B13,"INTERVAL_exp_MOV_AVG","CALC_INTERVAL","520D","TECH_STUDIES_PARAM1_OVERRIDE",100,"USE_PREVIOUS_BUSINESS_DAY","N")),"")</f>
        <v>221.4478727266293</v>
      </c>
      <c r="AP13" s="18">
        <f t="shared" si="33"/>
        <v>6773.0064518682802</v>
      </c>
      <c r="AQ13" s="18" cm="1">
        <f t="array" ref="AQ13">IFERROR(VALUE(_xll.BDP($B13,"INTERVAL_exp_MOV_AVG","CALC_INTERVAL","520D","TECH_STUDIES_PARAM1_OVERRIDE",100,"USE_PREVIOUS_BUSINESS_DAY","Y")),"")</f>
        <v>221.14855911043298</v>
      </c>
      <c r="AR13" s="18">
        <f t="shared" si="34"/>
        <v>6769.6039787132295</v>
      </c>
      <c r="AS13" s="18">
        <f t="shared" ref="AS13:AS22" si="102">AO13/AP13</f>
        <v>3.2695653591994535E-2</v>
      </c>
      <c r="AT13" s="18">
        <f t="shared" ref="AT13:AT22" si="103">AQ13/AR13</f>
        <v>3.2667872419985935E-2</v>
      </c>
      <c r="AU13" s="21" t="str">
        <f t="shared" ref="AU13:AU22" si="104">IF(AO13&gt;AQ13,"UP",IF(AO13&lt;AQ13,"DOWN",""))</f>
        <v>UP</v>
      </c>
      <c r="AV13" s="21" t="str">
        <f t="shared" ref="AV13:AV22" si="105">IF(AS13&gt;AT13,"UP",IF(AS13&lt;AT13,"DOWN",""))</f>
        <v>UP</v>
      </c>
      <c r="AW13" s="21" t="str">
        <f t="shared" ref="AW13:AW22" si="106">IF(AND(L13&lt;AT13,K13&gt;AS13),"BUY",IF(AND(L13&gt;AT13,K13&lt;AS13),"SELL",IF(K13&gt;AS13,"POSITIVE","NEGATIVE")))</f>
        <v>POSITIVE</v>
      </c>
      <c r="AX13" s="19" cm="1">
        <f t="array" ref="AX13">_xll.BDP($B13, "INTERVAL_RSI", "TECH_STUDIES_PARAM1_OVERRIDE", "5", "PERIODICITY_OVERRIDE", "W")</f>
        <v>54.809038581594102</v>
      </c>
    </row>
    <row r="14" spans="1:50" x14ac:dyDescent="0.25">
      <c r="A14" s="18">
        <v>13</v>
      </c>
      <c r="B14" s="18" t="s">
        <v>26</v>
      </c>
      <c r="D14" s="19">
        <f>IFERROR(VALUE((_xll.BDP($B14,"interval_rsi","tech_studies_param1_override",14))),"")</f>
        <v>73.0437590581911</v>
      </c>
      <c r="E14" s="20">
        <f t="shared" si="24"/>
        <v>52.525531939815814</v>
      </c>
      <c r="F14" s="18">
        <f t="shared" si="83"/>
        <v>1</v>
      </c>
      <c r="G14" s="18" cm="1">
        <f t="array" ref="G14">IFERROR(VALUE(_xll.BDP($B14,"px_last")),"")</f>
        <v>544.12</v>
      </c>
      <c r="H14" s="18">
        <f t="shared" si="25"/>
        <v>6941.47</v>
      </c>
      <c r="I14" s="18" cm="1">
        <f t="array" ref="I14">IFERROR(VALUE(_xll.BDP($B14,"PX_YEST_CLOSE")),"")</f>
        <v>539.89</v>
      </c>
      <c r="J14" s="18">
        <f t="shared" si="26"/>
        <v>6941.81</v>
      </c>
      <c r="K14" s="18">
        <f t="shared" si="84"/>
        <v>7.8386854657586935E-2</v>
      </c>
      <c r="L14" s="18">
        <f t="shared" si="85"/>
        <v>7.7773664217257454E-2</v>
      </c>
      <c r="M14" s="18" cm="1">
        <f t="array" ref="M14">IFERROR(VALUE(_xll.BDP($B14,"INTERVAL_MAE_MOV_AVG","CALC_INTERVAL","520D","TECH_STUDIES_PARAM1_OVERRIDE",50,"USE_PREVIOUS_BUSINESS_DAY","N")),"")</f>
        <v>460.38659990234373</v>
      </c>
      <c r="N14" s="18">
        <f t="shared" si="27"/>
        <v>6894.0953999999992</v>
      </c>
      <c r="O14" s="18" cm="1">
        <f t="array" ref="O14">IFERROR(VALUE(_xll.BDP($B14,"INTERVAL_MAE_MOV_AVG","CALC_INTERVAL","520D","TECH_STUDIES_PARAM1_OVERRIDE",50,"USE_PREVIOUS_BUSINESS_DAY","Y")),"")</f>
        <v>458.55420000000004</v>
      </c>
      <c r="P14" s="18">
        <f t="shared" si="28"/>
        <v>6892.2477999999992</v>
      </c>
      <c r="Q14" s="18">
        <f t="shared" si="86"/>
        <v>6.6779841761740608E-2</v>
      </c>
      <c r="R14" s="18">
        <f t="shared" si="87"/>
        <v>6.6531879483497397E-2</v>
      </c>
      <c r="S14" s="21" t="str">
        <f t="shared" si="88"/>
        <v>POSITIVE</v>
      </c>
      <c r="T14" s="21" t="str">
        <f t="shared" si="89"/>
        <v/>
      </c>
      <c r="U14" s="21" t="str">
        <f t="shared" si="90"/>
        <v>UP</v>
      </c>
      <c r="V14" s="21" t="str">
        <f t="shared" si="91"/>
        <v>POSITIVE</v>
      </c>
      <c r="W14" s="18" cm="1">
        <f t="array" ref="W14">IFERROR(VALUE(_xll.BDP($B14,"INTERVAL_MAE_MOV_AVG","CALC_INTERVAL","520D","TECH_STUDIES_PARAM1_OVERRIDE",65,"USE_PREVIOUS_BUSINESS_DAY","N")),"")</f>
        <v>452.97892300180303</v>
      </c>
      <c r="X14" s="18">
        <f t="shared" si="29"/>
        <v>6856.0226153846133</v>
      </c>
      <c r="Y14" s="18" cm="1">
        <f t="array" ref="Y14">IFERROR(VALUE(_xll.BDP($B14,"INTERVAL_MAE_MOV_AVG","CALC_INTERVAL","520D","TECH_STUDIES_PARAM1_OVERRIDE",65,"USE_PREVIOUS_BUSINESS_DAY","Y")),"")</f>
        <v>450.8495384615386</v>
      </c>
      <c r="Z14" s="18">
        <f t="shared" si="30"/>
        <v>6852.6203076923057</v>
      </c>
      <c r="AA14" s="18">
        <f t="shared" si="92"/>
        <v>6.6070220069773145E-2</v>
      </c>
      <c r="AB14" s="18">
        <f t="shared" si="93"/>
        <v>6.5792283567126034E-2</v>
      </c>
      <c r="AC14" s="22" t="str">
        <f t="shared" si="94"/>
        <v>UP</v>
      </c>
      <c r="AD14" s="22" t="str">
        <f t="shared" si="95"/>
        <v>UP</v>
      </c>
      <c r="AE14" s="21" t="str">
        <f t="shared" si="96"/>
        <v>POSITIVE</v>
      </c>
      <c r="AF14" s="18" cm="1">
        <f t="array" ref="AF14">IFERROR(VALUE(_xll.BDP($B14,"INTERVAL_MAE_MOV_AVG","CALC_INTERVAL","65W","PERIODICITY_OVERRIDE","W","TECH_STUDIES_PARAM1_OVERRIDE",39,"USE_PREVIOUS_BUSINESS_DAY","N")),"")</f>
        <v>410.3069229517227</v>
      </c>
      <c r="AG14" s="18">
        <f t="shared" si="31"/>
        <v>6560.7735897435905</v>
      </c>
      <c r="AH14" s="18" cm="1">
        <f t="array" ref="AH14">IFERROR(VALUE(_xll.BDP($B14,"INTERVAL_MAE_MOV_AVG","CALC_INTERVAL","65W","PERIODICITY_OVERRIDE","W","TECH_STUDIES_PARAM1_OVERRIDE",39,"USE_PREVIOUS_BUSINESS_DAY","Y")),"")</f>
        <v>410.19846153846146</v>
      </c>
      <c r="AI14" s="18">
        <f t="shared" si="32"/>
        <v>6560.7823076923087</v>
      </c>
      <c r="AJ14" s="18">
        <f t="shared" si="97"/>
        <v>6.2539412058534152E-2</v>
      </c>
      <c r="AK14" s="18">
        <f t="shared" si="98"/>
        <v>6.2522797175805819E-2</v>
      </c>
      <c r="AL14" s="22" t="str">
        <f t="shared" si="99"/>
        <v>UP</v>
      </c>
      <c r="AM14" s="22" t="str">
        <f t="shared" si="100"/>
        <v>UP</v>
      </c>
      <c r="AN14" s="21" t="str">
        <f t="shared" si="101"/>
        <v>POSITIVE</v>
      </c>
      <c r="AO14" s="18" cm="1">
        <f t="array" ref="AO14">IFERROR(VALUE(_xll.BDP($B14,"INTERVAL_exp_MOV_AVG","CALC_INTERVAL","520D","TECH_STUDIES_PARAM1_OVERRIDE",100,"USE_PREVIOUS_BUSINESS_DAY","N")),"")</f>
        <v>445.5633684385345</v>
      </c>
      <c r="AP14" s="18">
        <f t="shared" si="33"/>
        <v>6773.0064518682802</v>
      </c>
      <c r="AQ14" s="18" cm="1">
        <f t="array" ref="AQ14">IFERROR(VALUE(_xll.BDP($B14,"INTERVAL_exp_MOV_AVG","CALC_INTERVAL","520D","TECH_STUDIES_PARAM1_OVERRIDE",100,"USE_PREVIOUS_BUSINESS_DAY","Y")),"")</f>
        <v>443.57243782752749</v>
      </c>
      <c r="AR14" s="18">
        <f t="shared" si="34"/>
        <v>6769.6039787132295</v>
      </c>
      <c r="AS14" s="18">
        <f t="shared" si="102"/>
        <v>6.578516816791595E-2</v>
      </c>
      <c r="AT14" s="18">
        <f t="shared" si="103"/>
        <v>6.5524133940822044E-2</v>
      </c>
      <c r="AU14" s="21" t="str">
        <f t="shared" si="104"/>
        <v>UP</v>
      </c>
      <c r="AV14" s="21" t="str">
        <f t="shared" si="105"/>
        <v>UP</v>
      </c>
      <c r="AW14" s="21" t="str">
        <f t="shared" si="106"/>
        <v>POSITIVE</v>
      </c>
      <c r="AX14" s="19" cm="1">
        <f t="array" ref="AX14">_xll.BDP($B14, "INTERVAL_RSI", "TECH_STUDIES_PARAM1_OVERRIDE", "5", "PERIODICITY_OVERRIDE", "W")</f>
        <v>81.795505392182207</v>
      </c>
    </row>
    <row r="15" spans="1:50" x14ac:dyDescent="0.25">
      <c r="A15" s="18">
        <v>14</v>
      </c>
      <c r="B15" s="18" t="s">
        <v>25</v>
      </c>
      <c r="D15" s="19">
        <f>IFERROR(VALUE((_xll.BDP($B15,"interval_rsi","tech_studies_param1_override",14))),"")</f>
        <v>74.08981293449483</v>
      </c>
      <c r="E15" s="20">
        <f t="shared" si="24"/>
        <v>52.525531939815814</v>
      </c>
      <c r="F15" s="18">
        <f t="shared" si="83"/>
        <v>1</v>
      </c>
      <c r="G15" s="18" cm="1">
        <f t="array" ref="G15">IFERROR(VALUE(_xll.BDP($B15,"px_last")),"")</f>
        <v>61.25</v>
      </c>
      <c r="H15" s="18">
        <f t="shared" si="25"/>
        <v>6941.47</v>
      </c>
      <c r="I15" s="18" cm="1">
        <f t="array" ref="I15">IFERROR(VALUE(_xll.BDP($B15,"PX_YEST_CLOSE")),"")</f>
        <v>59.15</v>
      </c>
      <c r="J15" s="18">
        <f t="shared" si="26"/>
        <v>6941.81</v>
      </c>
      <c r="K15" s="18">
        <f t="shared" si="84"/>
        <v>8.823779401193119E-3</v>
      </c>
      <c r="L15" s="18">
        <f t="shared" si="85"/>
        <v>8.5208324630031643E-3</v>
      </c>
      <c r="M15" s="18" cm="1">
        <f t="array" ref="M15">IFERROR(VALUE(_xll.BDP($B15,"INTERVAL_MAE_MOV_AVG","CALC_INTERVAL","520D","TECH_STUDIES_PARAM1_OVERRIDE",50,"USE_PREVIOUS_BUSINESS_DAY","N")),"")</f>
        <v>50.851799999999997</v>
      </c>
      <c r="N15" s="18">
        <f t="shared" si="27"/>
        <v>6894.0953999999992</v>
      </c>
      <c r="O15" s="18" cm="1">
        <f t="array" ref="O15">IFERROR(VALUE(_xll.BDP($B15,"INTERVAL_MAE_MOV_AVG","CALC_INTERVAL","520D","TECH_STUDIES_PARAM1_OVERRIDE",50,"USE_PREVIOUS_BUSINESS_DAY","Y")),"")</f>
        <v>50.630799999999994</v>
      </c>
      <c r="P15" s="18">
        <f t="shared" si="28"/>
        <v>6892.2477999999992</v>
      </c>
      <c r="Q15" s="18">
        <f t="shared" si="86"/>
        <v>7.376138136991838E-3</v>
      </c>
      <c r="R15" s="18">
        <f t="shared" si="87"/>
        <v>7.3460504423535087E-3</v>
      </c>
      <c r="S15" s="21" t="str">
        <f t="shared" si="88"/>
        <v>POSITIVE</v>
      </c>
      <c r="T15" s="21" t="str">
        <f t="shared" si="89"/>
        <v/>
      </c>
      <c r="U15" s="21" t="str">
        <f t="shared" si="90"/>
        <v>UP</v>
      </c>
      <c r="V15" s="21" t="str">
        <f t="shared" si="91"/>
        <v>POSITIVE</v>
      </c>
      <c r="W15" s="18" cm="1">
        <f t="array" ref="W15">IFERROR(VALUE(_xll.BDP($B15,"INTERVAL_MAE_MOV_AVG","CALC_INTERVAL","520D","TECH_STUDIES_PARAM1_OVERRIDE",65,"USE_PREVIOUS_BUSINESS_DAY","N")),"")</f>
        <v>50.336461538461549</v>
      </c>
      <c r="X15" s="18">
        <f t="shared" si="29"/>
        <v>6856.0226153846133</v>
      </c>
      <c r="Y15" s="18" cm="1">
        <f t="array" ref="Y15">IFERROR(VALUE(_xll.BDP($B15,"INTERVAL_MAE_MOV_AVG","CALC_INTERVAL","520D","TECH_STUDIES_PARAM1_OVERRIDE",65,"USE_PREVIOUS_BUSINESS_DAY","Y")),"")</f>
        <v>50.121692307692314</v>
      </c>
      <c r="Z15" s="18">
        <f t="shared" si="30"/>
        <v>6852.6203076923057</v>
      </c>
      <c r="AA15" s="18">
        <f t="shared" si="92"/>
        <v>7.3419334156670868E-3</v>
      </c>
      <c r="AB15" s="18">
        <f t="shared" si="93"/>
        <v>7.3142374824749831E-3</v>
      </c>
      <c r="AC15" s="22" t="str">
        <f t="shared" si="94"/>
        <v>UP</v>
      </c>
      <c r="AD15" s="22" t="str">
        <f t="shared" si="95"/>
        <v>UP</v>
      </c>
      <c r="AE15" s="21" t="str">
        <f t="shared" si="96"/>
        <v>POSITIVE</v>
      </c>
      <c r="AF15" s="18" cm="1">
        <f t="array" ref="AF15">IFERROR(VALUE(_xll.BDP($B15,"INTERVAL_MAE_MOV_AVG","CALC_INTERVAL","65W","PERIODICITY_OVERRIDE","W","TECH_STUDIES_PARAM1_OVERRIDE",39,"USE_PREVIOUS_BUSINESS_DAY","N")),"")</f>
        <v>45.936220851718097</v>
      </c>
      <c r="AG15" s="18">
        <f t="shared" si="31"/>
        <v>6560.7735897435905</v>
      </c>
      <c r="AH15" s="18" cm="1">
        <f t="array" ref="AH15">IFERROR(VALUE(_xll.BDP($B15,"INTERVAL_MAE_MOV_AVG","CALC_INTERVAL","65W","PERIODICITY_OVERRIDE","W","TECH_STUDIES_PARAM1_OVERRIDE",39,"USE_PREVIOUS_BUSINESS_DAY","Y")),"")</f>
        <v>45.882374697871953</v>
      </c>
      <c r="AI15" s="18">
        <f t="shared" si="32"/>
        <v>6560.7823076923087</v>
      </c>
      <c r="AJ15" s="18">
        <f t="shared" si="97"/>
        <v>7.0016470197249081E-3</v>
      </c>
      <c r="AK15" s="18">
        <f t="shared" si="98"/>
        <v>6.9934304395493094E-3</v>
      </c>
      <c r="AL15" s="22" t="str">
        <f t="shared" si="99"/>
        <v>UP</v>
      </c>
      <c r="AM15" s="22" t="str">
        <f t="shared" si="100"/>
        <v>UP</v>
      </c>
      <c r="AN15" s="21" t="str">
        <f t="shared" si="101"/>
        <v>POSITIVE</v>
      </c>
      <c r="AO15" s="18" cm="1">
        <f t="array" ref="AO15">IFERROR(VALUE(_xll.BDP($B15,"INTERVAL_exp_MOV_AVG","CALC_INTERVAL","520D","TECH_STUDIES_PARAM1_OVERRIDE",100,"USE_PREVIOUS_BUSINESS_DAY","N")),"")</f>
        <v>49.73744668199712</v>
      </c>
      <c r="AP15" s="18">
        <f t="shared" si="33"/>
        <v>6773.0064518682802</v>
      </c>
      <c r="AQ15" s="18" cm="1">
        <f t="array" ref="AQ15">IFERROR(VALUE(_xll.BDP($B15,"INTERVAL_exp_MOV_AVG","CALC_INTERVAL","520D","TECH_STUDIES_PARAM1_OVERRIDE",100,"USE_PREVIOUS_BUSINESS_DAY","Y")),"")</f>
        <v>49.504866292729389</v>
      </c>
      <c r="AR15" s="18">
        <f t="shared" si="34"/>
        <v>6769.6039787132295</v>
      </c>
      <c r="AS15" s="18">
        <f t="shared" si="102"/>
        <v>7.3434813676100134E-3</v>
      </c>
      <c r="AT15" s="18">
        <f t="shared" si="103"/>
        <v>7.3128157050834312E-3</v>
      </c>
      <c r="AU15" s="21" t="str">
        <f t="shared" si="104"/>
        <v>UP</v>
      </c>
      <c r="AV15" s="21" t="str">
        <f t="shared" si="105"/>
        <v>UP</v>
      </c>
      <c r="AW15" s="21" t="str">
        <f t="shared" si="106"/>
        <v>POSITIVE</v>
      </c>
      <c r="AX15" s="19" cm="1">
        <f t="array" ref="AX15">_xll.BDP($B15, "INTERVAL_RSI", "TECH_STUDIES_PARAM1_OVERRIDE", "5", "PERIODICITY_OVERRIDE", "W")</f>
        <v>91.556937395800986</v>
      </c>
    </row>
    <row r="16" spans="1:50" x14ac:dyDescent="0.25">
      <c r="A16" s="18">
        <v>15</v>
      </c>
      <c r="B16" s="18" t="s">
        <v>142</v>
      </c>
      <c r="D16" s="19">
        <f>IFERROR(VALUE((_xll.BDP($B16,"interval_rsi","tech_studies_param1_override",14))),"")</f>
        <v>56.398150833415329</v>
      </c>
      <c r="E16" s="20">
        <f t="shared" si="24"/>
        <v>52.525531939815814</v>
      </c>
      <c r="F16" s="18">
        <f t="shared" si="83"/>
        <v>0</v>
      </c>
      <c r="G16" s="18" cm="1">
        <f t="array" ref="G16">IFERROR(VALUE(_xll.BDP($B16,"px_last")),"")</f>
        <v>9.61</v>
      </c>
      <c r="H16" s="18">
        <f t="shared" si="25"/>
        <v>6941.47</v>
      </c>
      <c r="I16" s="18" cm="1">
        <f t="array" ref="I16">IFERROR(VALUE(_xll.BDP($B16,"PX_YEST_CLOSE")),"")</f>
        <v>9.7200000000000006</v>
      </c>
      <c r="J16" s="18">
        <f t="shared" si="26"/>
        <v>6941.81</v>
      </c>
      <c r="K16" s="18">
        <f t="shared" si="84"/>
        <v>1.3844329803341367E-3</v>
      </c>
      <c r="L16" s="18">
        <f t="shared" si="85"/>
        <v>1.4002111841148058E-3</v>
      </c>
      <c r="M16" s="18" cm="1">
        <f t="array" ref="M16">IFERROR(VALUE(_xll.BDP($B16,"INTERVAL_MAE_MOV_AVG","CALC_INTERVAL","520D","TECH_STUDIES_PARAM1_OVERRIDE",50,"USE_PREVIOUS_BUSINESS_DAY","N")),"")</f>
        <v>7.4261999931335447</v>
      </c>
      <c r="N16" s="18">
        <f t="shared" si="27"/>
        <v>6894.0953999999992</v>
      </c>
      <c r="O16" s="18" cm="1">
        <f t="array" ref="O16">IFERROR(VALUE(_xll.BDP($B16,"INTERVAL_MAE_MOV_AVG","CALC_INTERVAL","520D","TECH_STUDIES_PARAM1_OVERRIDE",50,"USE_PREVIOUS_BUSINESS_DAY","Y")),"")</f>
        <v>7.3589999999999991</v>
      </c>
      <c r="P16" s="18">
        <f t="shared" si="28"/>
        <v>6892.2477999999992</v>
      </c>
      <c r="Q16" s="18">
        <f t="shared" si="86"/>
        <v>1.0771826559193749E-3</v>
      </c>
      <c r="R16" s="18">
        <f t="shared" si="87"/>
        <v>1.0677213317838051E-3</v>
      </c>
      <c r="S16" s="21" t="str">
        <f t="shared" si="88"/>
        <v>NEGATIVE</v>
      </c>
      <c r="T16" s="21" t="str">
        <f t="shared" si="89"/>
        <v/>
      </c>
      <c r="U16" s="21" t="str">
        <f t="shared" si="90"/>
        <v>UP</v>
      </c>
      <c r="V16" s="21" t="str">
        <f t="shared" si="91"/>
        <v>POSITIVE</v>
      </c>
      <c r="W16" s="18" cm="1">
        <f t="array" ref="W16">IFERROR(VALUE(_xll.BDP($B16,"INTERVAL_MAE_MOV_AVG","CALC_INTERVAL","520D","TECH_STUDIES_PARAM1_OVERRIDE",65,"USE_PREVIOUS_BUSINESS_DAY","N")),"")</f>
        <v>7.1787692254873416</v>
      </c>
      <c r="X16" s="18">
        <f t="shared" si="29"/>
        <v>6856.0226153846133</v>
      </c>
      <c r="Y16" s="18" cm="1">
        <f t="array" ref="Y16">IFERROR(VALUE(_xll.BDP($B16,"INTERVAL_MAE_MOV_AVG","CALC_INTERVAL","520D","TECH_STUDIES_PARAM1_OVERRIDE",65,"USE_PREVIOUS_BUSINESS_DAY","Y")),"")</f>
        <v>7.1101538461538443</v>
      </c>
      <c r="Z16" s="18">
        <f t="shared" si="30"/>
        <v>6852.6203076923057</v>
      </c>
      <c r="AA16" s="18">
        <f t="shared" si="92"/>
        <v>1.0470749045340805E-3</v>
      </c>
      <c r="AB16" s="18">
        <f t="shared" si="93"/>
        <v>1.0375817609757903E-3</v>
      </c>
      <c r="AC16" s="22" t="str">
        <f t="shared" si="94"/>
        <v>UP</v>
      </c>
      <c r="AD16" s="22" t="str">
        <f t="shared" si="95"/>
        <v>UP</v>
      </c>
      <c r="AE16" s="21" t="str">
        <f t="shared" si="96"/>
        <v>POSITIVE</v>
      </c>
      <c r="AF16" s="18" cm="1">
        <f t="array" ref="AF16">IFERROR(VALUE(_xll.BDP($B16,"INTERVAL_MAE_MOV_AVG","CALC_INTERVAL","65W","PERIODICITY_OVERRIDE","W","TECH_STUDIES_PARAM1_OVERRIDE",39,"USE_PREVIOUS_BUSINESS_DAY","N")),"")</f>
        <v>3.9013179399147999</v>
      </c>
      <c r="AG16" s="18">
        <f t="shared" si="31"/>
        <v>6560.7735897435905</v>
      </c>
      <c r="AH16" s="18" cm="1">
        <f t="array" ref="AH16">IFERROR(VALUE(_xll.BDP($B16,"INTERVAL_MAE_MOV_AVG","CALC_INTERVAL","65W","PERIODICITY_OVERRIDE","W","TECH_STUDIES_PARAM1_OVERRIDE",39,"USE_PREVIOUS_BUSINESS_DAY","Y")),"")</f>
        <v>3.90413846153846</v>
      </c>
      <c r="AI16" s="18">
        <f t="shared" si="32"/>
        <v>6560.7823076923087</v>
      </c>
      <c r="AJ16" s="18">
        <f t="shared" si="97"/>
        <v>5.9464297716563513E-4</v>
      </c>
      <c r="AK16" s="18">
        <f t="shared" si="98"/>
        <v>5.9507209330219386E-4</v>
      </c>
      <c r="AL16" s="22" t="str">
        <f t="shared" si="99"/>
        <v>DOWN</v>
      </c>
      <c r="AM16" s="22" t="str">
        <f t="shared" si="100"/>
        <v>DOWN</v>
      </c>
      <c r="AN16" s="21" t="str">
        <f t="shared" si="101"/>
        <v>POSITIVE</v>
      </c>
      <c r="AO16" s="18" cm="1">
        <f t="array" ref="AO16">IFERROR(VALUE(_xll.BDP($B16,"INTERVAL_exp_MOV_AVG","CALC_INTERVAL","520D","TECH_STUDIES_PARAM1_OVERRIDE",100,"USE_PREVIOUS_BUSINESS_DAY","N")),"")</f>
        <v>6.2744119771759337</v>
      </c>
      <c r="AP16" s="18">
        <f t="shared" si="33"/>
        <v>6773.0064518682802</v>
      </c>
      <c r="AQ16" s="18" cm="1">
        <f t="array" ref="AQ16">IFERROR(VALUE(_xll.BDP($B16,"INTERVAL_exp_MOV_AVG","CALC_INTERVAL","520D","TECH_STUDIES_PARAM1_OVERRIDE",100,"USE_PREVIOUS_BUSINESS_DAY","Y")),"")</f>
        <v>6.207025436393474</v>
      </c>
      <c r="AR16" s="18">
        <f t="shared" si="34"/>
        <v>6769.6039787132295</v>
      </c>
      <c r="AS16" s="18">
        <f t="shared" si="102"/>
        <v>9.2638505835841733E-4</v>
      </c>
      <c r="AT16" s="18">
        <f t="shared" si="103"/>
        <v>9.1689638801785705E-4</v>
      </c>
      <c r="AU16" s="21" t="str">
        <f t="shared" si="104"/>
        <v>UP</v>
      </c>
      <c r="AV16" s="21" t="str">
        <f t="shared" si="105"/>
        <v>UP</v>
      </c>
      <c r="AW16" s="21" t="str">
        <f t="shared" si="106"/>
        <v>POSITIVE</v>
      </c>
      <c r="AX16" s="19" cm="1">
        <f t="array" ref="AX16">_xll.BDP($B16, "INTERVAL_RSI", "TECH_STUDIES_PARAM1_OVERRIDE", "5", "PERIODICITY_OVERRIDE", "W")</f>
        <v>83.439503779282916</v>
      </c>
    </row>
    <row r="17" spans="1:50" x14ac:dyDescent="0.25">
      <c r="A17" s="18">
        <v>16</v>
      </c>
      <c r="B17" s="18" t="s">
        <v>953</v>
      </c>
      <c r="D17" s="19">
        <f>IFERROR(VALUE((_xll.BDP($B17,"interval_rsi","tech_studies_param1_override",14))),"")</f>
        <v>42.398043838847137</v>
      </c>
      <c r="E17" s="20">
        <f t="shared" si="24"/>
        <v>52.525531939815814</v>
      </c>
      <c r="F17" s="18">
        <f t="shared" si="83"/>
        <v>0</v>
      </c>
      <c r="G17" s="18" cm="1">
        <f t="array" ref="G17">IFERROR(VALUE(_xll.BDP($B17,"px_last")),"")</f>
        <v>11.28</v>
      </c>
      <c r="H17" s="18">
        <f t="shared" si="25"/>
        <v>6941.47</v>
      </c>
      <c r="I17" s="18" cm="1">
        <f t="array" ref="I17">IFERROR(VALUE(_xll.BDP($B17,"PX_YEST_CLOSE")),"")</f>
        <v>11.41</v>
      </c>
      <c r="J17" s="18">
        <f t="shared" si="26"/>
        <v>6941.81</v>
      </c>
      <c r="K17" s="18">
        <f t="shared" si="84"/>
        <v>1.6250160268646266E-3</v>
      </c>
      <c r="L17" s="18">
        <f t="shared" si="85"/>
        <v>1.6436635402006104E-3</v>
      </c>
      <c r="M17" s="18" cm="1">
        <f t="array" ref="M17">IFERROR(VALUE(_xll.BDP($B17,"INTERVAL_MAE_MOV_AVG","CALC_INTERVAL","520D","TECH_STUDIES_PARAM1_OVERRIDE",50,"USE_PREVIOUS_BUSINESS_DAY","N")),"")</f>
        <v>11.436399994659423</v>
      </c>
      <c r="N17" s="18">
        <f t="shared" si="27"/>
        <v>6894.0953999999992</v>
      </c>
      <c r="O17" s="18" cm="1">
        <f t="array" ref="O17">IFERROR(VALUE(_xll.BDP($B17,"INTERVAL_MAE_MOV_AVG","CALC_INTERVAL","520D","TECH_STUDIES_PARAM1_OVERRIDE",50,"USE_PREVIOUS_BUSINESS_DAY","Y")),"")</f>
        <v>11.4278</v>
      </c>
      <c r="P17" s="18">
        <f t="shared" si="28"/>
        <v>6892.2477999999992</v>
      </c>
      <c r="Q17" s="18">
        <f t="shared" si="86"/>
        <v>1.6588688335614596E-3</v>
      </c>
      <c r="R17" s="18">
        <f t="shared" si="87"/>
        <v>1.6580657474329348E-3</v>
      </c>
      <c r="S17" s="21" t="str">
        <f t="shared" si="88"/>
        <v>NEGATIVE</v>
      </c>
      <c r="T17" s="21" t="str">
        <f t="shared" si="89"/>
        <v/>
      </c>
      <c r="U17" s="21" t="str">
        <f t="shared" si="90"/>
        <v>UP</v>
      </c>
      <c r="V17" s="21" t="str">
        <f t="shared" si="91"/>
        <v>NEGATIVE</v>
      </c>
      <c r="W17" s="18" cm="1">
        <f t="array" ref="W17">IFERROR(VALUE(_xll.BDP($B17,"INTERVAL_MAE_MOV_AVG","CALC_INTERVAL","520D","TECH_STUDIES_PARAM1_OVERRIDE",65,"USE_PREVIOUS_BUSINESS_DAY","N")),"")</f>
        <v>11.33184614973802</v>
      </c>
      <c r="X17" s="18">
        <f t="shared" si="29"/>
        <v>6856.0226153846133</v>
      </c>
      <c r="Y17" s="18" cm="1">
        <f t="array" ref="Y17">IFERROR(VALUE(_xll.BDP($B17,"INTERVAL_MAE_MOV_AVG","CALC_INTERVAL","520D","TECH_STUDIES_PARAM1_OVERRIDE",65,"USE_PREVIOUS_BUSINESS_DAY","Y")),"")</f>
        <v>11.333846153846155</v>
      </c>
      <c r="Z17" s="18">
        <f t="shared" si="30"/>
        <v>6852.6203076923057</v>
      </c>
      <c r="AA17" s="18">
        <f t="shared" si="92"/>
        <v>1.6528309174928704E-3</v>
      </c>
      <c r="AB17" s="18">
        <f t="shared" si="93"/>
        <v>1.6539434033903085E-3</v>
      </c>
      <c r="AC17" s="22" t="str">
        <f t="shared" si="94"/>
        <v>DOWN</v>
      </c>
      <c r="AD17" s="22" t="str">
        <f t="shared" si="95"/>
        <v>DOWN</v>
      </c>
      <c r="AE17" s="21" t="str">
        <f t="shared" si="96"/>
        <v>NEGATIVE</v>
      </c>
      <c r="AF17" s="18" cm="1">
        <f t="array" ref="AF17">IFERROR(VALUE(_xll.BDP($B17,"INTERVAL_MAE_MOV_AVG","CALC_INTERVAL","65W","PERIODICITY_OVERRIDE","W","TECH_STUDIES_PARAM1_OVERRIDE",39,"USE_PREVIOUS_BUSINESS_DAY","N")),"")</f>
        <v>11.198656403409517</v>
      </c>
      <c r="AG17" s="18">
        <f t="shared" si="31"/>
        <v>6560.7735897435905</v>
      </c>
      <c r="AH17" s="18" cm="1">
        <f t="array" ref="AH17">IFERROR(VALUE(_xll.BDP($B17,"INTERVAL_MAE_MOV_AVG","CALC_INTERVAL","65W","PERIODICITY_OVERRIDE","W","TECH_STUDIES_PARAM1_OVERRIDE",39,"USE_PREVIOUS_BUSINESS_DAY","Y")),"")</f>
        <v>11.201989743589742</v>
      </c>
      <c r="AI17" s="18">
        <f t="shared" si="32"/>
        <v>6560.7823076923087</v>
      </c>
      <c r="AJ17" s="18">
        <f t="shared" si="97"/>
        <v>1.7069109686876399E-3</v>
      </c>
      <c r="AK17" s="18">
        <f t="shared" si="98"/>
        <v>1.7074167710847174E-3</v>
      </c>
      <c r="AL17" s="22" t="str">
        <f t="shared" si="99"/>
        <v>DOWN</v>
      </c>
      <c r="AM17" s="22" t="str">
        <f t="shared" si="100"/>
        <v>DOWN</v>
      </c>
      <c r="AN17" s="21" t="str">
        <f t="shared" si="101"/>
        <v>NEGATIVE</v>
      </c>
      <c r="AO17" s="18" cm="1">
        <f t="array" ref="AO17">IFERROR(VALUE(_xll.BDP($B17,"INTERVAL_exp_MOV_AVG","CALC_INTERVAL","520D","TECH_STUDIES_PARAM1_OVERRIDE",100,"USE_PREVIOUS_BUSINESS_DAY","N")),"")</f>
        <v>11.387393639791535</v>
      </c>
      <c r="AP17" s="18">
        <f t="shared" si="33"/>
        <v>6773.0064518682802</v>
      </c>
      <c r="AQ17" s="18" cm="1">
        <f t="array" ref="AQ17">IFERROR(VALUE(_xll.BDP($B17,"INTERVAL_exp_MOV_AVG","CALC_INTERVAL","520D","TECH_STUDIES_PARAM1_OVERRIDE",100,"USE_PREVIOUS_BUSINESS_DAY","Y")),"")</f>
        <v>11.389563213666694</v>
      </c>
      <c r="AR17" s="18">
        <f t="shared" si="34"/>
        <v>6769.6039787132295</v>
      </c>
      <c r="AS17" s="18">
        <f t="shared" si="102"/>
        <v>1.681290830108454E-3</v>
      </c>
      <c r="AT17" s="18">
        <f t="shared" si="103"/>
        <v>1.6824563518753469E-3</v>
      </c>
      <c r="AU17" s="21" t="str">
        <f t="shared" si="104"/>
        <v>DOWN</v>
      </c>
      <c r="AV17" s="21" t="str">
        <f t="shared" si="105"/>
        <v>DOWN</v>
      </c>
      <c r="AW17" s="21" t="str">
        <f t="shared" si="106"/>
        <v>NEGATIVE</v>
      </c>
      <c r="AX17" s="19" cm="1">
        <f t="array" ref="AX17">_xll.BDP($B17, "INTERVAL_RSI", "TECH_STUDIES_PARAM1_OVERRIDE", "5", "PERIODICITY_OVERRIDE", "W")</f>
        <v>43.486930979484157</v>
      </c>
    </row>
    <row r="18" spans="1:50" x14ac:dyDescent="0.25">
      <c r="A18" s="18">
        <v>17</v>
      </c>
      <c r="B18" s="18" t="s">
        <v>32</v>
      </c>
      <c r="D18" s="19">
        <f>IFERROR(VALUE((_xll.BDP($B18,"interval_rsi","tech_studies_param1_override",14))),"")</f>
        <v>68.097130005885816</v>
      </c>
      <c r="E18" s="20">
        <f t="shared" si="24"/>
        <v>52.525531939815814</v>
      </c>
      <c r="F18" s="18">
        <f t="shared" si="83"/>
        <v>1</v>
      </c>
      <c r="G18" s="18" cm="1">
        <f t="array" ref="G18">IFERROR(VALUE(_xll.BDP($B18,"px_last")),"")</f>
        <v>74.52</v>
      </c>
      <c r="H18" s="18">
        <f t="shared" si="25"/>
        <v>6941.47</v>
      </c>
      <c r="I18" s="18" cm="1">
        <f t="array" ref="I18">IFERROR(VALUE(_xll.BDP($B18,"PX_YEST_CLOSE")),"")</f>
        <v>73.75</v>
      </c>
      <c r="J18" s="18">
        <f t="shared" si="26"/>
        <v>6941.81</v>
      </c>
      <c r="K18" s="18">
        <f t="shared" si="84"/>
        <v>1.0735478220031203E-2</v>
      </c>
      <c r="L18" s="18">
        <f t="shared" si="85"/>
        <v>1.0624030332146803E-2</v>
      </c>
      <c r="M18" s="18" cm="1">
        <f t="array" ref="M18">IFERROR(VALUE(_xll.BDP($B18,"INTERVAL_MAE_MOV_AVG","CALC_INTERVAL","520D","TECH_STUDIES_PARAM1_OVERRIDE",50,"USE_PREVIOUS_BUSINESS_DAY","N")),"")</f>
        <v>70.990799932861336</v>
      </c>
      <c r="N18" s="18">
        <f t="shared" si="27"/>
        <v>6894.0953999999992</v>
      </c>
      <c r="O18" s="18" cm="1">
        <f t="array" ref="O18">IFERROR(VALUE(_xll.BDP($B18,"INTERVAL_MAE_MOV_AVG","CALC_INTERVAL","520D","TECH_STUDIES_PARAM1_OVERRIDE",50,"USE_PREVIOUS_BUSINESS_DAY","Y")),"")</f>
        <v>71.009200000000007</v>
      </c>
      <c r="P18" s="18">
        <f t="shared" si="28"/>
        <v>6892.2477999999992</v>
      </c>
      <c r="Q18" s="18">
        <f t="shared" si="86"/>
        <v>1.0297333560667197E-2</v>
      </c>
      <c r="R18" s="18">
        <f t="shared" si="87"/>
        <v>1.0302763635399182E-2</v>
      </c>
      <c r="S18" s="21" t="str">
        <f t="shared" si="88"/>
        <v>POSITIVE</v>
      </c>
      <c r="T18" s="21" t="str">
        <f t="shared" si="89"/>
        <v/>
      </c>
      <c r="U18" s="21" t="str">
        <f t="shared" si="90"/>
        <v>DOWN</v>
      </c>
      <c r="V18" s="21" t="str">
        <f t="shared" si="91"/>
        <v>POSITIVE</v>
      </c>
      <c r="W18" s="18" cm="1">
        <f t="array" ref="W18">IFERROR(VALUE(_xll.BDP($B18,"INTERVAL_MAE_MOV_AVG","CALC_INTERVAL","520D","TECH_STUDIES_PARAM1_OVERRIDE",65,"USE_PREVIOUS_BUSINESS_DAY","N")),"")</f>
        <v>71.746769179124115</v>
      </c>
      <c r="X18" s="18">
        <f t="shared" si="29"/>
        <v>6856.0226153846133</v>
      </c>
      <c r="Y18" s="18" cm="1">
        <f t="array" ref="Y18">IFERROR(VALUE(_xll.BDP($B18,"INTERVAL_MAE_MOV_AVG","CALC_INTERVAL","520D","TECH_STUDIES_PARAM1_OVERRIDE",65,"USE_PREVIOUS_BUSINESS_DAY","Y")),"")</f>
        <v>71.705038764615395</v>
      </c>
      <c r="Z18" s="18">
        <f t="shared" si="30"/>
        <v>6852.6203076923057</v>
      </c>
      <c r="AA18" s="18">
        <f t="shared" si="92"/>
        <v>1.0464780121659389E-2</v>
      </c>
      <c r="AB18" s="18">
        <f t="shared" si="93"/>
        <v>1.0463886155216272E-2</v>
      </c>
      <c r="AC18" s="22" t="str">
        <f t="shared" si="94"/>
        <v>UP</v>
      </c>
      <c r="AD18" s="22" t="str">
        <f t="shared" si="95"/>
        <v>UP</v>
      </c>
      <c r="AE18" s="21" t="str">
        <f t="shared" si="96"/>
        <v>POSITIVE</v>
      </c>
      <c r="AF18" s="18" cm="1">
        <f t="array" ref="AF18">IFERROR(VALUE(_xll.BDP($B18,"INTERVAL_MAE_MOV_AVG","CALC_INTERVAL","65W","PERIODICITY_OVERRIDE","W","TECH_STUDIES_PARAM1_OVERRIDE",39,"USE_PREVIOUS_BUSINESS_DAY","N")),"")</f>
        <v>71.360206078266643</v>
      </c>
      <c r="AG18" s="18">
        <f t="shared" si="31"/>
        <v>6560.7735897435905</v>
      </c>
      <c r="AH18" s="18" cm="1">
        <f t="array" ref="AH18">IFERROR(VALUE(_xll.BDP($B18,"INTERVAL_MAE_MOV_AVG","CALC_INTERVAL","65W","PERIODICITY_OVERRIDE","W","TECH_STUDIES_PARAM1_OVERRIDE",39,"USE_PREVIOUS_BUSINESS_DAY","Y")),"")</f>
        <v>71.340462574598277</v>
      </c>
      <c r="AI18" s="18">
        <f t="shared" si="32"/>
        <v>6560.7823076923087</v>
      </c>
      <c r="AJ18" s="18">
        <f t="shared" si="97"/>
        <v>1.0876797545616195E-2</v>
      </c>
      <c r="AK18" s="18">
        <f t="shared" si="98"/>
        <v>1.0873773770995854E-2</v>
      </c>
      <c r="AL18" s="22" t="str">
        <f t="shared" si="99"/>
        <v>UP</v>
      </c>
      <c r="AM18" s="22" t="str">
        <f t="shared" si="100"/>
        <v>UP</v>
      </c>
      <c r="AN18" s="21" t="str">
        <f t="shared" si="101"/>
        <v>NEGATIVE</v>
      </c>
      <c r="AO18" s="18" cm="1">
        <f t="array" ref="AO18">IFERROR(VALUE(_xll.BDP($B18,"INTERVAL_exp_MOV_AVG","CALC_INTERVAL","520D","TECH_STUDIES_PARAM1_OVERRIDE",100,"USE_PREVIOUS_BUSINESS_DAY","N")),"")</f>
        <v>71.586252948061556</v>
      </c>
      <c r="AP18" s="18">
        <f t="shared" si="33"/>
        <v>6773.0064518682802</v>
      </c>
      <c r="AQ18" s="18" cm="1">
        <f t="array" ref="AQ18">IFERROR(VALUE(_xll.BDP($B18,"INTERVAL_exp_MOV_AVG","CALC_INTERVAL","520D","TECH_STUDIES_PARAM1_OVERRIDE",100,"USE_PREVIOUS_BUSINESS_DAY","Y")),"")</f>
        <v>71.527011336552206</v>
      </c>
      <c r="AR18" s="18">
        <f t="shared" si="34"/>
        <v>6769.6039787132295</v>
      </c>
      <c r="AS18" s="18">
        <f t="shared" si="102"/>
        <v>1.0569346634582793E-2</v>
      </c>
      <c r="AT18" s="18">
        <f t="shared" si="103"/>
        <v>1.0565907778574088E-2</v>
      </c>
      <c r="AU18" s="21" t="str">
        <f t="shared" si="104"/>
        <v>UP</v>
      </c>
      <c r="AV18" s="21" t="str">
        <f t="shared" si="105"/>
        <v>UP</v>
      </c>
      <c r="AW18" s="21" t="str">
        <f t="shared" si="106"/>
        <v>POSITIVE</v>
      </c>
      <c r="AX18" s="19" cm="1">
        <f t="array" ref="AX18">_xll.BDP($B18, "INTERVAL_RSI", "TECH_STUDIES_PARAM1_OVERRIDE", "5", "PERIODICITY_OVERRIDE", "W")</f>
        <v>75.5299289137443</v>
      </c>
    </row>
    <row r="19" spans="1:50" x14ac:dyDescent="0.25">
      <c r="A19" s="18">
        <v>18</v>
      </c>
      <c r="B19" s="18" t="s">
        <v>35</v>
      </c>
      <c r="D19" s="19">
        <f>IFERROR(VALUE((_xll.BDP($B19,"interval_rsi","tech_studies_param1_override",14))),"")</f>
        <v>40.766167752320143</v>
      </c>
      <c r="E19" s="20">
        <f t="shared" si="24"/>
        <v>52.525531939815814</v>
      </c>
      <c r="F19" s="18">
        <f t="shared" si="83"/>
        <v>0</v>
      </c>
      <c r="G19" s="18" cm="1">
        <f t="array" ref="G19">IFERROR(VALUE(_xll.BDP($B19,"px_last")),"")</f>
        <v>20.420000000000002</v>
      </c>
      <c r="H19" s="18">
        <f t="shared" si="25"/>
        <v>6941.47</v>
      </c>
      <c r="I19" s="18" cm="1">
        <f t="array" ref="I19">IFERROR(VALUE(_xll.BDP($B19,"PX_YEST_CLOSE")),"")</f>
        <v>20.420000000000002</v>
      </c>
      <c r="J19" s="18">
        <f t="shared" si="26"/>
        <v>6941.81</v>
      </c>
      <c r="K19" s="18">
        <f t="shared" si="84"/>
        <v>2.9417400060794039E-3</v>
      </c>
      <c r="L19" s="18">
        <f t="shared" si="85"/>
        <v>2.9415959238296642E-3</v>
      </c>
      <c r="M19" s="18" cm="1">
        <f t="array" ref="M19">IFERROR(VALUE(_xll.BDP($B19,"INTERVAL_MAE_MOV_AVG","CALC_INTERVAL","520D","TECH_STUDIES_PARAM1_OVERRIDE",50,"USE_PREVIOUS_BUSINESS_DAY","N")),"")</f>
        <v>22.876600001525869</v>
      </c>
      <c r="N19" s="18">
        <f t="shared" si="27"/>
        <v>6894.0953999999992</v>
      </c>
      <c r="O19" s="18" cm="1">
        <f t="array" ref="O19">IFERROR(VALUE(_xll.BDP($B19,"INTERVAL_MAE_MOV_AVG","CALC_INTERVAL","520D","TECH_STUDIES_PARAM1_OVERRIDE",50,"USE_PREVIOUS_BUSINESS_DAY","Y")),"")</f>
        <v>23.005399999999991</v>
      </c>
      <c r="P19" s="18">
        <f t="shared" si="28"/>
        <v>6892.2477999999992</v>
      </c>
      <c r="Q19" s="18">
        <f t="shared" si="86"/>
        <v>3.318288865211507E-3</v>
      </c>
      <c r="R19" s="18">
        <f t="shared" si="87"/>
        <v>3.3378660587334067E-3</v>
      </c>
      <c r="S19" s="21" t="str">
        <f t="shared" si="88"/>
        <v>NEGATIVE</v>
      </c>
      <c r="T19" s="21" t="str">
        <f t="shared" si="89"/>
        <v/>
      </c>
      <c r="U19" s="21" t="str">
        <f t="shared" si="90"/>
        <v>DOWN</v>
      </c>
      <c r="V19" s="21" t="str">
        <f t="shared" si="91"/>
        <v>NEGATIVE</v>
      </c>
      <c r="W19" s="18" cm="1">
        <f t="array" ref="W19">IFERROR(VALUE(_xll.BDP($B19,"INTERVAL_MAE_MOV_AVG","CALC_INTERVAL","520D","TECH_STUDIES_PARAM1_OVERRIDE",65,"USE_PREVIOUS_BUSINESS_DAY","N")),"")</f>
        <v>23.31892307809682</v>
      </c>
      <c r="X19" s="18">
        <f t="shared" si="29"/>
        <v>6856.0226153846133</v>
      </c>
      <c r="Y19" s="18" cm="1">
        <f t="array" ref="Y19">IFERROR(VALUE(_xll.BDP($B19,"INTERVAL_MAE_MOV_AVG","CALC_INTERVAL","520D","TECH_STUDIES_PARAM1_OVERRIDE",65,"USE_PREVIOUS_BUSINESS_DAY","Y")),"")</f>
        <v>23.340153846153839</v>
      </c>
      <c r="Z19" s="18">
        <f t="shared" si="30"/>
        <v>6852.6203076923057</v>
      </c>
      <c r="AA19" s="18">
        <f t="shared" si="92"/>
        <v>3.4012319366873412E-3</v>
      </c>
      <c r="AB19" s="18">
        <f t="shared" si="93"/>
        <v>3.4060188363207139E-3</v>
      </c>
      <c r="AC19" s="22" t="str">
        <f t="shared" si="94"/>
        <v>DOWN</v>
      </c>
      <c r="AD19" s="22" t="str">
        <f t="shared" si="95"/>
        <v>DOWN</v>
      </c>
      <c r="AE19" s="21" t="str">
        <f t="shared" si="96"/>
        <v>NEGATIVE</v>
      </c>
      <c r="AF19" s="18" cm="1">
        <f t="array" ref="AF19">IFERROR(VALUE(_xll.BDP($B19,"INTERVAL_MAE_MOV_AVG","CALC_INTERVAL","65W","PERIODICITY_OVERRIDE","W","TECH_STUDIES_PARAM1_OVERRIDE",39,"USE_PREVIOUS_BUSINESS_DAY","N")),"")</f>
        <v>21.49153846349472</v>
      </c>
      <c r="AG19" s="18">
        <f t="shared" si="31"/>
        <v>6560.7735897435905</v>
      </c>
      <c r="AH19" s="18" cm="1">
        <f t="array" ref="AH19">IFERROR(VALUE(_xll.BDP($B19,"INTERVAL_MAE_MOV_AVG","CALC_INTERVAL","65W","PERIODICITY_OVERRIDE","W","TECH_STUDIES_PARAM1_OVERRIDE",39,"USE_PREVIOUS_BUSINESS_DAY","Y")),"")</f>
        <v>21.491538461538461</v>
      </c>
      <c r="AI19" s="18">
        <f t="shared" si="32"/>
        <v>6560.7823076923087</v>
      </c>
      <c r="AJ19" s="18">
        <f t="shared" si="97"/>
        <v>3.2757628608145058E-3</v>
      </c>
      <c r="AK19" s="18">
        <f t="shared" si="98"/>
        <v>3.2757585076920348E-3</v>
      </c>
      <c r="AL19" s="22" t="str">
        <f t="shared" si="99"/>
        <v>UP</v>
      </c>
      <c r="AM19" s="22" t="str">
        <f t="shared" si="100"/>
        <v>UP</v>
      </c>
      <c r="AN19" s="21" t="str">
        <f t="shared" si="101"/>
        <v>NEGATIVE</v>
      </c>
      <c r="AO19" s="18" cm="1">
        <f t="array" ref="AO19">IFERROR(VALUE(_xll.BDP($B19,"INTERVAL_exp_MOV_AVG","CALC_INTERVAL","520D","TECH_STUDIES_PARAM1_OVERRIDE",100,"USE_PREVIOUS_BUSINESS_DAY","N")),"")</f>
        <v>21.890372818948986</v>
      </c>
      <c r="AP19" s="18">
        <f t="shared" si="33"/>
        <v>6773.0064518682802</v>
      </c>
      <c r="AQ19" s="18" cm="1">
        <f t="array" ref="AQ19">IFERROR(VALUE(_xll.BDP($B19,"INTERVAL_exp_MOV_AVG","CALC_INTERVAL","520D","TECH_STUDIES_PARAM1_OVERRIDE",100,"USE_PREVIOUS_BUSINESS_DAY","Y")),"")</f>
        <v>21.920084457199927</v>
      </c>
      <c r="AR19" s="18">
        <f t="shared" si="34"/>
        <v>6769.6039787132295</v>
      </c>
      <c r="AS19" s="18">
        <f t="shared" si="102"/>
        <v>3.2320023573742056E-3</v>
      </c>
      <c r="AT19" s="18">
        <f t="shared" si="103"/>
        <v>3.238015772580911E-3</v>
      </c>
      <c r="AU19" s="21" t="str">
        <f t="shared" si="104"/>
        <v>DOWN</v>
      </c>
      <c r="AV19" s="21" t="str">
        <f t="shared" si="105"/>
        <v>DOWN</v>
      </c>
      <c r="AW19" s="21" t="str">
        <f t="shared" si="106"/>
        <v>NEGATIVE</v>
      </c>
      <c r="AX19" s="19" cm="1">
        <f t="array" ref="AX19">_xll.BDP($B19, "INTERVAL_RSI", "TECH_STUDIES_PARAM1_OVERRIDE", "5", "PERIODICITY_OVERRIDE", "W")</f>
        <v>35.249296152501756</v>
      </c>
    </row>
    <row r="20" spans="1:50" x14ac:dyDescent="0.25">
      <c r="A20" s="18">
        <v>19</v>
      </c>
      <c r="B20" s="18" t="s">
        <v>44</v>
      </c>
      <c r="D20" s="19">
        <f>IFERROR(VALUE((_xll.BDP($B20,"interval_rsi","tech_studies_param1_override",14))),"")</f>
        <v>62.302160334525638</v>
      </c>
      <c r="E20" s="20">
        <f t="shared" si="24"/>
        <v>52.525531939815814</v>
      </c>
      <c r="F20" s="18">
        <f t="shared" si="83"/>
        <v>0</v>
      </c>
      <c r="G20" s="18" cm="1">
        <f t="array" ref="G20">IFERROR(VALUE(_xll.BDP($B20,"px_last")),"")</f>
        <v>62.4</v>
      </c>
      <c r="H20" s="18">
        <f t="shared" si="25"/>
        <v>6941.47</v>
      </c>
      <c r="I20" s="18" cm="1">
        <f t="array" ref="I20">IFERROR(VALUE(_xll.BDP($B20,"PX_YEST_CLOSE")),"")</f>
        <v>64.08</v>
      </c>
      <c r="J20" s="18">
        <f t="shared" si="26"/>
        <v>6941.81</v>
      </c>
      <c r="K20" s="18">
        <f t="shared" si="84"/>
        <v>8.9894503613787858E-3</v>
      </c>
      <c r="L20" s="18">
        <f t="shared" si="85"/>
        <v>9.2310218804605715E-3</v>
      </c>
      <c r="M20" s="18" cm="1">
        <f t="array" ref="M20">IFERROR(VALUE(_xll.BDP($B20,"INTERVAL_MAE_MOV_AVG","CALC_INTERVAL","520D","TECH_STUDIES_PARAM1_OVERRIDE",50,"USE_PREVIOUS_BUSINESS_DAY","N")),"")</f>
        <v>52.285800030517578</v>
      </c>
      <c r="N20" s="18">
        <f t="shared" si="27"/>
        <v>6894.0953999999992</v>
      </c>
      <c r="O20" s="18" cm="1">
        <f t="array" ref="O20">IFERROR(VALUE(_xll.BDP($B20,"INTERVAL_MAE_MOV_AVG","CALC_INTERVAL","520D","TECH_STUDIES_PARAM1_OVERRIDE",50,"USE_PREVIOUS_BUSINESS_DAY","Y")),"")</f>
        <v>51.928199999999997</v>
      </c>
      <c r="P20" s="18">
        <f t="shared" si="28"/>
        <v>6892.2477999999992</v>
      </c>
      <c r="Q20" s="18">
        <f t="shared" si="86"/>
        <v>7.5841422256091185E-3</v>
      </c>
      <c r="R20" s="18">
        <f t="shared" si="87"/>
        <v>7.5342909173985303E-3</v>
      </c>
      <c r="S20" s="21" t="str">
        <f t="shared" si="88"/>
        <v>NEGATIVE</v>
      </c>
      <c r="T20" s="21" t="str">
        <f t="shared" si="89"/>
        <v/>
      </c>
      <c r="U20" s="21" t="str">
        <f t="shared" si="90"/>
        <v>UP</v>
      </c>
      <c r="V20" s="21" t="str">
        <f t="shared" si="91"/>
        <v>POSITIVE</v>
      </c>
      <c r="W20" s="18" cm="1">
        <f t="array" ref="W20">IFERROR(VALUE(_xll.BDP($B20,"INTERVAL_MAE_MOV_AVG","CALC_INTERVAL","520D","TECH_STUDIES_PARAM1_OVERRIDE",65,"USE_PREVIOUS_BUSINESS_DAY","N")),"")</f>
        <v>50.833538485013534</v>
      </c>
      <c r="X20" s="18">
        <f t="shared" si="29"/>
        <v>6856.0226153846133</v>
      </c>
      <c r="Y20" s="18" cm="1">
        <f t="array" ref="Y20">IFERROR(VALUE(_xll.BDP($B20,"INTERVAL_MAE_MOV_AVG","CALC_INTERVAL","520D","TECH_STUDIES_PARAM1_OVERRIDE",65,"USE_PREVIOUS_BUSINESS_DAY","Y")),"")</f>
        <v>50.597846153846163</v>
      </c>
      <c r="Z20" s="18">
        <f t="shared" si="30"/>
        <v>6852.6203076923057</v>
      </c>
      <c r="AA20" s="18">
        <f t="shared" si="92"/>
        <v>7.4144356482934159E-3</v>
      </c>
      <c r="AB20" s="18">
        <f t="shared" si="93"/>
        <v>7.3837224130232802E-3</v>
      </c>
      <c r="AC20" s="22" t="str">
        <f t="shared" si="94"/>
        <v>UP</v>
      </c>
      <c r="AD20" s="22" t="str">
        <f t="shared" si="95"/>
        <v>UP</v>
      </c>
      <c r="AE20" s="21" t="str">
        <f t="shared" si="96"/>
        <v>POSITIVE</v>
      </c>
      <c r="AF20" s="18" cm="1">
        <f t="array" ref="AF20">IFERROR(VALUE(_xll.BDP($B20,"INTERVAL_MAE_MOV_AVG","CALC_INTERVAL","65W","PERIODICITY_OVERRIDE","W","TECH_STUDIES_PARAM1_OVERRIDE",39,"USE_PREVIOUS_BUSINESS_DAY","N")),"")</f>
        <v>39.464359013484071</v>
      </c>
      <c r="AG20" s="18">
        <f t="shared" si="31"/>
        <v>6560.7735897435905</v>
      </c>
      <c r="AH20" s="18" cm="1">
        <f t="array" ref="AH20">IFERROR(VALUE(_xll.BDP($B20,"INTERVAL_MAE_MOV_AVG","CALC_INTERVAL","65W","PERIODICITY_OVERRIDE","W","TECH_STUDIES_PARAM1_OVERRIDE",39,"USE_PREVIOUS_BUSINESS_DAY","Y")),"")</f>
        <v>39.50743589743589</v>
      </c>
      <c r="AI20" s="18">
        <f t="shared" si="32"/>
        <v>6560.7823076923087</v>
      </c>
      <c r="AJ20" s="18">
        <f t="shared" si="97"/>
        <v>6.0151990422559944E-3</v>
      </c>
      <c r="AK20" s="18">
        <f t="shared" si="98"/>
        <v>6.0217568644389671E-3</v>
      </c>
      <c r="AL20" s="22" t="str">
        <f t="shared" si="99"/>
        <v>DOWN</v>
      </c>
      <c r="AM20" s="22" t="str">
        <f t="shared" si="100"/>
        <v>DOWN</v>
      </c>
      <c r="AN20" s="21" t="str">
        <f t="shared" si="101"/>
        <v>POSITIVE</v>
      </c>
      <c r="AO20" s="18" cm="1">
        <f t="array" ref="AO20">IFERROR(VALUE(_xll.BDP($B20,"INTERVAL_exp_MOV_AVG","CALC_INTERVAL","520D","TECH_STUDIES_PARAM1_OVERRIDE",100,"USE_PREVIOUS_BUSINESS_DAY","N")),"")</f>
        <v>48.04726080270818</v>
      </c>
      <c r="AP20" s="18">
        <f t="shared" si="33"/>
        <v>6773.0064518682802</v>
      </c>
      <c r="AQ20" s="18" cm="1">
        <f t="array" ref="AQ20">IFERROR(VALUE(_xll.BDP($B20,"INTERVAL_exp_MOV_AVG","CALC_INTERVAL","520D","TECH_STUDIES_PARAM1_OVERRIDE",100,"USE_PREVIOUS_BUSINESS_DAY","Y")),"")</f>
        <v>47.757327549497127</v>
      </c>
      <c r="AR20" s="18">
        <f t="shared" si="34"/>
        <v>6769.6039787132295</v>
      </c>
      <c r="AS20" s="18">
        <f t="shared" si="102"/>
        <v>7.0939340076155875E-3</v>
      </c>
      <c r="AT20" s="18">
        <f t="shared" si="103"/>
        <v>7.0546708049197982E-3</v>
      </c>
      <c r="AU20" s="21" t="str">
        <f t="shared" si="104"/>
        <v>UP</v>
      </c>
      <c r="AV20" s="21" t="str">
        <f t="shared" si="105"/>
        <v>UP</v>
      </c>
      <c r="AW20" s="21" t="str">
        <f t="shared" si="106"/>
        <v>POSITIVE</v>
      </c>
      <c r="AX20" s="19" cm="1">
        <f t="array" ref="AX20">_xll.BDP($B20, "INTERVAL_RSI", "TECH_STUDIES_PARAM1_OVERRIDE", "5", "PERIODICITY_OVERRIDE", "W")</f>
        <v>88.366358423733246</v>
      </c>
    </row>
    <row r="21" spans="1:50" x14ac:dyDescent="0.25">
      <c r="A21" s="18">
        <v>20</v>
      </c>
      <c r="B21" s="18" t="s">
        <v>47</v>
      </c>
      <c r="D21" s="19">
        <f>IFERROR(VALUE((_xll.BDP($B21,"interval_rsi","tech_studies_param1_override",14))),"")</f>
        <v>55.763765023713482</v>
      </c>
      <c r="E21" s="20">
        <f t="shared" si="24"/>
        <v>52.525531939815814</v>
      </c>
      <c r="F21" s="18">
        <f t="shared" si="83"/>
        <v>0</v>
      </c>
      <c r="G21" s="18" cm="1">
        <f t="array" ref="G21">IFERROR(VALUE(_xll.BDP($B21,"px_last")),"")</f>
        <v>12.22</v>
      </c>
      <c r="H21" s="18">
        <f t="shared" si="25"/>
        <v>6941.47</v>
      </c>
      <c r="I21" s="18" cm="1">
        <f t="array" ref="I21">IFERROR(VALUE(_xll.BDP($B21,"PX_YEST_CLOSE")),"")</f>
        <v>12.05</v>
      </c>
      <c r="J21" s="18">
        <f t="shared" si="26"/>
        <v>6941.81</v>
      </c>
      <c r="K21" s="18">
        <f t="shared" si="84"/>
        <v>1.7604340291033456E-3</v>
      </c>
      <c r="L21" s="18">
        <f t="shared" si="85"/>
        <v>1.735858515286359E-3</v>
      </c>
      <c r="M21" s="18" cm="1">
        <f t="array" ref="M21">IFERROR(VALUE(_xll.BDP($B21,"INTERVAL_MAE_MOV_AVG","CALC_INTERVAL","520D","TECH_STUDIES_PARAM1_OVERRIDE",50,"USE_PREVIOUS_BUSINESS_DAY","N")),"")</f>
        <v>10.946000005340577</v>
      </c>
      <c r="N21" s="18">
        <f t="shared" si="27"/>
        <v>6894.0953999999992</v>
      </c>
      <c r="O21" s="18" cm="1">
        <f t="array" ref="O21">IFERROR(VALUE(_xll.BDP($B21,"INTERVAL_MAE_MOV_AVG","CALC_INTERVAL","520D","TECH_STUDIES_PARAM1_OVERRIDE",50,"USE_PREVIOUS_BUSINESS_DAY","Y")),"")</f>
        <v>10.898000000000001</v>
      </c>
      <c r="P21" s="18">
        <f t="shared" si="28"/>
        <v>6892.2477999999992</v>
      </c>
      <c r="Q21" s="18">
        <f t="shared" si="86"/>
        <v>1.5877354997641284E-3</v>
      </c>
      <c r="R21" s="18">
        <f t="shared" si="87"/>
        <v>1.5811967758907338E-3</v>
      </c>
      <c r="S21" s="21" t="str">
        <f t="shared" si="88"/>
        <v>NEGATIVE</v>
      </c>
      <c r="T21" s="21" t="str">
        <f t="shared" si="89"/>
        <v/>
      </c>
      <c r="U21" s="21" t="str">
        <f t="shared" si="90"/>
        <v>UP</v>
      </c>
      <c r="V21" s="21" t="str">
        <f t="shared" si="91"/>
        <v>POSITIVE</v>
      </c>
      <c r="W21" s="18" cm="1">
        <f t="array" ref="W21">IFERROR(VALUE(_xll.BDP($B21,"INTERVAL_MAE_MOV_AVG","CALC_INTERVAL","520D","TECH_STUDIES_PARAM1_OVERRIDE",65,"USE_PREVIOUS_BUSINESS_DAY","N")),"")</f>
        <v>10.742923081031213</v>
      </c>
      <c r="X21" s="18">
        <f t="shared" si="29"/>
        <v>6856.0226153846133</v>
      </c>
      <c r="Y21" s="18" cm="1">
        <f t="array" ref="Y21">IFERROR(VALUE(_xll.BDP($B21,"INTERVAL_MAE_MOV_AVG","CALC_INTERVAL","520D","TECH_STUDIES_PARAM1_OVERRIDE",65,"USE_PREVIOUS_BUSINESS_DAY","Y")),"")</f>
        <v>10.703692307692309</v>
      </c>
      <c r="Z21" s="18">
        <f t="shared" si="30"/>
        <v>6852.6203076923057</v>
      </c>
      <c r="AA21" s="18">
        <f t="shared" si="92"/>
        <v>1.5669322701655863E-3</v>
      </c>
      <c r="AB21" s="18">
        <f t="shared" si="93"/>
        <v>1.5619853175984433E-3</v>
      </c>
      <c r="AC21" s="22" t="str">
        <f t="shared" si="94"/>
        <v>UP</v>
      </c>
      <c r="AD21" s="22" t="str">
        <f t="shared" si="95"/>
        <v>UP</v>
      </c>
      <c r="AE21" s="21" t="str">
        <f t="shared" si="96"/>
        <v>POSITIVE</v>
      </c>
      <c r="AF21" s="18" cm="1">
        <f t="array" ref="AF21">IFERROR(VALUE(_xll.BDP($B21,"INTERVAL_MAE_MOV_AVG","CALC_INTERVAL","65W","PERIODICITY_OVERRIDE","W","TECH_STUDIES_PARAM1_OVERRIDE",39,"USE_PREVIOUS_BUSINESS_DAY","N")),"")</f>
        <v>9.6861538530007412</v>
      </c>
      <c r="AG21" s="18">
        <f t="shared" si="31"/>
        <v>6560.7735897435905</v>
      </c>
      <c r="AH21" s="18" cm="1">
        <f t="array" ref="AH21">IFERROR(VALUE(_xll.BDP($B21,"INTERVAL_MAE_MOV_AVG","CALC_INTERVAL","65W","PERIODICITY_OVERRIDE","W","TECH_STUDIES_PARAM1_OVERRIDE",39,"USE_PREVIOUS_BUSINESS_DAY","Y")),"")</f>
        <v>9.6817948717948745</v>
      </c>
      <c r="AI21" s="18">
        <f t="shared" si="32"/>
        <v>6560.7823076923087</v>
      </c>
      <c r="AJ21" s="18">
        <f t="shared" si="97"/>
        <v>1.4763737416793401E-3</v>
      </c>
      <c r="AK21" s="18">
        <f t="shared" si="98"/>
        <v>1.4757073802682461E-3</v>
      </c>
      <c r="AL21" s="22" t="str">
        <f t="shared" si="99"/>
        <v>UP</v>
      </c>
      <c r="AM21" s="22" t="str">
        <f t="shared" si="100"/>
        <v>UP</v>
      </c>
      <c r="AN21" s="21" t="str">
        <f t="shared" si="101"/>
        <v>POSITIVE</v>
      </c>
      <c r="AO21" s="18" cm="1">
        <f t="array" ref="AO21">IFERROR(VALUE(_xll.BDP($B21,"INTERVAL_exp_MOV_AVG","CALC_INTERVAL","520D","TECH_STUDIES_PARAM1_OVERRIDE",100,"USE_PREVIOUS_BUSINESS_DAY","N")),"")</f>
        <v>10.533954378384083</v>
      </c>
      <c r="AP21" s="18">
        <f t="shared" si="33"/>
        <v>6773.0064518682802</v>
      </c>
      <c r="AQ21" s="18" cm="1">
        <f t="array" ref="AQ21">IFERROR(VALUE(_xll.BDP($B21,"INTERVAL_exp_MOV_AVG","CALC_INTERVAL","520D","TECH_STUDIES_PARAM1_OVERRIDE",100,"USE_PREVIOUS_BUSINESS_DAY","Y")),"")</f>
        <v>10.499895062088916</v>
      </c>
      <c r="AR21" s="18">
        <f t="shared" si="34"/>
        <v>6769.6039787132295</v>
      </c>
      <c r="AS21" s="18">
        <f t="shared" si="102"/>
        <v>1.5552848580970087E-3</v>
      </c>
      <c r="AT21" s="18">
        <f t="shared" si="103"/>
        <v>1.5510353478734428E-3</v>
      </c>
      <c r="AU21" s="21" t="str">
        <f t="shared" si="104"/>
        <v>UP</v>
      </c>
      <c r="AV21" s="21" t="str">
        <f t="shared" si="105"/>
        <v>UP</v>
      </c>
      <c r="AW21" s="21" t="str">
        <f t="shared" si="106"/>
        <v>POSITIVE</v>
      </c>
      <c r="AX21" s="19" cm="1">
        <f t="array" ref="AX21">_xll.BDP($B21, "INTERVAL_RSI", "TECH_STUDIES_PARAM1_OVERRIDE", "5", "PERIODICITY_OVERRIDE", "W")</f>
        <v>74.062293844631725</v>
      </c>
    </row>
    <row r="22" spans="1:50" x14ac:dyDescent="0.25">
      <c r="A22" s="18">
        <v>21</v>
      </c>
      <c r="B22" s="18" t="s">
        <v>52</v>
      </c>
      <c r="D22" s="19">
        <f>IFERROR(VALUE((_xll.BDP($B22,"interval_rsi","tech_studies_param1_override",14))),"")</f>
        <v>31.671169745145306</v>
      </c>
      <c r="E22" s="20">
        <f t="shared" si="24"/>
        <v>52.525531939815814</v>
      </c>
      <c r="F22" s="18">
        <f t="shared" si="83"/>
        <v>0</v>
      </c>
      <c r="G22" s="18" cm="1">
        <f t="array" ref="G22">IFERROR(VALUE(_xll.BDP($B22,"px_last")),"")</f>
        <v>22.57</v>
      </c>
      <c r="H22" s="18">
        <f t="shared" si="25"/>
        <v>6941.47</v>
      </c>
      <c r="I22" s="18" cm="1">
        <f t="array" ref="I22">IFERROR(VALUE(_xll.BDP($B22,"PX_YEST_CLOSE")),"")</f>
        <v>24.1</v>
      </c>
      <c r="J22" s="18">
        <f t="shared" si="26"/>
        <v>6941.81</v>
      </c>
      <c r="K22" s="18">
        <f t="shared" si="84"/>
        <v>3.2514726707743458E-3</v>
      </c>
      <c r="L22" s="18">
        <f t="shared" si="85"/>
        <v>3.471717030572718E-3</v>
      </c>
      <c r="M22" s="18" cm="1">
        <f t="array" ref="M22">IFERROR(VALUE(_xll.BDP($B22,"INTERVAL_MAE_MOV_AVG","CALC_INTERVAL","520D","TECH_STUDIES_PARAM1_OVERRIDE",50,"USE_PREVIOUS_BUSINESS_DAY","N")),"")</f>
        <v>33.000999993896492</v>
      </c>
      <c r="N22" s="18">
        <f t="shared" si="27"/>
        <v>6894.0953999999992</v>
      </c>
      <c r="O22" s="18" cm="1">
        <f t="array" ref="O22">IFERROR(VALUE(_xll.BDP($B22,"INTERVAL_MAE_MOV_AVG","CALC_INTERVAL","520D","TECH_STUDIES_PARAM1_OVERRIDE",50,"USE_PREVIOUS_BUSINESS_DAY","Y")),"")</f>
        <v>33.269000000000005</v>
      </c>
      <c r="P22" s="18">
        <f t="shared" si="28"/>
        <v>6892.2477999999992</v>
      </c>
      <c r="Q22" s="18">
        <f t="shared" si="86"/>
        <v>4.7868499170894115E-3</v>
      </c>
      <c r="R22" s="18">
        <f t="shared" si="87"/>
        <v>4.8270173919167571E-3</v>
      </c>
      <c r="S22" s="21" t="str">
        <f t="shared" si="88"/>
        <v>NEGATIVE</v>
      </c>
      <c r="T22" s="21" t="str">
        <f t="shared" si="89"/>
        <v/>
      </c>
      <c r="U22" s="21" t="str">
        <f t="shared" si="90"/>
        <v>DOWN</v>
      </c>
      <c r="V22" s="21" t="str">
        <f t="shared" si="91"/>
        <v>NEGATIVE</v>
      </c>
      <c r="W22" s="18" cm="1">
        <f t="array" ref="W22">IFERROR(VALUE(_xll.BDP($B22,"INTERVAL_MAE_MOV_AVG","CALC_INTERVAL","520D","TECH_STUDIES_PARAM1_OVERRIDE",65,"USE_PREVIOUS_BUSINESS_DAY","N")),"")</f>
        <v>34.263384610689613</v>
      </c>
      <c r="X22" s="18">
        <f t="shared" si="29"/>
        <v>6856.0226153846133</v>
      </c>
      <c r="Y22" s="18" cm="1">
        <f t="array" ref="Y22">IFERROR(VALUE(_xll.BDP($B22,"INTERVAL_MAE_MOV_AVG","CALC_INTERVAL","520D","TECH_STUDIES_PARAM1_OVERRIDE",65,"USE_PREVIOUS_BUSINESS_DAY","Y")),"")</f>
        <v>34.623538461538473</v>
      </c>
      <c r="Z22" s="18">
        <f t="shared" si="30"/>
        <v>6852.6203076923057</v>
      </c>
      <c r="AA22" s="18">
        <f t="shared" si="92"/>
        <v>4.9975600333937182E-3</v>
      </c>
      <c r="AB22" s="18">
        <f t="shared" si="93"/>
        <v>5.052598408622223E-3</v>
      </c>
      <c r="AC22" s="22" t="str">
        <f t="shared" si="94"/>
        <v>DOWN</v>
      </c>
      <c r="AD22" s="22" t="str">
        <f t="shared" si="95"/>
        <v>DOWN</v>
      </c>
      <c r="AE22" s="21" t="str">
        <f t="shared" si="96"/>
        <v>NEGATIVE</v>
      </c>
      <c r="AF22" s="18" cm="1">
        <f t="array" ref="AF22">IFERROR(VALUE(_xll.BDP($B22,"INTERVAL_MAE_MOV_AVG","CALC_INTERVAL","65W","PERIODICITY_OVERRIDE","W","TECH_STUDIES_PARAM1_OVERRIDE",39,"USE_PREVIOUS_BUSINESS_DAY","N")),"")</f>
        <v>0</v>
      </c>
      <c r="AG22" s="18">
        <f t="shared" si="31"/>
        <v>6560.7735897435905</v>
      </c>
      <c r="AH22" s="18" cm="1">
        <f t="array" ref="AH22">IFERROR(VALUE(_xll.BDP($B22,"INTERVAL_MAE_MOV_AVG","CALC_INTERVAL","65W","PERIODICITY_OVERRIDE","W","TECH_STUDIES_PARAM1_OVERRIDE",39,"USE_PREVIOUS_BUSINESS_DAY","Y")),"")</f>
        <v>0</v>
      </c>
      <c r="AI22" s="18">
        <f t="shared" si="32"/>
        <v>6560.7823076923087</v>
      </c>
      <c r="AJ22" s="18">
        <f t="shared" si="97"/>
        <v>0</v>
      </c>
      <c r="AK22" s="18">
        <f t="shared" si="98"/>
        <v>0</v>
      </c>
      <c r="AL22" s="22" t="str">
        <f t="shared" si="99"/>
        <v/>
      </c>
      <c r="AM22" s="22" t="str">
        <f t="shared" si="100"/>
        <v/>
      </c>
      <c r="AN22" s="21" t="str">
        <f t="shared" si="101"/>
        <v>POSITIVE</v>
      </c>
      <c r="AO22" s="18" cm="1">
        <f t="array" ref="AO22">IFERROR(VALUE(_xll.BDP($B22,"INTERVAL_exp_MOV_AVG","CALC_INTERVAL","520D","TECH_STUDIES_PARAM1_OVERRIDE",100,"USE_PREVIOUS_BUSINESS_DAY","N")),"")</f>
        <v>37.910335942369031</v>
      </c>
      <c r="AP22" s="18">
        <f t="shared" si="33"/>
        <v>6773.0064518682802</v>
      </c>
      <c r="AQ22" s="18" cm="1">
        <f t="array" ref="AQ22">IFERROR(VALUE(_xll.BDP($B22,"INTERVAL_exp_MOV_AVG","CALC_INTERVAL","520D","TECH_STUDIES_PARAM1_OVERRIDE",100,"USE_PREVIOUS_BUSINESS_DAY","Y")),"")</f>
        <v>38.220241725147716</v>
      </c>
      <c r="AR22" s="18">
        <f t="shared" si="34"/>
        <v>6769.6039787132295</v>
      </c>
      <c r="AS22" s="18">
        <f t="shared" si="102"/>
        <v>5.5972685411973533E-3</v>
      </c>
      <c r="AT22" s="18">
        <f t="shared" si="103"/>
        <v>5.6458607985533362E-3</v>
      </c>
      <c r="AU22" s="21" t="str">
        <f t="shared" si="104"/>
        <v>DOWN</v>
      </c>
      <c r="AV22" s="21" t="str">
        <f t="shared" si="105"/>
        <v>DOWN</v>
      </c>
      <c r="AW22" s="21" t="str">
        <f t="shared" si="106"/>
        <v>NEGATIVE</v>
      </c>
      <c r="AX22" s="19" cm="1">
        <f t="array" ref="AX22">_xll.BDP($B22, "INTERVAL_RSI", "TECH_STUDIES_PARAM1_OVERRIDE", "5", "PERIODICITY_OVERRIDE", "W")</f>
        <v>13.379040346795833</v>
      </c>
    </row>
    <row r="23" spans="1:50" x14ac:dyDescent="0.25">
      <c r="A23" s="18">
        <v>22</v>
      </c>
      <c r="B23" s="18" t="s">
        <v>53</v>
      </c>
      <c r="D23" s="19">
        <f>IFERROR(VALUE((_xll.BDP($B23,"interval_rsi","tech_studies_param1_override",14))),"")</f>
        <v>33.490558066602063</v>
      </c>
      <c r="E23" s="20">
        <f t="shared" si="24"/>
        <v>52.525531939815814</v>
      </c>
      <c r="F23" s="18">
        <f t="shared" ref="F23:F61" si="107">IF(AND(D23-E23&gt;10,E23&lt;65),1,0)</f>
        <v>0</v>
      </c>
      <c r="G23" s="18" cm="1">
        <f t="array" ref="G23">IFERROR(VALUE(_xll.BDP($B23,"px_last")),"")</f>
        <v>17.52</v>
      </c>
      <c r="H23" s="18">
        <f t="shared" si="25"/>
        <v>6941.47</v>
      </c>
      <c r="I23" s="18" cm="1">
        <f t="array" ref="I23">IFERROR(VALUE(_xll.BDP($B23,"PX_YEST_CLOSE")),"")</f>
        <v>18.989999999999998</v>
      </c>
      <c r="J23" s="18">
        <f t="shared" si="26"/>
        <v>6941.81</v>
      </c>
      <c r="K23" s="18">
        <f t="shared" ref="K23:K61" si="108">G23/H23</f>
        <v>2.523961063002505E-3</v>
      </c>
      <c r="L23" s="18">
        <f t="shared" ref="L23:L61" si="109">I23/J23</f>
        <v>2.7355977763724444E-3</v>
      </c>
      <c r="M23" s="18" cm="1">
        <f t="array" ref="M23">IFERROR(VALUE(_xll.BDP($B23,"INTERVAL_MAE_MOV_AVG","CALC_INTERVAL","520D","TECH_STUDIES_PARAM1_OVERRIDE",50,"USE_PREVIOUS_BUSINESS_DAY","N")),"")</f>
        <v>23.22500000915527</v>
      </c>
      <c r="N23" s="18">
        <f t="shared" si="27"/>
        <v>6894.0953999999992</v>
      </c>
      <c r="O23" s="18" cm="1">
        <f t="array" ref="O23">IFERROR(VALUE(_xll.BDP($B23,"INTERVAL_MAE_MOV_AVG","CALC_INTERVAL","520D","TECH_STUDIES_PARAM1_OVERRIDE",50,"USE_PREVIOUS_BUSINESS_DAY","Y")),"")</f>
        <v>23.267399999999999</v>
      </c>
      <c r="P23" s="18">
        <f t="shared" si="28"/>
        <v>6892.2477999999992</v>
      </c>
      <c r="Q23" s="18">
        <f t="shared" ref="Q23:Q61" si="110">M23/N23</f>
        <v>3.368824865573411E-3</v>
      </c>
      <c r="R23" s="18">
        <f t="shared" ref="R23:R61" si="111">O23/P23</f>
        <v>3.3758797819196228E-3</v>
      </c>
      <c r="S23" s="21" t="str">
        <f t="shared" ref="S23:S61" si="112">IF(F23=1,"POSITIVE","NEGATIVE")</f>
        <v>NEGATIVE</v>
      </c>
      <c r="T23" s="21" t="str">
        <f t="shared" ref="T23:T61" si="113">IF(AND(I23&lt;O23,G23&gt;M23),"UP","")</f>
        <v/>
      </c>
      <c r="U23" s="21" t="str">
        <f t="shared" ref="U23:U61" si="114">IF(Q23&gt;R23,"UP",IF(Q23&lt;R23,"DOWN",""))</f>
        <v>DOWN</v>
      </c>
      <c r="V23" s="21" t="str">
        <f t="shared" ref="V23:V61" si="115">IF(AND(L23&lt;R23,K23&gt;Q23),"BUY",IF(AND(L23&gt;R23,K23&lt;Q23),"SELL",IF(K23&gt;Q23,"POSITIVE","NEGATIVE")))</f>
        <v>NEGATIVE</v>
      </c>
      <c r="W23" s="18" cm="1">
        <f t="array" ref="W23">IFERROR(VALUE(_xll.BDP($B23,"INTERVAL_MAE_MOV_AVG","CALC_INTERVAL","520D","TECH_STUDIES_PARAM1_OVERRIDE",65,"USE_PREVIOUS_BUSINESS_DAY","N")),"")</f>
        <v>22.016923083965594</v>
      </c>
      <c r="X23" s="18">
        <f t="shared" si="29"/>
        <v>6856.0226153846133</v>
      </c>
      <c r="Y23" s="18" cm="1">
        <f t="array" ref="Y23">IFERROR(VALUE(_xll.BDP($B23,"INTERVAL_MAE_MOV_AVG","CALC_INTERVAL","520D","TECH_STUDIES_PARAM1_OVERRIDE",65,"USE_PREVIOUS_BUSINESS_DAY","Y")),"")</f>
        <v>22.052307692307693</v>
      </c>
      <c r="Z23" s="18">
        <f t="shared" si="30"/>
        <v>6852.6203076923057</v>
      </c>
      <c r="AA23" s="18">
        <f t="shared" ref="AA23:AA61" si="116">W23/X23</f>
        <v>3.2113259128639083E-3</v>
      </c>
      <c r="AB23" s="18">
        <f t="shared" ref="AB23:AB61" si="117">Y23/Z23</f>
        <v>3.2180839886244983E-3</v>
      </c>
      <c r="AC23" s="22" t="str">
        <f t="shared" ref="AC23:AC61" si="118">IF(W23&gt;Y23,"UP",IF(W23&lt;Y23,"DOWN",""))</f>
        <v>DOWN</v>
      </c>
      <c r="AD23" s="22" t="str">
        <f t="shared" ref="AD23:AD61" si="119">IF(AA23&gt;AB23,"UP",IF(AA23&lt;AB23,"DOWN",""))</f>
        <v>DOWN</v>
      </c>
      <c r="AE23" s="21" t="str">
        <f t="shared" ref="AE23:AE61" si="120">IF(AND(L23&lt;AB23,K23&gt;AA23),"BUY",IF(AND(L23&gt;AB23,K23&lt;AA23),"SELL",IF(K23&gt;AA23,"POSITIVE","NEGATIVE")))</f>
        <v>NEGATIVE</v>
      </c>
      <c r="AF23" s="18" cm="1">
        <f t="array" ref="AF23">IFERROR(VALUE(_xll.BDP($B23,"INTERVAL_MAE_MOV_AVG","CALC_INTERVAL","65W","PERIODICITY_OVERRIDE","W","TECH_STUDIES_PARAM1_OVERRIDE",39,"USE_PREVIOUS_BUSINESS_DAY","N")),"")</f>
        <v>14.246794883532402</v>
      </c>
      <c r="AG23" s="18">
        <f t="shared" si="31"/>
        <v>6560.7735897435905</v>
      </c>
      <c r="AH23" s="18" cm="1">
        <f t="array" ref="AH23">IFERROR(VALUE(_xll.BDP($B23,"INTERVAL_MAE_MOV_AVG","CALC_INTERVAL","65W","PERIODICITY_OVERRIDE","W","TECH_STUDIES_PARAM1_OVERRIDE",39,"USE_PREVIOUS_BUSINESS_DAY","Y")),"")</f>
        <v>14.284487179487179</v>
      </c>
      <c r="AI23" s="18">
        <f t="shared" si="32"/>
        <v>6560.7823076923087</v>
      </c>
      <c r="AJ23" s="18">
        <f t="shared" ref="AJ23:AJ61" si="121">AF23/AG23</f>
        <v>2.1715114366702599E-3</v>
      </c>
      <c r="AK23" s="18">
        <f t="shared" ref="AK23:AK61" si="122">AH23/AI23</f>
        <v>2.1772536428680267E-3</v>
      </c>
      <c r="AL23" s="22" t="str">
        <f t="shared" ref="AL23:AL61" si="123">IF(AF23&gt;AH23,"UP",IF(AF23&lt;AH23,"DOWN",""))</f>
        <v>DOWN</v>
      </c>
      <c r="AM23" s="22" t="str">
        <f t="shared" ref="AM23:AM61" si="124">IF(AJ23&gt;AK23,"UP",IF(AJ23&lt;AK23,"DOWN",""))</f>
        <v>DOWN</v>
      </c>
      <c r="AN23" s="21" t="str">
        <f t="shared" ref="AN23:AN61" si="125">IF(AND(L23&lt;AK23,K23&gt;AJ23),"BUY",IF(AND(L23&gt;AK23,K23&lt;AJ23),"SELL",IF(K23&gt;AJ23,"POSITIVE","NEGATIVE")))</f>
        <v>POSITIVE</v>
      </c>
      <c r="AO23" s="18" cm="1">
        <f t="array" ref="AO23">IFERROR(VALUE(_xll.BDP($B23,"INTERVAL_exp_MOV_AVG","CALC_INTERVAL","520D","TECH_STUDIES_PARAM1_OVERRIDE",100,"USE_PREVIOUS_BUSINESS_DAY","N")),"")</f>
        <v>19.943116232752235</v>
      </c>
      <c r="AP23" s="18">
        <f t="shared" si="33"/>
        <v>6773.0064518682802</v>
      </c>
      <c r="AQ23" s="18" cm="1">
        <f t="array" ref="AQ23">IFERROR(VALUE(_xll.BDP($B23,"INTERVAL_exp_MOV_AVG","CALC_INTERVAL","520D","TECH_STUDIES_PARAM1_OVERRIDE",100,"USE_PREVIOUS_BUSINESS_DAY","Y")),"")</f>
        <v>19.992077067180841</v>
      </c>
      <c r="AR23" s="18">
        <f t="shared" si="34"/>
        <v>6769.6039787132295</v>
      </c>
      <c r="AS23" s="18">
        <f t="shared" ref="AS23:AS61" si="126">AO23/AP23</f>
        <v>2.9444998132625556E-3</v>
      </c>
      <c r="AT23" s="18">
        <f t="shared" ref="AT23:AT61" si="127">AQ23/AR23</f>
        <v>2.9532122011930373E-3</v>
      </c>
      <c r="AU23" s="21" t="str">
        <f t="shared" ref="AU23:AU61" si="128">IF(AO23&gt;AQ23,"UP",IF(AO23&lt;AQ23,"DOWN",""))</f>
        <v>DOWN</v>
      </c>
      <c r="AV23" s="21" t="str">
        <f t="shared" ref="AV23:AV61" si="129">IF(AS23&gt;AT23,"UP",IF(AS23&lt;AT23,"DOWN",""))</f>
        <v>DOWN</v>
      </c>
      <c r="AW23" s="21" t="str">
        <f t="shared" ref="AW23:AW61" si="130">IF(AND(L23&lt;AT23,K23&gt;AS23),"BUY",IF(AND(L23&gt;AT23,K23&lt;AS23),"SELL",IF(K23&gt;AS23,"POSITIVE","NEGATIVE")))</f>
        <v>NEGATIVE</v>
      </c>
      <c r="AX23" s="19" cm="1">
        <f t="array" ref="AX23">_xll.BDP($B23, "INTERVAL_RSI", "TECH_STUDIES_PARAM1_OVERRIDE", "5", "PERIODICITY_OVERRIDE", "W")</f>
        <v>33.299686746796056</v>
      </c>
    </row>
    <row r="24" spans="1:50" x14ac:dyDescent="0.25">
      <c r="A24" s="18">
        <v>23</v>
      </c>
      <c r="B24" s="18" t="s">
        <v>143</v>
      </c>
      <c r="D24" s="19">
        <f>IFERROR(VALUE((_xll.BDP($B24,"interval_rsi","tech_studies_param1_override",14))),"")</f>
        <v>59.169310598444234</v>
      </c>
      <c r="E24" s="20">
        <f t="shared" si="24"/>
        <v>52.525531939815814</v>
      </c>
      <c r="F24" s="18">
        <f t="shared" si="107"/>
        <v>0</v>
      </c>
      <c r="G24" s="18" cm="1">
        <f t="array" ref="G24">IFERROR(VALUE(_xll.BDP($B24,"px_last")),"")</f>
        <v>13.69</v>
      </c>
      <c r="H24" s="18">
        <f t="shared" si="25"/>
        <v>6941.47</v>
      </c>
      <c r="I24" s="18" cm="1">
        <f t="array" ref="I24">IFERROR(VALUE(_xll.BDP($B24,"PX_YEST_CLOSE")),"")</f>
        <v>13.55</v>
      </c>
      <c r="J24" s="18">
        <f t="shared" si="26"/>
        <v>6941.81</v>
      </c>
      <c r="K24" s="18">
        <f t="shared" si="108"/>
        <v>1.9722047347319801E-3</v>
      </c>
      <c r="L24" s="18">
        <f t="shared" si="109"/>
        <v>1.9519404881435821E-3</v>
      </c>
      <c r="M24" s="18" cm="1">
        <f t="array" ref="M24">IFERROR(VALUE(_xll.BDP($B24,"INTERVAL_MAE_MOV_AVG","CALC_INTERVAL","520D","TECH_STUDIES_PARAM1_OVERRIDE",50,"USE_PREVIOUS_BUSINESS_DAY","N")),"")</f>
        <v>11.787079991607664</v>
      </c>
      <c r="N24" s="18">
        <f t="shared" si="27"/>
        <v>6894.0953999999992</v>
      </c>
      <c r="O24" s="18" cm="1">
        <f t="array" ref="O24">IFERROR(VALUE(_xll.BDP($B24,"INTERVAL_MAE_MOV_AVG","CALC_INTERVAL","520D","TECH_STUDIES_PARAM1_OVERRIDE",50,"USE_PREVIOUS_BUSINESS_DAY","Y")),"")</f>
        <v>11.703879999999996</v>
      </c>
      <c r="P24" s="18">
        <f t="shared" si="28"/>
        <v>6892.2477999999992</v>
      </c>
      <c r="Q24" s="18">
        <f t="shared" si="110"/>
        <v>1.7097355501648069E-3</v>
      </c>
      <c r="R24" s="18">
        <f t="shared" si="111"/>
        <v>1.6981223455140423E-3</v>
      </c>
      <c r="S24" s="21" t="str">
        <f t="shared" si="112"/>
        <v>NEGATIVE</v>
      </c>
      <c r="T24" s="21" t="str">
        <f t="shared" si="113"/>
        <v/>
      </c>
      <c r="U24" s="21" t="str">
        <f t="shared" si="114"/>
        <v>UP</v>
      </c>
      <c r="V24" s="21" t="str">
        <f t="shared" si="115"/>
        <v>POSITIVE</v>
      </c>
      <c r="W24" s="18" cm="1">
        <f t="array" ref="W24">IFERROR(VALUE(_xll.BDP($B24,"INTERVAL_MAE_MOV_AVG","CALC_INTERVAL","520D","TECH_STUDIES_PARAM1_OVERRIDE",65,"USE_PREVIOUS_BUSINESS_DAY","N")),"")</f>
        <v>11.221599993544361</v>
      </c>
      <c r="X24" s="18">
        <f t="shared" si="29"/>
        <v>6856.0226153846133</v>
      </c>
      <c r="Y24" s="18" cm="1">
        <f t="array" ref="Y24">IFERROR(VALUE(_xll.BDP($B24,"INTERVAL_MAE_MOV_AVG","CALC_INTERVAL","520D","TECH_STUDIES_PARAM1_OVERRIDE",65,"USE_PREVIOUS_BUSINESS_DAY","Y")),"")</f>
        <v>11.155138461538465</v>
      </c>
      <c r="Z24" s="18">
        <f t="shared" si="30"/>
        <v>6852.6203076923057</v>
      </c>
      <c r="AA24" s="18">
        <f t="shared" si="116"/>
        <v>1.636750726049763E-3</v>
      </c>
      <c r="AB24" s="18">
        <f t="shared" si="117"/>
        <v>1.627864664997772E-3</v>
      </c>
      <c r="AC24" s="22" t="str">
        <f t="shared" si="118"/>
        <v>UP</v>
      </c>
      <c r="AD24" s="22" t="str">
        <f t="shared" si="119"/>
        <v>UP</v>
      </c>
      <c r="AE24" s="21" t="str">
        <f t="shared" si="120"/>
        <v>POSITIVE</v>
      </c>
      <c r="AF24" s="18" cm="1">
        <f t="array" ref="AF24">IFERROR(VALUE(_xll.BDP($B24,"INTERVAL_MAE_MOV_AVG","CALC_INTERVAL","65W","PERIODICITY_OVERRIDE","W","TECH_STUDIES_PARAM1_OVERRIDE",39,"USE_PREVIOUS_BUSINESS_DAY","N")),"")</f>
        <v>9.3681281943688077</v>
      </c>
      <c r="AG24" s="18">
        <f t="shared" si="31"/>
        <v>6560.7735897435905</v>
      </c>
      <c r="AH24" s="18" cm="1">
        <f t="array" ref="AH24">IFERROR(VALUE(_xll.BDP($B24,"INTERVAL_MAE_MOV_AVG","CALC_INTERVAL","65W","PERIODICITY_OVERRIDE","W","TECH_STUDIES_PARAM1_OVERRIDE",39,"USE_PREVIOUS_BUSINESS_DAY","Y")),"")</f>
        <v>9.3645384615384675</v>
      </c>
      <c r="AI24" s="18">
        <f t="shared" si="32"/>
        <v>6560.7823076923087</v>
      </c>
      <c r="AJ24" s="18">
        <f t="shared" si="121"/>
        <v>1.427899936832744E-3</v>
      </c>
      <c r="AK24" s="18">
        <f t="shared" si="122"/>
        <v>1.4273508893228851E-3</v>
      </c>
      <c r="AL24" s="22" t="str">
        <f t="shared" si="123"/>
        <v>UP</v>
      </c>
      <c r="AM24" s="22" t="str">
        <f t="shared" si="124"/>
        <v>UP</v>
      </c>
      <c r="AN24" s="21" t="str">
        <f t="shared" si="125"/>
        <v>POSITIVE</v>
      </c>
      <c r="AO24" s="18" cm="1">
        <f t="array" ref="AO24">IFERROR(VALUE(_xll.BDP($B24,"INTERVAL_exp_MOV_AVG","CALC_INTERVAL","520D","TECH_STUDIES_PARAM1_OVERRIDE",100,"USE_PREVIOUS_BUSINESS_DAY","N")),"")</f>
        <v>10.926331864948358</v>
      </c>
      <c r="AP24" s="18">
        <f t="shared" si="33"/>
        <v>6773.0064518682802</v>
      </c>
      <c r="AQ24" s="18" cm="1">
        <f t="array" ref="AQ24">IFERROR(VALUE(_xll.BDP($B24,"INTERVAL_exp_MOV_AVG","CALC_INTERVAL","520D","TECH_STUDIES_PARAM1_OVERRIDE",100,"USE_PREVIOUS_BUSINESS_DAY","Y")),"")</f>
        <v>10.870512573831277</v>
      </c>
      <c r="AR24" s="18">
        <f t="shared" si="34"/>
        <v>6769.6039787132295</v>
      </c>
      <c r="AS24" s="18">
        <f t="shared" si="126"/>
        <v>1.6132174009570617E-3</v>
      </c>
      <c r="AT24" s="18">
        <f t="shared" si="127"/>
        <v>1.6057826437134587E-3</v>
      </c>
      <c r="AU24" s="21" t="str">
        <f t="shared" si="128"/>
        <v>UP</v>
      </c>
      <c r="AV24" s="21" t="str">
        <f t="shared" si="129"/>
        <v>UP</v>
      </c>
      <c r="AW24" s="21" t="str">
        <f t="shared" si="130"/>
        <v>POSITIVE</v>
      </c>
      <c r="AX24" s="19" cm="1">
        <f t="array" ref="AX24">_xll.BDP($B24, "INTERVAL_RSI", "TECH_STUDIES_PARAM1_OVERRIDE", "5", "PERIODICITY_OVERRIDE", "W")</f>
        <v>80.285578238169705</v>
      </c>
    </row>
    <row r="25" spans="1:50" x14ac:dyDescent="0.25">
      <c r="A25" s="18">
        <v>24</v>
      </c>
      <c r="B25" s="18" t="s">
        <v>57</v>
      </c>
      <c r="D25" s="19">
        <f>IFERROR(VALUE((_xll.BDP($B25,"interval_rsi","tech_studies_param1_override",14))),"")</f>
        <v>73.192166012267222</v>
      </c>
      <c r="E25" s="20">
        <f t="shared" si="24"/>
        <v>52.525531939815814</v>
      </c>
      <c r="F25" s="18">
        <f t="shared" ref="F25:F58" si="131">IF(AND(D25-E25&gt;10,E25&lt;65),1,0)</f>
        <v>1</v>
      </c>
      <c r="G25" s="18" cm="1">
        <f t="array" ref="G25">IFERROR(VALUE(_xll.BDP($B25,"px_last")),"")</f>
        <v>44.2</v>
      </c>
      <c r="H25" s="18">
        <f t="shared" si="25"/>
        <v>6941.47</v>
      </c>
      <c r="I25" s="18" cm="1">
        <f t="array" ref="I25">IFERROR(VALUE(_xll.BDP($B25,"PX_YEST_CLOSE")),"")</f>
        <v>43.61</v>
      </c>
      <c r="J25" s="18">
        <f t="shared" si="26"/>
        <v>6941.81</v>
      </c>
      <c r="K25" s="18">
        <f t="shared" ref="K25:K58" si="132">G25/H25</f>
        <v>6.3675273393099738E-3</v>
      </c>
      <c r="L25" s="18">
        <f t="shared" ref="L25:L58" si="133">I25/J25</f>
        <v>6.2822232242023329E-3</v>
      </c>
      <c r="M25" s="18" cm="1">
        <f t="array" ref="M25">IFERROR(VALUE(_xll.BDP($B25,"INTERVAL_MAE_MOV_AVG","CALC_INTERVAL","520D","TECH_STUDIES_PARAM1_OVERRIDE",50,"USE_PREVIOUS_BUSINESS_DAY","N")),"")</f>
        <v>39.041000015258788</v>
      </c>
      <c r="N25" s="18">
        <f t="shared" si="27"/>
        <v>6894.0953999999992</v>
      </c>
      <c r="O25" s="18" cm="1">
        <f t="array" ref="O25">IFERROR(VALUE(_xll.BDP($B25,"INTERVAL_MAE_MOV_AVG","CALC_INTERVAL","520D","TECH_STUDIES_PARAM1_OVERRIDE",50,"USE_PREVIOUS_BUSINESS_DAY","Y")),"")</f>
        <v>38.896000000000001</v>
      </c>
      <c r="P25" s="18">
        <f t="shared" si="28"/>
        <v>6892.2477999999992</v>
      </c>
      <c r="Q25" s="18">
        <f t="shared" ref="Q25:Q58" si="134">M25/N25</f>
        <v>5.6629619623857824E-3</v>
      </c>
      <c r="R25" s="18">
        <f t="shared" ref="R25:R58" si="135">O25/P25</f>
        <v>5.6434418971413082E-3</v>
      </c>
      <c r="S25" s="21" t="str">
        <f t="shared" ref="S25:S58" si="136">IF(F25=1,"POSITIVE","NEGATIVE")</f>
        <v>POSITIVE</v>
      </c>
      <c r="T25" s="21" t="str">
        <f t="shared" ref="T25:T58" si="137">IF(AND(I25&lt;O25,G25&gt;M25),"UP","")</f>
        <v/>
      </c>
      <c r="U25" s="21" t="str">
        <f t="shared" ref="U25:U58" si="138">IF(Q25&gt;R25,"UP",IF(Q25&lt;R25,"DOWN",""))</f>
        <v>UP</v>
      </c>
      <c r="V25" s="21" t="str">
        <f t="shared" ref="V25:V58" si="139">IF(AND(L25&lt;R25,K25&gt;Q25),"BUY",IF(AND(L25&gt;R25,K25&lt;Q25),"SELL",IF(K25&gt;Q25,"POSITIVE","NEGATIVE")))</f>
        <v>POSITIVE</v>
      </c>
      <c r="W25" s="18" cm="1">
        <f t="array" ref="W25">IFERROR(VALUE(_xll.BDP($B25,"INTERVAL_MAE_MOV_AVG","CALC_INTERVAL","520D","TECH_STUDIES_PARAM1_OVERRIDE",65,"USE_PREVIOUS_BUSINESS_DAY","N")),"")</f>
        <v>38.61460663266061</v>
      </c>
      <c r="X25" s="18">
        <f t="shared" si="29"/>
        <v>6856.0226153846133</v>
      </c>
      <c r="Y25" s="18" cm="1">
        <f t="array" ref="Y25">IFERROR(VALUE(_xll.BDP($B25,"INTERVAL_MAE_MOV_AVG","CALC_INTERVAL","520D","TECH_STUDIES_PARAM1_OVERRIDE",65,"USE_PREVIOUS_BUSINESS_DAY","Y")),"")</f>
        <v>38.533601051076936</v>
      </c>
      <c r="Z25" s="18">
        <f t="shared" si="30"/>
        <v>6852.6203076923057</v>
      </c>
      <c r="AA25" s="18">
        <f t="shared" ref="AA25:AA58" si="140">W25/X25</f>
        <v>5.6322169279329872E-3</v>
      </c>
      <c r="AB25" s="18">
        <f t="shared" ref="AB25:AB58" si="141">Y25/Z25</f>
        <v>5.6231921981466891E-3</v>
      </c>
      <c r="AC25" s="22" t="str">
        <f t="shared" ref="AC25:AC58" si="142">IF(W25&gt;Y25,"UP",IF(W25&lt;Y25,"DOWN",""))</f>
        <v>UP</v>
      </c>
      <c r="AD25" s="22" t="str">
        <f t="shared" ref="AD25:AD58" si="143">IF(AA25&gt;AB25,"UP",IF(AA25&lt;AB25,"DOWN",""))</f>
        <v>UP</v>
      </c>
      <c r="AE25" s="21" t="str">
        <f t="shared" ref="AE25:AE58" si="144">IF(AND(L25&lt;AB25,K25&gt;AA25),"BUY",IF(AND(L25&gt;AB25,K25&lt;AA25),"SELL",IF(K25&gt;AA25,"POSITIVE","NEGATIVE")))</f>
        <v>POSITIVE</v>
      </c>
      <c r="AF25" s="18" cm="1">
        <f t="array" ref="AF25">IFERROR(VALUE(_xll.BDP($B25,"INTERVAL_MAE_MOV_AVG","CALC_INTERVAL","65W","PERIODICITY_OVERRIDE","W","TECH_STUDIES_PARAM1_OVERRIDE",39,"USE_PREVIOUS_BUSINESS_DAY","N")),"")</f>
        <v>39.838452773815256</v>
      </c>
      <c r="AG25" s="18">
        <f t="shared" si="31"/>
        <v>6560.7735897435905</v>
      </c>
      <c r="AH25" s="18" cm="1">
        <f t="array" ref="AH25">IFERROR(VALUE(_xll.BDP($B25,"INTERVAL_MAE_MOV_AVG","CALC_INTERVAL","65W","PERIODICITY_OVERRIDE","W","TECH_STUDIES_PARAM1_OVERRIDE",39,"USE_PREVIOUS_BUSINESS_DAY","Y")),"")</f>
        <v>39.823324549124507</v>
      </c>
      <c r="AI25" s="18">
        <f t="shared" si="32"/>
        <v>6560.7823076923087</v>
      </c>
      <c r="AJ25" s="18">
        <f t="shared" ref="AJ25:AJ58" si="145">AF25/AG25</f>
        <v>6.0722188060405588E-3</v>
      </c>
      <c r="AK25" s="18">
        <f t="shared" ref="AK25:AK58" si="146">AH25/AI25</f>
        <v>6.0699048804641678E-3</v>
      </c>
      <c r="AL25" s="22" t="str">
        <f t="shared" ref="AL25:AL58" si="147">IF(AF25&gt;AH25,"UP",IF(AF25&lt;AH25,"DOWN",""))</f>
        <v>UP</v>
      </c>
      <c r="AM25" s="22" t="str">
        <f t="shared" ref="AM25:AM58" si="148">IF(AJ25&gt;AK25,"UP",IF(AJ25&lt;AK25,"DOWN",""))</f>
        <v>UP</v>
      </c>
      <c r="AN25" s="21" t="str">
        <f t="shared" ref="AN25:AN58" si="149">IF(AND(L25&lt;AK25,K25&gt;AJ25),"BUY",IF(AND(L25&gt;AK25,K25&lt;AJ25),"SELL",IF(K25&gt;AJ25,"POSITIVE","NEGATIVE")))</f>
        <v>POSITIVE</v>
      </c>
      <c r="AO25" s="18" cm="1">
        <f t="array" ref="AO25">IFERROR(VALUE(_xll.BDP($B25,"INTERVAL_exp_MOV_AVG","CALC_INTERVAL","520D","TECH_STUDIES_PARAM1_OVERRIDE",100,"USE_PREVIOUS_BUSINESS_DAY","N")),"")</f>
        <v>39.38689384021805</v>
      </c>
      <c r="AP25" s="18">
        <f t="shared" si="33"/>
        <v>6773.0064518682802</v>
      </c>
      <c r="AQ25" s="18" cm="1">
        <f t="array" ref="AQ25">IFERROR(VALUE(_xll.BDP($B25,"INTERVAL_exp_MOV_AVG","CALC_INTERVAL","520D","TECH_STUDIES_PARAM1_OVERRIDE",100,"USE_PREVIOUS_BUSINESS_DAY","Y")),"")</f>
        <v>39.289665191273478</v>
      </c>
      <c r="AR25" s="18">
        <f t="shared" si="34"/>
        <v>6769.6039787132295</v>
      </c>
      <c r="AS25" s="18">
        <f t="shared" ref="AS25:AS58" si="150">AO25/AP25</f>
        <v>5.8152748148281308E-3</v>
      </c>
      <c r="AT25" s="18">
        <f t="shared" ref="AT25:AT58" si="151">AQ25/AR25</f>
        <v>5.8038351009628312E-3</v>
      </c>
      <c r="AU25" s="21" t="str">
        <f t="shared" ref="AU25:AU58" si="152">IF(AO25&gt;AQ25,"UP",IF(AO25&lt;AQ25,"DOWN",""))</f>
        <v>UP</v>
      </c>
      <c r="AV25" s="21" t="str">
        <f t="shared" ref="AV25:AV58" si="153">IF(AS25&gt;AT25,"UP",IF(AS25&lt;AT25,"DOWN",""))</f>
        <v>UP</v>
      </c>
      <c r="AW25" s="21" t="str">
        <f t="shared" ref="AW25:AW58" si="154">IF(AND(L25&lt;AT25,K25&gt;AS25),"BUY",IF(AND(L25&gt;AT25,K25&lt;AS25),"SELL",IF(K25&gt;AS25,"POSITIVE","NEGATIVE")))</f>
        <v>POSITIVE</v>
      </c>
      <c r="AX25" s="19" cm="1">
        <f t="array" ref="AX25">_xll.BDP($B25, "INTERVAL_RSI", "TECH_STUDIES_PARAM1_OVERRIDE", "5", "PERIODICITY_OVERRIDE", "W")</f>
        <v>87.49696722488828</v>
      </c>
    </row>
    <row r="26" spans="1:50" x14ac:dyDescent="0.25">
      <c r="A26" s="18">
        <v>25</v>
      </c>
      <c r="B26" s="18" t="s">
        <v>438</v>
      </c>
      <c r="D26" s="19">
        <f>IFERROR(VALUE((_xll.BDP($B26,"interval_rsi","tech_studies_param1_override",14))),"")</f>
        <v>29.431979776720183</v>
      </c>
      <c r="E26" s="20">
        <f t="shared" si="24"/>
        <v>52.525531939815814</v>
      </c>
      <c r="F26" s="18">
        <f t="shared" si="131"/>
        <v>0</v>
      </c>
      <c r="G26" s="18" cm="1">
        <f t="array" ref="G26">IFERROR(VALUE(_xll.BDP($B26,"px_last")),"")</f>
        <v>83.23</v>
      </c>
      <c r="H26" s="18">
        <f t="shared" si="25"/>
        <v>6941.47</v>
      </c>
      <c r="I26" s="18" cm="1">
        <f t="array" ref="I26">IFERROR(VALUE(_xll.BDP($B26,"PX_YEST_CLOSE")),"")</f>
        <v>85.41</v>
      </c>
      <c r="J26" s="18">
        <f t="shared" si="26"/>
        <v>6941.81</v>
      </c>
      <c r="K26" s="18">
        <f t="shared" si="132"/>
        <v>1.1990255666306992E-2</v>
      </c>
      <c r="L26" s="18">
        <f t="shared" si="133"/>
        <v>1.2303707534490282E-2</v>
      </c>
      <c r="M26" s="18" cm="1">
        <f t="array" ref="M26">IFERROR(VALUE(_xll.BDP($B26,"INTERVAL_MAE_MOV_AVG","CALC_INTERVAL","520D","TECH_STUDIES_PARAM1_OVERRIDE",50,"USE_PREVIOUS_BUSINESS_DAY","N")),"")</f>
        <v>100.71600006713864</v>
      </c>
      <c r="N26" s="18">
        <f t="shared" si="27"/>
        <v>6894.0953999999992</v>
      </c>
      <c r="O26" s="18" cm="1">
        <f t="array" ref="O26">IFERROR(VALUE(_xll.BDP($B26,"INTERVAL_MAE_MOV_AVG","CALC_INTERVAL","520D","TECH_STUDIES_PARAM1_OVERRIDE",50,"USE_PREVIOUS_BUSINESS_DAY","Y")),"")</f>
        <v>101.13319999999999</v>
      </c>
      <c r="P26" s="18">
        <f t="shared" si="28"/>
        <v>6892.2477999999992</v>
      </c>
      <c r="Q26" s="18">
        <f t="shared" si="134"/>
        <v>1.4609023261723163E-2</v>
      </c>
      <c r="R26" s="18">
        <f t="shared" si="135"/>
        <v>1.4673471258534843E-2</v>
      </c>
      <c r="S26" s="21" t="str">
        <f t="shared" si="136"/>
        <v>NEGATIVE</v>
      </c>
      <c r="T26" s="21" t="str">
        <f t="shared" si="137"/>
        <v/>
      </c>
      <c r="U26" s="21" t="str">
        <f t="shared" si="138"/>
        <v>DOWN</v>
      </c>
      <c r="V26" s="21" t="str">
        <f t="shared" si="139"/>
        <v>NEGATIVE</v>
      </c>
      <c r="W26" s="18" cm="1">
        <f t="array" ref="W26">IFERROR(VALUE(_xll.BDP($B26,"INTERVAL_MAE_MOV_AVG","CALC_INTERVAL","520D","TECH_STUDIES_PARAM1_OVERRIDE",65,"USE_PREVIOUS_BUSINESS_DAY","N")),"")</f>
        <v>101.84938466702971</v>
      </c>
      <c r="X26" s="18">
        <f t="shared" si="29"/>
        <v>6856.0226153846133</v>
      </c>
      <c r="Y26" s="18" cm="1">
        <f t="array" ref="Y26">IFERROR(VALUE(_xll.BDP($B26,"INTERVAL_MAE_MOV_AVG","CALC_INTERVAL","520D","TECH_STUDIES_PARAM1_OVERRIDE",65,"USE_PREVIOUS_BUSINESS_DAY","Y")),"")</f>
        <v>102.25061538461536</v>
      </c>
      <c r="Z26" s="18">
        <f t="shared" si="30"/>
        <v>6852.6203076923057</v>
      </c>
      <c r="AA26" s="18">
        <f t="shared" si="140"/>
        <v>1.4855462179848148E-2</v>
      </c>
      <c r="AB26" s="18">
        <f t="shared" si="141"/>
        <v>1.492138930707068E-2</v>
      </c>
      <c r="AC26" s="22" t="str">
        <f t="shared" si="142"/>
        <v>DOWN</v>
      </c>
      <c r="AD26" s="22" t="str">
        <f t="shared" si="143"/>
        <v>DOWN</v>
      </c>
      <c r="AE26" s="21" t="str">
        <f t="shared" si="144"/>
        <v>NEGATIVE</v>
      </c>
      <c r="AF26" s="18" cm="1">
        <f t="array" ref="AF26">IFERROR(VALUE(_xll.BDP($B26,"INTERVAL_MAE_MOV_AVG","CALC_INTERVAL","65W","PERIODICITY_OVERRIDE","W","TECH_STUDIES_PARAM1_OVERRIDE",39,"USE_PREVIOUS_BUSINESS_DAY","N")),"")</f>
        <v>106.51500008607523</v>
      </c>
      <c r="AG26" s="18">
        <f t="shared" si="31"/>
        <v>6560.7735897435905</v>
      </c>
      <c r="AH26" s="18" cm="1">
        <f t="array" ref="AH26">IFERROR(VALUE(_xll.BDP($B26,"INTERVAL_MAE_MOV_AVG","CALC_INTERVAL","65W","PERIODICITY_OVERRIDE","W","TECH_STUDIES_PARAM1_OVERRIDE",39,"USE_PREVIOUS_BUSINESS_DAY","Y")),"")</f>
        <v>106.57089743589744</v>
      </c>
      <c r="AI26" s="18">
        <f t="shared" si="32"/>
        <v>6560.7823076923087</v>
      </c>
      <c r="AJ26" s="18">
        <f t="shared" si="145"/>
        <v>1.623512816424413E-2</v>
      </c>
      <c r="AK26" s="18">
        <f t="shared" si="146"/>
        <v>1.6243626512488677E-2</v>
      </c>
      <c r="AL26" s="22" t="str">
        <f t="shared" si="147"/>
        <v>DOWN</v>
      </c>
      <c r="AM26" s="22" t="str">
        <f t="shared" si="148"/>
        <v>DOWN</v>
      </c>
      <c r="AN26" s="21" t="str">
        <f t="shared" si="149"/>
        <v>NEGATIVE</v>
      </c>
      <c r="AO26" s="18" cm="1">
        <f t="array" ref="AO26">IFERROR(VALUE(_xll.BDP($B26,"INTERVAL_exp_MOV_AVG","CALC_INTERVAL","520D","TECH_STUDIES_PARAM1_OVERRIDE",100,"USE_PREVIOUS_BUSINESS_DAY","N")),"")</f>
        <v>102.44218685143045</v>
      </c>
      <c r="AP26" s="18">
        <f t="shared" si="33"/>
        <v>6773.0064518682802</v>
      </c>
      <c r="AQ26" s="18" cm="1">
        <f t="array" ref="AQ26">IFERROR(VALUE(_xll.BDP($B26,"INTERVAL_exp_MOV_AVG","CALC_INTERVAL","520D","TECH_STUDIES_PARAM1_OVERRIDE",100,"USE_PREVIOUS_BUSINESS_DAY","Y")),"")</f>
        <v>102.83032275743892</v>
      </c>
      <c r="AR26" s="18">
        <f t="shared" si="34"/>
        <v>6769.6039787132295</v>
      </c>
      <c r="AS26" s="18">
        <f t="shared" si="150"/>
        <v>1.5125068546652954E-2</v>
      </c>
      <c r="AT26" s="18">
        <f t="shared" si="151"/>
        <v>1.5190005660712958E-2</v>
      </c>
      <c r="AU26" s="21" t="str">
        <f t="shared" si="152"/>
        <v>DOWN</v>
      </c>
      <c r="AV26" s="21" t="str">
        <f t="shared" si="153"/>
        <v>DOWN</v>
      </c>
      <c r="AW26" s="21" t="str">
        <f t="shared" si="154"/>
        <v>NEGATIVE</v>
      </c>
      <c r="AX26" s="19" cm="1">
        <f t="array" ref="AX26">_xll.BDP($B26, "INTERVAL_RSI", "TECH_STUDIES_PARAM1_OVERRIDE", "5", "PERIODICITY_OVERRIDE", "W")</f>
        <v>13.82243282265155</v>
      </c>
    </row>
    <row r="27" spans="1:50" x14ac:dyDescent="0.25">
      <c r="A27" s="18">
        <v>26</v>
      </c>
      <c r="B27" s="18" t="s">
        <v>62</v>
      </c>
      <c r="D27" s="19">
        <f>IFERROR(VALUE((_xll.BDP($B27,"interval_rsi","tech_studies_param1_override",14))),"")</f>
        <v>71.088690163334007</v>
      </c>
      <c r="E27" s="20">
        <f t="shared" si="24"/>
        <v>52.525531939815814</v>
      </c>
      <c r="F27" s="18">
        <f t="shared" si="131"/>
        <v>1</v>
      </c>
      <c r="G27" s="18" cm="1">
        <f t="array" ref="G27">IFERROR(VALUE(_xll.BDP($B27,"px_last")),"")</f>
        <v>62.87</v>
      </c>
      <c r="H27" s="18">
        <f t="shared" si="25"/>
        <v>6941.47</v>
      </c>
      <c r="I27" s="18" cm="1">
        <f t="array" ref="I27">IFERROR(VALUE(_xll.BDP($B27,"PX_YEST_CLOSE")),"")</f>
        <v>60.64</v>
      </c>
      <c r="J27" s="18">
        <f t="shared" si="26"/>
        <v>6941.81</v>
      </c>
      <c r="K27" s="18">
        <f t="shared" si="132"/>
        <v>9.0571593624981447E-3</v>
      </c>
      <c r="L27" s="18">
        <f t="shared" si="133"/>
        <v>8.7354738893746734E-3</v>
      </c>
      <c r="M27" s="18" cm="1">
        <f t="array" ref="M27">IFERROR(VALUE(_xll.BDP($B27,"INTERVAL_MAE_MOV_AVG","CALC_INTERVAL","520D","TECH_STUDIES_PARAM1_OVERRIDE",50,"USE_PREVIOUS_BUSINESS_DAY","N")),"")</f>
        <v>53.448766028437696</v>
      </c>
      <c r="N27" s="18">
        <f t="shared" si="27"/>
        <v>6894.0953999999992</v>
      </c>
      <c r="O27" s="18" cm="1">
        <f t="array" ref="O27">IFERROR(VALUE(_xll.BDP($B27,"INTERVAL_MAE_MOV_AVG","CALC_INTERVAL","520D","TECH_STUDIES_PARAM1_OVERRIDE",50,"USE_PREVIOUS_BUSINESS_DAY","Y")),"")</f>
        <v>53.233113267600004</v>
      </c>
      <c r="P27" s="18">
        <f t="shared" si="28"/>
        <v>6892.2477999999992</v>
      </c>
      <c r="Q27" s="18">
        <f t="shared" si="134"/>
        <v>7.7528323771727473E-3</v>
      </c>
      <c r="R27" s="18">
        <f t="shared" si="135"/>
        <v>7.723621496545729E-3</v>
      </c>
      <c r="S27" s="21" t="str">
        <f t="shared" si="136"/>
        <v>POSITIVE</v>
      </c>
      <c r="T27" s="21" t="str">
        <f t="shared" si="137"/>
        <v/>
      </c>
      <c r="U27" s="21" t="str">
        <f t="shared" si="138"/>
        <v>UP</v>
      </c>
      <c r="V27" s="21" t="str">
        <f t="shared" si="139"/>
        <v>POSITIVE</v>
      </c>
      <c r="W27" s="18" cm="1">
        <f t="array" ref="W27">IFERROR(VALUE(_xll.BDP($B27,"INTERVAL_MAE_MOV_AVG","CALC_INTERVAL","520D","TECH_STUDIES_PARAM1_OVERRIDE",65,"USE_PREVIOUS_BUSINESS_DAY","N")),"")</f>
        <v>53.294652618952071</v>
      </c>
      <c r="X27" s="18">
        <f t="shared" si="29"/>
        <v>6856.0226153846133</v>
      </c>
      <c r="Y27" s="18" cm="1">
        <f t="array" ref="Y27">IFERROR(VALUE(_xll.BDP($B27,"INTERVAL_MAE_MOV_AVG","CALC_INTERVAL","520D","TECH_STUDIES_PARAM1_OVERRIDE",65,"USE_PREVIOUS_BUSINESS_DAY","Y")),"")</f>
        <v>53.119688922923075</v>
      </c>
      <c r="Z27" s="18">
        <f t="shared" si="30"/>
        <v>6852.6203076923057</v>
      </c>
      <c r="AA27" s="18">
        <f t="shared" si="140"/>
        <v>7.7734067707654888E-3</v>
      </c>
      <c r="AB27" s="18">
        <f t="shared" si="141"/>
        <v>7.7517338678891002E-3</v>
      </c>
      <c r="AC27" s="22" t="str">
        <f t="shared" si="142"/>
        <v>UP</v>
      </c>
      <c r="AD27" s="22" t="str">
        <f t="shared" si="143"/>
        <v>UP</v>
      </c>
      <c r="AE27" s="21" t="str">
        <f t="shared" si="144"/>
        <v>POSITIVE</v>
      </c>
      <c r="AF27" s="18" cm="1">
        <f t="array" ref="AF27">IFERROR(VALUE(_xll.BDP($B27,"INTERVAL_MAE_MOV_AVG","CALC_INTERVAL","65W","PERIODICITY_OVERRIDE","W","TECH_STUDIES_PARAM1_OVERRIDE",39,"USE_PREVIOUS_BUSINESS_DAY","N")),"")</f>
        <v>46.241891796417256</v>
      </c>
      <c r="AG27" s="18">
        <f t="shared" si="31"/>
        <v>6560.7735897435905</v>
      </c>
      <c r="AH27" s="18" cm="1">
        <f t="array" ref="AH27">IFERROR(VALUE(_xll.BDP($B27,"INTERVAL_MAE_MOV_AVG","CALC_INTERVAL","65W","PERIODICITY_OVERRIDE","W","TECH_STUDIES_PARAM1_OVERRIDE",39,"USE_PREVIOUS_BUSINESS_DAY","Y")),"")</f>
        <v>46.184712336625338</v>
      </c>
      <c r="AI27" s="18">
        <f t="shared" si="32"/>
        <v>6560.7823076923087</v>
      </c>
      <c r="AJ27" s="18">
        <f t="shared" si="145"/>
        <v>7.048237706100218E-3</v>
      </c>
      <c r="AK27" s="18">
        <f t="shared" si="146"/>
        <v>7.0395129986976146E-3</v>
      </c>
      <c r="AL27" s="22" t="str">
        <f t="shared" si="147"/>
        <v>UP</v>
      </c>
      <c r="AM27" s="22" t="str">
        <f t="shared" si="148"/>
        <v>UP</v>
      </c>
      <c r="AN27" s="21" t="str">
        <f t="shared" si="149"/>
        <v>POSITIVE</v>
      </c>
      <c r="AO27" s="18" cm="1">
        <f t="array" ref="AO27">IFERROR(VALUE(_xll.BDP($B27,"INTERVAL_exp_MOV_AVG","CALC_INTERVAL","520D","TECH_STUDIES_PARAM1_OVERRIDE",100,"USE_PREVIOUS_BUSINESS_DAY","N")),"")</f>
        <v>51.419373626713103</v>
      </c>
      <c r="AP27" s="18">
        <f t="shared" si="33"/>
        <v>6773.0064518682802</v>
      </c>
      <c r="AQ27" s="18" cm="1">
        <f t="array" ref="AQ27">IFERROR(VALUE(_xll.BDP($B27,"INTERVAL_exp_MOV_AVG","CALC_INTERVAL","520D","TECH_STUDIES_PARAM1_OVERRIDE",100,"USE_PREVIOUS_BUSINESS_DAY","Y")),"")</f>
        <v>51.188020945746992</v>
      </c>
      <c r="AR27" s="18">
        <f t="shared" si="34"/>
        <v>6769.6039787132295</v>
      </c>
      <c r="AS27" s="18">
        <f t="shared" si="150"/>
        <v>7.5918093378649415E-3</v>
      </c>
      <c r="AT27" s="18">
        <f t="shared" si="151"/>
        <v>7.5614498435515338E-3</v>
      </c>
      <c r="AU27" s="21" t="str">
        <f t="shared" si="152"/>
        <v>UP</v>
      </c>
      <c r="AV27" s="21" t="str">
        <f t="shared" si="153"/>
        <v>UP</v>
      </c>
      <c r="AW27" s="21" t="str">
        <f t="shared" si="154"/>
        <v>POSITIVE</v>
      </c>
      <c r="AX27" s="19" cm="1">
        <f t="array" ref="AX27">_xll.BDP($B27, "INTERVAL_RSI", "TECH_STUDIES_PARAM1_OVERRIDE", "5", "PERIODICITY_OVERRIDE", "W")</f>
        <v>88.970818721780802</v>
      </c>
    </row>
    <row r="28" spans="1:50" x14ac:dyDescent="0.25">
      <c r="A28" s="18">
        <v>27</v>
      </c>
      <c r="B28" s="18" t="s">
        <v>66</v>
      </c>
      <c r="D28" s="19">
        <f>IFERROR(VALUE((_xll.BDP($B28,"interval_rsi","tech_studies_param1_override",14))),"")</f>
        <v>62.732294437385853</v>
      </c>
      <c r="E28" s="20">
        <f t="shared" si="24"/>
        <v>52.525531939815814</v>
      </c>
      <c r="F28" s="18">
        <f t="shared" si="131"/>
        <v>1</v>
      </c>
      <c r="G28" s="18" cm="1">
        <f t="array" ref="G28">IFERROR(VALUE(_xll.BDP($B28,"px_last")),"")</f>
        <v>68.53</v>
      </c>
      <c r="H28" s="18">
        <f t="shared" si="25"/>
        <v>6941.47</v>
      </c>
      <c r="I28" s="18" cm="1">
        <f t="array" ref="I28">IFERROR(VALUE(_xll.BDP($B28,"PX_YEST_CLOSE")),"")</f>
        <v>70.47</v>
      </c>
      <c r="J28" s="18">
        <f t="shared" si="26"/>
        <v>6941.81</v>
      </c>
      <c r="K28" s="18">
        <f t="shared" si="132"/>
        <v>9.8725486100206435E-3</v>
      </c>
      <c r="L28" s="18">
        <f t="shared" si="133"/>
        <v>1.0151531084832341E-2</v>
      </c>
      <c r="M28" s="18" cm="1">
        <f t="array" ref="M28">IFERROR(VALUE(_xll.BDP($B28,"INTERVAL_MAE_MOV_AVG","CALC_INTERVAL","520D","TECH_STUDIES_PARAM1_OVERRIDE",50,"USE_PREVIOUS_BUSINESS_DAY","N")),"")</f>
        <v>63.201599975585943</v>
      </c>
      <c r="N28" s="18">
        <f t="shared" si="27"/>
        <v>6894.0953999999992</v>
      </c>
      <c r="O28" s="18" cm="1">
        <f t="array" ref="O28">IFERROR(VALUE(_xll.BDP($B28,"INTERVAL_MAE_MOV_AVG","CALC_INTERVAL","520D","TECH_STUDIES_PARAM1_OVERRIDE",50,"USE_PREVIOUS_BUSINESS_DAY","Y")),"")</f>
        <v>63.037599999999998</v>
      </c>
      <c r="P28" s="18">
        <f t="shared" si="28"/>
        <v>6892.2477999999992</v>
      </c>
      <c r="Q28" s="18">
        <f t="shared" si="134"/>
        <v>9.1674971564196725E-3</v>
      </c>
      <c r="R28" s="18">
        <f t="shared" si="135"/>
        <v>9.146159834821959E-3</v>
      </c>
      <c r="S28" s="21" t="str">
        <f t="shared" si="136"/>
        <v>POSITIVE</v>
      </c>
      <c r="T28" s="21" t="str">
        <f t="shared" si="137"/>
        <v/>
      </c>
      <c r="U28" s="21" t="str">
        <f t="shared" si="138"/>
        <v>UP</v>
      </c>
      <c r="V28" s="21" t="str">
        <f t="shared" si="139"/>
        <v>POSITIVE</v>
      </c>
      <c r="W28" s="18" cm="1">
        <f t="array" ref="W28">IFERROR(VALUE(_xll.BDP($B28,"INTERVAL_MAE_MOV_AVG","CALC_INTERVAL","520D","TECH_STUDIES_PARAM1_OVERRIDE",65,"USE_PREVIOUS_BUSINESS_DAY","N")),"")</f>
        <v>62.076531216296878</v>
      </c>
      <c r="X28" s="18">
        <f t="shared" si="29"/>
        <v>6856.0226153846133</v>
      </c>
      <c r="Y28" s="18" cm="1">
        <f t="array" ref="Y28">IFERROR(VALUE(_xll.BDP($B28,"INTERVAL_MAE_MOV_AVG","CALC_INTERVAL","520D","TECH_STUDIES_PARAM1_OVERRIDE",65,"USE_PREVIOUS_BUSINESS_DAY","Y")),"")</f>
        <v>61.92134948738461</v>
      </c>
      <c r="Z28" s="18">
        <f t="shared" si="30"/>
        <v>6852.6203076923057</v>
      </c>
      <c r="AA28" s="18">
        <f t="shared" si="140"/>
        <v>9.0543066583531791E-3</v>
      </c>
      <c r="AB28" s="18">
        <f t="shared" si="141"/>
        <v>9.036156492995202E-3</v>
      </c>
      <c r="AC28" s="22" t="str">
        <f t="shared" si="142"/>
        <v>UP</v>
      </c>
      <c r="AD28" s="22" t="str">
        <f t="shared" si="143"/>
        <v>UP</v>
      </c>
      <c r="AE28" s="21" t="str">
        <f t="shared" si="144"/>
        <v>POSITIVE</v>
      </c>
      <c r="AF28" s="18" cm="1">
        <f t="array" ref="AF28">IFERROR(VALUE(_xll.BDP($B28,"INTERVAL_MAE_MOV_AVG","CALC_INTERVAL","65W","PERIODICITY_OVERRIDE","W","TECH_STUDIES_PARAM1_OVERRIDE",39,"USE_PREVIOUS_BUSINESS_DAY","N")),"")</f>
        <v>54.164790899584084</v>
      </c>
      <c r="AG28" s="18">
        <f t="shared" si="31"/>
        <v>6560.7735897435905</v>
      </c>
      <c r="AH28" s="18" cm="1">
        <f t="array" ref="AH28">IFERROR(VALUE(_xll.BDP($B28,"INTERVAL_MAE_MOV_AVG","CALC_INTERVAL","65W","PERIODICITY_OVERRIDE","W","TECH_STUDIES_PARAM1_OVERRIDE",39,"USE_PREVIOUS_BUSINESS_DAY","Y")),"")</f>
        <v>54.214534520627751</v>
      </c>
      <c r="AI28" s="18">
        <f t="shared" si="32"/>
        <v>6560.7823076923087</v>
      </c>
      <c r="AJ28" s="18">
        <f t="shared" si="145"/>
        <v>8.2558543072206465E-3</v>
      </c>
      <c r="AK28" s="18">
        <f t="shared" si="146"/>
        <v>8.2634253017453314E-3</v>
      </c>
      <c r="AL28" s="22" t="str">
        <f t="shared" si="147"/>
        <v>DOWN</v>
      </c>
      <c r="AM28" s="22" t="str">
        <f t="shared" si="148"/>
        <v>DOWN</v>
      </c>
      <c r="AN28" s="21" t="str">
        <f t="shared" si="149"/>
        <v>POSITIVE</v>
      </c>
      <c r="AO28" s="18" cm="1">
        <f t="array" ref="AO28">IFERROR(VALUE(_xll.BDP($B28,"INTERVAL_exp_MOV_AVG","CALC_INTERVAL","520D","TECH_STUDIES_PARAM1_OVERRIDE",100,"USE_PREVIOUS_BUSINESS_DAY","N")),"")</f>
        <v>59.590243573670854</v>
      </c>
      <c r="AP28" s="18">
        <f t="shared" si="33"/>
        <v>6773.0064518682802</v>
      </c>
      <c r="AQ28" s="18" cm="1">
        <f t="array" ref="AQ28">IFERROR(VALUE(_xll.BDP($B28,"INTERVAL_exp_MOV_AVG","CALC_INTERVAL","520D","TECH_STUDIES_PARAM1_OVERRIDE",100,"USE_PREVIOUS_BUSINESS_DAY","Y")),"")</f>
        <v>59.409687744901071</v>
      </c>
      <c r="AR28" s="18">
        <f t="shared" si="34"/>
        <v>6769.6039787132295</v>
      </c>
      <c r="AS28" s="18">
        <f t="shared" si="150"/>
        <v>8.7981967826464055E-3</v>
      </c>
      <c r="AT28" s="18">
        <f t="shared" si="151"/>
        <v>8.7759472979088062E-3</v>
      </c>
      <c r="AU28" s="21" t="str">
        <f t="shared" si="152"/>
        <v>UP</v>
      </c>
      <c r="AV28" s="21" t="str">
        <f t="shared" si="153"/>
        <v>UP</v>
      </c>
      <c r="AW28" s="21" t="str">
        <f t="shared" si="154"/>
        <v>POSITIVE</v>
      </c>
      <c r="AX28" s="19" cm="1">
        <f t="array" ref="AX28">_xll.BDP($B28, "INTERVAL_RSI", "TECH_STUDIES_PARAM1_OVERRIDE", "5", "PERIODICITY_OVERRIDE", "W")</f>
        <v>79.31250395756787</v>
      </c>
    </row>
    <row r="29" spans="1:50" x14ac:dyDescent="0.25">
      <c r="A29" s="18">
        <v>28</v>
      </c>
      <c r="B29" s="29" t="s">
        <v>1005</v>
      </c>
      <c r="D29" s="19">
        <f>IFERROR(VALUE((_xll.BDP($B29,"interval_rsi","tech_studies_param1_override",14))),"")</f>
        <v>61.130930389593878</v>
      </c>
      <c r="E29" s="20">
        <f t="shared" si="24"/>
        <v>52.525531939815814</v>
      </c>
      <c r="F29" s="18">
        <f t="shared" si="131"/>
        <v>0</v>
      </c>
      <c r="G29" s="18" cm="1">
        <f t="array" ref="G29">IFERROR(VALUE(_xll.BDP($B29,"px_last")),"")</f>
        <v>15.06</v>
      </c>
      <c r="H29" s="18">
        <f t="shared" si="25"/>
        <v>6941.47</v>
      </c>
      <c r="I29" s="18" cm="1">
        <f t="array" ref="I29">IFERROR(VALUE(_xll.BDP($B29,"PX_YEST_CLOSE")),"")</f>
        <v>14.65</v>
      </c>
      <c r="J29" s="18">
        <f t="shared" si="26"/>
        <v>6941.81</v>
      </c>
      <c r="K29" s="18">
        <f t="shared" si="132"/>
        <v>2.1695692699096876E-3</v>
      </c>
      <c r="L29" s="18">
        <f t="shared" si="133"/>
        <v>2.1104006015722123E-3</v>
      </c>
      <c r="M29" s="18" cm="1">
        <f t="array" ref="M29">IFERROR(VALUE(_xll.BDP($B29,"INTERVAL_MAE_MOV_AVG","CALC_INTERVAL","520D","TECH_STUDIES_PARAM1_OVERRIDE",50,"USE_PREVIOUS_BUSINESS_DAY","N")),"")</f>
        <v>13.264400008392334</v>
      </c>
      <c r="N29" s="18">
        <f t="shared" si="27"/>
        <v>6894.0953999999992</v>
      </c>
      <c r="O29" s="18" cm="1">
        <f t="array" ref="O29">IFERROR(VALUE(_xll.BDP($B29,"INTERVAL_MAE_MOV_AVG","CALC_INTERVAL","520D","TECH_STUDIES_PARAM1_OVERRIDE",50,"USE_PREVIOUS_BUSINESS_DAY","Y")),"")</f>
        <v>13.220799999999999</v>
      </c>
      <c r="P29" s="18">
        <f t="shared" si="28"/>
        <v>6892.2477999999992</v>
      </c>
      <c r="Q29" s="18">
        <f t="shared" si="134"/>
        <v>1.9240232748146096E-3</v>
      </c>
      <c r="R29" s="18">
        <f t="shared" si="135"/>
        <v>1.9182130973294373E-3</v>
      </c>
      <c r="S29" s="21" t="str">
        <f t="shared" si="136"/>
        <v>NEGATIVE</v>
      </c>
      <c r="T29" s="21" t="str">
        <f t="shared" si="137"/>
        <v/>
      </c>
      <c r="U29" s="21" t="str">
        <f t="shared" si="138"/>
        <v>UP</v>
      </c>
      <c r="V29" s="21" t="str">
        <f t="shared" si="139"/>
        <v>POSITIVE</v>
      </c>
      <c r="W29" s="18" cm="1">
        <f t="array" ref="W29">IFERROR(VALUE(_xll.BDP($B29,"INTERVAL_MAE_MOV_AVG","CALC_INTERVAL","520D","TECH_STUDIES_PARAM1_OVERRIDE",65,"USE_PREVIOUS_BUSINESS_DAY","N")),"")</f>
        <v>12.707076929532567</v>
      </c>
      <c r="X29" s="18">
        <f t="shared" si="29"/>
        <v>6856.0226153846133</v>
      </c>
      <c r="Y29" s="18" cm="1">
        <f t="array" ref="Y29">IFERROR(VALUE(_xll.BDP($B29,"INTERVAL_MAE_MOV_AVG","CALC_INTERVAL","520D","TECH_STUDIES_PARAM1_OVERRIDE",65,"USE_PREVIOUS_BUSINESS_DAY","Y")),"")</f>
        <v>12.618000000000002</v>
      </c>
      <c r="Z29" s="18">
        <f t="shared" si="30"/>
        <v>6852.6203076923057</v>
      </c>
      <c r="AA29" s="18">
        <f t="shared" si="140"/>
        <v>1.8534181758704303E-3</v>
      </c>
      <c r="AB29" s="18">
        <f t="shared" si="141"/>
        <v>1.8413394341775884E-3</v>
      </c>
      <c r="AC29" s="22" t="str">
        <f t="shared" si="142"/>
        <v>UP</v>
      </c>
      <c r="AD29" s="22" t="str">
        <f t="shared" si="143"/>
        <v>UP</v>
      </c>
      <c r="AE29" s="21" t="str">
        <f t="shared" si="144"/>
        <v>POSITIVE</v>
      </c>
      <c r="AF29" s="18" cm="1">
        <f t="array" ref="AF29">IFERROR(VALUE(_xll.BDP($B29,"INTERVAL_MAE_MOV_AVG","CALC_INTERVAL","65W","PERIODICITY_OVERRIDE","W","TECH_STUDIES_PARAM1_OVERRIDE",39,"USE_PREVIOUS_BUSINESS_DAY","N")),"")</f>
        <v>10.332564113323505</v>
      </c>
      <c r="AG29" s="18">
        <f t="shared" si="31"/>
        <v>6560.7735897435905</v>
      </c>
      <c r="AH29" s="18" cm="1">
        <f t="array" ref="AH29">IFERROR(VALUE(_xll.BDP($B29,"INTERVAL_MAE_MOV_AVG","CALC_INTERVAL","65W","PERIODICITY_OVERRIDE","W","TECH_STUDIES_PARAM1_OVERRIDE",39,"USE_PREVIOUS_BUSINESS_DAY","Y")),"")</f>
        <v>10.322051282051284</v>
      </c>
      <c r="AI29" s="18">
        <f t="shared" si="32"/>
        <v>6560.7823076923087</v>
      </c>
      <c r="AJ29" s="18">
        <f t="shared" si="145"/>
        <v>1.5749002723514688E-3</v>
      </c>
      <c r="AK29" s="18">
        <f t="shared" si="146"/>
        <v>1.5732958049757277E-3</v>
      </c>
      <c r="AL29" s="22" t="str">
        <f t="shared" si="147"/>
        <v>UP</v>
      </c>
      <c r="AM29" s="22" t="str">
        <f t="shared" si="148"/>
        <v>UP</v>
      </c>
      <c r="AN29" s="21" t="str">
        <f t="shared" si="149"/>
        <v>POSITIVE</v>
      </c>
      <c r="AO29" s="18" cm="1">
        <f t="array" ref="AO29">IFERROR(VALUE(_xll.BDP($B29,"INTERVAL_exp_MOV_AVG","CALC_INTERVAL","520D","TECH_STUDIES_PARAM1_OVERRIDE",100,"USE_PREVIOUS_BUSINESS_DAY","N")),"")</f>
        <v>12.119330526050035</v>
      </c>
      <c r="AP29" s="18">
        <f t="shared" si="33"/>
        <v>6773.0064518682802</v>
      </c>
      <c r="AQ29" s="18" cm="1">
        <f t="array" ref="AQ29">IFERROR(VALUE(_xll.BDP($B29,"INTERVAL_exp_MOV_AVG","CALC_INTERVAL","520D","TECH_STUDIES_PARAM1_OVERRIDE",100,"USE_PREVIOUS_BUSINESS_DAY","Y")),"")</f>
        <v>12.05994322718996</v>
      </c>
      <c r="AR29" s="18">
        <f t="shared" si="34"/>
        <v>6769.6039787132295</v>
      </c>
      <c r="AS29" s="18">
        <f t="shared" si="150"/>
        <v>1.7893575935849012E-3</v>
      </c>
      <c r="AT29" s="18">
        <f t="shared" si="151"/>
        <v>1.7814843032342819E-3</v>
      </c>
      <c r="AU29" s="21" t="str">
        <f t="shared" si="152"/>
        <v>UP</v>
      </c>
      <c r="AV29" s="21" t="str">
        <f t="shared" si="153"/>
        <v>UP</v>
      </c>
      <c r="AW29" s="21" t="str">
        <f t="shared" si="154"/>
        <v>POSITIVE</v>
      </c>
      <c r="AX29" s="19" cm="1">
        <f t="array" ref="AX29">_xll.BDP($B29, "INTERVAL_RSI", "TECH_STUDIES_PARAM1_OVERRIDE", "5", "PERIODICITY_OVERRIDE", "W")</f>
        <v>68.101662028696538</v>
      </c>
    </row>
    <row r="30" spans="1:50" x14ac:dyDescent="0.25">
      <c r="A30" s="18">
        <v>29</v>
      </c>
      <c r="B30" s="18" t="s">
        <v>957</v>
      </c>
      <c r="D30" s="19">
        <f>IFERROR(VALUE((_xll.BDP($B30,"interval_rsi","tech_studies_param1_override",14))),"")</f>
        <v>42.299548840027754</v>
      </c>
      <c r="E30" s="20">
        <f t="shared" si="24"/>
        <v>52.525531939815814</v>
      </c>
      <c r="F30" s="18">
        <f t="shared" si="131"/>
        <v>0</v>
      </c>
      <c r="G30" s="18" cm="1">
        <f t="array" ref="G30">IFERROR(VALUE(_xll.BDP($B30,"px_last")),"")</f>
        <v>6.18</v>
      </c>
      <c r="H30" s="18">
        <f t="shared" si="25"/>
        <v>6941.47</v>
      </c>
      <c r="I30" s="18" cm="1">
        <f t="array" ref="I30">IFERROR(VALUE(_xll.BDP($B30,"PX_YEST_CLOSE")),"")</f>
        <v>6.2</v>
      </c>
      <c r="J30" s="18">
        <f t="shared" si="26"/>
        <v>6941.81</v>
      </c>
      <c r="K30" s="18">
        <f t="shared" si="132"/>
        <v>8.9030133386732194E-4</v>
      </c>
      <c r="L30" s="18">
        <f t="shared" si="133"/>
        <v>8.9313882114318884E-4</v>
      </c>
      <c r="M30" s="18" cm="1">
        <f t="array" ref="M30">IFERROR(VALUE(_xll.BDP($B30,"INTERVAL_MAE_MOV_AVG","CALC_INTERVAL","520D","TECH_STUDIES_PARAM1_OVERRIDE",50,"USE_PREVIOUS_BUSINESS_DAY","N")),"")</f>
        <v>7.111699996566772</v>
      </c>
      <c r="N30" s="18">
        <f t="shared" si="27"/>
        <v>6894.0953999999992</v>
      </c>
      <c r="O30" s="18" cm="1">
        <f t="array" ref="O30">IFERROR(VALUE(_xll.BDP($B30,"INTERVAL_MAE_MOV_AVG","CALC_INTERVAL","520D","TECH_STUDIES_PARAM1_OVERRIDE",50,"USE_PREVIOUS_BUSINESS_DAY","Y")),"")</f>
        <v>7.1296999999999997</v>
      </c>
      <c r="P30" s="18">
        <f t="shared" si="28"/>
        <v>6892.2477999999992</v>
      </c>
      <c r="Q30" s="18">
        <f t="shared" si="134"/>
        <v>1.0315639085247896E-3</v>
      </c>
      <c r="R30" s="18">
        <f t="shared" si="135"/>
        <v>1.0344520694685413E-3</v>
      </c>
      <c r="S30" s="21" t="str">
        <f t="shared" si="136"/>
        <v>NEGATIVE</v>
      </c>
      <c r="T30" s="21" t="str">
        <f t="shared" si="137"/>
        <v/>
      </c>
      <c r="U30" s="21" t="str">
        <f t="shared" si="138"/>
        <v>DOWN</v>
      </c>
      <c r="V30" s="21" t="str">
        <f t="shared" si="139"/>
        <v>NEGATIVE</v>
      </c>
      <c r="W30" s="18" cm="1">
        <f t="array" ref="W30">IFERROR(VALUE(_xll.BDP($B30,"INTERVAL_MAE_MOV_AVG","CALC_INTERVAL","520D","TECH_STUDIES_PARAM1_OVERRIDE",65,"USE_PREVIOUS_BUSINESS_DAY","N")),"")</f>
        <v>6.9517692281282848</v>
      </c>
      <c r="X30" s="18">
        <f t="shared" si="29"/>
        <v>6856.0226153846133</v>
      </c>
      <c r="Y30" s="18" cm="1">
        <f t="array" ref="Y30">IFERROR(VALUE(_xll.BDP($B30,"INTERVAL_MAE_MOV_AVG","CALC_INTERVAL","520D","TECH_STUDIES_PARAM1_OVERRIDE",65,"USE_PREVIOUS_BUSINESS_DAY","Y")),"")</f>
        <v>6.949923076923076</v>
      </c>
      <c r="Z30" s="18">
        <f t="shared" si="30"/>
        <v>6852.6203076923057</v>
      </c>
      <c r="AA30" s="18">
        <f t="shared" si="140"/>
        <v>1.0139653291879201E-3</v>
      </c>
      <c r="AB30" s="18">
        <f t="shared" si="141"/>
        <v>1.014199352198391E-3</v>
      </c>
      <c r="AC30" s="22" t="str">
        <f t="shared" si="142"/>
        <v>UP</v>
      </c>
      <c r="AD30" s="22" t="str">
        <f t="shared" si="143"/>
        <v>DOWN</v>
      </c>
      <c r="AE30" s="21" t="str">
        <f t="shared" si="144"/>
        <v>NEGATIVE</v>
      </c>
      <c r="AF30" s="18" cm="1">
        <f t="array" ref="AF30">IFERROR(VALUE(_xll.BDP($B30,"INTERVAL_MAE_MOV_AVG","CALC_INTERVAL","65W","PERIODICITY_OVERRIDE","W","TECH_STUDIES_PARAM1_OVERRIDE",39,"USE_PREVIOUS_BUSINESS_DAY","N")),"")</f>
        <v>5.8384256366240637</v>
      </c>
      <c r="AG30" s="18">
        <f t="shared" si="31"/>
        <v>6560.7735897435905</v>
      </c>
      <c r="AH30" s="18" cm="1">
        <f t="array" ref="AH30">IFERROR(VALUE(_xll.BDP($B30,"INTERVAL_MAE_MOV_AVG","CALC_INTERVAL","65W","PERIODICITY_OVERRIDE","W","TECH_STUDIES_PARAM1_OVERRIDE",39,"USE_PREVIOUS_BUSINESS_DAY","Y")),"")</f>
        <v>5.8389384615384579</v>
      </c>
      <c r="AI30" s="18">
        <f t="shared" si="32"/>
        <v>6560.7823076923087</v>
      </c>
      <c r="AJ30" s="18">
        <f t="shared" si="145"/>
        <v>8.89898966449815E-4</v>
      </c>
      <c r="AK30" s="18">
        <f t="shared" si="146"/>
        <v>8.8997594916272226E-4</v>
      </c>
      <c r="AL30" s="22" t="str">
        <f t="shared" si="147"/>
        <v>DOWN</v>
      </c>
      <c r="AM30" s="22" t="str">
        <f t="shared" si="148"/>
        <v>DOWN</v>
      </c>
      <c r="AN30" s="21" t="str">
        <f t="shared" si="149"/>
        <v>POSITIVE</v>
      </c>
      <c r="AO30" s="18" cm="1">
        <f t="array" ref="AO30">IFERROR(VALUE(_xll.BDP($B30,"INTERVAL_exp_MOV_AVG","CALC_INTERVAL","520D","TECH_STUDIES_PARAM1_OVERRIDE",100,"USE_PREVIOUS_BUSINESS_DAY","N")),"")</f>
        <v>6.7958895783590432</v>
      </c>
      <c r="AP30" s="18">
        <f t="shared" si="33"/>
        <v>6773.0064518682802</v>
      </c>
      <c r="AQ30" s="18" cm="1">
        <f t="array" ref="AQ30">IFERROR(VALUE(_xll.BDP($B30,"INTERVAL_exp_MOV_AVG","CALC_INTERVAL","520D","TECH_STUDIES_PARAM1_OVERRIDE",100,"USE_PREVIOUS_BUSINESS_DAY","Y")),"")</f>
        <v>6.808333347357113</v>
      </c>
      <c r="AR30" s="18">
        <f t="shared" si="34"/>
        <v>6769.6039787132295</v>
      </c>
      <c r="AS30" s="18">
        <f t="shared" si="150"/>
        <v>1.0033785773944524E-3</v>
      </c>
      <c r="AT30" s="18">
        <f t="shared" si="151"/>
        <v>1.0057210685832829E-3</v>
      </c>
      <c r="AU30" s="21" t="str">
        <f t="shared" si="152"/>
        <v>DOWN</v>
      </c>
      <c r="AV30" s="21" t="str">
        <f t="shared" si="153"/>
        <v>DOWN</v>
      </c>
      <c r="AW30" s="21" t="str">
        <f t="shared" si="154"/>
        <v>NEGATIVE</v>
      </c>
      <c r="AX30" s="19" cm="1">
        <f t="array" ref="AX30">_xll.BDP($B30, "INTERVAL_RSI", "TECH_STUDIES_PARAM1_OVERRIDE", "5", "PERIODICITY_OVERRIDE", "W")</f>
        <v>36.056770443579552</v>
      </c>
    </row>
    <row r="31" spans="1:50" x14ac:dyDescent="0.25">
      <c r="A31" s="18">
        <v>30</v>
      </c>
      <c r="B31" s="18" t="s">
        <v>1009</v>
      </c>
      <c r="D31" s="19">
        <f>IFERROR(VALUE((_xll.BDP($B31,"interval_rsi","tech_studies_param1_override",14))),"")</f>
        <v>38.57046722959381</v>
      </c>
      <c r="E31" s="20">
        <f t="shared" si="24"/>
        <v>52.525531939815814</v>
      </c>
      <c r="F31" s="18">
        <f t="shared" si="131"/>
        <v>0</v>
      </c>
      <c r="G31" s="18" cm="1">
        <f t="array" ref="G31">IFERROR(VALUE(_xll.BDP($B31,"px_last")),"")</f>
        <v>62.95</v>
      </c>
      <c r="H31" s="18">
        <f t="shared" si="25"/>
        <v>6941.47</v>
      </c>
      <c r="I31" s="18" cm="1">
        <f t="array" ref="I31">IFERROR(VALUE(_xll.BDP($B31,"PX_YEST_CLOSE")),"")</f>
        <v>64.3</v>
      </c>
      <c r="J31" s="18">
        <f t="shared" si="26"/>
        <v>6941.81</v>
      </c>
      <c r="K31" s="18">
        <f t="shared" si="132"/>
        <v>9.0686842988588878E-3</v>
      </c>
      <c r="L31" s="18">
        <f t="shared" si="133"/>
        <v>9.2627139031462961E-3</v>
      </c>
      <c r="M31" s="18" cm="1">
        <f t="array" ref="M31">IFERROR(VALUE(_xll.BDP($B31,"INTERVAL_MAE_MOV_AVG","CALC_INTERVAL","520D","TECH_STUDIES_PARAM1_OVERRIDE",50,"USE_PREVIOUS_BUSINESS_DAY","N")),"")</f>
        <v>71.87</v>
      </c>
      <c r="N31" s="18">
        <f t="shared" si="27"/>
        <v>6894.0953999999992</v>
      </c>
      <c r="O31" s="18" cm="1">
        <f t="array" ref="O31">IFERROR(VALUE(_xll.BDP($B31,"INTERVAL_MAE_MOV_AVG","CALC_INTERVAL","520D","TECH_STUDIES_PARAM1_OVERRIDE",50,"USE_PREVIOUS_BUSINESS_DAY","Y")),"")</f>
        <v>72.037999999999997</v>
      </c>
      <c r="P31" s="18">
        <f t="shared" si="28"/>
        <v>6892.2477999999992</v>
      </c>
      <c r="Q31" s="18">
        <f t="shared" si="134"/>
        <v>1.0424862992177337E-2</v>
      </c>
      <c r="R31" s="18">
        <f t="shared" si="135"/>
        <v>1.0452032789651006E-2</v>
      </c>
      <c r="S31" s="21" t="str">
        <f t="shared" si="136"/>
        <v>NEGATIVE</v>
      </c>
      <c r="T31" s="21" t="str">
        <f t="shared" si="137"/>
        <v/>
      </c>
      <c r="U31" s="21" t="str">
        <f t="shared" si="138"/>
        <v>DOWN</v>
      </c>
      <c r="V31" s="21" t="str">
        <f t="shared" si="139"/>
        <v>NEGATIVE</v>
      </c>
      <c r="W31" s="18" cm="1">
        <f t="array" ref="W31">IFERROR(VALUE(_xll.BDP($B31,"INTERVAL_MAE_MOV_AVG","CALC_INTERVAL","520D","TECH_STUDIES_PARAM1_OVERRIDE",65,"USE_PREVIOUS_BUSINESS_DAY","N")),"")</f>
        <v>68.616923076923086</v>
      </c>
      <c r="X31" s="18">
        <f t="shared" si="29"/>
        <v>6856.0226153846133</v>
      </c>
      <c r="Y31" s="18" cm="1">
        <f t="array" ref="Y31">IFERROR(VALUE(_xll.BDP($B31,"INTERVAL_MAE_MOV_AVG","CALC_INTERVAL","520D","TECH_STUDIES_PARAM1_OVERRIDE",65,"USE_PREVIOUS_BUSINESS_DAY","Y")),"")</f>
        <v>68.360461538461536</v>
      </c>
      <c r="Z31" s="18">
        <f t="shared" si="30"/>
        <v>6852.6203076923057</v>
      </c>
      <c r="AA31" s="18">
        <f t="shared" si="140"/>
        <v>1.0008269652283486E-2</v>
      </c>
      <c r="AB31" s="18">
        <f t="shared" si="141"/>
        <v>9.9758134069860144E-3</v>
      </c>
      <c r="AC31" s="22" t="str">
        <f t="shared" si="142"/>
        <v>UP</v>
      </c>
      <c r="AD31" s="22" t="str">
        <f t="shared" si="143"/>
        <v>UP</v>
      </c>
      <c r="AE31" s="21" t="str">
        <f t="shared" si="144"/>
        <v>NEGATIVE</v>
      </c>
      <c r="AF31" s="18" cm="1">
        <f t="array" ref="AF31">IFERROR(VALUE(_xll.BDP($B31,"INTERVAL_MAE_MOV_AVG","CALC_INTERVAL","65W","PERIODICITY_OVERRIDE","W","TECH_STUDIES_PARAM1_OVERRIDE",39,"USE_PREVIOUS_BUSINESS_DAY","N")),"")</f>
        <v>59.74387742307691</v>
      </c>
      <c r="AG31" s="18">
        <f t="shared" si="31"/>
        <v>6560.7735897435905</v>
      </c>
      <c r="AH31" s="18" cm="1">
        <f t="array" ref="AH31">IFERROR(VALUE(_xll.BDP($B31,"INTERVAL_MAE_MOV_AVG","CALC_INTERVAL","65W","PERIODICITY_OVERRIDE","W","TECH_STUDIES_PARAM1_OVERRIDE",39,"USE_PREVIOUS_BUSINESS_DAY","Y")),"")</f>
        <v>59.778492807692295</v>
      </c>
      <c r="AI31" s="18">
        <f t="shared" si="32"/>
        <v>6560.7823076923087</v>
      </c>
      <c r="AJ31" s="18">
        <f t="shared" si="145"/>
        <v>9.1062245337156702E-3</v>
      </c>
      <c r="AK31" s="18">
        <f t="shared" si="146"/>
        <v>9.1114885396523394E-3</v>
      </c>
      <c r="AL31" s="22" t="str">
        <f t="shared" si="147"/>
        <v>DOWN</v>
      </c>
      <c r="AM31" s="22" t="str">
        <f t="shared" si="148"/>
        <v>DOWN</v>
      </c>
      <c r="AN31" s="21" t="str">
        <f t="shared" si="149"/>
        <v>SELL</v>
      </c>
      <c r="AO31" s="18" cm="1">
        <f t="array" ref="AO31">IFERROR(VALUE(_xll.BDP($B31,"INTERVAL_exp_MOV_AVG","CALC_INTERVAL","520D","TECH_STUDIES_PARAM1_OVERRIDE",100,"USE_PREVIOUS_BUSINESS_DAY","N")),"")</f>
        <v>65.039253674530016</v>
      </c>
      <c r="AP31" s="18">
        <f t="shared" si="33"/>
        <v>6773.0064518682802</v>
      </c>
      <c r="AQ31" s="18" cm="1">
        <f t="array" ref="AQ31">IFERROR(VALUE(_xll.BDP($B31,"INTERVAL_exp_MOV_AVG","CALC_INTERVAL","520D","TECH_STUDIES_PARAM1_OVERRIDE",100,"USE_PREVIOUS_BUSINESS_DAY","Y")),"")</f>
        <v>65.081382983395727</v>
      </c>
      <c r="AR31" s="18">
        <f t="shared" si="34"/>
        <v>6769.6039787132295</v>
      </c>
      <c r="AS31" s="18">
        <f t="shared" si="150"/>
        <v>9.6027154464897128E-3</v>
      </c>
      <c r="AT31" s="18">
        <f t="shared" si="151"/>
        <v>9.6137651756353464E-3</v>
      </c>
      <c r="AU31" s="21" t="str">
        <f t="shared" si="152"/>
        <v>DOWN</v>
      </c>
      <c r="AV31" s="21" t="str">
        <f t="shared" si="153"/>
        <v>DOWN</v>
      </c>
      <c r="AW31" s="21" t="str">
        <f t="shared" si="154"/>
        <v>NEGATIVE</v>
      </c>
      <c r="AX31" s="19" cm="1">
        <f t="array" ref="AX31">_xll.BDP($B31, "INTERVAL_RSI", "TECH_STUDIES_PARAM1_OVERRIDE", "5", "PERIODICITY_OVERRIDE", "W")</f>
        <v>35.247558624665587</v>
      </c>
    </row>
    <row r="32" spans="1:50" s="29" customFormat="1" x14ac:dyDescent="0.25">
      <c r="A32" s="18">
        <v>31</v>
      </c>
      <c r="B32" s="29" t="s">
        <v>83</v>
      </c>
      <c r="D32" s="19">
        <f>IFERROR(VALUE((_xll.BDP($B32,"interval_rsi","tech_studies_param1_override",14))),"")</f>
        <v>74.160996092382362</v>
      </c>
      <c r="E32" s="20">
        <f t="shared" si="24"/>
        <v>52.525531939815814</v>
      </c>
      <c r="F32" s="18">
        <f t="shared" si="131"/>
        <v>1</v>
      </c>
      <c r="G32" s="18" cm="1">
        <f t="array" ref="G32">IFERROR(VALUE(_xll.BDP($B32,"px_last")),"")</f>
        <v>91.36</v>
      </c>
      <c r="H32" s="18">
        <f t="shared" si="25"/>
        <v>6941.47</v>
      </c>
      <c r="I32" s="18" cm="1">
        <f t="array" ref="I32">IFERROR(VALUE(_xll.BDP($B32,"PX_YEST_CLOSE")),"")</f>
        <v>90.83</v>
      </c>
      <c r="J32" s="18">
        <f t="shared" si="26"/>
        <v>6941.81</v>
      </c>
      <c r="K32" s="18">
        <f t="shared" si="132"/>
        <v>1.3161477323967401E-2</v>
      </c>
      <c r="L32" s="18">
        <f t="shared" si="133"/>
        <v>1.3084483729747716E-2</v>
      </c>
      <c r="M32" s="18" cm="1">
        <f t="array" ref="M32">IFERROR(VALUE(_xll.BDP($B32,"INTERVAL_MAE_MOV_AVG","CALC_INTERVAL","520D","TECH_STUDIES_PARAM1_OVERRIDE",50,"USE_PREVIOUS_BUSINESS_DAY","N")),"")</f>
        <v>83.420600012207032</v>
      </c>
      <c r="N32" s="18">
        <f t="shared" si="27"/>
        <v>6894.0953999999992</v>
      </c>
      <c r="O32" s="18" cm="1">
        <f t="array" ref="O32">IFERROR(VALUE(_xll.BDP($B32,"INTERVAL_MAE_MOV_AVG","CALC_INTERVAL","520D","TECH_STUDIES_PARAM1_OVERRIDE",50,"USE_PREVIOUS_BUSINESS_DAY","Y")),"")</f>
        <v>83.319200000000009</v>
      </c>
      <c r="P32" s="18">
        <f t="shared" si="28"/>
        <v>6892.2477999999992</v>
      </c>
      <c r="Q32" s="18">
        <f t="shared" si="134"/>
        <v>1.2100296728154797E-2</v>
      </c>
      <c r="R32" s="18">
        <f t="shared" si="135"/>
        <v>1.2088828262965243E-2</v>
      </c>
      <c r="S32" s="21" t="str">
        <f t="shared" si="136"/>
        <v>POSITIVE</v>
      </c>
      <c r="T32" s="21" t="str">
        <f t="shared" si="137"/>
        <v/>
      </c>
      <c r="U32" s="21" t="str">
        <f t="shared" si="138"/>
        <v>UP</v>
      </c>
      <c r="V32" s="21" t="str">
        <f t="shared" si="139"/>
        <v>POSITIVE</v>
      </c>
      <c r="W32" s="18" cm="1">
        <f t="array" ref="W32">IFERROR(VALUE(_xll.BDP($B32,"INTERVAL_MAE_MOV_AVG","CALC_INTERVAL","520D","TECH_STUDIES_PARAM1_OVERRIDE",65,"USE_PREVIOUS_BUSINESS_DAY","N")),"")</f>
        <v>83.64441463092848</v>
      </c>
      <c r="X32" s="18">
        <f t="shared" si="29"/>
        <v>6856.0226153846133</v>
      </c>
      <c r="Y32" s="18" cm="1">
        <f t="array" ref="Y32">IFERROR(VALUE(_xll.BDP($B32,"INTERVAL_MAE_MOV_AVG","CALC_INTERVAL","520D","TECH_STUDIES_PARAM1_OVERRIDE",65,"USE_PREVIOUS_BUSINESS_DAY","Y")),"")</f>
        <v>83.49193708307692</v>
      </c>
      <c r="Z32" s="18">
        <f t="shared" si="30"/>
        <v>6852.6203076923057</v>
      </c>
      <c r="AA32" s="18">
        <f t="shared" si="140"/>
        <v>1.2200136919506959E-2</v>
      </c>
      <c r="AB32" s="18">
        <f t="shared" si="141"/>
        <v>1.2183943270482139E-2</v>
      </c>
      <c r="AC32" s="22" t="str">
        <f t="shared" si="142"/>
        <v>UP</v>
      </c>
      <c r="AD32" s="22" t="str">
        <f t="shared" si="143"/>
        <v>UP</v>
      </c>
      <c r="AE32" s="21" t="str">
        <f t="shared" si="144"/>
        <v>POSITIVE</v>
      </c>
      <c r="AF32" s="18" cm="1">
        <f t="array" ref="AF32">IFERROR(VALUE(_xll.BDP($B32,"INTERVAL_MAE_MOV_AVG","CALC_INTERVAL","65W","PERIODICITY_OVERRIDE","W","TECH_STUDIES_PARAM1_OVERRIDE",39,"USE_PREVIOUS_BUSINESS_DAY","N")),"")</f>
        <v>77.741528705299274</v>
      </c>
      <c r="AG32" s="18">
        <f t="shared" si="31"/>
        <v>6560.7735897435905</v>
      </c>
      <c r="AH32" s="18" cm="1">
        <f t="array" ref="AH32">IFERROR(VALUE(_xll.BDP($B32,"INTERVAL_MAE_MOV_AVG","CALC_INTERVAL","65W","PERIODICITY_OVERRIDE","W","TECH_STUDIES_PARAM1_OVERRIDE",39,"USE_PREVIOUS_BUSINESS_DAY","Y")),"")</f>
        <v>77.727938946059481</v>
      </c>
      <c r="AI32" s="18">
        <f t="shared" si="32"/>
        <v>6560.7823076923087</v>
      </c>
      <c r="AJ32" s="18">
        <f t="shared" si="145"/>
        <v>1.1849445441438802E-2</v>
      </c>
      <c r="AK32" s="18">
        <f t="shared" si="146"/>
        <v>1.1847358333308201E-2</v>
      </c>
      <c r="AL32" s="22" t="str">
        <f t="shared" si="147"/>
        <v>UP</v>
      </c>
      <c r="AM32" s="22" t="str">
        <f t="shared" si="148"/>
        <v>UP</v>
      </c>
      <c r="AN32" s="21" t="str">
        <f t="shared" si="149"/>
        <v>POSITIVE</v>
      </c>
      <c r="AO32" s="18" cm="1">
        <f t="array" ref="AO32">IFERROR(VALUE(_xll.BDP($B32,"INTERVAL_exp_MOV_AVG","CALC_INTERVAL","520D","TECH_STUDIES_PARAM1_OVERRIDE",100,"USE_PREVIOUS_BUSINESS_DAY","N")),"")</f>
        <v>81.975088000163282</v>
      </c>
      <c r="AP32" s="18">
        <f t="shared" si="33"/>
        <v>6773.0064518682802</v>
      </c>
      <c r="AQ32" s="18" cm="1">
        <f t="array" ref="AQ32">IFERROR(VALUE(_xll.BDP($B32,"INTERVAL_exp_MOV_AVG","CALC_INTERVAL","520D","TECH_STUDIES_PARAM1_OVERRIDE",100,"USE_PREVIOUS_BUSINESS_DAY","Y")),"")</f>
        <v>81.785554639488197</v>
      </c>
      <c r="AR32" s="18">
        <f t="shared" si="34"/>
        <v>6769.6039787132295</v>
      </c>
      <c r="AS32" s="18">
        <f t="shared" si="150"/>
        <v>1.2103205361269234E-2</v>
      </c>
      <c r="AT32" s="18">
        <f t="shared" si="151"/>
        <v>1.2081290854924433E-2</v>
      </c>
      <c r="AU32" s="21" t="str">
        <f t="shared" si="152"/>
        <v>UP</v>
      </c>
      <c r="AV32" s="21" t="str">
        <f t="shared" si="153"/>
        <v>UP</v>
      </c>
      <c r="AW32" s="21" t="str">
        <f t="shared" si="154"/>
        <v>POSITIVE</v>
      </c>
      <c r="AX32" s="19" cm="1">
        <f t="array" ref="AX32">_xll.BDP($B32, "INTERVAL_RSI", "TECH_STUDIES_PARAM1_OVERRIDE", "5", "PERIODICITY_OVERRIDE", "W")</f>
        <v>85.49984840106076</v>
      </c>
    </row>
    <row r="33" spans="1:50" s="29" customFormat="1" x14ac:dyDescent="0.25">
      <c r="A33" s="18">
        <v>32</v>
      </c>
      <c r="B33" s="29" t="s">
        <v>85</v>
      </c>
      <c r="D33" s="19">
        <f>IFERROR(VALUE((_xll.BDP($B33,"interval_rsi","tech_studies_param1_override",14))),"")</f>
        <v>25.593135279396947</v>
      </c>
      <c r="E33" s="20">
        <f t="shared" si="24"/>
        <v>52.525531939815814</v>
      </c>
      <c r="F33" s="18">
        <f t="shared" si="131"/>
        <v>0</v>
      </c>
      <c r="G33" s="18" cm="1">
        <f t="array" ref="G33">IFERROR(VALUE(_xll.BDP($B33,"px_last")),"")</f>
        <v>100.58</v>
      </c>
      <c r="H33" s="18">
        <f t="shared" si="25"/>
        <v>6941.47</v>
      </c>
      <c r="I33" s="18" cm="1">
        <f t="array" ref="I33">IFERROR(VALUE(_xll.BDP($B33,"PX_YEST_CLOSE")),"")</f>
        <v>106.48</v>
      </c>
      <c r="J33" s="18">
        <f t="shared" si="26"/>
        <v>6941.81</v>
      </c>
      <c r="K33" s="18">
        <f t="shared" si="132"/>
        <v>1.448972623954292E-2</v>
      </c>
      <c r="L33" s="18">
        <f t="shared" si="133"/>
        <v>1.5338938979891411E-2</v>
      </c>
      <c r="M33" s="18" cm="1">
        <f t="array" ref="M33">IFERROR(VALUE(_xll.BDP($B33,"INTERVAL_MAE_MOV_AVG","CALC_INTERVAL","520D","TECH_STUDIES_PARAM1_OVERRIDE",50,"USE_PREVIOUS_BUSINESS_DAY","N")),"")</f>
        <v>142.02112003662111</v>
      </c>
      <c r="N33" s="18">
        <f t="shared" si="27"/>
        <v>6894.0953999999992</v>
      </c>
      <c r="O33" s="18" cm="1">
        <f t="array" ref="O33">IFERROR(VALUE(_xll.BDP($B33,"INTERVAL_MAE_MOV_AVG","CALC_INTERVAL","520D","TECH_STUDIES_PARAM1_OVERRIDE",50,"USE_PREVIOUS_BUSINESS_DAY","Y")),"")</f>
        <v>143.25916000000001</v>
      </c>
      <c r="P33" s="18">
        <f t="shared" si="28"/>
        <v>6892.2477999999992</v>
      </c>
      <c r="Q33" s="18">
        <f t="shared" si="134"/>
        <v>2.0600399587830061E-2</v>
      </c>
      <c r="R33" s="18">
        <f t="shared" si="135"/>
        <v>2.0785549817288928E-2</v>
      </c>
      <c r="S33" s="21" t="str">
        <f t="shared" si="136"/>
        <v>NEGATIVE</v>
      </c>
      <c r="T33" s="21" t="str">
        <f t="shared" si="137"/>
        <v/>
      </c>
      <c r="U33" s="21" t="str">
        <f t="shared" si="138"/>
        <v>DOWN</v>
      </c>
      <c r="V33" s="21" t="str">
        <f t="shared" si="139"/>
        <v>NEGATIVE</v>
      </c>
      <c r="W33" s="18" cm="1">
        <f t="array" ref="W33">IFERROR(VALUE(_xll.BDP($B33,"INTERVAL_MAE_MOV_AVG","CALC_INTERVAL","520D","TECH_STUDIES_PARAM1_OVERRIDE",65,"USE_PREVIOUS_BUSINESS_DAY","N")),"")</f>
        <v>147.68818464355468</v>
      </c>
      <c r="X33" s="18">
        <f t="shared" si="29"/>
        <v>6856.0226153846133</v>
      </c>
      <c r="Y33" s="18" cm="1">
        <f t="array" ref="Y33">IFERROR(VALUE(_xll.BDP($B33,"INTERVAL_MAE_MOV_AVG","CALC_INTERVAL","520D","TECH_STUDIES_PARAM1_OVERRIDE",65,"USE_PREVIOUS_BUSINESS_DAY","Y")),"")</f>
        <v>148.78316923076923</v>
      </c>
      <c r="Z33" s="18">
        <f t="shared" si="30"/>
        <v>6852.6203076923057</v>
      </c>
      <c r="AA33" s="18">
        <f t="shared" si="140"/>
        <v>2.1541379445299508E-2</v>
      </c>
      <c r="AB33" s="18">
        <f t="shared" si="141"/>
        <v>2.1711865323072829E-2</v>
      </c>
      <c r="AC33" s="22" t="str">
        <f t="shared" si="142"/>
        <v>DOWN</v>
      </c>
      <c r="AD33" s="22" t="str">
        <f t="shared" si="143"/>
        <v>DOWN</v>
      </c>
      <c r="AE33" s="21" t="str">
        <f t="shared" si="144"/>
        <v>NEGATIVE</v>
      </c>
      <c r="AF33" s="18" cm="1">
        <f t="array" ref="AF33">IFERROR(VALUE(_xll.BDP($B33,"INTERVAL_MAE_MOV_AVG","CALC_INTERVAL","65W","PERIODICITY_OVERRIDE","W","TECH_STUDIES_PARAM1_OVERRIDE",39,"USE_PREVIOUS_BUSINESS_DAY","N")),"")</f>
        <v>172.51148722643734</v>
      </c>
      <c r="AG33" s="18">
        <f t="shared" si="31"/>
        <v>6560.7735897435905</v>
      </c>
      <c r="AH33" s="18" cm="1">
        <f t="array" ref="AH33">IFERROR(VALUE(_xll.BDP($B33,"INTERVAL_MAE_MOV_AVG","CALC_INTERVAL","65W","PERIODICITY_OVERRIDE","W","TECH_STUDIES_PARAM1_OVERRIDE",39,"USE_PREVIOUS_BUSINESS_DAY","Y")),"")</f>
        <v>172.66276923076927</v>
      </c>
      <c r="AI33" s="18">
        <f t="shared" si="32"/>
        <v>6560.7823076923087</v>
      </c>
      <c r="AJ33" s="18">
        <f t="shared" si="145"/>
        <v>2.6294382036917613E-2</v>
      </c>
      <c r="AK33" s="18">
        <f t="shared" si="146"/>
        <v>2.6317405628339119E-2</v>
      </c>
      <c r="AL33" s="22" t="str">
        <f t="shared" si="147"/>
        <v>DOWN</v>
      </c>
      <c r="AM33" s="22" t="str">
        <f t="shared" si="148"/>
        <v>DOWN</v>
      </c>
      <c r="AN33" s="21" t="str">
        <f t="shared" si="149"/>
        <v>NEGATIVE</v>
      </c>
      <c r="AO33" s="18" cm="1">
        <f t="array" ref="AO33">IFERROR(VALUE(_xll.BDP($B33,"INTERVAL_exp_MOV_AVG","CALC_INTERVAL","520D","TECH_STUDIES_PARAM1_OVERRIDE",100,"USE_PREVIOUS_BUSINESS_DAY","N")),"")</f>
        <v>152.41144926842813</v>
      </c>
      <c r="AP33" s="18">
        <f t="shared" si="33"/>
        <v>6773.0064518682802</v>
      </c>
      <c r="AQ33" s="18" cm="1">
        <f t="array" ref="AQ33">IFERROR(VALUE(_xll.BDP($B33,"INTERVAL_exp_MOV_AVG","CALC_INTERVAL","520D","TECH_STUDIES_PARAM1_OVERRIDE",100,"USE_PREVIOUS_BUSINESS_DAY","Y")),"")</f>
        <v>153.45854934080393</v>
      </c>
      <c r="AR33" s="18">
        <f t="shared" si="34"/>
        <v>6769.6039787132295</v>
      </c>
      <c r="AS33" s="18">
        <f t="shared" si="150"/>
        <v>2.250277633005748E-2</v>
      </c>
      <c r="AT33" s="18">
        <f t="shared" si="151"/>
        <v>2.2668763168916334E-2</v>
      </c>
      <c r="AU33" s="21" t="str">
        <f t="shared" si="152"/>
        <v>DOWN</v>
      </c>
      <c r="AV33" s="21" t="str">
        <f t="shared" si="153"/>
        <v>DOWN</v>
      </c>
      <c r="AW33" s="21" t="str">
        <f t="shared" si="154"/>
        <v>NEGATIVE</v>
      </c>
      <c r="AX33" s="19" cm="1">
        <f t="array" ref="AX33">_xll.BDP($B33, "INTERVAL_RSI", "TECH_STUDIES_PARAM1_OVERRIDE", "5", "PERIODICITY_OVERRIDE", "W")</f>
        <v>10.706346143828341</v>
      </c>
    </row>
    <row r="34" spans="1:50" x14ac:dyDescent="0.25">
      <c r="A34" s="18">
        <v>33</v>
      </c>
      <c r="B34" s="18" t="s">
        <v>86</v>
      </c>
      <c r="D34" s="19">
        <f>IFERROR(VALUE((_xll.BDP($B34,"interval_rsi","tech_studies_param1_override",14))),"")</f>
        <v>39.243266394434151</v>
      </c>
      <c r="E34" s="20">
        <f t="shared" si="24"/>
        <v>52.525531939815814</v>
      </c>
      <c r="F34" s="18">
        <f t="shared" si="131"/>
        <v>0</v>
      </c>
      <c r="G34" s="18" cm="1">
        <f t="array" ref="G34">IFERROR(VALUE(_xll.BDP($B34,"px_last")),"")</f>
        <v>212.46</v>
      </c>
      <c r="H34" s="18">
        <f t="shared" si="25"/>
        <v>6941.47</v>
      </c>
      <c r="I34" s="18" cm="1">
        <f t="array" ref="I34">IFERROR(VALUE(_xll.BDP($B34,"PX_YEST_CLOSE")),"")</f>
        <v>211.65</v>
      </c>
      <c r="J34" s="18">
        <f t="shared" si="26"/>
        <v>6941.81</v>
      </c>
      <c r="K34" s="18">
        <f t="shared" si="132"/>
        <v>3.0607349740040653E-2</v>
      </c>
      <c r="L34" s="18">
        <f t="shared" si="133"/>
        <v>3.048916637015418E-2</v>
      </c>
      <c r="M34" s="18" cm="1">
        <f t="array" ref="M34">IFERROR(VALUE(_xll.BDP($B34,"INTERVAL_MAE_MOV_AVG","CALC_INTERVAL","520D","TECH_STUDIES_PARAM1_OVERRIDE",50,"USE_PREVIOUS_BUSINESS_DAY","N")),"")</f>
        <v>232.08220013427723</v>
      </c>
      <c r="N34" s="18">
        <f t="shared" si="27"/>
        <v>6894.0953999999992</v>
      </c>
      <c r="O34" s="18" cm="1">
        <f t="array" ref="O34">IFERROR(VALUE(_xll.BDP($B34,"INTERVAL_MAE_MOV_AVG","CALC_INTERVAL","520D","TECH_STUDIES_PARAM1_OVERRIDE",50,"USE_PREVIOUS_BUSINESS_DAY","Y")),"")</f>
        <v>232.60919999999987</v>
      </c>
      <c r="P34" s="18">
        <f t="shared" si="28"/>
        <v>6892.2477999999992</v>
      </c>
      <c r="Q34" s="18">
        <f t="shared" si="134"/>
        <v>3.366390899294449E-2</v>
      </c>
      <c r="R34" s="18">
        <f t="shared" si="135"/>
        <v>3.3749395951782217E-2</v>
      </c>
      <c r="S34" s="21" t="str">
        <f t="shared" si="136"/>
        <v>NEGATIVE</v>
      </c>
      <c r="T34" s="21" t="str">
        <f t="shared" si="137"/>
        <v/>
      </c>
      <c r="U34" s="21" t="str">
        <f t="shared" si="138"/>
        <v>DOWN</v>
      </c>
      <c r="V34" s="21" t="str">
        <f t="shared" si="139"/>
        <v>NEGATIVE</v>
      </c>
      <c r="W34" s="18" cm="1">
        <f t="array" ref="W34">IFERROR(VALUE(_xll.BDP($B34,"INTERVAL_MAE_MOV_AVG","CALC_INTERVAL","520D","TECH_STUDIES_PARAM1_OVERRIDE",65,"USE_PREVIOUS_BUSINESS_DAY","N")),"")</f>
        <v>228.87230779559786</v>
      </c>
      <c r="X34" s="18">
        <f t="shared" si="29"/>
        <v>6856.0226153846133</v>
      </c>
      <c r="Y34" s="18" cm="1">
        <f t="array" ref="Y34">IFERROR(VALUE(_xll.BDP($B34,"INTERVAL_MAE_MOV_AVG","CALC_INTERVAL","520D","TECH_STUDIES_PARAM1_OVERRIDE",65,"USE_PREVIOUS_BUSINESS_DAY","Y")),"")</f>
        <v>228.65723076923067</v>
      </c>
      <c r="Z34" s="18">
        <f t="shared" si="30"/>
        <v>6852.6203076923057</v>
      </c>
      <c r="AA34" s="18">
        <f t="shared" si="140"/>
        <v>3.3382665232465608E-2</v>
      </c>
      <c r="AB34" s="18">
        <f t="shared" si="141"/>
        <v>3.336785353663254E-2</v>
      </c>
      <c r="AC34" s="22" t="str">
        <f t="shared" si="142"/>
        <v>UP</v>
      </c>
      <c r="AD34" s="22" t="str">
        <f t="shared" si="143"/>
        <v>UP</v>
      </c>
      <c r="AE34" s="21" t="str">
        <f t="shared" si="144"/>
        <v>NEGATIVE</v>
      </c>
      <c r="AF34" s="18" cm="1">
        <f t="array" ref="AF34">IFERROR(VALUE(_xll.BDP($B34,"INTERVAL_MAE_MOV_AVG","CALC_INTERVAL","65W","PERIODICITY_OVERRIDE","W","TECH_STUDIES_PARAM1_OVERRIDE",39,"USE_PREVIOUS_BUSINESS_DAY","N")),"")</f>
        <v>188.50846171061198</v>
      </c>
      <c r="AG34" s="18">
        <f t="shared" si="31"/>
        <v>6560.7735897435905</v>
      </c>
      <c r="AH34" s="18" cm="1">
        <f t="array" ref="AH34">IFERROR(VALUE(_xll.BDP($B34,"INTERVAL_MAE_MOV_AVG","CALC_INTERVAL","65W","PERIODICITY_OVERRIDE","W","TECH_STUDIES_PARAM1_OVERRIDE",39,"USE_PREVIOUS_BUSINESS_DAY","Y")),"")</f>
        <v>188.4876923076923</v>
      </c>
      <c r="AI34" s="18">
        <f t="shared" si="32"/>
        <v>6560.7823076923087</v>
      </c>
      <c r="AJ34" s="18">
        <f t="shared" si="145"/>
        <v>2.8732657686176808E-2</v>
      </c>
      <c r="AK34" s="18">
        <f t="shared" si="146"/>
        <v>2.8729453816307312E-2</v>
      </c>
      <c r="AL34" s="22" t="str">
        <f t="shared" si="147"/>
        <v>UP</v>
      </c>
      <c r="AM34" s="22" t="str">
        <f t="shared" si="148"/>
        <v>UP</v>
      </c>
      <c r="AN34" s="21" t="str">
        <f t="shared" si="149"/>
        <v>POSITIVE</v>
      </c>
      <c r="AO34" s="18" cm="1">
        <f t="array" ref="AO34">IFERROR(VALUE(_xll.BDP($B34,"INTERVAL_exp_MOV_AVG","CALC_INTERVAL","520D","TECH_STUDIES_PARAM1_OVERRIDE",100,"USE_PREVIOUS_BUSINESS_DAY","N")),"")</f>
        <v>213.08298094504397</v>
      </c>
      <c r="AP34" s="18">
        <f t="shared" si="33"/>
        <v>6773.0064518682802</v>
      </c>
      <c r="AQ34" s="18" cm="1">
        <f t="array" ref="AQ34">IFERROR(VALUE(_xll.BDP($B34,"INTERVAL_exp_MOV_AVG","CALC_INTERVAL","520D","TECH_STUDIES_PARAM1_OVERRIDE",100,"USE_PREVIOUS_BUSINESS_DAY","Y")),"")</f>
        <v>213.0954238254262</v>
      </c>
      <c r="AR34" s="18">
        <f t="shared" si="34"/>
        <v>6769.6039787132295</v>
      </c>
      <c r="AS34" s="18">
        <f t="shared" si="150"/>
        <v>3.1460619808839352E-2</v>
      </c>
      <c r="AT34" s="18">
        <f t="shared" si="151"/>
        <v>3.1478270294022649E-2</v>
      </c>
      <c r="AU34" s="21" t="str">
        <f t="shared" si="152"/>
        <v>DOWN</v>
      </c>
      <c r="AV34" s="21" t="str">
        <f t="shared" si="153"/>
        <v>DOWN</v>
      </c>
      <c r="AW34" s="21" t="str">
        <f t="shared" si="154"/>
        <v>NEGATIVE</v>
      </c>
      <c r="AX34" s="19" cm="1">
        <f t="array" ref="AX34">_xll.BDP($B34, "INTERVAL_RSI", "TECH_STUDIES_PARAM1_OVERRIDE", "5", "PERIODICITY_OVERRIDE", "W")</f>
        <v>38.906942505229267</v>
      </c>
    </row>
    <row r="35" spans="1:50" x14ac:dyDescent="0.25">
      <c r="A35" s="18">
        <v>34</v>
      </c>
      <c r="B35" s="18" t="s">
        <v>87</v>
      </c>
      <c r="D35" s="19">
        <f>IFERROR(VALUE((_xll.BDP($B35,"interval_rsi","tech_studies_param1_override",14))),"")</f>
        <v>49.274092513127592</v>
      </c>
      <c r="E35" s="20">
        <f t="shared" si="24"/>
        <v>52.525531939815814</v>
      </c>
      <c r="F35" s="18">
        <f t="shared" si="131"/>
        <v>0</v>
      </c>
      <c r="G35" s="18" cm="1">
        <f t="array" ref="G35">IFERROR(VALUE(_xll.BDP($B35,"px_last")),"")</f>
        <v>17.41</v>
      </c>
      <c r="H35" s="18">
        <f t="shared" si="25"/>
        <v>6941.47</v>
      </c>
      <c r="I35" s="18" cm="1">
        <f t="array" ref="I35">IFERROR(VALUE(_xll.BDP($B35,"PX_YEST_CLOSE")),"")</f>
        <v>17.57</v>
      </c>
      <c r="J35" s="18">
        <f t="shared" si="26"/>
        <v>6941.81</v>
      </c>
      <c r="K35" s="18">
        <f t="shared" si="132"/>
        <v>2.5081142755064849E-3</v>
      </c>
      <c r="L35" s="18">
        <f t="shared" si="133"/>
        <v>2.5310401754009399E-3</v>
      </c>
      <c r="M35" s="18" cm="1">
        <f t="array" ref="M35">IFERROR(VALUE(_xll.BDP($B35,"INTERVAL_MAE_MOV_AVG","CALC_INTERVAL","520D","TECH_STUDIES_PARAM1_OVERRIDE",50,"USE_PREVIOUS_BUSINESS_DAY","N")),"")</f>
        <v>17.202999996948247</v>
      </c>
      <c r="N35" s="18">
        <f t="shared" si="27"/>
        <v>6894.0953999999992</v>
      </c>
      <c r="O35" s="18" cm="1">
        <f t="array" ref="O35">IFERROR(VALUE(_xll.BDP($B35,"INTERVAL_MAE_MOV_AVG","CALC_INTERVAL","520D","TECH_STUDIES_PARAM1_OVERRIDE",50,"USE_PREVIOUS_BUSINESS_DAY","Y")),"")</f>
        <v>17.202600000000004</v>
      </c>
      <c r="P35" s="18">
        <f t="shared" si="28"/>
        <v>6892.2477999999992</v>
      </c>
      <c r="Q35" s="18">
        <f t="shared" si="134"/>
        <v>2.4953237515321081E-3</v>
      </c>
      <c r="R35" s="18">
        <f t="shared" si="135"/>
        <v>2.4959346354320004E-3</v>
      </c>
      <c r="S35" s="21" t="str">
        <f t="shared" si="136"/>
        <v>NEGATIVE</v>
      </c>
      <c r="T35" s="21" t="str">
        <f t="shared" si="137"/>
        <v/>
      </c>
      <c r="U35" s="21" t="str">
        <f t="shared" si="138"/>
        <v>DOWN</v>
      </c>
      <c r="V35" s="21" t="str">
        <f t="shared" si="139"/>
        <v>POSITIVE</v>
      </c>
      <c r="W35" s="18" cm="1">
        <f t="array" ref="W35">IFERROR(VALUE(_xll.BDP($B35,"INTERVAL_MAE_MOV_AVG","CALC_INTERVAL","520D","TECH_STUDIES_PARAM1_OVERRIDE",65,"USE_PREVIOUS_BUSINESS_DAY","N")),"")</f>
        <v>16.938153843806347</v>
      </c>
      <c r="X35" s="18">
        <f t="shared" si="29"/>
        <v>6856.0226153846133</v>
      </c>
      <c r="Y35" s="18" cm="1">
        <f t="array" ref="Y35">IFERROR(VALUE(_xll.BDP($B35,"INTERVAL_MAE_MOV_AVG","CALC_INTERVAL","520D","TECH_STUDIES_PARAM1_OVERRIDE",65,"USE_PREVIOUS_BUSINESS_DAY","Y")),"")</f>
        <v>16.915538461538464</v>
      </c>
      <c r="Z35" s="18">
        <f t="shared" si="30"/>
        <v>6852.6203076923057</v>
      </c>
      <c r="AA35" s="18">
        <f t="shared" si="140"/>
        <v>2.4705510459953669E-3</v>
      </c>
      <c r="AB35" s="18">
        <f t="shared" si="141"/>
        <v>2.4684774147708407E-3</v>
      </c>
      <c r="AC35" s="22" t="str">
        <f t="shared" si="142"/>
        <v>UP</v>
      </c>
      <c r="AD35" s="22" t="str">
        <f t="shared" si="143"/>
        <v>UP</v>
      </c>
      <c r="AE35" s="21" t="str">
        <f t="shared" si="144"/>
        <v>POSITIVE</v>
      </c>
      <c r="AF35" s="18" cm="1">
        <f t="array" ref="AF35">IFERROR(VALUE(_xll.BDP($B35,"INTERVAL_MAE_MOV_AVG","CALC_INTERVAL","65W","PERIODICITY_OVERRIDE","W","TECH_STUDIES_PARAM1_OVERRIDE",39,"USE_PREVIOUS_BUSINESS_DAY","N")),"")</f>
        <v>14.992820508908004</v>
      </c>
      <c r="AG35" s="18">
        <f t="shared" si="31"/>
        <v>6560.7735897435905</v>
      </c>
      <c r="AH35" s="18" cm="1">
        <f t="array" ref="AH35">IFERROR(VALUE(_xll.BDP($B35,"INTERVAL_MAE_MOV_AVG","CALC_INTERVAL","65W","PERIODICITY_OVERRIDE","W","TECH_STUDIES_PARAM1_OVERRIDE",39,"USE_PREVIOUS_BUSINESS_DAY","Y")),"")</f>
        <v>14.996923076923077</v>
      </c>
      <c r="AI35" s="18">
        <f t="shared" si="32"/>
        <v>6560.7823076923087</v>
      </c>
      <c r="AJ35" s="18">
        <f t="shared" si="145"/>
        <v>2.2852214458895779E-3</v>
      </c>
      <c r="AK35" s="18">
        <f t="shared" si="146"/>
        <v>2.2858437261879063E-3</v>
      </c>
      <c r="AL35" s="22" t="str">
        <f t="shared" si="147"/>
        <v>DOWN</v>
      </c>
      <c r="AM35" s="22" t="str">
        <f t="shared" si="148"/>
        <v>DOWN</v>
      </c>
      <c r="AN35" s="21" t="str">
        <f t="shared" si="149"/>
        <v>POSITIVE</v>
      </c>
      <c r="AO35" s="18" cm="1">
        <f t="array" ref="AO35">IFERROR(VALUE(_xll.BDP($B35,"INTERVAL_exp_MOV_AVG","CALC_INTERVAL","520D","TECH_STUDIES_PARAM1_OVERRIDE",100,"USE_PREVIOUS_BUSINESS_DAY","N")),"")</f>
        <v>16.422085010559844</v>
      </c>
      <c r="AP35" s="18">
        <f t="shared" si="33"/>
        <v>6773.0064518682802</v>
      </c>
      <c r="AQ35" s="18" cm="1">
        <f t="array" ref="AQ35">IFERROR(VALUE(_xll.BDP($B35,"INTERVAL_exp_MOV_AVG","CALC_INTERVAL","520D","TECH_STUDIES_PARAM1_OVERRIDE",100,"USE_PREVIOUS_BUSINESS_DAY","Y")),"")</f>
        <v>16.402129617989392</v>
      </c>
      <c r="AR35" s="18">
        <f t="shared" si="34"/>
        <v>6769.6039787132295</v>
      </c>
      <c r="AS35" s="18">
        <f t="shared" si="150"/>
        <v>2.4246374379327429E-3</v>
      </c>
      <c r="AT35" s="18">
        <f t="shared" si="151"/>
        <v>2.4229082926512813E-3</v>
      </c>
      <c r="AU35" s="21" t="str">
        <f t="shared" si="152"/>
        <v>UP</v>
      </c>
      <c r="AV35" s="21" t="str">
        <f t="shared" si="153"/>
        <v>UP</v>
      </c>
      <c r="AW35" s="21" t="str">
        <f t="shared" si="154"/>
        <v>POSITIVE</v>
      </c>
      <c r="AX35" s="19" cm="1">
        <f t="array" ref="AX35">_xll.BDP($B35, "INTERVAL_RSI", "TECH_STUDIES_PARAM1_OVERRIDE", "5", "PERIODICITY_OVERRIDE", "W")</f>
        <v>55.371861017643035</v>
      </c>
    </row>
    <row r="36" spans="1:50" x14ac:dyDescent="0.25">
      <c r="A36" s="18">
        <v>35</v>
      </c>
      <c r="B36" s="18" t="s">
        <v>88</v>
      </c>
      <c r="D36" s="19">
        <f>IFERROR(VALUE((_xll.BDP($B36,"interval_rsi","tech_studies_param1_override",14))),"")</f>
        <v>55.160368675978077</v>
      </c>
      <c r="E36" s="20">
        <f t="shared" si="24"/>
        <v>52.525531939815814</v>
      </c>
      <c r="F36" s="18">
        <f t="shared" si="131"/>
        <v>0</v>
      </c>
      <c r="G36" s="18" cm="1">
        <f t="array" ref="G36">IFERROR(VALUE(_xll.BDP($B36,"px_last")),"")</f>
        <v>190.05</v>
      </c>
      <c r="H36" s="18">
        <f t="shared" si="25"/>
        <v>6941.47</v>
      </c>
      <c r="I36" s="18" cm="1">
        <f t="array" ref="I36">IFERROR(VALUE(_xll.BDP($B36,"PX_YEST_CLOSE")),"")</f>
        <v>188.54</v>
      </c>
      <c r="J36" s="18">
        <f t="shared" si="26"/>
        <v>6941.81</v>
      </c>
      <c r="K36" s="18">
        <f t="shared" si="132"/>
        <v>2.7378926941987791E-2</v>
      </c>
      <c r="L36" s="18">
        <f t="shared" si="133"/>
        <v>2.7160063441667229E-2</v>
      </c>
      <c r="M36" s="18" cm="1">
        <f t="array" ref="M36">IFERROR(VALUE(_xll.BDP($B36,"INTERVAL_MAE_MOV_AVG","CALC_INTERVAL","520D","TECH_STUDIES_PARAM1_OVERRIDE",50,"USE_PREVIOUS_BUSINESS_DAY","N")),"")</f>
        <v>184.23719417463511</v>
      </c>
      <c r="N36" s="18">
        <f t="shared" si="27"/>
        <v>6894.0953999999992</v>
      </c>
      <c r="O36" s="18" cm="1">
        <f t="array" ref="O36">IFERROR(VALUE(_xll.BDP($B36,"INTERVAL_MAE_MOV_AVG","CALC_INTERVAL","520D","TECH_STUDIES_PARAM1_OVERRIDE",50,"USE_PREVIOUS_BUSINESS_DAY","Y")),"")</f>
        <v>183.9759958736</v>
      </c>
      <c r="P36" s="18">
        <f t="shared" si="28"/>
        <v>6892.2477999999992</v>
      </c>
      <c r="Q36" s="18">
        <f t="shared" si="134"/>
        <v>2.6723911330648997E-2</v>
      </c>
      <c r="R36" s="18">
        <f t="shared" si="135"/>
        <v>2.6693177786440009E-2</v>
      </c>
      <c r="S36" s="21" t="str">
        <f t="shared" si="136"/>
        <v>NEGATIVE</v>
      </c>
      <c r="T36" s="21" t="str">
        <f t="shared" si="137"/>
        <v/>
      </c>
      <c r="U36" s="21" t="str">
        <f t="shared" si="138"/>
        <v>UP</v>
      </c>
      <c r="V36" s="21" t="str">
        <f t="shared" si="139"/>
        <v>POSITIVE</v>
      </c>
      <c r="W36" s="18" cm="1">
        <f t="array" ref="W36">IFERROR(VALUE(_xll.BDP($B36,"INTERVAL_MAE_MOV_AVG","CALC_INTERVAL","520D","TECH_STUDIES_PARAM1_OVERRIDE",65,"USE_PREVIOUS_BUSINESS_DAY","N")),"")</f>
        <v>184.53113647402699</v>
      </c>
      <c r="X36" s="18">
        <f t="shared" si="29"/>
        <v>6856.0226153846133</v>
      </c>
      <c r="Y36" s="18" cm="1">
        <f t="array" ref="Y36">IFERROR(VALUE(_xll.BDP($B36,"INTERVAL_MAE_MOV_AVG","CALC_INTERVAL","520D","TECH_STUDIES_PARAM1_OVERRIDE",65,"USE_PREVIOUS_BUSINESS_DAY","Y")),"")</f>
        <v>184.50066669661535</v>
      </c>
      <c r="Z36" s="18">
        <f t="shared" si="30"/>
        <v>6852.6203076923057</v>
      </c>
      <c r="AA36" s="18">
        <f t="shared" si="140"/>
        <v>2.691518783207442E-2</v>
      </c>
      <c r="AB36" s="18">
        <f t="shared" si="141"/>
        <v>2.6924104709187945E-2</v>
      </c>
      <c r="AC36" s="22" t="str">
        <f t="shared" si="142"/>
        <v>UP</v>
      </c>
      <c r="AD36" s="22" t="str">
        <f t="shared" si="143"/>
        <v>DOWN</v>
      </c>
      <c r="AE36" s="21" t="str">
        <f t="shared" si="144"/>
        <v>POSITIVE</v>
      </c>
      <c r="AF36" s="18" cm="1">
        <f t="array" ref="AF36">IFERROR(VALUE(_xll.BDP($B36,"INTERVAL_MAE_MOV_AVG","CALC_INTERVAL","65W","PERIODICITY_OVERRIDE","W","TECH_STUDIES_PARAM1_OVERRIDE",39,"USE_PREVIOUS_BUSINESS_DAY","N")),"")</f>
        <v>175.13536882231273</v>
      </c>
      <c r="AG36" s="18">
        <f t="shared" si="31"/>
        <v>6560.7735897435905</v>
      </c>
      <c r="AH36" s="18" cm="1">
        <f t="array" ref="AH36">IFERROR(VALUE(_xll.BDP($B36,"INTERVAL_MAE_MOV_AVG","CALC_INTERVAL","65W","PERIODICITY_OVERRIDE","W","TECH_STUDIES_PARAM1_OVERRIDE",39,"USE_PREVIOUS_BUSINESS_DAY","Y")),"")</f>
        <v>175.09665079534457</v>
      </c>
      <c r="AI36" s="18">
        <f t="shared" si="32"/>
        <v>6560.7823076923087</v>
      </c>
      <c r="AJ36" s="18">
        <f t="shared" si="145"/>
        <v>2.6694316825092178E-2</v>
      </c>
      <c r="AK36" s="18">
        <f t="shared" si="146"/>
        <v>2.6688379919274158E-2</v>
      </c>
      <c r="AL36" s="22" t="str">
        <f t="shared" si="147"/>
        <v>UP</v>
      </c>
      <c r="AM36" s="22" t="str">
        <f t="shared" si="148"/>
        <v>UP</v>
      </c>
      <c r="AN36" s="21" t="str">
        <f t="shared" si="149"/>
        <v>POSITIVE</v>
      </c>
      <c r="AO36" s="18" cm="1">
        <f t="array" ref="AO36">IFERROR(VALUE(_xll.BDP($B36,"INTERVAL_exp_MOV_AVG","CALC_INTERVAL","520D","TECH_STUDIES_PARAM1_OVERRIDE",100,"USE_PREVIOUS_BUSINESS_DAY","N")),"")</f>
        <v>181.90041737613299</v>
      </c>
      <c r="AP36" s="18">
        <f t="shared" si="33"/>
        <v>6773.0064518682802</v>
      </c>
      <c r="AQ36" s="18" cm="1">
        <f t="array" ref="AQ36">IFERROR(VALUE(_xll.BDP($B36,"INTERVAL_exp_MOV_AVG","CALC_INTERVAL","520D","TECH_STUDIES_PARAM1_OVERRIDE",100,"USE_PREVIOUS_BUSINESS_DAY","Y")),"")</f>
        <v>181.73578948701461</v>
      </c>
      <c r="AR36" s="18">
        <f t="shared" si="34"/>
        <v>6769.6039787132295</v>
      </c>
      <c r="AS36" s="18">
        <f t="shared" si="150"/>
        <v>2.6856672685725436E-2</v>
      </c>
      <c r="AT36" s="18">
        <f t="shared" si="151"/>
        <v>2.6845852439592643E-2</v>
      </c>
      <c r="AU36" s="21" t="str">
        <f t="shared" si="152"/>
        <v>UP</v>
      </c>
      <c r="AV36" s="21" t="str">
        <f t="shared" si="153"/>
        <v>UP</v>
      </c>
      <c r="AW36" s="21" t="str">
        <f t="shared" si="154"/>
        <v>POSITIVE</v>
      </c>
      <c r="AX36" s="19" cm="1">
        <f t="array" ref="AX36">_xll.BDP($B36, "INTERVAL_RSI", "TECH_STUDIES_PARAM1_OVERRIDE", "5", "PERIODICITY_OVERRIDE", "W")</f>
        <v>58.566557950165205</v>
      </c>
    </row>
    <row r="37" spans="1:50" x14ac:dyDescent="0.25">
      <c r="A37" s="18">
        <v>36</v>
      </c>
      <c r="B37" s="18" t="s">
        <v>89</v>
      </c>
      <c r="D37" s="19">
        <f>IFERROR(VALUE((_xll.BDP($B37,"interval_rsi","tech_studies_param1_override",14))),"")</f>
        <v>47.801705113888893</v>
      </c>
      <c r="E37" s="20">
        <f t="shared" si="24"/>
        <v>52.525531939815814</v>
      </c>
      <c r="F37" s="18">
        <f t="shared" si="131"/>
        <v>0</v>
      </c>
      <c r="G37" s="18" cm="1">
        <f t="array" ref="G37">IFERROR(VALUE(_xll.BDP($B37,"px_last")),"")</f>
        <v>8.76</v>
      </c>
      <c r="H37" s="18">
        <f t="shared" si="25"/>
        <v>6941.47</v>
      </c>
      <c r="I37" s="18" cm="1">
        <f t="array" ref="I37">IFERROR(VALUE(_xll.BDP($B37,"PX_YEST_CLOSE")),"")</f>
        <v>8.7899999999999991</v>
      </c>
      <c r="J37" s="18">
        <f t="shared" si="26"/>
        <v>6941.81</v>
      </c>
      <c r="K37" s="18">
        <f t="shared" si="132"/>
        <v>1.2619805315012525E-3</v>
      </c>
      <c r="L37" s="18">
        <f t="shared" si="133"/>
        <v>1.2662403609433272E-3</v>
      </c>
      <c r="M37" s="18" cm="1">
        <f t="array" ref="M37">IFERROR(VALUE(_xll.BDP($B37,"INTERVAL_MAE_MOV_AVG","CALC_INTERVAL","520D","TECH_STUDIES_PARAM1_OVERRIDE",50,"USE_PREVIOUS_BUSINESS_DAY","N")),"")</f>
        <v>8.9307000045776359</v>
      </c>
      <c r="N37" s="18">
        <f t="shared" si="27"/>
        <v>6894.0953999999992</v>
      </c>
      <c r="O37" s="18" cm="1">
        <f t="array" ref="O37">IFERROR(VALUE(_xll.BDP($B37,"INTERVAL_MAE_MOV_AVG","CALC_INTERVAL","520D","TECH_STUDIES_PARAM1_OVERRIDE",50,"USE_PREVIOUS_BUSINESS_DAY","Y")),"")</f>
        <v>8.9303000000000008</v>
      </c>
      <c r="P37" s="18">
        <f t="shared" si="28"/>
        <v>6892.2477999999992</v>
      </c>
      <c r="Q37" s="18">
        <f t="shared" si="134"/>
        <v>1.2954128839844075E-3</v>
      </c>
      <c r="R37" s="18">
        <f t="shared" si="135"/>
        <v>1.2957021075185372E-3</v>
      </c>
      <c r="S37" s="21" t="str">
        <f t="shared" si="136"/>
        <v>NEGATIVE</v>
      </c>
      <c r="T37" s="21" t="str">
        <f t="shared" si="137"/>
        <v/>
      </c>
      <c r="U37" s="21" t="str">
        <f t="shared" si="138"/>
        <v>DOWN</v>
      </c>
      <c r="V37" s="21" t="str">
        <f t="shared" si="139"/>
        <v>NEGATIVE</v>
      </c>
      <c r="W37" s="18" cm="1">
        <f t="array" ref="W37">IFERROR(VALUE(_xll.BDP($B37,"INTERVAL_MAE_MOV_AVG","CALC_INTERVAL","520D","TECH_STUDIES_PARAM1_OVERRIDE",65,"USE_PREVIOUS_BUSINESS_DAY","N")),"")</f>
        <v>8.7614615419827988</v>
      </c>
      <c r="X37" s="18">
        <f t="shared" si="29"/>
        <v>6856.0226153846133</v>
      </c>
      <c r="Y37" s="18" cm="1">
        <f t="array" ref="Y37">IFERROR(VALUE(_xll.BDP($B37,"INTERVAL_MAE_MOV_AVG","CALC_INTERVAL","520D","TECH_STUDIES_PARAM1_OVERRIDE",65,"USE_PREVIOUS_BUSINESS_DAY","Y")),"")</f>
        <v>8.7626153846153851</v>
      </c>
      <c r="Z37" s="18">
        <f t="shared" si="30"/>
        <v>6852.6203076923057</v>
      </c>
      <c r="AA37" s="18">
        <f t="shared" si="140"/>
        <v>1.2779219138400249E-3</v>
      </c>
      <c r="AB37" s="18">
        <f t="shared" si="141"/>
        <v>1.2787247784295072E-3</v>
      </c>
      <c r="AC37" s="22" t="str">
        <f t="shared" si="142"/>
        <v>DOWN</v>
      </c>
      <c r="AD37" s="22" t="str">
        <f t="shared" si="143"/>
        <v>DOWN</v>
      </c>
      <c r="AE37" s="21" t="str">
        <f t="shared" si="144"/>
        <v>NEGATIVE</v>
      </c>
      <c r="AF37" s="18" cm="1">
        <f t="array" ref="AF37">IFERROR(VALUE(_xll.BDP($B37,"INTERVAL_MAE_MOV_AVG","CALC_INTERVAL","65W","PERIODICITY_OVERRIDE","W","TECH_STUDIES_PARAM1_OVERRIDE",39,"USE_PREVIOUS_BUSINESS_DAY","N")),"")</f>
        <v>8.0279487238174845</v>
      </c>
      <c r="AG37" s="18">
        <f t="shared" si="31"/>
        <v>6560.7735897435905</v>
      </c>
      <c r="AH37" s="18" cm="1">
        <f t="array" ref="AH37">IFERROR(VALUE(_xll.BDP($B37,"INTERVAL_MAE_MOV_AVG","CALC_INTERVAL","65W","PERIODICITY_OVERRIDE","W","TECH_STUDIES_PARAM1_OVERRIDE",39,"USE_PREVIOUS_BUSINESS_DAY","Y")),"")</f>
        <v>8.0287179487179507</v>
      </c>
      <c r="AI37" s="18">
        <f t="shared" si="32"/>
        <v>6560.7823076923087</v>
      </c>
      <c r="AJ37" s="18">
        <f t="shared" si="145"/>
        <v>1.2236283746123351E-3</v>
      </c>
      <c r="AK37" s="18">
        <f t="shared" si="146"/>
        <v>1.2237439945697534E-3</v>
      </c>
      <c r="AL37" s="22" t="str">
        <f t="shared" si="147"/>
        <v>DOWN</v>
      </c>
      <c r="AM37" s="22" t="str">
        <f t="shared" si="148"/>
        <v>DOWN</v>
      </c>
      <c r="AN37" s="21" t="str">
        <f t="shared" si="149"/>
        <v>POSITIVE</v>
      </c>
      <c r="AO37" s="18" cm="1">
        <f t="array" ref="AO37">IFERROR(VALUE(_xll.BDP($B37,"INTERVAL_exp_MOV_AVG","CALC_INTERVAL","520D","TECH_STUDIES_PARAM1_OVERRIDE",100,"USE_PREVIOUS_BUSINESS_DAY","N")),"")</f>
        <v>8.7509720586859459</v>
      </c>
      <c r="AP37" s="18">
        <f t="shared" si="33"/>
        <v>6773.0064518682802</v>
      </c>
      <c r="AQ37" s="18" cm="1">
        <f t="array" ref="AQ37">IFERROR(VALUE(_xll.BDP($B37,"INTERVAL_exp_MOV_AVG","CALC_INTERVAL","520D","TECH_STUDIES_PARAM1_OVERRIDE",100,"USE_PREVIOUS_BUSINESS_DAY","Y")),"")</f>
        <v>8.7507977409041455</v>
      </c>
      <c r="AR37" s="18">
        <f t="shared" si="34"/>
        <v>6769.6039787132295</v>
      </c>
      <c r="AS37" s="18">
        <f t="shared" si="150"/>
        <v>1.292036575023793E-3</v>
      </c>
      <c r="AT37" s="18">
        <f t="shared" si="151"/>
        <v>1.2926602159329713E-3</v>
      </c>
      <c r="AU37" s="21" t="str">
        <f t="shared" si="152"/>
        <v>UP</v>
      </c>
      <c r="AV37" s="21" t="str">
        <f t="shared" si="153"/>
        <v>DOWN</v>
      </c>
      <c r="AW37" s="21" t="str">
        <f t="shared" si="154"/>
        <v>NEGATIVE</v>
      </c>
      <c r="AX37" s="19" cm="1">
        <f t="array" ref="AX37">_xll.BDP($B37, "INTERVAL_RSI", "TECH_STUDIES_PARAM1_OVERRIDE", "5", "PERIODICITY_OVERRIDE", "W")</f>
        <v>44.804460538452005</v>
      </c>
    </row>
    <row r="38" spans="1:50" x14ac:dyDescent="0.25">
      <c r="A38" s="18">
        <v>37</v>
      </c>
      <c r="B38" s="18" t="s">
        <v>100</v>
      </c>
      <c r="D38" s="19">
        <f>IFERROR(VALUE((_xll.BDP($B38,"interval_rsi","tech_studies_param1_override",14))),"")</f>
        <v>74.083008507675075</v>
      </c>
      <c r="E38" s="20">
        <f t="shared" si="24"/>
        <v>52.525531939815814</v>
      </c>
      <c r="F38" s="18">
        <f t="shared" si="131"/>
        <v>1</v>
      </c>
      <c r="G38" s="18" cm="1">
        <f t="array" ref="G38">IFERROR(VALUE(_xll.BDP($B38,"px_last")),"")</f>
        <v>186.27</v>
      </c>
      <c r="H38" s="18">
        <f t="shared" si="25"/>
        <v>6941.47</v>
      </c>
      <c r="I38" s="18" cm="1">
        <f t="array" ref="I38">IFERROR(VALUE(_xll.BDP($B38,"PX_YEST_CLOSE")),"")</f>
        <v>182.69</v>
      </c>
      <c r="J38" s="18">
        <f t="shared" si="26"/>
        <v>6941.81</v>
      </c>
      <c r="K38" s="18">
        <f t="shared" si="132"/>
        <v>2.6834373698942732E-2</v>
      </c>
      <c r="L38" s="18">
        <f t="shared" si="133"/>
        <v>2.631734374752406E-2</v>
      </c>
      <c r="M38" s="18" cm="1">
        <f t="array" ref="M38">IFERROR(VALUE(_xll.BDP($B38,"INTERVAL_MAE_MOV_AVG","CALC_INTERVAL","520D","TECH_STUDIES_PARAM1_OVERRIDE",50,"USE_PREVIOUS_BUSINESS_DAY","N")),"")</f>
        <v>164.56590756624919</v>
      </c>
      <c r="N38" s="18">
        <f t="shared" si="27"/>
        <v>6894.0953999999992</v>
      </c>
      <c r="O38" s="18" cm="1">
        <f t="array" ref="O38">IFERROR(VALUE(_xll.BDP($B38,"INTERVAL_MAE_MOV_AVG","CALC_INTERVAL","520D","TECH_STUDIES_PARAM1_OVERRIDE",50,"USE_PREVIOUS_BUSINESS_DAY","Y")),"")</f>
        <v>163.96164139599998</v>
      </c>
      <c r="P38" s="18">
        <f t="shared" si="28"/>
        <v>6892.2477999999992</v>
      </c>
      <c r="Q38" s="18">
        <f t="shared" si="134"/>
        <v>2.387055850231623E-2</v>
      </c>
      <c r="R38" s="18">
        <f t="shared" si="135"/>
        <v>2.3789284157194696E-2</v>
      </c>
      <c r="S38" s="21" t="str">
        <f t="shared" si="136"/>
        <v>POSITIVE</v>
      </c>
      <c r="T38" s="21" t="str">
        <f t="shared" si="137"/>
        <v/>
      </c>
      <c r="U38" s="21" t="str">
        <f t="shared" si="138"/>
        <v>UP</v>
      </c>
      <c r="V38" s="21" t="str">
        <f t="shared" si="139"/>
        <v>POSITIVE</v>
      </c>
      <c r="W38" s="18" cm="1">
        <f t="array" ref="W38">IFERROR(VALUE(_xll.BDP($B38,"INTERVAL_MAE_MOV_AVG","CALC_INTERVAL","520D","TECH_STUDIES_PARAM1_OVERRIDE",65,"USE_PREVIOUS_BUSINESS_DAY","N")),"")</f>
        <v>162.09532812634558</v>
      </c>
      <c r="X38" s="18">
        <f t="shared" si="29"/>
        <v>6856.0226153846133</v>
      </c>
      <c r="Y38" s="18" cm="1">
        <f t="array" ref="Y38">IFERROR(VALUE(_xll.BDP($B38,"INTERVAL_MAE_MOV_AVG","CALC_INTERVAL","520D","TECH_STUDIES_PARAM1_OVERRIDE",65,"USE_PREVIOUS_BUSINESS_DAY","Y")),"")</f>
        <v>161.5149465806154</v>
      </c>
      <c r="Z38" s="18">
        <f t="shared" si="30"/>
        <v>6852.6203076923057</v>
      </c>
      <c r="AA38" s="18">
        <f t="shared" si="140"/>
        <v>2.3642764503519983E-2</v>
      </c>
      <c r="AB38" s="18">
        <f t="shared" si="141"/>
        <v>2.3569808238070512E-2</v>
      </c>
      <c r="AC38" s="22" t="str">
        <f t="shared" si="142"/>
        <v>UP</v>
      </c>
      <c r="AD38" s="22" t="str">
        <f t="shared" si="143"/>
        <v>UP</v>
      </c>
      <c r="AE38" s="21" t="str">
        <f t="shared" si="144"/>
        <v>POSITIVE</v>
      </c>
      <c r="AF38" s="18" cm="1">
        <f t="array" ref="AF38">IFERROR(VALUE(_xll.BDP($B38,"INTERVAL_MAE_MOV_AVG","CALC_INTERVAL","65W","PERIODICITY_OVERRIDE","W","TECH_STUDIES_PARAM1_OVERRIDE",39,"USE_PREVIOUS_BUSINESS_DAY","N")),"")</f>
        <v>164.88919538679298</v>
      </c>
      <c r="AG38" s="18">
        <f t="shared" si="31"/>
        <v>6560.7735897435905</v>
      </c>
      <c r="AH38" s="18" cm="1">
        <f t="array" ref="AH38">IFERROR(VALUE(_xll.BDP($B38,"INTERVAL_MAE_MOV_AVG","CALC_INTERVAL","65W","PERIODICITY_OVERRIDE","W","TECH_STUDIES_PARAM1_OVERRIDE",39,"USE_PREVIOUS_BUSINESS_DAY","Y")),"")</f>
        <v>164.79740040544783</v>
      </c>
      <c r="AI38" s="18">
        <f t="shared" si="32"/>
        <v>6560.7823076923087</v>
      </c>
      <c r="AJ38" s="18">
        <f t="shared" si="145"/>
        <v>2.5132584310570184E-2</v>
      </c>
      <c r="AK38" s="18">
        <f t="shared" si="146"/>
        <v>2.5118559445605766E-2</v>
      </c>
      <c r="AL38" s="22" t="str">
        <f t="shared" si="147"/>
        <v>UP</v>
      </c>
      <c r="AM38" s="22" t="str">
        <f t="shared" si="148"/>
        <v>UP</v>
      </c>
      <c r="AN38" s="21" t="str">
        <f t="shared" si="149"/>
        <v>POSITIVE</v>
      </c>
      <c r="AO38" s="18" cm="1">
        <f t="array" ref="AO38">IFERROR(VALUE(_xll.BDP($B38,"INTERVAL_exp_MOV_AVG","CALC_INTERVAL","520D","TECH_STUDIES_PARAM1_OVERRIDE",100,"USE_PREVIOUS_BUSINESS_DAY","N")),"")</f>
        <v>163.79569163606857</v>
      </c>
      <c r="AP38" s="18">
        <f t="shared" si="33"/>
        <v>6773.0064518682802</v>
      </c>
      <c r="AQ38" s="18" cm="1">
        <f t="array" ref="AQ38">IFERROR(VALUE(_xll.BDP($B38,"INTERVAL_exp_MOV_AVG","CALC_INTERVAL","520D","TECH_STUDIES_PARAM1_OVERRIDE",100,"USE_PREVIOUS_BUSINESS_DAY","Y")),"")</f>
        <v>163.34168795530286</v>
      </c>
      <c r="AR38" s="18">
        <f t="shared" si="34"/>
        <v>6769.6039787132295</v>
      </c>
      <c r="AS38" s="18">
        <f t="shared" si="150"/>
        <v>2.4183601890839308E-2</v>
      </c>
      <c r="AT38" s="18">
        <f t="shared" si="151"/>
        <v>2.4128691791857365E-2</v>
      </c>
      <c r="AU38" s="21" t="str">
        <f t="shared" si="152"/>
        <v>UP</v>
      </c>
      <c r="AV38" s="21" t="str">
        <f t="shared" si="153"/>
        <v>UP</v>
      </c>
      <c r="AW38" s="21" t="str">
        <f t="shared" si="154"/>
        <v>POSITIVE</v>
      </c>
      <c r="AX38" s="19" cm="1">
        <f t="array" ref="AX38">_xll.BDP($B38, "INTERVAL_RSI", "TECH_STUDIES_PARAM1_OVERRIDE", "5", "PERIODICITY_OVERRIDE", "W")</f>
        <v>88.986499683900917</v>
      </c>
    </row>
    <row r="39" spans="1:50" x14ac:dyDescent="0.25">
      <c r="A39" s="18">
        <v>38</v>
      </c>
      <c r="B39" s="18" t="s">
        <v>101</v>
      </c>
      <c r="D39" s="19">
        <f>IFERROR(VALUE((_xll.BDP($B39,"interval_rsi","tech_studies_param1_override",14))),"")</f>
        <v>59.008604800484136</v>
      </c>
      <c r="E39" s="20">
        <f t="shared" si="24"/>
        <v>52.525531939815814</v>
      </c>
      <c r="F39" s="18">
        <f t="shared" si="131"/>
        <v>0</v>
      </c>
      <c r="G39" s="18" cm="1">
        <f t="array" ref="G39">IFERROR(VALUE(_xll.BDP($B39,"px_last")),"")</f>
        <v>19.22</v>
      </c>
      <c r="H39" s="18">
        <f t="shared" si="25"/>
        <v>6941.47</v>
      </c>
      <c r="I39" s="18" cm="1">
        <f t="array" ref="I39">IFERROR(VALUE(_xll.BDP($B39,"PX_YEST_CLOSE")),"")</f>
        <v>18.850000000000001</v>
      </c>
      <c r="J39" s="18">
        <f t="shared" si="26"/>
        <v>6941.81</v>
      </c>
      <c r="K39" s="18">
        <f t="shared" si="132"/>
        <v>2.7688659606682734E-3</v>
      </c>
      <c r="L39" s="18">
        <f t="shared" si="133"/>
        <v>2.715430125572437E-3</v>
      </c>
      <c r="M39" s="18" cm="1">
        <f t="array" ref="M39">IFERROR(VALUE(_xll.BDP($B39,"INTERVAL_MAE_MOV_AVG","CALC_INTERVAL","520D","TECH_STUDIES_PARAM1_OVERRIDE",50,"USE_PREVIOUS_BUSINESS_DAY","N")),"")</f>
        <v>17.513399986267096</v>
      </c>
      <c r="N39" s="18">
        <f t="shared" si="27"/>
        <v>6894.0953999999992</v>
      </c>
      <c r="O39" s="18" cm="1">
        <f t="array" ref="O39">IFERROR(VALUE(_xll.BDP($B39,"INTERVAL_MAE_MOV_AVG","CALC_INTERVAL","520D","TECH_STUDIES_PARAM1_OVERRIDE",50,"USE_PREVIOUS_BUSINESS_DAY","Y")),"")</f>
        <v>17.442800000000005</v>
      </c>
      <c r="P39" s="18">
        <f t="shared" si="28"/>
        <v>6892.2477999999992</v>
      </c>
      <c r="Q39" s="18">
        <f t="shared" si="134"/>
        <v>2.5403477860586462E-3</v>
      </c>
      <c r="R39" s="18">
        <f t="shared" si="135"/>
        <v>2.5307853847042479E-3</v>
      </c>
      <c r="S39" s="21" t="str">
        <f t="shared" si="136"/>
        <v>NEGATIVE</v>
      </c>
      <c r="T39" s="21" t="str">
        <f t="shared" si="137"/>
        <v/>
      </c>
      <c r="U39" s="21" t="str">
        <f t="shared" si="138"/>
        <v>UP</v>
      </c>
      <c r="V39" s="21" t="str">
        <f t="shared" si="139"/>
        <v>POSITIVE</v>
      </c>
      <c r="W39" s="18" cm="1">
        <f t="array" ref="W39">IFERROR(VALUE(_xll.BDP($B39,"INTERVAL_MAE_MOV_AVG","CALC_INTERVAL","520D","TECH_STUDIES_PARAM1_OVERRIDE",65,"USE_PREVIOUS_BUSINESS_DAY","N")),"")</f>
        <v>17.030284817743922</v>
      </c>
      <c r="X39" s="18">
        <f t="shared" si="29"/>
        <v>6856.0226153846133</v>
      </c>
      <c r="Y39" s="18" cm="1">
        <f t="array" ref="Y39">IFERROR(VALUE(_xll.BDP($B39,"INTERVAL_MAE_MOV_AVG","CALC_INTERVAL","520D","TECH_STUDIES_PARAM1_OVERRIDE",65,"USE_PREVIOUS_BUSINESS_DAY","Y")),"")</f>
        <v>17.005080108307702</v>
      </c>
      <c r="Z39" s="18">
        <f t="shared" si="30"/>
        <v>6852.6203076923057</v>
      </c>
      <c r="AA39" s="18">
        <f t="shared" si="140"/>
        <v>2.4839890083688918E-3</v>
      </c>
      <c r="AB39" s="18">
        <f t="shared" si="141"/>
        <v>2.4815441896319434E-3</v>
      </c>
      <c r="AC39" s="22" t="str">
        <f t="shared" si="142"/>
        <v>UP</v>
      </c>
      <c r="AD39" s="22" t="str">
        <f t="shared" si="143"/>
        <v>UP</v>
      </c>
      <c r="AE39" s="21" t="str">
        <f t="shared" si="144"/>
        <v>POSITIVE</v>
      </c>
      <c r="AF39" s="18" cm="1">
        <f t="array" ref="AF39">IFERROR(VALUE(_xll.BDP($B39,"INTERVAL_MAE_MOV_AVG","CALC_INTERVAL","65W","PERIODICITY_OVERRIDE","W","TECH_STUDIES_PARAM1_OVERRIDE",39,"USE_PREVIOUS_BUSINESS_DAY","N")),"")</f>
        <v>22.610215377466357</v>
      </c>
      <c r="AG39" s="18">
        <f t="shared" si="31"/>
        <v>6560.7735897435905</v>
      </c>
      <c r="AH39" s="18" cm="1">
        <f t="array" ref="AH39">IFERROR(VALUE(_xll.BDP($B39,"INTERVAL_MAE_MOV_AVG","CALC_INTERVAL","65W","PERIODICITY_OVERRIDE","W","TECH_STUDIES_PARAM1_OVERRIDE",39,"USE_PREVIOUS_BUSINESS_DAY","Y")),"")</f>
        <v>22.600728215585473</v>
      </c>
      <c r="AI39" s="18">
        <f t="shared" si="32"/>
        <v>6560.7823076923087</v>
      </c>
      <c r="AJ39" s="18">
        <f t="shared" si="145"/>
        <v>3.4462727707617806E-3</v>
      </c>
      <c r="AK39" s="18">
        <f t="shared" si="146"/>
        <v>3.4448221501095742E-3</v>
      </c>
      <c r="AL39" s="22" t="str">
        <f t="shared" si="147"/>
        <v>UP</v>
      </c>
      <c r="AM39" s="22" t="str">
        <f t="shared" si="148"/>
        <v>UP</v>
      </c>
      <c r="AN39" s="21" t="str">
        <f t="shared" si="149"/>
        <v>NEGATIVE</v>
      </c>
      <c r="AO39" s="18" cm="1">
        <f t="array" ref="AO39">IFERROR(VALUE(_xll.BDP($B39,"INTERVAL_exp_MOV_AVG","CALC_INTERVAL","520D","TECH_STUDIES_PARAM1_OVERRIDE",100,"USE_PREVIOUS_BUSINESS_DAY","N")),"")</f>
        <v>19.440823047132934</v>
      </c>
      <c r="AP39" s="18">
        <f t="shared" si="33"/>
        <v>6773.0064518682802</v>
      </c>
      <c r="AQ39" s="18" cm="1">
        <f t="array" ref="AQ39">IFERROR(VALUE(_xll.BDP($B39,"INTERVAL_exp_MOV_AVG","CALC_INTERVAL","520D","TECH_STUDIES_PARAM1_OVERRIDE",100,"USE_PREVIOUS_BUSINESS_DAY","Y")),"")</f>
        <v>19.445280935357104</v>
      </c>
      <c r="AR39" s="18">
        <f t="shared" si="34"/>
        <v>6769.6039787132295</v>
      </c>
      <c r="AS39" s="18">
        <f t="shared" si="150"/>
        <v>2.8703387757397364E-3</v>
      </c>
      <c r="AT39" s="18">
        <f t="shared" si="151"/>
        <v>2.8724399531349356E-3</v>
      </c>
      <c r="AU39" s="21" t="str">
        <f t="shared" si="152"/>
        <v>DOWN</v>
      </c>
      <c r="AV39" s="21" t="str">
        <f t="shared" si="153"/>
        <v>DOWN</v>
      </c>
      <c r="AW39" s="21" t="str">
        <f t="shared" si="154"/>
        <v>NEGATIVE</v>
      </c>
      <c r="AX39" s="19" cm="1">
        <f t="array" ref="AX39">_xll.BDP($B39, "INTERVAL_RSI", "TECH_STUDIES_PARAM1_OVERRIDE", "5", "PERIODICITY_OVERRIDE", "W")</f>
        <v>62.422241228008318</v>
      </c>
    </row>
    <row r="40" spans="1:50" x14ac:dyDescent="0.25">
      <c r="A40" s="18">
        <v>39</v>
      </c>
      <c r="B40" s="18" t="s">
        <v>92</v>
      </c>
      <c r="D40" s="19">
        <f>IFERROR(VALUE((_xll.BDP($B40,"interval_rsi","tech_studies_param1_override",14))),"")</f>
        <v>42.502755697876268</v>
      </c>
      <c r="E40" s="20">
        <f t="shared" si="24"/>
        <v>52.525531939815814</v>
      </c>
      <c r="F40" s="18">
        <f t="shared" si="131"/>
        <v>0</v>
      </c>
      <c r="G40" s="18" cm="1">
        <f t="array" ref="G40">IFERROR(VALUE(_xll.BDP($B40,"px_last")),"")</f>
        <v>9.23</v>
      </c>
      <c r="H40" s="18">
        <f t="shared" si="25"/>
        <v>6941.47</v>
      </c>
      <c r="I40" s="18" cm="1">
        <f t="array" ref="I40">IFERROR(VALUE(_xll.BDP($B40,"PX_YEST_CLOSE")),"")</f>
        <v>9.68</v>
      </c>
      <c r="J40" s="18">
        <f t="shared" si="26"/>
        <v>6941.81</v>
      </c>
      <c r="K40" s="18">
        <f t="shared" si="132"/>
        <v>1.3296895326206121E-3</v>
      </c>
      <c r="L40" s="18">
        <f t="shared" si="133"/>
        <v>1.3944489981719463E-3</v>
      </c>
      <c r="M40" s="18" cm="1">
        <f t="array" ref="M40">IFERROR(VALUE(_xll.BDP($B40,"INTERVAL_MAE_MOV_AVG","CALC_INTERVAL","520D","TECH_STUDIES_PARAM1_OVERRIDE",50,"USE_PREVIOUS_BUSINESS_DAY","N")),"")</f>
        <v>10.383899990844725</v>
      </c>
      <c r="N40" s="18">
        <f t="shared" si="27"/>
        <v>6894.0953999999992</v>
      </c>
      <c r="O40" s="18" cm="1">
        <f t="array" ref="O40">IFERROR(VALUE(_xll.BDP($B40,"INTERVAL_MAE_MOV_AVG","CALC_INTERVAL","520D","TECH_STUDIES_PARAM1_OVERRIDE",50,"USE_PREVIOUS_BUSINESS_DAY","Y")),"")</f>
        <v>10.357299999999999</v>
      </c>
      <c r="P40" s="18">
        <f t="shared" si="28"/>
        <v>6892.2477999999992</v>
      </c>
      <c r="Q40" s="18">
        <f t="shared" si="134"/>
        <v>1.5062019581052978E-3</v>
      </c>
      <c r="R40" s="18">
        <f t="shared" si="135"/>
        <v>1.5027463173915483E-3</v>
      </c>
      <c r="S40" s="21" t="str">
        <f t="shared" si="136"/>
        <v>NEGATIVE</v>
      </c>
      <c r="T40" s="21" t="str">
        <f t="shared" si="137"/>
        <v/>
      </c>
      <c r="U40" s="21" t="str">
        <f t="shared" si="138"/>
        <v>UP</v>
      </c>
      <c r="V40" s="21" t="str">
        <f t="shared" si="139"/>
        <v>NEGATIVE</v>
      </c>
      <c r="W40" s="18" cm="1">
        <f t="array" ref="W40">IFERROR(VALUE(_xll.BDP($B40,"INTERVAL_MAE_MOV_AVG","CALC_INTERVAL","520D","TECH_STUDIES_PARAM1_OVERRIDE",65,"USE_PREVIOUS_BUSINESS_DAY","N")),"")</f>
        <v>9.5974615314190181</v>
      </c>
      <c r="X40" s="18">
        <f t="shared" si="29"/>
        <v>6856.0226153846133</v>
      </c>
      <c r="Y40" s="18" cm="1">
        <f t="array" ref="Y40">IFERROR(VALUE(_xll.BDP($B40,"INTERVAL_MAE_MOV_AVG","CALC_INTERVAL","520D","TECH_STUDIES_PARAM1_OVERRIDE",65,"USE_PREVIOUS_BUSINESS_DAY","Y")),"")</f>
        <v>9.536230769230766</v>
      </c>
      <c r="Z40" s="18">
        <f t="shared" si="30"/>
        <v>6852.6203076923057</v>
      </c>
      <c r="AA40" s="18">
        <f t="shared" si="140"/>
        <v>1.3998584995741899E-3</v>
      </c>
      <c r="AB40" s="18">
        <f t="shared" si="141"/>
        <v>1.3916181462040168E-3</v>
      </c>
      <c r="AC40" s="22" t="str">
        <f t="shared" si="142"/>
        <v>UP</v>
      </c>
      <c r="AD40" s="22" t="str">
        <f t="shared" si="143"/>
        <v>UP</v>
      </c>
      <c r="AE40" s="21" t="str">
        <f t="shared" si="144"/>
        <v>SELL</v>
      </c>
      <c r="AF40" s="18" cm="1">
        <f t="array" ref="AF40">IFERROR(VALUE(_xll.BDP($B40,"INTERVAL_MAE_MOV_AVG","CALC_INTERVAL","65W","PERIODICITY_OVERRIDE","W","TECH_STUDIES_PARAM1_OVERRIDE",39,"USE_PREVIOUS_BUSINESS_DAY","N")),"")</f>
        <v>6.308764090826573</v>
      </c>
      <c r="AG40" s="18">
        <f t="shared" si="31"/>
        <v>6560.7735897435905</v>
      </c>
      <c r="AH40" s="18" cm="1">
        <f t="array" ref="AH40">IFERROR(VALUE(_xll.BDP($B40,"INTERVAL_MAE_MOV_AVG","CALC_INTERVAL","65W","PERIODICITY_OVERRIDE","W","TECH_STUDIES_PARAM1_OVERRIDE",39,"USE_PREVIOUS_BUSINESS_DAY","Y")),"")</f>
        <v>6.3203025641025645</v>
      </c>
      <c r="AI40" s="18">
        <f t="shared" si="32"/>
        <v>6560.7823076923087</v>
      </c>
      <c r="AJ40" s="18">
        <f t="shared" si="145"/>
        <v>9.6158844754054887E-4</v>
      </c>
      <c r="AK40" s="18">
        <f t="shared" si="146"/>
        <v>9.6334587366086067E-4</v>
      </c>
      <c r="AL40" s="22" t="str">
        <f t="shared" si="147"/>
        <v>DOWN</v>
      </c>
      <c r="AM40" s="22" t="str">
        <f t="shared" si="148"/>
        <v>DOWN</v>
      </c>
      <c r="AN40" s="21" t="str">
        <f t="shared" si="149"/>
        <v>POSITIVE</v>
      </c>
      <c r="AO40" s="18" cm="1">
        <f t="array" ref="AO40">IFERROR(VALUE(_xll.BDP($B40,"INTERVAL_exp_MOV_AVG","CALC_INTERVAL","520D","TECH_STUDIES_PARAM1_OVERRIDE",100,"USE_PREVIOUS_BUSINESS_DAY","N")),"")</f>
        <v>8.8946630365178567</v>
      </c>
      <c r="AP40" s="18">
        <f t="shared" si="33"/>
        <v>6773.0064518682802</v>
      </c>
      <c r="AQ40" s="18" cm="1">
        <f t="array" ref="AQ40">IFERROR(VALUE(_xll.BDP($B40,"INTERVAL_exp_MOV_AVG","CALC_INTERVAL","520D","TECH_STUDIES_PARAM1_OVERRIDE",100,"USE_PREVIOUS_BUSINESS_DAY","Y")),"")</f>
        <v>8.8878915101241454</v>
      </c>
      <c r="AR40" s="18">
        <f t="shared" si="34"/>
        <v>6769.6039787132295</v>
      </c>
      <c r="AS40" s="18">
        <f t="shared" si="150"/>
        <v>1.3132518180407661E-3</v>
      </c>
      <c r="AT40" s="18">
        <f t="shared" si="151"/>
        <v>1.3129115880444104E-3</v>
      </c>
      <c r="AU40" s="21" t="str">
        <f t="shared" si="152"/>
        <v>UP</v>
      </c>
      <c r="AV40" s="21" t="str">
        <f t="shared" si="153"/>
        <v>UP</v>
      </c>
      <c r="AW40" s="21" t="str">
        <f t="shared" si="154"/>
        <v>POSITIVE</v>
      </c>
      <c r="AX40" s="19" cm="1">
        <f t="array" ref="AX40">_xll.BDP($B40, "INTERVAL_RSI", "TECH_STUDIES_PARAM1_OVERRIDE", "5", "PERIODICITY_OVERRIDE", "W")</f>
        <v>38.899675555420018</v>
      </c>
    </row>
    <row r="41" spans="1:50" x14ac:dyDescent="0.25">
      <c r="A41" s="18">
        <v>40</v>
      </c>
      <c r="B41" s="18" t="s">
        <v>104</v>
      </c>
      <c r="D41" s="19">
        <f>IFERROR(VALUE((_xll.BDP($B41,"interval_rsi","tech_studies_param1_override",14))),"")</f>
        <v>67.563363319887543</v>
      </c>
      <c r="E41" s="20">
        <f t="shared" si="24"/>
        <v>52.525531939815814</v>
      </c>
      <c r="F41" s="18">
        <f t="shared" si="131"/>
        <v>1</v>
      </c>
      <c r="G41" s="18" cm="1">
        <f t="array" ref="G41">IFERROR(VALUE(_xll.BDP($B41,"px_last")),"")</f>
        <v>27.06</v>
      </c>
      <c r="H41" s="18">
        <f t="shared" si="25"/>
        <v>6941.47</v>
      </c>
      <c r="I41" s="18" cm="1">
        <f t="array" ref="I41">IFERROR(VALUE(_xll.BDP($B41,"PX_YEST_CLOSE")),"")</f>
        <v>23.21</v>
      </c>
      <c r="J41" s="18">
        <f t="shared" si="26"/>
        <v>6941.81</v>
      </c>
      <c r="K41" s="18">
        <f t="shared" si="132"/>
        <v>3.8983097240209924E-3</v>
      </c>
      <c r="L41" s="18">
        <f t="shared" si="133"/>
        <v>3.3435083933440989E-3</v>
      </c>
      <c r="M41" s="18" cm="1">
        <f t="array" ref="M41">IFERROR(VALUE(_xll.BDP($B41,"INTERVAL_MAE_MOV_AVG","CALC_INTERVAL","520D","TECH_STUDIES_PARAM1_OVERRIDE",50,"USE_PREVIOUS_BUSINESS_DAY","N")),"")</f>
        <v>22.445199989318841</v>
      </c>
      <c r="N41" s="18">
        <f t="shared" si="27"/>
        <v>6894.0953999999992</v>
      </c>
      <c r="O41" s="18" cm="1">
        <f t="array" ref="O41">IFERROR(VALUE(_xll.BDP($B41,"INTERVAL_MAE_MOV_AVG","CALC_INTERVAL","520D","TECH_STUDIES_PARAM1_OVERRIDE",50,"USE_PREVIOUS_BUSINESS_DAY","Y")),"")</f>
        <v>22.278599999999994</v>
      </c>
      <c r="P41" s="18">
        <f t="shared" si="28"/>
        <v>6892.2477999999992</v>
      </c>
      <c r="Q41" s="18">
        <f t="shared" si="134"/>
        <v>3.2557135761885226E-3</v>
      </c>
      <c r="R41" s="18">
        <f t="shared" si="135"/>
        <v>3.2324142495282885E-3</v>
      </c>
      <c r="S41" s="21" t="str">
        <f t="shared" si="136"/>
        <v>POSITIVE</v>
      </c>
      <c r="T41" s="21" t="str">
        <f t="shared" si="137"/>
        <v/>
      </c>
      <c r="U41" s="21" t="str">
        <f t="shared" si="138"/>
        <v>UP</v>
      </c>
      <c r="V41" s="21" t="str">
        <f t="shared" si="139"/>
        <v>POSITIVE</v>
      </c>
      <c r="W41" s="18" cm="1">
        <f t="array" ref="W41">IFERROR(VALUE(_xll.BDP($B41,"INTERVAL_MAE_MOV_AVG","CALC_INTERVAL","520D","TECH_STUDIES_PARAM1_OVERRIDE",65,"USE_PREVIOUS_BUSINESS_DAY","N")),"")</f>
        <v>21.309999991783727</v>
      </c>
      <c r="X41" s="18">
        <f t="shared" si="29"/>
        <v>6856.0226153846133</v>
      </c>
      <c r="Y41" s="18" cm="1">
        <f t="array" ref="Y41">IFERROR(VALUE(_xll.BDP($B41,"INTERVAL_MAE_MOV_AVG","CALC_INTERVAL","520D","TECH_STUDIES_PARAM1_OVERRIDE",65,"USE_PREVIOUS_BUSINESS_DAY","Y")),"")</f>
        <v>21.141999999999999</v>
      </c>
      <c r="Z41" s="18">
        <f t="shared" si="30"/>
        <v>6852.6203076923057</v>
      </c>
      <c r="AA41" s="18">
        <f t="shared" si="140"/>
        <v>3.1082161170187836E-3</v>
      </c>
      <c r="AB41" s="18">
        <f t="shared" si="141"/>
        <v>3.0852431698670602E-3</v>
      </c>
      <c r="AC41" s="22" t="str">
        <f t="shared" si="142"/>
        <v>UP</v>
      </c>
      <c r="AD41" s="22" t="str">
        <f t="shared" si="143"/>
        <v>UP</v>
      </c>
      <c r="AE41" s="21" t="str">
        <f t="shared" si="144"/>
        <v>POSITIVE</v>
      </c>
      <c r="AF41" s="18" cm="1">
        <f t="array" ref="AF41">IFERROR(VALUE(_xll.BDP($B41,"INTERVAL_MAE_MOV_AVG","CALC_INTERVAL","65W","PERIODICITY_OVERRIDE","W","TECH_STUDIES_PARAM1_OVERRIDE",39,"USE_PREVIOUS_BUSINESS_DAY","N")),"")</f>
        <v>20.512307678613908</v>
      </c>
      <c r="AG41" s="18">
        <f t="shared" si="31"/>
        <v>6560.7735897435905</v>
      </c>
      <c r="AH41" s="18" cm="1">
        <f t="array" ref="AH41">IFERROR(VALUE(_xll.BDP($B41,"INTERVAL_MAE_MOV_AVG","CALC_INTERVAL","65W","PERIODICITY_OVERRIDE","W","TECH_STUDIES_PARAM1_OVERRIDE",39,"USE_PREVIOUS_BUSINESS_DAY","Y")),"")</f>
        <v>20.413589743589743</v>
      </c>
      <c r="AI41" s="18">
        <f t="shared" si="32"/>
        <v>6560.7823076923087</v>
      </c>
      <c r="AJ41" s="18">
        <f t="shared" si="145"/>
        <v>3.1265074762952725E-3</v>
      </c>
      <c r="AK41" s="18">
        <f t="shared" si="146"/>
        <v>3.1114566504752729E-3</v>
      </c>
      <c r="AL41" s="22" t="str">
        <f t="shared" si="147"/>
        <v>UP</v>
      </c>
      <c r="AM41" s="22" t="str">
        <f t="shared" si="148"/>
        <v>UP</v>
      </c>
      <c r="AN41" s="21" t="str">
        <f t="shared" si="149"/>
        <v>POSITIVE</v>
      </c>
      <c r="AO41" s="18" cm="1">
        <f t="array" ref="AO41">IFERROR(VALUE(_xll.BDP($B41,"INTERVAL_exp_MOV_AVG","CALC_INTERVAL","520D","TECH_STUDIES_PARAM1_OVERRIDE",100,"USE_PREVIOUS_BUSINESS_DAY","N")),"")</f>
        <v>21.270925178690405</v>
      </c>
      <c r="AP41" s="18">
        <f t="shared" si="33"/>
        <v>6773.0064518682802</v>
      </c>
      <c r="AQ41" s="18" cm="1">
        <f t="array" ref="AQ41">IFERROR(VALUE(_xll.BDP($B41,"INTERVAL_exp_MOV_AVG","CALC_INTERVAL","520D","TECH_STUDIES_PARAM1_OVERRIDE",100,"USE_PREVIOUS_BUSINESS_DAY","Y")),"")</f>
        <v>21.15416448129292</v>
      </c>
      <c r="AR41" s="18">
        <f t="shared" si="34"/>
        <v>6769.6039787132295</v>
      </c>
      <c r="AS41" s="18">
        <f t="shared" si="150"/>
        <v>3.1405440596949364E-3</v>
      </c>
      <c r="AT41" s="18">
        <f t="shared" si="151"/>
        <v>3.1248747412420891E-3</v>
      </c>
      <c r="AU41" s="21" t="str">
        <f t="shared" si="152"/>
        <v>UP</v>
      </c>
      <c r="AV41" s="21" t="str">
        <f t="shared" si="153"/>
        <v>UP</v>
      </c>
      <c r="AW41" s="21" t="str">
        <f t="shared" si="154"/>
        <v>POSITIVE</v>
      </c>
      <c r="AX41" s="19" cm="1">
        <f t="array" ref="AX41">_xll.BDP($B41, "INTERVAL_RSI", "TECH_STUDIES_PARAM1_OVERRIDE", "5", "PERIODICITY_OVERRIDE", "W")</f>
        <v>75.647825265226345</v>
      </c>
    </row>
    <row r="42" spans="1:50" x14ac:dyDescent="0.25">
      <c r="A42" s="18">
        <v>41</v>
      </c>
      <c r="B42" s="18" t="s">
        <v>105</v>
      </c>
      <c r="D42" s="19">
        <f>IFERROR(VALUE((_xll.BDP($B42,"interval_rsi","tech_studies_param1_override",14))),"")</f>
        <v>43.543907137143435</v>
      </c>
      <c r="E42" s="20">
        <f t="shared" si="24"/>
        <v>52.525531939815814</v>
      </c>
      <c r="F42" s="18">
        <f t="shared" si="131"/>
        <v>0</v>
      </c>
      <c r="G42" s="18" cm="1">
        <f t="array" ref="G42">IFERROR(VALUE(_xll.BDP($B42,"px_last")),"")</f>
        <v>68.989999999999995</v>
      </c>
      <c r="H42" s="18">
        <f t="shared" si="25"/>
        <v>6941.47</v>
      </c>
      <c r="I42" s="18" cm="1">
        <f t="array" ref="I42">IFERROR(VALUE(_xll.BDP($B42,"PX_YEST_CLOSE")),"")</f>
        <v>71.94</v>
      </c>
      <c r="J42" s="18">
        <f t="shared" si="26"/>
        <v>6941.81</v>
      </c>
      <c r="K42" s="18">
        <f t="shared" si="132"/>
        <v>9.9388169940949102E-3</v>
      </c>
      <c r="L42" s="18">
        <f t="shared" si="133"/>
        <v>1.0363291418232419E-2</v>
      </c>
      <c r="M42" s="18" cm="1">
        <f t="array" ref="M42">IFERROR(VALUE(_xll.BDP($B42,"INTERVAL_MAE_MOV_AVG","CALC_INTERVAL","520D","TECH_STUDIES_PARAM1_OVERRIDE",50,"USE_PREVIOUS_BUSINESS_DAY","N")),"")</f>
        <v>80.476199957275398</v>
      </c>
      <c r="N42" s="18">
        <f t="shared" si="27"/>
        <v>6894.0953999999992</v>
      </c>
      <c r="O42" s="18" cm="1">
        <f t="array" ref="O42">IFERROR(VALUE(_xll.BDP($B42,"INTERVAL_MAE_MOV_AVG","CALC_INTERVAL","520D","TECH_STUDIES_PARAM1_OVERRIDE",50,"USE_PREVIOUS_BUSINESS_DAY","Y")),"")</f>
        <v>80.997000000000014</v>
      </c>
      <c r="P42" s="18">
        <f t="shared" si="28"/>
        <v>6892.2477999999992</v>
      </c>
      <c r="Q42" s="18">
        <f t="shared" si="134"/>
        <v>1.1673206604781739E-2</v>
      </c>
      <c r="R42" s="18">
        <f t="shared" si="135"/>
        <v>1.1751898995854448E-2</v>
      </c>
      <c r="S42" s="21" t="str">
        <f t="shared" si="136"/>
        <v>NEGATIVE</v>
      </c>
      <c r="T42" s="21" t="str">
        <f t="shared" si="137"/>
        <v/>
      </c>
      <c r="U42" s="21" t="str">
        <f t="shared" si="138"/>
        <v>DOWN</v>
      </c>
      <c r="V42" s="21" t="str">
        <f t="shared" si="139"/>
        <v>NEGATIVE</v>
      </c>
      <c r="W42" s="18" cm="1">
        <f t="array" ref="W42">IFERROR(VALUE(_xll.BDP($B42,"INTERVAL_MAE_MOV_AVG","CALC_INTERVAL","520D","TECH_STUDIES_PARAM1_OVERRIDE",65,"USE_PREVIOUS_BUSINESS_DAY","N")),"")</f>
        <v>84.604769197904147</v>
      </c>
      <c r="X42" s="18">
        <f t="shared" si="29"/>
        <v>6856.0226153846133</v>
      </c>
      <c r="Y42" s="18" cm="1">
        <f t="array" ref="Y42">IFERROR(VALUE(_xll.BDP($B42,"INTERVAL_MAE_MOV_AVG","CALC_INTERVAL","520D","TECH_STUDIES_PARAM1_OVERRIDE",65,"USE_PREVIOUS_BUSINESS_DAY","Y")),"")</f>
        <v>85.101538461538453</v>
      </c>
      <c r="Z42" s="18">
        <f t="shared" si="30"/>
        <v>6852.6203076923057</v>
      </c>
      <c r="AA42" s="18">
        <f t="shared" si="140"/>
        <v>1.2340211510979379E-2</v>
      </c>
      <c r="AB42" s="18">
        <f t="shared" si="141"/>
        <v>1.2418831722809595E-2</v>
      </c>
      <c r="AC42" s="22" t="str">
        <f t="shared" si="142"/>
        <v>DOWN</v>
      </c>
      <c r="AD42" s="22" t="str">
        <f t="shared" si="143"/>
        <v>DOWN</v>
      </c>
      <c r="AE42" s="21" t="str">
        <f t="shared" si="144"/>
        <v>NEGATIVE</v>
      </c>
      <c r="AF42" s="18" cm="1">
        <f t="array" ref="AF42">IFERROR(VALUE(_xll.BDP($B42,"INTERVAL_MAE_MOV_AVG","CALC_INTERVAL","65W","PERIODICITY_OVERRIDE","W","TECH_STUDIES_PARAM1_OVERRIDE",39,"USE_PREVIOUS_BUSINESS_DAY","N")),"")</f>
        <v>103.84358968881465</v>
      </c>
      <c r="AG42" s="18">
        <f t="shared" si="31"/>
        <v>6560.7735897435905</v>
      </c>
      <c r="AH42" s="18" cm="1">
        <f t="array" ref="AH42">IFERROR(VALUE(_xll.BDP($B42,"INTERVAL_MAE_MOV_AVG","CALC_INTERVAL","65W","PERIODICITY_OVERRIDE","W","TECH_STUDIES_PARAM1_OVERRIDE",39,"USE_PREVIOUS_BUSINESS_DAY","Y")),"")</f>
        <v>103.91923076923081</v>
      </c>
      <c r="AI42" s="18">
        <f t="shared" si="32"/>
        <v>6560.7823076923087</v>
      </c>
      <c r="AJ42" s="18">
        <f t="shared" si="145"/>
        <v>1.5827948986252564E-2</v>
      </c>
      <c r="AK42" s="18">
        <f t="shared" si="146"/>
        <v>1.5839457231706777E-2</v>
      </c>
      <c r="AL42" s="22" t="str">
        <f t="shared" si="147"/>
        <v>DOWN</v>
      </c>
      <c r="AM42" s="22" t="str">
        <f t="shared" si="148"/>
        <v>DOWN</v>
      </c>
      <c r="AN42" s="21" t="str">
        <f t="shared" si="149"/>
        <v>NEGATIVE</v>
      </c>
      <c r="AO42" s="18" cm="1">
        <f t="array" ref="AO42">IFERROR(VALUE(_xll.BDP($B42,"INTERVAL_exp_MOV_AVG","CALC_INTERVAL","520D","TECH_STUDIES_PARAM1_OVERRIDE",100,"USE_PREVIOUS_BUSINESS_DAY","N")),"")</f>
        <v>90.771602165828682</v>
      </c>
      <c r="AP42" s="18">
        <f t="shared" si="33"/>
        <v>6773.0064518682802</v>
      </c>
      <c r="AQ42" s="18" cm="1">
        <f t="array" ref="AQ42">IFERROR(VALUE(_xll.BDP($B42,"INTERVAL_exp_MOV_AVG","CALC_INTERVAL","520D","TECH_STUDIES_PARAM1_OVERRIDE",100,"USE_PREVIOUS_BUSINESS_DAY","Y")),"")</f>
        <v>91.211655370438891</v>
      </c>
      <c r="AR42" s="18">
        <f t="shared" si="34"/>
        <v>6769.6039787132295</v>
      </c>
      <c r="AS42" s="18">
        <f t="shared" si="150"/>
        <v>1.3401965997063246E-2</v>
      </c>
      <c r="AT42" s="18">
        <f t="shared" si="151"/>
        <v>1.3473706240017966E-2</v>
      </c>
      <c r="AU42" s="21" t="str">
        <f t="shared" si="152"/>
        <v>DOWN</v>
      </c>
      <c r="AV42" s="21" t="str">
        <f t="shared" si="153"/>
        <v>DOWN</v>
      </c>
      <c r="AW42" s="21" t="str">
        <f t="shared" si="154"/>
        <v>NEGATIVE</v>
      </c>
      <c r="AX42" s="19" cm="1">
        <f t="array" ref="AX42">_xll.BDP($B42, "INTERVAL_RSI", "TECH_STUDIES_PARAM1_OVERRIDE", "5", "PERIODICITY_OVERRIDE", "W")</f>
        <v>33.811935423070651</v>
      </c>
    </row>
    <row r="43" spans="1:50" x14ac:dyDescent="0.25">
      <c r="A43" s="18">
        <v>42</v>
      </c>
      <c r="B43" s="18" t="s">
        <v>106</v>
      </c>
      <c r="D43" s="19">
        <f>IFERROR(VALUE((_xll.BDP($B43,"interval_rsi","tech_studies_param1_override",14))),"")</f>
        <v>28.442858862404236</v>
      </c>
      <c r="E43" s="20">
        <f t="shared" si="24"/>
        <v>52.525531939815814</v>
      </c>
      <c r="F43" s="18">
        <f t="shared" si="131"/>
        <v>0</v>
      </c>
      <c r="G43" s="18" cm="1">
        <f t="array" ref="G43">IFERROR(VALUE(_xll.BDP($B43,"px_last")),"")</f>
        <v>2.88</v>
      </c>
      <c r="H43" s="18">
        <f t="shared" si="25"/>
        <v>6941.47</v>
      </c>
      <c r="I43" s="18" cm="1">
        <f t="array" ref="I43">IFERROR(VALUE(_xll.BDP($B43,"PX_YEST_CLOSE")),"")</f>
        <v>3.14</v>
      </c>
      <c r="J43" s="18">
        <f t="shared" si="26"/>
        <v>6941.81</v>
      </c>
      <c r="K43" s="18">
        <f t="shared" si="132"/>
        <v>4.1489770898671315E-4</v>
      </c>
      <c r="L43" s="18">
        <f t="shared" si="133"/>
        <v>4.5233159651445371E-4</v>
      </c>
      <c r="M43" s="18" cm="1">
        <f t="array" ref="M43">IFERROR(VALUE(_xll.BDP($B43,"INTERVAL_MAE_MOV_AVG","CALC_INTERVAL","520D","TECH_STUDIES_PARAM1_OVERRIDE",50,"USE_PREVIOUS_BUSINESS_DAY","N")),"")</f>
        <v>3.7286000022888182</v>
      </c>
      <c r="N43" s="18">
        <f t="shared" si="27"/>
        <v>6894.0953999999992</v>
      </c>
      <c r="O43" s="18" cm="1">
        <f t="array" ref="O43">IFERROR(VALUE(_xll.BDP($B43,"INTERVAL_MAE_MOV_AVG","CALC_INTERVAL","520D","TECH_STUDIES_PARAM1_OVERRIDE",50,"USE_PREVIOUS_BUSINESS_DAY","Y")),"")</f>
        <v>3.7503999999999995</v>
      </c>
      <c r="P43" s="18">
        <f t="shared" si="28"/>
        <v>6892.2477999999992</v>
      </c>
      <c r="Q43" s="18">
        <f t="shared" si="134"/>
        <v>5.4083962956022024E-4</v>
      </c>
      <c r="R43" s="18">
        <f t="shared" si="135"/>
        <v>5.4414758563962255E-4</v>
      </c>
      <c r="S43" s="21" t="str">
        <f t="shared" si="136"/>
        <v>NEGATIVE</v>
      </c>
      <c r="T43" s="21" t="str">
        <f t="shared" si="137"/>
        <v/>
      </c>
      <c r="U43" s="21" t="str">
        <f t="shared" si="138"/>
        <v>DOWN</v>
      </c>
      <c r="V43" s="21" t="str">
        <f t="shared" si="139"/>
        <v>NEGATIVE</v>
      </c>
      <c r="W43" s="18" cm="1">
        <f t="array" ref="W43">IFERROR(VALUE(_xll.BDP($B43,"INTERVAL_MAE_MOV_AVG","CALC_INTERVAL","520D","TECH_STUDIES_PARAM1_OVERRIDE",65,"USE_PREVIOUS_BUSINESS_DAY","N")),"")</f>
        <v>3.7441538479144754</v>
      </c>
      <c r="X43" s="18">
        <f t="shared" si="29"/>
        <v>6856.0226153846133</v>
      </c>
      <c r="Y43" s="18" cm="1">
        <f t="array" ref="Y43">IFERROR(VALUE(_xll.BDP($B43,"INTERVAL_MAE_MOV_AVG","CALC_INTERVAL","520D","TECH_STUDIES_PARAM1_OVERRIDE",65,"USE_PREVIOUS_BUSINESS_DAY","Y")),"")</f>
        <v>3.7556923076923074</v>
      </c>
      <c r="Z43" s="18">
        <f t="shared" si="30"/>
        <v>6852.6203076923057</v>
      </c>
      <c r="AA43" s="18">
        <f t="shared" si="140"/>
        <v>5.4611165364489304E-4</v>
      </c>
      <c r="AB43" s="18">
        <f t="shared" si="141"/>
        <v>5.4806659920678981E-4</v>
      </c>
      <c r="AC43" s="22" t="str">
        <f t="shared" si="142"/>
        <v>DOWN</v>
      </c>
      <c r="AD43" s="22" t="str">
        <f t="shared" si="143"/>
        <v>DOWN</v>
      </c>
      <c r="AE43" s="21" t="str">
        <f t="shared" si="144"/>
        <v>NEGATIVE</v>
      </c>
      <c r="AF43" s="18" cm="1">
        <f t="array" ref="AF43">IFERROR(VALUE(_xll.BDP($B43,"INTERVAL_MAE_MOV_AVG","CALC_INTERVAL","65W","PERIODICITY_OVERRIDE","W","TECH_STUDIES_PARAM1_OVERRIDE",39,"USE_PREVIOUS_BUSINESS_DAY","N")),"")</f>
        <v>4.0584615413959195</v>
      </c>
      <c r="AG43" s="18">
        <f t="shared" si="31"/>
        <v>6560.7735897435905</v>
      </c>
      <c r="AH43" s="18" cm="1">
        <f t="array" ref="AH43">IFERROR(VALUE(_xll.BDP($B43,"INTERVAL_MAE_MOV_AVG","CALC_INTERVAL","65W","PERIODICITY_OVERRIDE","W","TECH_STUDIES_PARAM1_OVERRIDE",39,"USE_PREVIOUS_BUSINESS_DAY","Y")),"")</f>
        <v>4.0651282051282038</v>
      </c>
      <c r="AI43" s="18">
        <f t="shared" si="32"/>
        <v>6560.7823076923087</v>
      </c>
      <c r="AJ43" s="18">
        <f t="shared" si="145"/>
        <v>6.1859496991947458E-4</v>
      </c>
      <c r="AK43" s="18">
        <f t="shared" si="146"/>
        <v>6.1961028646872953E-4</v>
      </c>
      <c r="AL43" s="22" t="str">
        <f t="shared" si="147"/>
        <v>DOWN</v>
      </c>
      <c r="AM43" s="22" t="str">
        <f t="shared" si="148"/>
        <v>DOWN</v>
      </c>
      <c r="AN43" s="21" t="str">
        <f t="shared" si="149"/>
        <v>NEGATIVE</v>
      </c>
      <c r="AO43" s="18" cm="1">
        <f t="array" ref="AO43">IFERROR(VALUE(_xll.BDP($B43,"INTERVAL_exp_MOV_AVG","CALC_INTERVAL","520D","TECH_STUDIES_PARAM1_OVERRIDE",100,"USE_PREVIOUS_BUSINESS_DAY","N")),"")</f>
        <v>3.8425110709167871</v>
      </c>
      <c r="AP43" s="18">
        <f t="shared" si="33"/>
        <v>6773.0064518682802</v>
      </c>
      <c r="AQ43" s="18" cm="1">
        <f t="array" ref="AQ43">IFERROR(VALUE(_xll.BDP($B43,"INTERVAL_exp_MOV_AVG","CALC_INTERVAL","520D","TECH_STUDIES_PARAM1_OVERRIDE",100,"USE_PREVIOUS_BUSINESS_DAY","Y")),"")</f>
        <v>3.8619510812263584</v>
      </c>
      <c r="AR43" s="18">
        <f t="shared" si="34"/>
        <v>6769.6039787132295</v>
      </c>
      <c r="AS43" s="18">
        <f t="shared" si="150"/>
        <v>5.6732724207827394E-4</v>
      </c>
      <c r="AT43" s="18">
        <f t="shared" si="151"/>
        <v>5.7048404801375704E-4</v>
      </c>
      <c r="AU43" s="21" t="str">
        <f t="shared" si="152"/>
        <v>DOWN</v>
      </c>
      <c r="AV43" s="21" t="str">
        <f t="shared" si="153"/>
        <v>DOWN</v>
      </c>
      <c r="AW43" s="21" t="str">
        <f t="shared" si="154"/>
        <v>NEGATIVE</v>
      </c>
      <c r="AX43" s="19" cm="1">
        <f t="array" ref="AX43">_xll.BDP($B43, "INTERVAL_RSI", "TECH_STUDIES_PARAM1_OVERRIDE", "5", "PERIODICITY_OVERRIDE", "W")</f>
        <v>18.105375123316762</v>
      </c>
    </row>
    <row r="44" spans="1:50" x14ac:dyDescent="0.25">
      <c r="A44" s="18">
        <v>43</v>
      </c>
      <c r="B44" s="18" t="s">
        <v>108</v>
      </c>
      <c r="D44" s="19">
        <f>IFERROR(VALUE((_xll.BDP($B44,"interval_rsi","tech_studies_param1_override",14))),"")</f>
        <v>41.503841419056016</v>
      </c>
      <c r="E44" s="20">
        <f t="shared" si="24"/>
        <v>52.525531939815814</v>
      </c>
      <c r="F44" s="18">
        <f t="shared" si="131"/>
        <v>0</v>
      </c>
      <c r="G44" s="18" cm="1">
        <f t="array" ref="G44">IFERROR(VALUE(_xll.BDP($B44,"px_last")),"")</f>
        <v>18.59</v>
      </c>
      <c r="H44" s="18">
        <f t="shared" si="25"/>
        <v>6941.47</v>
      </c>
      <c r="I44" s="18" cm="1">
        <f t="array" ref="I44">IFERROR(VALUE(_xll.BDP($B44,"PX_YEST_CLOSE")),"")</f>
        <v>20.25</v>
      </c>
      <c r="J44" s="18">
        <f t="shared" si="26"/>
        <v>6941.81</v>
      </c>
      <c r="K44" s="18">
        <f t="shared" si="132"/>
        <v>2.6781070868274297E-3</v>
      </c>
      <c r="L44" s="18">
        <f t="shared" si="133"/>
        <v>2.9171066335725118E-3</v>
      </c>
      <c r="M44" s="18" cm="1">
        <f t="array" ref="M44">IFERROR(VALUE(_xll.BDP($B44,"INTERVAL_MAE_MOV_AVG","CALC_INTERVAL","520D","TECH_STUDIES_PARAM1_OVERRIDE",50,"USE_PREVIOUS_BUSINESS_DAY","N")),"")</f>
        <v>20.161000003051761</v>
      </c>
      <c r="N44" s="18">
        <f t="shared" si="27"/>
        <v>6894.0953999999992</v>
      </c>
      <c r="O44" s="18" cm="1">
        <f t="array" ref="O44">IFERROR(VALUE(_xll.BDP($B44,"INTERVAL_MAE_MOV_AVG","CALC_INTERVAL","520D","TECH_STUDIES_PARAM1_OVERRIDE",50,"USE_PREVIOUS_BUSINESS_DAY","Y")),"")</f>
        <v>20.188800000000008</v>
      </c>
      <c r="P44" s="18">
        <f t="shared" si="28"/>
        <v>6892.2477999999992</v>
      </c>
      <c r="Q44" s="18">
        <f t="shared" si="134"/>
        <v>2.9243865704341376E-3</v>
      </c>
      <c r="R44" s="18">
        <f t="shared" si="135"/>
        <v>2.9292040254269456E-3</v>
      </c>
      <c r="S44" s="21" t="str">
        <f t="shared" si="136"/>
        <v>NEGATIVE</v>
      </c>
      <c r="T44" s="21" t="str">
        <f t="shared" si="137"/>
        <v/>
      </c>
      <c r="U44" s="21" t="str">
        <f t="shared" si="138"/>
        <v>DOWN</v>
      </c>
      <c r="V44" s="21" t="str">
        <f t="shared" si="139"/>
        <v>NEGATIVE</v>
      </c>
      <c r="W44" s="18" cm="1">
        <f t="array" ref="W44">IFERROR(VALUE(_xll.BDP($B44,"INTERVAL_MAE_MOV_AVG","CALC_INTERVAL","520D","TECH_STUDIES_PARAM1_OVERRIDE",65,"USE_PREVIOUS_BUSINESS_DAY","N")),"")</f>
        <v>19.577692310039819</v>
      </c>
      <c r="X44" s="18">
        <f t="shared" si="29"/>
        <v>6856.0226153846133</v>
      </c>
      <c r="Y44" s="18" cm="1">
        <f t="array" ref="Y44">IFERROR(VALUE(_xll.BDP($B44,"INTERVAL_MAE_MOV_AVG","CALC_INTERVAL","520D","TECH_STUDIES_PARAM1_OVERRIDE",65,"USE_PREVIOUS_BUSINESS_DAY","Y")),"")</f>
        <v>19.531846153846161</v>
      </c>
      <c r="Z44" s="18">
        <f t="shared" si="30"/>
        <v>6852.6203076923057</v>
      </c>
      <c r="AA44" s="18">
        <f t="shared" si="140"/>
        <v>2.8555466351742097E-3</v>
      </c>
      <c r="AB44" s="18">
        <f t="shared" si="141"/>
        <v>2.8502740961615777E-3</v>
      </c>
      <c r="AC44" s="22" t="str">
        <f t="shared" si="142"/>
        <v>UP</v>
      </c>
      <c r="AD44" s="22" t="str">
        <f t="shared" si="143"/>
        <v>UP</v>
      </c>
      <c r="AE44" s="21" t="str">
        <f t="shared" si="144"/>
        <v>SELL</v>
      </c>
      <c r="AF44" s="18" cm="1">
        <f t="array" ref="AF44">IFERROR(VALUE(_xll.BDP($B44,"INTERVAL_MAE_MOV_AVG","CALC_INTERVAL","65W","PERIODICITY_OVERRIDE","W","TECH_STUDIES_PARAM1_OVERRIDE",39,"USE_PREVIOUS_BUSINESS_DAY","N")),"")</f>
        <v>17.508974362886864</v>
      </c>
      <c r="AG44" s="18">
        <f t="shared" si="31"/>
        <v>6560.7735897435905</v>
      </c>
      <c r="AH44" s="18" cm="1">
        <f t="array" ref="AH44">IFERROR(VALUE(_xll.BDP($B44,"INTERVAL_MAE_MOV_AVG","CALC_INTERVAL","65W","PERIODICITY_OVERRIDE","W","TECH_STUDIES_PARAM1_OVERRIDE",39,"USE_PREVIOUS_BUSINESS_DAY","Y")),"")</f>
        <v>17.551538461538456</v>
      </c>
      <c r="AI44" s="18">
        <f t="shared" si="32"/>
        <v>6560.7823076923087</v>
      </c>
      <c r="AJ44" s="18">
        <f t="shared" si="145"/>
        <v>2.6687362585196533E-3</v>
      </c>
      <c r="AK44" s="18">
        <f t="shared" si="146"/>
        <v>2.6752203683026998E-3</v>
      </c>
      <c r="AL44" s="22" t="str">
        <f t="shared" si="147"/>
        <v>DOWN</v>
      </c>
      <c r="AM44" s="22" t="str">
        <f t="shared" si="148"/>
        <v>DOWN</v>
      </c>
      <c r="AN44" s="21" t="str">
        <f t="shared" si="149"/>
        <v>POSITIVE</v>
      </c>
      <c r="AO44" s="18" cm="1">
        <f t="array" ref="AO44">IFERROR(VALUE(_xll.BDP($B44,"INTERVAL_exp_MOV_AVG","CALC_INTERVAL","520D","TECH_STUDIES_PARAM1_OVERRIDE",100,"USE_PREVIOUS_BUSINESS_DAY","N")),"")</f>
        <v>19.090902479489998</v>
      </c>
      <c r="AP44" s="18">
        <f t="shared" si="33"/>
        <v>6773.0064518682802</v>
      </c>
      <c r="AQ44" s="18" cm="1">
        <f t="array" ref="AQ44">IFERROR(VALUE(_xll.BDP($B44,"INTERVAL_exp_MOV_AVG","CALC_INTERVAL","520D","TECH_STUDIES_PARAM1_OVERRIDE",100,"USE_PREVIOUS_BUSINESS_DAY","Y")),"")</f>
        <v>19.101036109784481</v>
      </c>
      <c r="AR44" s="18">
        <f t="shared" si="34"/>
        <v>6769.6039787132295</v>
      </c>
      <c r="AS44" s="18">
        <f t="shared" si="150"/>
        <v>2.8186747813039397E-3</v>
      </c>
      <c r="AT44" s="18">
        <f t="shared" si="151"/>
        <v>2.8215884075120179E-3</v>
      </c>
      <c r="AU44" s="21" t="str">
        <f t="shared" si="152"/>
        <v>DOWN</v>
      </c>
      <c r="AV44" s="21" t="str">
        <f t="shared" si="153"/>
        <v>DOWN</v>
      </c>
      <c r="AW44" s="21" t="str">
        <f t="shared" si="154"/>
        <v>SELL</v>
      </c>
      <c r="AX44" s="19" cm="1">
        <f t="array" ref="AX44">_xll.BDP($B44, "INTERVAL_RSI", "TECH_STUDIES_PARAM1_OVERRIDE", "5", "PERIODICITY_OVERRIDE", "W")</f>
        <v>40.235326832349486</v>
      </c>
    </row>
    <row r="45" spans="1:50" x14ac:dyDescent="0.25">
      <c r="A45" s="18">
        <v>44</v>
      </c>
      <c r="B45" s="18" t="s">
        <v>152</v>
      </c>
      <c r="D45" s="19">
        <f>IFERROR(VALUE((_xll.BDP($B45,"interval_rsi","tech_studies_param1_override",14))),"")</f>
        <v>37.843012768233848</v>
      </c>
      <c r="E45" s="20">
        <f t="shared" si="24"/>
        <v>52.525531939815814</v>
      </c>
      <c r="F45" s="18">
        <f t="shared" si="131"/>
        <v>0</v>
      </c>
      <c r="G45" s="18" cm="1">
        <f t="array" ref="G45">IFERROR(VALUE(_xll.BDP($B45,"px_last")),"")</f>
        <v>2.59</v>
      </c>
      <c r="H45" s="18">
        <f t="shared" si="25"/>
        <v>6941.47</v>
      </c>
      <c r="I45" s="18" cm="1">
        <f t="array" ref="I45">IFERROR(VALUE(_xll.BDP($B45,"PX_YEST_CLOSE")),"")</f>
        <v>2.65</v>
      </c>
      <c r="J45" s="18">
        <f t="shared" si="26"/>
        <v>6941.81</v>
      </c>
      <c r="K45" s="18">
        <f t="shared" si="132"/>
        <v>3.7311981467902329E-4</v>
      </c>
      <c r="L45" s="18">
        <f t="shared" si="133"/>
        <v>3.8174481871442747E-4</v>
      </c>
      <c r="M45" s="18" cm="1">
        <f t="array" ref="M45">IFERROR(VALUE(_xll.BDP($B45,"INTERVAL_MAE_MOV_AVG","CALC_INTERVAL","520D","TECH_STUDIES_PARAM1_OVERRIDE",50,"USE_PREVIOUS_BUSINESS_DAY","N")),"")</f>
        <v>3.1890999982833863</v>
      </c>
      <c r="N45" s="18">
        <f t="shared" si="27"/>
        <v>6894.0953999999992</v>
      </c>
      <c r="O45" s="18" cm="1">
        <f t="array" ref="O45">IFERROR(VALUE(_xll.BDP($B45,"INTERVAL_MAE_MOV_AVG","CALC_INTERVAL","520D","TECH_STUDIES_PARAM1_OVERRIDE",50,"USE_PREVIOUS_BUSINESS_DAY","Y")),"")</f>
        <v>3.2039000000000004</v>
      </c>
      <c r="P45" s="18">
        <f t="shared" si="28"/>
        <v>6892.2477999999992</v>
      </c>
      <c r="Q45" s="18">
        <f t="shared" si="134"/>
        <v>4.6258425699815332E-4</v>
      </c>
      <c r="R45" s="18">
        <f t="shared" si="135"/>
        <v>4.6485560197066637E-4</v>
      </c>
      <c r="S45" s="21" t="str">
        <f t="shared" si="136"/>
        <v>NEGATIVE</v>
      </c>
      <c r="T45" s="21" t="str">
        <f t="shared" si="137"/>
        <v/>
      </c>
      <c r="U45" s="21" t="str">
        <f t="shared" si="138"/>
        <v>DOWN</v>
      </c>
      <c r="V45" s="21" t="str">
        <f t="shared" si="139"/>
        <v>NEGATIVE</v>
      </c>
      <c r="W45" s="18" cm="1">
        <f t="array" ref="W45">IFERROR(VALUE(_xll.BDP($B45,"INTERVAL_MAE_MOV_AVG","CALC_INTERVAL","520D","TECH_STUDIES_PARAM1_OVERRIDE",65,"USE_PREVIOUS_BUSINESS_DAY","N")),"")</f>
        <v>3.1602307679102974</v>
      </c>
      <c r="X45" s="18">
        <f t="shared" si="29"/>
        <v>6856.0226153846133</v>
      </c>
      <c r="Y45" s="18" cm="1">
        <f t="array" ref="Y45">IFERROR(VALUE(_xll.BDP($B45,"INTERVAL_MAE_MOV_AVG","CALC_INTERVAL","520D","TECH_STUDIES_PARAM1_OVERRIDE",65,"USE_PREVIOUS_BUSINESS_DAY","Y")),"")</f>
        <v>3.1619230769230771</v>
      </c>
      <c r="Z45" s="18">
        <f t="shared" si="30"/>
        <v>6852.6203076923057</v>
      </c>
      <c r="AA45" s="18">
        <f t="shared" si="140"/>
        <v>4.6094229047886724E-4</v>
      </c>
      <c r="AB45" s="18">
        <f t="shared" si="141"/>
        <v>4.6141810503840523E-4</v>
      </c>
      <c r="AC45" s="22" t="str">
        <f t="shared" si="142"/>
        <v>DOWN</v>
      </c>
      <c r="AD45" s="22" t="str">
        <f t="shared" si="143"/>
        <v>DOWN</v>
      </c>
      <c r="AE45" s="21" t="str">
        <f t="shared" si="144"/>
        <v>NEGATIVE</v>
      </c>
      <c r="AF45" s="18" cm="1">
        <f t="array" ref="AF45">IFERROR(VALUE(_xll.BDP($B45,"INTERVAL_MAE_MOV_AVG","CALC_INTERVAL","65W","PERIODICITY_OVERRIDE","W","TECH_STUDIES_PARAM1_OVERRIDE",39,"USE_PREVIOUS_BUSINESS_DAY","N")),"")</f>
        <v>2.9115384593376747</v>
      </c>
      <c r="AG45" s="18">
        <f t="shared" si="31"/>
        <v>6560.7735897435905</v>
      </c>
      <c r="AH45" s="18" cm="1">
        <f t="array" ref="AH45">IFERROR(VALUE(_xll.BDP($B45,"INTERVAL_MAE_MOV_AVG","CALC_INTERVAL","65W","PERIODICITY_OVERRIDE","W","TECH_STUDIES_PARAM1_OVERRIDE",39,"USE_PREVIOUS_BUSINESS_DAY","Y")),"")</f>
        <v>2.9130769230769231</v>
      </c>
      <c r="AI45" s="18">
        <f t="shared" si="32"/>
        <v>6560.7823076923087</v>
      </c>
      <c r="AJ45" s="18">
        <f t="shared" si="145"/>
        <v>4.4377974937121156E-4</v>
      </c>
      <c r="AK45" s="18">
        <f t="shared" si="146"/>
        <v>4.4401365362503083E-4</v>
      </c>
      <c r="AL45" s="22" t="str">
        <f t="shared" si="147"/>
        <v>DOWN</v>
      </c>
      <c r="AM45" s="22" t="str">
        <f t="shared" si="148"/>
        <v>DOWN</v>
      </c>
      <c r="AN45" s="21" t="str">
        <f t="shared" si="149"/>
        <v>NEGATIVE</v>
      </c>
      <c r="AO45" s="18" cm="1">
        <f t="array" ref="AO45">IFERROR(VALUE(_xll.BDP($B45,"INTERVAL_exp_MOV_AVG","CALC_INTERVAL","520D","TECH_STUDIES_PARAM1_OVERRIDE",100,"USE_PREVIOUS_BUSINESS_DAY","N")),"")</f>
        <v>3.1217730681361253</v>
      </c>
      <c r="AP45" s="18">
        <f t="shared" si="33"/>
        <v>6773.0064518682802</v>
      </c>
      <c r="AQ45" s="18" cm="1">
        <f t="array" ref="AQ45">IFERROR(VALUE(_xll.BDP($B45,"INTERVAL_exp_MOV_AVG","CALC_INTERVAL","520D","TECH_STUDIES_PARAM1_OVERRIDE",100,"USE_PREVIOUS_BUSINESS_DAY","Y")),"")</f>
        <v>3.1325246503607205</v>
      </c>
      <c r="AR45" s="18">
        <f t="shared" si="34"/>
        <v>6769.6039787132295</v>
      </c>
      <c r="AS45" s="18">
        <f t="shared" si="150"/>
        <v>4.6091393686403603E-4</v>
      </c>
      <c r="AT45" s="18">
        <f t="shared" si="151"/>
        <v>4.6273381134418336E-4</v>
      </c>
      <c r="AU45" s="21" t="str">
        <f t="shared" si="152"/>
        <v>DOWN</v>
      </c>
      <c r="AV45" s="21" t="str">
        <f t="shared" si="153"/>
        <v>DOWN</v>
      </c>
      <c r="AW45" s="21" t="str">
        <f t="shared" si="154"/>
        <v>NEGATIVE</v>
      </c>
      <c r="AX45" s="19" cm="1">
        <f t="array" ref="AX45">_xll.BDP($B45, "INTERVAL_RSI", "TECH_STUDIES_PARAM1_OVERRIDE", "5", "PERIODICITY_OVERRIDE", "W")</f>
        <v>31.541058672478457</v>
      </c>
    </row>
    <row r="46" spans="1:50" x14ac:dyDescent="0.25">
      <c r="A46" s="18">
        <v>45</v>
      </c>
      <c r="B46" s="18" t="s">
        <v>172</v>
      </c>
      <c r="D46" s="19">
        <f>IFERROR(VALUE((_xll.BDP($B46,"interval_rsi","tech_studies_param1_override",14))),"")</f>
        <v>61.144857923343899</v>
      </c>
      <c r="E46" s="20">
        <f t="shared" si="24"/>
        <v>52.525531939815814</v>
      </c>
      <c r="F46" s="18">
        <f t="shared" si="131"/>
        <v>0</v>
      </c>
      <c r="G46" s="18" cm="1">
        <f t="array" ref="G46">IFERROR(VALUE(_xll.BDP($B46,"px_last")),"")</f>
        <v>414.78</v>
      </c>
      <c r="H46" s="18">
        <f t="shared" si="25"/>
        <v>6941.47</v>
      </c>
      <c r="I46" s="18" cm="1">
        <f t="array" ref="I46">IFERROR(VALUE(_xll.BDP($B46,"PX_YEST_CLOSE")),"")</f>
        <v>404.76</v>
      </c>
      <c r="J46" s="18">
        <f t="shared" si="26"/>
        <v>6941.81</v>
      </c>
      <c r="K46" s="18">
        <f t="shared" si="132"/>
        <v>5.975391379635725E-2</v>
      </c>
      <c r="L46" s="18">
        <f t="shared" si="133"/>
        <v>5.830755955579308E-2</v>
      </c>
      <c r="M46" s="18" cm="1">
        <f t="array" ref="M46">IFERROR(VALUE(_xll.BDP($B46,"INTERVAL_MAE_MOV_AVG","CALC_INTERVAL","520D","TECH_STUDIES_PARAM1_OVERRIDE",50,"USE_PREVIOUS_BUSINESS_DAY","N")),"")</f>
        <v>380.10789823558582</v>
      </c>
      <c r="N46" s="18">
        <f t="shared" si="27"/>
        <v>6894.0953999999992</v>
      </c>
      <c r="O46" s="18" cm="1">
        <f t="array" ref="O46">IFERROR(VALUE(_xll.BDP($B46,"INTERVAL_MAE_MOV_AVG","CALC_INTERVAL","520D","TECH_STUDIES_PARAM1_OVERRIDE",50,"USE_PREVIOUS_BUSINESS_DAY","Y")),"")</f>
        <v>378.83604985439996</v>
      </c>
      <c r="P46" s="18">
        <f t="shared" si="28"/>
        <v>6892.2477999999992</v>
      </c>
      <c r="Q46" s="18">
        <f t="shared" si="134"/>
        <v>5.5135282612362148E-2</v>
      </c>
      <c r="R46" s="18">
        <f t="shared" si="135"/>
        <v>5.4965529511924981E-2</v>
      </c>
      <c r="S46" s="21" t="str">
        <f t="shared" si="136"/>
        <v>NEGATIVE</v>
      </c>
      <c r="T46" s="21" t="str">
        <f t="shared" si="137"/>
        <v/>
      </c>
      <c r="U46" s="21" t="str">
        <f t="shared" si="138"/>
        <v>UP</v>
      </c>
      <c r="V46" s="21" t="str">
        <f t="shared" si="139"/>
        <v>POSITIVE</v>
      </c>
      <c r="W46" s="18" cm="1">
        <f t="array" ref="W46">IFERROR(VALUE(_xll.BDP($B46,"INTERVAL_MAE_MOV_AVG","CALC_INTERVAL","520D","TECH_STUDIES_PARAM1_OVERRIDE",65,"USE_PREVIOUS_BUSINESS_DAY","N")),"")</f>
        <v>371.32469366321993</v>
      </c>
      <c r="X46" s="18">
        <f t="shared" si="29"/>
        <v>6856.0226153846133</v>
      </c>
      <c r="Y46" s="18" cm="1">
        <f t="array" ref="Y46">IFERROR(VALUE(_xll.BDP($B46,"INTERVAL_MAE_MOV_AVG","CALC_INTERVAL","520D","TECH_STUDIES_PARAM1_OVERRIDE",65,"USE_PREVIOUS_BUSINESS_DAY","Y")),"")</f>
        <v>370.32809783446163</v>
      </c>
      <c r="Z46" s="18">
        <f t="shared" si="30"/>
        <v>6852.6203076923057</v>
      </c>
      <c r="AA46" s="18">
        <f t="shared" si="140"/>
        <v>5.416036592848799E-2</v>
      </c>
      <c r="AB46" s="18">
        <f t="shared" si="141"/>
        <v>5.4041823595385168E-2</v>
      </c>
      <c r="AC46" s="22" t="str">
        <f t="shared" si="142"/>
        <v>UP</v>
      </c>
      <c r="AD46" s="22" t="str">
        <f t="shared" si="143"/>
        <v>UP</v>
      </c>
      <c r="AE46" s="21" t="str">
        <f t="shared" si="144"/>
        <v>POSITIVE</v>
      </c>
      <c r="AF46" s="18" cm="1">
        <f t="array" ref="AF46">IFERROR(VALUE(_xll.BDP($B46,"INTERVAL_MAE_MOV_AVG","CALC_INTERVAL","65W","PERIODICITY_OVERRIDE","W","TECH_STUDIES_PARAM1_OVERRIDE",39,"USE_PREVIOUS_BUSINESS_DAY","N")),"")</f>
        <v>324.38926404587937</v>
      </c>
      <c r="AG46" s="18">
        <f t="shared" si="31"/>
        <v>6560.7735897435905</v>
      </c>
      <c r="AH46" s="18" cm="1">
        <f t="array" ref="AH46">IFERROR(VALUE(_xll.BDP($B46,"INTERVAL_MAE_MOV_AVG","CALC_INTERVAL","65W","PERIODICITY_OVERRIDE","W","TECH_STUDIES_PARAM1_OVERRIDE",39,"USE_PREVIOUS_BUSINESS_DAY","Y")),"")</f>
        <v>324.13234100025636</v>
      </c>
      <c r="AI46" s="18">
        <f t="shared" si="32"/>
        <v>6560.7823076923087</v>
      </c>
      <c r="AJ46" s="18">
        <f t="shared" si="145"/>
        <v>4.9443752266195365E-2</v>
      </c>
      <c r="AK46" s="18">
        <f t="shared" si="146"/>
        <v>4.9404526137107385E-2</v>
      </c>
      <c r="AL46" s="22" t="str">
        <f t="shared" si="147"/>
        <v>UP</v>
      </c>
      <c r="AM46" s="22" t="str">
        <f t="shared" si="148"/>
        <v>UP</v>
      </c>
      <c r="AN46" s="21" t="str">
        <f t="shared" si="149"/>
        <v>POSITIVE</v>
      </c>
      <c r="AO46" s="18" cm="1">
        <f t="array" ref="AO46">IFERROR(VALUE(_xll.BDP($B46,"INTERVAL_exp_MOV_AVG","CALC_INTERVAL","520D","TECH_STUDIES_PARAM1_OVERRIDE",100,"USE_PREVIOUS_BUSINESS_DAY","N")),"")</f>
        <v>360.48708061671249</v>
      </c>
      <c r="AP46" s="18">
        <f t="shared" si="33"/>
        <v>6773.0064518682802</v>
      </c>
      <c r="AQ46" s="18" cm="1">
        <f t="array" ref="AQ46">IFERROR(VALUE(_xll.BDP($B46,"INTERVAL_exp_MOV_AVG","CALC_INTERVAL","520D","TECH_STUDIES_PARAM1_OVERRIDE",100,"USE_PREVIOUS_BUSINESS_DAY","Y")),"")</f>
        <v>359.39028663909198</v>
      </c>
      <c r="AR46" s="18">
        <f t="shared" si="34"/>
        <v>6769.6039787132295</v>
      </c>
      <c r="AS46" s="18">
        <f t="shared" si="150"/>
        <v>5.3224086405125895E-2</v>
      </c>
      <c r="AT46" s="18">
        <f t="shared" si="151"/>
        <v>5.3088819932330091E-2</v>
      </c>
      <c r="AU46" s="21" t="str">
        <f t="shared" si="152"/>
        <v>UP</v>
      </c>
      <c r="AV46" s="21" t="str">
        <f t="shared" si="153"/>
        <v>UP</v>
      </c>
      <c r="AW46" s="21" t="str">
        <f t="shared" si="154"/>
        <v>POSITIVE</v>
      </c>
      <c r="AX46" s="19" cm="1">
        <f t="array" ref="AX46">_xll.BDP($B46, "INTERVAL_RSI", "TECH_STUDIES_PARAM1_OVERRIDE", "5", "PERIODICITY_OVERRIDE", "W")</f>
        <v>86.687816504450097</v>
      </c>
    </row>
    <row r="47" spans="1:50" x14ac:dyDescent="0.25">
      <c r="A47" s="18">
        <v>46</v>
      </c>
      <c r="B47" s="18" t="s">
        <v>115</v>
      </c>
      <c r="D47" s="19">
        <f>IFERROR(VALUE((_xll.BDP($B47,"interval_rsi","tech_studies_param1_override",14))),"")</f>
        <v>79.628872975920203</v>
      </c>
      <c r="E47" s="20">
        <f t="shared" si="24"/>
        <v>52.525531939815814</v>
      </c>
      <c r="F47" s="18">
        <f t="shared" si="131"/>
        <v>1</v>
      </c>
      <c r="G47" s="18" cm="1">
        <f t="array" ref="G47">IFERROR(VALUE(_xll.BDP($B47,"px_last")),"")</f>
        <v>55.94</v>
      </c>
      <c r="H47" s="18">
        <f t="shared" si="25"/>
        <v>6941.47</v>
      </c>
      <c r="I47" s="18" cm="1">
        <f t="array" ref="I47">IFERROR(VALUE(_xll.BDP($B47,"PX_YEST_CLOSE")),"")</f>
        <v>54.61</v>
      </c>
      <c r="J47" s="18">
        <f t="shared" si="26"/>
        <v>6941.81</v>
      </c>
      <c r="K47" s="18">
        <f t="shared" si="132"/>
        <v>8.0588117502488656E-3</v>
      </c>
      <c r="L47" s="18">
        <f t="shared" si="133"/>
        <v>7.866824358488636E-3</v>
      </c>
      <c r="M47" s="18" cm="1">
        <f t="array" ref="M47">IFERROR(VALUE(_xll.BDP($B47,"INTERVAL_MAE_MOV_AVG","CALC_INTERVAL","520D","TECH_STUDIES_PARAM1_OVERRIDE",50,"USE_PREVIOUS_BUSINESS_DAY","N")),"")</f>
        <v>47.449672600134186</v>
      </c>
      <c r="N47" s="18">
        <f t="shared" si="27"/>
        <v>6894.0953999999992</v>
      </c>
      <c r="O47" s="18" cm="1">
        <f t="array" ref="O47">IFERROR(VALUE(_xll.BDP($B47,"INTERVAL_MAE_MOV_AVG","CALC_INTERVAL","520D","TECH_STUDIES_PARAM1_OVERRIDE",50,"USE_PREVIOUS_BUSINESS_DAY","Y")),"")</f>
        <v>47.217728884800003</v>
      </c>
      <c r="P47" s="18">
        <f t="shared" si="28"/>
        <v>6892.2477999999992</v>
      </c>
      <c r="Q47" s="18">
        <f t="shared" si="134"/>
        <v>6.8826539012114907E-3</v>
      </c>
      <c r="R47" s="18">
        <f t="shared" si="135"/>
        <v>6.8508460889638951E-3</v>
      </c>
      <c r="S47" s="21" t="str">
        <f t="shared" si="136"/>
        <v>POSITIVE</v>
      </c>
      <c r="T47" s="21" t="str">
        <f t="shared" si="137"/>
        <v/>
      </c>
      <c r="U47" s="21" t="str">
        <f t="shared" si="138"/>
        <v>UP</v>
      </c>
      <c r="V47" s="21" t="str">
        <f t="shared" si="139"/>
        <v>POSITIVE</v>
      </c>
      <c r="W47" s="18" cm="1">
        <f t="array" ref="W47">IFERROR(VALUE(_xll.BDP($B47,"INTERVAL_MAE_MOV_AVG","CALC_INTERVAL","520D","TECH_STUDIES_PARAM1_OVERRIDE",65,"USE_PREVIOUS_BUSINESS_DAY","N")),"")</f>
        <v>46.606716352564767</v>
      </c>
      <c r="X47" s="18">
        <f t="shared" si="29"/>
        <v>6856.0226153846133</v>
      </c>
      <c r="Y47" s="18" cm="1">
        <f t="array" ref="Y47">IFERROR(VALUE(_xll.BDP($B47,"INTERVAL_MAE_MOV_AVG","CALC_INTERVAL","520D","TECH_STUDIES_PARAM1_OVERRIDE",65,"USE_PREVIOUS_BUSINESS_DAY","Y")),"")</f>
        <v>46.385794091076939</v>
      </c>
      <c r="Z47" s="18">
        <f t="shared" si="30"/>
        <v>6852.6203076923057</v>
      </c>
      <c r="AA47" s="18">
        <f t="shared" si="140"/>
        <v>6.7979233685696054E-3</v>
      </c>
      <c r="AB47" s="18">
        <f t="shared" si="141"/>
        <v>6.7690594266557082E-3</v>
      </c>
      <c r="AC47" s="22" t="str">
        <f t="shared" si="142"/>
        <v>UP</v>
      </c>
      <c r="AD47" s="22" t="str">
        <f t="shared" si="143"/>
        <v>UP</v>
      </c>
      <c r="AE47" s="21" t="str">
        <f t="shared" si="144"/>
        <v>POSITIVE</v>
      </c>
      <c r="AF47" s="18" cm="1">
        <f t="array" ref="AF47">IFERROR(VALUE(_xll.BDP($B47,"INTERVAL_MAE_MOV_AVG","CALC_INTERVAL","65W","PERIODICITY_OVERRIDE","W","TECH_STUDIES_PARAM1_OVERRIDE",39,"USE_PREVIOUS_BUSINESS_DAY","N")),"")</f>
        <v>41.928994109192097</v>
      </c>
      <c r="AG47" s="18">
        <f t="shared" si="31"/>
        <v>6560.7735897435905</v>
      </c>
      <c r="AH47" s="18" cm="1">
        <f t="array" ref="AH47">IFERROR(VALUE(_xll.BDP($B47,"INTERVAL_MAE_MOV_AVG","CALC_INTERVAL","65W","PERIODICITY_OVERRIDE","W","TECH_STUDIES_PARAM1_OVERRIDE",39,"USE_PREVIOUS_BUSINESS_DAY","Y")),"")</f>
        <v>41.894891580302129</v>
      </c>
      <c r="AI47" s="18">
        <f t="shared" si="32"/>
        <v>6560.7823076923087</v>
      </c>
      <c r="AJ47" s="18">
        <f t="shared" si="145"/>
        <v>6.3908613116507159E-3</v>
      </c>
      <c r="AK47" s="18">
        <f t="shared" si="146"/>
        <v>6.3856548831351563E-3</v>
      </c>
      <c r="AL47" s="22" t="str">
        <f t="shared" si="147"/>
        <v>UP</v>
      </c>
      <c r="AM47" s="22" t="str">
        <f t="shared" si="148"/>
        <v>UP</v>
      </c>
      <c r="AN47" s="21" t="str">
        <f t="shared" si="149"/>
        <v>POSITIVE</v>
      </c>
      <c r="AO47" s="18" cm="1">
        <f t="array" ref="AO47">IFERROR(VALUE(_xll.BDP($B47,"INTERVAL_exp_MOV_AVG","CALC_INTERVAL","520D","TECH_STUDIES_PARAM1_OVERRIDE",100,"USE_PREVIOUS_BUSINESS_DAY","N")),"")</f>
        <v>45.554006063601264</v>
      </c>
      <c r="AP47" s="18">
        <f t="shared" si="33"/>
        <v>6773.0064518682802</v>
      </c>
      <c r="AQ47" s="18" cm="1">
        <f t="array" ref="AQ47">IFERROR(VALUE(_xll.BDP($B47,"INTERVAL_exp_MOV_AVG","CALC_INTERVAL","520D","TECH_STUDIES_PARAM1_OVERRIDE",100,"USE_PREVIOUS_BUSINESS_DAY","Y")),"")</f>
        <v>45.344202000710894</v>
      </c>
      <c r="AR47" s="18">
        <f t="shared" si="34"/>
        <v>6769.6039787132295</v>
      </c>
      <c r="AS47" s="18">
        <f t="shared" si="150"/>
        <v>6.7258176095544029E-3</v>
      </c>
      <c r="AT47" s="18">
        <f t="shared" si="151"/>
        <v>6.6982060019011554E-3</v>
      </c>
      <c r="AU47" s="21" t="str">
        <f t="shared" si="152"/>
        <v>UP</v>
      </c>
      <c r="AV47" s="21" t="str">
        <f t="shared" si="153"/>
        <v>UP</v>
      </c>
      <c r="AW47" s="21" t="str">
        <f t="shared" si="154"/>
        <v>POSITIVE</v>
      </c>
      <c r="AX47" s="19" cm="1">
        <f t="array" ref="AX47">_xll.BDP($B47, "INTERVAL_RSI", "TECH_STUDIES_PARAM1_OVERRIDE", "5", "PERIODICITY_OVERRIDE", "W")</f>
        <v>95.258166312098467</v>
      </c>
    </row>
    <row r="48" spans="1:50" x14ac:dyDescent="0.25">
      <c r="A48" s="18">
        <v>47</v>
      </c>
      <c r="B48" s="18" t="s">
        <v>112</v>
      </c>
      <c r="D48" s="19">
        <f>IFERROR(VALUE((_xll.BDP($B48,"interval_rsi","tech_studies_param1_override",14))),"")</f>
        <v>38.839836298751244</v>
      </c>
      <c r="E48" s="20">
        <f t="shared" si="24"/>
        <v>52.525531939815814</v>
      </c>
      <c r="F48" s="18">
        <f t="shared" si="131"/>
        <v>0</v>
      </c>
      <c r="G48" s="18" cm="1">
        <f t="array" ref="G48">IFERROR(VALUE(_xll.BDP($B48,"px_last")),"")</f>
        <v>178.83</v>
      </c>
      <c r="H48" s="18">
        <f t="shared" si="25"/>
        <v>6941.47</v>
      </c>
      <c r="I48" s="18" cm="1">
        <f t="array" ref="I48">IFERROR(VALUE(_xll.BDP($B48,"PX_YEST_CLOSE")),"")</f>
        <v>182.58</v>
      </c>
      <c r="J48" s="18">
        <f t="shared" si="26"/>
        <v>6941.81</v>
      </c>
      <c r="K48" s="18">
        <f t="shared" si="132"/>
        <v>2.5762554617393723E-2</v>
      </c>
      <c r="L48" s="18">
        <f t="shared" si="133"/>
        <v>2.6301497736181199E-2</v>
      </c>
      <c r="M48" s="18" cm="1">
        <f t="array" ref="M48">IFERROR(VALUE(_xll.BDP($B48,"INTERVAL_MAE_MOV_AVG","CALC_INTERVAL","520D","TECH_STUDIES_PARAM1_OVERRIDE",50,"USE_PREVIOUS_BUSINESS_DAY","N")),"")</f>
        <v>213.28800003662116</v>
      </c>
      <c r="N48" s="18">
        <f t="shared" si="27"/>
        <v>6894.0953999999992</v>
      </c>
      <c r="O48" s="18" cm="1">
        <f t="array" ref="O48">IFERROR(VALUE(_xll.BDP($B48,"INTERVAL_MAE_MOV_AVG","CALC_INTERVAL","520D","TECH_STUDIES_PARAM1_OVERRIDE",50,"USE_PREVIOUS_BUSINESS_DAY","Y")),"")</f>
        <v>214.73620000000003</v>
      </c>
      <c r="P48" s="18">
        <f t="shared" si="28"/>
        <v>6892.2477999999992</v>
      </c>
      <c r="Q48" s="18">
        <f t="shared" si="134"/>
        <v>3.0937779021250732E-2</v>
      </c>
      <c r="R48" s="18">
        <f t="shared" si="135"/>
        <v>3.1156192613968414E-2</v>
      </c>
      <c r="S48" s="21" t="str">
        <f t="shared" si="136"/>
        <v>NEGATIVE</v>
      </c>
      <c r="T48" s="21" t="str">
        <f t="shared" si="137"/>
        <v/>
      </c>
      <c r="U48" s="21" t="str">
        <f t="shared" si="138"/>
        <v>DOWN</v>
      </c>
      <c r="V48" s="21" t="str">
        <f t="shared" si="139"/>
        <v>NEGATIVE</v>
      </c>
      <c r="W48" s="18" cm="1">
        <f t="array" ref="W48">IFERROR(VALUE(_xll.BDP($B48,"INTERVAL_MAE_MOV_AVG","CALC_INTERVAL","520D","TECH_STUDIES_PARAM1_OVERRIDE",65,"USE_PREVIOUS_BUSINESS_DAY","N")),"")</f>
        <v>222.79953848970862</v>
      </c>
      <c r="X48" s="18">
        <f t="shared" si="29"/>
        <v>6856.0226153846133</v>
      </c>
      <c r="Y48" s="18" cm="1">
        <f t="array" ref="Y48">IFERROR(VALUE(_xll.BDP($B48,"INTERVAL_MAE_MOV_AVG","CALC_INTERVAL","520D","TECH_STUDIES_PARAM1_OVERRIDE",65,"USE_PREVIOUS_BUSINESS_DAY","Y")),"")</f>
        <v>224.12092307692313</v>
      </c>
      <c r="Z48" s="18">
        <f t="shared" si="30"/>
        <v>6852.6203076923057</v>
      </c>
      <c r="AA48" s="18">
        <f t="shared" si="140"/>
        <v>3.249690833716859E-2</v>
      </c>
      <c r="AB48" s="18">
        <f t="shared" si="141"/>
        <v>3.2705872062594739E-2</v>
      </c>
      <c r="AC48" s="22" t="str">
        <f t="shared" si="142"/>
        <v>DOWN</v>
      </c>
      <c r="AD48" s="22" t="str">
        <f t="shared" si="143"/>
        <v>DOWN</v>
      </c>
      <c r="AE48" s="21" t="str">
        <f t="shared" si="144"/>
        <v>NEGATIVE</v>
      </c>
      <c r="AF48" s="18" cm="1">
        <f t="array" ref="AF48">IFERROR(VALUE(_xll.BDP($B48,"INTERVAL_MAE_MOV_AVG","CALC_INTERVAL","65W","PERIODICITY_OVERRIDE","W","TECH_STUDIES_PARAM1_OVERRIDE",39,"USE_PREVIOUS_BUSINESS_DAY","N")),"")</f>
        <v>220.66871799566806</v>
      </c>
      <c r="AG48" s="18">
        <f t="shared" si="31"/>
        <v>6560.7735897435905</v>
      </c>
      <c r="AH48" s="18" cm="1">
        <f t="array" ref="AH48">IFERROR(VALUE(_xll.BDP($B48,"INTERVAL_MAE_MOV_AVG","CALC_INTERVAL","65W","PERIODICITY_OVERRIDE","W","TECH_STUDIES_PARAM1_OVERRIDE",39,"USE_PREVIOUS_BUSINESS_DAY","Y")),"")</f>
        <v>220.76487179487179</v>
      </c>
      <c r="AI48" s="18">
        <f t="shared" si="32"/>
        <v>6560.7823076923087</v>
      </c>
      <c r="AJ48" s="18">
        <f t="shared" si="145"/>
        <v>3.3634557720546528E-2</v>
      </c>
      <c r="AK48" s="18">
        <f t="shared" si="146"/>
        <v>3.3649168870613491E-2</v>
      </c>
      <c r="AL48" s="22" t="str">
        <f t="shared" si="147"/>
        <v>DOWN</v>
      </c>
      <c r="AM48" s="22" t="str">
        <f t="shared" si="148"/>
        <v>DOWN</v>
      </c>
      <c r="AN48" s="21" t="str">
        <f t="shared" si="149"/>
        <v>NEGATIVE</v>
      </c>
      <c r="AO48" s="18" cm="1">
        <f t="array" ref="AO48">IFERROR(VALUE(_xll.BDP($B48,"INTERVAL_exp_MOV_AVG","CALC_INTERVAL","520D","TECH_STUDIES_PARAM1_OVERRIDE",100,"USE_PREVIOUS_BUSINESS_DAY","N")),"")</f>
        <v>217.38352727377347</v>
      </c>
      <c r="AP48" s="18">
        <f t="shared" si="33"/>
        <v>6773.0064518682802</v>
      </c>
      <c r="AQ48" s="18" cm="1">
        <f t="array" ref="AQ48">IFERROR(VALUE(_xll.BDP($B48,"INTERVAL_exp_MOV_AVG","CALC_INTERVAL","520D","TECH_STUDIES_PARAM1_OVERRIDE",100,"USE_PREVIOUS_BUSINESS_DAY","Y")),"")</f>
        <v>218.16238326997444</v>
      </c>
      <c r="AR48" s="18">
        <f t="shared" si="34"/>
        <v>6769.6039787132295</v>
      </c>
      <c r="AS48" s="18">
        <f t="shared" si="150"/>
        <v>3.2095573630202275E-2</v>
      </c>
      <c r="AT48" s="18">
        <f t="shared" si="151"/>
        <v>3.2226757127296959E-2</v>
      </c>
      <c r="AU48" s="21" t="str">
        <f t="shared" si="152"/>
        <v>DOWN</v>
      </c>
      <c r="AV48" s="21" t="str">
        <f t="shared" si="153"/>
        <v>DOWN</v>
      </c>
      <c r="AW48" s="21" t="str">
        <f t="shared" si="154"/>
        <v>NEGATIVE</v>
      </c>
      <c r="AX48" s="19" cm="1">
        <f t="array" ref="AX48">_xll.BDP($B48, "INTERVAL_RSI", "TECH_STUDIES_PARAM1_OVERRIDE", "5", "PERIODICITY_OVERRIDE", "W")</f>
        <v>26.531137593864898</v>
      </c>
    </row>
    <row r="49" spans="1:50" x14ac:dyDescent="0.25">
      <c r="A49" s="18">
        <v>48</v>
      </c>
      <c r="B49" s="18" t="s">
        <v>961</v>
      </c>
      <c r="D49" s="19">
        <f>IFERROR(VALUE((_xll.BDP($B49,"interval_rsi","tech_studies_param1_override",14))),"")</f>
        <v>63.147003843313534</v>
      </c>
      <c r="E49" s="20">
        <f t="shared" si="24"/>
        <v>52.525531939815814</v>
      </c>
      <c r="F49" s="18">
        <f t="shared" ref="F49:F51" si="155">IF(AND(D49-E49&gt;10,E49&lt;65),1,0)</f>
        <v>1</v>
      </c>
      <c r="G49" s="18" cm="1">
        <f t="array" ref="G49">IFERROR(VALUE(_xll.BDP($B49,"px_last")),"")</f>
        <v>6.17</v>
      </c>
      <c r="H49" s="18">
        <f t="shared" si="25"/>
        <v>6941.47</v>
      </c>
      <c r="I49" s="18" cm="1">
        <f t="array" ref="I49">IFERROR(VALUE(_xll.BDP($B49,"PX_YEST_CLOSE")),"")</f>
        <v>6.01</v>
      </c>
      <c r="J49" s="18">
        <f t="shared" si="26"/>
        <v>6941.81</v>
      </c>
      <c r="K49" s="18">
        <f t="shared" ref="K49:K51" si="156">G49/H49</f>
        <v>8.8886071682222928E-4</v>
      </c>
      <c r="L49" s="18">
        <f t="shared" ref="L49:L51" si="157">I49/J49</f>
        <v>8.6576843791460719E-4</v>
      </c>
      <c r="M49" s="18" cm="1">
        <f t="array" ref="M49">IFERROR(VALUE(_xll.BDP($B49,"INTERVAL_MAE_MOV_AVG","CALC_INTERVAL","520D","TECH_STUDIES_PARAM1_OVERRIDE",50,"USE_PREVIOUS_BUSINESS_DAY","N")),"")</f>
        <v>5.6380000015258807</v>
      </c>
      <c r="N49" s="18">
        <f t="shared" si="27"/>
        <v>6894.0953999999992</v>
      </c>
      <c r="O49" s="18" cm="1">
        <f t="array" ref="O49">IFERROR(VALUE(_xll.BDP($B49,"INTERVAL_MAE_MOV_AVG","CALC_INTERVAL","520D","TECH_STUDIES_PARAM1_OVERRIDE",50,"USE_PREVIOUS_BUSINESS_DAY","Y")),"")</f>
        <v>5.6148000000000007</v>
      </c>
      <c r="P49" s="18">
        <f t="shared" si="28"/>
        <v>6892.2477999999992</v>
      </c>
      <c r="Q49" s="18">
        <f t="shared" ref="Q49:Q51" si="158">M49/N49</f>
        <v>8.1780127404762655E-4</v>
      </c>
      <c r="R49" s="18">
        <f t="shared" ref="R49:R51" si="159">O49/P49</f>
        <v>8.1465440055710143E-4</v>
      </c>
      <c r="S49" s="21" t="str">
        <f t="shared" ref="S49:S51" si="160">IF(F49=1,"POSITIVE","NEGATIVE")</f>
        <v>POSITIVE</v>
      </c>
      <c r="T49" s="21" t="str">
        <f t="shared" ref="T49:T51" si="161">IF(AND(I49&lt;O49,G49&gt;M49),"UP","")</f>
        <v/>
      </c>
      <c r="U49" s="21" t="str">
        <f t="shared" ref="U49:U51" si="162">IF(Q49&gt;R49,"UP",IF(Q49&lt;R49,"DOWN",""))</f>
        <v>UP</v>
      </c>
      <c r="V49" s="21" t="str">
        <f t="shared" ref="V49:V51" si="163">IF(AND(L49&lt;R49,K49&gt;Q49),"BUY",IF(AND(L49&gt;R49,K49&lt;Q49),"SELL",IF(K49&gt;Q49,"POSITIVE","NEGATIVE")))</f>
        <v>POSITIVE</v>
      </c>
      <c r="W49" s="18" cm="1">
        <f t="array" ref="W49">IFERROR(VALUE(_xll.BDP($B49,"INTERVAL_MAE_MOV_AVG","CALC_INTERVAL","520D","TECH_STUDIES_PARAM1_OVERRIDE",65,"USE_PREVIOUS_BUSINESS_DAY","N")),"")</f>
        <v>5.4463076934814474</v>
      </c>
      <c r="X49" s="18">
        <f t="shared" si="29"/>
        <v>6856.0226153846133</v>
      </c>
      <c r="Y49" s="18" cm="1">
        <f t="array" ref="Y49">IFERROR(VALUE(_xll.BDP($B49,"INTERVAL_MAE_MOV_AVG","CALC_INTERVAL","520D","TECH_STUDIES_PARAM1_OVERRIDE",65,"USE_PREVIOUS_BUSINESS_DAY","Y")),"")</f>
        <v>5.4289230769230779</v>
      </c>
      <c r="Z49" s="18">
        <f t="shared" si="30"/>
        <v>6852.6203076923057</v>
      </c>
      <c r="AA49" s="18">
        <f t="shared" ref="AA49:AA51" si="164">W49/X49</f>
        <v>7.9438298252694972E-4</v>
      </c>
      <c r="AB49" s="18">
        <f t="shared" ref="AB49:AB51" si="165">Y49/Z49</f>
        <v>7.9224046177327559E-4</v>
      </c>
      <c r="AC49" s="22" t="str">
        <f t="shared" ref="AC49:AC51" si="166">IF(W49&gt;Y49,"UP",IF(W49&lt;Y49,"DOWN",""))</f>
        <v>UP</v>
      </c>
      <c r="AD49" s="22" t="str">
        <f t="shared" ref="AD49:AD51" si="167">IF(AA49&gt;AB49,"UP",IF(AA49&lt;AB49,"DOWN",""))</f>
        <v>UP</v>
      </c>
      <c r="AE49" s="21" t="str">
        <f t="shared" ref="AE49:AE51" si="168">IF(AND(L49&lt;AB49,K49&gt;AA49),"BUY",IF(AND(L49&gt;AB49,K49&lt;AA49),"SELL",IF(K49&gt;AA49,"POSITIVE","NEGATIVE")))</f>
        <v>POSITIVE</v>
      </c>
      <c r="AF49" s="18" cm="1">
        <f t="array" ref="AF49">IFERROR(VALUE(_xll.BDP($B49,"INTERVAL_MAE_MOV_AVG","CALC_INTERVAL","65W","PERIODICITY_OVERRIDE","W","TECH_STUDIES_PARAM1_OVERRIDE",39,"USE_PREVIOUS_BUSINESS_DAY","N")),"")</f>
        <v>4.5033333352895877</v>
      </c>
      <c r="AG49" s="18">
        <f t="shared" si="31"/>
        <v>6560.7735897435905</v>
      </c>
      <c r="AH49" s="18" cm="1">
        <f t="array" ref="AH49">IFERROR(VALUE(_xll.BDP($B49,"INTERVAL_MAE_MOV_AVG","CALC_INTERVAL","65W","PERIODICITY_OVERRIDE","W","TECH_STUDIES_PARAM1_OVERRIDE",39,"USE_PREVIOUS_BUSINESS_DAY","Y")),"")</f>
        <v>4.4992307692307687</v>
      </c>
      <c r="AI49" s="18">
        <f t="shared" si="32"/>
        <v>6560.7823076923087</v>
      </c>
      <c r="AJ49" s="18">
        <f t="shared" ref="AJ49:AJ51" si="169">AF49/AG49</f>
        <v>6.864027959034611E-4</v>
      </c>
      <c r="AK49" s="18">
        <f t="shared" ref="AK49:AK51" si="170">AH49/AI49</f>
        <v>6.8577656721753501E-4</v>
      </c>
      <c r="AL49" s="22" t="str">
        <f t="shared" ref="AL49:AL51" si="171">IF(AF49&gt;AH49,"UP",IF(AF49&lt;AH49,"DOWN",""))</f>
        <v>UP</v>
      </c>
      <c r="AM49" s="22" t="str">
        <f t="shared" ref="AM49:AM51" si="172">IF(AJ49&gt;AK49,"UP",IF(AJ49&lt;AK49,"DOWN",""))</f>
        <v>UP</v>
      </c>
      <c r="AN49" s="21" t="str">
        <f t="shared" ref="AN49:AN51" si="173">IF(AND(L49&lt;AK49,K49&gt;AJ49),"BUY",IF(AND(L49&gt;AK49,K49&lt;AJ49),"SELL",IF(K49&gt;AJ49,"POSITIVE","NEGATIVE")))</f>
        <v>POSITIVE</v>
      </c>
      <c r="AO49" s="18" cm="1">
        <f t="array" ref="AO49">IFERROR(VALUE(_xll.BDP($B49,"INTERVAL_exp_MOV_AVG","CALC_INTERVAL","520D","TECH_STUDIES_PARAM1_OVERRIDE",100,"USE_PREVIOUS_BUSINESS_DAY","N")),"")</f>
        <v>5.1738791984815125</v>
      </c>
      <c r="AP49" s="18">
        <f t="shared" si="33"/>
        <v>6773.0064518682802</v>
      </c>
      <c r="AQ49" s="18" cm="1">
        <f t="array" ref="AQ49">IFERROR(VALUE(_xll.BDP($B49,"INTERVAL_exp_MOV_AVG","CALC_INTERVAL","520D","TECH_STUDIES_PARAM1_OVERRIDE",100,"USE_PREVIOUS_BUSINESS_DAY","Y")),"")</f>
        <v>5.1537546132887275</v>
      </c>
      <c r="AR49" s="18">
        <f t="shared" si="34"/>
        <v>6769.6039787132295</v>
      </c>
      <c r="AS49" s="18">
        <f t="shared" ref="AS49:AS51" si="174">AO49/AP49</f>
        <v>7.6389698359940865E-4</v>
      </c>
      <c r="AT49" s="18">
        <f t="shared" ref="AT49:AT51" si="175">AQ49/AR49</f>
        <v>7.6130813995833717E-4</v>
      </c>
      <c r="AU49" s="21" t="str">
        <f t="shared" ref="AU49:AU51" si="176">IF(AO49&gt;AQ49,"UP",IF(AO49&lt;AQ49,"DOWN",""))</f>
        <v>UP</v>
      </c>
      <c r="AV49" s="21" t="str">
        <f t="shared" ref="AV49:AV51" si="177">IF(AS49&gt;AT49,"UP",IF(AS49&lt;AT49,"DOWN",""))</f>
        <v>UP</v>
      </c>
      <c r="AW49" s="21" t="str">
        <f t="shared" ref="AW49:AW51" si="178">IF(AND(L49&lt;AT49,K49&gt;AS49),"BUY",IF(AND(L49&gt;AT49,K49&lt;AS49),"SELL",IF(K49&gt;AS49,"POSITIVE","NEGATIVE")))</f>
        <v>POSITIVE</v>
      </c>
      <c r="AX49" s="19" cm="1">
        <f t="array" ref="AX49">_xll.BDP($B49, "INTERVAL_RSI", "TECH_STUDIES_PARAM1_OVERRIDE", "5", "PERIODICITY_OVERRIDE", "W")</f>
        <v>76.139091538098654</v>
      </c>
    </row>
    <row r="50" spans="1:50" x14ac:dyDescent="0.25">
      <c r="A50" s="18">
        <v>49</v>
      </c>
      <c r="B50" s="18" t="s">
        <v>117</v>
      </c>
      <c r="D50" s="19">
        <f>IFERROR(VALUE((_xll.BDP($B50,"interval_rsi","tech_studies_param1_override",14))),"")</f>
        <v>43.796049817073843</v>
      </c>
      <c r="E50" s="20">
        <f t="shared" si="24"/>
        <v>52.525531939815814</v>
      </c>
      <c r="F50" s="18">
        <f t="shared" si="155"/>
        <v>0</v>
      </c>
      <c r="G50" s="18" cm="1">
        <f t="array" ref="G50">IFERROR(VALUE(_xll.BDP($B50,"px_last")),"")</f>
        <v>9.7799999999999994</v>
      </c>
      <c r="H50" s="18">
        <f t="shared" si="25"/>
        <v>6941.47</v>
      </c>
      <c r="I50" s="18" cm="1">
        <f t="array" ref="I50">IFERROR(VALUE(_xll.BDP($B50,"PX_YEST_CLOSE")),"")</f>
        <v>9.84</v>
      </c>
      <c r="J50" s="18">
        <f t="shared" si="26"/>
        <v>6941.81</v>
      </c>
      <c r="K50" s="18">
        <f t="shared" si="156"/>
        <v>1.4089234701007134E-3</v>
      </c>
      <c r="L50" s="18">
        <f t="shared" si="157"/>
        <v>1.4174977419433835E-3</v>
      </c>
      <c r="M50" s="18" cm="1">
        <f t="array" ref="M50">IFERROR(VALUE(_xll.BDP($B50,"INTERVAL_MAE_MOV_AVG","CALC_INTERVAL","520D","TECH_STUDIES_PARAM1_OVERRIDE",50,"USE_PREVIOUS_BUSINESS_DAY","N")),"")</f>
        <v>10.341399994659421</v>
      </c>
      <c r="N50" s="18">
        <f t="shared" si="27"/>
        <v>6894.0953999999992</v>
      </c>
      <c r="O50" s="18" cm="1">
        <f t="array" ref="O50">IFERROR(VALUE(_xll.BDP($B50,"INTERVAL_MAE_MOV_AVG","CALC_INTERVAL","520D","TECH_STUDIES_PARAM1_OVERRIDE",50,"USE_PREVIOUS_BUSINESS_DAY","Y")),"")</f>
        <v>10.340199999999998</v>
      </c>
      <c r="P50" s="18">
        <f t="shared" si="28"/>
        <v>6892.2477999999992</v>
      </c>
      <c r="Q50" s="18">
        <f t="shared" si="158"/>
        <v>1.5000372629974661E-3</v>
      </c>
      <c r="R50" s="18">
        <f t="shared" si="159"/>
        <v>1.5002652690461883E-3</v>
      </c>
      <c r="S50" s="21" t="str">
        <f t="shared" si="160"/>
        <v>NEGATIVE</v>
      </c>
      <c r="T50" s="21" t="str">
        <f t="shared" si="161"/>
        <v/>
      </c>
      <c r="U50" s="21" t="str">
        <f t="shared" si="162"/>
        <v>DOWN</v>
      </c>
      <c r="V50" s="21" t="str">
        <f t="shared" si="163"/>
        <v>NEGATIVE</v>
      </c>
      <c r="W50" s="18" cm="1">
        <f t="array" ref="W50">IFERROR(VALUE(_xll.BDP($B50,"INTERVAL_MAE_MOV_AVG","CALC_INTERVAL","520D","TECH_STUDIES_PARAM1_OVERRIDE",65,"USE_PREVIOUS_BUSINESS_DAY","N")),"")</f>
        <v>10.24092307281494</v>
      </c>
      <c r="X50" s="18">
        <f t="shared" si="29"/>
        <v>6856.0226153846133</v>
      </c>
      <c r="Y50" s="18" cm="1">
        <f t="array" ref="Y50">IFERROR(VALUE(_xll.BDP($B50,"INTERVAL_MAE_MOV_AVG","CALC_INTERVAL","520D","TECH_STUDIES_PARAM1_OVERRIDE",65,"USE_PREVIOUS_BUSINESS_DAY","Y")),"")</f>
        <v>10.261999999999999</v>
      </c>
      <c r="Z50" s="18">
        <f t="shared" si="30"/>
        <v>6852.6203076923057</v>
      </c>
      <c r="AA50" s="18">
        <f t="shared" si="164"/>
        <v>1.4937119737374784E-3</v>
      </c>
      <c r="AB50" s="18">
        <f t="shared" si="165"/>
        <v>1.4975293448668892E-3</v>
      </c>
      <c r="AC50" s="22" t="str">
        <f t="shared" si="166"/>
        <v>DOWN</v>
      </c>
      <c r="AD50" s="22" t="str">
        <f t="shared" si="167"/>
        <v>DOWN</v>
      </c>
      <c r="AE50" s="21" t="str">
        <f t="shared" si="168"/>
        <v>NEGATIVE</v>
      </c>
      <c r="AF50" s="18" cm="1">
        <f t="array" ref="AF50">IFERROR(VALUE(_xll.BDP($B50,"INTERVAL_MAE_MOV_AVG","CALC_INTERVAL","65W","PERIODICITY_OVERRIDE","W","TECH_STUDIES_PARAM1_OVERRIDE",39,"USE_PREVIOUS_BUSINESS_DAY","N")),"")</f>
        <v>11.041282044435158</v>
      </c>
      <c r="AG50" s="18">
        <f t="shared" si="31"/>
        <v>6560.7735897435905</v>
      </c>
      <c r="AH50" s="18" cm="1">
        <f t="array" ref="AH50">IFERROR(VALUE(_xll.BDP($B50,"INTERVAL_MAE_MOV_AVG","CALC_INTERVAL","65W","PERIODICITY_OVERRIDE","W","TECH_STUDIES_PARAM1_OVERRIDE",39,"USE_PREVIOUS_BUSINESS_DAY","Y")),"")</f>
        <v>11.042820512820512</v>
      </c>
      <c r="AI50" s="18">
        <f t="shared" si="32"/>
        <v>6560.7823076923087</v>
      </c>
      <c r="AJ50" s="18">
        <f t="shared" si="169"/>
        <v>1.6829238036343633E-3</v>
      </c>
      <c r="AK50" s="18">
        <f t="shared" si="170"/>
        <v>1.6831560620252795E-3</v>
      </c>
      <c r="AL50" s="22" t="str">
        <f t="shared" si="171"/>
        <v>DOWN</v>
      </c>
      <c r="AM50" s="22" t="str">
        <f t="shared" si="172"/>
        <v>DOWN</v>
      </c>
      <c r="AN50" s="21" t="str">
        <f t="shared" si="173"/>
        <v>NEGATIVE</v>
      </c>
      <c r="AO50" s="18" cm="1">
        <f t="array" ref="AO50">IFERROR(VALUE(_xll.BDP($B50,"INTERVAL_exp_MOV_AVG","CALC_INTERVAL","520D","TECH_STUDIES_PARAM1_OVERRIDE",100,"USE_PREVIOUS_BUSINESS_DAY","N")),"")</f>
        <v>10.721630147242266</v>
      </c>
      <c r="AP50" s="18">
        <f t="shared" si="33"/>
        <v>6773.0064518682802</v>
      </c>
      <c r="AQ50" s="18" cm="1">
        <f t="array" ref="AQ50">IFERROR(VALUE(_xll.BDP($B50,"INTERVAL_exp_MOV_AVG","CALC_INTERVAL","520D","TECH_STUDIES_PARAM1_OVERRIDE",100,"USE_PREVIOUS_BUSINESS_DAY","Y")),"")</f>
        <v>10.740652983894208</v>
      </c>
      <c r="AR50" s="18">
        <f t="shared" si="34"/>
        <v>6769.6039787132295</v>
      </c>
      <c r="AS50" s="18">
        <f t="shared" si="174"/>
        <v>1.5829942320939011E-3</v>
      </c>
      <c r="AT50" s="18">
        <f t="shared" si="175"/>
        <v>1.5865998982610794E-3</v>
      </c>
      <c r="AU50" s="21" t="str">
        <f t="shared" si="176"/>
        <v>DOWN</v>
      </c>
      <c r="AV50" s="21" t="str">
        <f t="shared" si="177"/>
        <v>DOWN</v>
      </c>
      <c r="AW50" s="21" t="str">
        <f t="shared" si="178"/>
        <v>NEGATIVE</v>
      </c>
      <c r="AX50" s="19" cm="1">
        <f t="array" ref="AX50">_xll.BDP($B50, "INTERVAL_RSI", "TECH_STUDIES_PARAM1_OVERRIDE", "5", "PERIODICITY_OVERRIDE", "W")</f>
        <v>38.299591321385549</v>
      </c>
    </row>
    <row r="51" spans="1:50" x14ac:dyDescent="0.25">
      <c r="A51" s="18">
        <v>50</v>
      </c>
      <c r="B51" s="18" t="s">
        <v>121</v>
      </c>
      <c r="D51" s="19">
        <f>IFERROR(VALUE((_xll.BDP($B51,"interval_rsi","tech_studies_param1_override",14))),"")</f>
        <v>75.597486527115819</v>
      </c>
      <c r="E51" s="20">
        <f t="shared" si="24"/>
        <v>52.525531939815814</v>
      </c>
      <c r="F51" s="18">
        <f t="shared" si="155"/>
        <v>1</v>
      </c>
      <c r="G51" s="18" cm="1">
        <f t="array" ref="G51">IFERROR(VALUE(_xll.BDP($B51,"px_last")),"")</f>
        <v>48.65</v>
      </c>
      <c r="H51" s="18">
        <f t="shared" si="25"/>
        <v>6941.47</v>
      </c>
      <c r="I51" s="18" cm="1">
        <f t="array" ref="I51">IFERROR(VALUE(_xll.BDP($B51,"PX_YEST_CLOSE")),"")</f>
        <v>47.32</v>
      </c>
      <c r="J51" s="18">
        <f t="shared" si="26"/>
        <v>6941.81</v>
      </c>
      <c r="K51" s="18">
        <f t="shared" si="156"/>
        <v>7.008601924376248E-3</v>
      </c>
      <c r="L51" s="18">
        <f t="shared" si="157"/>
        <v>6.8166659704025313E-3</v>
      </c>
      <c r="M51" s="18" cm="1">
        <f t="array" ref="M51">IFERROR(VALUE(_xll.BDP($B51,"INTERVAL_MAE_MOV_AVG","CALC_INTERVAL","520D","TECH_STUDIES_PARAM1_OVERRIDE",50,"USE_PREVIOUS_BUSINESS_DAY","N")),"")</f>
        <v>41.821200030517574</v>
      </c>
      <c r="N51" s="18">
        <f t="shared" si="27"/>
        <v>6894.0953999999992</v>
      </c>
      <c r="O51" s="18" cm="1">
        <f t="array" ref="O51">IFERROR(VALUE(_xll.BDP($B51,"INTERVAL_MAE_MOV_AVG","CALC_INTERVAL","520D","TECH_STUDIES_PARAM1_OVERRIDE",50,"USE_PREVIOUS_BUSINESS_DAY","Y")),"")</f>
        <v>41.652599999999993</v>
      </c>
      <c r="P51" s="18">
        <f t="shared" si="28"/>
        <v>6892.2477999999992</v>
      </c>
      <c r="Q51" s="18">
        <f t="shared" si="158"/>
        <v>6.0662345970027599E-3</v>
      </c>
      <c r="R51" s="18">
        <f t="shared" si="159"/>
        <v>6.0433984976570338E-3</v>
      </c>
      <c r="S51" s="21" t="str">
        <f t="shared" si="160"/>
        <v>POSITIVE</v>
      </c>
      <c r="T51" s="21" t="str">
        <f t="shared" si="161"/>
        <v/>
      </c>
      <c r="U51" s="21" t="str">
        <f t="shared" si="162"/>
        <v>UP</v>
      </c>
      <c r="V51" s="21" t="str">
        <f t="shared" si="163"/>
        <v>POSITIVE</v>
      </c>
      <c r="W51" s="18" cm="1">
        <f t="array" ref="W51">IFERROR(VALUE(_xll.BDP($B51,"INTERVAL_MAE_MOV_AVG","CALC_INTERVAL","520D","TECH_STUDIES_PARAM1_OVERRIDE",65,"USE_PREVIOUS_BUSINESS_DAY","N")),"")</f>
        <v>41.371124804551968</v>
      </c>
      <c r="X51" s="18">
        <f t="shared" si="29"/>
        <v>6856.0226153846133</v>
      </c>
      <c r="Y51" s="18" cm="1">
        <f t="array" ref="Y51">IFERROR(VALUE(_xll.BDP($B51,"INTERVAL_MAE_MOV_AVG","CALC_INTERVAL","520D","TECH_STUDIES_PARAM1_OVERRIDE",65,"USE_PREVIOUS_BUSINESS_DAY","Y")),"")</f>
        <v>41.238727503538449</v>
      </c>
      <c r="Z51" s="18">
        <f t="shared" si="30"/>
        <v>6852.6203076923057</v>
      </c>
      <c r="AA51" s="18">
        <f t="shared" si="164"/>
        <v>6.0342748449687114E-3</v>
      </c>
      <c r="AB51" s="18">
        <f t="shared" si="165"/>
        <v>6.0179501638587124E-3</v>
      </c>
      <c r="AC51" s="22" t="str">
        <f t="shared" si="166"/>
        <v>UP</v>
      </c>
      <c r="AD51" s="22" t="str">
        <f t="shared" si="167"/>
        <v>UP</v>
      </c>
      <c r="AE51" s="21" t="str">
        <f t="shared" si="168"/>
        <v>POSITIVE</v>
      </c>
      <c r="AF51" s="18" cm="1">
        <f t="array" ref="AF51">IFERROR(VALUE(_xll.BDP($B51,"INTERVAL_MAE_MOV_AVG","CALC_INTERVAL","65W","PERIODICITY_OVERRIDE","W","TECH_STUDIES_PARAM1_OVERRIDE",39,"USE_PREVIOUS_BUSINESS_DAY","N")),"")</f>
        <v>37.720286428868683</v>
      </c>
      <c r="AG51" s="18">
        <f t="shared" si="31"/>
        <v>6560.7735897435905</v>
      </c>
      <c r="AH51" s="18" cm="1">
        <f t="array" ref="AH51">IFERROR(VALUE(_xll.BDP($B51,"INTERVAL_MAE_MOV_AVG","CALC_INTERVAL","65W","PERIODICITY_OVERRIDE","W","TECH_STUDIES_PARAM1_OVERRIDE",39,"USE_PREVIOUS_BUSINESS_DAY","Y")),"")</f>
        <v>37.686183825641017</v>
      </c>
      <c r="AI51" s="18">
        <f t="shared" si="32"/>
        <v>6560.7823076923087</v>
      </c>
      <c r="AJ51" s="18">
        <f t="shared" si="169"/>
        <v>5.7493656674628326E-3</v>
      </c>
      <c r="AK51" s="18">
        <f t="shared" si="170"/>
        <v>5.7441600800342309E-3</v>
      </c>
      <c r="AL51" s="22" t="str">
        <f t="shared" si="171"/>
        <v>UP</v>
      </c>
      <c r="AM51" s="22" t="str">
        <f t="shared" si="172"/>
        <v>UP</v>
      </c>
      <c r="AN51" s="21" t="str">
        <f t="shared" si="173"/>
        <v>POSITIVE</v>
      </c>
      <c r="AO51" s="18" cm="1">
        <f t="array" ref="AO51">IFERROR(VALUE(_xll.BDP($B51,"INTERVAL_exp_MOV_AVG","CALC_INTERVAL","520D","TECH_STUDIES_PARAM1_OVERRIDE",100,"USE_PREVIOUS_BUSINESS_DAY","N")),"")</f>
        <v>40.397650041098373</v>
      </c>
      <c r="AP51" s="18">
        <f t="shared" si="33"/>
        <v>6773.0064518682802</v>
      </c>
      <c r="AQ51" s="18" cm="1">
        <f t="array" ref="AQ51">IFERROR(VALUE(_xll.BDP($B51,"INTERVAL_exp_MOV_AVG","CALC_INTERVAL","520D","TECH_STUDIES_PARAM1_OVERRIDE",100,"USE_PREVIOUS_BUSINESS_DAY","Y")),"")</f>
        <v>40.230937009169274</v>
      </c>
      <c r="AR51" s="18">
        <f t="shared" si="34"/>
        <v>6769.6039787132295</v>
      </c>
      <c r="AS51" s="18">
        <f t="shared" si="174"/>
        <v>5.9645078338815107E-3</v>
      </c>
      <c r="AT51" s="18">
        <f t="shared" si="175"/>
        <v>5.9428789535804424E-3</v>
      </c>
      <c r="AU51" s="21" t="str">
        <f t="shared" si="176"/>
        <v>UP</v>
      </c>
      <c r="AV51" s="21" t="str">
        <f t="shared" si="177"/>
        <v>UP</v>
      </c>
      <c r="AW51" s="21" t="str">
        <f t="shared" si="178"/>
        <v>POSITIVE</v>
      </c>
      <c r="AX51" s="19" cm="1">
        <f t="array" ref="AX51">_xll.BDP($B51, "INTERVAL_RSI", "TECH_STUDIES_PARAM1_OVERRIDE", "5", "PERIODICITY_OVERRIDE", "W")</f>
        <v>90.671722136687237</v>
      </c>
    </row>
    <row r="52" spans="1:50" x14ac:dyDescent="0.25">
      <c r="A52" s="18">
        <v>51</v>
      </c>
      <c r="B52" s="18" t="s">
        <v>123</v>
      </c>
      <c r="D52" s="19">
        <f>IFERROR(VALUE((_xll.BDP($B52,"interval_rsi","tech_studies_param1_override",14))),"")</f>
        <v>23.21991803639699</v>
      </c>
      <c r="E52" s="20">
        <f t="shared" si="24"/>
        <v>52.525531939815814</v>
      </c>
      <c r="F52" s="18">
        <f t="shared" si="131"/>
        <v>0</v>
      </c>
      <c r="G52" s="18" cm="1">
        <f t="array" ref="G52">IFERROR(VALUE(_xll.BDP($B52,"px_last")),"")</f>
        <v>60.74</v>
      </c>
      <c r="H52" s="18">
        <f t="shared" si="25"/>
        <v>6941.47</v>
      </c>
      <c r="I52" s="18" cm="1">
        <f t="array" ref="I52">IFERROR(VALUE(_xll.BDP($B52,"PX_YEST_CLOSE")),"")</f>
        <v>64.66</v>
      </c>
      <c r="J52" s="18">
        <f t="shared" si="26"/>
        <v>6941.81</v>
      </c>
      <c r="K52" s="18">
        <f t="shared" si="132"/>
        <v>8.7503079318933877E-3</v>
      </c>
      <c r="L52" s="18">
        <f t="shared" si="133"/>
        <v>9.3145735766320299E-3</v>
      </c>
      <c r="M52" s="18" cm="1">
        <f t="array" ref="M52">IFERROR(VALUE(_xll.BDP($B52,"INTERVAL_MAE_MOV_AVG","CALC_INTERVAL","520D","TECH_STUDIES_PARAM1_OVERRIDE",50,"USE_PREVIOUS_BUSINESS_DAY","N")),"")</f>
        <v>94.406300033569352</v>
      </c>
      <c r="N52" s="18">
        <f t="shared" si="27"/>
        <v>6894.0953999999992</v>
      </c>
      <c r="O52" s="18" cm="1">
        <f t="array" ref="O52">IFERROR(VALUE(_xll.BDP($B52,"INTERVAL_MAE_MOV_AVG","CALC_INTERVAL","520D","TECH_STUDIES_PARAM1_OVERRIDE",50,"USE_PREVIOUS_BUSINESS_DAY","Y")),"")</f>
        <v>94.978700000000003</v>
      </c>
      <c r="P52" s="18">
        <f t="shared" si="28"/>
        <v>6892.2477999999992</v>
      </c>
      <c r="Q52" s="18">
        <f t="shared" si="134"/>
        <v>1.3693790781248742E-2</v>
      </c>
      <c r="R52" s="18">
        <f t="shared" si="135"/>
        <v>1.3780511490025071E-2</v>
      </c>
      <c r="S52" s="21" t="str">
        <f t="shared" si="136"/>
        <v>NEGATIVE</v>
      </c>
      <c r="T52" s="21" t="str">
        <f t="shared" si="137"/>
        <v/>
      </c>
      <c r="U52" s="21" t="str">
        <f t="shared" si="138"/>
        <v>DOWN</v>
      </c>
      <c r="V52" s="21" t="str">
        <f t="shared" si="139"/>
        <v>NEGATIVE</v>
      </c>
      <c r="W52" s="18" cm="1">
        <f t="array" ref="W52">IFERROR(VALUE(_xll.BDP($B52,"INTERVAL_MAE_MOV_AVG","CALC_INTERVAL","520D","TECH_STUDIES_PARAM1_OVERRIDE",65,"USE_PREVIOUS_BUSINESS_DAY","N")),"")</f>
        <v>93.206846179668744</v>
      </c>
      <c r="X52" s="18">
        <f t="shared" si="29"/>
        <v>6856.0226153846133</v>
      </c>
      <c r="Y52" s="18" cm="1">
        <f t="array" ref="Y52">IFERROR(VALUE(_xll.BDP($B52,"INTERVAL_MAE_MOV_AVG","CALC_INTERVAL","520D","TECH_STUDIES_PARAM1_OVERRIDE",65,"USE_PREVIOUS_BUSINESS_DAY","Y")),"")</f>
        <v>93.688307692307703</v>
      </c>
      <c r="Z52" s="18">
        <f t="shared" si="30"/>
        <v>6852.6203076923057</v>
      </c>
      <c r="AA52" s="18">
        <f t="shared" si="140"/>
        <v>1.3594886045229296E-2</v>
      </c>
      <c r="AB52" s="18">
        <f t="shared" si="141"/>
        <v>1.3671895345950993E-2</v>
      </c>
      <c r="AC52" s="22" t="str">
        <f t="shared" si="142"/>
        <v>DOWN</v>
      </c>
      <c r="AD52" s="22" t="str">
        <f t="shared" si="143"/>
        <v>DOWN</v>
      </c>
      <c r="AE52" s="21" t="str">
        <f t="shared" si="144"/>
        <v>NEGATIVE</v>
      </c>
      <c r="AF52" s="18" cm="1">
        <f t="array" ref="AF52">IFERROR(VALUE(_xll.BDP($B52,"INTERVAL_MAE_MOV_AVG","CALC_INTERVAL","65W","PERIODICITY_OVERRIDE","W","TECH_STUDIES_PARAM1_OVERRIDE",39,"USE_PREVIOUS_BUSINESS_DAY","N")),"")</f>
        <v>101.23589747893503</v>
      </c>
      <c r="AG52" s="18">
        <f t="shared" si="31"/>
        <v>6560.7735897435905</v>
      </c>
      <c r="AH52" s="18" cm="1">
        <f t="array" ref="AH52">IFERROR(VALUE(_xll.BDP($B52,"INTERVAL_MAE_MOV_AVG","CALC_INTERVAL","65W","PERIODICITY_OVERRIDE","W","TECH_STUDIES_PARAM1_OVERRIDE",39,"USE_PREVIOUS_BUSINESS_DAY","Y")),"")</f>
        <v>101.33641025641023</v>
      </c>
      <c r="AI52" s="18">
        <f t="shared" si="32"/>
        <v>6560.7823076923087</v>
      </c>
      <c r="AJ52" s="18">
        <f t="shared" si="145"/>
        <v>1.5430481801291904E-2</v>
      </c>
      <c r="AK52" s="18">
        <f t="shared" si="146"/>
        <v>1.5445781540045387E-2</v>
      </c>
      <c r="AL52" s="22" t="str">
        <f t="shared" si="147"/>
        <v>DOWN</v>
      </c>
      <c r="AM52" s="22" t="str">
        <f t="shared" si="148"/>
        <v>DOWN</v>
      </c>
      <c r="AN52" s="21" t="str">
        <f t="shared" si="149"/>
        <v>NEGATIVE</v>
      </c>
      <c r="AO52" s="18" cm="1">
        <f t="array" ref="AO52">IFERROR(VALUE(_xll.BDP($B52,"INTERVAL_exp_MOV_AVG","CALC_INTERVAL","520D","TECH_STUDIES_PARAM1_OVERRIDE",100,"USE_PREVIOUS_BUSINESS_DAY","N")),"")</f>
        <v>94.130745309627812</v>
      </c>
      <c r="AP52" s="18">
        <f t="shared" si="33"/>
        <v>6773.0064518682802</v>
      </c>
      <c r="AQ52" s="18" cm="1">
        <f t="array" ref="AQ52">IFERROR(VALUE(_xll.BDP($B52,"INTERVAL_exp_MOV_AVG","CALC_INTERVAL","520D","TECH_STUDIES_PARAM1_OVERRIDE",100,"USE_PREVIOUS_BUSINESS_DAY","Y")),"")</f>
        <v>94.805305787025006</v>
      </c>
      <c r="AR52" s="18">
        <f t="shared" si="34"/>
        <v>6769.6039787132295</v>
      </c>
      <c r="AS52" s="18">
        <f t="shared" si="150"/>
        <v>1.3897926419908044E-2</v>
      </c>
      <c r="AT52" s="18">
        <f t="shared" si="151"/>
        <v>1.4004557147676112E-2</v>
      </c>
      <c r="AU52" s="21" t="str">
        <f t="shared" si="152"/>
        <v>DOWN</v>
      </c>
      <c r="AV52" s="21" t="str">
        <f t="shared" si="153"/>
        <v>DOWN</v>
      </c>
      <c r="AW52" s="21" t="str">
        <f t="shared" si="154"/>
        <v>NEGATIVE</v>
      </c>
      <c r="AX52" s="19" cm="1">
        <f t="array" ref="AX52">_xll.BDP($B52, "INTERVAL_RSI", "TECH_STUDIES_PARAM1_OVERRIDE", "5", "PERIODICITY_OVERRIDE", "W")</f>
        <v>15.689757541986637</v>
      </c>
    </row>
    <row r="53" spans="1:50" x14ac:dyDescent="0.25">
      <c r="A53" s="18">
        <v>52</v>
      </c>
      <c r="B53" s="18" t="s">
        <v>126</v>
      </c>
      <c r="D53" s="19">
        <f>IFERROR(VALUE((_xll.BDP($B53,"interval_rsi","tech_studies_param1_override",14))),"")</f>
        <v>26.183103537995208</v>
      </c>
      <c r="E53" s="20">
        <f t="shared" si="24"/>
        <v>52.525531939815814</v>
      </c>
      <c r="F53" s="18">
        <f t="shared" si="131"/>
        <v>0</v>
      </c>
      <c r="G53" s="18" cm="1">
        <f t="array" ref="G53">IFERROR(VALUE(_xll.BDP($B53,"px_last")),"")</f>
        <v>21.41</v>
      </c>
      <c r="H53" s="18">
        <f t="shared" si="25"/>
        <v>6941.47</v>
      </c>
      <c r="I53" s="18" cm="1">
        <f t="array" ref="I53">IFERROR(VALUE(_xll.BDP($B53,"PX_YEST_CLOSE")),"")</f>
        <v>29.06</v>
      </c>
      <c r="J53" s="18">
        <f t="shared" si="26"/>
        <v>6941.81</v>
      </c>
      <c r="K53" s="18">
        <f t="shared" si="132"/>
        <v>3.0843610935435864E-3</v>
      </c>
      <c r="L53" s="18">
        <f t="shared" si="133"/>
        <v>4.1862280874872685E-3</v>
      </c>
      <c r="M53" s="18" cm="1">
        <f t="array" ref="M53">IFERROR(VALUE(_xll.BDP($B53,"INTERVAL_MAE_MOV_AVG","CALC_INTERVAL","520D","TECH_STUDIES_PARAM1_OVERRIDE",50,"USE_PREVIOUS_BUSINESS_DAY","N")),"")</f>
        <v>41.253799996948246</v>
      </c>
      <c r="N53" s="18">
        <f t="shared" si="27"/>
        <v>6894.0953999999992</v>
      </c>
      <c r="O53" s="18" cm="1">
        <f t="array" ref="O53">IFERROR(VALUE(_xll.BDP($B53,"INTERVAL_MAE_MOV_AVG","CALC_INTERVAL","520D","TECH_STUDIES_PARAM1_OVERRIDE",50,"USE_PREVIOUS_BUSINESS_DAY","Y")),"")</f>
        <v>41.676000000000002</v>
      </c>
      <c r="P53" s="18">
        <f t="shared" si="28"/>
        <v>6892.2477999999992</v>
      </c>
      <c r="Q53" s="18">
        <f t="shared" si="134"/>
        <v>5.9839322787654274E-3</v>
      </c>
      <c r="R53" s="18">
        <f t="shared" si="135"/>
        <v>6.0467936164454224E-3</v>
      </c>
      <c r="S53" s="21" t="str">
        <f t="shared" si="136"/>
        <v>NEGATIVE</v>
      </c>
      <c r="T53" s="21" t="str">
        <f t="shared" si="137"/>
        <v/>
      </c>
      <c r="U53" s="21" t="str">
        <f t="shared" si="138"/>
        <v>DOWN</v>
      </c>
      <c r="V53" s="21" t="str">
        <f t="shared" si="139"/>
        <v>NEGATIVE</v>
      </c>
      <c r="W53" s="18" cm="1">
        <f t="array" ref="W53">IFERROR(VALUE(_xll.BDP($B53,"INTERVAL_MAE_MOV_AVG","CALC_INTERVAL","520D","TECH_STUDIES_PARAM1_OVERRIDE",65,"USE_PREVIOUS_BUSINESS_DAY","N")),"")</f>
        <v>40.91938461303711</v>
      </c>
      <c r="X53" s="18">
        <f t="shared" si="29"/>
        <v>6856.0226153846133</v>
      </c>
      <c r="Y53" s="18" cm="1">
        <f t="array" ref="Y53">IFERROR(VALUE(_xll.BDP($B53,"INTERVAL_MAE_MOV_AVG","CALC_INTERVAL","520D","TECH_STUDIES_PARAM1_OVERRIDE",65,"USE_PREVIOUS_BUSINESS_DAY","Y")),"")</f>
        <v>41.204307692307694</v>
      </c>
      <c r="Z53" s="18">
        <f t="shared" si="30"/>
        <v>6852.6203076923057</v>
      </c>
      <c r="AA53" s="18">
        <f t="shared" si="140"/>
        <v>5.9683853027578714E-3</v>
      </c>
      <c r="AB53" s="18">
        <f t="shared" si="141"/>
        <v>6.0129272952792112E-3</v>
      </c>
      <c r="AC53" s="22" t="str">
        <f t="shared" si="142"/>
        <v>DOWN</v>
      </c>
      <c r="AD53" s="22" t="str">
        <f t="shared" si="143"/>
        <v>DOWN</v>
      </c>
      <c r="AE53" s="21" t="str">
        <f t="shared" si="144"/>
        <v>NEGATIVE</v>
      </c>
      <c r="AF53" s="18" cm="1">
        <f t="array" ref="AF53">IFERROR(VALUE(_xll.BDP($B53,"INTERVAL_MAE_MOV_AVG","CALC_INTERVAL","65W","PERIODICITY_OVERRIDE","W","TECH_STUDIES_PARAM1_OVERRIDE",39,"USE_PREVIOUS_BUSINESS_DAY","N")),"")</f>
        <v>35.876923073010566</v>
      </c>
      <c r="AG53" s="18">
        <f t="shared" si="31"/>
        <v>6560.7735897435905</v>
      </c>
      <c r="AH53" s="18" cm="1">
        <f t="array" ref="AH53">IFERROR(VALUE(_xll.BDP($B53,"INTERVAL_MAE_MOV_AVG","CALC_INTERVAL","65W","PERIODICITY_OVERRIDE","W","TECH_STUDIES_PARAM1_OVERRIDE",39,"USE_PREVIOUS_BUSINESS_DAY","Y")),"")</f>
        <v>36.073076923076918</v>
      </c>
      <c r="AI53" s="18">
        <f t="shared" si="32"/>
        <v>6560.7823076923087</v>
      </c>
      <c r="AJ53" s="18">
        <f t="shared" si="145"/>
        <v>5.4683982890518729E-3</v>
      </c>
      <c r="AK53" s="18">
        <f t="shared" si="146"/>
        <v>5.4982889587393237E-3</v>
      </c>
      <c r="AL53" s="22" t="str">
        <f t="shared" si="147"/>
        <v>DOWN</v>
      </c>
      <c r="AM53" s="22" t="str">
        <f t="shared" si="148"/>
        <v>DOWN</v>
      </c>
      <c r="AN53" s="21" t="str">
        <f t="shared" si="149"/>
        <v>NEGATIVE</v>
      </c>
      <c r="AO53" s="18" cm="1">
        <f t="array" ref="AO53">IFERROR(VALUE(_xll.BDP($B53,"INTERVAL_exp_MOV_AVG","CALC_INTERVAL","520D","TECH_STUDIES_PARAM1_OVERRIDE",100,"USE_PREVIOUS_BUSINESS_DAY","N")),"")</f>
        <v>38.455250007615234</v>
      </c>
      <c r="AP53" s="18">
        <f t="shared" si="33"/>
        <v>6773.0064518682802</v>
      </c>
      <c r="AQ53" s="18" cm="1">
        <f t="array" ref="AQ53">IFERROR(VALUE(_xll.BDP($B53,"INTERVAL_exp_MOV_AVG","CALC_INTERVAL","520D","TECH_STUDIES_PARAM1_OVERRIDE",100,"USE_PREVIOUS_BUSINESS_DAY","Y")),"")</f>
        <v>38.799633256601204</v>
      </c>
      <c r="AR53" s="18">
        <f t="shared" si="34"/>
        <v>6769.6039787132295</v>
      </c>
      <c r="AS53" s="18">
        <f t="shared" si="150"/>
        <v>5.6777223351097885E-3</v>
      </c>
      <c r="AT53" s="18">
        <f t="shared" si="151"/>
        <v>5.7314480106377304E-3</v>
      </c>
      <c r="AU53" s="21" t="str">
        <f t="shared" si="152"/>
        <v>DOWN</v>
      </c>
      <c r="AV53" s="21" t="str">
        <f t="shared" si="153"/>
        <v>DOWN</v>
      </c>
      <c r="AW53" s="21" t="str">
        <f t="shared" si="154"/>
        <v>NEGATIVE</v>
      </c>
      <c r="AX53" s="19" cm="1">
        <f t="array" ref="AX53">_xll.BDP($B53, "INTERVAL_RSI", "TECH_STUDIES_PARAM1_OVERRIDE", "5", "PERIODICITY_OVERRIDE", "W")</f>
        <v>10.203507156840189</v>
      </c>
    </row>
    <row r="54" spans="1:50" x14ac:dyDescent="0.25">
      <c r="A54" s="18">
        <v>53</v>
      </c>
      <c r="B54" s="18" t="s">
        <v>144</v>
      </c>
      <c r="D54" s="19">
        <f>IFERROR(VALUE((_xll.BDP($B54,"interval_rsi","tech_studies_param1_override",14))),"")</f>
        <v>43.385629018840518</v>
      </c>
      <c r="E54" s="20">
        <f t="shared" si="24"/>
        <v>52.525531939815814</v>
      </c>
      <c r="F54" s="18">
        <f t="shared" si="131"/>
        <v>0</v>
      </c>
      <c r="G54" s="18" cm="1">
        <f t="array" ref="G54">IFERROR(VALUE(_xll.BDP($B54,"px_last")),"")</f>
        <v>12.07</v>
      </c>
      <c r="H54" s="18">
        <f t="shared" si="25"/>
        <v>6941.47</v>
      </c>
      <c r="I54" s="18" cm="1">
        <f t="array" ref="I54">IFERROR(VALUE(_xll.BDP($B54,"PX_YEST_CLOSE")),"")</f>
        <v>12.6</v>
      </c>
      <c r="J54" s="18">
        <f t="shared" si="26"/>
        <v>6941.81</v>
      </c>
      <c r="K54" s="18">
        <f t="shared" si="132"/>
        <v>1.7388247734269541E-3</v>
      </c>
      <c r="L54" s="18">
        <f t="shared" si="133"/>
        <v>1.8150885720006741E-3</v>
      </c>
      <c r="M54" s="18" cm="1">
        <f t="array" ref="M54">IFERROR(VALUE(_xll.BDP($B54,"INTERVAL_MAE_MOV_AVG","CALC_INTERVAL","520D","TECH_STUDIES_PARAM1_OVERRIDE",50,"USE_PREVIOUS_BUSINESS_DAY","N")),"")</f>
        <v>13.167799993896486</v>
      </c>
      <c r="N54" s="18">
        <f t="shared" si="27"/>
        <v>6894.0953999999992</v>
      </c>
      <c r="O54" s="18" cm="1">
        <f t="array" ref="O54">IFERROR(VALUE(_xll.BDP($B54,"INTERVAL_MAE_MOV_AVG","CALC_INTERVAL","520D","TECH_STUDIES_PARAM1_OVERRIDE",50,"USE_PREVIOUS_BUSINESS_DAY","Y")),"")</f>
        <v>13.101400000000002</v>
      </c>
      <c r="P54" s="18">
        <f t="shared" si="28"/>
        <v>6892.2477999999992</v>
      </c>
      <c r="Q54" s="18">
        <f t="shared" si="134"/>
        <v>1.9100112821033035E-3</v>
      </c>
      <c r="R54" s="18">
        <f t="shared" si="135"/>
        <v>1.9008892860758726E-3</v>
      </c>
      <c r="S54" s="21" t="str">
        <f t="shared" si="136"/>
        <v>NEGATIVE</v>
      </c>
      <c r="T54" s="21" t="str">
        <f t="shared" si="137"/>
        <v/>
      </c>
      <c r="U54" s="21" t="str">
        <f t="shared" si="138"/>
        <v>UP</v>
      </c>
      <c r="V54" s="21" t="str">
        <f t="shared" si="139"/>
        <v>NEGATIVE</v>
      </c>
      <c r="W54" s="18" cm="1">
        <f t="array" ref="W54">IFERROR(VALUE(_xll.BDP($B54,"INTERVAL_MAE_MOV_AVG","CALC_INTERVAL","520D","TECH_STUDIES_PARAM1_OVERRIDE",65,"USE_PREVIOUS_BUSINESS_DAY","N")),"")</f>
        <v>12.264153841458837</v>
      </c>
      <c r="X54" s="18">
        <f t="shared" si="29"/>
        <v>6856.0226153846133</v>
      </c>
      <c r="Y54" s="18" cm="1">
        <f t="array" ref="Y54">IFERROR(VALUE(_xll.BDP($B54,"INTERVAL_MAE_MOV_AVG","CALC_INTERVAL","520D","TECH_STUDIES_PARAM1_OVERRIDE",65,"USE_PREVIOUS_BUSINESS_DAY","Y")),"")</f>
        <v>12.243846153846157</v>
      </c>
      <c r="Z54" s="18">
        <f t="shared" si="30"/>
        <v>6852.6203076923057</v>
      </c>
      <c r="AA54" s="18">
        <f t="shared" si="140"/>
        <v>1.7888146713429176E-3</v>
      </c>
      <c r="AB54" s="18">
        <f t="shared" si="141"/>
        <v>1.7867393207386686E-3</v>
      </c>
      <c r="AC54" s="22" t="str">
        <f t="shared" si="142"/>
        <v>UP</v>
      </c>
      <c r="AD54" s="22" t="str">
        <f t="shared" si="143"/>
        <v>UP</v>
      </c>
      <c r="AE54" s="21" t="str">
        <f t="shared" si="144"/>
        <v>SELL</v>
      </c>
      <c r="AF54" s="18" cm="1">
        <f t="array" ref="AF54">IFERROR(VALUE(_xll.BDP($B54,"INTERVAL_MAE_MOV_AVG","CALC_INTERVAL","65W","PERIODICITY_OVERRIDE","W","TECH_STUDIES_PARAM1_OVERRIDE",39,"USE_PREVIOUS_BUSINESS_DAY","N")),"")</f>
        <v>11.053846146021135</v>
      </c>
      <c r="AG54" s="18">
        <f t="shared" si="31"/>
        <v>6560.7735897435905</v>
      </c>
      <c r="AH54" s="18" cm="1">
        <f t="array" ref="AH54">IFERROR(VALUE(_xll.BDP($B54,"INTERVAL_MAE_MOV_AVG","CALC_INTERVAL","65W","PERIODICITY_OVERRIDE","W","TECH_STUDIES_PARAM1_OVERRIDE",39,"USE_PREVIOUS_BUSINESS_DAY","Y")),"")</f>
        <v>11.067435897435898</v>
      </c>
      <c r="AI54" s="18">
        <f t="shared" si="32"/>
        <v>6560.7823076923087</v>
      </c>
      <c r="AJ54" s="18">
        <f t="shared" si="145"/>
        <v>1.684838837191628E-3</v>
      </c>
      <c r="AK54" s="18">
        <f t="shared" si="146"/>
        <v>1.6869079598113904E-3</v>
      </c>
      <c r="AL54" s="22" t="str">
        <f t="shared" si="147"/>
        <v>DOWN</v>
      </c>
      <c r="AM54" s="22" t="str">
        <f t="shared" si="148"/>
        <v>DOWN</v>
      </c>
      <c r="AN54" s="21" t="str">
        <f t="shared" si="149"/>
        <v>POSITIVE</v>
      </c>
      <c r="AO54" s="18" cm="1">
        <f t="array" ref="AO54">IFERROR(VALUE(_xll.BDP($B54,"INTERVAL_exp_MOV_AVG","CALC_INTERVAL","520D","TECH_STUDIES_PARAM1_OVERRIDE",100,"USE_PREVIOUS_BUSINESS_DAY","N")),"")</f>
        <v>12.61703970548951</v>
      </c>
      <c r="AP54" s="18">
        <f t="shared" si="33"/>
        <v>6773.0064518682802</v>
      </c>
      <c r="AQ54" s="18" cm="1">
        <f t="array" ref="AQ54">IFERROR(VALUE(_xll.BDP($B54,"INTERVAL_exp_MOV_AVG","CALC_INTERVAL","520D","TECH_STUDIES_PARAM1_OVERRIDE",100,"USE_PREVIOUS_BUSINESS_DAY","Y")),"")</f>
        <v>12.628091018836285</v>
      </c>
      <c r="AR54" s="18">
        <f t="shared" si="34"/>
        <v>6769.6039787132295</v>
      </c>
      <c r="AS54" s="18">
        <f t="shared" si="150"/>
        <v>1.8628418258791412E-3</v>
      </c>
      <c r="AT54" s="18">
        <f t="shared" si="151"/>
        <v>1.8654105998733238E-3</v>
      </c>
      <c r="AU54" s="21" t="str">
        <f t="shared" si="152"/>
        <v>DOWN</v>
      </c>
      <c r="AV54" s="21" t="str">
        <f t="shared" si="153"/>
        <v>DOWN</v>
      </c>
      <c r="AW54" s="21" t="str">
        <f t="shared" si="154"/>
        <v>NEGATIVE</v>
      </c>
      <c r="AX54" s="19" cm="1">
        <f t="array" ref="AX54">_xll.BDP($B54, "INTERVAL_RSI", "TECH_STUDIES_PARAM1_OVERRIDE", "5", "PERIODICITY_OVERRIDE", "W")</f>
        <v>40.236336512179726</v>
      </c>
    </row>
    <row r="55" spans="1:50" x14ac:dyDescent="0.25">
      <c r="A55" s="18">
        <v>54</v>
      </c>
      <c r="B55" s="18" t="s">
        <v>127</v>
      </c>
      <c r="D55" s="19">
        <f>IFERROR(VALUE((_xll.BDP($B55,"interval_rsi","tech_studies_param1_override",14))),"")</f>
        <v>52.293518670625403</v>
      </c>
      <c r="E55" s="20">
        <f t="shared" si="24"/>
        <v>52.525531939815814</v>
      </c>
      <c r="F55" s="18">
        <f t="shared" si="131"/>
        <v>0</v>
      </c>
      <c r="G55" s="18" cm="1">
        <f t="array" ref="G55">IFERROR(VALUE(_xll.BDP($B55,"px_last")),"")</f>
        <v>21.77</v>
      </c>
      <c r="H55" s="18">
        <f t="shared" si="25"/>
        <v>6941.47</v>
      </c>
      <c r="I55" s="18" cm="1">
        <f t="array" ref="I55">IFERROR(VALUE(_xll.BDP($B55,"PX_YEST_CLOSE")),"")</f>
        <v>21.88</v>
      </c>
      <c r="J55" s="18">
        <f t="shared" si="26"/>
        <v>6941.81</v>
      </c>
      <c r="K55" s="18">
        <f t="shared" si="132"/>
        <v>3.1362233071669256E-3</v>
      </c>
      <c r="L55" s="18">
        <f t="shared" si="133"/>
        <v>3.1519157107440274E-3</v>
      </c>
      <c r="M55" s="18" cm="1">
        <f t="array" ref="M55">IFERROR(VALUE(_xll.BDP($B55,"INTERVAL_MAE_MOV_AVG","CALC_INTERVAL","520D","TECH_STUDIES_PARAM1_OVERRIDE",50,"USE_PREVIOUS_BUSINESS_DAY","N")),"")</f>
        <v>18.031300009155274</v>
      </c>
      <c r="N55" s="18">
        <f t="shared" si="27"/>
        <v>6894.0953999999992</v>
      </c>
      <c r="O55" s="18" cm="1">
        <f t="array" ref="O55">IFERROR(VALUE(_xll.BDP($B55,"INTERVAL_MAE_MOV_AVG","CALC_INTERVAL","520D","TECH_STUDIES_PARAM1_OVERRIDE",50,"USE_PREVIOUS_BUSINESS_DAY","Y")),"")</f>
        <v>17.864900000000002</v>
      </c>
      <c r="P55" s="18">
        <f t="shared" si="28"/>
        <v>6892.2477999999992</v>
      </c>
      <c r="Q55" s="18">
        <f t="shared" si="134"/>
        <v>2.615470045447192E-3</v>
      </c>
      <c r="R55" s="18">
        <f t="shared" si="135"/>
        <v>2.5920281043870772E-3</v>
      </c>
      <c r="S55" s="21" t="str">
        <f t="shared" si="136"/>
        <v>NEGATIVE</v>
      </c>
      <c r="T55" s="21" t="str">
        <f t="shared" si="137"/>
        <v/>
      </c>
      <c r="U55" s="21" t="str">
        <f t="shared" si="138"/>
        <v>UP</v>
      </c>
      <c r="V55" s="21" t="str">
        <f t="shared" si="139"/>
        <v>POSITIVE</v>
      </c>
      <c r="W55" s="18" cm="1">
        <f t="array" ref="W55">IFERROR(VALUE(_xll.BDP($B55,"INTERVAL_MAE_MOV_AVG","CALC_INTERVAL","520D","TECH_STUDIES_PARAM1_OVERRIDE",65,"USE_PREVIOUS_BUSINESS_DAY","N")),"")</f>
        <v>17.215153853196362</v>
      </c>
      <c r="X55" s="18">
        <f t="shared" si="29"/>
        <v>6856.0226153846133</v>
      </c>
      <c r="Y55" s="18" cm="1">
        <f t="array" ref="Y55">IFERROR(VALUE(_xll.BDP($B55,"INTERVAL_MAE_MOV_AVG","CALC_INTERVAL","520D","TECH_STUDIES_PARAM1_OVERRIDE",65,"USE_PREVIOUS_BUSINESS_DAY","Y")),"")</f>
        <v>17.123615384615384</v>
      </c>
      <c r="Z55" s="18">
        <f t="shared" si="30"/>
        <v>6852.6203076923057</v>
      </c>
      <c r="AA55" s="18">
        <f t="shared" si="140"/>
        <v>2.5109534811869369E-3</v>
      </c>
      <c r="AB55" s="18">
        <f t="shared" si="141"/>
        <v>2.4988419926598774E-3</v>
      </c>
      <c r="AC55" s="22" t="str">
        <f t="shared" si="142"/>
        <v>UP</v>
      </c>
      <c r="AD55" s="22" t="str">
        <f t="shared" si="143"/>
        <v>UP</v>
      </c>
      <c r="AE55" s="21" t="str">
        <f t="shared" si="144"/>
        <v>POSITIVE</v>
      </c>
      <c r="AF55" s="18" cm="1">
        <f t="array" ref="AF55">IFERROR(VALUE(_xll.BDP($B55,"INTERVAL_MAE_MOV_AVG","CALC_INTERVAL","65W","PERIODICITY_OVERRIDE","W","TECH_STUDIES_PARAM1_OVERRIDE",39,"USE_PREVIOUS_BUSINESS_DAY","N")),"")</f>
        <v>16.454615396352914</v>
      </c>
      <c r="AG55" s="18">
        <f t="shared" si="31"/>
        <v>6560.7735897435905</v>
      </c>
      <c r="AH55" s="18" cm="1">
        <f t="array" ref="AH55">IFERROR(VALUE(_xll.BDP($B55,"INTERVAL_MAE_MOV_AVG","CALC_INTERVAL","65W","PERIODICITY_OVERRIDE","W","TECH_STUDIES_PARAM1_OVERRIDE",39,"USE_PREVIOUS_BUSINESS_DAY","Y")),"")</f>
        <v>16.457435897435897</v>
      </c>
      <c r="AI55" s="18">
        <f t="shared" si="32"/>
        <v>6560.7823076923087</v>
      </c>
      <c r="AJ55" s="18">
        <f t="shared" si="145"/>
        <v>2.5080297576609402E-3</v>
      </c>
      <c r="AK55" s="18">
        <f t="shared" si="146"/>
        <v>2.5084563281638039E-3</v>
      </c>
      <c r="AL55" s="22" t="str">
        <f t="shared" si="147"/>
        <v>DOWN</v>
      </c>
      <c r="AM55" s="22" t="str">
        <f t="shared" si="148"/>
        <v>DOWN</v>
      </c>
      <c r="AN55" s="21" t="str">
        <f t="shared" si="149"/>
        <v>POSITIVE</v>
      </c>
      <c r="AO55" s="18" cm="1">
        <f t="array" ref="AO55">IFERROR(VALUE(_xll.BDP($B55,"INTERVAL_exp_MOV_AVG","CALC_INTERVAL","520D","TECH_STUDIES_PARAM1_OVERRIDE",100,"USE_PREVIOUS_BUSINESS_DAY","N")),"")</f>
        <v>18.304745751501322</v>
      </c>
      <c r="AP55" s="18">
        <f t="shared" si="33"/>
        <v>6773.0064518682802</v>
      </c>
      <c r="AQ55" s="18" cm="1">
        <f t="array" ref="AQ55">IFERROR(VALUE(_xll.BDP($B55,"INTERVAL_exp_MOV_AVG","CALC_INTERVAL","520D","TECH_STUDIES_PARAM1_OVERRIDE",100,"USE_PREVIOUS_BUSINESS_DAY","Y")),"")</f>
        <v>18.234739579277097</v>
      </c>
      <c r="AR55" s="18">
        <f t="shared" si="34"/>
        <v>6769.6039787132295</v>
      </c>
      <c r="AS55" s="18">
        <f t="shared" si="150"/>
        <v>2.7026027335987704E-3</v>
      </c>
      <c r="AT55" s="18">
        <f t="shared" si="151"/>
        <v>2.6936198390061757E-3</v>
      </c>
      <c r="AU55" s="21" t="str">
        <f t="shared" si="152"/>
        <v>UP</v>
      </c>
      <c r="AV55" s="21" t="str">
        <f t="shared" si="153"/>
        <v>UP</v>
      </c>
      <c r="AW55" s="21" t="str">
        <f t="shared" si="154"/>
        <v>POSITIVE</v>
      </c>
      <c r="AX55" s="19" cm="1">
        <f t="array" ref="AX55">_xll.BDP($B55, "INTERVAL_RSI", "TECH_STUDIES_PARAM1_OVERRIDE", "5", "PERIODICITY_OVERRIDE", "W")</f>
        <v>62.557505780658786</v>
      </c>
    </row>
    <row r="56" spans="1:50" x14ac:dyDescent="0.25">
      <c r="A56" s="18">
        <v>55</v>
      </c>
      <c r="B56" s="18" t="s">
        <v>128</v>
      </c>
      <c r="D56" s="19">
        <f>IFERROR(VALUE((_xll.BDP($B56,"interval_rsi","tech_studies_param1_override",14))),"")</f>
        <v>30.420685451280605</v>
      </c>
      <c r="E56" s="20">
        <f t="shared" si="24"/>
        <v>52.525531939815814</v>
      </c>
      <c r="F56" s="18">
        <f t="shared" si="131"/>
        <v>0</v>
      </c>
      <c r="G56" s="18" cm="1">
        <f t="array" ref="G56">IFERROR(VALUE(_xll.BDP($B56,"px_last")),"")</f>
        <v>107.76</v>
      </c>
      <c r="H56" s="18">
        <f t="shared" si="25"/>
        <v>6941.47</v>
      </c>
      <c r="I56" s="18" cm="1">
        <f t="array" ref="I56">IFERROR(VALUE(_xll.BDP($B56,"PX_YEST_CLOSE")),"")</f>
        <v>107.52</v>
      </c>
      <c r="J56" s="18">
        <f t="shared" si="26"/>
        <v>6941.81</v>
      </c>
      <c r="K56" s="18">
        <f t="shared" si="132"/>
        <v>1.5524089277919519E-2</v>
      </c>
      <c r="L56" s="18">
        <f t="shared" si="133"/>
        <v>1.5488755814405751E-2</v>
      </c>
      <c r="M56" s="18" cm="1">
        <f t="array" ref="M56">IFERROR(VALUE(_xll.BDP($B56,"INTERVAL_MAE_MOV_AVG","CALC_INTERVAL","520D","TECH_STUDIES_PARAM1_OVERRIDE",50,"USE_PREVIOUS_BUSINESS_DAY","N")),"")</f>
        <v>123.60100004272464</v>
      </c>
      <c r="N56" s="18">
        <f t="shared" si="27"/>
        <v>6894.0953999999992</v>
      </c>
      <c r="O56" s="18" cm="1">
        <f t="array" ref="O56">IFERROR(VALUE(_xll.BDP($B56,"INTERVAL_MAE_MOV_AVG","CALC_INTERVAL","520D","TECH_STUDIES_PARAM1_OVERRIDE",50,"USE_PREVIOUS_BUSINESS_DAY","Y")),"")</f>
        <v>123.87720000000003</v>
      </c>
      <c r="P56" s="18">
        <f t="shared" si="28"/>
        <v>6892.2477999999992</v>
      </c>
      <c r="Q56" s="18">
        <f t="shared" si="134"/>
        <v>1.7928530557138018E-2</v>
      </c>
      <c r="R56" s="18">
        <f t="shared" si="135"/>
        <v>1.7973410648409949E-2</v>
      </c>
      <c r="S56" s="21" t="str">
        <f t="shared" si="136"/>
        <v>NEGATIVE</v>
      </c>
      <c r="T56" s="21" t="str">
        <f t="shared" si="137"/>
        <v/>
      </c>
      <c r="U56" s="21" t="str">
        <f t="shared" si="138"/>
        <v>DOWN</v>
      </c>
      <c r="V56" s="21" t="str">
        <f t="shared" si="139"/>
        <v>NEGATIVE</v>
      </c>
      <c r="W56" s="18" cm="1">
        <f t="array" ref="W56">IFERROR(VALUE(_xll.BDP($B56,"INTERVAL_MAE_MOV_AVG","CALC_INTERVAL","520D","TECH_STUDIES_PARAM1_OVERRIDE",65,"USE_PREVIOUS_BUSINESS_DAY","N")),"")</f>
        <v>122.58295830240355</v>
      </c>
      <c r="X56" s="18">
        <f t="shared" si="29"/>
        <v>6856.0226153846133</v>
      </c>
      <c r="Y56" s="18" cm="1">
        <f t="array" ref="Y56">IFERROR(VALUE(_xll.BDP($B56,"INTERVAL_MAE_MOV_AVG","CALC_INTERVAL","520D","TECH_STUDIES_PARAM1_OVERRIDE",65,"USE_PREVIOUS_BUSINESS_DAY","Y")),"")</f>
        <v>122.68251603784618</v>
      </c>
      <c r="Z56" s="18">
        <f t="shared" si="30"/>
        <v>6852.6203076923057</v>
      </c>
      <c r="AA56" s="18">
        <f t="shared" si="140"/>
        <v>1.7879602384527259E-2</v>
      </c>
      <c r="AB56" s="18">
        <f t="shared" si="141"/>
        <v>1.7903007977857866E-2</v>
      </c>
      <c r="AC56" s="22" t="str">
        <f t="shared" si="142"/>
        <v>DOWN</v>
      </c>
      <c r="AD56" s="22" t="str">
        <f t="shared" si="143"/>
        <v>DOWN</v>
      </c>
      <c r="AE56" s="21" t="str">
        <f t="shared" si="144"/>
        <v>NEGATIVE</v>
      </c>
      <c r="AF56" s="18" cm="1">
        <f t="array" ref="AF56">IFERROR(VALUE(_xll.BDP($B56,"INTERVAL_MAE_MOV_AVG","CALC_INTERVAL","65W","PERIODICITY_OVERRIDE","W","TECH_STUDIES_PARAM1_OVERRIDE",39,"USE_PREVIOUS_BUSINESS_DAY","N")),"")</f>
        <v>117.09301129482523</v>
      </c>
      <c r="AG56" s="18">
        <f t="shared" si="31"/>
        <v>6560.7735897435905</v>
      </c>
      <c r="AH56" s="18" cm="1">
        <f t="array" ref="AH56">IFERROR(VALUE(_xll.BDP($B56,"INTERVAL_MAE_MOV_AVG","CALC_INTERVAL","65W","PERIODICITY_OVERRIDE","W","TECH_STUDIES_PARAM1_OVERRIDE",39,"USE_PREVIOUS_BUSINESS_DAY","Y")),"")</f>
        <v>117.08685739389622</v>
      </c>
      <c r="AI56" s="18">
        <f t="shared" si="32"/>
        <v>6560.7823076923087</v>
      </c>
      <c r="AJ56" s="18">
        <f t="shared" si="145"/>
        <v>1.7847439740623861E-2</v>
      </c>
      <c r="AK56" s="18">
        <f t="shared" si="146"/>
        <v>1.7846478042201706E-2</v>
      </c>
      <c r="AL56" s="22" t="str">
        <f t="shared" si="147"/>
        <v>UP</v>
      </c>
      <c r="AM56" s="22" t="str">
        <f t="shared" si="148"/>
        <v>UP</v>
      </c>
      <c r="AN56" s="21" t="str">
        <f t="shared" si="149"/>
        <v>NEGATIVE</v>
      </c>
      <c r="AO56" s="18" cm="1">
        <f t="array" ref="AO56">IFERROR(VALUE(_xll.BDP($B56,"INTERVAL_exp_MOV_AVG","CALC_INTERVAL","520D","TECH_STUDIES_PARAM1_OVERRIDE",100,"USE_PREVIOUS_BUSINESS_DAY","N")),"")</f>
        <v>121.33842522705567</v>
      </c>
      <c r="AP56" s="18">
        <f t="shared" si="33"/>
        <v>6773.0064518682802</v>
      </c>
      <c r="AQ56" s="18" cm="1">
        <f t="array" ref="AQ56">IFERROR(VALUE(_xll.BDP($B56,"INTERVAL_exp_MOV_AVG","CALC_INTERVAL","520D","TECH_STUDIES_PARAM1_OVERRIDE",100,"USE_PREVIOUS_BUSINESS_DAY","Y")),"")</f>
        <v>121.61273068948984</v>
      </c>
      <c r="AR56" s="18">
        <f t="shared" si="34"/>
        <v>6769.6039787132295</v>
      </c>
      <c r="AS56" s="18">
        <f t="shared" si="150"/>
        <v>1.7915002161792631E-2</v>
      </c>
      <c r="AT56" s="18">
        <f t="shared" si="151"/>
        <v>1.7964526591495836E-2</v>
      </c>
      <c r="AU56" s="21" t="str">
        <f t="shared" si="152"/>
        <v>DOWN</v>
      </c>
      <c r="AV56" s="21" t="str">
        <f t="shared" si="153"/>
        <v>DOWN</v>
      </c>
      <c r="AW56" s="21" t="str">
        <f t="shared" si="154"/>
        <v>NEGATIVE</v>
      </c>
      <c r="AX56" s="19" cm="1">
        <f t="array" ref="AX56">_xll.BDP($B56, "INTERVAL_RSI", "TECH_STUDIES_PARAM1_OVERRIDE", "5", "PERIODICITY_OVERRIDE", "W")</f>
        <v>22.267807642890446</v>
      </c>
    </row>
    <row r="57" spans="1:50" x14ac:dyDescent="0.25">
      <c r="A57" s="18">
        <v>56</v>
      </c>
      <c r="B57" s="18" t="s">
        <v>129</v>
      </c>
      <c r="D57" s="19">
        <f>IFERROR(VALUE((_xll.BDP($B57,"interval_rsi","tech_studies_param1_override",14))),"")</f>
        <v>57.267590722909958</v>
      </c>
      <c r="E57" s="20">
        <f t="shared" si="24"/>
        <v>52.525531939815814</v>
      </c>
      <c r="F57" s="18">
        <f t="shared" si="131"/>
        <v>0</v>
      </c>
      <c r="G57" s="18" cm="1">
        <f t="array" ref="G57">IFERROR(VALUE(_xll.BDP($B57,"px_last")),"")</f>
        <v>56.05</v>
      </c>
      <c r="H57" s="18">
        <f t="shared" si="25"/>
        <v>6941.47</v>
      </c>
      <c r="I57" s="18" cm="1">
        <f t="array" ref="I57">IFERROR(VALUE(_xll.BDP($B57,"PX_YEST_CLOSE")),"")</f>
        <v>55.87</v>
      </c>
      <c r="J57" s="18">
        <f t="shared" si="26"/>
        <v>6941.81</v>
      </c>
      <c r="K57" s="18">
        <f t="shared" si="132"/>
        <v>8.074658537744887E-3</v>
      </c>
      <c r="L57" s="18">
        <f t="shared" si="133"/>
        <v>8.0483332156887025E-3</v>
      </c>
      <c r="M57" s="18" cm="1">
        <f t="array" ref="M57">IFERROR(VALUE(_xll.BDP($B57,"INTERVAL_MAE_MOV_AVG","CALC_INTERVAL","520D","TECH_STUDIES_PARAM1_OVERRIDE",50,"USE_PREVIOUS_BUSINESS_DAY","N")),"")</f>
        <v>50.945799984741228</v>
      </c>
      <c r="N57" s="18">
        <f t="shared" si="27"/>
        <v>6894.0953999999992</v>
      </c>
      <c r="O57" s="18" cm="1">
        <f t="array" ref="O57">IFERROR(VALUE(_xll.BDP($B57,"INTERVAL_MAE_MOV_AVG","CALC_INTERVAL","520D","TECH_STUDIES_PARAM1_OVERRIDE",50,"USE_PREVIOUS_BUSINESS_DAY","Y")),"")</f>
        <v>50.808000000000014</v>
      </c>
      <c r="P57" s="18">
        <f t="shared" si="28"/>
        <v>6892.2477999999992</v>
      </c>
      <c r="Q57" s="18">
        <f t="shared" si="134"/>
        <v>7.389772991064387E-3</v>
      </c>
      <c r="R57" s="18">
        <f t="shared" si="135"/>
        <v>7.3717604871954868E-3</v>
      </c>
      <c r="S57" s="21" t="str">
        <f t="shared" si="136"/>
        <v>NEGATIVE</v>
      </c>
      <c r="T57" s="21" t="str">
        <f t="shared" si="137"/>
        <v/>
      </c>
      <c r="U57" s="21" t="str">
        <f t="shared" si="138"/>
        <v>UP</v>
      </c>
      <c r="V57" s="21" t="str">
        <f t="shared" si="139"/>
        <v>POSITIVE</v>
      </c>
      <c r="W57" s="18" cm="1">
        <f t="array" ref="W57">IFERROR(VALUE(_xll.BDP($B57,"INTERVAL_MAE_MOV_AVG","CALC_INTERVAL","520D","TECH_STUDIES_PARAM1_OVERRIDE",65,"USE_PREVIOUS_BUSINESS_DAY","N")),"")</f>
        <v>50.503384603647113</v>
      </c>
      <c r="X57" s="18">
        <f t="shared" si="29"/>
        <v>6856.0226153846133</v>
      </c>
      <c r="Y57" s="18" cm="1">
        <f t="array" ref="Y57">IFERROR(VALUE(_xll.BDP($B57,"INTERVAL_MAE_MOV_AVG","CALC_INTERVAL","520D","TECH_STUDIES_PARAM1_OVERRIDE",65,"USE_PREVIOUS_BUSINESS_DAY","Y")),"")</f>
        <v>50.384307692307715</v>
      </c>
      <c r="Z57" s="18">
        <f t="shared" si="30"/>
        <v>6852.6203076923057</v>
      </c>
      <c r="AA57" s="18">
        <f t="shared" si="140"/>
        <v>7.36628034019604E-3</v>
      </c>
      <c r="AB57" s="18">
        <f t="shared" si="141"/>
        <v>7.3525608351231089E-3</v>
      </c>
      <c r="AC57" s="22" t="str">
        <f t="shared" si="142"/>
        <v>UP</v>
      </c>
      <c r="AD57" s="22" t="str">
        <f t="shared" si="143"/>
        <v>UP</v>
      </c>
      <c r="AE57" s="21" t="str">
        <f t="shared" si="144"/>
        <v>POSITIVE</v>
      </c>
      <c r="AF57" s="18" cm="1">
        <f t="array" ref="AF57">IFERROR(VALUE(_xll.BDP($B57,"INTERVAL_MAE_MOV_AVG","CALC_INTERVAL","65W","PERIODICITY_OVERRIDE","W","TECH_STUDIES_PARAM1_OVERRIDE",39,"USE_PREVIOUS_BUSINESS_DAY","N")),"")</f>
        <v>45.854615365052823</v>
      </c>
      <c r="AG57" s="18">
        <f t="shared" si="31"/>
        <v>6560.7735897435905</v>
      </c>
      <c r="AH57" s="18" cm="1">
        <f t="array" ref="AH57">IFERROR(VALUE(_xll.BDP($B57,"INTERVAL_MAE_MOV_AVG","CALC_INTERVAL","65W","PERIODICITY_OVERRIDE","W","TECH_STUDIES_PARAM1_OVERRIDE",39,"USE_PREVIOUS_BUSINESS_DAY","Y")),"")</f>
        <v>45.84999999999998</v>
      </c>
      <c r="AI57" s="18">
        <f t="shared" si="32"/>
        <v>6560.7823076923087</v>
      </c>
      <c r="AJ57" s="18">
        <f t="shared" si="145"/>
        <v>6.9892086257536774E-3</v>
      </c>
      <c r="AK57" s="18">
        <f t="shared" si="146"/>
        <v>6.9884958606601403E-3</v>
      </c>
      <c r="AL57" s="22" t="str">
        <f t="shared" si="147"/>
        <v>UP</v>
      </c>
      <c r="AM57" s="22" t="str">
        <f t="shared" si="148"/>
        <v>UP</v>
      </c>
      <c r="AN57" s="21" t="str">
        <f t="shared" si="149"/>
        <v>POSITIVE</v>
      </c>
      <c r="AO57" s="18" cm="1">
        <f t="array" ref="AO57">IFERROR(VALUE(_xll.BDP($B57,"INTERVAL_exp_MOV_AVG","CALC_INTERVAL","520D","TECH_STUDIES_PARAM1_OVERRIDE",100,"USE_PREVIOUS_BUSINESS_DAY","N")),"")</f>
        <v>48.780060085648692</v>
      </c>
      <c r="AP57" s="18">
        <f t="shared" si="33"/>
        <v>6773.0064518682802</v>
      </c>
      <c r="AQ57" s="18" cm="1">
        <f t="array" ref="AQ57">IFERROR(VALUE(_xll.BDP($B57,"INTERVAL_exp_MOV_AVG","CALC_INTERVAL","520D","TECH_STUDIES_PARAM1_OVERRIDE",100,"USE_PREVIOUS_BUSINESS_DAY","Y")),"")</f>
        <v>48.633176178689411</v>
      </c>
      <c r="AR57" s="18">
        <f t="shared" si="34"/>
        <v>6769.6039787132295</v>
      </c>
      <c r="AS57" s="18">
        <f t="shared" si="150"/>
        <v>7.2021280995817E-3</v>
      </c>
      <c r="AT57" s="18">
        <f t="shared" si="151"/>
        <v>7.1840504011186834E-3</v>
      </c>
      <c r="AU57" s="21" t="str">
        <f t="shared" si="152"/>
        <v>UP</v>
      </c>
      <c r="AV57" s="21" t="str">
        <f t="shared" si="153"/>
        <v>UP</v>
      </c>
      <c r="AW57" s="21" t="str">
        <f t="shared" si="154"/>
        <v>POSITIVE</v>
      </c>
      <c r="AX57" s="19" cm="1">
        <f t="array" ref="AX57">_xll.BDP($B57, "INTERVAL_RSI", "TECH_STUDIES_PARAM1_OVERRIDE", "5", "PERIODICITY_OVERRIDE", "W")</f>
        <v>63.783494384129234</v>
      </c>
    </row>
    <row r="58" spans="1:50" x14ac:dyDescent="0.25">
      <c r="A58" s="18">
        <v>57</v>
      </c>
      <c r="B58" s="18" t="s">
        <v>135</v>
      </c>
      <c r="D58" s="19">
        <f>IFERROR(VALUE((_xll.BDP($B58,"interval_rsi","tech_studies_param1_override",14))),"")</f>
        <v>66.956462882108752</v>
      </c>
      <c r="E58" s="20">
        <f t="shared" si="24"/>
        <v>52.525531939815814</v>
      </c>
      <c r="F58" s="18">
        <f t="shared" si="131"/>
        <v>1</v>
      </c>
      <c r="G58" s="18" cm="1">
        <f t="array" ref="G58">IFERROR(VALUE(_xll.BDP($B58,"px_last")),"")</f>
        <v>12.99</v>
      </c>
      <c r="H58" s="18">
        <f t="shared" si="25"/>
        <v>6941.47</v>
      </c>
      <c r="I58" s="18" cm="1">
        <f t="array" ref="I58">IFERROR(VALUE(_xll.BDP($B58,"PX_YEST_CLOSE")),"")</f>
        <v>12.72</v>
      </c>
      <c r="J58" s="18">
        <f t="shared" si="26"/>
        <v>6941.81</v>
      </c>
      <c r="K58" s="18">
        <f t="shared" si="132"/>
        <v>1.8713615415754876E-3</v>
      </c>
      <c r="L58" s="18">
        <f t="shared" si="133"/>
        <v>1.832375129829252E-3</v>
      </c>
      <c r="M58" s="18" cm="1">
        <f t="array" ref="M58">IFERROR(VALUE(_xll.BDP($B58,"INTERVAL_MAE_MOV_AVG","CALC_INTERVAL","520D","TECH_STUDIES_PARAM1_OVERRIDE",50,"USE_PREVIOUS_BUSINESS_DAY","N")),"")</f>
        <v>11.347122955422362</v>
      </c>
      <c r="N58" s="18">
        <f t="shared" si="27"/>
        <v>6894.0953999999992</v>
      </c>
      <c r="O58" s="18" cm="1">
        <f t="array" ref="O58">IFERROR(VALUE(_xll.BDP($B58,"INTERVAL_MAE_MOV_AVG","CALC_INTERVAL","520D","TECH_STUDIES_PARAM1_OVERRIDE",50,"USE_PREVIOUS_BUSINESS_DAY","Y")),"")</f>
        <v>11.288153379999999</v>
      </c>
      <c r="P58" s="18">
        <f t="shared" si="28"/>
        <v>6892.2477999999992</v>
      </c>
      <c r="Q58" s="18">
        <f t="shared" si="134"/>
        <v>1.645919050586733E-3</v>
      </c>
      <c r="R58" s="18">
        <f t="shared" si="135"/>
        <v>1.6378043430185433E-3</v>
      </c>
      <c r="S58" s="21" t="str">
        <f t="shared" si="136"/>
        <v>POSITIVE</v>
      </c>
      <c r="T58" s="21" t="str">
        <f t="shared" si="137"/>
        <v/>
      </c>
      <c r="U58" s="21" t="str">
        <f t="shared" si="138"/>
        <v>UP</v>
      </c>
      <c r="V58" s="21" t="str">
        <f t="shared" si="139"/>
        <v>POSITIVE</v>
      </c>
      <c r="W58" s="18" cm="1">
        <f t="array" ref="W58">IFERROR(VALUE(_xll.BDP($B58,"INTERVAL_MAE_MOV_AVG","CALC_INTERVAL","520D","TECH_STUDIES_PARAM1_OVERRIDE",65,"USE_PREVIOUS_BUSINESS_DAY","N")),"")</f>
        <v>11.059137314940282</v>
      </c>
      <c r="X58" s="18">
        <f t="shared" si="29"/>
        <v>6856.0226153846133</v>
      </c>
      <c r="Y58" s="18" cm="1">
        <f t="array" ref="Y58">IFERROR(VALUE(_xll.BDP($B58,"INTERVAL_MAE_MOV_AVG","CALC_INTERVAL","520D","TECH_STUDIES_PARAM1_OVERRIDE",65,"USE_PREVIOUS_BUSINESS_DAY","Y")),"")</f>
        <v>11.031518977555764</v>
      </c>
      <c r="Z58" s="18">
        <f t="shared" si="30"/>
        <v>6852.6203076923057</v>
      </c>
      <c r="AA58" s="18">
        <f t="shared" si="140"/>
        <v>1.6130543808481705E-3</v>
      </c>
      <c r="AB58" s="18">
        <f t="shared" si="141"/>
        <v>1.6098249256817131E-3</v>
      </c>
      <c r="AC58" s="22" t="str">
        <f t="shared" si="142"/>
        <v>UP</v>
      </c>
      <c r="AD58" s="22" t="str">
        <f t="shared" si="143"/>
        <v>UP</v>
      </c>
      <c r="AE58" s="21" t="str">
        <f t="shared" si="144"/>
        <v>POSITIVE</v>
      </c>
      <c r="AF58" s="18" cm="1">
        <f t="array" ref="AF58">IFERROR(VALUE(_xll.BDP($B58,"INTERVAL_MAE_MOV_AVG","CALC_INTERVAL","65W","PERIODICITY_OVERRIDE","W","TECH_STUDIES_PARAM1_OVERRIDE",39,"USE_PREVIOUS_BUSINESS_DAY","N")),"")</f>
        <v>9.9824540561796056</v>
      </c>
      <c r="AG58" s="18">
        <f t="shared" si="31"/>
        <v>6560.7735897435905</v>
      </c>
      <c r="AH58" s="18" cm="1">
        <f t="array" ref="AH58">IFERROR(VALUE(_xll.BDP($B58,"INTERVAL_MAE_MOV_AVG","CALC_INTERVAL","65W","PERIODICITY_OVERRIDE","W","TECH_STUDIES_PARAM1_OVERRIDE",39,"USE_PREVIOUS_BUSINESS_DAY","Y")),"")</f>
        <v>9.9755309851252942</v>
      </c>
      <c r="AI58" s="18">
        <f t="shared" si="32"/>
        <v>6560.7823076923087</v>
      </c>
      <c r="AJ58" s="18">
        <f t="shared" si="145"/>
        <v>1.5215361297919354E-3</v>
      </c>
      <c r="AK58" s="18">
        <f t="shared" si="146"/>
        <v>1.5204788876212675E-3</v>
      </c>
      <c r="AL58" s="22" t="str">
        <f t="shared" si="147"/>
        <v>UP</v>
      </c>
      <c r="AM58" s="22" t="str">
        <f t="shared" si="148"/>
        <v>UP</v>
      </c>
      <c r="AN58" s="21" t="str">
        <f t="shared" si="149"/>
        <v>POSITIVE</v>
      </c>
      <c r="AO58" s="18" cm="1">
        <f t="array" ref="AO58">IFERROR(VALUE(_xll.BDP($B58,"INTERVAL_exp_MOV_AVG","CALC_INTERVAL","520D","TECH_STUDIES_PARAM1_OVERRIDE",100,"USE_PREVIOUS_BUSINESS_DAY","N")),"")</f>
        <v>10.953537072358579</v>
      </c>
      <c r="AP58" s="18">
        <f t="shared" si="33"/>
        <v>6773.0064518682802</v>
      </c>
      <c r="AQ58" s="18" cm="1">
        <f t="array" ref="AQ58">IFERROR(VALUE(_xll.BDP($B58,"INTERVAL_exp_MOV_AVG","CALC_INTERVAL","520D","TECH_STUDIES_PARAM1_OVERRIDE",100,"USE_PREVIOUS_BUSINESS_DAY","Y")),"")</f>
        <v>10.912398749378085</v>
      </c>
      <c r="AR58" s="18">
        <f t="shared" si="34"/>
        <v>6769.6039787132295</v>
      </c>
      <c r="AS58" s="18">
        <f t="shared" si="150"/>
        <v>1.617234111645816E-3</v>
      </c>
      <c r="AT58" s="18">
        <f t="shared" si="151"/>
        <v>1.6119700330612721E-3</v>
      </c>
      <c r="AU58" s="21" t="str">
        <f t="shared" si="152"/>
        <v>UP</v>
      </c>
      <c r="AV58" s="21" t="str">
        <f t="shared" si="153"/>
        <v>UP</v>
      </c>
      <c r="AW58" s="21" t="str">
        <f t="shared" si="154"/>
        <v>POSITIVE</v>
      </c>
      <c r="AX58" s="19" cm="1">
        <f t="array" ref="AX58">_xll.BDP($B58, "INTERVAL_RSI", "TECH_STUDIES_PARAM1_OVERRIDE", "5", "PERIODICITY_OVERRIDE", "W")</f>
        <v>87.288758912291073</v>
      </c>
    </row>
    <row r="59" spans="1:50" x14ac:dyDescent="0.25">
      <c r="A59" s="18">
        <v>58</v>
      </c>
      <c r="B59" s="18" t="s">
        <v>137</v>
      </c>
      <c r="D59" s="19">
        <f>IFERROR(VALUE((_xll.BDP($B59,"interval_rsi","tech_studies_param1_override",14))),"")</f>
        <v>50.562265271101445</v>
      </c>
      <c r="E59" s="20">
        <f t="shared" si="24"/>
        <v>52.525531939815814</v>
      </c>
      <c r="F59" s="18">
        <f t="shared" si="107"/>
        <v>0</v>
      </c>
      <c r="G59" s="18" cm="1">
        <f t="array" ref="G59">IFERROR(VALUE(_xll.BDP($B59,"px_last")),"")</f>
        <v>63.61</v>
      </c>
      <c r="H59" s="18">
        <f t="shared" si="25"/>
        <v>6941.47</v>
      </c>
      <c r="I59" s="18" cm="1">
        <f t="array" ref="I59">IFERROR(VALUE(_xll.BDP($B59,"PX_YEST_CLOSE")),"")</f>
        <v>68.59</v>
      </c>
      <c r="J59" s="18">
        <f t="shared" si="26"/>
        <v>6941.81</v>
      </c>
      <c r="K59" s="18">
        <f t="shared" si="108"/>
        <v>9.1637650238350094E-3</v>
      </c>
      <c r="L59" s="18">
        <f t="shared" si="109"/>
        <v>9.8807083455179565E-3</v>
      </c>
      <c r="M59" s="18" cm="1">
        <f t="array" ref="M59">IFERROR(VALUE(_xll.BDP($B59,"INTERVAL_MAE_MOV_AVG","CALC_INTERVAL","520D","TECH_STUDIES_PARAM1_OVERRIDE",50,"USE_PREVIOUS_BUSINESS_DAY","N")),"")</f>
        <v>62.141200012207037</v>
      </c>
      <c r="N59" s="18">
        <f t="shared" si="27"/>
        <v>6894.0953999999992</v>
      </c>
      <c r="O59" s="18" cm="1">
        <f t="array" ref="O59">IFERROR(VALUE(_xll.BDP($B59,"INTERVAL_MAE_MOV_AVG","CALC_INTERVAL","520D","TECH_STUDIES_PARAM1_OVERRIDE",50,"USE_PREVIOUS_BUSINESS_DAY","Y")),"")</f>
        <v>62.038400000000003</v>
      </c>
      <c r="P59" s="18">
        <f t="shared" si="28"/>
        <v>6892.2477999999992</v>
      </c>
      <c r="Q59" s="18">
        <f t="shared" si="110"/>
        <v>9.0136843786941274E-3</v>
      </c>
      <c r="R59" s="18">
        <f t="shared" si="111"/>
        <v>9.0011853607468977E-3</v>
      </c>
      <c r="S59" s="21" t="str">
        <f t="shared" si="112"/>
        <v>NEGATIVE</v>
      </c>
      <c r="T59" s="21" t="str">
        <f t="shared" si="113"/>
        <v/>
      </c>
      <c r="U59" s="21" t="str">
        <f t="shared" si="114"/>
        <v>UP</v>
      </c>
      <c r="V59" s="21" t="str">
        <f t="shared" si="115"/>
        <v>POSITIVE</v>
      </c>
      <c r="W59" s="18" cm="1">
        <f t="array" ref="W59">IFERROR(VALUE(_xll.BDP($B59,"INTERVAL_MAE_MOV_AVG","CALC_INTERVAL","520D","TECH_STUDIES_PARAM1_OVERRIDE",65,"USE_PREVIOUS_BUSINESS_DAY","N")),"")</f>
        <v>61.618615394005403</v>
      </c>
      <c r="X59" s="18">
        <f t="shared" si="29"/>
        <v>6856.0226153846133</v>
      </c>
      <c r="Y59" s="18" cm="1">
        <f t="array" ref="Y59">IFERROR(VALUE(_xll.BDP($B59,"INTERVAL_MAE_MOV_AVG","CALC_INTERVAL","520D","TECH_STUDIES_PARAM1_OVERRIDE",65,"USE_PREVIOUS_BUSINESS_DAY","Y")),"")</f>
        <v>61.594153846153844</v>
      </c>
      <c r="Z59" s="18">
        <f t="shared" si="30"/>
        <v>6852.6203076923057</v>
      </c>
      <c r="AA59" s="18">
        <f t="shared" si="116"/>
        <v>8.9875163561648607E-3</v>
      </c>
      <c r="AB59" s="18">
        <f t="shared" si="117"/>
        <v>8.9884089706549555E-3</v>
      </c>
      <c r="AC59" s="22" t="str">
        <f t="shared" si="118"/>
        <v>UP</v>
      </c>
      <c r="AD59" s="22" t="str">
        <f t="shared" si="119"/>
        <v>DOWN</v>
      </c>
      <c r="AE59" s="21" t="str">
        <f t="shared" si="120"/>
        <v>POSITIVE</v>
      </c>
      <c r="AF59" s="18" cm="1">
        <f t="array" ref="AF59">IFERROR(VALUE(_xll.BDP($B59,"INTERVAL_MAE_MOV_AVG","CALC_INTERVAL","65W","PERIODICITY_OVERRIDE","W","TECH_STUDIES_PARAM1_OVERRIDE",39,"USE_PREVIOUS_BUSINESS_DAY","N")),"")</f>
        <v>49.447051297701336</v>
      </c>
      <c r="AG59" s="18">
        <f t="shared" si="31"/>
        <v>6560.7735897435905</v>
      </c>
      <c r="AH59" s="18" cm="1">
        <f t="array" ref="AH59">IFERROR(VALUE(_xll.BDP($B59,"INTERVAL_MAE_MOV_AVG","CALC_INTERVAL","65W","PERIODICITY_OVERRIDE","W","TECH_STUDIES_PARAM1_OVERRIDE",39,"USE_PREVIOUS_BUSINESS_DAY","Y")),"")</f>
        <v>49.574743589743598</v>
      </c>
      <c r="AI59" s="18">
        <f t="shared" si="32"/>
        <v>6560.7823076923087</v>
      </c>
      <c r="AJ59" s="18">
        <f t="shared" si="121"/>
        <v>7.5367714830155931E-3</v>
      </c>
      <c r="AK59" s="18">
        <f t="shared" si="122"/>
        <v>7.5562244355553126E-3</v>
      </c>
      <c r="AL59" s="22" t="str">
        <f t="shared" si="123"/>
        <v>DOWN</v>
      </c>
      <c r="AM59" s="22" t="str">
        <f t="shared" si="124"/>
        <v>DOWN</v>
      </c>
      <c r="AN59" s="21" t="str">
        <f t="shared" si="125"/>
        <v>POSITIVE</v>
      </c>
      <c r="AO59" s="18" cm="1">
        <f t="array" ref="AO59">IFERROR(VALUE(_xll.BDP($B59,"INTERVAL_exp_MOV_AVG","CALC_INTERVAL","520D","TECH_STUDIES_PARAM1_OVERRIDE",100,"USE_PREVIOUS_BUSINESS_DAY","N")),"")</f>
        <v>57.728705800572946</v>
      </c>
      <c r="AP59" s="18">
        <f t="shared" si="33"/>
        <v>6773.0064518682802</v>
      </c>
      <c r="AQ59" s="18" cm="1">
        <f t="array" ref="AQ59">IFERROR(VALUE(_xll.BDP($B59,"INTERVAL_exp_MOV_AVG","CALC_INTERVAL","520D","TECH_STUDIES_PARAM1_OVERRIDE",100,"USE_PREVIOUS_BUSINESS_DAY","Y")),"")</f>
        <v>57.609889591455456</v>
      </c>
      <c r="AR59" s="18">
        <f t="shared" si="34"/>
        <v>6769.6039787132295</v>
      </c>
      <c r="AS59" s="18">
        <f t="shared" si="126"/>
        <v>8.5233501858910741E-3</v>
      </c>
      <c r="AT59" s="18">
        <f t="shared" si="127"/>
        <v>8.5100826832127299E-3</v>
      </c>
      <c r="AU59" s="21" t="str">
        <f t="shared" si="128"/>
        <v>UP</v>
      </c>
      <c r="AV59" s="21" t="str">
        <f t="shared" si="129"/>
        <v>UP</v>
      </c>
      <c r="AW59" s="21" t="str">
        <f t="shared" si="130"/>
        <v>POSITIVE</v>
      </c>
      <c r="AX59" s="19" cm="1">
        <f t="array" ref="AX59">_xll.BDP($B59, "INTERVAL_RSI", "TECH_STUDIES_PARAM1_OVERRIDE", "5", "PERIODICITY_OVERRIDE", "W")</f>
        <v>57.684466104558481</v>
      </c>
    </row>
    <row r="60" spans="1:50" x14ac:dyDescent="0.25">
      <c r="A60" s="18">
        <v>59</v>
      </c>
      <c r="B60" s="18" t="s">
        <v>138</v>
      </c>
      <c r="D60" s="19">
        <f>IFERROR(VALUE((_xll.BDP($B60,"interval_rsi","tech_studies_param1_override",14))),"")</f>
        <v>41.220762987170303</v>
      </c>
      <c r="E60" s="20">
        <f t="shared" si="24"/>
        <v>52.525531939815814</v>
      </c>
      <c r="F60" s="18">
        <f t="shared" si="107"/>
        <v>0</v>
      </c>
      <c r="G60" s="18" cm="1">
        <f t="array" ref="G60">IFERROR(VALUE(_xll.BDP($B60,"px_last")),"")</f>
        <v>32.54</v>
      </c>
      <c r="H60" s="18">
        <f t="shared" si="25"/>
        <v>6941.47</v>
      </c>
      <c r="I60" s="18" cm="1">
        <f t="array" ref="I60">IFERROR(VALUE(_xll.BDP($B60,"PX_YEST_CLOSE")),"")</f>
        <v>32.85</v>
      </c>
      <c r="J60" s="18">
        <f t="shared" si="26"/>
        <v>6941.81</v>
      </c>
      <c r="K60" s="18">
        <f t="shared" si="108"/>
        <v>4.6877678647318215E-3</v>
      </c>
      <c r="L60" s="18">
        <f t="shared" si="109"/>
        <v>4.7321952055731859E-3</v>
      </c>
      <c r="M60" s="18" cm="1">
        <f t="array" ref="M60">IFERROR(VALUE(_xll.BDP($B60,"INTERVAL_MAE_MOV_AVG","CALC_INTERVAL","520D","TECH_STUDIES_PARAM1_OVERRIDE",50,"USE_PREVIOUS_BUSINESS_DAY","N")),"")</f>
        <v>34.978376375910543</v>
      </c>
      <c r="N60" s="18">
        <f t="shared" si="27"/>
        <v>6894.0953999999992</v>
      </c>
      <c r="O60" s="18" cm="1">
        <f t="array" ref="O60">IFERROR(VALUE(_xll.BDP($B60,"INTERVAL_MAE_MOV_AVG","CALC_INTERVAL","520D","TECH_STUDIES_PARAM1_OVERRIDE",50,"USE_PREVIOUS_BUSINESS_DAY","Y")),"")</f>
        <v>35.035058697599993</v>
      </c>
      <c r="P60" s="18">
        <f t="shared" si="28"/>
        <v>6892.2477999999992</v>
      </c>
      <c r="Q60" s="18">
        <f t="shared" si="110"/>
        <v>5.0736716489172091E-3</v>
      </c>
      <c r="R60" s="18">
        <f t="shared" si="111"/>
        <v>5.0832558135242897E-3</v>
      </c>
      <c r="S60" s="21" t="str">
        <f t="shared" si="112"/>
        <v>NEGATIVE</v>
      </c>
      <c r="T60" s="21" t="str">
        <f t="shared" si="113"/>
        <v/>
      </c>
      <c r="U60" s="21" t="str">
        <f t="shared" si="114"/>
        <v>DOWN</v>
      </c>
      <c r="V60" s="21" t="str">
        <f t="shared" si="115"/>
        <v>NEGATIVE</v>
      </c>
      <c r="W60" s="18" cm="1">
        <f t="array" ref="W60">IFERROR(VALUE(_xll.BDP($B60,"INTERVAL_MAE_MOV_AVG","CALC_INTERVAL","520D","TECH_STUDIES_PARAM1_OVERRIDE",65,"USE_PREVIOUS_BUSINESS_DAY","N")),"")</f>
        <v>35.175938461777328</v>
      </c>
      <c r="X60" s="18">
        <f t="shared" si="29"/>
        <v>6856.0226153846133</v>
      </c>
      <c r="Y60" s="18" cm="1">
        <f t="array" ref="Y60">IFERROR(VALUE(_xll.BDP($B60,"INTERVAL_MAE_MOV_AVG","CALC_INTERVAL","520D","TECH_STUDIES_PARAM1_OVERRIDE",65,"USE_PREVIOUS_BUSINESS_DAY","Y")),"")</f>
        <v>35.166191633538446</v>
      </c>
      <c r="Z60" s="18">
        <f t="shared" si="30"/>
        <v>6852.6203076923057</v>
      </c>
      <c r="AA60" s="18">
        <f t="shared" si="116"/>
        <v>5.1306625481141307E-3</v>
      </c>
      <c r="AB60" s="18">
        <f t="shared" si="117"/>
        <v>5.1317875578285243E-3</v>
      </c>
      <c r="AC60" s="22" t="str">
        <f t="shared" si="118"/>
        <v>UP</v>
      </c>
      <c r="AD60" s="22" t="str">
        <f t="shared" si="119"/>
        <v>DOWN</v>
      </c>
      <c r="AE60" s="21" t="str">
        <f t="shared" si="120"/>
        <v>NEGATIVE</v>
      </c>
      <c r="AF60" s="18" cm="1">
        <f t="array" ref="AF60">IFERROR(VALUE(_xll.BDP($B60,"INTERVAL_MAE_MOV_AVG","CALC_INTERVAL","65W","PERIODICITY_OVERRIDE","W","TECH_STUDIES_PARAM1_OVERRIDE",39,"USE_PREVIOUS_BUSINESS_DAY","N")),"")</f>
        <v>32.414814160544303</v>
      </c>
      <c r="AG60" s="18">
        <f t="shared" si="31"/>
        <v>6560.7735897435905</v>
      </c>
      <c r="AH60" s="18" cm="1">
        <f t="array" ref="AH60">IFERROR(VALUE(_xll.BDP($B60,"INTERVAL_MAE_MOV_AVG","CALC_INTERVAL","65W","PERIODICITY_OVERRIDE","W","TECH_STUDIES_PARAM1_OVERRIDE",39,"USE_PREVIOUS_BUSINESS_DAY","Y")),"")</f>
        <v>32.422762855017957</v>
      </c>
      <c r="AI60" s="18">
        <f t="shared" si="32"/>
        <v>6560.7823076923087</v>
      </c>
      <c r="AJ60" s="18">
        <f t="shared" si="121"/>
        <v>4.9407000130622016E-3</v>
      </c>
      <c r="AK60" s="18">
        <f t="shared" si="122"/>
        <v>4.9419049946228663E-3</v>
      </c>
      <c r="AL60" s="22" t="str">
        <f t="shared" si="123"/>
        <v>DOWN</v>
      </c>
      <c r="AM60" s="22" t="str">
        <f t="shared" si="124"/>
        <v>DOWN</v>
      </c>
      <c r="AN60" s="21" t="str">
        <f t="shared" si="125"/>
        <v>NEGATIVE</v>
      </c>
      <c r="AO60" s="18" cm="1">
        <f t="array" ref="AO60">IFERROR(VALUE(_xll.BDP($B60,"INTERVAL_exp_MOV_AVG","CALC_INTERVAL","520D","TECH_STUDIES_PARAM1_OVERRIDE",100,"USE_PREVIOUS_BUSINESS_DAY","N")),"")</f>
        <v>33.891154253847475</v>
      </c>
      <c r="AP60" s="18">
        <f t="shared" si="33"/>
        <v>6773.0064518682802</v>
      </c>
      <c r="AQ60" s="18" cm="1">
        <f t="array" ref="AQ60">IFERROR(VALUE(_xll.BDP($B60,"INTERVAL_exp_MOV_AVG","CALC_INTERVAL","520D","TECH_STUDIES_PARAM1_OVERRIDE",100,"USE_PREVIOUS_BUSINESS_DAY","Y")),"")</f>
        <v>33.918473354093095</v>
      </c>
      <c r="AR60" s="18">
        <f t="shared" si="34"/>
        <v>6769.6039787132295</v>
      </c>
      <c r="AS60" s="18">
        <f t="shared" si="126"/>
        <v>5.0038567798054981E-3</v>
      </c>
      <c r="AT60" s="18">
        <f t="shared" si="127"/>
        <v>5.0104073237885825E-3</v>
      </c>
      <c r="AU60" s="21" t="str">
        <f t="shared" si="128"/>
        <v>DOWN</v>
      </c>
      <c r="AV60" s="21" t="str">
        <f t="shared" si="129"/>
        <v>DOWN</v>
      </c>
      <c r="AW60" s="21" t="str">
        <f t="shared" si="130"/>
        <v>NEGATIVE</v>
      </c>
      <c r="AX60" s="19" cm="1">
        <f t="array" ref="AX60">_xll.BDP($B60, "INTERVAL_RSI", "TECH_STUDIES_PARAM1_OVERRIDE", "5", "PERIODICITY_OVERRIDE", "W")</f>
        <v>37.442637612994908</v>
      </c>
    </row>
    <row r="61" spans="1:50" x14ac:dyDescent="0.25">
      <c r="A61" s="18">
        <v>60</v>
      </c>
      <c r="B61" s="18" t="s">
        <v>139</v>
      </c>
      <c r="D61" s="19">
        <f>IFERROR(VALUE((_xll.BDP($B61,"interval_rsi","tech_studies_param1_override",14))),"")</f>
        <v>33.093905408854113</v>
      </c>
      <c r="E61" s="20">
        <f t="shared" si="24"/>
        <v>52.525531939815814</v>
      </c>
      <c r="F61" s="18">
        <f t="shared" si="107"/>
        <v>0</v>
      </c>
      <c r="G61" s="18" cm="1">
        <f t="array" ref="G61">IFERROR(VALUE(_xll.BDP($B61,"px_last")),"")</f>
        <v>16.010000000000002</v>
      </c>
      <c r="H61" s="18">
        <f t="shared" si="25"/>
        <v>6941.47</v>
      </c>
      <c r="I61" s="18" cm="1">
        <f t="array" ref="I61">IFERROR(VALUE(_xll.BDP($B61,"PX_YEST_CLOSE")),"")</f>
        <v>17.170000000000002</v>
      </c>
      <c r="J61" s="18">
        <f t="shared" si="26"/>
        <v>6941.81</v>
      </c>
      <c r="K61" s="18">
        <f t="shared" si="108"/>
        <v>2.3064278891934994E-3</v>
      </c>
      <c r="L61" s="18">
        <f t="shared" si="109"/>
        <v>2.4734183159723475E-3</v>
      </c>
      <c r="M61" s="18" cm="1">
        <f t="array" ref="M61">IFERROR(VALUE(_xll.BDP($B61,"INTERVAL_MAE_MOV_AVG","CALC_INTERVAL","520D","TECH_STUDIES_PARAM1_OVERRIDE",50,"USE_PREVIOUS_BUSINESS_DAY","N")),"")</f>
        <v>19.664600004577633</v>
      </c>
      <c r="N61" s="18">
        <f t="shared" si="27"/>
        <v>6894.0953999999992</v>
      </c>
      <c r="O61" s="18" cm="1">
        <f t="array" ref="O61">IFERROR(VALUE(_xll.BDP($B61,"INTERVAL_MAE_MOV_AVG","CALC_INTERVAL","520D","TECH_STUDIES_PARAM1_OVERRIDE",50,"USE_PREVIOUS_BUSINESS_DAY","Y")),"")</f>
        <v>19.709399999999995</v>
      </c>
      <c r="P61" s="18">
        <f t="shared" si="28"/>
        <v>6892.2477999999992</v>
      </c>
      <c r="Q61" s="18">
        <f t="shared" si="110"/>
        <v>2.852382925333124E-3</v>
      </c>
      <c r="R61" s="18">
        <f t="shared" si="111"/>
        <v>2.8596476174289607E-3</v>
      </c>
      <c r="S61" s="21" t="str">
        <f t="shared" si="112"/>
        <v>NEGATIVE</v>
      </c>
      <c r="T61" s="21" t="str">
        <f t="shared" si="113"/>
        <v/>
      </c>
      <c r="U61" s="21" t="str">
        <f t="shared" si="114"/>
        <v>DOWN</v>
      </c>
      <c r="V61" s="21" t="str">
        <f t="shared" si="115"/>
        <v>NEGATIVE</v>
      </c>
      <c r="W61" s="18" cm="1">
        <f t="array" ref="W61">IFERROR(VALUE(_xll.BDP($B61,"INTERVAL_MAE_MOV_AVG","CALC_INTERVAL","520D","TECH_STUDIES_PARAM1_OVERRIDE",65,"USE_PREVIOUS_BUSINESS_DAY","N")),"")</f>
        <v>19.336461541982796</v>
      </c>
      <c r="X61" s="18">
        <f t="shared" si="29"/>
        <v>6856.0226153846133</v>
      </c>
      <c r="Y61" s="18" cm="1">
        <f t="array" ref="Y61">IFERROR(VALUE(_xll.BDP($B61,"INTERVAL_MAE_MOV_AVG","CALC_INTERVAL","520D","TECH_STUDIES_PARAM1_OVERRIDE",65,"USE_PREVIOUS_BUSINESS_DAY","Y")),"")</f>
        <v>19.391384615384609</v>
      </c>
      <c r="Z61" s="18">
        <f t="shared" si="30"/>
        <v>6852.6203076923057</v>
      </c>
      <c r="AA61" s="18">
        <f t="shared" si="116"/>
        <v>2.8203614000036443E-3</v>
      </c>
      <c r="AB61" s="18">
        <f t="shared" si="117"/>
        <v>2.8297766029174421E-3</v>
      </c>
      <c r="AC61" s="22" t="str">
        <f t="shared" si="118"/>
        <v>DOWN</v>
      </c>
      <c r="AD61" s="22" t="str">
        <f t="shared" si="119"/>
        <v>DOWN</v>
      </c>
      <c r="AE61" s="21" t="str">
        <f t="shared" si="120"/>
        <v>NEGATIVE</v>
      </c>
      <c r="AF61" s="18" cm="1">
        <f t="array" ref="AF61">IFERROR(VALUE(_xll.BDP($B61,"INTERVAL_MAE_MOV_AVG","CALC_INTERVAL","65W","PERIODICITY_OVERRIDE","W","TECH_STUDIES_PARAM1_OVERRIDE",39,"USE_PREVIOUS_BUSINESS_DAY","N")),"")</f>
        <v>17.84538462125338</v>
      </c>
      <c r="AG61" s="18">
        <f t="shared" si="31"/>
        <v>6560.7735897435905</v>
      </c>
      <c r="AH61" s="18" cm="1">
        <f t="array" ref="AH61">IFERROR(VALUE(_xll.BDP($B61,"INTERVAL_MAE_MOV_AVG","CALC_INTERVAL","65W","PERIODICITY_OVERRIDE","W","TECH_STUDIES_PARAM1_OVERRIDE",39,"USE_PREVIOUS_BUSINESS_DAY","Y")),"")</f>
        <v>17.875128205128206</v>
      </c>
      <c r="AI61" s="18">
        <f t="shared" si="32"/>
        <v>6560.7823076923087</v>
      </c>
      <c r="AJ61" s="18">
        <f t="shared" si="121"/>
        <v>2.7200122633634148E-3</v>
      </c>
      <c r="AK61" s="18">
        <f t="shared" si="122"/>
        <v>2.7245421912826138E-3</v>
      </c>
      <c r="AL61" s="22" t="str">
        <f t="shared" si="123"/>
        <v>DOWN</v>
      </c>
      <c r="AM61" s="22" t="str">
        <f t="shared" si="124"/>
        <v>DOWN</v>
      </c>
      <c r="AN61" s="21" t="str">
        <f t="shared" si="125"/>
        <v>NEGATIVE</v>
      </c>
      <c r="AO61" s="18" cm="1">
        <f t="array" ref="AO61">IFERROR(VALUE(_xll.BDP($B61,"INTERVAL_exp_MOV_AVG","CALC_INTERVAL","520D","TECH_STUDIES_PARAM1_OVERRIDE",100,"USE_PREVIOUS_BUSINESS_DAY","N")),"")</f>
        <v>19.072007442916508</v>
      </c>
      <c r="AP61" s="18">
        <f t="shared" si="33"/>
        <v>6773.0064518682802</v>
      </c>
      <c r="AQ61" s="18" cm="1">
        <f t="array" ref="AQ61">IFERROR(VALUE(_xll.BDP($B61,"INTERVAL_exp_MOV_AVG","CALC_INTERVAL","520D","TECH_STUDIES_PARAM1_OVERRIDE",100,"USE_PREVIOUS_BUSINESS_DAY","Y")),"")</f>
        <v>19.133873933642871</v>
      </c>
      <c r="AR61" s="18">
        <f t="shared" si="34"/>
        <v>6769.6039787132295</v>
      </c>
      <c r="AS61" s="18">
        <f t="shared" si="126"/>
        <v>2.8158850251287812E-3</v>
      </c>
      <c r="AT61" s="18">
        <f t="shared" si="127"/>
        <v>2.8264391822340911E-3</v>
      </c>
      <c r="AU61" s="21" t="str">
        <f t="shared" si="128"/>
        <v>DOWN</v>
      </c>
      <c r="AV61" s="21" t="str">
        <f t="shared" si="129"/>
        <v>DOWN</v>
      </c>
      <c r="AW61" s="21" t="str">
        <f t="shared" si="130"/>
        <v>NEGATIVE</v>
      </c>
      <c r="AX61" s="19" cm="1">
        <f t="array" ref="AX61">_xll.BDP($B61, "INTERVAL_RSI", "TECH_STUDIES_PARAM1_OVERRIDE", "5", "PERIODICITY_OVERRIDE", "W")</f>
        <v>32.129179110960223</v>
      </c>
    </row>
    <row r="62" spans="1:50" x14ac:dyDescent="0.25">
      <c r="S62" s="21"/>
      <c r="V62" s="21"/>
      <c r="AE62" s="21"/>
      <c r="AN62" s="21"/>
      <c r="AW62" s="21"/>
    </row>
    <row r="63" spans="1:50" x14ac:dyDescent="0.25">
      <c r="S63" s="21"/>
      <c r="V63" s="21"/>
      <c r="AE63" s="21"/>
      <c r="AN63" s="21"/>
      <c r="AW63" s="21"/>
    </row>
    <row r="64" spans="1:50" x14ac:dyDescent="0.25">
      <c r="S64" s="21"/>
      <c r="V64" s="21"/>
      <c r="AE64" s="21"/>
      <c r="AN64" s="21"/>
      <c r="AW64" s="21"/>
    </row>
    <row r="65" spans="19:49" x14ac:dyDescent="0.25">
      <c r="S65" s="21"/>
      <c r="V65" s="21"/>
      <c r="AE65" s="21"/>
      <c r="AN65" s="21"/>
      <c r="AW65" s="21"/>
    </row>
    <row r="66" spans="19:49" x14ac:dyDescent="0.25">
      <c r="S66" s="21"/>
      <c r="V66" s="21"/>
      <c r="AE66" s="21"/>
      <c r="AN66" s="21"/>
      <c r="AW66" s="21"/>
    </row>
    <row r="67" spans="19:49" x14ac:dyDescent="0.25">
      <c r="S67" s="21"/>
      <c r="V67" s="21"/>
      <c r="AE67" s="21"/>
      <c r="AN67" s="21"/>
      <c r="AW67" s="21"/>
    </row>
    <row r="68" spans="19:49" x14ac:dyDescent="0.25">
      <c r="S68" s="21"/>
      <c r="V68" s="21"/>
      <c r="AE68" s="21"/>
      <c r="AN68" s="21"/>
      <c r="AW68" s="21"/>
    </row>
    <row r="69" spans="19:49" x14ac:dyDescent="0.25">
      <c r="S69" s="21"/>
      <c r="V69" s="21"/>
      <c r="AE69" s="21"/>
      <c r="AN69" s="21"/>
      <c r="AW69" s="21"/>
    </row>
    <row r="70" spans="19:49" x14ac:dyDescent="0.25">
      <c r="S70" s="21"/>
      <c r="V70" s="21"/>
      <c r="AE70" s="21"/>
      <c r="AN70" s="21"/>
      <c r="AW70" s="21"/>
    </row>
    <row r="71" spans="19:49" x14ac:dyDescent="0.25">
      <c r="S71" s="21"/>
      <c r="V71" s="21"/>
      <c r="AE71" s="21"/>
      <c r="AN71" s="21"/>
      <c r="AW71" s="21"/>
    </row>
    <row r="72" spans="19:49" x14ac:dyDescent="0.25">
      <c r="S72" s="21"/>
      <c r="V72" s="21"/>
      <c r="AE72" s="21"/>
      <c r="AN72" s="21"/>
      <c r="AW72" s="21"/>
    </row>
    <row r="73" spans="19:49" x14ac:dyDescent="0.25">
      <c r="S73" s="21"/>
      <c r="V73" s="21"/>
      <c r="AE73" s="21"/>
      <c r="AN73" s="21"/>
      <c r="AW73" s="21"/>
    </row>
    <row r="74" spans="19:49" x14ac:dyDescent="0.25">
      <c r="S74" s="21"/>
      <c r="V74" s="21"/>
      <c r="AE74" s="21"/>
      <c r="AN74" s="21"/>
      <c r="AW74" s="21"/>
    </row>
    <row r="75" spans="19:49" x14ac:dyDescent="0.25">
      <c r="S75" s="21"/>
      <c r="V75" s="21"/>
      <c r="AE75" s="21"/>
      <c r="AN75" s="21"/>
      <c r="AW75" s="21"/>
    </row>
    <row r="76" spans="19:49" x14ac:dyDescent="0.25">
      <c r="S76" s="21"/>
      <c r="V76" s="21"/>
      <c r="AE76" s="21"/>
      <c r="AN76" s="21"/>
      <c r="AW76" s="21"/>
    </row>
    <row r="77" spans="19:49" x14ac:dyDescent="0.25">
      <c r="S77" s="21"/>
      <c r="V77" s="21"/>
      <c r="AE77" s="21"/>
      <c r="AN77" s="21"/>
      <c r="AW77" s="21"/>
    </row>
    <row r="78" spans="19:49" x14ac:dyDescent="0.25">
      <c r="S78" s="21"/>
      <c r="V78" s="21"/>
      <c r="AE78" s="21"/>
      <c r="AN78" s="21"/>
      <c r="AW78" s="21"/>
    </row>
    <row r="79" spans="19:49" x14ac:dyDescent="0.25">
      <c r="S79" s="21"/>
      <c r="V79" s="21"/>
      <c r="AE79" s="21"/>
      <c r="AN79" s="21"/>
      <c r="AW79" s="21"/>
    </row>
    <row r="80" spans="19:49" x14ac:dyDescent="0.25">
      <c r="S80" s="21"/>
      <c r="V80" s="21"/>
      <c r="AE80" s="21"/>
      <c r="AN80" s="21"/>
      <c r="AW80" s="21"/>
    </row>
    <row r="81" spans="19:49" x14ac:dyDescent="0.25">
      <c r="S81" s="21"/>
      <c r="V81" s="21"/>
      <c r="AE81" s="21"/>
      <c r="AN81" s="21"/>
      <c r="AW81" s="21"/>
    </row>
    <row r="82" spans="19:49" x14ac:dyDescent="0.25">
      <c r="S82" s="21"/>
      <c r="V82" s="21"/>
      <c r="AE82" s="21"/>
      <c r="AN82" s="21"/>
      <c r="AW82" s="21"/>
    </row>
    <row r="83" spans="19:49" x14ac:dyDescent="0.25">
      <c r="S83" s="21"/>
      <c r="V83" s="21"/>
      <c r="AE83" s="21"/>
      <c r="AN83" s="21"/>
      <c r="AW83" s="21"/>
    </row>
    <row r="84" spans="19:49" x14ac:dyDescent="0.25">
      <c r="S84" s="21"/>
      <c r="V84" s="21"/>
      <c r="AE84" s="21"/>
      <c r="AN84" s="21"/>
      <c r="AW84" s="21"/>
    </row>
    <row r="85" spans="19:49" x14ac:dyDescent="0.25">
      <c r="S85" s="21"/>
      <c r="V85" s="21"/>
      <c r="AE85" s="21"/>
      <c r="AN85" s="21"/>
      <c r="AW85" s="21"/>
    </row>
    <row r="86" spans="19:49" x14ac:dyDescent="0.25">
      <c r="S86" s="21"/>
      <c r="V86" s="21"/>
      <c r="AE86" s="21"/>
      <c r="AN86" s="21"/>
      <c r="AW86" s="21"/>
    </row>
    <row r="87" spans="19:49" x14ac:dyDescent="0.25">
      <c r="S87" s="21"/>
      <c r="V87" s="21"/>
      <c r="AE87" s="21"/>
      <c r="AN87" s="21"/>
      <c r="AW87" s="21"/>
    </row>
    <row r="88" spans="19:49" x14ac:dyDescent="0.25">
      <c r="S88" s="21"/>
      <c r="V88" s="21"/>
      <c r="AE88" s="21"/>
      <c r="AN88" s="21"/>
      <c r="AW88" s="21"/>
    </row>
    <row r="89" spans="19:49" x14ac:dyDescent="0.25">
      <c r="S89" s="21"/>
      <c r="V89" s="21"/>
      <c r="AE89" s="21"/>
      <c r="AN89" s="21"/>
      <c r="AW89" s="21"/>
    </row>
    <row r="90" spans="19:49" x14ac:dyDescent="0.25">
      <c r="S90" s="21"/>
      <c r="V90" s="21"/>
      <c r="AE90" s="21"/>
      <c r="AN90" s="21"/>
      <c r="AW90" s="21"/>
    </row>
    <row r="91" spans="19:49" x14ac:dyDescent="0.25">
      <c r="S91" s="21"/>
      <c r="V91" s="21"/>
      <c r="AE91" s="21"/>
      <c r="AN91" s="21"/>
      <c r="AW91" s="21"/>
    </row>
    <row r="92" spans="19:49" x14ac:dyDescent="0.25">
      <c r="S92" s="21"/>
      <c r="V92" s="21"/>
      <c r="AE92" s="21"/>
      <c r="AN92" s="21"/>
      <c r="AW92" s="21"/>
    </row>
    <row r="93" spans="19:49" x14ac:dyDescent="0.25">
      <c r="S93" s="21"/>
      <c r="V93" s="21"/>
      <c r="AE93" s="21"/>
      <c r="AN93" s="21"/>
      <c r="AW93" s="21"/>
    </row>
    <row r="94" spans="19:49" x14ac:dyDescent="0.25">
      <c r="S94" s="21"/>
      <c r="V94" s="21"/>
      <c r="AE94" s="21"/>
      <c r="AN94" s="21"/>
      <c r="AW94" s="21"/>
    </row>
    <row r="95" spans="19:49" x14ac:dyDescent="0.25">
      <c r="S95" s="21"/>
      <c r="V95" s="21"/>
      <c r="AE95" s="21"/>
      <c r="AN95" s="21"/>
      <c r="AW95" s="21"/>
    </row>
    <row r="96" spans="19:49" x14ac:dyDescent="0.25">
      <c r="S96" s="21"/>
      <c r="V96" s="21"/>
      <c r="AE96" s="21"/>
      <c r="AN96" s="21"/>
      <c r="AW96" s="21"/>
    </row>
    <row r="97" spans="19:49" x14ac:dyDescent="0.25">
      <c r="S97" s="21"/>
      <c r="V97" s="21"/>
      <c r="AE97" s="21"/>
      <c r="AN97" s="21"/>
      <c r="AW97" s="21"/>
    </row>
    <row r="98" spans="19:49" x14ac:dyDescent="0.25">
      <c r="S98" s="21"/>
      <c r="V98" s="21"/>
      <c r="AE98" s="21"/>
      <c r="AN98" s="21"/>
      <c r="AW98" s="21"/>
    </row>
    <row r="99" spans="19:49" x14ac:dyDescent="0.25">
      <c r="S99" s="21"/>
      <c r="V99" s="21"/>
      <c r="AE99" s="21"/>
      <c r="AN99" s="21"/>
      <c r="AW99" s="21"/>
    </row>
    <row r="100" spans="19:49" x14ac:dyDescent="0.25">
      <c r="S100" s="21"/>
      <c r="V100" s="21"/>
      <c r="AE100" s="21"/>
      <c r="AN100" s="21"/>
      <c r="AW100" s="21"/>
    </row>
    <row r="101" spans="19:49" x14ac:dyDescent="0.25">
      <c r="S101" s="21"/>
      <c r="V101" s="21"/>
      <c r="AE101" s="21"/>
      <c r="AN101" s="21"/>
      <c r="AW101" s="21"/>
    </row>
    <row r="102" spans="19:49" x14ac:dyDescent="0.25">
      <c r="S102" s="21"/>
      <c r="V102" s="21"/>
      <c r="AE102" s="21"/>
      <c r="AN102" s="21"/>
      <c r="AW102" s="21"/>
    </row>
    <row r="103" spans="19:49" x14ac:dyDescent="0.25">
      <c r="S103" s="21"/>
      <c r="V103" s="21"/>
      <c r="AE103" s="21"/>
      <c r="AN103" s="21"/>
      <c r="AW103" s="21"/>
    </row>
    <row r="104" spans="19:49" x14ac:dyDescent="0.25">
      <c r="S104" s="21"/>
      <c r="V104" s="21"/>
      <c r="AE104" s="21"/>
      <c r="AN104" s="21"/>
      <c r="AW104" s="21"/>
    </row>
    <row r="105" spans="19:49" x14ac:dyDescent="0.25">
      <c r="S105" s="21"/>
      <c r="V105" s="21"/>
      <c r="AE105" s="21"/>
      <c r="AN105" s="21"/>
      <c r="AW105" s="21"/>
    </row>
    <row r="106" spans="19:49" x14ac:dyDescent="0.25">
      <c r="S106" s="21"/>
      <c r="V106" s="21"/>
      <c r="AE106" s="21"/>
      <c r="AN106" s="21"/>
      <c r="AW106" s="21"/>
    </row>
    <row r="107" spans="19:49" x14ac:dyDescent="0.25">
      <c r="S107" s="21"/>
      <c r="V107" s="21"/>
      <c r="AE107" s="21"/>
      <c r="AN107" s="21"/>
      <c r="AW107" s="21"/>
    </row>
    <row r="108" spans="19:49" x14ac:dyDescent="0.25">
      <c r="S108" s="21"/>
      <c r="V108" s="21"/>
      <c r="AE108" s="21"/>
      <c r="AN108" s="21"/>
      <c r="AW108" s="21"/>
    </row>
    <row r="109" spans="19:49" x14ac:dyDescent="0.25">
      <c r="S109" s="21"/>
      <c r="V109" s="21"/>
      <c r="AE109" s="21"/>
      <c r="AN109" s="21"/>
      <c r="AW109" s="21"/>
    </row>
    <row r="110" spans="19:49" x14ac:dyDescent="0.25">
      <c r="S110" s="21"/>
      <c r="V110" s="21"/>
      <c r="AE110" s="21"/>
      <c r="AN110" s="21"/>
      <c r="AW110" s="21"/>
    </row>
    <row r="111" spans="19:49" x14ac:dyDescent="0.25">
      <c r="S111" s="21"/>
      <c r="V111" s="21"/>
      <c r="AE111" s="21"/>
      <c r="AN111" s="21"/>
      <c r="AW111" s="21"/>
    </row>
    <row r="112" spans="19:49" x14ac:dyDescent="0.25">
      <c r="S112" s="21"/>
      <c r="V112" s="21"/>
      <c r="AE112" s="21"/>
      <c r="AN112" s="21"/>
      <c r="AW112" s="21"/>
    </row>
    <row r="113" spans="19:49" x14ac:dyDescent="0.25">
      <c r="S113" s="21"/>
      <c r="V113" s="21"/>
      <c r="AE113" s="21"/>
      <c r="AN113" s="21"/>
      <c r="AW113" s="21"/>
    </row>
    <row r="114" spans="19:49" x14ac:dyDescent="0.25">
      <c r="S114" s="21"/>
      <c r="V114" s="21"/>
      <c r="AE114" s="21"/>
      <c r="AN114" s="21"/>
      <c r="AW114" s="21"/>
    </row>
    <row r="115" spans="19:49" x14ac:dyDescent="0.25">
      <c r="S115" s="21"/>
      <c r="V115" s="21"/>
      <c r="AE115" s="21"/>
      <c r="AN115" s="21"/>
      <c r="AW115" s="21"/>
    </row>
    <row r="116" spans="19:49" x14ac:dyDescent="0.25">
      <c r="S116" s="21"/>
      <c r="V116" s="21"/>
      <c r="AE116" s="21"/>
      <c r="AN116" s="21"/>
      <c r="AW116" s="21"/>
    </row>
    <row r="117" spans="19:49" x14ac:dyDescent="0.25">
      <c r="S117" s="21"/>
      <c r="V117" s="21"/>
      <c r="AE117" s="21"/>
      <c r="AN117" s="21"/>
      <c r="AW117" s="21"/>
    </row>
    <row r="118" spans="19:49" x14ac:dyDescent="0.25">
      <c r="S118" s="21"/>
      <c r="V118" s="21"/>
      <c r="AE118" s="21"/>
      <c r="AN118" s="21"/>
      <c r="AW118" s="21"/>
    </row>
    <row r="119" spans="19:49" x14ac:dyDescent="0.25">
      <c r="S119" s="21"/>
      <c r="V119" s="21"/>
      <c r="AE119" s="21"/>
      <c r="AN119" s="21"/>
      <c r="AW119" s="21"/>
    </row>
    <row r="120" spans="19:49" x14ac:dyDescent="0.25">
      <c r="S120" s="21"/>
      <c r="V120" s="21"/>
      <c r="AE120" s="21"/>
      <c r="AN120" s="21"/>
      <c r="AW120" s="21"/>
    </row>
    <row r="121" spans="19:49" x14ac:dyDescent="0.25">
      <c r="S121" s="21"/>
      <c r="V121" s="21"/>
      <c r="AE121" s="21"/>
      <c r="AN121" s="21"/>
      <c r="AW121" s="21"/>
    </row>
    <row r="122" spans="19:49" x14ac:dyDescent="0.25">
      <c r="S122" s="21"/>
      <c r="V122" s="21"/>
      <c r="AE122" s="21"/>
      <c r="AN122" s="21"/>
      <c r="AW122" s="21"/>
    </row>
    <row r="123" spans="19:49" x14ac:dyDescent="0.25">
      <c r="S123" s="21"/>
      <c r="V123" s="21"/>
      <c r="AE123" s="21"/>
      <c r="AN123" s="21"/>
      <c r="AW123" s="21"/>
    </row>
    <row r="124" spans="19:49" x14ac:dyDescent="0.25">
      <c r="S124" s="21"/>
      <c r="V124" s="21"/>
      <c r="AE124" s="21"/>
      <c r="AN124" s="21"/>
      <c r="AW124" s="21"/>
    </row>
    <row r="125" spans="19:49" x14ac:dyDescent="0.25">
      <c r="S125" s="21"/>
      <c r="V125" s="21"/>
      <c r="AE125" s="21"/>
      <c r="AN125" s="21"/>
      <c r="AW125" s="21"/>
    </row>
    <row r="126" spans="19:49" x14ac:dyDescent="0.25">
      <c r="S126" s="21"/>
      <c r="V126" s="21"/>
      <c r="AE126" s="21"/>
      <c r="AN126" s="21"/>
      <c r="AW126" s="21"/>
    </row>
    <row r="127" spans="19:49" x14ac:dyDescent="0.25">
      <c r="S127" s="21"/>
      <c r="V127" s="21"/>
      <c r="AE127" s="21"/>
      <c r="AN127" s="21"/>
      <c r="AW127" s="21"/>
    </row>
    <row r="128" spans="19:49" x14ac:dyDescent="0.25">
      <c r="S128" s="21"/>
      <c r="V128" s="21"/>
      <c r="AE128" s="21"/>
      <c r="AN128" s="21"/>
      <c r="AW128" s="21"/>
    </row>
    <row r="129" spans="19:49" x14ac:dyDescent="0.25">
      <c r="S129" s="21"/>
      <c r="V129" s="21"/>
      <c r="AE129" s="21"/>
      <c r="AN129" s="21"/>
      <c r="AW129" s="21"/>
    </row>
    <row r="130" spans="19:49" x14ac:dyDescent="0.25">
      <c r="S130" s="21"/>
      <c r="V130" s="21"/>
      <c r="AE130" s="21"/>
      <c r="AN130" s="21"/>
      <c r="AW130" s="21"/>
    </row>
    <row r="131" spans="19:49" x14ac:dyDescent="0.25">
      <c r="S131" s="21"/>
      <c r="V131" s="21"/>
      <c r="AE131" s="21"/>
      <c r="AN131" s="21"/>
      <c r="AW131" s="21"/>
    </row>
    <row r="132" spans="19:49" x14ac:dyDescent="0.25">
      <c r="S132" s="21"/>
      <c r="V132" s="21"/>
      <c r="AE132" s="21"/>
      <c r="AN132" s="21"/>
      <c r="AW132" s="21"/>
    </row>
    <row r="133" spans="19:49" x14ac:dyDescent="0.25">
      <c r="S133" s="21"/>
      <c r="V133" s="21"/>
      <c r="AE133" s="21"/>
      <c r="AN133" s="21"/>
      <c r="AW133" s="21"/>
    </row>
    <row r="134" spans="19:49" x14ac:dyDescent="0.25">
      <c r="S134" s="21"/>
      <c r="V134" s="21"/>
      <c r="AE134" s="21"/>
      <c r="AN134" s="21"/>
      <c r="AW134" s="21"/>
    </row>
    <row r="135" spans="19:49" x14ac:dyDescent="0.25">
      <c r="S135" s="21"/>
      <c r="V135" s="21"/>
      <c r="AE135" s="21"/>
      <c r="AN135" s="21"/>
      <c r="AW135" s="21"/>
    </row>
    <row r="136" spans="19:49" x14ac:dyDescent="0.25">
      <c r="S136" s="21"/>
      <c r="V136" s="21"/>
      <c r="AE136" s="21"/>
      <c r="AN136" s="21"/>
      <c r="AW136" s="21"/>
    </row>
    <row r="137" spans="19:49" x14ac:dyDescent="0.25">
      <c r="S137" s="21"/>
      <c r="V137" s="21"/>
      <c r="AE137" s="21"/>
      <c r="AN137" s="21"/>
      <c r="AW137" s="21"/>
    </row>
    <row r="138" spans="19:49" x14ac:dyDescent="0.25">
      <c r="S138" s="21"/>
      <c r="V138" s="21"/>
      <c r="AE138" s="21"/>
      <c r="AN138" s="21"/>
      <c r="AW138" s="21"/>
    </row>
    <row r="139" spans="19:49" x14ac:dyDescent="0.25">
      <c r="S139" s="21"/>
      <c r="V139" s="21"/>
      <c r="AE139" s="21"/>
      <c r="AN139" s="21"/>
      <c r="AW139" s="21"/>
    </row>
    <row r="140" spans="19:49" x14ac:dyDescent="0.25">
      <c r="S140" s="21"/>
      <c r="V140" s="21"/>
      <c r="AE140" s="21"/>
      <c r="AN140" s="21"/>
      <c r="AW140" s="21"/>
    </row>
    <row r="141" spans="19:49" x14ac:dyDescent="0.25">
      <c r="S141" s="21"/>
      <c r="V141" s="21"/>
      <c r="AE141" s="21"/>
      <c r="AN141" s="21"/>
      <c r="AW141" s="21"/>
    </row>
    <row r="142" spans="19:49" x14ac:dyDescent="0.25">
      <c r="S142" s="21"/>
      <c r="V142" s="21"/>
      <c r="AE142" s="21"/>
      <c r="AN142" s="21"/>
      <c r="AW142" s="21"/>
    </row>
    <row r="143" spans="19:49" x14ac:dyDescent="0.25">
      <c r="S143" s="21"/>
      <c r="V143" s="21"/>
      <c r="AE143" s="21"/>
      <c r="AN143" s="21"/>
      <c r="AW143" s="21"/>
    </row>
    <row r="144" spans="19:49" x14ac:dyDescent="0.25">
      <c r="S144" s="21"/>
      <c r="V144" s="21"/>
      <c r="AE144" s="21"/>
      <c r="AN144" s="21"/>
      <c r="AW144" s="21"/>
    </row>
    <row r="145" spans="19:49" x14ac:dyDescent="0.25">
      <c r="S145" s="21"/>
      <c r="V145" s="21"/>
      <c r="AE145" s="21"/>
      <c r="AN145" s="21"/>
      <c r="AW145" s="21"/>
    </row>
    <row r="146" spans="19:49" x14ac:dyDescent="0.25">
      <c r="S146" s="21"/>
      <c r="V146" s="21"/>
      <c r="AE146" s="21"/>
      <c r="AN146" s="21"/>
      <c r="AW146" s="21"/>
    </row>
    <row r="147" spans="19:49" x14ac:dyDescent="0.25">
      <c r="S147" s="21"/>
      <c r="V147" s="21"/>
      <c r="AE147" s="21"/>
      <c r="AN147" s="21"/>
      <c r="AW147" s="21"/>
    </row>
    <row r="148" spans="19:49" x14ac:dyDescent="0.25">
      <c r="S148" s="21"/>
      <c r="V148" s="21"/>
      <c r="AE148" s="21"/>
      <c r="AN148" s="21"/>
      <c r="AW148" s="21"/>
    </row>
    <row r="149" spans="19:49" x14ac:dyDescent="0.25">
      <c r="S149" s="21"/>
      <c r="V149" s="21"/>
      <c r="AE149" s="21"/>
      <c r="AN149" s="21"/>
      <c r="AW149" s="21"/>
    </row>
    <row r="150" spans="19:49" x14ac:dyDescent="0.25">
      <c r="S150" s="21"/>
      <c r="V150" s="21"/>
      <c r="AE150" s="21"/>
      <c r="AN150" s="21"/>
      <c r="AW150" s="21"/>
    </row>
    <row r="151" spans="19:49" x14ac:dyDescent="0.25">
      <c r="S151" s="21"/>
      <c r="V151" s="21"/>
      <c r="AE151" s="21"/>
      <c r="AN151" s="21"/>
      <c r="AW151" s="21"/>
    </row>
    <row r="152" spans="19:49" x14ac:dyDescent="0.25">
      <c r="S152" s="21"/>
      <c r="V152" s="21"/>
      <c r="AE152" s="21"/>
      <c r="AN152" s="21"/>
      <c r="AW152" s="21"/>
    </row>
    <row r="153" spans="19:49" x14ac:dyDescent="0.25">
      <c r="S153" s="21"/>
      <c r="V153" s="21"/>
      <c r="AE153" s="21"/>
      <c r="AN153" s="21"/>
      <c r="AW153" s="21"/>
    </row>
    <row r="154" spans="19:49" x14ac:dyDescent="0.25">
      <c r="S154" s="21"/>
      <c r="V154" s="21"/>
      <c r="AE154" s="21"/>
      <c r="AN154" s="21"/>
      <c r="AW154" s="21"/>
    </row>
    <row r="155" spans="19:49" x14ac:dyDescent="0.25">
      <c r="S155" s="21"/>
      <c r="V155" s="21"/>
      <c r="AE155" s="21"/>
      <c r="AN155" s="21"/>
      <c r="AW155" s="21"/>
    </row>
    <row r="156" spans="19:49" x14ac:dyDescent="0.25">
      <c r="S156" s="21"/>
      <c r="V156" s="21"/>
      <c r="AE156" s="21"/>
      <c r="AN156" s="21"/>
      <c r="AW156" s="21"/>
    </row>
    <row r="157" spans="19:49" x14ac:dyDescent="0.25">
      <c r="S157" s="21"/>
      <c r="V157" s="21"/>
      <c r="AE157" s="21"/>
      <c r="AN157" s="21"/>
      <c r="AW157" s="21"/>
    </row>
    <row r="158" spans="19:49" x14ac:dyDescent="0.25">
      <c r="S158" s="21"/>
      <c r="V158" s="21"/>
      <c r="AE158" s="21"/>
      <c r="AN158" s="21"/>
      <c r="AW158" s="21"/>
    </row>
    <row r="159" spans="19:49" x14ac:dyDescent="0.25">
      <c r="S159" s="21"/>
      <c r="V159" s="21"/>
      <c r="AE159" s="21"/>
      <c r="AN159" s="21"/>
      <c r="AW159" s="21"/>
    </row>
    <row r="160" spans="19:49" x14ac:dyDescent="0.25">
      <c r="S160" s="21"/>
      <c r="V160" s="21"/>
      <c r="AE160" s="21"/>
      <c r="AN160" s="21"/>
      <c r="AW160" s="21"/>
    </row>
    <row r="161" spans="19:49" x14ac:dyDescent="0.25">
      <c r="S161" s="21"/>
      <c r="V161" s="21"/>
      <c r="AE161" s="21"/>
      <c r="AN161" s="21"/>
      <c r="AW161" s="21"/>
    </row>
    <row r="162" spans="19:49" x14ac:dyDescent="0.25">
      <c r="S162" s="21"/>
      <c r="V162" s="21"/>
      <c r="AE162" s="21"/>
      <c r="AN162" s="21"/>
      <c r="AW162" s="21"/>
    </row>
    <row r="163" spans="19:49" x14ac:dyDescent="0.25">
      <c r="S163" s="21"/>
      <c r="V163" s="21"/>
      <c r="AE163" s="21"/>
      <c r="AN163" s="21"/>
      <c r="AW163" s="21"/>
    </row>
    <row r="164" spans="19:49" x14ac:dyDescent="0.25">
      <c r="S164" s="21"/>
      <c r="V164" s="21"/>
      <c r="AE164" s="21"/>
      <c r="AN164" s="21"/>
      <c r="AW164" s="21"/>
    </row>
    <row r="165" spans="19:49" x14ac:dyDescent="0.25">
      <c r="S165" s="21"/>
      <c r="V165" s="21"/>
      <c r="AE165" s="21"/>
      <c r="AN165" s="21"/>
      <c r="AW165" s="21"/>
    </row>
    <row r="166" spans="19:49" x14ac:dyDescent="0.25">
      <c r="S166" s="21"/>
      <c r="V166" s="21"/>
      <c r="AE166" s="21"/>
      <c r="AN166" s="21"/>
      <c r="AW166" s="21"/>
    </row>
    <row r="167" spans="19:49" x14ac:dyDescent="0.25">
      <c r="S167" s="21"/>
      <c r="V167" s="21"/>
      <c r="AE167" s="21"/>
      <c r="AN167" s="21"/>
      <c r="AW167" s="21"/>
    </row>
    <row r="168" spans="19:49" x14ac:dyDescent="0.25">
      <c r="S168" s="21"/>
      <c r="V168" s="21"/>
      <c r="AE168" s="21"/>
      <c r="AN168" s="21"/>
      <c r="AW168" s="21"/>
    </row>
    <row r="169" spans="19:49" x14ac:dyDescent="0.25">
      <c r="S169" s="21"/>
      <c r="V169" s="21"/>
      <c r="AE169" s="21"/>
      <c r="AN169" s="21"/>
      <c r="AW169" s="21"/>
    </row>
    <row r="170" spans="19:49" x14ac:dyDescent="0.25">
      <c r="S170" s="21"/>
      <c r="V170" s="21"/>
      <c r="AE170" s="21"/>
      <c r="AN170" s="21"/>
      <c r="AW170" s="21"/>
    </row>
    <row r="171" spans="19:49" x14ac:dyDescent="0.25">
      <c r="S171" s="21"/>
      <c r="V171" s="21"/>
      <c r="AE171" s="21"/>
      <c r="AN171" s="21"/>
      <c r="AW171" s="21"/>
    </row>
    <row r="172" spans="19:49" x14ac:dyDescent="0.25">
      <c r="S172" s="21"/>
      <c r="V172" s="21"/>
      <c r="AE172" s="21"/>
      <c r="AN172" s="21"/>
      <c r="AW172" s="21"/>
    </row>
    <row r="173" spans="19:49" x14ac:dyDescent="0.25">
      <c r="S173" s="21"/>
      <c r="V173" s="21"/>
      <c r="AE173" s="21"/>
      <c r="AN173" s="21"/>
      <c r="AW173" s="21"/>
    </row>
    <row r="174" spans="19:49" x14ac:dyDescent="0.25">
      <c r="S174" s="21"/>
      <c r="V174" s="21"/>
      <c r="AE174" s="21"/>
      <c r="AN174" s="21"/>
      <c r="AW174" s="21"/>
    </row>
    <row r="175" spans="19:49" x14ac:dyDescent="0.25">
      <c r="S175" s="21"/>
      <c r="V175" s="21"/>
      <c r="AE175" s="21"/>
      <c r="AN175" s="21"/>
      <c r="AW175" s="21"/>
    </row>
    <row r="176" spans="19:49" x14ac:dyDescent="0.25">
      <c r="S176" s="21"/>
      <c r="V176" s="21"/>
      <c r="AE176" s="21"/>
      <c r="AN176" s="21"/>
      <c r="AW176" s="21"/>
    </row>
    <row r="177" spans="19:49" x14ac:dyDescent="0.25">
      <c r="S177" s="21"/>
      <c r="V177" s="21"/>
      <c r="AE177" s="21"/>
      <c r="AN177" s="21"/>
      <c r="AW177" s="21"/>
    </row>
    <row r="178" spans="19:49" x14ac:dyDescent="0.25">
      <c r="S178" s="21"/>
      <c r="V178" s="21"/>
      <c r="AE178" s="21"/>
      <c r="AN178" s="21"/>
      <c r="AW178" s="21"/>
    </row>
    <row r="179" spans="19:49" x14ac:dyDescent="0.25">
      <c r="S179" s="21"/>
      <c r="V179" s="21"/>
      <c r="AE179" s="21"/>
      <c r="AN179" s="21"/>
      <c r="AW179" s="21"/>
    </row>
    <row r="180" spans="19:49" x14ac:dyDescent="0.25">
      <c r="S180" s="21"/>
      <c r="V180" s="21"/>
      <c r="AE180" s="21"/>
      <c r="AN180" s="21"/>
      <c r="AW180" s="21"/>
    </row>
    <row r="181" spans="19:49" x14ac:dyDescent="0.25">
      <c r="S181" s="21"/>
      <c r="V181" s="21"/>
      <c r="AE181" s="21"/>
      <c r="AN181" s="21"/>
      <c r="AW181" s="21"/>
    </row>
    <row r="182" spans="19:49" x14ac:dyDescent="0.25">
      <c r="S182" s="21"/>
      <c r="V182" s="21"/>
      <c r="AE182" s="21"/>
      <c r="AN182" s="21"/>
      <c r="AW182" s="21"/>
    </row>
    <row r="183" spans="19:49" x14ac:dyDescent="0.25">
      <c r="S183" s="21"/>
      <c r="V183" s="21"/>
      <c r="AE183" s="21"/>
      <c r="AN183" s="21"/>
      <c r="AW183" s="21"/>
    </row>
    <row r="184" spans="19:49" x14ac:dyDescent="0.25">
      <c r="S184" s="21"/>
      <c r="V184" s="21"/>
      <c r="AE184" s="21"/>
      <c r="AN184" s="21"/>
      <c r="AW184" s="21"/>
    </row>
    <row r="185" spans="19:49" x14ac:dyDescent="0.25">
      <c r="S185" s="21"/>
      <c r="V185" s="21"/>
      <c r="AE185" s="21"/>
      <c r="AN185" s="21"/>
      <c r="AW185" s="21"/>
    </row>
    <row r="186" spans="19:49" x14ac:dyDescent="0.25">
      <c r="S186" s="21"/>
      <c r="V186" s="21"/>
      <c r="AE186" s="21"/>
      <c r="AN186" s="21"/>
      <c r="AW186" s="21"/>
    </row>
    <row r="187" spans="19:49" x14ac:dyDescent="0.25">
      <c r="S187" s="21"/>
      <c r="V187" s="21"/>
      <c r="AE187" s="21"/>
      <c r="AN187" s="21"/>
      <c r="AW187" s="21"/>
    </row>
    <row r="188" spans="19:49" x14ac:dyDescent="0.25">
      <c r="S188" s="21"/>
      <c r="V188" s="21"/>
      <c r="AE188" s="21"/>
      <c r="AN188" s="21"/>
      <c r="AW188" s="21"/>
    </row>
    <row r="189" spans="19:49" x14ac:dyDescent="0.25">
      <c r="S189" s="21"/>
      <c r="V189" s="21"/>
      <c r="AE189" s="21"/>
      <c r="AN189" s="21"/>
      <c r="AW189" s="21"/>
    </row>
    <row r="190" spans="19:49" x14ac:dyDescent="0.25">
      <c r="S190" s="21"/>
      <c r="V190" s="21"/>
      <c r="AE190" s="21"/>
      <c r="AN190" s="21"/>
      <c r="AW190" s="21"/>
    </row>
    <row r="191" spans="19:49" x14ac:dyDescent="0.25">
      <c r="S191" s="21"/>
      <c r="V191" s="21"/>
      <c r="AE191" s="21"/>
      <c r="AN191" s="21"/>
      <c r="AW191" s="21"/>
    </row>
    <row r="192" spans="19:49" x14ac:dyDescent="0.25">
      <c r="S192" s="21"/>
      <c r="V192" s="21"/>
      <c r="AE192" s="21"/>
      <c r="AN192" s="21"/>
      <c r="AW192" s="21"/>
    </row>
    <row r="193" spans="19:49" x14ac:dyDescent="0.25">
      <c r="S193" s="21"/>
      <c r="V193" s="21"/>
      <c r="AE193" s="21"/>
      <c r="AN193" s="21"/>
      <c r="AW193" s="21"/>
    </row>
    <row r="194" spans="19:49" x14ac:dyDescent="0.25">
      <c r="S194" s="21"/>
      <c r="V194" s="21"/>
      <c r="AE194" s="21"/>
      <c r="AN194" s="21"/>
      <c r="AW194" s="21"/>
    </row>
    <row r="195" spans="19:49" x14ac:dyDescent="0.25">
      <c r="S195" s="21"/>
      <c r="V195" s="21"/>
      <c r="AE195" s="21"/>
      <c r="AN195" s="21"/>
      <c r="AW195" s="21"/>
    </row>
    <row r="196" spans="19:49" x14ac:dyDescent="0.25">
      <c r="S196" s="21"/>
      <c r="V196" s="21"/>
      <c r="AE196" s="21"/>
      <c r="AN196" s="21"/>
      <c r="AW196" s="21"/>
    </row>
    <row r="197" spans="19:49" x14ac:dyDescent="0.25">
      <c r="S197" s="21"/>
      <c r="V197" s="21"/>
      <c r="AE197" s="21"/>
      <c r="AN197" s="21"/>
      <c r="AW197" s="21"/>
    </row>
    <row r="198" spans="19:49" x14ac:dyDescent="0.25">
      <c r="S198" s="21"/>
      <c r="V198" s="21"/>
      <c r="AE198" s="21"/>
      <c r="AN198" s="21"/>
      <c r="AW198" s="21"/>
    </row>
    <row r="199" spans="19:49" x14ac:dyDescent="0.25">
      <c r="S199" s="21"/>
      <c r="V199" s="21"/>
      <c r="AE199" s="21"/>
      <c r="AN199" s="21"/>
      <c r="AW199" s="21"/>
    </row>
    <row r="200" spans="19:49" x14ac:dyDescent="0.25">
      <c r="S200" s="21"/>
      <c r="V200" s="21"/>
      <c r="AE200" s="21"/>
      <c r="AN200" s="21"/>
      <c r="AW200" s="21"/>
    </row>
    <row r="201" spans="19:49" x14ac:dyDescent="0.25">
      <c r="S201" s="21"/>
      <c r="V201" s="21"/>
      <c r="AE201" s="21"/>
      <c r="AN201" s="21"/>
      <c r="AW201" s="21"/>
    </row>
    <row r="202" spans="19:49" x14ac:dyDescent="0.25">
      <c r="S202" s="21"/>
      <c r="V202" s="21"/>
      <c r="AE202" s="21"/>
      <c r="AN202" s="21"/>
      <c r="AW202" s="21"/>
    </row>
    <row r="203" spans="19:49" x14ac:dyDescent="0.25">
      <c r="S203" s="21"/>
      <c r="V203" s="21"/>
      <c r="AE203" s="21"/>
      <c r="AN203" s="21"/>
      <c r="AW203" s="21"/>
    </row>
    <row r="204" spans="19:49" x14ac:dyDescent="0.25">
      <c r="S204" s="21"/>
      <c r="V204" s="21"/>
      <c r="AE204" s="21"/>
      <c r="AN204" s="21"/>
      <c r="AW204" s="21"/>
    </row>
    <row r="205" spans="19:49" x14ac:dyDescent="0.25">
      <c r="S205" s="21"/>
      <c r="V205" s="21"/>
      <c r="AE205" s="21"/>
      <c r="AN205" s="21"/>
      <c r="AW205" s="21"/>
    </row>
    <row r="206" spans="19:49" x14ac:dyDescent="0.25">
      <c r="S206" s="21"/>
      <c r="V206" s="21"/>
      <c r="AE206" s="21"/>
      <c r="AN206" s="21"/>
      <c r="AW206" s="21"/>
    </row>
    <row r="207" spans="19:49" x14ac:dyDescent="0.25">
      <c r="S207" s="21"/>
      <c r="V207" s="21"/>
      <c r="AE207" s="21"/>
      <c r="AN207" s="21"/>
      <c r="AW207" s="21"/>
    </row>
    <row r="208" spans="19:49" x14ac:dyDescent="0.25">
      <c r="S208" s="21"/>
      <c r="V208" s="21"/>
      <c r="AE208" s="21"/>
      <c r="AN208" s="21"/>
      <c r="AW208" s="21"/>
    </row>
    <row r="209" spans="19:49" x14ac:dyDescent="0.25">
      <c r="S209" s="21"/>
      <c r="V209" s="21"/>
      <c r="AE209" s="21"/>
      <c r="AN209" s="21"/>
      <c r="AW209" s="21"/>
    </row>
    <row r="210" spans="19:49" x14ac:dyDescent="0.25">
      <c r="S210" s="21"/>
      <c r="V210" s="21"/>
      <c r="AE210" s="21"/>
      <c r="AN210" s="21"/>
      <c r="AW210" s="21"/>
    </row>
    <row r="211" spans="19:49" x14ac:dyDescent="0.25">
      <c r="S211" s="21"/>
      <c r="V211" s="21"/>
      <c r="AE211" s="21"/>
      <c r="AN211" s="21"/>
      <c r="AW211" s="21"/>
    </row>
    <row r="212" spans="19:49" x14ac:dyDescent="0.25">
      <c r="S212" s="21"/>
      <c r="V212" s="21"/>
      <c r="AE212" s="21"/>
      <c r="AN212" s="21"/>
      <c r="AW212" s="21"/>
    </row>
    <row r="213" spans="19:49" x14ac:dyDescent="0.25">
      <c r="S213" s="21"/>
      <c r="V213" s="21"/>
      <c r="AE213" s="21"/>
      <c r="AN213" s="21"/>
      <c r="AW213" s="21"/>
    </row>
    <row r="214" spans="19:49" x14ac:dyDescent="0.25">
      <c r="S214" s="21"/>
      <c r="V214" s="21"/>
      <c r="AE214" s="21"/>
      <c r="AN214" s="21"/>
      <c r="AW214" s="21"/>
    </row>
    <row r="215" spans="19:49" x14ac:dyDescent="0.25">
      <c r="S215" s="21"/>
      <c r="V215" s="21"/>
      <c r="AE215" s="21"/>
      <c r="AN215" s="21"/>
      <c r="AW215" s="21"/>
    </row>
    <row r="216" spans="19:49" x14ac:dyDescent="0.25">
      <c r="S216" s="21"/>
      <c r="V216" s="21"/>
      <c r="AE216" s="21"/>
      <c r="AN216" s="21"/>
      <c r="AW216" s="21"/>
    </row>
    <row r="217" spans="19:49" x14ac:dyDescent="0.25">
      <c r="S217" s="21"/>
      <c r="V217" s="21"/>
      <c r="AE217" s="21"/>
      <c r="AN217" s="21"/>
      <c r="AW217" s="21"/>
    </row>
    <row r="218" spans="19:49" x14ac:dyDescent="0.25">
      <c r="S218" s="21"/>
      <c r="V218" s="21"/>
      <c r="AE218" s="21"/>
      <c r="AN218" s="21"/>
      <c r="AW218" s="21"/>
    </row>
    <row r="219" spans="19:49" x14ac:dyDescent="0.25">
      <c r="S219" s="21"/>
      <c r="V219" s="21"/>
      <c r="AE219" s="21"/>
      <c r="AN219" s="21"/>
      <c r="AW219" s="21"/>
    </row>
    <row r="220" spans="19:49" x14ac:dyDescent="0.25">
      <c r="S220" s="21"/>
      <c r="V220" s="21"/>
      <c r="AE220" s="21"/>
      <c r="AN220" s="21"/>
      <c r="AW220" s="21"/>
    </row>
    <row r="221" spans="19:49" x14ac:dyDescent="0.25">
      <c r="S221" s="21"/>
      <c r="V221" s="21"/>
      <c r="AE221" s="21"/>
      <c r="AN221" s="21"/>
      <c r="AW221" s="21"/>
    </row>
    <row r="222" spans="19:49" x14ac:dyDescent="0.25">
      <c r="S222" s="21"/>
      <c r="V222" s="21"/>
      <c r="AE222" s="21"/>
      <c r="AN222" s="21"/>
      <c r="AW222" s="21"/>
    </row>
    <row r="223" spans="19:49" x14ac:dyDescent="0.25">
      <c r="S223" s="21"/>
      <c r="V223" s="21"/>
      <c r="AE223" s="21"/>
      <c r="AN223" s="21"/>
      <c r="AW223" s="21"/>
    </row>
    <row r="224" spans="19:49" x14ac:dyDescent="0.25">
      <c r="S224" s="21"/>
      <c r="V224" s="21"/>
      <c r="AE224" s="21"/>
      <c r="AN224" s="21"/>
      <c r="AW224" s="21"/>
    </row>
    <row r="225" spans="19:49" x14ac:dyDescent="0.25">
      <c r="S225" s="21"/>
      <c r="V225" s="21"/>
      <c r="AE225" s="21"/>
      <c r="AN225" s="21"/>
      <c r="AW225" s="21"/>
    </row>
    <row r="226" spans="19:49" x14ac:dyDescent="0.25">
      <c r="S226" s="21"/>
      <c r="V226" s="21"/>
      <c r="AE226" s="21"/>
      <c r="AN226" s="21"/>
      <c r="AW226" s="21"/>
    </row>
    <row r="227" spans="19:49" x14ac:dyDescent="0.25">
      <c r="S227" s="21"/>
      <c r="V227" s="21"/>
      <c r="AE227" s="21"/>
      <c r="AN227" s="21"/>
      <c r="AW227" s="21"/>
    </row>
    <row r="228" spans="19:49" x14ac:dyDescent="0.25">
      <c r="S228" s="21"/>
      <c r="V228" s="21"/>
      <c r="AE228" s="21"/>
      <c r="AN228" s="21"/>
      <c r="AW228" s="21"/>
    </row>
    <row r="229" spans="19:49" x14ac:dyDescent="0.25">
      <c r="S229" s="21"/>
      <c r="V229" s="21"/>
      <c r="AE229" s="21"/>
      <c r="AN229" s="21"/>
      <c r="AW229" s="21"/>
    </row>
    <row r="230" spans="19:49" x14ac:dyDescent="0.25">
      <c r="S230" s="21"/>
      <c r="V230" s="21"/>
      <c r="AE230" s="21"/>
      <c r="AN230" s="21"/>
      <c r="AW230" s="21"/>
    </row>
    <row r="231" spans="19:49" x14ac:dyDescent="0.25">
      <c r="S231" s="21"/>
      <c r="V231" s="21"/>
      <c r="AE231" s="21"/>
      <c r="AN231" s="21"/>
      <c r="AW231" s="21"/>
    </row>
    <row r="232" spans="19:49" x14ac:dyDescent="0.25">
      <c r="S232" s="21"/>
      <c r="V232" s="21"/>
      <c r="AE232" s="21"/>
      <c r="AN232" s="21"/>
      <c r="AW232" s="21"/>
    </row>
    <row r="233" spans="19:49" x14ac:dyDescent="0.25">
      <c r="S233" s="21"/>
      <c r="V233" s="21"/>
      <c r="AE233" s="21"/>
      <c r="AN233" s="21"/>
      <c r="AW233" s="21"/>
    </row>
    <row r="234" spans="19:49" x14ac:dyDescent="0.25">
      <c r="S234" s="21"/>
      <c r="V234" s="21"/>
      <c r="AE234" s="21"/>
      <c r="AN234" s="21"/>
      <c r="AW234" s="21"/>
    </row>
    <row r="235" spans="19:49" x14ac:dyDescent="0.25">
      <c r="S235" s="21"/>
      <c r="V235" s="21"/>
      <c r="AE235" s="21"/>
      <c r="AN235" s="21"/>
      <c r="AW235" s="21"/>
    </row>
    <row r="236" spans="19:49" x14ac:dyDescent="0.25">
      <c r="S236" s="21"/>
      <c r="V236" s="21"/>
      <c r="AE236" s="21"/>
      <c r="AN236" s="21"/>
      <c r="AW236" s="21"/>
    </row>
    <row r="237" spans="19:49" x14ac:dyDescent="0.25">
      <c r="S237" s="21"/>
      <c r="V237" s="21"/>
      <c r="AE237" s="21"/>
      <c r="AN237" s="21"/>
      <c r="AW237" s="21"/>
    </row>
    <row r="238" spans="19:49" x14ac:dyDescent="0.25">
      <c r="S238" s="21"/>
      <c r="V238" s="21"/>
      <c r="AE238" s="21"/>
      <c r="AN238" s="21"/>
      <c r="AW238" s="21"/>
    </row>
    <row r="239" spans="19:49" x14ac:dyDescent="0.25">
      <c r="S239" s="21"/>
      <c r="V239" s="21"/>
      <c r="AE239" s="21"/>
      <c r="AN239" s="21"/>
      <c r="AW239" s="21"/>
    </row>
    <row r="240" spans="19:49" x14ac:dyDescent="0.25">
      <c r="S240" s="21"/>
      <c r="V240" s="21"/>
      <c r="AE240" s="21"/>
      <c r="AN240" s="21"/>
      <c r="AW240" s="21"/>
    </row>
    <row r="241" spans="19:49" x14ac:dyDescent="0.25">
      <c r="S241" s="21"/>
      <c r="V241" s="21"/>
      <c r="AE241" s="21"/>
      <c r="AN241" s="21"/>
      <c r="AW241" s="21"/>
    </row>
    <row r="242" spans="19:49" x14ac:dyDescent="0.25">
      <c r="S242" s="21"/>
      <c r="V242" s="21"/>
      <c r="AE242" s="21"/>
      <c r="AN242" s="21"/>
      <c r="AW242" s="21"/>
    </row>
    <row r="243" spans="19:49" x14ac:dyDescent="0.25">
      <c r="S243" s="21"/>
      <c r="V243" s="21"/>
      <c r="AE243" s="21"/>
      <c r="AN243" s="21"/>
      <c r="AW243" s="21"/>
    </row>
    <row r="244" spans="19:49" x14ac:dyDescent="0.25">
      <c r="S244" s="21"/>
      <c r="V244" s="21"/>
      <c r="AE244" s="21"/>
      <c r="AN244" s="21"/>
      <c r="AW244" s="21"/>
    </row>
    <row r="245" spans="19:49" x14ac:dyDescent="0.25">
      <c r="S245" s="21"/>
      <c r="V245" s="21"/>
      <c r="AE245" s="21"/>
      <c r="AN245" s="21"/>
      <c r="AW245" s="21"/>
    </row>
    <row r="246" spans="19:49" x14ac:dyDescent="0.25">
      <c r="S246" s="21"/>
      <c r="V246" s="21"/>
      <c r="AE246" s="21"/>
      <c r="AN246" s="21"/>
      <c r="AW246" s="21"/>
    </row>
    <row r="247" spans="19:49" x14ac:dyDescent="0.25">
      <c r="S247" s="21"/>
      <c r="V247" s="21"/>
      <c r="AE247" s="21"/>
      <c r="AN247" s="21"/>
      <c r="AW247" s="21"/>
    </row>
    <row r="248" spans="19:49" x14ac:dyDescent="0.25">
      <c r="S248" s="21"/>
      <c r="V248" s="21"/>
      <c r="AE248" s="21"/>
      <c r="AN248" s="21"/>
      <c r="AW248" s="21"/>
    </row>
    <row r="249" spans="19:49" x14ac:dyDescent="0.25">
      <c r="S249" s="21"/>
      <c r="V249" s="21"/>
      <c r="AE249" s="21"/>
      <c r="AN249" s="21"/>
      <c r="AW249" s="21"/>
    </row>
    <row r="250" spans="19:49" x14ac:dyDescent="0.25">
      <c r="S250" s="21"/>
      <c r="V250" s="21"/>
      <c r="AE250" s="21"/>
      <c r="AN250" s="21"/>
      <c r="AW250" s="21"/>
    </row>
    <row r="251" spans="19:49" x14ac:dyDescent="0.25">
      <c r="S251" s="21"/>
      <c r="V251" s="21"/>
      <c r="AE251" s="21"/>
      <c r="AN251" s="21"/>
      <c r="AW251" s="21"/>
    </row>
    <row r="252" spans="19:49" x14ac:dyDescent="0.25">
      <c r="S252" s="21"/>
      <c r="V252" s="21"/>
      <c r="AE252" s="21"/>
      <c r="AN252" s="21"/>
      <c r="AW252" s="21"/>
    </row>
    <row r="253" spans="19:49" x14ac:dyDescent="0.25">
      <c r="S253" s="21"/>
      <c r="V253" s="21"/>
      <c r="AE253" s="21"/>
      <c r="AN253" s="21"/>
      <c r="AW253" s="21"/>
    </row>
    <row r="254" spans="19:49" x14ac:dyDescent="0.25">
      <c r="S254" s="21"/>
      <c r="V254" s="21"/>
      <c r="AE254" s="21"/>
      <c r="AN254" s="21"/>
      <c r="AW254" s="21"/>
    </row>
    <row r="255" spans="19:49" x14ac:dyDescent="0.25">
      <c r="S255" s="21"/>
      <c r="V255" s="21"/>
      <c r="AE255" s="21"/>
      <c r="AN255" s="21"/>
      <c r="AW255" s="21"/>
    </row>
    <row r="256" spans="19:49" x14ac:dyDescent="0.25">
      <c r="S256" s="21"/>
      <c r="V256" s="21"/>
      <c r="AE256" s="21"/>
      <c r="AN256" s="21"/>
      <c r="AW256" s="21"/>
    </row>
    <row r="257" spans="19:49" x14ac:dyDescent="0.25">
      <c r="S257" s="21"/>
      <c r="V257" s="21"/>
      <c r="AE257" s="21"/>
      <c r="AN257" s="21"/>
      <c r="AW257" s="21"/>
    </row>
    <row r="258" spans="19:49" x14ac:dyDescent="0.25">
      <c r="S258" s="21"/>
      <c r="V258" s="21"/>
      <c r="AE258" s="21"/>
      <c r="AN258" s="21"/>
      <c r="AW258" s="21"/>
    </row>
    <row r="259" spans="19:49" x14ac:dyDescent="0.25">
      <c r="S259" s="21"/>
      <c r="V259" s="21"/>
      <c r="AE259" s="21"/>
      <c r="AN259" s="21"/>
      <c r="AW259" s="21"/>
    </row>
    <row r="260" spans="19:49" x14ac:dyDescent="0.25">
      <c r="S260" s="21"/>
      <c r="V260" s="21"/>
      <c r="AE260" s="21"/>
      <c r="AN260" s="21"/>
      <c r="AW260" s="21"/>
    </row>
    <row r="261" spans="19:49" x14ac:dyDescent="0.25">
      <c r="S261" s="21"/>
      <c r="V261" s="21"/>
      <c r="AE261" s="21"/>
      <c r="AN261" s="21"/>
      <c r="AW261" s="21"/>
    </row>
    <row r="262" spans="19:49" x14ac:dyDescent="0.25">
      <c r="S262" s="21"/>
      <c r="V262" s="21"/>
      <c r="AE262" s="21"/>
      <c r="AN262" s="21"/>
      <c r="AW262" s="21"/>
    </row>
    <row r="263" spans="19:49" x14ac:dyDescent="0.25">
      <c r="S263" s="21"/>
      <c r="V263" s="21"/>
      <c r="AE263" s="21"/>
      <c r="AN263" s="21"/>
      <c r="AW263" s="21"/>
    </row>
    <row r="264" spans="19:49" x14ac:dyDescent="0.25">
      <c r="S264" s="21"/>
      <c r="V264" s="21"/>
      <c r="AE264" s="21"/>
      <c r="AN264" s="21"/>
      <c r="AW264" s="21"/>
    </row>
    <row r="265" spans="19:49" x14ac:dyDescent="0.25">
      <c r="S265" s="21"/>
      <c r="V265" s="21"/>
      <c r="AE265" s="21"/>
      <c r="AN265" s="21"/>
      <c r="AW265" s="21"/>
    </row>
    <row r="266" spans="19:49" x14ac:dyDescent="0.25">
      <c r="S266" s="21"/>
      <c r="V266" s="21"/>
      <c r="AE266" s="21"/>
      <c r="AN266" s="21"/>
      <c r="AW266" s="21"/>
    </row>
    <row r="267" spans="19:49" x14ac:dyDescent="0.25">
      <c r="S267" s="21"/>
      <c r="V267" s="21"/>
      <c r="AE267" s="21"/>
      <c r="AN267" s="21"/>
      <c r="AW267" s="21"/>
    </row>
    <row r="268" spans="19:49" x14ac:dyDescent="0.25">
      <c r="S268" s="21"/>
      <c r="V268" s="21"/>
      <c r="AE268" s="21"/>
      <c r="AN268" s="21"/>
      <c r="AW268" s="21"/>
    </row>
    <row r="269" spans="19:49" x14ac:dyDescent="0.25">
      <c r="S269" s="21"/>
      <c r="V269" s="21"/>
      <c r="AE269" s="21"/>
      <c r="AN269" s="21"/>
      <c r="AW269" s="21"/>
    </row>
    <row r="270" spans="19:49" x14ac:dyDescent="0.25">
      <c r="S270" s="21"/>
      <c r="V270" s="21"/>
      <c r="AE270" s="21"/>
      <c r="AN270" s="21"/>
      <c r="AW270" s="21"/>
    </row>
    <row r="271" spans="19:49" x14ac:dyDescent="0.25">
      <c r="S271" s="21"/>
      <c r="V271" s="21"/>
      <c r="AE271" s="21"/>
      <c r="AN271" s="21"/>
      <c r="AW271" s="21"/>
    </row>
    <row r="272" spans="19:49" x14ac:dyDescent="0.25">
      <c r="S272" s="21"/>
      <c r="V272" s="21"/>
      <c r="AE272" s="21"/>
      <c r="AN272" s="21"/>
      <c r="AW272" s="21"/>
    </row>
    <row r="273" spans="19:49" x14ac:dyDescent="0.25">
      <c r="S273" s="21"/>
      <c r="V273" s="21"/>
      <c r="AE273" s="21"/>
      <c r="AN273" s="21"/>
      <c r="AW273" s="21"/>
    </row>
    <row r="274" spans="19:49" x14ac:dyDescent="0.25">
      <c r="S274" s="21"/>
      <c r="V274" s="21"/>
      <c r="AE274" s="21"/>
      <c r="AN274" s="21"/>
      <c r="AW274" s="21"/>
    </row>
    <row r="275" spans="19:49" x14ac:dyDescent="0.25">
      <c r="S275" s="21"/>
      <c r="V275" s="21"/>
      <c r="AE275" s="21"/>
      <c r="AN275" s="21"/>
      <c r="AW275" s="21"/>
    </row>
    <row r="276" spans="19:49" x14ac:dyDescent="0.25">
      <c r="S276" s="21"/>
      <c r="V276" s="21"/>
      <c r="AE276" s="21"/>
      <c r="AN276" s="21"/>
      <c r="AW276" s="21"/>
    </row>
    <row r="277" spans="19:49" x14ac:dyDescent="0.25">
      <c r="S277" s="21"/>
      <c r="V277" s="21"/>
      <c r="AE277" s="21"/>
      <c r="AN277" s="21"/>
      <c r="AW277" s="21"/>
    </row>
    <row r="278" spans="19:49" x14ac:dyDescent="0.25">
      <c r="S278" s="21"/>
      <c r="V278" s="21"/>
      <c r="AE278" s="21"/>
      <c r="AN278" s="21"/>
      <c r="AW278" s="21"/>
    </row>
    <row r="279" spans="19:49" x14ac:dyDescent="0.25">
      <c r="S279" s="21"/>
      <c r="V279" s="21"/>
      <c r="AE279" s="21"/>
      <c r="AN279" s="21"/>
      <c r="AW279" s="21"/>
    </row>
    <row r="280" spans="19:49" x14ac:dyDescent="0.25">
      <c r="S280" s="21"/>
      <c r="V280" s="21"/>
      <c r="AE280" s="21"/>
      <c r="AN280" s="21"/>
      <c r="AW280" s="21"/>
    </row>
    <row r="281" spans="19:49" x14ac:dyDescent="0.25">
      <c r="S281" s="21"/>
      <c r="V281" s="21"/>
      <c r="AE281" s="21"/>
      <c r="AN281" s="21"/>
      <c r="AW281" s="21"/>
    </row>
    <row r="282" spans="19:49" x14ac:dyDescent="0.25">
      <c r="S282" s="21"/>
      <c r="V282" s="21"/>
      <c r="AE282" s="21"/>
      <c r="AN282" s="21"/>
      <c r="AW282" s="21"/>
    </row>
    <row r="283" spans="19:49" x14ac:dyDescent="0.25">
      <c r="S283" s="21"/>
      <c r="V283" s="21"/>
      <c r="AE283" s="21"/>
      <c r="AN283" s="21"/>
      <c r="AW283" s="21"/>
    </row>
    <row r="284" spans="19:49" x14ac:dyDescent="0.25">
      <c r="S284" s="21"/>
      <c r="V284" s="21"/>
      <c r="AE284" s="21"/>
      <c r="AN284" s="21"/>
      <c r="AW284" s="21"/>
    </row>
    <row r="285" spans="19:49" x14ac:dyDescent="0.25">
      <c r="S285" s="21"/>
      <c r="V285" s="21"/>
      <c r="AE285" s="21"/>
      <c r="AN285" s="21"/>
      <c r="AW285" s="21"/>
    </row>
    <row r="286" spans="19:49" x14ac:dyDescent="0.25">
      <c r="S286" s="21"/>
      <c r="V286" s="21"/>
      <c r="AE286" s="21"/>
      <c r="AN286" s="21"/>
      <c r="AW286" s="21"/>
    </row>
    <row r="287" spans="19:49" x14ac:dyDescent="0.25">
      <c r="S287" s="21"/>
      <c r="V287" s="21"/>
      <c r="AE287" s="21"/>
      <c r="AN287" s="21"/>
      <c r="AW287" s="21"/>
    </row>
    <row r="288" spans="19:49" x14ac:dyDescent="0.25">
      <c r="S288" s="21"/>
      <c r="V288" s="21"/>
      <c r="AE288" s="21"/>
      <c r="AN288" s="21"/>
      <c r="AW288" s="21"/>
    </row>
    <row r="289" spans="19:49" x14ac:dyDescent="0.25">
      <c r="S289" s="21"/>
      <c r="V289" s="21"/>
      <c r="AE289" s="21"/>
      <c r="AN289" s="21"/>
      <c r="AW289" s="21"/>
    </row>
    <row r="290" spans="19:49" x14ac:dyDescent="0.25">
      <c r="S290" s="21"/>
      <c r="V290" s="21"/>
      <c r="AE290" s="21"/>
      <c r="AN290" s="21"/>
      <c r="AW290" s="21"/>
    </row>
    <row r="291" spans="19:49" x14ac:dyDescent="0.25">
      <c r="S291" s="21"/>
      <c r="V291" s="21"/>
      <c r="AE291" s="21"/>
      <c r="AN291" s="21"/>
      <c r="AW291" s="21"/>
    </row>
    <row r="292" spans="19:49" x14ac:dyDescent="0.25">
      <c r="S292" s="21"/>
      <c r="V292" s="21"/>
      <c r="AE292" s="21"/>
      <c r="AN292" s="21"/>
      <c r="AW292" s="21"/>
    </row>
    <row r="293" spans="19:49" x14ac:dyDescent="0.25">
      <c r="S293" s="21"/>
      <c r="V293" s="21"/>
      <c r="AE293" s="21"/>
      <c r="AN293" s="21"/>
      <c r="AW293" s="21"/>
    </row>
    <row r="294" spans="19:49" x14ac:dyDescent="0.25">
      <c r="S294" s="21"/>
      <c r="V294" s="21"/>
      <c r="AE294" s="21"/>
      <c r="AN294" s="21"/>
      <c r="AW294" s="21"/>
    </row>
    <row r="295" spans="19:49" x14ac:dyDescent="0.25">
      <c r="S295" s="21"/>
      <c r="V295" s="21"/>
      <c r="AE295" s="21"/>
      <c r="AN295" s="21"/>
      <c r="AW295" s="21"/>
    </row>
    <row r="296" spans="19:49" x14ac:dyDescent="0.25">
      <c r="S296" s="21"/>
      <c r="V296" s="21"/>
      <c r="AE296" s="21"/>
      <c r="AN296" s="21"/>
      <c r="AW296" s="21"/>
    </row>
    <row r="297" spans="19:49" x14ac:dyDescent="0.25">
      <c r="S297" s="21"/>
      <c r="V297" s="21"/>
      <c r="AE297" s="21"/>
      <c r="AN297" s="21"/>
      <c r="AW297" s="21"/>
    </row>
    <row r="298" spans="19:49" x14ac:dyDescent="0.25">
      <c r="S298" s="21"/>
      <c r="V298" s="21"/>
      <c r="AE298" s="21"/>
      <c r="AN298" s="21"/>
      <c r="AW298" s="21"/>
    </row>
    <row r="299" spans="19:49" x14ac:dyDescent="0.25">
      <c r="S299" s="21"/>
      <c r="V299" s="21"/>
      <c r="AE299" s="21"/>
      <c r="AN299" s="21"/>
      <c r="AW299" s="21"/>
    </row>
    <row r="300" spans="19:49" x14ac:dyDescent="0.25">
      <c r="S300" s="21"/>
      <c r="V300" s="21"/>
      <c r="AE300" s="21"/>
      <c r="AN300" s="21"/>
      <c r="AW300" s="21"/>
    </row>
    <row r="301" spans="19:49" x14ac:dyDescent="0.25">
      <c r="S301" s="21"/>
      <c r="V301" s="21"/>
      <c r="AE301" s="21"/>
      <c r="AN301" s="21"/>
      <c r="AW301" s="21"/>
    </row>
    <row r="302" spans="19:49" x14ac:dyDescent="0.25">
      <c r="S302" s="21"/>
      <c r="V302" s="21"/>
      <c r="AE302" s="21"/>
      <c r="AN302" s="21"/>
      <c r="AW302" s="21"/>
    </row>
    <row r="303" spans="19:49" x14ac:dyDescent="0.25">
      <c r="S303" s="21"/>
      <c r="V303" s="21"/>
      <c r="AE303" s="21"/>
      <c r="AN303" s="21"/>
      <c r="AW303" s="21"/>
    </row>
    <row r="304" spans="19:49" x14ac:dyDescent="0.25">
      <c r="S304" s="21"/>
      <c r="V304" s="21"/>
      <c r="AE304" s="21"/>
      <c r="AN304" s="21"/>
      <c r="AW304" s="21"/>
    </row>
    <row r="305" spans="19:49" x14ac:dyDescent="0.25">
      <c r="S305" s="21"/>
      <c r="V305" s="21"/>
      <c r="AE305" s="21"/>
      <c r="AN305" s="21"/>
      <c r="AW305" s="21"/>
    </row>
    <row r="306" spans="19:49" x14ac:dyDescent="0.25">
      <c r="S306" s="21"/>
      <c r="V306" s="21"/>
      <c r="AE306" s="21"/>
      <c r="AN306" s="21"/>
      <c r="AW306" s="21"/>
    </row>
    <row r="307" spans="19:49" x14ac:dyDescent="0.25">
      <c r="S307" s="21"/>
      <c r="V307" s="21"/>
      <c r="AE307" s="21"/>
      <c r="AN307" s="21"/>
      <c r="AW307" s="21"/>
    </row>
    <row r="308" spans="19:49" x14ac:dyDescent="0.25">
      <c r="S308" s="21"/>
      <c r="V308" s="21"/>
      <c r="AE308" s="21"/>
      <c r="AN308" s="21"/>
      <c r="AW308" s="21"/>
    </row>
    <row r="309" spans="19:49" x14ac:dyDescent="0.25">
      <c r="S309" s="21"/>
      <c r="V309" s="21"/>
      <c r="AE309" s="21"/>
      <c r="AN309" s="21"/>
      <c r="AW309" s="21"/>
    </row>
    <row r="310" spans="19:49" x14ac:dyDescent="0.25">
      <c r="S310" s="21"/>
      <c r="V310" s="21"/>
      <c r="AE310" s="21"/>
      <c r="AN310" s="21"/>
      <c r="AW310" s="21"/>
    </row>
    <row r="311" spans="19:49" x14ac:dyDescent="0.25">
      <c r="S311" s="21"/>
      <c r="V311" s="21"/>
      <c r="AE311" s="21"/>
      <c r="AN311" s="21"/>
      <c r="AW311" s="21"/>
    </row>
    <row r="312" spans="19:49" x14ac:dyDescent="0.25">
      <c r="S312" s="21"/>
      <c r="V312" s="21"/>
      <c r="AE312" s="21"/>
      <c r="AN312" s="21"/>
      <c r="AW312" s="21"/>
    </row>
    <row r="313" spans="19:49" x14ac:dyDescent="0.25">
      <c r="S313" s="21"/>
      <c r="V313" s="21"/>
      <c r="AE313" s="21"/>
      <c r="AN313" s="21"/>
      <c r="AW313" s="21"/>
    </row>
    <row r="314" spans="19:49" x14ac:dyDescent="0.25">
      <c r="S314" s="21"/>
      <c r="V314" s="21"/>
      <c r="AE314" s="21"/>
      <c r="AN314" s="21"/>
      <c r="AW314" s="21"/>
    </row>
    <row r="315" spans="19:49" x14ac:dyDescent="0.25">
      <c r="S315" s="21"/>
      <c r="V315" s="21"/>
      <c r="AE315" s="21"/>
      <c r="AN315" s="21"/>
      <c r="AW315" s="21"/>
    </row>
    <row r="316" spans="19:49" x14ac:dyDescent="0.25">
      <c r="S316" s="21"/>
      <c r="V316" s="21"/>
      <c r="AE316" s="21"/>
      <c r="AN316" s="21"/>
      <c r="AW316" s="21"/>
    </row>
    <row r="317" spans="19:49" x14ac:dyDescent="0.25">
      <c r="S317" s="21"/>
      <c r="V317" s="21"/>
      <c r="AE317" s="21"/>
      <c r="AN317" s="21"/>
      <c r="AW317" s="21"/>
    </row>
    <row r="318" spans="19:49" x14ac:dyDescent="0.25">
      <c r="S318" s="21"/>
      <c r="V318" s="21"/>
      <c r="AE318" s="21"/>
      <c r="AN318" s="21"/>
      <c r="AW318" s="21"/>
    </row>
    <row r="319" spans="19:49" x14ac:dyDescent="0.25">
      <c r="S319" s="21"/>
      <c r="V319" s="21"/>
      <c r="AE319" s="21"/>
      <c r="AN319" s="21"/>
      <c r="AW319" s="21"/>
    </row>
    <row r="320" spans="19:49" x14ac:dyDescent="0.25">
      <c r="S320" s="21"/>
      <c r="V320" s="21"/>
      <c r="AE320" s="21"/>
      <c r="AN320" s="21"/>
      <c r="AW320" s="21"/>
    </row>
    <row r="321" spans="19:49" x14ac:dyDescent="0.25">
      <c r="S321" s="21"/>
      <c r="V321" s="21"/>
      <c r="AE321" s="21"/>
      <c r="AN321" s="21"/>
      <c r="AW321" s="21"/>
    </row>
    <row r="322" spans="19:49" x14ac:dyDescent="0.25">
      <c r="S322" s="21"/>
      <c r="V322" s="21"/>
      <c r="AE322" s="21"/>
      <c r="AN322" s="21"/>
      <c r="AW322" s="21"/>
    </row>
    <row r="323" spans="19:49" x14ac:dyDescent="0.25">
      <c r="S323" s="21"/>
      <c r="V323" s="21"/>
      <c r="AE323" s="21"/>
      <c r="AN323" s="21"/>
      <c r="AW323" s="21"/>
    </row>
    <row r="324" spans="19:49" x14ac:dyDescent="0.25">
      <c r="S324" s="21"/>
      <c r="V324" s="21"/>
      <c r="AE324" s="21"/>
      <c r="AN324" s="21"/>
      <c r="AW324" s="21"/>
    </row>
    <row r="325" spans="19:49" x14ac:dyDescent="0.25">
      <c r="S325" s="21"/>
      <c r="V325" s="21"/>
      <c r="AE325" s="21"/>
      <c r="AN325" s="21"/>
      <c r="AW325" s="21"/>
    </row>
    <row r="326" spans="19:49" x14ac:dyDescent="0.25">
      <c r="S326" s="21"/>
      <c r="V326" s="21"/>
      <c r="AE326" s="21"/>
      <c r="AN326" s="21"/>
      <c r="AW326" s="21"/>
    </row>
    <row r="327" spans="19:49" x14ac:dyDescent="0.25">
      <c r="S327" s="21"/>
      <c r="V327" s="21"/>
      <c r="AE327" s="21"/>
      <c r="AN327" s="21"/>
      <c r="AW327" s="21"/>
    </row>
    <row r="328" spans="19:49" x14ac:dyDescent="0.25">
      <c r="S328" s="21"/>
      <c r="V328" s="21"/>
      <c r="AE328" s="21"/>
      <c r="AN328" s="21"/>
      <c r="AW328" s="21"/>
    </row>
    <row r="329" spans="19:49" x14ac:dyDescent="0.25">
      <c r="S329" s="21"/>
      <c r="V329" s="21"/>
      <c r="AE329" s="21"/>
      <c r="AN329" s="21"/>
      <c r="AW329" s="21"/>
    </row>
    <row r="330" spans="19:49" x14ac:dyDescent="0.25">
      <c r="S330" s="21"/>
      <c r="V330" s="21"/>
      <c r="AE330" s="21"/>
      <c r="AN330" s="21"/>
      <c r="AW330" s="21"/>
    </row>
    <row r="331" spans="19:49" x14ac:dyDescent="0.25">
      <c r="S331" s="21"/>
      <c r="V331" s="21"/>
      <c r="AE331" s="21"/>
      <c r="AN331" s="21"/>
      <c r="AW331" s="21"/>
    </row>
    <row r="332" spans="19:49" x14ac:dyDescent="0.25">
      <c r="S332" s="21"/>
      <c r="V332" s="21"/>
      <c r="AE332" s="21"/>
      <c r="AN332" s="21"/>
      <c r="AW332" s="21"/>
    </row>
    <row r="333" spans="19:49" x14ac:dyDescent="0.25">
      <c r="S333" s="21"/>
      <c r="V333" s="21"/>
      <c r="AE333" s="21"/>
      <c r="AN333" s="21"/>
      <c r="AW333" s="21"/>
    </row>
    <row r="334" spans="19:49" x14ac:dyDescent="0.25">
      <c r="S334" s="21"/>
      <c r="V334" s="21"/>
      <c r="AE334" s="21"/>
      <c r="AN334" s="21"/>
      <c r="AW334" s="21"/>
    </row>
    <row r="335" spans="19:49" x14ac:dyDescent="0.25">
      <c r="S335" s="21"/>
      <c r="V335" s="21"/>
      <c r="AE335" s="21"/>
      <c r="AN335" s="21"/>
      <c r="AW335" s="21"/>
    </row>
    <row r="336" spans="19:49" x14ac:dyDescent="0.25">
      <c r="S336" s="21"/>
      <c r="V336" s="21"/>
      <c r="AE336" s="21"/>
      <c r="AN336" s="21"/>
      <c r="AW336" s="21"/>
    </row>
    <row r="337" spans="19:49" x14ac:dyDescent="0.25">
      <c r="S337" s="21"/>
      <c r="V337" s="21"/>
      <c r="AE337" s="21"/>
      <c r="AN337" s="21"/>
      <c r="AW337" s="21"/>
    </row>
    <row r="338" spans="19:49" x14ac:dyDescent="0.25">
      <c r="S338" s="21"/>
      <c r="V338" s="21"/>
      <c r="AE338" s="21"/>
      <c r="AN338" s="21"/>
      <c r="AW338" s="21"/>
    </row>
    <row r="339" spans="19:49" x14ac:dyDescent="0.25">
      <c r="S339" s="21"/>
      <c r="V339" s="21"/>
      <c r="AE339" s="21"/>
      <c r="AN339" s="21"/>
      <c r="AW339" s="21"/>
    </row>
    <row r="340" spans="19:49" x14ac:dyDescent="0.25">
      <c r="S340" s="21"/>
      <c r="V340" s="21"/>
      <c r="AE340" s="21"/>
      <c r="AN340" s="21"/>
      <c r="AW340" s="21"/>
    </row>
    <row r="341" spans="19:49" x14ac:dyDescent="0.25">
      <c r="S341" s="21"/>
      <c r="V341" s="21"/>
      <c r="AE341" s="21"/>
      <c r="AN341" s="21"/>
      <c r="AW341" s="21"/>
    </row>
    <row r="342" spans="19:49" x14ac:dyDescent="0.25">
      <c r="S342" s="21"/>
      <c r="V342" s="21"/>
      <c r="AE342" s="21"/>
      <c r="AN342" s="21"/>
      <c r="AW342" s="21"/>
    </row>
    <row r="343" spans="19:49" x14ac:dyDescent="0.25">
      <c r="S343" s="21"/>
      <c r="V343" s="21"/>
      <c r="AE343" s="21"/>
      <c r="AN343" s="21"/>
      <c r="AW343" s="21"/>
    </row>
    <row r="344" spans="19:49" x14ac:dyDescent="0.25">
      <c r="S344" s="21"/>
      <c r="V344" s="21"/>
      <c r="AE344" s="21"/>
      <c r="AN344" s="21"/>
      <c r="AW344" s="21"/>
    </row>
    <row r="345" spans="19:49" x14ac:dyDescent="0.25">
      <c r="S345" s="21"/>
      <c r="V345" s="21"/>
      <c r="AE345" s="21"/>
      <c r="AN345" s="21"/>
      <c r="AW345" s="21"/>
    </row>
    <row r="346" spans="19:49" x14ac:dyDescent="0.25">
      <c r="S346" s="21"/>
      <c r="V346" s="21"/>
      <c r="AE346" s="21"/>
      <c r="AN346" s="21"/>
      <c r="AW346" s="21"/>
    </row>
    <row r="347" spans="19:49" x14ac:dyDescent="0.25">
      <c r="S347" s="21"/>
      <c r="V347" s="21"/>
      <c r="AE347" s="21"/>
      <c r="AN347" s="21"/>
      <c r="AW347" s="21"/>
    </row>
    <row r="348" spans="19:49" x14ac:dyDescent="0.25">
      <c r="S348" s="21"/>
      <c r="V348" s="21"/>
      <c r="AE348" s="21"/>
      <c r="AN348" s="21"/>
      <c r="AW348" s="21"/>
    </row>
    <row r="349" spans="19:49" x14ac:dyDescent="0.25">
      <c r="S349" s="21"/>
      <c r="V349" s="21"/>
      <c r="AE349" s="21"/>
      <c r="AN349" s="21"/>
      <c r="AW349" s="21"/>
    </row>
    <row r="350" spans="19:49" x14ac:dyDescent="0.25">
      <c r="S350" s="21"/>
      <c r="V350" s="21"/>
      <c r="AE350" s="21"/>
      <c r="AN350" s="21"/>
      <c r="AW350" s="21"/>
    </row>
    <row r="351" spans="19:49" x14ac:dyDescent="0.25">
      <c r="S351" s="21"/>
      <c r="V351" s="21"/>
      <c r="AE351" s="21"/>
      <c r="AN351" s="21"/>
      <c r="AW351" s="21"/>
    </row>
    <row r="352" spans="19:49" x14ac:dyDescent="0.25">
      <c r="S352" s="21"/>
      <c r="V352" s="21"/>
      <c r="AE352" s="21"/>
      <c r="AN352" s="21"/>
      <c r="AW352" s="21"/>
    </row>
    <row r="353" spans="19:49" x14ac:dyDescent="0.25">
      <c r="S353" s="21"/>
      <c r="V353" s="21"/>
      <c r="AE353" s="21"/>
      <c r="AN353" s="21"/>
      <c r="AW353" s="21"/>
    </row>
    <row r="354" spans="19:49" x14ac:dyDescent="0.25">
      <c r="S354" s="21"/>
      <c r="V354" s="21"/>
      <c r="AE354" s="21"/>
      <c r="AN354" s="21"/>
      <c r="AW354" s="21"/>
    </row>
    <row r="355" spans="19:49" x14ac:dyDescent="0.25">
      <c r="S355" s="21"/>
      <c r="V355" s="21"/>
      <c r="AE355" s="21"/>
      <c r="AN355" s="21"/>
      <c r="AW355" s="21"/>
    </row>
    <row r="356" spans="19:49" x14ac:dyDescent="0.25">
      <c r="S356" s="21"/>
      <c r="V356" s="21"/>
      <c r="AE356" s="21"/>
      <c r="AN356" s="21"/>
      <c r="AW356" s="21"/>
    </row>
    <row r="357" spans="19:49" x14ac:dyDescent="0.25">
      <c r="S357" s="21"/>
      <c r="V357" s="21"/>
      <c r="AE357" s="21"/>
      <c r="AN357" s="21"/>
      <c r="AW357" s="21"/>
    </row>
    <row r="358" spans="19:49" x14ac:dyDescent="0.25">
      <c r="S358" s="21"/>
      <c r="V358" s="21"/>
      <c r="AE358" s="21"/>
      <c r="AN358" s="21"/>
      <c r="AW358" s="21"/>
    </row>
    <row r="359" spans="19:49" x14ac:dyDescent="0.25">
      <c r="S359" s="21"/>
      <c r="V359" s="21"/>
      <c r="AE359" s="21"/>
      <c r="AN359" s="21"/>
      <c r="AW359" s="21"/>
    </row>
    <row r="360" spans="19:49" x14ac:dyDescent="0.25">
      <c r="S360" s="21"/>
      <c r="V360" s="21"/>
      <c r="AE360" s="21"/>
      <c r="AN360" s="21"/>
      <c r="AW360" s="21"/>
    </row>
    <row r="361" spans="19:49" x14ac:dyDescent="0.25">
      <c r="S361" s="21"/>
      <c r="V361" s="21"/>
      <c r="AE361" s="21"/>
      <c r="AN361" s="21"/>
      <c r="AW361" s="21"/>
    </row>
    <row r="362" spans="19:49" x14ac:dyDescent="0.25">
      <c r="S362" s="21"/>
      <c r="V362" s="21"/>
      <c r="AE362" s="21"/>
      <c r="AN362" s="21"/>
      <c r="AW362" s="21"/>
    </row>
    <row r="363" spans="19:49" x14ac:dyDescent="0.25">
      <c r="S363" s="21"/>
      <c r="V363" s="21"/>
      <c r="AE363" s="21"/>
      <c r="AN363" s="21"/>
      <c r="AW363" s="21"/>
    </row>
    <row r="364" spans="19:49" x14ac:dyDescent="0.25">
      <c r="S364" s="21"/>
      <c r="V364" s="21"/>
      <c r="AE364" s="21"/>
      <c r="AN364" s="21"/>
      <c r="AW364" s="21"/>
    </row>
    <row r="365" spans="19:49" x14ac:dyDescent="0.25">
      <c r="S365" s="21"/>
      <c r="V365" s="21"/>
      <c r="AE365" s="21"/>
      <c r="AN365" s="21"/>
      <c r="AW365" s="21"/>
    </row>
    <row r="366" spans="19:49" x14ac:dyDescent="0.25">
      <c r="S366" s="21"/>
      <c r="V366" s="21"/>
      <c r="AE366" s="21"/>
      <c r="AN366" s="21"/>
      <c r="AW366" s="21"/>
    </row>
    <row r="367" spans="19:49" x14ac:dyDescent="0.25">
      <c r="S367" s="21"/>
      <c r="V367" s="21"/>
      <c r="AE367" s="21"/>
      <c r="AN367" s="21"/>
      <c r="AW367" s="21"/>
    </row>
    <row r="368" spans="19:49" x14ac:dyDescent="0.25">
      <c r="S368" s="21"/>
      <c r="V368" s="21"/>
      <c r="AE368" s="21"/>
      <c r="AN368" s="21"/>
      <c r="AW368" s="21"/>
    </row>
    <row r="369" spans="19:49" x14ac:dyDescent="0.25">
      <c r="S369" s="21"/>
      <c r="V369" s="21"/>
      <c r="AE369" s="21"/>
      <c r="AN369" s="21"/>
      <c r="AW369" s="21"/>
    </row>
    <row r="370" spans="19:49" x14ac:dyDescent="0.25">
      <c r="S370" s="21"/>
      <c r="V370" s="21"/>
      <c r="AE370" s="21"/>
      <c r="AN370" s="21"/>
      <c r="AW370" s="21"/>
    </row>
    <row r="371" spans="19:49" x14ac:dyDescent="0.25">
      <c r="S371" s="21"/>
      <c r="V371" s="21"/>
      <c r="AE371" s="21"/>
      <c r="AN371" s="21"/>
      <c r="AW371" s="21"/>
    </row>
    <row r="372" spans="19:49" x14ac:dyDescent="0.25">
      <c r="S372" s="21"/>
      <c r="V372" s="21"/>
      <c r="AE372" s="21"/>
      <c r="AN372" s="21"/>
      <c r="AW372" s="21"/>
    </row>
    <row r="373" spans="19:49" x14ac:dyDescent="0.25">
      <c r="S373" s="21"/>
      <c r="V373" s="21"/>
      <c r="AE373" s="21"/>
      <c r="AN373" s="21"/>
      <c r="AW373" s="21"/>
    </row>
    <row r="374" spans="19:49" x14ac:dyDescent="0.25">
      <c r="S374" s="21"/>
      <c r="V374" s="21"/>
      <c r="AE374" s="21"/>
      <c r="AN374" s="21"/>
      <c r="AW374" s="21"/>
    </row>
    <row r="375" spans="19:49" x14ac:dyDescent="0.25">
      <c r="S375" s="21"/>
      <c r="V375" s="21"/>
      <c r="AE375" s="21"/>
      <c r="AN375" s="21"/>
      <c r="AW375" s="21"/>
    </row>
    <row r="376" spans="19:49" x14ac:dyDescent="0.25">
      <c r="S376" s="21"/>
      <c r="V376" s="21"/>
      <c r="AE376" s="21"/>
      <c r="AN376" s="21"/>
      <c r="AW376" s="21"/>
    </row>
    <row r="377" spans="19:49" x14ac:dyDescent="0.25">
      <c r="S377" s="21"/>
      <c r="V377" s="21"/>
      <c r="AE377" s="21"/>
      <c r="AN377" s="21"/>
      <c r="AW377" s="21"/>
    </row>
    <row r="378" spans="19:49" x14ac:dyDescent="0.25">
      <c r="S378" s="21"/>
      <c r="V378" s="21"/>
      <c r="AE378" s="21"/>
      <c r="AN378" s="21"/>
      <c r="AW378" s="21"/>
    </row>
    <row r="379" spans="19:49" x14ac:dyDescent="0.25">
      <c r="S379" s="21"/>
      <c r="V379" s="21"/>
      <c r="AE379" s="21"/>
      <c r="AN379" s="21"/>
      <c r="AW379" s="21"/>
    </row>
    <row r="380" spans="19:49" x14ac:dyDescent="0.25">
      <c r="S380" s="21"/>
      <c r="V380" s="21"/>
      <c r="AE380" s="21"/>
      <c r="AN380" s="21"/>
      <c r="AW380" s="21"/>
    </row>
    <row r="381" spans="19:49" x14ac:dyDescent="0.25">
      <c r="S381" s="21"/>
      <c r="V381" s="21"/>
      <c r="AE381" s="21"/>
      <c r="AN381" s="21"/>
      <c r="AW381" s="21"/>
    </row>
    <row r="382" spans="19:49" x14ac:dyDescent="0.25">
      <c r="S382" s="21"/>
      <c r="V382" s="21"/>
      <c r="AE382" s="21"/>
      <c r="AN382" s="21"/>
      <c r="AW382" s="21"/>
    </row>
    <row r="383" spans="19:49" x14ac:dyDescent="0.25">
      <c r="S383" s="21"/>
      <c r="V383" s="21"/>
      <c r="AE383" s="21"/>
      <c r="AN383" s="21"/>
      <c r="AW383" s="21"/>
    </row>
    <row r="384" spans="19:49" x14ac:dyDescent="0.25">
      <c r="S384" s="21"/>
      <c r="V384" s="21"/>
      <c r="AE384" s="21"/>
      <c r="AN384" s="21"/>
      <c r="AW384" s="21"/>
    </row>
    <row r="385" spans="19:49" x14ac:dyDescent="0.25">
      <c r="S385" s="21"/>
      <c r="V385" s="21"/>
      <c r="AE385" s="21"/>
      <c r="AN385" s="21"/>
      <c r="AW385" s="21"/>
    </row>
    <row r="386" spans="19:49" x14ac:dyDescent="0.25">
      <c r="S386" s="21"/>
      <c r="V386" s="21"/>
      <c r="AE386" s="21"/>
      <c r="AN386" s="21"/>
      <c r="AW386" s="21"/>
    </row>
    <row r="387" spans="19:49" x14ac:dyDescent="0.25">
      <c r="S387" s="21"/>
      <c r="V387" s="21"/>
      <c r="AE387" s="21"/>
      <c r="AN387" s="21"/>
      <c r="AW387" s="21"/>
    </row>
    <row r="388" spans="19:49" x14ac:dyDescent="0.25">
      <c r="S388" s="21"/>
      <c r="V388" s="21"/>
      <c r="AE388" s="21"/>
      <c r="AN388" s="21"/>
      <c r="AW388" s="21"/>
    </row>
    <row r="389" spans="19:49" x14ac:dyDescent="0.25">
      <c r="S389" s="21"/>
      <c r="V389" s="21"/>
      <c r="AE389" s="21"/>
      <c r="AN389" s="21"/>
      <c r="AW389" s="21"/>
    </row>
    <row r="390" spans="19:49" x14ac:dyDescent="0.25">
      <c r="S390" s="21"/>
      <c r="V390" s="21"/>
      <c r="AE390" s="21"/>
      <c r="AN390" s="21"/>
      <c r="AW390" s="21"/>
    </row>
    <row r="391" spans="19:49" x14ac:dyDescent="0.25">
      <c r="S391" s="21"/>
      <c r="V391" s="21"/>
      <c r="AE391" s="21"/>
      <c r="AN391" s="21"/>
      <c r="AW391" s="21"/>
    </row>
    <row r="392" spans="19:49" x14ac:dyDescent="0.25">
      <c r="S392" s="21"/>
      <c r="V392" s="21"/>
      <c r="AE392" s="21"/>
      <c r="AN392" s="21"/>
      <c r="AW392" s="21"/>
    </row>
    <row r="393" spans="19:49" x14ac:dyDescent="0.25">
      <c r="S393" s="21"/>
      <c r="V393" s="21"/>
      <c r="AE393" s="21"/>
      <c r="AN393" s="21"/>
      <c r="AW393" s="21"/>
    </row>
    <row r="394" spans="19:49" x14ac:dyDescent="0.25">
      <c r="S394" s="21"/>
      <c r="V394" s="21"/>
      <c r="AE394" s="21"/>
      <c r="AN394" s="21"/>
      <c r="AW394" s="21"/>
    </row>
    <row r="395" spans="19:49" x14ac:dyDescent="0.25">
      <c r="S395" s="21"/>
      <c r="V395" s="21"/>
      <c r="AE395" s="21"/>
      <c r="AN395" s="21"/>
      <c r="AW395" s="21"/>
    </row>
    <row r="396" spans="19:49" x14ac:dyDescent="0.25">
      <c r="S396" s="21"/>
      <c r="V396" s="21"/>
      <c r="AE396" s="21"/>
      <c r="AN396" s="21"/>
      <c r="AW396" s="21"/>
    </row>
    <row r="397" spans="19:49" x14ac:dyDescent="0.25">
      <c r="S397" s="21"/>
      <c r="V397" s="21"/>
      <c r="AE397" s="21"/>
      <c r="AN397" s="21"/>
      <c r="AW397" s="21"/>
    </row>
    <row r="398" spans="19:49" x14ac:dyDescent="0.25">
      <c r="S398" s="21"/>
      <c r="V398" s="21"/>
      <c r="AE398" s="21"/>
      <c r="AN398" s="21"/>
      <c r="AW398" s="21"/>
    </row>
    <row r="399" spans="19:49" x14ac:dyDescent="0.25">
      <c r="S399" s="21"/>
      <c r="V399" s="21"/>
      <c r="AE399" s="21"/>
      <c r="AN399" s="21"/>
      <c r="AW399" s="21"/>
    </row>
    <row r="400" spans="19:49" x14ac:dyDescent="0.25">
      <c r="S400" s="21"/>
      <c r="V400" s="21"/>
      <c r="AE400" s="21"/>
      <c r="AN400" s="21"/>
      <c r="AW400" s="21"/>
    </row>
    <row r="401" spans="19:49" x14ac:dyDescent="0.25">
      <c r="S401" s="21"/>
      <c r="V401" s="21"/>
      <c r="AE401" s="21"/>
      <c r="AN401" s="21"/>
      <c r="AW401" s="21"/>
    </row>
    <row r="402" spans="19:49" x14ac:dyDescent="0.25">
      <c r="S402" s="21"/>
      <c r="V402" s="21"/>
      <c r="AE402" s="21"/>
      <c r="AN402" s="21"/>
      <c r="AW402" s="21"/>
    </row>
    <row r="403" spans="19:49" x14ac:dyDescent="0.25">
      <c r="S403" s="21"/>
      <c r="V403" s="21"/>
      <c r="AE403" s="21"/>
      <c r="AN403" s="21"/>
      <c r="AW403" s="21"/>
    </row>
    <row r="404" spans="19:49" x14ac:dyDescent="0.25">
      <c r="S404" s="21"/>
      <c r="V404" s="21"/>
      <c r="AE404" s="21"/>
      <c r="AN404" s="21"/>
      <c r="AW404" s="21"/>
    </row>
    <row r="405" spans="19:49" x14ac:dyDescent="0.25">
      <c r="S405" s="21"/>
      <c r="V405" s="21"/>
      <c r="AE405" s="21"/>
      <c r="AN405" s="21"/>
      <c r="AW405" s="21"/>
    </row>
    <row r="406" spans="19:49" x14ac:dyDescent="0.25">
      <c r="S406" s="21"/>
      <c r="V406" s="21"/>
      <c r="AE406" s="21"/>
      <c r="AN406" s="21"/>
      <c r="AW406" s="21"/>
    </row>
    <row r="407" spans="19:49" x14ac:dyDescent="0.25">
      <c r="S407" s="21"/>
      <c r="V407" s="21"/>
      <c r="AE407" s="21"/>
      <c r="AN407" s="21"/>
      <c r="AW407" s="21"/>
    </row>
    <row r="408" spans="19:49" x14ac:dyDescent="0.25">
      <c r="S408" s="21"/>
      <c r="V408" s="21"/>
      <c r="AE408" s="21"/>
      <c r="AN408" s="21"/>
      <c r="AW408" s="21"/>
    </row>
    <row r="409" spans="19:49" x14ac:dyDescent="0.25">
      <c r="S409" s="21"/>
      <c r="V409" s="21"/>
      <c r="AE409" s="21"/>
      <c r="AN409" s="21"/>
      <c r="AW409" s="21"/>
    </row>
    <row r="410" spans="19:49" x14ac:dyDescent="0.25">
      <c r="S410" s="21"/>
      <c r="V410" s="21"/>
      <c r="AE410" s="21"/>
      <c r="AN410" s="21"/>
      <c r="AW410" s="21"/>
    </row>
    <row r="411" spans="19:49" x14ac:dyDescent="0.25">
      <c r="S411" s="21"/>
      <c r="V411" s="21"/>
      <c r="AE411" s="21"/>
      <c r="AN411" s="21"/>
      <c r="AW411" s="21"/>
    </row>
    <row r="412" spans="19:49" x14ac:dyDescent="0.25">
      <c r="S412" s="21"/>
      <c r="V412" s="21"/>
      <c r="AE412" s="21"/>
      <c r="AN412" s="21"/>
      <c r="AW412" s="21"/>
    </row>
    <row r="413" spans="19:49" x14ac:dyDescent="0.25">
      <c r="S413" s="21"/>
      <c r="V413" s="21"/>
      <c r="AE413" s="21"/>
      <c r="AN413" s="21"/>
      <c r="AW413" s="21"/>
    </row>
    <row r="414" spans="19:49" x14ac:dyDescent="0.25">
      <c r="S414" s="21"/>
      <c r="V414" s="21"/>
      <c r="AE414" s="21"/>
      <c r="AN414" s="21"/>
      <c r="AW414" s="21"/>
    </row>
    <row r="415" spans="19:49" x14ac:dyDescent="0.25">
      <c r="S415" s="21"/>
      <c r="V415" s="21"/>
      <c r="AE415" s="21"/>
      <c r="AN415" s="21"/>
      <c r="AW415" s="21"/>
    </row>
    <row r="416" spans="19:49" x14ac:dyDescent="0.25">
      <c r="S416" s="21"/>
      <c r="V416" s="21"/>
      <c r="AE416" s="21"/>
      <c r="AN416" s="21"/>
      <c r="AW416" s="21"/>
    </row>
    <row r="417" spans="19:49" x14ac:dyDescent="0.25">
      <c r="S417" s="21"/>
      <c r="V417" s="21"/>
      <c r="AE417" s="21"/>
      <c r="AN417" s="21"/>
      <c r="AW417" s="21"/>
    </row>
    <row r="418" spans="19:49" x14ac:dyDescent="0.25">
      <c r="S418" s="21"/>
      <c r="V418" s="21"/>
      <c r="AE418" s="21"/>
      <c r="AN418" s="21"/>
      <c r="AW418" s="21"/>
    </row>
    <row r="419" spans="19:49" x14ac:dyDescent="0.25">
      <c r="S419" s="21"/>
      <c r="V419" s="21"/>
      <c r="AE419" s="21"/>
      <c r="AN419" s="21"/>
      <c r="AW419" s="21"/>
    </row>
    <row r="420" spans="19:49" x14ac:dyDescent="0.25">
      <c r="S420" s="21"/>
      <c r="V420" s="21"/>
      <c r="AE420" s="21"/>
      <c r="AN420" s="21"/>
      <c r="AW420" s="21"/>
    </row>
    <row r="421" spans="19:49" x14ac:dyDescent="0.25">
      <c r="S421" s="21"/>
      <c r="V421" s="21"/>
      <c r="AE421" s="21"/>
      <c r="AN421" s="21"/>
      <c r="AW421" s="21"/>
    </row>
    <row r="422" spans="19:49" x14ac:dyDescent="0.25">
      <c r="S422" s="21"/>
      <c r="V422" s="21"/>
      <c r="AE422" s="21"/>
      <c r="AN422" s="21"/>
      <c r="AW422" s="21"/>
    </row>
    <row r="423" spans="19:49" x14ac:dyDescent="0.25">
      <c r="S423" s="21"/>
      <c r="V423" s="21"/>
      <c r="AE423" s="21"/>
      <c r="AN423" s="21"/>
      <c r="AW423" s="21"/>
    </row>
    <row r="424" spans="19:49" x14ac:dyDescent="0.25">
      <c r="S424" s="21"/>
      <c r="V424" s="21"/>
      <c r="AE424" s="21"/>
      <c r="AN424" s="21"/>
      <c r="AW424" s="21"/>
    </row>
    <row r="425" spans="19:49" x14ac:dyDescent="0.25">
      <c r="S425" s="21"/>
      <c r="V425" s="21"/>
      <c r="AE425" s="21"/>
      <c r="AN425" s="21"/>
      <c r="AW425" s="21"/>
    </row>
    <row r="426" spans="19:49" x14ac:dyDescent="0.25">
      <c r="S426" s="21"/>
      <c r="V426" s="21"/>
      <c r="AE426" s="21"/>
      <c r="AN426" s="21"/>
      <c r="AW426" s="21"/>
    </row>
    <row r="427" spans="19:49" x14ac:dyDescent="0.25">
      <c r="S427" s="21"/>
      <c r="V427" s="21"/>
      <c r="AE427" s="21"/>
      <c r="AN427" s="21"/>
      <c r="AW427" s="21"/>
    </row>
    <row r="428" spans="19:49" x14ac:dyDescent="0.25">
      <c r="S428" s="21"/>
      <c r="V428" s="21"/>
      <c r="AE428" s="21"/>
      <c r="AN428" s="21"/>
      <c r="AW428" s="21"/>
    </row>
    <row r="429" spans="19:49" x14ac:dyDescent="0.25">
      <c r="S429" s="21"/>
      <c r="V429" s="21"/>
      <c r="AE429" s="21"/>
      <c r="AN429" s="21"/>
      <c r="AW429" s="21"/>
    </row>
    <row r="430" spans="19:49" x14ac:dyDescent="0.25">
      <c r="S430" s="21"/>
      <c r="V430" s="21"/>
      <c r="AE430" s="21"/>
      <c r="AN430" s="21"/>
      <c r="AW430" s="21"/>
    </row>
    <row r="431" spans="19:49" x14ac:dyDescent="0.25">
      <c r="S431" s="21"/>
      <c r="V431" s="21"/>
      <c r="AE431" s="21"/>
      <c r="AN431" s="21"/>
      <c r="AW431" s="21"/>
    </row>
    <row r="432" spans="19:49" x14ac:dyDescent="0.25">
      <c r="S432" s="21"/>
      <c r="V432" s="21"/>
      <c r="AE432" s="21"/>
      <c r="AN432" s="21"/>
      <c r="AW432" s="21"/>
    </row>
    <row r="433" spans="19:49" x14ac:dyDescent="0.25">
      <c r="S433" s="21"/>
      <c r="V433" s="21"/>
      <c r="AE433" s="21"/>
      <c r="AN433" s="21"/>
      <c r="AW433" s="21"/>
    </row>
    <row r="434" spans="19:49" x14ac:dyDescent="0.25">
      <c r="S434" s="21"/>
      <c r="V434" s="21"/>
      <c r="AE434" s="21"/>
      <c r="AN434" s="21"/>
      <c r="AW434" s="21"/>
    </row>
    <row r="435" spans="19:49" x14ac:dyDescent="0.25">
      <c r="S435" s="21"/>
      <c r="V435" s="21"/>
      <c r="AE435" s="21"/>
      <c r="AN435" s="21"/>
      <c r="AW435" s="21"/>
    </row>
    <row r="436" spans="19:49" x14ac:dyDescent="0.25">
      <c r="S436" s="21"/>
      <c r="V436" s="21"/>
      <c r="AE436" s="21"/>
      <c r="AN436" s="21"/>
      <c r="AW436" s="21"/>
    </row>
    <row r="437" spans="19:49" x14ac:dyDescent="0.25">
      <c r="S437" s="21"/>
      <c r="V437" s="21"/>
      <c r="AE437" s="21"/>
      <c r="AN437" s="21"/>
      <c r="AW437" s="21"/>
    </row>
    <row r="438" spans="19:49" x14ac:dyDescent="0.25">
      <c r="S438" s="21"/>
      <c r="V438" s="21"/>
      <c r="AE438" s="21"/>
      <c r="AN438" s="21"/>
      <c r="AW438" s="21"/>
    </row>
    <row r="439" spans="19:49" x14ac:dyDescent="0.25">
      <c r="S439" s="21"/>
      <c r="V439" s="21"/>
      <c r="AE439" s="21"/>
      <c r="AN439" s="21"/>
      <c r="AW439" s="21"/>
    </row>
    <row r="440" spans="19:49" x14ac:dyDescent="0.25">
      <c r="S440" s="21"/>
      <c r="V440" s="21"/>
      <c r="AE440" s="21"/>
      <c r="AN440" s="21"/>
      <c r="AW440" s="21"/>
    </row>
    <row r="441" spans="19:49" x14ac:dyDescent="0.25">
      <c r="S441" s="21"/>
      <c r="V441" s="21"/>
      <c r="AE441" s="21"/>
      <c r="AN441" s="21"/>
      <c r="AW441" s="21"/>
    </row>
    <row r="442" spans="19:49" x14ac:dyDescent="0.25">
      <c r="S442" s="21"/>
      <c r="V442" s="21"/>
      <c r="AE442" s="21"/>
      <c r="AN442" s="21"/>
      <c r="AW442" s="21"/>
    </row>
    <row r="443" spans="19:49" x14ac:dyDescent="0.25">
      <c r="S443" s="21"/>
      <c r="V443" s="21"/>
      <c r="AE443" s="21"/>
      <c r="AN443" s="21"/>
      <c r="AW443" s="21"/>
    </row>
    <row r="444" spans="19:49" x14ac:dyDescent="0.25">
      <c r="S444" s="21"/>
      <c r="V444" s="21"/>
      <c r="AE444" s="21"/>
      <c r="AN444" s="21"/>
      <c r="AW444" s="21"/>
    </row>
    <row r="445" spans="19:49" x14ac:dyDescent="0.25">
      <c r="S445" s="21"/>
      <c r="V445" s="21"/>
      <c r="AE445" s="21"/>
      <c r="AN445" s="21"/>
      <c r="AW445" s="21"/>
    </row>
    <row r="446" spans="19:49" x14ac:dyDescent="0.25">
      <c r="S446" s="21"/>
      <c r="V446" s="21"/>
      <c r="AE446" s="21"/>
      <c r="AN446" s="21"/>
      <c r="AW446" s="21"/>
    </row>
    <row r="447" spans="19:49" x14ac:dyDescent="0.25">
      <c r="S447" s="21"/>
      <c r="V447" s="21"/>
      <c r="AE447" s="21"/>
      <c r="AN447" s="21"/>
      <c r="AW447" s="21"/>
    </row>
    <row r="448" spans="19:49" x14ac:dyDescent="0.25">
      <c r="S448" s="21"/>
      <c r="V448" s="21"/>
      <c r="AE448" s="21"/>
      <c r="AN448" s="21"/>
      <c r="AW448" s="21"/>
    </row>
    <row r="449" spans="19:49" x14ac:dyDescent="0.25">
      <c r="S449" s="21"/>
      <c r="V449" s="21"/>
      <c r="AE449" s="21"/>
      <c r="AN449" s="21"/>
      <c r="AW449" s="21"/>
    </row>
    <row r="450" spans="19:49" x14ac:dyDescent="0.25">
      <c r="S450" s="21"/>
      <c r="V450" s="21"/>
      <c r="AE450" s="21"/>
      <c r="AN450" s="21"/>
      <c r="AW450" s="21"/>
    </row>
    <row r="451" spans="19:49" x14ac:dyDescent="0.25">
      <c r="S451" s="21"/>
      <c r="V451" s="21"/>
      <c r="AE451" s="21"/>
      <c r="AN451" s="21"/>
      <c r="AW451" s="21"/>
    </row>
    <row r="452" spans="19:49" x14ac:dyDescent="0.25">
      <c r="S452" s="21"/>
      <c r="V452" s="21"/>
      <c r="AE452" s="21"/>
      <c r="AN452" s="21"/>
      <c r="AW452" s="21"/>
    </row>
    <row r="453" spans="19:49" x14ac:dyDescent="0.25">
      <c r="S453" s="21"/>
      <c r="V453" s="21"/>
      <c r="AE453" s="21"/>
      <c r="AN453" s="21"/>
      <c r="AW453" s="21"/>
    </row>
    <row r="454" spans="19:49" x14ac:dyDescent="0.25">
      <c r="S454" s="21"/>
      <c r="V454" s="21"/>
      <c r="AE454" s="21"/>
      <c r="AN454" s="21"/>
      <c r="AW454" s="21"/>
    </row>
    <row r="455" spans="19:49" x14ac:dyDescent="0.25">
      <c r="S455" s="21"/>
      <c r="V455" s="21"/>
      <c r="AE455" s="21"/>
      <c r="AN455" s="21"/>
      <c r="AW455" s="21"/>
    </row>
    <row r="456" spans="19:49" x14ac:dyDescent="0.25">
      <c r="S456" s="21"/>
      <c r="V456" s="21"/>
      <c r="AE456" s="21"/>
      <c r="AN456" s="21"/>
      <c r="AW456" s="21"/>
    </row>
    <row r="457" spans="19:49" x14ac:dyDescent="0.25">
      <c r="S457" s="21"/>
      <c r="V457" s="21"/>
      <c r="AE457" s="21"/>
      <c r="AN457" s="21"/>
      <c r="AW457" s="21"/>
    </row>
    <row r="458" spans="19:49" x14ac:dyDescent="0.25">
      <c r="S458" s="21"/>
      <c r="V458" s="21"/>
      <c r="AE458" s="21"/>
      <c r="AN458" s="21"/>
      <c r="AW458" s="21"/>
    </row>
    <row r="459" spans="19:49" x14ac:dyDescent="0.25">
      <c r="S459" s="21"/>
      <c r="V459" s="21"/>
      <c r="AE459" s="21"/>
      <c r="AN459" s="21"/>
      <c r="AW459" s="21"/>
    </row>
    <row r="460" spans="19:49" x14ac:dyDescent="0.25">
      <c r="S460" s="21"/>
      <c r="V460" s="21"/>
      <c r="AE460" s="21"/>
      <c r="AN460" s="21"/>
      <c r="AW460" s="21"/>
    </row>
    <row r="461" spans="19:49" x14ac:dyDescent="0.25">
      <c r="S461" s="21"/>
      <c r="V461" s="21"/>
      <c r="AE461" s="21"/>
      <c r="AN461" s="21"/>
      <c r="AW461" s="21"/>
    </row>
    <row r="462" spans="19:49" x14ac:dyDescent="0.25">
      <c r="S462" s="21"/>
      <c r="V462" s="21"/>
      <c r="AE462" s="21"/>
      <c r="AN462" s="21"/>
      <c r="AW462" s="21"/>
    </row>
    <row r="463" spans="19:49" x14ac:dyDescent="0.25">
      <c r="S463" s="21"/>
      <c r="V463" s="21"/>
      <c r="AE463" s="21"/>
      <c r="AN463" s="21"/>
      <c r="AW463" s="21"/>
    </row>
    <row r="464" spans="19:49" x14ac:dyDescent="0.25">
      <c r="S464" s="21"/>
      <c r="V464" s="21"/>
      <c r="AE464" s="21"/>
      <c r="AN464" s="21"/>
      <c r="AW464" s="21"/>
    </row>
    <row r="465" spans="19:49" x14ac:dyDescent="0.25">
      <c r="S465" s="21"/>
      <c r="V465" s="21"/>
      <c r="AE465" s="21"/>
      <c r="AN465" s="21"/>
      <c r="AW465" s="21"/>
    </row>
    <row r="466" spans="19:49" x14ac:dyDescent="0.25">
      <c r="S466" s="21"/>
      <c r="V466" s="21"/>
      <c r="AE466" s="21"/>
      <c r="AN466" s="21"/>
      <c r="AW466" s="21"/>
    </row>
    <row r="467" spans="19:49" x14ac:dyDescent="0.25">
      <c r="S467" s="21"/>
      <c r="V467" s="21"/>
      <c r="AE467" s="21"/>
      <c r="AN467" s="21"/>
      <c r="AW467" s="21"/>
    </row>
    <row r="468" spans="19:49" x14ac:dyDescent="0.25">
      <c r="S468" s="21"/>
      <c r="V468" s="21"/>
      <c r="AE468" s="21"/>
      <c r="AN468" s="21"/>
      <c r="AW468" s="21"/>
    </row>
    <row r="469" spans="19:49" x14ac:dyDescent="0.25">
      <c r="S469" s="21"/>
      <c r="V469" s="21"/>
      <c r="AE469" s="21"/>
      <c r="AN469" s="21"/>
      <c r="AW469" s="21"/>
    </row>
    <row r="470" spans="19:49" x14ac:dyDescent="0.25">
      <c r="S470" s="21"/>
      <c r="V470" s="21"/>
      <c r="AE470" s="21"/>
      <c r="AN470" s="21"/>
      <c r="AW470" s="21"/>
    </row>
    <row r="471" spans="19:49" x14ac:dyDescent="0.25">
      <c r="S471" s="21"/>
      <c r="V471" s="21"/>
      <c r="AE471" s="21"/>
      <c r="AN471" s="21"/>
      <c r="AW471" s="21"/>
    </row>
    <row r="472" spans="19:49" x14ac:dyDescent="0.25">
      <c r="S472" s="21"/>
      <c r="V472" s="21"/>
      <c r="AE472" s="21"/>
      <c r="AN472" s="21"/>
      <c r="AW472" s="21"/>
    </row>
    <row r="473" spans="19:49" x14ac:dyDescent="0.25">
      <c r="S473" s="21"/>
      <c r="V473" s="21"/>
      <c r="AE473" s="21"/>
      <c r="AN473" s="21"/>
      <c r="AW473" s="21"/>
    </row>
    <row r="474" spans="19:49" x14ac:dyDescent="0.25">
      <c r="S474" s="21"/>
      <c r="V474" s="21"/>
      <c r="AE474" s="21"/>
      <c r="AN474" s="21"/>
      <c r="AW474" s="21"/>
    </row>
    <row r="475" spans="19:49" x14ac:dyDescent="0.25">
      <c r="S475" s="21"/>
      <c r="V475" s="21"/>
      <c r="AE475" s="21"/>
      <c r="AN475" s="21"/>
      <c r="AW475" s="21"/>
    </row>
    <row r="476" spans="19:49" x14ac:dyDescent="0.25">
      <c r="S476" s="21"/>
      <c r="V476" s="21"/>
      <c r="AE476" s="21"/>
      <c r="AN476" s="21"/>
      <c r="AW476" s="21"/>
    </row>
    <row r="477" spans="19:49" x14ac:dyDescent="0.25">
      <c r="S477" s="21"/>
      <c r="V477" s="21"/>
      <c r="AE477" s="21"/>
      <c r="AN477" s="21"/>
      <c r="AW477" s="21"/>
    </row>
    <row r="478" spans="19:49" x14ac:dyDescent="0.25">
      <c r="S478" s="21"/>
      <c r="V478" s="21"/>
      <c r="AE478" s="21"/>
      <c r="AN478" s="21"/>
      <c r="AW478" s="21"/>
    </row>
    <row r="479" spans="19:49" x14ac:dyDescent="0.25">
      <c r="S479" s="21"/>
      <c r="V479" s="21"/>
      <c r="AE479" s="21"/>
      <c r="AN479" s="21"/>
      <c r="AW479" s="21"/>
    </row>
    <row r="480" spans="19:49" x14ac:dyDescent="0.25">
      <c r="S480" s="21"/>
      <c r="V480" s="21"/>
      <c r="AE480" s="21"/>
      <c r="AN480" s="21"/>
      <c r="AW480" s="21"/>
    </row>
    <row r="481" spans="19:49" x14ac:dyDescent="0.25">
      <c r="S481" s="21"/>
      <c r="V481" s="21"/>
      <c r="AE481" s="21"/>
      <c r="AN481" s="21"/>
      <c r="AW481" s="21"/>
    </row>
    <row r="482" spans="19:49" x14ac:dyDescent="0.25">
      <c r="S482" s="21"/>
      <c r="V482" s="21"/>
      <c r="AE482" s="21"/>
      <c r="AN482" s="21"/>
      <c r="AW482" s="21"/>
    </row>
    <row r="483" spans="19:49" x14ac:dyDescent="0.25">
      <c r="S483" s="21"/>
      <c r="V483" s="21"/>
      <c r="AE483" s="21"/>
      <c r="AN483" s="21"/>
      <c r="AW483" s="21"/>
    </row>
    <row r="484" spans="19:49" x14ac:dyDescent="0.25">
      <c r="S484" s="21"/>
      <c r="V484" s="21"/>
      <c r="AE484" s="21"/>
      <c r="AN484" s="21"/>
      <c r="AW484" s="21"/>
    </row>
    <row r="485" spans="19:49" x14ac:dyDescent="0.25">
      <c r="S485" s="21"/>
      <c r="V485" s="21"/>
      <c r="AE485" s="21"/>
      <c r="AN485" s="21"/>
      <c r="AW485" s="21"/>
    </row>
    <row r="486" spans="19:49" x14ac:dyDescent="0.25">
      <c r="S486" s="21"/>
      <c r="V486" s="21"/>
      <c r="AE486" s="21"/>
      <c r="AN486" s="21"/>
      <c r="AW486" s="21"/>
    </row>
    <row r="487" spans="19:49" x14ac:dyDescent="0.25">
      <c r="S487" s="21"/>
      <c r="V487" s="21"/>
      <c r="AE487" s="21"/>
      <c r="AN487" s="21"/>
      <c r="AW487" s="21"/>
    </row>
    <row r="488" spans="19:49" x14ac:dyDescent="0.25">
      <c r="S488" s="21"/>
      <c r="V488" s="21"/>
      <c r="AE488" s="21"/>
      <c r="AN488" s="21"/>
      <c r="AW488" s="21"/>
    </row>
    <row r="489" spans="19:49" x14ac:dyDescent="0.25">
      <c r="S489" s="21"/>
      <c r="V489" s="21"/>
      <c r="AE489" s="21"/>
      <c r="AN489" s="21"/>
      <c r="AW489" s="21"/>
    </row>
    <row r="490" spans="19:49" x14ac:dyDescent="0.25">
      <c r="S490" s="21"/>
      <c r="V490" s="21"/>
      <c r="AE490" s="21"/>
      <c r="AN490" s="21"/>
      <c r="AW490" s="21"/>
    </row>
    <row r="491" spans="19:49" x14ac:dyDescent="0.25">
      <c r="S491" s="21"/>
      <c r="V491" s="21"/>
      <c r="AE491" s="21"/>
      <c r="AN491" s="21"/>
      <c r="AW491" s="21"/>
    </row>
    <row r="492" spans="19:49" x14ac:dyDescent="0.25">
      <c r="S492" s="21"/>
      <c r="V492" s="21"/>
      <c r="AE492" s="21"/>
      <c r="AN492" s="21"/>
      <c r="AW492" s="21"/>
    </row>
    <row r="493" spans="19:49" x14ac:dyDescent="0.25">
      <c r="S493" s="21"/>
      <c r="V493" s="21"/>
      <c r="AE493" s="21"/>
      <c r="AN493" s="21"/>
      <c r="AW493" s="21"/>
    </row>
    <row r="494" spans="19:49" x14ac:dyDescent="0.25">
      <c r="S494" s="21"/>
      <c r="V494" s="21"/>
      <c r="AE494" s="21"/>
      <c r="AN494" s="21"/>
      <c r="AW494" s="21"/>
    </row>
    <row r="495" spans="19:49" x14ac:dyDescent="0.25">
      <c r="S495" s="21"/>
      <c r="V495" s="21"/>
      <c r="AE495" s="21"/>
      <c r="AN495" s="21"/>
      <c r="AW495" s="21"/>
    </row>
    <row r="496" spans="19:49" x14ac:dyDescent="0.25">
      <c r="S496" s="21"/>
      <c r="V496" s="21"/>
      <c r="AE496" s="21"/>
      <c r="AN496" s="21"/>
      <c r="AW496" s="21"/>
    </row>
    <row r="497" spans="19:49" x14ac:dyDescent="0.25">
      <c r="S497" s="21"/>
      <c r="V497" s="21"/>
      <c r="AE497" s="21"/>
      <c r="AN497" s="21"/>
      <c r="AW497" s="21"/>
    </row>
    <row r="498" spans="19:49" x14ac:dyDescent="0.25">
      <c r="S498" s="21"/>
      <c r="V498" s="21"/>
      <c r="AE498" s="21"/>
      <c r="AN498" s="21"/>
      <c r="AW498" s="21"/>
    </row>
    <row r="499" spans="19:49" x14ac:dyDescent="0.25">
      <c r="S499" s="21"/>
      <c r="V499" s="21"/>
      <c r="AE499" s="21"/>
      <c r="AN499" s="21"/>
      <c r="AW499" s="21"/>
    </row>
    <row r="500" spans="19:49" x14ac:dyDescent="0.25">
      <c r="S500" s="21"/>
      <c r="V500" s="21"/>
      <c r="AE500" s="21"/>
      <c r="AN500" s="21"/>
      <c r="AW500" s="21"/>
    </row>
    <row r="501" spans="19:49" x14ac:dyDescent="0.25">
      <c r="S501" s="21"/>
      <c r="V501" s="21"/>
      <c r="AE501" s="21"/>
      <c r="AN501" s="21"/>
      <c r="AW501" s="21"/>
    </row>
    <row r="502" spans="19:49" x14ac:dyDescent="0.25">
      <c r="S502" s="21"/>
      <c r="V502" s="21"/>
      <c r="AE502" s="21"/>
      <c r="AN502" s="21"/>
      <c r="AW502" s="21"/>
    </row>
    <row r="503" spans="19:49" x14ac:dyDescent="0.25">
      <c r="S503" s="21"/>
      <c r="V503" s="21"/>
      <c r="AE503" s="21"/>
      <c r="AN503" s="21"/>
      <c r="AW503" s="21"/>
    </row>
    <row r="504" spans="19:49" x14ac:dyDescent="0.25">
      <c r="S504" s="21"/>
      <c r="V504" s="21"/>
      <c r="AE504" s="21"/>
      <c r="AN504" s="21"/>
      <c r="AW504" s="21"/>
    </row>
    <row r="505" spans="19:49" x14ac:dyDescent="0.25">
      <c r="S505" s="21"/>
      <c r="V505" s="21"/>
      <c r="AE505" s="21"/>
      <c r="AN505" s="21"/>
      <c r="AW505" s="21"/>
    </row>
    <row r="506" spans="19:49" x14ac:dyDescent="0.25">
      <c r="S506" s="21"/>
      <c r="V506" s="21"/>
      <c r="AE506" s="21"/>
      <c r="AN506" s="21"/>
      <c r="AW506" s="21"/>
    </row>
    <row r="507" spans="19:49" x14ac:dyDescent="0.25">
      <c r="S507" s="21"/>
      <c r="V507" s="21"/>
      <c r="AE507" s="21"/>
      <c r="AN507" s="21"/>
      <c r="AW507" s="21"/>
    </row>
    <row r="508" spans="19:49" x14ac:dyDescent="0.25">
      <c r="S508" s="21"/>
      <c r="V508" s="21"/>
      <c r="AE508" s="21"/>
      <c r="AN508" s="21"/>
      <c r="AW508" s="21"/>
    </row>
    <row r="509" spans="19:49" x14ac:dyDescent="0.25">
      <c r="S509" s="21"/>
      <c r="V509" s="21"/>
      <c r="AE509" s="21"/>
      <c r="AN509" s="21"/>
      <c r="AW509" s="21"/>
    </row>
    <row r="510" spans="19:49" x14ac:dyDescent="0.25">
      <c r="S510" s="21"/>
      <c r="V510" s="21"/>
      <c r="AE510" s="21"/>
      <c r="AN510" s="21"/>
      <c r="AW510" s="21"/>
    </row>
    <row r="511" spans="19:49" x14ac:dyDescent="0.25">
      <c r="S511" s="21"/>
      <c r="V511" s="21"/>
      <c r="AE511" s="21"/>
      <c r="AN511" s="21"/>
      <c r="AW511" s="21"/>
    </row>
    <row r="512" spans="19:49" x14ac:dyDescent="0.25">
      <c r="S512" s="21"/>
      <c r="V512" s="21"/>
      <c r="AE512" s="21"/>
      <c r="AN512" s="21"/>
      <c r="AW512" s="21"/>
    </row>
    <row r="513" spans="19:49" x14ac:dyDescent="0.25">
      <c r="S513" s="21"/>
      <c r="V513" s="21"/>
      <c r="AE513" s="21"/>
      <c r="AN513" s="21"/>
      <c r="AW513" s="21"/>
    </row>
    <row r="514" spans="19:49" x14ac:dyDescent="0.25">
      <c r="S514" s="21"/>
      <c r="V514" s="21"/>
      <c r="AE514" s="21"/>
      <c r="AN514" s="21"/>
      <c r="AW514" s="21"/>
    </row>
    <row r="515" spans="19:49" x14ac:dyDescent="0.25">
      <c r="S515" s="21"/>
      <c r="V515" s="21"/>
      <c r="AE515" s="21"/>
      <c r="AN515" s="21"/>
      <c r="AW515" s="21"/>
    </row>
    <row r="516" spans="19:49" x14ac:dyDescent="0.25">
      <c r="S516" s="21"/>
      <c r="V516" s="21"/>
      <c r="AE516" s="21"/>
      <c r="AN516" s="21"/>
      <c r="AW516" s="21"/>
    </row>
    <row r="517" spans="19:49" x14ac:dyDescent="0.25">
      <c r="S517" s="21"/>
      <c r="V517" s="21"/>
      <c r="AE517" s="21"/>
      <c r="AN517" s="21"/>
      <c r="AW517" s="21"/>
    </row>
    <row r="518" spans="19:49" x14ac:dyDescent="0.25">
      <c r="S518" s="21"/>
      <c r="V518" s="21"/>
      <c r="AE518" s="21"/>
      <c r="AN518" s="21"/>
      <c r="AW518" s="21"/>
    </row>
    <row r="519" spans="19:49" x14ac:dyDescent="0.25">
      <c r="S519" s="21"/>
      <c r="V519" s="21"/>
      <c r="AE519" s="21"/>
      <c r="AN519" s="21"/>
      <c r="AW519" s="21"/>
    </row>
    <row r="520" spans="19:49" x14ac:dyDescent="0.25">
      <c r="S520" s="21"/>
      <c r="V520" s="21"/>
      <c r="AE520" s="21"/>
      <c r="AN520" s="21"/>
      <c r="AW520" s="21"/>
    </row>
    <row r="521" spans="19:49" x14ac:dyDescent="0.25">
      <c r="S521" s="21"/>
      <c r="V521" s="21"/>
      <c r="AE521" s="21"/>
      <c r="AN521" s="21"/>
      <c r="AW521" s="21"/>
    </row>
    <row r="522" spans="19:49" x14ac:dyDescent="0.25">
      <c r="S522" s="21"/>
      <c r="V522" s="21"/>
      <c r="AE522" s="21"/>
      <c r="AN522" s="21"/>
      <c r="AW522" s="21"/>
    </row>
    <row r="523" spans="19:49" x14ac:dyDescent="0.25">
      <c r="S523" s="21"/>
      <c r="V523" s="21"/>
      <c r="AE523" s="21"/>
      <c r="AN523" s="21"/>
      <c r="AW523" s="21"/>
    </row>
    <row r="524" spans="19:49" x14ac:dyDescent="0.25">
      <c r="S524" s="21"/>
      <c r="V524" s="21"/>
      <c r="AE524" s="21"/>
      <c r="AN524" s="21"/>
      <c r="AW524" s="21"/>
    </row>
    <row r="525" spans="19:49" x14ac:dyDescent="0.25">
      <c r="S525" s="21"/>
      <c r="V525" s="21"/>
      <c r="AE525" s="21"/>
      <c r="AN525" s="21"/>
      <c r="AW525" s="21"/>
    </row>
    <row r="526" spans="19:49" x14ac:dyDescent="0.25">
      <c r="S526" s="21"/>
      <c r="V526" s="21"/>
      <c r="AE526" s="21"/>
      <c r="AN526" s="21"/>
      <c r="AW526" s="21"/>
    </row>
    <row r="527" spans="19:49" x14ac:dyDescent="0.25">
      <c r="S527" s="21"/>
      <c r="V527" s="21"/>
      <c r="AE527" s="21"/>
      <c r="AN527" s="21"/>
      <c r="AW527" s="21"/>
    </row>
    <row r="528" spans="19:49" x14ac:dyDescent="0.25">
      <c r="S528" s="21"/>
      <c r="V528" s="21"/>
      <c r="AE528" s="21"/>
      <c r="AN528" s="21"/>
      <c r="AW528" s="21"/>
    </row>
    <row r="529" spans="19:49" x14ac:dyDescent="0.25">
      <c r="S529" s="21"/>
      <c r="V529" s="21"/>
      <c r="AE529" s="21"/>
      <c r="AN529" s="21"/>
      <c r="AW529" s="21"/>
    </row>
    <row r="530" spans="19:49" x14ac:dyDescent="0.25">
      <c r="S530" s="21"/>
      <c r="V530" s="21"/>
      <c r="AE530" s="21"/>
      <c r="AN530" s="21"/>
      <c r="AW530" s="21"/>
    </row>
    <row r="531" spans="19:49" x14ac:dyDescent="0.25">
      <c r="S531" s="21"/>
      <c r="V531" s="21"/>
      <c r="AE531" s="21"/>
      <c r="AN531" s="21"/>
      <c r="AW531" s="21"/>
    </row>
    <row r="532" spans="19:49" x14ac:dyDescent="0.25">
      <c r="S532" s="21"/>
      <c r="V532" s="21"/>
      <c r="AE532" s="21"/>
      <c r="AN532" s="21"/>
      <c r="AW532" s="21"/>
    </row>
    <row r="533" spans="19:49" x14ac:dyDescent="0.25">
      <c r="S533" s="21"/>
      <c r="V533" s="21"/>
      <c r="AE533" s="21"/>
      <c r="AN533" s="21"/>
      <c r="AW533" s="21"/>
    </row>
    <row r="534" spans="19:49" x14ac:dyDescent="0.25">
      <c r="S534" s="21"/>
      <c r="V534" s="21"/>
      <c r="AE534" s="21"/>
      <c r="AN534" s="21"/>
      <c r="AW534" s="21"/>
    </row>
    <row r="535" spans="19:49" x14ac:dyDescent="0.25">
      <c r="S535" s="21"/>
      <c r="V535" s="21"/>
      <c r="AE535" s="21"/>
      <c r="AN535" s="21"/>
      <c r="AW535" s="21"/>
    </row>
    <row r="536" spans="19:49" x14ac:dyDescent="0.25">
      <c r="S536" s="21"/>
      <c r="V536" s="21"/>
      <c r="AE536" s="21"/>
      <c r="AN536" s="21"/>
      <c r="AW536" s="21"/>
    </row>
    <row r="537" spans="19:49" x14ac:dyDescent="0.25">
      <c r="S537" s="21"/>
      <c r="V537" s="21"/>
      <c r="AE537" s="21"/>
      <c r="AN537" s="21"/>
      <c r="AW537" s="21"/>
    </row>
    <row r="538" spans="19:49" x14ac:dyDescent="0.25">
      <c r="S538" s="21"/>
      <c r="V538" s="21"/>
      <c r="AE538" s="21"/>
      <c r="AN538" s="21"/>
      <c r="AW538" s="21"/>
    </row>
    <row r="539" spans="19:49" x14ac:dyDescent="0.25">
      <c r="S539" s="21"/>
      <c r="V539" s="21"/>
      <c r="AE539" s="21"/>
      <c r="AN539" s="21"/>
      <c r="AW539" s="21"/>
    </row>
    <row r="540" spans="19:49" x14ac:dyDescent="0.25">
      <c r="S540" s="21"/>
      <c r="V540" s="21"/>
      <c r="AE540" s="21"/>
      <c r="AN540" s="21"/>
      <c r="AW540" s="21"/>
    </row>
    <row r="541" spans="19:49" x14ac:dyDescent="0.25">
      <c r="S541" s="21"/>
      <c r="V541" s="21"/>
      <c r="AE541" s="21"/>
      <c r="AN541" s="21"/>
      <c r="AW541" s="21"/>
    </row>
    <row r="542" spans="19:49" x14ac:dyDescent="0.25">
      <c r="S542" s="21"/>
      <c r="V542" s="21"/>
      <c r="AE542" s="21"/>
      <c r="AN542" s="21"/>
      <c r="AW542" s="21"/>
    </row>
    <row r="543" spans="19:49" x14ac:dyDescent="0.25">
      <c r="S543" s="21"/>
      <c r="V543" s="21"/>
      <c r="AE543" s="21"/>
      <c r="AN543" s="21"/>
      <c r="AW543" s="21"/>
    </row>
    <row r="544" spans="19:49" x14ac:dyDescent="0.25">
      <c r="S544" s="21"/>
      <c r="V544" s="21"/>
      <c r="AE544" s="21"/>
      <c r="AN544" s="21"/>
      <c r="AW544" s="21"/>
    </row>
    <row r="545" spans="19:49" x14ac:dyDescent="0.25">
      <c r="S545" s="21"/>
      <c r="V545" s="21"/>
      <c r="AE545" s="21"/>
      <c r="AN545" s="21"/>
      <c r="AW545" s="21"/>
    </row>
    <row r="546" spans="19:49" x14ac:dyDescent="0.25">
      <c r="S546" s="21"/>
      <c r="V546" s="21"/>
      <c r="AE546" s="21"/>
      <c r="AN546" s="21"/>
      <c r="AW546" s="21"/>
    </row>
    <row r="547" spans="19:49" x14ac:dyDescent="0.25">
      <c r="S547" s="21"/>
      <c r="V547" s="21"/>
      <c r="AE547" s="21"/>
      <c r="AN547" s="21"/>
      <c r="AW547" s="21"/>
    </row>
    <row r="548" spans="19:49" x14ac:dyDescent="0.25">
      <c r="S548" s="21"/>
      <c r="V548" s="21"/>
      <c r="AE548" s="21"/>
      <c r="AN548" s="21"/>
      <c r="AW548" s="21"/>
    </row>
    <row r="549" spans="19:49" x14ac:dyDescent="0.25">
      <c r="S549" s="21"/>
      <c r="V549" s="21"/>
      <c r="AE549" s="21"/>
      <c r="AN549" s="21"/>
      <c r="AW549" s="21"/>
    </row>
    <row r="550" spans="19:49" x14ac:dyDescent="0.25">
      <c r="S550" s="21"/>
      <c r="V550" s="21"/>
      <c r="AE550" s="21"/>
      <c r="AN550" s="21"/>
      <c r="AW550" s="21"/>
    </row>
    <row r="551" spans="19:49" x14ac:dyDescent="0.25">
      <c r="S551" s="21"/>
      <c r="V551" s="21"/>
      <c r="AE551" s="21"/>
      <c r="AN551" s="21"/>
      <c r="AW551" s="21"/>
    </row>
    <row r="552" spans="19:49" x14ac:dyDescent="0.25">
      <c r="S552" s="21"/>
      <c r="V552" s="21"/>
      <c r="AE552" s="21"/>
      <c r="AN552" s="21"/>
      <c r="AW552" s="21"/>
    </row>
    <row r="553" spans="19:49" x14ac:dyDescent="0.25">
      <c r="S553" s="21"/>
      <c r="V553" s="21"/>
      <c r="AE553" s="21"/>
      <c r="AN553" s="21"/>
      <c r="AW553" s="21"/>
    </row>
    <row r="554" spans="19:49" x14ac:dyDescent="0.25">
      <c r="S554" s="21"/>
      <c r="V554" s="21"/>
      <c r="AE554" s="21"/>
      <c r="AN554" s="21"/>
      <c r="AW554" s="21"/>
    </row>
    <row r="555" spans="19:49" x14ac:dyDescent="0.25">
      <c r="S555" s="21"/>
      <c r="V555" s="21"/>
      <c r="AE555" s="21"/>
      <c r="AN555" s="21"/>
      <c r="AW555" s="21"/>
    </row>
    <row r="556" spans="19:49" x14ac:dyDescent="0.25">
      <c r="S556" s="21"/>
      <c r="V556" s="21"/>
      <c r="AE556" s="21"/>
      <c r="AN556" s="21"/>
      <c r="AW556" s="21"/>
    </row>
    <row r="557" spans="19:49" x14ac:dyDescent="0.25">
      <c r="S557" s="21"/>
      <c r="V557" s="21"/>
      <c r="AE557" s="21"/>
      <c r="AN557" s="21"/>
      <c r="AW557" s="21"/>
    </row>
    <row r="558" spans="19:49" x14ac:dyDescent="0.25">
      <c r="S558" s="21"/>
      <c r="V558" s="21"/>
      <c r="AE558" s="21"/>
      <c r="AN558" s="21"/>
      <c r="AW558" s="21"/>
    </row>
    <row r="559" spans="19:49" x14ac:dyDescent="0.25">
      <c r="S559" s="21"/>
      <c r="V559" s="21"/>
      <c r="AE559" s="21"/>
      <c r="AN559" s="21"/>
      <c r="AW559" s="21"/>
    </row>
    <row r="560" spans="19:49" x14ac:dyDescent="0.25">
      <c r="S560" s="21"/>
      <c r="V560" s="21"/>
      <c r="AE560" s="21"/>
      <c r="AN560" s="21"/>
      <c r="AW560" s="21"/>
    </row>
    <row r="561" spans="19:49" x14ac:dyDescent="0.25">
      <c r="S561" s="21"/>
      <c r="V561" s="21"/>
      <c r="AE561" s="21"/>
      <c r="AN561" s="21"/>
      <c r="AW561" s="21"/>
    </row>
    <row r="562" spans="19:49" x14ac:dyDescent="0.25">
      <c r="S562" s="21"/>
      <c r="V562" s="21"/>
      <c r="AE562" s="21"/>
      <c r="AN562" s="21"/>
      <c r="AW562" s="21"/>
    </row>
    <row r="563" spans="19:49" x14ac:dyDescent="0.25">
      <c r="S563" s="21"/>
      <c r="V563" s="21"/>
      <c r="AE563" s="21"/>
      <c r="AN563" s="21"/>
      <c r="AW563" s="21"/>
    </row>
    <row r="564" spans="19:49" x14ac:dyDescent="0.25">
      <c r="S564" s="21"/>
      <c r="V564" s="21"/>
      <c r="AE564" s="21"/>
      <c r="AN564" s="21"/>
      <c r="AW564" s="21"/>
    </row>
    <row r="565" spans="19:49" x14ac:dyDescent="0.25">
      <c r="S565" s="21"/>
      <c r="V565" s="21"/>
      <c r="AE565" s="21"/>
      <c r="AN565" s="21"/>
      <c r="AW565" s="21"/>
    </row>
    <row r="566" spans="19:49" x14ac:dyDescent="0.25">
      <c r="S566" s="21"/>
      <c r="V566" s="21"/>
      <c r="AE566" s="21"/>
      <c r="AN566" s="21"/>
      <c r="AW566" s="21"/>
    </row>
    <row r="567" spans="19:49" x14ac:dyDescent="0.25">
      <c r="S567" s="21"/>
      <c r="V567" s="21"/>
      <c r="AE567" s="21"/>
      <c r="AN567" s="21"/>
      <c r="AW567" s="21"/>
    </row>
    <row r="568" spans="19:49" x14ac:dyDescent="0.25">
      <c r="S568" s="21"/>
      <c r="V568" s="21"/>
      <c r="AE568" s="21"/>
      <c r="AN568" s="21"/>
      <c r="AW568" s="21"/>
    </row>
    <row r="569" spans="19:49" x14ac:dyDescent="0.25">
      <c r="S569" s="21"/>
      <c r="V569" s="21"/>
      <c r="AE569" s="21"/>
      <c r="AN569" s="21"/>
      <c r="AW569" s="21"/>
    </row>
    <row r="570" spans="19:49" x14ac:dyDescent="0.25">
      <c r="S570" s="21"/>
      <c r="V570" s="21"/>
      <c r="AE570" s="21"/>
      <c r="AN570" s="21"/>
      <c r="AW570" s="21"/>
    </row>
    <row r="571" spans="19:49" x14ac:dyDescent="0.25">
      <c r="S571" s="21"/>
      <c r="V571" s="21"/>
      <c r="AE571" s="21"/>
      <c r="AN571" s="21"/>
      <c r="AW571" s="21"/>
    </row>
    <row r="572" spans="19:49" x14ac:dyDescent="0.25">
      <c r="S572" s="21"/>
      <c r="V572" s="21"/>
      <c r="AE572" s="21"/>
      <c r="AN572" s="21"/>
      <c r="AW572" s="21"/>
    </row>
    <row r="573" spans="19:49" x14ac:dyDescent="0.25">
      <c r="S573" s="21"/>
      <c r="V573" s="21"/>
      <c r="AE573" s="21"/>
      <c r="AN573" s="21"/>
      <c r="AW573" s="21"/>
    </row>
    <row r="574" spans="19:49" x14ac:dyDescent="0.25">
      <c r="S574" s="21"/>
      <c r="V574" s="21"/>
      <c r="AE574" s="21"/>
      <c r="AN574" s="21"/>
      <c r="AW574" s="21"/>
    </row>
    <row r="575" spans="19:49" x14ac:dyDescent="0.25">
      <c r="S575" s="21"/>
      <c r="V575" s="21"/>
      <c r="AE575" s="21"/>
      <c r="AN575" s="21"/>
      <c r="AW575" s="21"/>
    </row>
    <row r="576" spans="19:49" x14ac:dyDescent="0.25">
      <c r="S576" s="21"/>
      <c r="V576" s="21"/>
      <c r="AE576" s="21"/>
      <c r="AN576" s="21"/>
      <c r="AW576" s="21"/>
    </row>
    <row r="577" spans="19:49" x14ac:dyDescent="0.25">
      <c r="S577" s="21"/>
      <c r="V577" s="21"/>
      <c r="AE577" s="21"/>
      <c r="AN577" s="21"/>
      <c r="AW577" s="21"/>
    </row>
    <row r="578" spans="19:49" x14ac:dyDescent="0.25">
      <c r="S578" s="21"/>
      <c r="V578" s="21"/>
      <c r="AE578" s="21"/>
      <c r="AN578" s="21"/>
      <c r="AW578" s="21"/>
    </row>
    <row r="579" spans="19:49" x14ac:dyDescent="0.25">
      <c r="S579" s="21"/>
      <c r="V579" s="21"/>
      <c r="AE579" s="21"/>
      <c r="AN579" s="21"/>
      <c r="AW579" s="21"/>
    </row>
    <row r="580" spans="19:49" x14ac:dyDescent="0.25">
      <c r="S580" s="21"/>
      <c r="V580" s="21"/>
      <c r="AE580" s="21"/>
      <c r="AN580" s="21"/>
      <c r="AW580" s="21"/>
    </row>
    <row r="581" spans="19:49" x14ac:dyDescent="0.25">
      <c r="S581" s="21"/>
      <c r="V581" s="21"/>
      <c r="AE581" s="21"/>
      <c r="AN581" s="21"/>
      <c r="AW581" s="21"/>
    </row>
    <row r="582" spans="19:49" x14ac:dyDescent="0.25">
      <c r="S582" s="21"/>
      <c r="V582" s="21"/>
      <c r="AE582" s="21"/>
      <c r="AN582" s="21"/>
      <c r="AW582" s="21"/>
    </row>
    <row r="583" spans="19:49" x14ac:dyDescent="0.25">
      <c r="S583" s="21"/>
      <c r="V583" s="21"/>
      <c r="AE583" s="21"/>
      <c r="AN583" s="21"/>
      <c r="AW583" s="21"/>
    </row>
    <row r="584" spans="19:49" x14ac:dyDescent="0.25">
      <c r="S584" s="21"/>
      <c r="V584" s="21"/>
      <c r="AE584" s="21"/>
      <c r="AN584" s="21"/>
      <c r="AW584" s="21"/>
    </row>
    <row r="585" spans="19:49" x14ac:dyDescent="0.25">
      <c r="S585" s="21"/>
      <c r="V585" s="21"/>
      <c r="AE585" s="21"/>
      <c r="AN585" s="21"/>
      <c r="AW585" s="21"/>
    </row>
    <row r="586" spans="19:49" x14ac:dyDescent="0.25">
      <c r="S586" s="21"/>
      <c r="V586" s="21"/>
      <c r="AE586" s="21"/>
      <c r="AN586" s="21"/>
      <c r="AW586" s="21"/>
    </row>
    <row r="587" spans="19:49" x14ac:dyDescent="0.25">
      <c r="S587" s="21"/>
      <c r="V587" s="21"/>
      <c r="AE587" s="21"/>
      <c r="AN587" s="21"/>
      <c r="AW587" s="21"/>
    </row>
    <row r="588" spans="19:49" x14ac:dyDescent="0.25">
      <c r="S588" s="21"/>
      <c r="V588" s="21"/>
      <c r="AE588" s="21"/>
      <c r="AN588" s="21"/>
      <c r="AW588" s="21"/>
    </row>
    <row r="589" spans="19:49" x14ac:dyDescent="0.25">
      <c r="S589" s="21"/>
      <c r="V589" s="21"/>
      <c r="AE589" s="21"/>
      <c r="AN589" s="21"/>
      <c r="AW589" s="21"/>
    </row>
    <row r="590" spans="19:49" x14ac:dyDescent="0.25">
      <c r="S590" s="21"/>
      <c r="V590" s="21"/>
      <c r="AE590" s="21"/>
      <c r="AN590" s="21"/>
      <c r="AW590" s="21"/>
    </row>
    <row r="591" spans="19:49" x14ac:dyDescent="0.25">
      <c r="S591" s="21"/>
      <c r="V591" s="21"/>
      <c r="AE591" s="21"/>
      <c r="AN591" s="21"/>
      <c r="AW591" s="21"/>
    </row>
    <row r="592" spans="19:49" x14ac:dyDescent="0.25">
      <c r="S592" s="21"/>
      <c r="V592" s="21"/>
      <c r="AE592" s="21"/>
      <c r="AN592" s="21"/>
      <c r="AW592" s="21"/>
    </row>
    <row r="593" spans="19:49" x14ac:dyDescent="0.25">
      <c r="S593" s="21"/>
      <c r="V593" s="21"/>
      <c r="AE593" s="21"/>
      <c r="AN593" s="21"/>
      <c r="AW593" s="21"/>
    </row>
    <row r="594" spans="19:49" x14ac:dyDescent="0.25">
      <c r="S594" s="21"/>
      <c r="V594" s="21"/>
      <c r="AE594" s="21"/>
      <c r="AN594" s="21"/>
      <c r="AW594" s="21"/>
    </row>
    <row r="595" spans="19:49" x14ac:dyDescent="0.25">
      <c r="S595" s="21"/>
      <c r="V595" s="21"/>
      <c r="AE595" s="21"/>
      <c r="AN595" s="21"/>
      <c r="AW595" s="21"/>
    </row>
    <row r="596" spans="19:49" x14ac:dyDescent="0.25">
      <c r="S596" s="21"/>
      <c r="V596" s="21"/>
      <c r="AE596" s="21"/>
      <c r="AN596" s="21"/>
      <c r="AW596" s="21"/>
    </row>
    <row r="597" spans="19:49" x14ac:dyDescent="0.25">
      <c r="S597" s="21"/>
      <c r="V597" s="21"/>
      <c r="AE597" s="21"/>
      <c r="AN597" s="21"/>
      <c r="AW597" s="21"/>
    </row>
    <row r="598" spans="19:49" x14ac:dyDescent="0.25">
      <c r="S598" s="21"/>
      <c r="V598" s="21"/>
      <c r="AE598" s="21"/>
      <c r="AN598" s="21"/>
      <c r="AW598" s="21"/>
    </row>
    <row r="599" spans="19:49" x14ac:dyDescent="0.25">
      <c r="S599" s="21"/>
      <c r="V599" s="21"/>
      <c r="AE599" s="21"/>
      <c r="AN599" s="21"/>
      <c r="AW599" s="21"/>
    </row>
    <row r="600" spans="19:49" x14ac:dyDescent="0.25">
      <c r="S600" s="21"/>
      <c r="V600" s="21"/>
      <c r="AE600" s="21"/>
      <c r="AN600" s="21"/>
      <c r="AW600" s="21"/>
    </row>
    <row r="601" spans="19:49" x14ac:dyDescent="0.25">
      <c r="S601" s="21"/>
      <c r="V601" s="21"/>
      <c r="AE601" s="21"/>
      <c r="AN601" s="21"/>
      <c r="AW601" s="21"/>
    </row>
    <row r="602" spans="19:49" x14ac:dyDescent="0.25">
      <c r="S602" s="21"/>
      <c r="V602" s="21"/>
      <c r="AE602" s="21"/>
      <c r="AN602" s="21"/>
      <c r="AW602" s="21"/>
    </row>
    <row r="603" spans="19:49" x14ac:dyDescent="0.25">
      <c r="S603" s="21"/>
      <c r="V603" s="21"/>
      <c r="AE603" s="21"/>
      <c r="AN603" s="21"/>
      <c r="AW603" s="21"/>
    </row>
    <row r="604" spans="19:49" x14ac:dyDescent="0.25">
      <c r="S604" s="21"/>
      <c r="V604" s="21"/>
      <c r="AE604" s="21"/>
      <c r="AN604" s="21"/>
      <c r="AW604" s="21"/>
    </row>
    <row r="605" spans="19:49" x14ac:dyDescent="0.25">
      <c r="S605" s="21"/>
      <c r="V605" s="21"/>
      <c r="AE605" s="21"/>
      <c r="AN605" s="21"/>
      <c r="AW605" s="21"/>
    </row>
    <row r="606" spans="19:49" x14ac:dyDescent="0.25">
      <c r="S606" s="21"/>
      <c r="V606" s="21"/>
      <c r="AE606" s="21"/>
      <c r="AN606" s="21"/>
      <c r="AW606" s="21"/>
    </row>
    <row r="607" spans="19:49" x14ac:dyDescent="0.25">
      <c r="S607" s="21"/>
      <c r="V607" s="21"/>
      <c r="AE607" s="21"/>
      <c r="AN607" s="21"/>
      <c r="AW607" s="21"/>
    </row>
    <row r="608" spans="19:49" x14ac:dyDescent="0.25">
      <c r="S608" s="21"/>
      <c r="V608" s="21"/>
      <c r="AE608" s="21"/>
      <c r="AN608" s="21"/>
      <c r="AW608" s="21"/>
    </row>
    <row r="609" spans="19:49" x14ac:dyDescent="0.25">
      <c r="S609" s="21"/>
      <c r="V609" s="21"/>
      <c r="AE609" s="21"/>
      <c r="AN609" s="21"/>
      <c r="AW609" s="21"/>
    </row>
    <row r="610" spans="19:49" x14ac:dyDescent="0.25">
      <c r="S610" s="21"/>
      <c r="V610" s="21"/>
      <c r="AE610" s="21"/>
      <c r="AN610" s="21"/>
      <c r="AW610" s="21"/>
    </row>
    <row r="611" spans="19:49" x14ac:dyDescent="0.25">
      <c r="S611" s="21"/>
      <c r="V611" s="21"/>
      <c r="AE611" s="21"/>
      <c r="AN611" s="21"/>
      <c r="AW611" s="21"/>
    </row>
    <row r="612" spans="19:49" x14ac:dyDescent="0.25">
      <c r="S612" s="21"/>
      <c r="V612" s="21"/>
      <c r="AE612" s="21"/>
      <c r="AN612" s="21"/>
      <c r="AW612" s="21"/>
    </row>
    <row r="613" spans="19:49" x14ac:dyDescent="0.25">
      <c r="S613" s="21"/>
      <c r="V613" s="21"/>
      <c r="AE613" s="21"/>
      <c r="AN613" s="21"/>
      <c r="AW613" s="21"/>
    </row>
    <row r="614" spans="19:49" x14ac:dyDescent="0.25">
      <c r="S614" s="21"/>
      <c r="V614" s="21"/>
      <c r="AE614" s="21"/>
      <c r="AN614" s="21"/>
      <c r="AW614" s="21"/>
    </row>
    <row r="615" spans="19:49" x14ac:dyDescent="0.25">
      <c r="S615" s="21"/>
      <c r="V615" s="21"/>
      <c r="AE615" s="21"/>
      <c r="AN615" s="21"/>
      <c r="AW615" s="21"/>
    </row>
    <row r="616" spans="19:49" x14ac:dyDescent="0.25">
      <c r="S616" s="21"/>
      <c r="V616" s="21"/>
      <c r="AE616" s="21"/>
      <c r="AN616" s="21"/>
      <c r="AW616" s="21"/>
    </row>
    <row r="617" spans="19:49" x14ac:dyDescent="0.25">
      <c r="S617" s="21"/>
      <c r="V617" s="21"/>
      <c r="AE617" s="21"/>
      <c r="AN617" s="21"/>
      <c r="AW617" s="21"/>
    </row>
    <row r="618" spans="19:49" x14ac:dyDescent="0.25">
      <c r="S618" s="21"/>
      <c r="V618" s="21"/>
      <c r="AE618" s="21"/>
      <c r="AN618" s="21"/>
      <c r="AW618" s="21"/>
    </row>
    <row r="619" spans="19:49" x14ac:dyDescent="0.25">
      <c r="S619" s="21"/>
      <c r="V619" s="21"/>
      <c r="AE619" s="21"/>
      <c r="AN619" s="21"/>
      <c r="AW619" s="21"/>
    </row>
    <row r="620" spans="19:49" x14ac:dyDescent="0.25">
      <c r="S620" s="21"/>
      <c r="V620" s="21"/>
      <c r="AE620" s="21"/>
      <c r="AN620" s="21"/>
      <c r="AW620" s="21"/>
    </row>
    <row r="621" spans="19:49" x14ac:dyDescent="0.25">
      <c r="S621" s="21"/>
      <c r="V621" s="21"/>
      <c r="AE621" s="21"/>
      <c r="AN621" s="21"/>
      <c r="AW621" s="21"/>
    </row>
    <row r="622" spans="19:49" x14ac:dyDescent="0.25">
      <c r="S622" s="21"/>
      <c r="V622" s="21"/>
      <c r="AE622" s="21"/>
      <c r="AN622" s="21"/>
      <c r="AW622" s="21"/>
    </row>
    <row r="623" spans="19:49" x14ac:dyDescent="0.25">
      <c r="S623" s="21"/>
      <c r="V623" s="21"/>
      <c r="AE623" s="21"/>
      <c r="AN623" s="21"/>
      <c r="AW623" s="21"/>
    </row>
    <row r="624" spans="19:49" x14ac:dyDescent="0.25">
      <c r="S624" s="21"/>
      <c r="V624" s="21"/>
      <c r="AE624" s="21"/>
      <c r="AN624" s="21"/>
      <c r="AW624" s="21"/>
    </row>
    <row r="625" spans="19:49" x14ac:dyDescent="0.25">
      <c r="S625" s="21"/>
      <c r="V625" s="21"/>
      <c r="AE625" s="21"/>
      <c r="AN625" s="21"/>
      <c r="AW625" s="21"/>
    </row>
    <row r="626" spans="19:49" x14ac:dyDescent="0.25">
      <c r="S626" s="21"/>
      <c r="V626" s="21"/>
      <c r="AE626" s="21"/>
      <c r="AN626" s="21"/>
      <c r="AW626" s="21"/>
    </row>
    <row r="627" spans="19:49" x14ac:dyDescent="0.25">
      <c r="S627" s="21"/>
      <c r="V627" s="21"/>
      <c r="AE627" s="21"/>
      <c r="AN627" s="21"/>
      <c r="AW627" s="21"/>
    </row>
    <row r="628" spans="19:49" x14ac:dyDescent="0.25">
      <c r="S628" s="21"/>
      <c r="V628" s="21"/>
      <c r="AE628" s="21"/>
      <c r="AN628" s="21"/>
      <c r="AW628" s="21"/>
    </row>
    <row r="629" spans="19:49" x14ac:dyDescent="0.25">
      <c r="S629" s="21"/>
      <c r="V629" s="21"/>
      <c r="AE629" s="21"/>
      <c r="AN629" s="21"/>
      <c r="AW629" s="21"/>
    </row>
    <row r="630" spans="19:49" x14ac:dyDescent="0.25">
      <c r="S630" s="21"/>
      <c r="V630" s="21"/>
      <c r="AE630" s="21"/>
      <c r="AN630" s="21"/>
      <c r="AW630" s="21"/>
    </row>
    <row r="631" spans="19:49" x14ac:dyDescent="0.25">
      <c r="S631" s="21"/>
      <c r="V631" s="21"/>
      <c r="AE631" s="21"/>
      <c r="AN631" s="21"/>
      <c r="AW631" s="21"/>
    </row>
    <row r="632" spans="19:49" x14ac:dyDescent="0.25">
      <c r="S632" s="21"/>
      <c r="V632" s="21"/>
      <c r="AE632" s="21"/>
      <c r="AN632" s="21"/>
      <c r="AW632" s="21"/>
    </row>
    <row r="633" spans="19:49" x14ac:dyDescent="0.25">
      <c r="S633" s="21"/>
      <c r="V633" s="21"/>
      <c r="AE633" s="21"/>
      <c r="AN633" s="21"/>
      <c r="AW633" s="21"/>
    </row>
    <row r="634" spans="19:49" x14ac:dyDescent="0.25">
      <c r="S634" s="21"/>
      <c r="V634" s="21"/>
      <c r="AE634" s="21"/>
      <c r="AN634" s="21"/>
      <c r="AW634" s="21"/>
    </row>
    <row r="635" spans="19:49" x14ac:dyDescent="0.25">
      <c r="S635" s="21"/>
      <c r="V635" s="21"/>
      <c r="AE635" s="21"/>
      <c r="AN635" s="21"/>
      <c r="AW635" s="21"/>
    </row>
    <row r="636" spans="19:49" x14ac:dyDescent="0.25">
      <c r="S636" s="21"/>
      <c r="V636" s="21"/>
      <c r="AE636" s="21"/>
      <c r="AN636" s="21"/>
      <c r="AW636" s="21"/>
    </row>
    <row r="637" spans="19:49" x14ac:dyDescent="0.25">
      <c r="S637" s="21"/>
      <c r="V637" s="21"/>
      <c r="AE637" s="21"/>
      <c r="AN637" s="21"/>
      <c r="AW637" s="21"/>
    </row>
    <row r="638" spans="19:49" x14ac:dyDescent="0.25">
      <c r="S638" s="21"/>
      <c r="V638" s="21"/>
      <c r="AE638" s="21"/>
      <c r="AN638" s="21"/>
      <c r="AW638" s="21"/>
    </row>
    <row r="639" spans="19:49" x14ac:dyDescent="0.25">
      <c r="S639" s="21"/>
      <c r="V639" s="21"/>
      <c r="AE639" s="21"/>
      <c r="AN639" s="21"/>
      <c r="AW639" s="21"/>
    </row>
    <row r="640" spans="19:49" x14ac:dyDescent="0.25">
      <c r="S640" s="21"/>
      <c r="V640" s="21"/>
      <c r="AE640" s="21"/>
      <c r="AN640" s="21"/>
      <c r="AW640" s="21"/>
    </row>
    <row r="641" spans="19:49" x14ac:dyDescent="0.25">
      <c r="S641" s="21"/>
      <c r="V641" s="21"/>
      <c r="AE641" s="21"/>
      <c r="AN641" s="21"/>
      <c r="AW641" s="21"/>
    </row>
    <row r="642" spans="19:49" x14ac:dyDescent="0.25">
      <c r="S642" s="21"/>
      <c r="V642" s="21"/>
      <c r="AE642" s="21"/>
      <c r="AN642" s="21"/>
      <c r="AW642" s="21"/>
    </row>
    <row r="643" spans="19:49" x14ac:dyDescent="0.25">
      <c r="S643" s="21"/>
      <c r="V643" s="21"/>
      <c r="AE643" s="21"/>
      <c r="AN643" s="21"/>
      <c r="AW643" s="21"/>
    </row>
    <row r="644" spans="19:49" x14ac:dyDescent="0.25">
      <c r="S644" s="21"/>
      <c r="V644" s="21"/>
      <c r="AE644" s="21"/>
      <c r="AN644" s="21"/>
      <c r="AW644" s="21"/>
    </row>
    <row r="645" spans="19:49" x14ac:dyDescent="0.25">
      <c r="S645" s="21"/>
      <c r="V645" s="21"/>
      <c r="AE645" s="21"/>
      <c r="AN645" s="21"/>
      <c r="AW645" s="21"/>
    </row>
    <row r="646" spans="19:49" x14ac:dyDescent="0.25">
      <c r="S646" s="21"/>
      <c r="V646" s="21"/>
      <c r="AE646" s="21"/>
      <c r="AN646" s="21"/>
      <c r="AW646" s="21"/>
    </row>
    <row r="647" spans="19:49" x14ac:dyDescent="0.25">
      <c r="S647" s="21"/>
      <c r="V647" s="21"/>
      <c r="AE647" s="21"/>
      <c r="AN647" s="21"/>
      <c r="AW647" s="21"/>
    </row>
    <row r="648" spans="19:49" x14ac:dyDescent="0.25">
      <c r="S648" s="21"/>
      <c r="V648" s="21"/>
      <c r="AE648" s="21"/>
      <c r="AN648" s="21"/>
      <c r="AW648" s="21"/>
    </row>
    <row r="649" spans="19:49" x14ac:dyDescent="0.25">
      <c r="S649" s="21"/>
      <c r="V649" s="21"/>
      <c r="AE649" s="21"/>
      <c r="AN649" s="21"/>
      <c r="AW649" s="21"/>
    </row>
    <row r="650" spans="19:49" x14ac:dyDescent="0.25">
      <c r="S650" s="21"/>
      <c r="V650" s="21"/>
      <c r="AE650" s="21"/>
      <c r="AN650" s="21"/>
      <c r="AW650" s="21"/>
    </row>
    <row r="651" spans="19:49" x14ac:dyDescent="0.25">
      <c r="S651" s="21"/>
      <c r="V651" s="21"/>
      <c r="AE651" s="21"/>
      <c r="AN651" s="21"/>
      <c r="AW651" s="21"/>
    </row>
    <row r="652" spans="19:49" x14ac:dyDescent="0.25">
      <c r="S652" s="21"/>
      <c r="V652" s="21"/>
      <c r="AE652" s="21"/>
      <c r="AN652" s="21"/>
      <c r="AW652" s="21"/>
    </row>
    <row r="653" spans="19:49" x14ac:dyDescent="0.25">
      <c r="S653" s="21"/>
      <c r="V653" s="21"/>
      <c r="AE653" s="21"/>
      <c r="AN653" s="21"/>
      <c r="AW653" s="21"/>
    </row>
    <row r="654" spans="19:49" x14ac:dyDescent="0.25">
      <c r="S654" s="21"/>
      <c r="V654" s="21"/>
      <c r="AE654" s="21"/>
      <c r="AN654" s="21"/>
      <c r="AW654" s="21"/>
    </row>
    <row r="655" spans="19:49" x14ac:dyDescent="0.25">
      <c r="S655" s="21"/>
      <c r="V655" s="21"/>
      <c r="AE655" s="21"/>
      <c r="AN655" s="21"/>
      <c r="AW655" s="21"/>
    </row>
    <row r="656" spans="19:49" x14ac:dyDescent="0.25">
      <c r="S656" s="21"/>
      <c r="V656" s="21"/>
      <c r="AE656" s="21"/>
      <c r="AN656" s="21"/>
      <c r="AW656" s="21"/>
    </row>
    <row r="657" spans="19:49" x14ac:dyDescent="0.25">
      <c r="S657" s="21"/>
      <c r="V657" s="21"/>
      <c r="AE657" s="21"/>
      <c r="AN657" s="21"/>
      <c r="AW657" s="21"/>
    </row>
    <row r="658" spans="19:49" x14ac:dyDescent="0.25">
      <c r="S658" s="21"/>
      <c r="V658" s="21"/>
      <c r="AE658" s="21"/>
      <c r="AN658" s="21"/>
      <c r="AW658" s="21"/>
    </row>
    <row r="659" spans="19:49" x14ac:dyDescent="0.25">
      <c r="S659" s="21"/>
      <c r="V659" s="21"/>
      <c r="AE659" s="21"/>
      <c r="AN659" s="21"/>
      <c r="AW659" s="21"/>
    </row>
    <row r="660" spans="19:49" x14ac:dyDescent="0.25">
      <c r="S660" s="21"/>
      <c r="V660" s="21"/>
      <c r="AE660" s="21"/>
      <c r="AN660" s="21"/>
      <c r="AW660" s="21"/>
    </row>
    <row r="661" spans="19:49" x14ac:dyDescent="0.25">
      <c r="S661" s="21"/>
      <c r="V661" s="21"/>
      <c r="AE661" s="21"/>
      <c r="AN661" s="21"/>
      <c r="AW661" s="21"/>
    </row>
    <row r="662" spans="19:49" x14ac:dyDescent="0.25">
      <c r="S662" s="21"/>
      <c r="V662" s="21"/>
      <c r="AE662" s="21"/>
      <c r="AN662" s="21"/>
      <c r="AW662" s="21"/>
    </row>
    <row r="663" spans="19:49" x14ac:dyDescent="0.25">
      <c r="S663" s="21"/>
      <c r="V663" s="21"/>
      <c r="AE663" s="21"/>
      <c r="AN663" s="21"/>
      <c r="AW663" s="21"/>
    </row>
    <row r="664" spans="19:49" x14ac:dyDescent="0.25">
      <c r="S664" s="21"/>
      <c r="V664" s="21"/>
      <c r="AE664" s="21"/>
      <c r="AN664" s="21"/>
      <c r="AW664" s="21"/>
    </row>
    <row r="665" spans="19:49" x14ac:dyDescent="0.25">
      <c r="S665" s="21"/>
      <c r="V665" s="21"/>
      <c r="AE665" s="21"/>
      <c r="AN665" s="21"/>
      <c r="AW665" s="21"/>
    </row>
    <row r="666" spans="19:49" x14ac:dyDescent="0.25">
      <c r="S666" s="21"/>
      <c r="V666" s="21"/>
      <c r="AE666" s="21"/>
      <c r="AN666" s="21"/>
      <c r="AW666" s="21"/>
    </row>
    <row r="667" spans="19:49" x14ac:dyDescent="0.25">
      <c r="S667" s="21"/>
      <c r="V667" s="21"/>
      <c r="AE667" s="21"/>
      <c r="AN667" s="21"/>
      <c r="AW667" s="21"/>
    </row>
    <row r="668" spans="19:49" x14ac:dyDescent="0.25">
      <c r="S668" s="21"/>
      <c r="V668" s="21"/>
      <c r="AE668" s="21"/>
      <c r="AN668" s="21"/>
      <c r="AW668" s="21"/>
    </row>
    <row r="669" spans="19:49" x14ac:dyDescent="0.25">
      <c r="S669" s="21"/>
      <c r="V669" s="21"/>
      <c r="AE669" s="21"/>
      <c r="AN669" s="21"/>
      <c r="AW669" s="21"/>
    </row>
    <row r="670" spans="19:49" x14ac:dyDescent="0.25">
      <c r="S670" s="21"/>
      <c r="V670" s="21"/>
      <c r="AE670" s="21"/>
      <c r="AN670" s="21"/>
      <c r="AW670" s="21"/>
    </row>
    <row r="671" spans="19:49" x14ac:dyDescent="0.25">
      <c r="S671" s="21"/>
      <c r="V671" s="21"/>
      <c r="AE671" s="21"/>
      <c r="AN671" s="21"/>
      <c r="AW671" s="21"/>
    </row>
    <row r="672" spans="19:49" x14ac:dyDescent="0.25">
      <c r="S672" s="21"/>
      <c r="V672" s="21"/>
      <c r="AE672" s="21"/>
      <c r="AN672" s="21"/>
      <c r="AW672" s="21"/>
    </row>
    <row r="673" spans="19:49" x14ac:dyDescent="0.25">
      <c r="S673" s="21"/>
      <c r="V673" s="21"/>
      <c r="AE673" s="21"/>
      <c r="AN673" s="21"/>
      <c r="AW673" s="21"/>
    </row>
    <row r="674" spans="19:49" x14ac:dyDescent="0.25">
      <c r="S674" s="21"/>
      <c r="V674" s="21"/>
      <c r="AE674" s="21"/>
      <c r="AN674" s="21"/>
      <c r="AW674" s="21"/>
    </row>
    <row r="675" spans="19:49" x14ac:dyDescent="0.25">
      <c r="S675" s="21"/>
      <c r="V675" s="21"/>
      <c r="AE675" s="21"/>
      <c r="AN675" s="21"/>
      <c r="AW675" s="21"/>
    </row>
    <row r="676" spans="19:49" x14ac:dyDescent="0.25">
      <c r="S676" s="21"/>
      <c r="V676" s="21"/>
      <c r="AE676" s="21"/>
      <c r="AN676" s="21"/>
      <c r="AW676" s="21"/>
    </row>
    <row r="677" spans="19:49" x14ac:dyDescent="0.25">
      <c r="S677" s="21"/>
      <c r="V677" s="21"/>
      <c r="AE677" s="21"/>
      <c r="AN677" s="21"/>
      <c r="AW677" s="21"/>
    </row>
    <row r="678" spans="19:49" x14ac:dyDescent="0.25">
      <c r="S678" s="21"/>
      <c r="V678" s="21"/>
      <c r="AE678" s="21"/>
      <c r="AN678" s="21"/>
      <c r="AW678" s="21"/>
    </row>
    <row r="679" spans="19:49" x14ac:dyDescent="0.25">
      <c r="S679" s="21"/>
      <c r="V679" s="21"/>
      <c r="AE679" s="21"/>
      <c r="AN679" s="21"/>
      <c r="AW679" s="21"/>
    </row>
    <row r="680" spans="19:49" x14ac:dyDescent="0.25">
      <c r="S680" s="21"/>
      <c r="V680" s="21"/>
      <c r="AE680" s="21"/>
      <c r="AN680" s="21"/>
      <c r="AW680" s="21"/>
    </row>
    <row r="681" spans="19:49" x14ac:dyDescent="0.25">
      <c r="S681" s="21"/>
      <c r="V681" s="21"/>
      <c r="AE681" s="21"/>
      <c r="AN681" s="21"/>
      <c r="AW681" s="21"/>
    </row>
    <row r="682" spans="19:49" x14ac:dyDescent="0.25">
      <c r="S682" s="21"/>
      <c r="V682" s="21"/>
      <c r="AE682" s="21"/>
      <c r="AN682" s="21"/>
      <c r="AW682" s="21"/>
    </row>
    <row r="683" spans="19:49" x14ac:dyDescent="0.25">
      <c r="S683" s="21"/>
      <c r="V683" s="21"/>
      <c r="AE683" s="21"/>
      <c r="AN683" s="21"/>
      <c r="AW683" s="21"/>
    </row>
    <row r="684" spans="19:49" x14ac:dyDescent="0.25">
      <c r="S684" s="21"/>
      <c r="V684" s="21"/>
      <c r="AE684" s="21"/>
      <c r="AN684" s="21"/>
      <c r="AW684" s="21"/>
    </row>
    <row r="685" spans="19:49" x14ac:dyDescent="0.25">
      <c r="S685" s="21"/>
      <c r="V685" s="21"/>
      <c r="AE685" s="21"/>
      <c r="AN685" s="21"/>
      <c r="AW685" s="21"/>
    </row>
    <row r="686" spans="19:49" x14ac:dyDescent="0.25">
      <c r="S686" s="21"/>
      <c r="V686" s="21"/>
      <c r="AE686" s="21"/>
      <c r="AN686" s="21"/>
      <c r="AW686" s="21"/>
    </row>
    <row r="687" spans="19:49" x14ac:dyDescent="0.25">
      <c r="S687" s="21"/>
      <c r="V687" s="21"/>
      <c r="AE687" s="21"/>
      <c r="AN687" s="21"/>
      <c r="AW687" s="21"/>
    </row>
    <row r="688" spans="19:49" x14ac:dyDescent="0.25">
      <c r="S688" s="21"/>
      <c r="V688" s="21"/>
      <c r="AE688" s="21"/>
      <c r="AN688" s="21"/>
      <c r="AW688" s="21"/>
    </row>
    <row r="689" spans="19:49" x14ac:dyDescent="0.25">
      <c r="S689" s="21"/>
      <c r="V689" s="21"/>
      <c r="AE689" s="21"/>
      <c r="AN689" s="21"/>
      <c r="AW689" s="21"/>
    </row>
    <row r="690" spans="19:49" x14ac:dyDescent="0.25">
      <c r="S690" s="21"/>
      <c r="V690" s="21"/>
      <c r="AE690" s="21"/>
      <c r="AN690" s="21"/>
      <c r="AW690" s="21"/>
    </row>
    <row r="691" spans="19:49" x14ac:dyDescent="0.25">
      <c r="S691" s="21"/>
      <c r="V691" s="21"/>
      <c r="AE691" s="21"/>
      <c r="AN691" s="21"/>
      <c r="AW691" s="21"/>
    </row>
    <row r="692" spans="19:49" x14ac:dyDescent="0.25">
      <c r="S692" s="21"/>
      <c r="V692" s="21"/>
      <c r="AE692" s="21"/>
      <c r="AN692" s="21"/>
      <c r="AW692" s="21"/>
    </row>
    <row r="693" spans="19:49" x14ac:dyDescent="0.25">
      <c r="S693" s="21"/>
      <c r="V693" s="21"/>
      <c r="AE693" s="21"/>
      <c r="AN693" s="21"/>
      <c r="AW693" s="21"/>
    </row>
    <row r="694" spans="19:49" x14ac:dyDescent="0.25">
      <c r="S694" s="21"/>
      <c r="V694" s="21"/>
      <c r="AE694" s="21"/>
      <c r="AN694" s="21"/>
      <c r="AW694" s="21"/>
    </row>
    <row r="695" spans="19:49" x14ac:dyDescent="0.25">
      <c r="S695" s="21"/>
      <c r="V695" s="21"/>
      <c r="AE695" s="21"/>
      <c r="AN695" s="21"/>
      <c r="AW695" s="21"/>
    </row>
    <row r="696" spans="19:49" x14ac:dyDescent="0.25">
      <c r="S696" s="21"/>
      <c r="V696" s="21"/>
      <c r="AE696" s="21"/>
      <c r="AN696" s="21"/>
      <c r="AW696" s="21"/>
    </row>
    <row r="697" spans="19:49" x14ac:dyDescent="0.25">
      <c r="S697" s="21"/>
      <c r="V697" s="21"/>
      <c r="AE697" s="21"/>
      <c r="AN697" s="21"/>
      <c r="AW697" s="21"/>
    </row>
    <row r="698" spans="19:49" x14ac:dyDescent="0.25">
      <c r="S698" s="21"/>
      <c r="V698" s="21"/>
      <c r="AE698" s="21"/>
      <c r="AN698" s="21"/>
      <c r="AW698" s="21"/>
    </row>
    <row r="699" spans="19:49" x14ac:dyDescent="0.25">
      <c r="S699" s="21"/>
      <c r="V699" s="21"/>
      <c r="AE699" s="21"/>
      <c r="AN699" s="21"/>
      <c r="AW699" s="21"/>
    </row>
    <row r="700" spans="19:49" x14ac:dyDescent="0.25">
      <c r="S700" s="21"/>
      <c r="V700" s="21"/>
      <c r="AE700" s="21"/>
      <c r="AN700" s="21"/>
      <c r="AW700" s="21"/>
    </row>
    <row r="701" spans="19:49" x14ac:dyDescent="0.25">
      <c r="S701" s="21"/>
      <c r="V701" s="21"/>
      <c r="AE701" s="21"/>
      <c r="AN701" s="21"/>
      <c r="AW701" s="21"/>
    </row>
    <row r="702" spans="19:49" x14ac:dyDescent="0.25">
      <c r="S702" s="21"/>
      <c r="V702" s="21"/>
      <c r="AE702" s="21"/>
      <c r="AN702" s="21"/>
      <c r="AW702" s="21"/>
    </row>
    <row r="703" spans="19:49" x14ac:dyDescent="0.25">
      <c r="S703" s="21"/>
      <c r="V703" s="21"/>
      <c r="AE703" s="21"/>
      <c r="AN703" s="21"/>
      <c r="AW703" s="21"/>
    </row>
    <row r="704" spans="19:49" x14ac:dyDescent="0.25">
      <c r="S704" s="21"/>
      <c r="V704" s="21"/>
      <c r="AE704" s="21"/>
      <c r="AN704" s="21"/>
      <c r="AW704" s="21"/>
    </row>
    <row r="705" spans="19:49" x14ac:dyDescent="0.25">
      <c r="S705" s="21"/>
      <c r="V705" s="21"/>
      <c r="AE705" s="21"/>
      <c r="AN705" s="21"/>
      <c r="AW705" s="21"/>
    </row>
    <row r="706" spans="19:49" x14ac:dyDescent="0.25">
      <c r="S706" s="21"/>
      <c r="V706" s="21"/>
      <c r="AE706" s="21"/>
      <c r="AN706" s="21"/>
      <c r="AW706" s="21"/>
    </row>
    <row r="707" spans="19:49" x14ac:dyDescent="0.25">
      <c r="S707" s="21"/>
      <c r="V707" s="21"/>
      <c r="AE707" s="21"/>
      <c r="AN707" s="21"/>
      <c r="AW707" s="21"/>
    </row>
    <row r="708" spans="19:49" x14ac:dyDescent="0.25">
      <c r="S708" s="21"/>
      <c r="V708" s="21"/>
      <c r="AE708" s="21"/>
      <c r="AN708" s="21"/>
      <c r="AW708" s="21"/>
    </row>
    <row r="709" spans="19:49" x14ac:dyDescent="0.25">
      <c r="S709" s="21"/>
      <c r="V709" s="21"/>
      <c r="AE709" s="21"/>
      <c r="AN709" s="21"/>
      <c r="AW709" s="21"/>
    </row>
    <row r="710" spans="19:49" x14ac:dyDescent="0.25">
      <c r="S710" s="21"/>
      <c r="V710" s="21"/>
      <c r="AE710" s="21"/>
      <c r="AN710" s="21"/>
      <c r="AW710" s="21"/>
    </row>
    <row r="711" spans="19:49" x14ac:dyDescent="0.25">
      <c r="S711" s="21"/>
      <c r="V711" s="21"/>
      <c r="AE711" s="21"/>
      <c r="AN711" s="21"/>
      <c r="AW711" s="21"/>
    </row>
    <row r="712" spans="19:49" x14ac:dyDescent="0.25">
      <c r="S712" s="21"/>
      <c r="V712" s="21"/>
      <c r="AE712" s="21"/>
      <c r="AN712" s="21"/>
      <c r="AW712" s="21"/>
    </row>
    <row r="713" spans="19:49" x14ac:dyDescent="0.25">
      <c r="S713" s="21"/>
      <c r="V713" s="21"/>
      <c r="AE713" s="21"/>
      <c r="AN713" s="21"/>
      <c r="AW713" s="21"/>
    </row>
    <row r="714" spans="19:49" x14ac:dyDescent="0.25">
      <c r="S714" s="21"/>
      <c r="V714" s="21"/>
      <c r="AE714" s="21"/>
      <c r="AN714" s="21"/>
      <c r="AW714" s="21"/>
    </row>
    <row r="715" spans="19:49" x14ac:dyDescent="0.25">
      <c r="S715" s="21"/>
      <c r="V715" s="21"/>
      <c r="AE715" s="21"/>
      <c r="AN715" s="21"/>
      <c r="AW715" s="21"/>
    </row>
    <row r="716" spans="19:49" x14ac:dyDescent="0.25">
      <c r="S716" s="21"/>
      <c r="V716" s="21"/>
      <c r="AE716" s="21"/>
      <c r="AN716" s="21"/>
      <c r="AW716" s="21"/>
    </row>
    <row r="717" spans="19:49" x14ac:dyDescent="0.25">
      <c r="S717" s="21"/>
      <c r="V717" s="21"/>
      <c r="AE717" s="21"/>
      <c r="AN717" s="21"/>
      <c r="AW717" s="21"/>
    </row>
    <row r="718" spans="19:49" x14ac:dyDescent="0.25">
      <c r="S718" s="21"/>
      <c r="V718" s="21"/>
      <c r="AE718" s="21"/>
      <c r="AN718" s="21"/>
      <c r="AW718" s="21"/>
    </row>
    <row r="719" spans="19:49" x14ac:dyDescent="0.25">
      <c r="S719" s="21"/>
      <c r="V719" s="21"/>
      <c r="AE719" s="21"/>
      <c r="AN719" s="21"/>
      <c r="AW719" s="21"/>
    </row>
    <row r="720" spans="19:49" x14ac:dyDescent="0.25">
      <c r="S720" s="21"/>
      <c r="V720" s="21"/>
      <c r="AE720" s="21"/>
      <c r="AN720" s="21"/>
      <c r="AW720" s="21"/>
    </row>
    <row r="721" spans="19:49" x14ac:dyDescent="0.25">
      <c r="S721" s="21"/>
      <c r="V721" s="21"/>
      <c r="AE721" s="21"/>
      <c r="AN721" s="21"/>
      <c r="AW721" s="21"/>
    </row>
    <row r="722" spans="19:49" x14ac:dyDescent="0.25">
      <c r="S722" s="21"/>
      <c r="V722" s="21"/>
      <c r="AE722" s="21"/>
      <c r="AN722" s="21"/>
      <c r="AW722" s="21"/>
    </row>
    <row r="723" spans="19:49" x14ac:dyDescent="0.25">
      <c r="S723" s="21"/>
      <c r="V723" s="21"/>
      <c r="AE723" s="21"/>
      <c r="AN723" s="21"/>
      <c r="AW723" s="21"/>
    </row>
    <row r="724" spans="19:49" x14ac:dyDescent="0.25">
      <c r="S724" s="21"/>
      <c r="V724" s="21"/>
      <c r="AE724" s="21"/>
      <c r="AN724" s="21"/>
      <c r="AW724" s="21"/>
    </row>
    <row r="725" spans="19:49" x14ac:dyDescent="0.25">
      <c r="S725" s="21"/>
      <c r="V725" s="21"/>
      <c r="AE725" s="21"/>
      <c r="AN725" s="21"/>
      <c r="AW725" s="21"/>
    </row>
    <row r="726" spans="19:49" x14ac:dyDescent="0.25">
      <c r="S726" s="21"/>
      <c r="V726" s="21"/>
      <c r="AE726" s="21"/>
      <c r="AN726" s="21"/>
      <c r="AW726" s="21"/>
    </row>
    <row r="727" spans="19:49" x14ac:dyDescent="0.25">
      <c r="S727" s="21"/>
      <c r="V727" s="21"/>
      <c r="AE727" s="21"/>
      <c r="AN727" s="21"/>
      <c r="AW727" s="21"/>
    </row>
    <row r="728" spans="19:49" x14ac:dyDescent="0.25">
      <c r="S728" s="21"/>
      <c r="V728" s="21"/>
      <c r="AE728" s="21"/>
      <c r="AN728" s="21"/>
      <c r="AW728" s="21"/>
    </row>
    <row r="729" spans="19:49" x14ac:dyDescent="0.25">
      <c r="S729" s="21"/>
      <c r="V729" s="21"/>
      <c r="AE729" s="21"/>
      <c r="AN729" s="21"/>
      <c r="AW729" s="21"/>
    </row>
    <row r="730" spans="19:49" x14ac:dyDescent="0.25">
      <c r="S730" s="21"/>
      <c r="V730" s="21"/>
      <c r="AE730" s="21"/>
      <c r="AN730" s="21"/>
      <c r="AW730" s="21"/>
    </row>
    <row r="731" spans="19:49" x14ac:dyDescent="0.25">
      <c r="S731" s="21"/>
      <c r="V731" s="21"/>
      <c r="AE731" s="21"/>
      <c r="AN731" s="21"/>
      <c r="AW731" s="21"/>
    </row>
    <row r="732" spans="19:49" x14ac:dyDescent="0.25">
      <c r="S732" s="21"/>
      <c r="V732" s="21"/>
      <c r="AE732" s="21"/>
      <c r="AN732" s="21"/>
      <c r="AW732" s="21"/>
    </row>
    <row r="733" spans="19:49" x14ac:dyDescent="0.25">
      <c r="S733" s="21"/>
      <c r="V733" s="21"/>
      <c r="AE733" s="21"/>
      <c r="AN733" s="21"/>
      <c r="AW733" s="21"/>
    </row>
    <row r="734" spans="19:49" x14ac:dyDescent="0.25">
      <c r="S734" s="21"/>
      <c r="V734" s="21"/>
      <c r="AE734" s="21"/>
      <c r="AN734" s="21"/>
      <c r="AW734" s="21"/>
    </row>
    <row r="735" spans="19:49" x14ac:dyDescent="0.25">
      <c r="S735" s="21"/>
      <c r="V735" s="21"/>
      <c r="AE735" s="21"/>
      <c r="AN735" s="21"/>
      <c r="AW735" s="21"/>
    </row>
    <row r="736" spans="19:49" x14ac:dyDescent="0.25">
      <c r="S736" s="21"/>
      <c r="V736" s="21"/>
      <c r="AE736" s="21"/>
      <c r="AN736" s="21"/>
      <c r="AW736" s="21"/>
    </row>
    <row r="737" spans="19:49" x14ac:dyDescent="0.25">
      <c r="S737" s="21"/>
      <c r="V737" s="21"/>
      <c r="AE737" s="21"/>
      <c r="AN737" s="21"/>
      <c r="AW737" s="21"/>
    </row>
    <row r="738" spans="19:49" x14ac:dyDescent="0.25">
      <c r="S738" s="21"/>
      <c r="V738" s="21"/>
      <c r="AE738" s="21"/>
      <c r="AN738" s="21"/>
      <c r="AW738" s="21"/>
    </row>
    <row r="739" spans="19:49" x14ac:dyDescent="0.25">
      <c r="S739" s="21"/>
      <c r="V739" s="21"/>
      <c r="AE739" s="21"/>
      <c r="AN739" s="21"/>
      <c r="AW739" s="21"/>
    </row>
    <row r="740" spans="19:49" x14ac:dyDescent="0.25">
      <c r="S740" s="21"/>
      <c r="V740" s="21"/>
      <c r="AE740" s="21"/>
      <c r="AN740" s="21"/>
      <c r="AW740" s="21"/>
    </row>
    <row r="741" spans="19:49" x14ac:dyDescent="0.25">
      <c r="S741" s="21"/>
      <c r="V741" s="21"/>
      <c r="AE741" s="21"/>
      <c r="AN741" s="21"/>
      <c r="AW741" s="21"/>
    </row>
    <row r="742" spans="19:49" x14ac:dyDescent="0.25">
      <c r="S742" s="21"/>
      <c r="V742" s="21"/>
      <c r="AE742" s="21"/>
      <c r="AN742" s="21"/>
      <c r="AW742" s="21"/>
    </row>
    <row r="743" spans="19:49" x14ac:dyDescent="0.25">
      <c r="S743" s="21"/>
      <c r="V743" s="21"/>
      <c r="AE743" s="21"/>
      <c r="AN743" s="21"/>
      <c r="AW743" s="21"/>
    </row>
    <row r="744" spans="19:49" x14ac:dyDescent="0.25">
      <c r="S744" s="21"/>
      <c r="V744" s="21"/>
      <c r="AE744" s="21"/>
      <c r="AN744" s="21"/>
      <c r="AW744" s="21"/>
    </row>
    <row r="745" spans="19:49" x14ac:dyDescent="0.25">
      <c r="S745" s="21"/>
      <c r="V745" s="21"/>
      <c r="AE745" s="21"/>
      <c r="AN745" s="21"/>
      <c r="AW745" s="21"/>
    </row>
    <row r="746" spans="19:49" x14ac:dyDescent="0.25">
      <c r="S746" s="21"/>
      <c r="V746" s="21"/>
      <c r="AE746" s="21"/>
      <c r="AN746" s="21"/>
      <c r="AW746" s="21"/>
    </row>
    <row r="747" spans="19:49" x14ac:dyDescent="0.25">
      <c r="S747" s="21"/>
      <c r="V747" s="21"/>
      <c r="AE747" s="21"/>
      <c r="AN747" s="21"/>
      <c r="AW747" s="21"/>
    </row>
    <row r="748" spans="19:49" x14ac:dyDescent="0.25">
      <c r="S748" s="21"/>
      <c r="V748" s="21"/>
      <c r="AE748" s="21"/>
      <c r="AN748" s="21"/>
      <c r="AW748" s="21"/>
    </row>
    <row r="749" spans="19:49" x14ac:dyDescent="0.25">
      <c r="S749" s="21"/>
      <c r="V749" s="21"/>
      <c r="AE749" s="21"/>
      <c r="AN749" s="21"/>
      <c r="AW749" s="21"/>
    </row>
    <row r="750" spans="19:49" x14ac:dyDescent="0.25">
      <c r="S750" s="21"/>
      <c r="V750" s="21"/>
      <c r="AE750" s="21"/>
      <c r="AN750" s="21"/>
      <c r="AW750" s="21"/>
    </row>
    <row r="751" spans="19:49" x14ac:dyDescent="0.25">
      <c r="S751" s="21"/>
      <c r="V751" s="21"/>
      <c r="AE751" s="21"/>
      <c r="AN751" s="21"/>
      <c r="AW751" s="21"/>
    </row>
    <row r="752" spans="19:49" x14ac:dyDescent="0.25">
      <c r="S752" s="21"/>
      <c r="V752" s="21"/>
      <c r="AE752" s="21"/>
      <c r="AN752" s="21"/>
      <c r="AW752" s="21"/>
    </row>
    <row r="753" spans="19:49" x14ac:dyDescent="0.25">
      <c r="S753" s="21"/>
      <c r="V753" s="21"/>
      <c r="AE753" s="21"/>
      <c r="AN753" s="21"/>
      <c r="AW753" s="21"/>
    </row>
    <row r="754" spans="19:49" x14ac:dyDescent="0.25">
      <c r="S754" s="21"/>
      <c r="V754" s="21"/>
      <c r="AE754" s="21"/>
      <c r="AN754" s="21"/>
      <c r="AW754" s="21"/>
    </row>
    <row r="755" spans="19:49" x14ac:dyDescent="0.25">
      <c r="S755" s="21"/>
      <c r="V755" s="21"/>
      <c r="AE755" s="21"/>
      <c r="AN755" s="21"/>
      <c r="AW755" s="21"/>
    </row>
    <row r="756" spans="19:49" x14ac:dyDescent="0.25">
      <c r="S756" s="21"/>
      <c r="V756" s="21"/>
      <c r="AE756" s="21"/>
      <c r="AN756" s="21"/>
      <c r="AW756" s="21"/>
    </row>
    <row r="757" spans="19:49" x14ac:dyDescent="0.25">
      <c r="S757" s="21"/>
      <c r="V757" s="21"/>
      <c r="AE757" s="21"/>
      <c r="AN757" s="21"/>
      <c r="AW757" s="21"/>
    </row>
    <row r="758" spans="19:49" x14ac:dyDescent="0.25">
      <c r="S758" s="21"/>
      <c r="V758" s="21"/>
      <c r="AE758" s="21"/>
      <c r="AN758" s="21"/>
      <c r="AW758" s="21"/>
    </row>
    <row r="759" spans="19:49" x14ac:dyDescent="0.25">
      <c r="S759" s="21"/>
      <c r="V759" s="21"/>
      <c r="AE759" s="21"/>
      <c r="AN759" s="21"/>
      <c r="AW759" s="21"/>
    </row>
    <row r="760" spans="19:49" x14ac:dyDescent="0.25">
      <c r="S760" s="21"/>
      <c r="V760" s="21"/>
      <c r="AE760" s="21"/>
      <c r="AN760" s="21"/>
      <c r="AW760" s="21"/>
    </row>
    <row r="761" spans="19:49" x14ac:dyDescent="0.25">
      <c r="S761" s="21"/>
      <c r="V761" s="21"/>
      <c r="AE761" s="21"/>
      <c r="AN761" s="21"/>
      <c r="AW761" s="21"/>
    </row>
    <row r="762" spans="19:49" x14ac:dyDescent="0.25">
      <c r="S762" s="21"/>
      <c r="V762" s="21"/>
      <c r="AE762" s="21"/>
      <c r="AN762" s="21"/>
      <c r="AW762" s="21"/>
    </row>
    <row r="763" spans="19:49" x14ac:dyDescent="0.25">
      <c r="S763" s="21"/>
      <c r="V763" s="21"/>
      <c r="AE763" s="21"/>
      <c r="AN763" s="21"/>
      <c r="AW763" s="21"/>
    </row>
    <row r="764" spans="19:49" x14ac:dyDescent="0.25">
      <c r="S764" s="21"/>
      <c r="V764" s="21"/>
      <c r="AE764" s="21"/>
      <c r="AN764" s="21"/>
      <c r="AW764" s="21"/>
    </row>
    <row r="765" spans="19:49" x14ac:dyDescent="0.25">
      <c r="S765" s="21"/>
      <c r="V765" s="21"/>
      <c r="AE765" s="21"/>
      <c r="AN765" s="21"/>
      <c r="AW765" s="21"/>
    </row>
    <row r="766" spans="19:49" x14ac:dyDescent="0.25">
      <c r="S766" s="21"/>
      <c r="V766" s="21"/>
      <c r="AE766" s="21"/>
      <c r="AN766" s="21"/>
      <c r="AW766" s="21"/>
    </row>
    <row r="767" spans="19:49" x14ac:dyDescent="0.25">
      <c r="S767" s="21"/>
      <c r="V767" s="21"/>
      <c r="AE767" s="21"/>
      <c r="AN767" s="21"/>
      <c r="AW767" s="21"/>
    </row>
    <row r="768" spans="19:49" x14ac:dyDescent="0.25">
      <c r="S768" s="21"/>
      <c r="V768" s="21"/>
      <c r="AE768" s="21"/>
      <c r="AN768" s="21"/>
      <c r="AW768" s="21"/>
    </row>
    <row r="769" spans="19:49" x14ac:dyDescent="0.25">
      <c r="S769" s="21"/>
      <c r="V769" s="21"/>
      <c r="AE769" s="21"/>
      <c r="AN769" s="21"/>
      <c r="AW769" s="21"/>
    </row>
    <row r="770" spans="19:49" x14ac:dyDescent="0.25">
      <c r="S770" s="21"/>
      <c r="V770" s="21"/>
      <c r="AE770" s="21"/>
      <c r="AN770" s="21"/>
      <c r="AW770" s="21"/>
    </row>
    <row r="771" spans="19:49" x14ac:dyDescent="0.25">
      <c r="S771" s="21"/>
      <c r="V771" s="21"/>
      <c r="AE771" s="21"/>
      <c r="AN771" s="21"/>
      <c r="AW771" s="21"/>
    </row>
    <row r="772" spans="19:49" x14ac:dyDescent="0.25">
      <c r="S772" s="21"/>
      <c r="V772" s="21"/>
      <c r="AE772" s="21"/>
      <c r="AN772" s="21"/>
      <c r="AW772" s="21"/>
    </row>
    <row r="773" spans="19:49" x14ac:dyDescent="0.25">
      <c r="S773" s="21"/>
      <c r="V773" s="21"/>
      <c r="AE773" s="21"/>
      <c r="AN773" s="21"/>
      <c r="AW773" s="21"/>
    </row>
    <row r="774" spans="19:49" x14ac:dyDescent="0.25">
      <c r="S774" s="21"/>
      <c r="V774" s="21"/>
      <c r="AE774" s="21"/>
      <c r="AN774" s="21"/>
      <c r="AW774" s="21"/>
    </row>
    <row r="775" spans="19:49" x14ac:dyDescent="0.25">
      <c r="S775" s="21"/>
      <c r="V775" s="21"/>
      <c r="AE775" s="21"/>
      <c r="AN775" s="21"/>
      <c r="AW775" s="21"/>
    </row>
    <row r="776" spans="19:49" x14ac:dyDescent="0.25">
      <c r="S776" s="21"/>
      <c r="V776" s="21"/>
      <c r="AE776" s="21"/>
      <c r="AN776" s="21"/>
      <c r="AW776" s="21"/>
    </row>
    <row r="777" spans="19:49" x14ac:dyDescent="0.25">
      <c r="S777" s="21"/>
      <c r="V777" s="21"/>
      <c r="AE777" s="21"/>
      <c r="AN777" s="21"/>
      <c r="AW777" s="21"/>
    </row>
    <row r="778" spans="19:49" x14ac:dyDescent="0.25">
      <c r="S778" s="21"/>
      <c r="V778" s="21"/>
      <c r="AE778" s="21"/>
      <c r="AN778" s="21"/>
      <c r="AW778" s="21"/>
    </row>
    <row r="779" spans="19:49" x14ac:dyDescent="0.25">
      <c r="S779" s="21"/>
      <c r="V779" s="21"/>
      <c r="AE779" s="21"/>
      <c r="AN779" s="21"/>
      <c r="AW779" s="21"/>
    </row>
    <row r="780" spans="19:49" x14ac:dyDescent="0.25">
      <c r="S780" s="21"/>
      <c r="V780" s="21"/>
      <c r="AE780" s="21"/>
      <c r="AN780" s="21"/>
      <c r="AW780" s="21"/>
    </row>
    <row r="781" spans="19:49" x14ac:dyDescent="0.25">
      <c r="S781" s="21"/>
      <c r="V781" s="21"/>
      <c r="AE781" s="21"/>
      <c r="AN781" s="21"/>
      <c r="AW781" s="21"/>
    </row>
    <row r="782" spans="19:49" x14ac:dyDescent="0.25">
      <c r="S782" s="21"/>
      <c r="V782" s="21"/>
      <c r="AE782" s="21"/>
      <c r="AN782" s="21"/>
      <c r="AW782" s="21"/>
    </row>
    <row r="783" spans="19:49" x14ac:dyDescent="0.25">
      <c r="S783" s="21"/>
      <c r="V783" s="21"/>
      <c r="AE783" s="21"/>
      <c r="AN783" s="21"/>
      <c r="AW783" s="21"/>
    </row>
    <row r="784" spans="19:49" x14ac:dyDescent="0.25">
      <c r="S784" s="21"/>
      <c r="V784" s="21"/>
      <c r="AE784" s="21"/>
      <c r="AN784" s="21"/>
      <c r="AW784" s="21"/>
    </row>
    <row r="785" spans="19:49" x14ac:dyDescent="0.25">
      <c r="S785" s="21"/>
      <c r="V785" s="21"/>
      <c r="AE785" s="21"/>
      <c r="AN785" s="21"/>
      <c r="AW785" s="21"/>
    </row>
    <row r="786" spans="19:49" x14ac:dyDescent="0.25">
      <c r="S786" s="21"/>
      <c r="V786" s="21"/>
      <c r="AE786" s="21"/>
      <c r="AN786" s="21"/>
      <c r="AW786" s="21"/>
    </row>
    <row r="787" spans="19:49" x14ac:dyDescent="0.25">
      <c r="S787" s="21"/>
      <c r="V787" s="21"/>
      <c r="AE787" s="21"/>
      <c r="AN787" s="21"/>
      <c r="AW787" s="21"/>
    </row>
    <row r="788" spans="19:49" x14ac:dyDescent="0.25">
      <c r="S788" s="21"/>
      <c r="V788" s="21"/>
      <c r="AE788" s="21"/>
      <c r="AN788" s="21"/>
      <c r="AW788" s="21"/>
    </row>
    <row r="789" spans="19:49" x14ac:dyDescent="0.25">
      <c r="S789" s="21"/>
      <c r="V789" s="21"/>
      <c r="AE789" s="21"/>
      <c r="AN789" s="21"/>
      <c r="AW789" s="21"/>
    </row>
    <row r="790" spans="19:49" x14ac:dyDescent="0.25">
      <c r="S790" s="21"/>
      <c r="V790" s="21"/>
      <c r="AE790" s="21"/>
      <c r="AN790" s="21"/>
      <c r="AW790" s="21"/>
    </row>
    <row r="791" spans="19:49" x14ac:dyDescent="0.25">
      <c r="S791" s="21"/>
      <c r="V791" s="21"/>
      <c r="AE791" s="21"/>
      <c r="AN791" s="21"/>
      <c r="AW791" s="21"/>
    </row>
    <row r="792" spans="19:49" x14ac:dyDescent="0.25">
      <c r="S792" s="21"/>
      <c r="V792" s="21"/>
      <c r="AE792" s="21"/>
      <c r="AN792" s="21"/>
      <c r="AW792" s="21"/>
    </row>
    <row r="793" spans="19:49" x14ac:dyDescent="0.25">
      <c r="S793" s="21"/>
      <c r="V793" s="21"/>
      <c r="AE793" s="21"/>
      <c r="AN793" s="21"/>
      <c r="AW793" s="21"/>
    </row>
    <row r="794" spans="19:49" x14ac:dyDescent="0.25">
      <c r="S794" s="21"/>
      <c r="V794" s="21"/>
      <c r="AE794" s="21"/>
      <c r="AN794" s="21"/>
      <c r="AW794" s="21"/>
    </row>
    <row r="795" spans="19:49" x14ac:dyDescent="0.25">
      <c r="S795" s="21"/>
      <c r="V795" s="21"/>
      <c r="AE795" s="21"/>
      <c r="AN795" s="21"/>
      <c r="AW795" s="21"/>
    </row>
    <row r="796" spans="19:49" x14ac:dyDescent="0.25">
      <c r="S796" s="21"/>
      <c r="V796" s="21"/>
      <c r="AE796" s="21"/>
      <c r="AN796" s="21"/>
      <c r="AW796" s="21"/>
    </row>
    <row r="797" spans="19:49" x14ac:dyDescent="0.25">
      <c r="S797" s="21"/>
      <c r="V797" s="21"/>
      <c r="AE797" s="21"/>
      <c r="AN797" s="21"/>
      <c r="AW797" s="21"/>
    </row>
    <row r="798" spans="19:49" x14ac:dyDescent="0.25">
      <c r="S798" s="21"/>
      <c r="V798" s="21"/>
      <c r="AE798" s="21"/>
      <c r="AN798" s="21"/>
      <c r="AW798" s="21"/>
    </row>
    <row r="799" spans="19:49" x14ac:dyDescent="0.25">
      <c r="S799" s="21"/>
      <c r="V799" s="21"/>
      <c r="AE799" s="21"/>
      <c r="AN799" s="21"/>
      <c r="AW799" s="21"/>
    </row>
    <row r="800" spans="19:49" x14ac:dyDescent="0.25">
      <c r="S800" s="21"/>
      <c r="V800" s="21"/>
      <c r="AE800" s="21"/>
      <c r="AN800" s="21"/>
      <c r="AW800" s="21"/>
    </row>
    <row r="801" spans="19:49" x14ac:dyDescent="0.25">
      <c r="S801" s="21"/>
      <c r="V801" s="21"/>
      <c r="AE801" s="21"/>
      <c r="AN801" s="21"/>
      <c r="AW801" s="21"/>
    </row>
    <row r="802" spans="19:49" x14ac:dyDescent="0.25">
      <c r="S802" s="21"/>
      <c r="V802" s="21"/>
      <c r="AE802" s="21"/>
      <c r="AN802" s="21"/>
      <c r="AW802" s="21"/>
    </row>
    <row r="803" spans="19:49" x14ac:dyDescent="0.25">
      <c r="S803" s="21"/>
      <c r="V803" s="21"/>
      <c r="AE803" s="21"/>
      <c r="AN803" s="21"/>
      <c r="AW803" s="21"/>
    </row>
    <row r="804" spans="19:49" x14ac:dyDescent="0.25">
      <c r="S804" s="21"/>
      <c r="V804" s="21"/>
      <c r="AE804" s="21"/>
      <c r="AN804" s="21"/>
      <c r="AW804" s="21"/>
    </row>
    <row r="805" spans="19:49" x14ac:dyDescent="0.25">
      <c r="S805" s="21"/>
      <c r="V805" s="21"/>
      <c r="AE805" s="21"/>
      <c r="AN805" s="21"/>
      <c r="AW805" s="21"/>
    </row>
    <row r="806" spans="19:49" x14ac:dyDescent="0.25">
      <c r="S806" s="21"/>
      <c r="V806" s="21"/>
      <c r="AE806" s="21"/>
      <c r="AN806" s="21"/>
      <c r="AW806" s="21"/>
    </row>
    <row r="807" spans="19:49" x14ac:dyDescent="0.25">
      <c r="S807" s="21"/>
      <c r="V807" s="21"/>
      <c r="AE807" s="21"/>
      <c r="AN807" s="21"/>
      <c r="AW807" s="21"/>
    </row>
    <row r="808" spans="19:49" x14ac:dyDescent="0.25">
      <c r="S808" s="21"/>
      <c r="V808" s="21"/>
      <c r="AE808" s="21"/>
      <c r="AN808" s="21"/>
      <c r="AW808" s="21"/>
    </row>
    <row r="809" spans="19:49" x14ac:dyDescent="0.25">
      <c r="S809" s="21"/>
      <c r="V809" s="21"/>
      <c r="AE809" s="21"/>
      <c r="AN809" s="21"/>
      <c r="AW809" s="21"/>
    </row>
    <row r="810" spans="19:49" x14ac:dyDescent="0.25">
      <c r="S810" s="21"/>
      <c r="V810" s="21"/>
      <c r="AE810" s="21"/>
      <c r="AN810" s="21"/>
      <c r="AW810" s="21"/>
    </row>
    <row r="811" spans="19:49" x14ac:dyDescent="0.25">
      <c r="S811" s="21"/>
      <c r="V811" s="21"/>
      <c r="AE811" s="21"/>
      <c r="AN811" s="21"/>
      <c r="AW811" s="21"/>
    </row>
    <row r="812" spans="19:49" x14ac:dyDescent="0.25">
      <c r="S812" s="21"/>
      <c r="V812" s="21"/>
      <c r="AE812" s="21"/>
      <c r="AN812" s="21"/>
      <c r="AW812" s="21"/>
    </row>
    <row r="813" spans="19:49" x14ac:dyDescent="0.25">
      <c r="S813" s="21"/>
      <c r="V813" s="21"/>
      <c r="AE813" s="21"/>
      <c r="AN813" s="21"/>
      <c r="AW813" s="21"/>
    </row>
    <row r="814" spans="19:49" x14ac:dyDescent="0.25">
      <c r="S814" s="21"/>
      <c r="V814" s="21"/>
      <c r="AE814" s="21"/>
      <c r="AN814" s="21"/>
      <c r="AW814" s="21"/>
    </row>
    <row r="815" spans="19:49" x14ac:dyDescent="0.25">
      <c r="S815" s="21"/>
      <c r="V815" s="21"/>
      <c r="AE815" s="21"/>
      <c r="AN815" s="21"/>
      <c r="AW815" s="21"/>
    </row>
    <row r="816" spans="19:49" x14ac:dyDescent="0.25">
      <c r="S816" s="21"/>
      <c r="V816" s="21"/>
      <c r="AE816" s="21"/>
      <c r="AN816" s="21"/>
      <c r="AW816" s="21"/>
    </row>
    <row r="817" spans="19:49" x14ac:dyDescent="0.25">
      <c r="S817" s="21"/>
      <c r="V817" s="21"/>
      <c r="AE817" s="21"/>
      <c r="AN817" s="21"/>
      <c r="AW817" s="21"/>
    </row>
    <row r="818" spans="19:49" x14ac:dyDescent="0.25">
      <c r="S818" s="21"/>
      <c r="V818" s="21"/>
      <c r="AE818" s="21"/>
      <c r="AN818" s="21"/>
      <c r="AW818" s="21"/>
    </row>
    <row r="819" spans="19:49" x14ac:dyDescent="0.25">
      <c r="S819" s="21"/>
      <c r="V819" s="21"/>
      <c r="AE819" s="21"/>
      <c r="AN819" s="21"/>
      <c r="AW819" s="21"/>
    </row>
    <row r="820" spans="19:49" x14ac:dyDescent="0.25">
      <c r="S820" s="21"/>
      <c r="V820" s="21"/>
      <c r="AE820" s="21"/>
      <c r="AN820" s="21"/>
      <c r="AW820" s="21"/>
    </row>
    <row r="821" spans="19:49" x14ac:dyDescent="0.25">
      <c r="S821" s="21"/>
      <c r="V821" s="21"/>
      <c r="AE821" s="21"/>
      <c r="AN821" s="21"/>
      <c r="AW821" s="21"/>
    </row>
    <row r="822" spans="19:49" x14ac:dyDescent="0.25">
      <c r="S822" s="21"/>
      <c r="V822" s="21"/>
      <c r="AE822" s="21"/>
      <c r="AN822" s="21"/>
      <c r="AW822" s="21"/>
    </row>
    <row r="823" spans="19:49" x14ac:dyDescent="0.25">
      <c r="S823" s="21"/>
      <c r="V823" s="21"/>
      <c r="AE823" s="21"/>
      <c r="AN823" s="21"/>
      <c r="AW823" s="21"/>
    </row>
    <row r="824" spans="19:49" x14ac:dyDescent="0.25">
      <c r="S824" s="21"/>
      <c r="V824" s="21"/>
      <c r="AE824" s="21"/>
      <c r="AN824" s="21"/>
      <c r="AW824" s="21"/>
    </row>
    <row r="825" spans="19:49" x14ac:dyDescent="0.25">
      <c r="S825" s="21"/>
      <c r="V825" s="21"/>
      <c r="AE825" s="21"/>
      <c r="AN825" s="21"/>
      <c r="AW825" s="21"/>
    </row>
    <row r="826" spans="19:49" x14ac:dyDescent="0.25">
      <c r="S826" s="21"/>
      <c r="V826" s="21"/>
      <c r="AE826" s="21"/>
      <c r="AN826" s="21"/>
      <c r="AW826" s="21"/>
    </row>
    <row r="827" spans="19:49" x14ac:dyDescent="0.25">
      <c r="S827" s="21"/>
      <c r="V827" s="21"/>
      <c r="AE827" s="21"/>
      <c r="AN827" s="21"/>
      <c r="AW827" s="21"/>
    </row>
    <row r="828" spans="19:49" x14ac:dyDescent="0.25">
      <c r="S828" s="21"/>
      <c r="V828" s="21"/>
      <c r="AE828" s="21"/>
      <c r="AN828" s="21"/>
      <c r="AW828" s="21"/>
    </row>
    <row r="829" spans="19:49" x14ac:dyDescent="0.25">
      <c r="S829" s="21"/>
      <c r="V829" s="21"/>
      <c r="AE829" s="21"/>
      <c r="AN829" s="21"/>
      <c r="AW829" s="21"/>
    </row>
    <row r="830" spans="19:49" x14ac:dyDescent="0.25">
      <c r="S830" s="21"/>
      <c r="V830" s="21"/>
      <c r="AE830" s="21"/>
      <c r="AN830" s="21"/>
      <c r="AW830" s="21"/>
    </row>
    <row r="831" spans="19:49" x14ac:dyDescent="0.25">
      <c r="S831" s="21"/>
      <c r="V831" s="21"/>
      <c r="AE831" s="21"/>
      <c r="AN831" s="21"/>
      <c r="AW831" s="21"/>
    </row>
    <row r="832" spans="19:49" x14ac:dyDescent="0.25">
      <c r="S832" s="21"/>
      <c r="V832" s="21"/>
      <c r="AE832" s="21"/>
      <c r="AN832" s="21"/>
      <c r="AW832" s="21"/>
    </row>
    <row r="833" spans="19:49" x14ac:dyDescent="0.25">
      <c r="S833" s="21"/>
      <c r="V833" s="21"/>
      <c r="AE833" s="21"/>
      <c r="AN833" s="21"/>
      <c r="AW833" s="21"/>
    </row>
    <row r="834" spans="19:49" x14ac:dyDescent="0.25">
      <c r="S834" s="21"/>
      <c r="V834" s="21"/>
      <c r="AE834" s="21"/>
      <c r="AN834" s="21"/>
      <c r="AW834" s="21"/>
    </row>
    <row r="835" spans="19:49" x14ac:dyDescent="0.25">
      <c r="S835" s="21"/>
      <c r="V835" s="21"/>
      <c r="AE835" s="21"/>
      <c r="AN835" s="21"/>
      <c r="AW835" s="21"/>
    </row>
    <row r="836" spans="19:49" x14ac:dyDescent="0.25">
      <c r="S836" s="21"/>
      <c r="V836" s="21"/>
      <c r="AE836" s="21"/>
      <c r="AN836" s="21"/>
      <c r="AW836" s="21"/>
    </row>
    <row r="837" spans="19:49" x14ac:dyDescent="0.25">
      <c r="S837" s="21"/>
      <c r="V837" s="21"/>
      <c r="AE837" s="21"/>
      <c r="AN837" s="21"/>
      <c r="AW837" s="21"/>
    </row>
    <row r="838" spans="19:49" x14ac:dyDescent="0.25">
      <c r="S838" s="21"/>
      <c r="V838" s="21"/>
      <c r="AE838" s="21"/>
      <c r="AN838" s="21"/>
      <c r="AW838" s="21"/>
    </row>
    <row r="839" spans="19:49" x14ac:dyDescent="0.25">
      <c r="S839" s="21"/>
      <c r="V839" s="21"/>
      <c r="AE839" s="21"/>
      <c r="AN839" s="21"/>
      <c r="AW839" s="21"/>
    </row>
    <row r="840" spans="19:49" x14ac:dyDescent="0.25">
      <c r="S840" s="21"/>
      <c r="V840" s="21"/>
      <c r="AE840" s="21"/>
      <c r="AN840" s="21"/>
      <c r="AW840" s="21"/>
    </row>
    <row r="841" spans="19:49" x14ac:dyDescent="0.25">
      <c r="S841" s="21"/>
      <c r="V841" s="21"/>
      <c r="AE841" s="21"/>
      <c r="AN841" s="21"/>
      <c r="AW841" s="21"/>
    </row>
    <row r="842" spans="19:49" x14ac:dyDescent="0.25">
      <c r="S842" s="21"/>
      <c r="V842" s="21"/>
      <c r="AE842" s="21"/>
      <c r="AN842" s="21"/>
      <c r="AW842" s="21"/>
    </row>
    <row r="843" spans="19:49" x14ac:dyDescent="0.25">
      <c r="S843" s="21"/>
      <c r="V843" s="21"/>
      <c r="AE843" s="21"/>
      <c r="AN843" s="21"/>
      <c r="AW843" s="21"/>
    </row>
    <row r="844" spans="19:49" x14ac:dyDescent="0.25">
      <c r="S844" s="21"/>
      <c r="V844" s="21"/>
      <c r="AE844" s="21"/>
      <c r="AN844" s="21"/>
      <c r="AW844" s="21"/>
    </row>
    <row r="845" spans="19:49" x14ac:dyDescent="0.25">
      <c r="S845" s="21"/>
      <c r="V845" s="21"/>
      <c r="AE845" s="21"/>
      <c r="AN845" s="21"/>
      <c r="AW845" s="21"/>
    </row>
    <row r="846" spans="19:49" x14ac:dyDescent="0.25">
      <c r="S846" s="21"/>
      <c r="V846" s="21"/>
      <c r="AE846" s="21"/>
      <c r="AN846" s="21"/>
      <c r="AW846" s="21"/>
    </row>
    <row r="847" spans="19:49" x14ac:dyDescent="0.25">
      <c r="S847" s="21"/>
      <c r="V847" s="21"/>
      <c r="AE847" s="21"/>
      <c r="AN847" s="21"/>
      <c r="AW847" s="21"/>
    </row>
    <row r="848" spans="19:49" x14ac:dyDescent="0.25">
      <c r="S848" s="21"/>
      <c r="V848" s="21"/>
      <c r="AE848" s="21"/>
      <c r="AN848" s="21"/>
      <c r="AW848" s="21"/>
    </row>
    <row r="849" spans="19:49" x14ac:dyDescent="0.25">
      <c r="S849" s="21"/>
      <c r="V849" s="21"/>
      <c r="AE849" s="21"/>
      <c r="AN849" s="21"/>
      <c r="AW849" s="21"/>
    </row>
    <row r="850" spans="19:49" x14ac:dyDescent="0.25">
      <c r="S850" s="21"/>
      <c r="V850" s="21"/>
      <c r="AE850" s="21"/>
      <c r="AN850" s="21"/>
      <c r="AW850" s="21"/>
    </row>
    <row r="851" spans="19:49" x14ac:dyDescent="0.25">
      <c r="S851" s="21"/>
      <c r="V851" s="21"/>
      <c r="AE851" s="21"/>
      <c r="AN851" s="21"/>
      <c r="AW851" s="21"/>
    </row>
    <row r="852" spans="19:49" x14ac:dyDescent="0.25">
      <c r="S852" s="21"/>
      <c r="V852" s="21"/>
      <c r="AE852" s="21"/>
      <c r="AN852" s="21"/>
      <c r="AW852" s="21"/>
    </row>
    <row r="853" spans="19:49" x14ac:dyDescent="0.25">
      <c r="S853" s="21"/>
      <c r="V853" s="21"/>
      <c r="AE853" s="21"/>
      <c r="AN853" s="21"/>
      <c r="AW853" s="21"/>
    </row>
    <row r="854" spans="19:49" x14ac:dyDescent="0.25">
      <c r="S854" s="21"/>
      <c r="V854" s="21"/>
      <c r="AE854" s="21"/>
      <c r="AN854" s="21"/>
      <c r="AW854" s="21"/>
    </row>
    <row r="855" spans="19:49" x14ac:dyDescent="0.25">
      <c r="S855" s="21"/>
      <c r="V855" s="21"/>
      <c r="AE855" s="21"/>
      <c r="AN855" s="21"/>
      <c r="AW855" s="21"/>
    </row>
    <row r="856" spans="19:49" x14ac:dyDescent="0.25">
      <c r="S856" s="21"/>
      <c r="V856" s="21"/>
      <c r="AE856" s="21"/>
      <c r="AN856" s="21"/>
      <c r="AW856" s="21"/>
    </row>
    <row r="857" spans="19:49" x14ac:dyDescent="0.25">
      <c r="S857" s="21"/>
      <c r="V857" s="21"/>
      <c r="AE857" s="21"/>
      <c r="AN857" s="21"/>
      <c r="AW857" s="21"/>
    </row>
    <row r="858" spans="19:49" x14ac:dyDescent="0.25">
      <c r="S858" s="21"/>
      <c r="V858" s="21"/>
      <c r="AE858" s="21"/>
      <c r="AN858" s="21"/>
      <c r="AW858" s="21"/>
    </row>
    <row r="859" spans="19:49" x14ac:dyDescent="0.25">
      <c r="S859" s="21"/>
      <c r="V859" s="21"/>
      <c r="AE859" s="21"/>
      <c r="AN859" s="21"/>
      <c r="AW859" s="21"/>
    </row>
    <row r="860" spans="19:49" x14ac:dyDescent="0.25">
      <c r="S860" s="21"/>
      <c r="V860" s="21"/>
      <c r="AE860" s="21"/>
      <c r="AN860" s="21"/>
      <c r="AW860" s="21"/>
    </row>
    <row r="861" spans="19:49" x14ac:dyDescent="0.25">
      <c r="S861" s="21"/>
      <c r="V861" s="21"/>
      <c r="AE861" s="21"/>
      <c r="AN861" s="21"/>
      <c r="AW861" s="21"/>
    </row>
    <row r="862" spans="19:49" x14ac:dyDescent="0.25">
      <c r="S862" s="21"/>
      <c r="V862" s="21"/>
      <c r="AE862" s="21"/>
      <c r="AN862" s="21"/>
      <c r="AW862" s="21"/>
    </row>
    <row r="863" spans="19:49" x14ac:dyDescent="0.25">
      <c r="S863" s="21"/>
      <c r="V863" s="21"/>
      <c r="AE863" s="21"/>
      <c r="AN863" s="21"/>
      <c r="AW863" s="21"/>
    </row>
    <row r="864" spans="19:49" x14ac:dyDescent="0.25">
      <c r="S864" s="21"/>
      <c r="V864" s="21"/>
      <c r="AE864" s="21"/>
      <c r="AN864" s="21"/>
      <c r="AW864" s="21"/>
    </row>
    <row r="865" spans="19:49" x14ac:dyDescent="0.25">
      <c r="S865" s="21"/>
      <c r="V865" s="21"/>
      <c r="AE865" s="21"/>
      <c r="AN865" s="21"/>
      <c r="AW865" s="21"/>
    </row>
    <row r="866" spans="19:49" x14ac:dyDescent="0.25">
      <c r="S866" s="21"/>
      <c r="V866" s="21"/>
      <c r="AE866" s="21"/>
      <c r="AN866" s="21"/>
      <c r="AW866" s="21"/>
    </row>
    <row r="867" spans="19:49" x14ac:dyDescent="0.25">
      <c r="S867" s="21"/>
      <c r="V867" s="21"/>
      <c r="AE867" s="21"/>
      <c r="AN867" s="21"/>
      <c r="AW867" s="21"/>
    </row>
    <row r="868" spans="19:49" x14ac:dyDescent="0.25">
      <c r="S868" s="21"/>
      <c r="V868" s="21"/>
      <c r="AE868" s="21"/>
      <c r="AN868" s="21"/>
      <c r="AW868" s="21"/>
    </row>
    <row r="869" spans="19:49" x14ac:dyDescent="0.25">
      <c r="S869" s="21"/>
      <c r="V869" s="21"/>
      <c r="AE869" s="21"/>
      <c r="AN869" s="21"/>
      <c r="AW869" s="21"/>
    </row>
    <row r="870" spans="19:49" x14ac:dyDescent="0.25">
      <c r="S870" s="21"/>
      <c r="V870" s="21"/>
      <c r="AE870" s="21"/>
      <c r="AN870" s="21"/>
      <c r="AW870" s="21"/>
    </row>
    <row r="871" spans="19:49" x14ac:dyDescent="0.25">
      <c r="S871" s="21"/>
      <c r="V871" s="21"/>
      <c r="AE871" s="21"/>
      <c r="AN871" s="21"/>
      <c r="AW871" s="21"/>
    </row>
    <row r="872" spans="19:49" x14ac:dyDescent="0.25">
      <c r="S872" s="21"/>
      <c r="V872" s="21"/>
      <c r="AE872" s="21"/>
      <c r="AN872" s="21"/>
      <c r="AW872" s="21"/>
    </row>
    <row r="873" spans="19:49" x14ac:dyDescent="0.25">
      <c r="S873" s="21"/>
      <c r="V873" s="21"/>
      <c r="AE873" s="21"/>
      <c r="AN873" s="21"/>
      <c r="AW873" s="21"/>
    </row>
    <row r="874" spans="19:49" x14ac:dyDescent="0.25">
      <c r="S874" s="21"/>
      <c r="V874" s="21"/>
      <c r="AE874" s="21"/>
      <c r="AN874" s="21"/>
      <c r="AW874" s="21"/>
    </row>
    <row r="875" spans="19:49" x14ac:dyDescent="0.25">
      <c r="S875" s="21"/>
      <c r="V875" s="21"/>
      <c r="AE875" s="21"/>
      <c r="AN875" s="21"/>
      <c r="AW875" s="21"/>
    </row>
    <row r="876" spans="19:49" x14ac:dyDescent="0.25">
      <c r="S876" s="21"/>
      <c r="V876" s="21"/>
      <c r="AE876" s="21"/>
      <c r="AN876" s="21"/>
      <c r="AW876" s="21"/>
    </row>
    <row r="877" spans="19:49" x14ac:dyDescent="0.25">
      <c r="S877" s="21"/>
      <c r="V877" s="21"/>
      <c r="AE877" s="21"/>
      <c r="AN877" s="21"/>
      <c r="AW877" s="21"/>
    </row>
    <row r="878" spans="19:49" x14ac:dyDescent="0.25">
      <c r="S878" s="21"/>
      <c r="V878" s="21"/>
      <c r="AE878" s="21"/>
      <c r="AN878" s="21"/>
      <c r="AW878" s="21"/>
    </row>
    <row r="879" spans="19:49" x14ac:dyDescent="0.25">
      <c r="S879" s="21"/>
      <c r="V879" s="21"/>
      <c r="AE879" s="21"/>
      <c r="AN879" s="21"/>
      <c r="AW879" s="21"/>
    </row>
    <row r="880" spans="19:49" x14ac:dyDescent="0.25">
      <c r="S880" s="21"/>
      <c r="V880" s="21"/>
      <c r="AE880" s="21"/>
      <c r="AN880" s="21"/>
      <c r="AW880" s="21"/>
    </row>
    <row r="881" spans="19:49" x14ac:dyDescent="0.25">
      <c r="S881" s="21"/>
      <c r="V881" s="21"/>
      <c r="AE881" s="21"/>
      <c r="AN881" s="21"/>
      <c r="AW881" s="21"/>
    </row>
    <row r="882" spans="19:49" x14ac:dyDescent="0.25">
      <c r="S882" s="21"/>
      <c r="V882" s="21"/>
      <c r="AE882" s="21"/>
      <c r="AN882" s="21"/>
      <c r="AW882" s="21"/>
    </row>
    <row r="883" spans="19:49" x14ac:dyDescent="0.25">
      <c r="S883" s="21"/>
      <c r="V883" s="21"/>
      <c r="AE883" s="21"/>
      <c r="AN883" s="21"/>
      <c r="AW883" s="21"/>
    </row>
    <row r="884" spans="19:49" x14ac:dyDescent="0.25">
      <c r="S884" s="21"/>
      <c r="V884" s="21"/>
      <c r="AE884" s="21"/>
      <c r="AN884" s="21"/>
      <c r="AW884" s="21"/>
    </row>
    <row r="885" spans="19:49" x14ac:dyDescent="0.25">
      <c r="S885" s="21"/>
      <c r="V885" s="21"/>
      <c r="AE885" s="21"/>
      <c r="AN885" s="21"/>
      <c r="AW885" s="21"/>
    </row>
    <row r="886" spans="19:49" x14ac:dyDescent="0.25">
      <c r="S886" s="21"/>
      <c r="V886" s="21"/>
      <c r="AE886" s="21"/>
      <c r="AN886" s="21"/>
      <c r="AW886" s="21"/>
    </row>
    <row r="887" spans="19:49" x14ac:dyDescent="0.25">
      <c r="S887" s="21"/>
      <c r="V887" s="21"/>
      <c r="AE887" s="21"/>
      <c r="AN887" s="21"/>
      <c r="AW887" s="21"/>
    </row>
    <row r="888" spans="19:49" x14ac:dyDescent="0.25">
      <c r="S888" s="21"/>
      <c r="V888" s="21"/>
      <c r="AE888" s="21"/>
      <c r="AN888" s="21"/>
      <c r="AW888" s="21"/>
    </row>
    <row r="889" spans="19:49" x14ac:dyDescent="0.25">
      <c r="S889" s="21"/>
      <c r="V889" s="21"/>
      <c r="AE889" s="21"/>
      <c r="AN889" s="21"/>
      <c r="AW889" s="21"/>
    </row>
    <row r="890" spans="19:49" x14ac:dyDescent="0.25">
      <c r="S890" s="21"/>
      <c r="V890" s="21"/>
      <c r="AE890" s="21"/>
      <c r="AN890" s="21"/>
      <c r="AW890" s="21"/>
    </row>
    <row r="891" spans="19:49" x14ac:dyDescent="0.25">
      <c r="S891" s="21"/>
      <c r="V891" s="21"/>
      <c r="AE891" s="21"/>
      <c r="AN891" s="21"/>
      <c r="AW891" s="21"/>
    </row>
    <row r="892" spans="19:49" x14ac:dyDescent="0.25">
      <c r="S892" s="21"/>
      <c r="V892" s="21"/>
      <c r="AE892" s="21"/>
      <c r="AN892" s="21"/>
      <c r="AW892" s="21"/>
    </row>
    <row r="893" spans="19:49" x14ac:dyDescent="0.25">
      <c r="S893" s="21"/>
      <c r="V893" s="21"/>
      <c r="AE893" s="21"/>
      <c r="AN893" s="21"/>
      <c r="AW893" s="21"/>
    </row>
    <row r="894" spans="19:49" x14ac:dyDescent="0.25">
      <c r="S894" s="21"/>
      <c r="V894" s="21"/>
      <c r="AE894" s="21"/>
      <c r="AN894" s="21"/>
      <c r="AW894" s="21"/>
    </row>
    <row r="895" spans="19:49" x14ac:dyDescent="0.25">
      <c r="S895" s="21"/>
      <c r="V895" s="21"/>
      <c r="AE895" s="21"/>
      <c r="AN895" s="21"/>
      <c r="AW895" s="21"/>
    </row>
    <row r="896" spans="19:49" x14ac:dyDescent="0.25">
      <c r="S896" s="21"/>
      <c r="V896" s="21"/>
      <c r="AE896" s="21"/>
      <c r="AN896" s="21"/>
      <c r="AW896" s="21"/>
    </row>
    <row r="897" spans="19:49" x14ac:dyDescent="0.25">
      <c r="S897" s="21"/>
      <c r="V897" s="21"/>
      <c r="AE897" s="21"/>
      <c r="AN897" s="21"/>
      <c r="AW897" s="21"/>
    </row>
    <row r="898" spans="19:49" x14ac:dyDescent="0.25">
      <c r="S898" s="21"/>
      <c r="V898" s="21"/>
      <c r="AE898" s="21"/>
      <c r="AN898" s="21"/>
      <c r="AW898" s="21"/>
    </row>
    <row r="899" spans="19:49" x14ac:dyDescent="0.25">
      <c r="S899" s="21"/>
      <c r="V899" s="21"/>
      <c r="AE899" s="21"/>
      <c r="AN899" s="21"/>
      <c r="AW899" s="21"/>
    </row>
    <row r="900" spans="19:49" x14ac:dyDescent="0.25">
      <c r="S900" s="21"/>
      <c r="V900" s="21"/>
      <c r="AE900" s="21"/>
      <c r="AN900" s="21"/>
      <c r="AW900" s="21"/>
    </row>
    <row r="901" spans="19:49" x14ac:dyDescent="0.25">
      <c r="S901" s="21"/>
      <c r="V901" s="21"/>
      <c r="AE901" s="21"/>
      <c r="AN901" s="21"/>
      <c r="AW901" s="21"/>
    </row>
    <row r="902" spans="19:49" x14ac:dyDescent="0.25">
      <c r="S902" s="21"/>
      <c r="V902" s="21"/>
      <c r="AE902" s="21"/>
      <c r="AN902" s="21"/>
      <c r="AW902" s="21"/>
    </row>
    <row r="903" spans="19:49" x14ac:dyDescent="0.25">
      <c r="S903" s="21"/>
      <c r="V903" s="21"/>
      <c r="AE903" s="21"/>
      <c r="AN903" s="21"/>
      <c r="AW903" s="21"/>
    </row>
    <row r="904" spans="19:49" x14ac:dyDescent="0.25">
      <c r="S904" s="21"/>
      <c r="V904" s="21"/>
      <c r="AE904" s="21"/>
      <c r="AN904" s="21"/>
      <c r="AW904" s="21"/>
    </row>
    <row r="905" spans="19:49" x14ac:dyDescent="0.25">
      <c r="S905" s="21"/>
      <c r="V905" s="21"/>
      <c r="AE905" s="21"/>
      <c r="AN905" s="21"/>
      <c r="AW905" s="21"/>
    </row>
    <row r="906" spans="19:49" x14ac:dyDescent="0.25">
      <c r="S906" s="21"/>
      <c r="V906" s="21"/>
      <c r="AE906" s="21"/>
      <c r="AN906" s="21"/>
      <c r="AW906" s="21"/>
    </row>
    <row r="907" spans="19:49" x14ac:dyDescent="0.25">
      <c r="S907" s="21"/>
      <c r="V907" s="21"/>
      <c r="AE907" s="21"/>
      <c r="AN907" s="21"/>
      <c r="AW907" s="21"/>
    </row>
    <row r="908" spans="19:49" x14ac:dyDescent="0.25">
      <c r="S908" s="21"/>
      <c r="V908" s="21"/>
      <c r="AE908" s="21"/>
      <c r="AN908" s="21"/>
      <c r="AW908" s="21"/>
    </row>
    <row r="909" spans="19:49" x14ac:dyDescent="0.25">
      <c r="S909" s="21"/>
      <c r="V909" s="21"/>
      <c r="AE909" s="21"/>
      <c r="AN909" s="21"/>
      <c r="AW909" s="21"/>
    </row>
    <row r="910" spans="19:49" x14ac:dyDescent="0.25">
      <c r="S910" s="21"/>
      <c r="V910" s="21"/>
      <c r="AE910" s="21"/>
      <c r="AN910" s="21"/>
      <c r="AW910" s="21"/>
    </row>
    <row r="911" spans="19:49" x14ac:dyDescent="0.25">
      <c r="S911" s="21"/>
      <c r="V911" s="21"/>
      <c r="AE911" s="21"/>
      <c r="AN911" s="21"/>
      <c r="AW911" s="21"/>
    </row>
    <row r="912" spans="19:49" x14ac:dyDescent="0.25">
      <c r="S912" s="21"/>
      <c r="V912" s="21"/>
      <c r="AE912" s="21"/>
      <c r="AN912" s="21"/>
      <c r="AW912" s="21"/>
    </row>
    <row r="913" spans="19:49" x14ac:dyDescent="0.25">
      <c r="S913" s="21"/>
      <c r="V913" s="21"/>
      <c r="AE913" s="21"/>
      <c r="AN913" s="21"/>
      <c r="AW913" s="21"/>
    </row>
    <row r="914" spans="19:49" x14ac:dyDescent="0.25">
      <c r="S914" s="21"/>
      <c r="V914" s="21"/>
      <c r="AE914" s="21"/>
      <c r="AN914" s="21"/>
      <c r="AW914" s="21"/>
    </row>
    <row r="915" spans="19:49" x14ac:dyDescent="0.25">
      <c r="S915" s="21"/>
      <c r="V915" s="21"/>
      <c r="AE915" s="21"/>
      <c r="AN915" s="21"/>
      <c r="AW915" s="21"/>
    </row>
    <row r="916" spans="19:49" x14ac:dyDescent="0.25">
      <c r="S916" s="21"/>
      <c r="V916" s="21"/>
      <c r="AE916" s="21"/>
      <c r="AN916" s="21"/>
      <c r="AW916" s="21"/>
    </row>
    <row r="917" spans="19:49" x14ac:dyDescent="0.25">
      <c r="S917" s="21"/>
      <c r="V917" s="21"/>
      <c r="AE917" s="21"/>
      <c r="AN917" s="21"/>
      <c r="AW917" s="21"/>
    </row>
    <row r="918" spans="19:49" x14ac:dyDescent="0.25">
      <c r="S918" s="21"/>
      <c r="V918" s="21"/>
      <c r="AE918" s="21"/>
      <c r="AN918" s="21"/>
      <c r="AW918" s="21"/>
    </row>
    <row r="919" spans="19:49" x14ac:dyDescent="0.25">
      <c r="S919" s="21"/>
      <c r="V919" s="21"/>
      <c r="AE919" s="21"/>
      <c r="AN919" s="21"/>
      <c r="AW919" s="21"/>
    </row>
    <row r="920" spans="19:49" x14ac:dyDescent="0.25">
      <c r="S920" s="21"/>
      <c r="V920" s="21"/>
      <c r="AE920" s="21"/>
      <c r="AN920" s="21"/>
      <c r="AW920" s="21"/>
    </row>
    <row r="921" spans="19:49" x14ac:dyDescent="0.25">
      <c r="S921" s="21"/>
      <c r="V921" s="21"/>
      <c r="AE921" s="21"/>
      <c r="AN921" s="21"/>
      <c r="AW921" s="21"/>
    </row>
    <row r="922" spans="19:49" x14ac:dyDescent="0.25">
      <c r="S922" s="21"/>
      <c r="V922" s="21"/>
      <c r="AE922" s="21"/>
      <c r="AN922" s="21"/>
      <c r="AW922" s="21"/>
    </row>
    <row r="923" spans="19:49" x14ac:dyDescent="0.25">
      <c r="S923" s="21"/>
      <c r="V923" s="21"/>
      <c r="AE923" s="21"/>
      <c r="AN923" s="21"/>
      <c r="AW923" s="21"/>
    </row>
    <row r="924" spans="19:49" x14ac:dyDescent="0.25">
      <c r="S924" s="21"/>
      <c r="V924" s="21"/>
      <c r="AE924" s="21"/>
      <c r="AN924" s="21"/>
      <c r="AW924" s="21"/>
    </row>
    <row r="925" spans="19:49" x14ac:dyDescent="0.25">
      <c r="S925" s="21"/>
      <c r="V925" s="21"/>
      <c r="AE925" s="21"/>
      <c r="AN925" s="21"/>
      <c r="AW925" s="21"/>
    </row>
    <row r="926" spans="19:49" x14ac:dyDescent="0.25">
      <c r="S926" s="21"/>
      <c r="V926" s="21"/>
      <c r="AE926" s="21"/>
      <c r="AN926" s="21"/>
      <c r="AW926" s="21"/>
    </row>
    <row r="927" spans="19:49" x14ac:dyDescent="0.25">
      <c r="S927" s="21"/>
      <c r="V927" s="21"/>
      <c r="AE927" s="21"/>
      <c r="AN927" s="21"/>
      <c r="AW927" s="21"/>
    </row>
    <row r="928" spans="19:49" x14ac:dyDescent="0.25">
      <c r="S928" s="21"/>
      <c r="V928" s="21"/>
      <c r="AE928" s="21"/>
      <c r="AN928" s="21"/>
      <c r="AW928" s="21"/>
    </row>
    <row r="929" spans="19:49" x14ac:dyDescent="0.25">
      <c r="S929" s="21"/>
      <c r="V929" s="21"/>
      <c r="AE929" s="21"/>
      <c r="AN929" s="21"/>
      <c r="AW929" s="21"/>
    </row>
    <row r="930" spans="19:49" x14ac:dyDescent="0.25">
      <c r="S930" s="21"/>
      <c r="V930" s="21"/>
      <c r="AE930" s="21"/>
      <c r="AN930" s="21"/>
      <c r="AW930" s="21"/>
    </row>
    <row r="931" spans="19:49" x14ac:dyDescent="0.25">
      <c r="S931" s="21"/>
      <c r="V931" s="21"/>
      <c r="AE931" s="21"/>
      <c r="AN931" s="21"/>
      <c r="AW931" s="21"/>
    </row>
    <row r="932" spans="19:49" x14ac:dyDescent="0.25">
      <c r="S932" s="21"/>
      <c r="V932" s="21"/>
      <c r="AE932" s="21"/>
      <c r="AN932" s="21"/>
      <c r="AW932" s="21"/>
    </row>
    <row r="933" spans="19:49" x14ac:dyDescent="0.25">
      <c r="S933" s="21"/>
      <c r="V933" s="21"/>
      <c r="AE933" s="21"/>
      <c r="AN933" s="21"/>
      <c r="AW933" s="21"/>
    </row>
    <row r="934" spans="19:49" x14ac:dyDescent="0.25">
      <c r="S934" s="21"/>
      <c r="V934" s="21"/>
      <c r="AE934" s="21"/>
      <c r="AN934" s="21"/>
      <c r="AW934" s="21"/>
    </row>
    <row r="935" spans="19:49" x14ac:dyDescent="0.25">
      <c r="S935" s="21"/>
      <c r="V935" s="21"/>
      <c r="AE935" s="21"/>
      <c r="AN935" s="21"/>
      <c r="AW935" s="21"/>
    </row>
    <row r="936" spans="19:49" x14ac:dyDescent="0.25">
      <c r="S936" s="21"/>
      <c r="V936" s="21"/>
      <c r="AE936" s="21"/>
      <c r="AN936" s="21"/>
      <c r="AW936" s="21"/>
    </row>
    <row r="937" spans="19:49" x14ac:dyDescent="0.25">
      <c r="S937" s="21"/>
      <c r="V937" s="21"/>
      <c r="AE937" s="21"/>
      <c r="AN937" s="21"/>
      <c r="AW937" s="21"/>
    </row>
    <row r="938" spans="19:49" x14ac:dyDescent="0.25">
      <c r="S938" s="21"/>
      <c r="V938" s="21"/>
      <c r="AE938" s="21"/>
      <c r="AN938" s="21"/>
      <c r="AW938" s="21"/>
    </row>
    <row r="939" spans="19:49" x14ac:dyDescent="0.25">
      <c r="S939" s="21"/>
      <c r="V939" s="21"/>
      <c r="AE939" s="21"/>
      <c r="AN939" s="21"/>
      <c r="AW939" s="21"/>
    </row>
    <row r="940" spans="19:49" x14ac:dyDescent="0.25">
      <c r="S940" s="21"/>
      <c r="V940" s="21"/>
      <c r="AE940" s="21"/>
      <c r="AN940" s="21"/>
      <c r="AW940" s="21"/>
    </row>
    <row r="941" spans="19:49" x14ac:dyDescent="0.25">
      <c r="S941" s="21"/>
      <c r="V941" s="21"/>
      <c r="AE941" s="21"/>
      <c r="AN941" s="21"/>
      <c r="AW941" s="21"/>
    </row>
    <row r="942" spans="19:49" x14ac:dyDescent="0.25">
      <c r="S942" s="21"/>
      <c r="V942" s="21"/>
      <c r="AE942" s="21"/>
      <c r="AN942" s="21"/>
      <c r="AW942" s="21"/>
    </row>
    <row r="943" spans="19:49" x14ac:dyDescent="0.25">
      <c r="S943" s="21"/>
      <c r="V943" s="21"/>
      <c r="AE943" s="21"/>
      <c r="AN943" s="21"/>
      <c r="AW943" s="21"/>
    </row>
    <row r="944" spans="19:49" x14ac:dyDescent="0.25">
      <c r="S944" s="21"/>
      <c r="V944" s="21"/>
      <c r="AE944" s="21"/>
      <c r="AN944" s="21"/>
      <c r="AW944" s="21"/>
    </row>
    <row r="945" spans="19:49" x14ac:dyDescent="0.25">
      <c r="S945" s="21"/>
      <c r="V945" s="21"/>
      <c r="AE945" s="21"/>
      <c r="AN945" s="21"/>
      <c r="AW945" s="21"/>
    </row>
    <row r="946" spans="19:49" x14ac:dyDescent="0.25">
      <c r="S946" s="21"/>
      <c r="V946" s="21"/>
      <c r="AE946" s="21"/>
      <c r="AN946" s="21"/>
      <c r="AW946" s="21"/>
    </row>
    <row r="947" spans="19:49" x14ac:dyDescent="0.25">
      <c r="S947" s="21"/>
      <c r="V947" s="21"/>
      <c r="AE947" s="21"/>
      <c r="AN947" s="21"/>
      <c r="AW947" s="21"/>
    </row>
    <row r="948" spans="19:49" x14ac:dyDescent="0.25">
      <c r="S948" s="21"/>
      <c r="V948" s="21"/>
      <c r="AE948" s="21"/>
      <c r="AN948" s="21"/>
      <c r="AW948" s="21"/>
    </row>
    <row r="949" spans="19:49" x14ac:dyDescent="0.25">
      <c r="S949" s="21"/>
      <c r="V949" s="21"/>
      <c r="AE949" s="21"/>
      <c r="AN949" s="21"/>
      <c r="AW949" s="21"/>
    </row>
    <row r="950" spans="19:49" x14ac:dyDescent="0.25">
      <c r="S950" s="21"/>
      <c r="V950" s="21"/>
      <c r="AE950" s="21"/>
      <c r="AN950" s="21"/>
      <c r="AW950" s="21"/>
    </row>
    <row r="951" spans="19:49" x14ac:dyDescent="0.25">
      <c r="S951" s="21"/>
      <c r="V951" s="21"/>
      <c r="AE951" s="21"/>
      <c r="AN951" s="21"/>
      <c r="AW951" s="21"/>
    </row>
    <row r="952" spans="19:49" x14ac:dyDescent="0.25">
      <c r="S952" s="21"/>
      <c r="V952" s="21"/>
      <c r="AE952" s="21"/>
      <c r="AN952" s="21"/>
      <c r="AW952" s="21"/>
    </row>
    <row r="953" spans="19:49" x14ac:dyDescent="0.25">
      <c r="S953" s="21"/>
      <c r="V953" s="21"/>
      <c r="AE953" s="21"/>
      <c r="AN953" s="21"/>
      <c r="AW953" s="21"/>
    </row>
    <row r="954" spans="19:49" x14ac:dyDescent="0.25">
      <c r="S954" s="21"/>
      <c r="V954" s="21"/>
      <c r="AE954" s="21"/>
      <c r="AN954" s="21"/>
      <c r="AW954" s="21"/>
    </row>
    <row r="955" spans="19:49" x14ac:dyDescent="0.25">
      <c r="S955" s="21"/>
      <c r="V955" s="21"/>
      <c r="AE955" s="21"/>
      <c r="AN955" s="21"/>
      <c r="AW955" s="21"/>
    </row>
    <row r="956" spans="19:49" x14ac:dyDescent="0.25">
      <c r="S956" s="21"/>
      <c r="V956" s="21"/>
      <c r="AE956" s="21"/>
      <c r="AN956" s="21"/>
      <c r="AW956" s="21"/>
    </row>
    <row r="957" spans="19:49" x14ac:dyDescent="0.25">
      <c r="S957" s="21"/>
      <c r="V957" s="21"/>
      <c r="AE957" s="21"/>
      <c r="AN957" s="21"/>
      <c r="AW957" s="21"/>
    </row>
    <row r="958" spans="19:49" x14ac:dyDescent="0.25">
      <c r="S958" s="21"/>
      <c r="V958" s="21"/>
      <c r="AE958" s="21"/>
      <c r="AN958" s="21"/>
      <c r="AW958" s="21"/>
    </row>
    <row r="959" spans="19:49" x14ac:dyDescent="0.25">
      <c r="S959" s="21"/>
      <c r="V959" s="21"/>
      <c r="AE959" s="21"/>
      <c r="AN959" s="21"/>
      <c r="AW959" s="21"/>
    </row>
    <row r="960" spans="19:49" x14ac:dyDescent="0.25">
      <c r="S960" s="21"/>
      <c r="V960" s="21"/>
      <c r="AE960" s="21"/>
      <c r="AN960" s="21"/>
      <c r="AW960" s="21"/>
    </row>
    <row r="961" spans="19:49" x14ac:dyDescent="0.25">
      <c r="S961" s="21"/>
      <c r="V961" s="21"/>
      <c r="AE961" s="21"/>
      <c r="AN961" s="21"/>
      <c r="AW961" s="21"/>
    </row>
    <row r="962" spans="19:49" x14ac:dyDescent="0.25">
      <c r="S962" s="21"/>
      <c r="V962" s="21"/>
      <c r="AE962" s="21"/>
      <c r="AN962" s="21"/>
      <c r="AW962" s="21"/>
    </row>
    <row r="963" spans="19:49" x14ac:dyDescent="0.25">
      <c r="S963" s="21"/>
      <c r="V963" s="21"/>
      <c r="AE963" s="21"/>
      <c r="AN963" s="21"/>
      <c r="AW963" s="21"/>
    </row>
    <row r="964" spans="19:49" x14ac:dyDescent="0.25">
      <c r="S964" s="21"/>
      <c r="V964" s="21"/>
      <c r="AE964" s="21"/>
      <c r="AN964" s="21"/>
      <c r="AW964" s="21"/>
    </row>
    <row r="965" spans="19:49" x14ac:dyDescent="0.25">
      <c r="S965" s="21"/>
      <c r="V965" s="21"/>
      <c r="AE965" s="21"/>
      <c r="AN965" s="21"/>
      <c r="AW965" s="21"/>
    </row>
    <row r="966" spans="19:49" x14ac:dyDescent="0.25">
      <c r="S966" s="21"/>
      <c r="V966" s="21"/>
      <c r="AE966" s="21"/>
      <c r="AN966" s="21"/>
      <c r="AW966" s="21"/>
    </row>
    <row r="967" spans="19:49" x14ac:dyDescent="0.25">
      <c r="S967" s="21"/>
      <c r="V967" s="21"/>
      <c r="AE967" s="21"/>
      <c r="AN967" s="21"/>
      <c r="AW967" s="21"/>
    </row>
    <row r="968" spans="19:49" x14ac:dyDescent="0.25">
      <c r="S968" s="21"/>
      <c r="V968" s="21"/>
      <c r="AE968" s="21"/>
      <c r="AN968" s="21"/>
      <c r="AW968" s="21"/>
    </row>
    <row r="969" spans="19:49" x14ac:dyDescent="0.25">
      <c r="S969" s="21"/>
      <c r="V969" s="21"/>
      <c r="AE969" s="21"/>
      <c r="AN969" s="21"/>
      <c r="AW969" s="21"/>
    </row>
    <row r="970" spans="19:49" x14ac:dyDescent="0.25">
      <c r="S970" s="21"/>
      <c r="V970" s="21"/>
      <c r="AE970" s="21"/>
      <c r="AN970" s="21"/>
      <c r="AW970" s="21"/>
    </row>
    <row r="971" spans="19:49" x14ac:dyDescent="0.25">
      <c r="S971" s="21"/>
      <c r="V971" s="21"/>
      <c r="AE971" s="21"/>
      <c r="AN971" s="21"/>
      <c r="AW971" s="21"/>
    </row>
    <row r="972" spans="19:49" x14ac:dyDescent="0.25">
      <c r="S972" s="21"/>
      <c r="V972" s="21"/>
      <c r="AE972" s="21"/>
      <c r="AN972" s="21"/>
      <c r="AW972" s="21"/>
    </row>
    <row r="973" spans="19:49" x14ac:dyDescent="0.25">
      <c r="S973" s="21"/>
      <c r="V973" s="21"/>
      <c r="AE973" s="21"/>
      <c r="AN973" s="21"/>
      <c r="AW973" s="21"/>
    </row>
    <row r="974" spans="19:49" x14ac:dyDescent="0.25">
      <c r="S974" s="21"/>
      <c r="V974" s="21"/>
      <c r="AE974" s="21"/>
      <c r="AN974" s="21"/>
      <c r="AW974" s="21"/>
    </row>
    <row r="975" spans="19:49" x14ac:dyDescent="0.25">
      <c r="S975" s="21"/>
      <c r="V975" s="21"/>
      <c r="AE975" s="21"/>
      <c r="AN975" s="21"/>
      <c r="AW975" s="21"/>
    </row>
    <row r="976" spans="19:49" x14ac:dyDescent="0.25">
      <c r="S976" s="21"/>
      <c r="V976" s="21"/>
      <c r="AE976" s="21"/>
      <c r="AN976" s="21"/>
      <c r="AW976" s="21"/>
    </row>
    <row r="977" spans="19:49" x14ac:dyDescent="0.25">
      <c r="S977" s="21"/>
      <c r="V977" s="21"/>
      <c r="AE977" s="21"/>
      <c r="AN977" s="21"/>
      <c r="AW977" s="21"/>
    </row>
    <row r="978" spans="19:49" x14ac:dyDescent="0.25">
      <c r="S978" s="21"/>
      <c r="V978" s="21"/>
      <c r="AE978" s="21"/>
      <c r="AN978" s="21"/>
      <c r="AW978" s="21"/>
    </row>
  </sheetData>
  <conditionalFormatting sqref="D2:D1048576">
    <cfRule type="cellIs" dxfId="9" priority="1" operator="greaterThan">
      <formula>77</formula>
    </cfRule>
    <cfRule type="cellIs" dxfId="8" priority="19" operator="greaterThan">
      <formula>80</formula>
    </cfRule>
  </conditionalFormatting>
  <conditionalFormatting sqref="S1:S1048576 V1:V1048576 AE1:AE1048576 AN1:AN1048576 AW1:AW1048576">
    <cfRule type="containsText" dxfId="7" priority="3" operator="containsText" text="NEGATIVE">
      <formula>NOT(ISERROR(SEARCH("NEGATIVE",S1)))</formula>
    </cfRule>
    <cfRule type="containsText" dxfId="6" priority="4" operator="containsText" text="POSITIVE">
      <formula>NOT(ISERROR(SEARCH("POSITIVE",S1)))</formula>
    </cfRule>
    <cfRule type="containsText" dxfId="5" priority="5" operator="containsText" text="SELL">
      <formula>NOT(ISERROR(SEARCH("SELL",S1)))</formula>
    </cfRule>
    <cfRule type="containsText" dxfId="4" priority="6" operator="containsText" text="BUY">
      <formula>NOT(ISERROR(SEARCH("BUY",S1)))</formula>
    </cfRule>
  </conditionalFormatting>
  <conditionalFormatting sqref="T1:T1048576">
    <cfRule type="containsText" dxfId="3" priority="2" operator="containsText" text="UP">
      <formula>NOT(ISERROR(SEARCH("UP",T1)))</formula>
    </cfRule>
  </conditionalFormatting>
  <conditionalFormatting sqref="AX2:AX61">
    <cfRule type="cellIs" dxfId="2" priority="32" operator="greaterThan">
      <formula>90</formula>
    </cfRule>
    <cfRule type="containsText" dxfId="1" priority="33" operator="containsText" text="SELL">
      <formula>NOT(ISERROR(SEARCH("SELL",AX2)))</formula>
    </cfRule>
    <cfRule type="containsText" dxfId="0" priority="34" operator="containsText" text="BUY">
      <formula>NOT(ISERROR(SEARCH("BUY",AX2)))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AB488-8833-4135-9499-66CA5D1C97F7}">
  <sheetPr codeName="Sheet4">
    <tabColor rgb="FFFF0000"/>
  </sheetPr>
  <dimension ref="A3:C62"/>
  <sheetViews>
    <sheetView topLeftCell="A22" workbookViewId="0">
      <selection activeCell="C48" sqref="C48"/>
    </sheetView>
  </sheetViews>
  <sheetFormatPr defaultRowHeight="15" x14ac:dyDescent="0.25"/>
  <cols>
    <col min="1" max="1" width="30.42578125" bestFit="1" customWidth="1"/>
    <col min="2" max="2" width="14" bestFit="1" customWidth="1"/>
    <col min="3" max="3" width="26.7109375" bestFit="1" customWidth="1"/>
  </cols>
  <sheetData>
    <row r="3" spans="1:3" x14ac:dyDescent="0.25">
      <c r="A3" s="27" t="s">
        <v>945</v>
      </c>
      <c r="B3" t="s">
        <v>947</v>
      </c>
      <c r="C3" t="s">
        <v>948</v>
      </c>
    </row>
    <row r="4" spans="1:3" x14ac:dyDescent="0.25">
      <c r="A4" s="28" t="s">
        <v>239</v>
      </c>
      <c r="B4" s="34">
        <v>39.097761892328386</v>
      </c>
      <c r="C4" s="34">
        <v>4.032</v>
      </c>
    </row>
    <row r="5" spans="1:3" x14ac:dyDescent="0.25">
      <c r="A5" s="28" t="s">
        <v>224</v>
      </c>
      <c r="B5" s="34">
        <v>49.098245766275461</v>
      </c>
      <c r="C5" s="34">
        <v>4.3068571428571429</v>
      </c>
    </row>
    <row r="6" spans="1:3" x14ac:dyDescent="0.25">
      <c r="A6" s="28" t="s">
        <v>192</v>
      </c>
      <c r="B6" s="34">
        <v>55.311670939343109</v>
      </c>
      <c r="C6" s="34">
        <v>3.8797058823529409</v>
      </c>
    </row>
    <row r="7" spans="1:3" x14ac:dyDescent="0.25">
      <c r="A7" s="28" t="s">
        <v>216</v>
      </c>
      <c r="B7" s="34">
        <v>49.420419459544327</v>
      </c>
      <c r="C7" s="34">
        <v>2.0139189189189195</v>
      </c>
    </row>
    <row r="8" spans="1:3" x14ac:dyDescent="0.25">
      <c r="A8" s="28" t="s">
        <v>195</v>
      </c>
      <c r="B8" s="34">
        <v>54.439860720387557</v>
      </c>
      <c r="C8" s="34">
        <v>3.905689655172413</v>
      </c>
    </row>
    <row r="9" spans="1:3" x14ac:dyDescent="0.25">
      <c r="A9" s="28" t="s">
        <v>218</v>
      </c>
      <c r="B9" s="34">
        <v>58.683467071702552</v>
      </c>
      <c r="C9" s="34">
        <v>3.4293006993006991</v>
      </c>
    </row>
    <row r="10" spans="1:3" x14ac:dyDescent="0.25">
      <c r="A10" s="28" t="s">
        <v>198</v>
      </c>
      <c r="B10" s="34">
        <v>64.608609803245812</v>
      </c>
      <c r="C10" s="34">
        <v>3.4599999999999986</v>
      </c>
    </row>
    <row r="11" spans="1:3" x14ac:dyDescent="0.25">
      <c r="A11" s="28" t="s">
        <v>204</v>
      </c>
      <c r="B11" s="34">
        <v>49.849180178854958</v>
      </c>
      <c r="C11" s="34">
        <v>4.4365491183879096</v>
      </c>
    </row>
    <row r="12" spans="1:3" x14ac:dyDescent="0.25">
      <c r="A12" s="28" t="s">
        <v>244</v>
      </c>
      <c r="B12" s="34">
        <v>63.121782435909928</v>
      </c>
      <c r="C12" s="34">
        <v>3.7441666666666662</v>
      </c>
    </row>
    <row r="13" spans="1:3" x14ac:dyDescent="0.25">
      <c r="A13" s="28" t="s">
        <v>213</v>
      </c>
      <c r="B13" s="34">
        <v>65.946031240065693</v>
      </c>
      <c r="C13" s="34">
        <v>3.701714285714286</v>
      </c>
    </row>
    <row r="14" spans="1:3" x14ac:dyDescent="0.25">
      <c r="A14" s="28" t="s">
        <v>205</v>
      </c>
      <c r="B14" s="34">
        <v>45.497392889954966</v>
      </c>
      <c r="C14" s="34">
        <v>3.8049350649350635</v>
      </c>
    </row>
    <row r="15" spans="1:3" x14ac:dyDescent="0.25">
      <c r="A15" s="28" t="s">
        <v>235</v>
      </c>
      <c r="B15" s="34">
        <v>59.621849358187227</v>
      </c>
      <c r="C15" s="34">
        <v>4.12</v>
      </c>
    </row>
    <row r="16" spans="1:3" x14ac:dyDescent="0.25">
      <c r="A16" s="28" t="s">
        <v>229</v>
      </c>
      <c r="B16" s="34">
        <v>46.951356912087938</v>
      </c>
      <c r="C16" s="34">
        <v>4.1007692307692309</v>
      </c>
    </row>
    <row r="17" spans="1:3" x14ac:dyDescent="0.25">
      <c r="A17" s="28" t="s">
        <v>233</v>
      </c>
      <c r="B17" s="34">
        <v>66.718696314064729</v>
      </c>
      <c r="C17" s="34">
        <v>4.0999999999999996</v>
      </c>
    </row>
    <row r="18" spans="1:3" x14ac:dyDescent="0.25">
      <c r="A18" s="28" t="s">
        <v>209</v>
      </c>
      <c r="B18" s="34">
        <v>70.590657644528392</v>
      </c>
      <c r="C18" s="34">
        <v>3.96875</v>
      </c>
    </row>
    <row r="19" spans="1:3" x14ac:dyDescent="0.25">
      <c r="A19" s="28" t="s">
        <v>238</v>
      </c>
      <c r="B19" s="34">
        <v>41.581244026984301</v>
      </c>
      <c r="C19" s="34">
        <v>3.5948148148148147</v>
      </c>
    </row>
    <row r="20" spans="1:3" x14ac:dyDescent="0.25">
      <c r="A20" s="28" t="s">
        <v>228</v>
      </c>
      <c r="B20" s="34">
        <v>63.249563454193051</v>
      </c>
      <c r="C20" s="34">
        <v>3.7830434782608706</v>
      </c>
    </row>
    <row r="21" spans="1:3" x14ac:dyDescent="0.25">
      <c r="A21" s="28" t="s">
        <v>217</v>
      </c>
      <c r="B21" s="34">
        <v>60.060190895945972</v>
      </c>
      <c r="C21" s="34">
        <v>4.0379746835443031</v>
      </c>
    </row>
    <row r="22" spans="1:3" x14ac:dyDescent="0.25">
      <c r="A22" s="28" t="s">
        <v>220</v>
      </c>
      <c r="B22" s="34">
        <v>63.666455176230109</v>
      </c>
      <c r="C22" s="34">
        <v>4.2939534883720931</v>
      </c>
    </row>
    <row r="23" spans="1:3" x14ac:dyDescent="0.25">
      <c r="A23" s="28" t="s">
        <v>214</v>
      </c>
      <c r="B23" s="34">
        <v>43.055755791445776</v>
      </c>
      <c r="C23" s="34">
        <v>3.9762068965517243</v>
      </c>
    </row>
    <row r="24" spans="1:3" x14ac:dyDescent="0.25">
      <c r="A24" s="28" t="s">
        <v>230</v>
      </c>
      <c r="B24" s="34">
        <v>59.243937261146066</v>
      </c>
      <c r="C24" s="34">
        <v>3.5379545454545451</v>
      </c>
    </row>
    <row r="25" spans="1:3" x14ac:dyDescent="0.25">
      <c r="A25" s="28" t="s">
        <v>246</v>
      </c>
      <c r="B25" s="34">
        <v>66.38812480687298</v>
      </c>
      <c r="C25" s="34">
        <v>4.128571428571429</v>
      </c>
    </row>
    <row r="26" spans="1:3" x14ac:dyDescent="0.25">
      <c r="A26" s="28" t="s">
        <v>243</v>
      </c>
      <c r="B26" s="34">
        <v>58.505885115067031</v>
      </c>
      <c r="C26" s="34">
        <v>4.244761904761905</v>
      </c>
    </row>
    <row r="27" spans="1:3" x14ac:dyDescent="0.25">
      <c r="A27" s="28" t="s">
        <v>223</v>
      </c>
      <c r="B27" s="34">
        <v>49.63255449392085</v>
      </c>
      <c r="C27" s="34">
        <v>3.9679746835443055</v>
      </c>
    </row>
    <row r="28" spans="1:3" x14ac:dyDescent="0.25">
      <c r="A28" s="28" t="s">
        <v>240</v>
      </c>
      <c r="B28" s="34">
        <v>64.745169126412819</v>
      </c>
      <c r="C28" s="34">
        <v>3.6278571428571427</v>
      </c>
    </row>
    <row r="29" spans="1:3" x14ac:dyDescent="0.25">
      <c r="A29" s="28" t="s">
        <v>237</v>
      </c>
      <c r="B29" s="34">
        <v>63.110583902587877</v>
      </c>
      <c r="C29" s="34">
        <v>3.4035483870967735</v>
      </c>
    </row>
    <row r="30" spans="1:3" x14ac:dyDescent="0.25">
      <c r="A30" s="28" t="s">
        <v>248</v>
      </c>
      <c r="B30" s="34">
        <v>60.922751794330232</v>
      </c>
      <c r="C30" s="34">
        <v>3.6808333333333327</v>
      </c>
    </row>
    <row r="31" spans="1:3" x14ac:dyDescent="0.25">
      <c r="A31" s="28" t="s">
        <v>245</v>
      </c>
      <c r="B31" s="34">
        <v>64.117823587038885</v>
      </c>
      <c r="C31" s="34">
        <v>3.5920000000000001</v>
      </c>
    </row>
    <row r="32" spans="1:3" x14ac:dyDescent="0.25">
      <c r="A32" s="28" t="s">
        <v>231</v>
      </c>
      <c r="B32" s="34">
        <v>61.219501582818147</v>
      </c>
      <c r="C32" s="34">
        <v>4.0318518518518509</v>
      </c>
    </row>
    <row r="33" spans="1:3" x14ac:dyDescent="0.25">
      <c r="A33" s="28" t="s">
        <v>203</v>
      </c>
      <c r="B33" s="34">
        <v>48.910456262213977</v>
      </c>
      <c r="C33" s="34">
        <v>3.3363888888888891</v>
      </c>
    </row>
    <row r="34" spans="1:3" x14ac:dyDescent="0.25">
      <c r="A34" s="28" t="s">
        <v>219</v>
      </c>
      <c r="B34" s="34">
        <v>47.947993524762786</v>
      </c>
      <c r="C34" s="34">
        <v>3.5153921568627458</v>
      </c>
    </row>
    <row r="35" spans="1:3" x14ac:dyDescent="0.25">
      <c r="A35" s="28" t="s">
        <v>200</v>
      </c>
      <c r="B35" s="34">
        <v>35.093842275071864</v>
      </c>
      <c r="C35" s="34">
        <v>4.0149275362318848</v>
      </c>
    </row>
    <row r="36" spans="1:3" x14ac:dyDescent="0.25">
      <c r="A36" s="28" t="s">
        <v>226</v>
      </c>
      <c r="B36" s="34">
        <v>35.734731798466676</v>
      </c>
      <c r="C36" s="34">
        <v>3.7434782608695643</v>
      </c>
    </row>
    <row r="37" spans="1:3" x14ac:dyDescent="0.25">
      <c r="A37" s="28" t="s">
        <v>193</v>
      </c>
      <c r="B37" s="34">
        <v>50.475019542318179</v>
      </c>
      <c r="C37" s="34">
        <v>3.815544554455446</v>
      </c>
    </row>
    <row r="38" spans="1:3" x14ac:dyDescent="0.25">
      <c r="A38" s="28" t="s">
        <v>242</v>
      </c>
      <c r="B38" s="34">
        <v>55.571649337935938</v>
      </c>
      <c r="C38" s="34">
        <v>3.3600000000000003</v>
      </c>
    </row>
    <row r="39" spans="1:3" x14ac:dyDescent="0.25">
      <c r="A39" s="28" t="s">
        <v>206</v>
      </c>
      <c r="B39" s="34">
        <v>67.56816762188447</v>
      </c>
      <c r="C39" s="34">
        <v>3.7416666666666663</v>
      </c>
    </row>
    <row r="40" spans="1:3" x14ac:dyDescent="0.25">
      <c r="A40" s="28" t="s">
        <v>215</v>
      </c>
      <c r="B40" s="34">
        <v>45.115513109565605</v>
      </c>
      <c r="C40" s="34">
        <v>4.1308163265306126</v>
      </c>
    </row>
    <row r="41" spans="1:3" x14ac:dyDescent="0.25">
      <c r="A41" s="28" t="s">
        <v>191</v>
      </c>
      <c r="B41" s="34">
        <v>55.471849112549997</v>
      </c>
      <c r="C41" s="34">
        <v>4.1567283950617275</v>
      </c>
    </row>
    <row r="42" spans="1:3" x14ac:dyDescent="0.25">
      <c r="A42" s="28" t="s">
        <v>222</v>
      </c>
      <c r="B42" s="34">
        <v>65.920661861302435</v>
      </c>
      <c r="C42" s="34">
        <v>3.9710416666666677</v>
      </c>
    </row>
    <row r="43" spans="1:3" x14ac:dyDescent="0.25">
      <c r="A43" s="28" t="s">
        <v>211</v>
      </c>
      <c r="B43" s="34">
        <v>66.849711811411538</v>
      </c>
      <c r="C43" s="34">
        <v>3.9976315789473675</v>
      </c>
    </row>
    <row r="44" spans="1:3" x14ac:dyDescent="0.25">
      <c r="A44" s="28" t="s">
        <v>247</v>
      </c>
      <c r="B44" s="34">
        <v>49.012944123009412</v>
      </c>
      <c r="C44" s="34">
        <v>3.7762500000000001</v>
      </c>
    </row>
    <row r="45" spans="1:3" x14ac:dyDescent="0.25">
      <c r="A45" s="28" t="s">
        <v>251</v>
      </c>
      <c r="B45" s="34">
        <v>52.208122753098067</v>
      </c>
      <c r="C45" s="34">
        <v>2.5973333333333328</v>
      </c>
    </row>
    <row r="46" spans="1:3" x14ac:dyDescent="0.25">
      <c r="A46" s="28" t="s">
        <v>194</v>
      </c>
      <c r="B46" s="34">
        <v>38.842688196226945</v>
      </c>
      <c r="C46" s="34">
        <v>4.13</v>
      </c>
    </row>
    <row r="47" spans="1:3" x14ac:dyDescent="0.25">
      <c r="A47" s="28" t="s">
        <v>236</v>
      </c>
      <c r="B47" s="34">
        <v>64.109706779163815</v>
      </c>
      <c r="C47" s="34">
        <v>4.1016071428571417</v>
      </c>
    </row>
    <row r="48" spans="1:3" x14ac:dyDescent="0.25">
      <c r="A48" s="28" t="s">
        <v>234</v>
      </c>
      <c r="B48" s="34">
        <v>49.894825968068993</v>
      </c>
      <c r="C48" s="34">
        <v>3.5960606060606062</v>
      </c>
    </row>
    <row r="49" spans="1:3" x14ac:dyDescent="0.25">
      <c r="A49" s="28" t="s">
        <v>225</v>
      </c>
      <c r="B49" s="34">
        <v>54.486388783768014</v>
      </c>
      <c r="C49" s="34">
        <v>3.37423076923077</v>
      </c>
    </row>
    <row r="50" spans="1:3" x14ac:dyDescent="0.25">
      <c r="A50" s="28" t="s">
        <v>196</v>
      </c>
      <c r="B50" s="34">
        <v>52.543636856397526</v>
      </c>
      <c r="C50" s="34">
        <v>3.8264935064935077</v>
      </c>
    </row>
    <row r="51" spans="1:3" x14ac:dyDescent="0.25">
      <c r="A51" s="28" t="s">
        <v>207</v>
      </c>
      <c r="B51" s="34">
        <v>59.203439246892671</v>
      </c>
      <c r="C51" s="34">
        <v>4.066741573033708</v>
      </c>
    </row>
    <row r="52" spans="1:3" x14ac:dyDescent="0.25">
      <c r="A52" s="28" t="s">
        <v>208</v>
      </c>
      <c r="B52" s="34">
        <v>36.212343425285482</v>
      </c>
      <c r="C52" s="34">
        <v>4.1285022026431726</v>
      </c>
    </row>
    <row r="53" spans="1:3" x14ac:dyDescent="0.25">
      <c r="A53" s="28" t="s">
        <v>227</v>
      </c>
      <c r="B53" s="34">
        <v>41.924773883385001</v>
      </c>
      <c r="C53" s="34">
        <v>3.7367768595041326</v>
      </c>
    </row>
    <row r="54" spans="1:3" x14ac:dyDescent="0.25">
      <c r="A54" s="28" t="s">
        <v>249</v>
      </c>
      <c r="B54" s="34">
        <v>65.447011883987869</v>
      </c>
      <c r="C54" s="34">
        <v>3.4621052631578948</v>
      </c>
    </row>
    <row r="55" spans="1:3" x14ac:dyDescent="0.25">
      <c r="A55" s="28" t="s">
        <v>197</v>
      </c>
      <c r="B55" s="34">
        <v>53.928742363954605</v>
      </c>
      <c r="C55" s="34">
        <v>4.1207000000000011</v>
      </c>
    </row>
    <row r="56" spans="1:3" x14ac:dyDescent="0.25">
      <c r="A56" s="28" t="s">
        <v>212</v>
      </c>
      <c r="B56" s="34">
        <v>59.368075799494463</v>
      </c>
      <c r="C56" s="34">
        <v>3.8480769230769223</v>
      </c>
    </row>
    <row r="57" spans="1:3" x14ac:dyDescent="0.25">
      <c r="A57" s="28" t="s">
        <v>221</v>
      </c>
      <c r="B57" s="34">
        <v>48.549802118982086</v>
      </c>
      <c r="C57" s="34">
        <v>3.7782352941176471</v>
      </c>
    </row>
    <row r="58" spans="1:3" x14ac:dyDescent="0.25">
      <c r="A58" s="28" t="s">
        <v>199</v>
      </c>
      <c r="B58" s="34">
        <v>62.646081055736509</v>
      </c>
      <c r="C58" s="34">
        <v>3.9237142857142859</v>
      </c>
    </row>
    <row r="59" spans="1:3" x14ac:dyDescent="0.25">
      <c r="A59" s="28" t="s">
        <v>232</v>
      </c>
      <c r="B59" s="34">
        <v>64.555104200973901</v>
      </c>
      <c r="C59" s="34">
        <v>3.3766666666666669</v>
      </c>
    </row>
    <row r="60" spans="1:3" x14ac:dyDescent="0.25">
      <c r="A60" s="28" t="s">
        <v>210</v>
      </c>
      <c r="B60" s="34">
        <v>65.829185327391414</v>
      </c>
      <c r="C60" s="34">
        <v>4.1909090909090905</v>
      </c>
    </row>
    <row r="61" spans="1:3" x14ac:dyDescent="0.25">
      <c r="A61" s="28" t="s">
        <v>250</v>
      </c>
      <c r="B61" s="34">
        <v>48.468872382037915</v>
      </c>
      <c r="C61" s="34">
        <v>4.1554545454545462</v>
      </c>
    </row>
    <row r="62" spans="1:3" x14ac:dyDescent="0.25">
      <c r="A62" s="28" t="s">
        <v>946</v>
      </c>
      <c r="B62" s="34">
        <v>52.9903884743456</v>
      </c>
      <c r="C62" s="34">
        <v>3.8144406332453809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STOCKS</vt:lpstr>
      <vt:lpstr>AC</vt:lpstr>
      <vt:lpstr>HOLDINGS</vt:lpstr>
      <vt:lpstr>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Erica Silva</dc:creator>
  <cp:lastModifiedBy>Erica Silva</cp:lastModifiedBy>
  <dcterms:created xsi:type="dcterms:W3CDTF">2025-10-20T08:33:57Z</dcterms:created>
  <dcterms:modified xsi:type="dcterms:W3CDTF">2026-02-11T23:49:56Z</dcterms:modified>
</cp:coreProperties>
</file>